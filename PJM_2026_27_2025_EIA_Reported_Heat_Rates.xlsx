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Bongiovi\Desktop\"/>
    </mc:Choice>
  </mc:AlternateContent>
  <xr:revisionPtr revIDLastSave="0" documentId="13_ncr:1_{C75A346C-9EFB-4E44-86A0-13883CF8FBE8}" xr6:coauthVersionLast="47" xr6:coauthVersionMax="47" xr10:uidLastSave="{00000000-0000-0000-0000-000000000000}"/>
  <bookViews>
    <workbookView xWindow="28680" yWindow="-135" windowWidth="29040" windowHeight="17520" activeTab="1" xr2:uid="{00000000-000D-0000-FFFF-FFFF00000000}"/>
  </bookViews>
  <sheets>
    <sheet name="Coverage Dashboard" sheetId="1" r:id="rId1"/>
    <sheet name="Resource Estimates" sheetId="2" r:id="rId2"/>
    <sheet name="Class Assumptions" sheetId="3" r:id="rId3"/>
    <sheet name="Methodology" sheetId="4" r:id="rId4"/>
    <sheet name="EIA Matching Review" sheetId="5" r:id="rId5"/>
    <sheet name="2025 EIA Group Data" sheetId="6" r:id="rId6"/>
  </sheets>
  <definedNames>
    <definedName name="_xlnm._FilterDatabase" localSheetId="5" hidden="1">'2025 EIA Group Data'!$A$1:$J$4026</definedName>
    <definedName name="_xlnm._FilterDatabase" localSheetId="2" hidden="1">'Class Assumptions'!$A$1:$G$23</definedName>
    <definedName name="_xlnm._FilterDatabase" localSheetId="4" hidden="1">'EIA Matching Review'!$A$1:$S$1009</definedName>
    <definedName name="_xlnm._FilterDatabase" localSheetId="3" hidden="1">Methodology!$A$1:$B$1</definedName>
    <definedName name="_xlnm._FilterDatabase" localSheetId="1" hidden="1">'Resource Estimates'!$A$1:$AG$1300</definedName>
  </definedNames>
  <calcPr calcId="191029" calcMode="manual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2" l="1" a="1"/>
  <c r="AJ3" i="2" s="1"/>
  <c r="AJ4" i="2" a="1"/>
  <c r="AJ4" i="2" s="1"/>
  <c r="AJ5" i="2" a="1"/>
  <c r="AJ5" i="2" s="1"/>
  <c r="AJ6" i="2" a="1"/>
  <c r="AJ6" i="2" s="1"/>
  <c r="AJ7" i="2" a="1"/>
  <c r="AJ7" i="2" s="1"/>
  <c r="AJ8" i="2" a="1"/>
  <c r="AJ8" i="2" s="1"/>
  <c r="AJ9" i="2" a="1"/>
  <c r="AJ9" i="2" s="1"/>
  <c r="AJ10" i="2" a="1"/>
  <c r="AJ10" i="2" s="1"/>
  <c r="AJ11" i="2" a="1"/>
  <c r="AJ11" i="2" s="1"/>
  <c r="AJ12" i="2" a="1"/>
  <c r="AJ12" i="2" s="1"/>
  <c r="AJ13" i="2" a="1"/>
  <c r="AJ13" i="2" s="1"/>
  <c r="AJ14" i="2" a="1"/>
  <c r="AJ14" i="2" s="1"/>
  <c r="AJ15" i="2" a="1"/>
  <c r="AJ15" i="2" s="1"/>
  <c r="AJ16" i="2" a="1"/>
  <c r="AJ16" i="2" s="1"/>
  <c r="AJ17" i="2" a="1"/>
  <c r="AJ17" i="2" s="1"/>
  <c r="AJ18" i="2" a="1"/>
  <c r="AJ18" i="2" s="1"/>
  <c r="AJ19" i="2" a="1"/>
  <c r="AJ19" i="2" s="1"/>
  <c r="AJ20" i="2" a="1"/>
  <c r="AJ20" i="2" s="1"/>
  <c r="AJ21" i="2" a="1"/>
  <c r="AJ21" i="2" s="1"/>
  <c r="AJ22" i="2" a="1"/>
  <c r="AJ22" i="2" s="1"/>
  <c r="AJ23" i="2" a="1"/>
  <c r="AJ23" i="2" s="1"/>
  <c r="AJ24" i="2" a="1"/>
  <c r="AJ24" i="2" s="1"/>
  <c r="AJ25" i="2" a="1"/>
  <c r="AJ25" i="2" s="1"/>
  <c r="AJ26" i="2" a="1"/>
  <c r="AJ26" i="2" s="1"/>
  <c r="AJ27" i="2" a="1"/>
  <c r="AJ27" i="2" s="1"/>
  <c r="AJ28" i="2" a="1"/>
  <c r="AJ28" i="2" s="1"/>
  <c r="AJ29" i="2" a="1"/>
  <c r="AJ29" i="2" s="1"/>
  <c r="AJ30" i="2" a="1"/>
  <c r="AJ30" i="2" s="1"/>
  <c r="AJ31" i="2" a="1"/>
  <c r="AJ31" i="2" s="1"/>
  <c r="AJ32" i="2" a="1"/>
  <c r="AJ32" i="2" s="1"/>
  <c r="AJ33" i="2" a="1"/>
  <c r="AJ33" i="2" s="1"/>
  <c r="AJ34" i="2" a="1"/>
  <c r="AJ34" i="2" s="1"/>
  <c r="AJ35" i="2" a="1"/>
  <c r="AJ35" i="2" s="1"/>
  <c r="AJ36" i="2" a="1"/>
  <c r="AJ36" i="2" s="1"/>
  <c r="AJ37" i="2" a="1"/>
  <c r="AJ37" i="2" s="1"/>
  <c r="AJ38" i="2" a="1"/>
  <c r="AJ38" i="2" s="1"/>
  <c r="AJ39" i="2" a="1"/>
  <c r="AJ39" i="2" s="1"/>
  <c r="AJ40" i="2" a="1"/>
  <c r="AJ40" i="2" s="1"/>
  <c r="AJ41" i="2" a="1"/>
  <c r="AJ41" i="2" s="1"/>
  <c r="AJ42" i="2" a="1"/>
  <c r="AJ42" i="2" s="1"/>
  <c r="AJ43" i="2" a="1"/>
  <c r="AJ43" i="2" s="1"/>
  <c r="AJ44" i="2" a="1"/>
  <c r="AJ44" i="2" s="1"/>
  <c r="AJ45" i="2" a="1"/>
  <c r="AJ45" i="2" s="1"/>
  <c r="AJ46" i="2" a="1"/>
  <c r="AJ46" i="2" s="1"/>
  <c r="AJ47" i="2" a="1"/>
  <c r="AJ47" i="2" s="1"/>
  <c r="AJ48" i="2" a="1"/>
  <c r="AJ48" i="2" s="1"/>
  <c r="AJ49" i="2" a="1"/>
  <c r="AJ49" i="2" s="1"/>
  <c r="AJ50" i="2" a="1"/>
  <c r="AJ50" i="2" s="1"/>
  <c r="AJ51" i="2" a="1"/>
  <c r="AJ51" i="2" s="1"/>
  <c r="AJ52" i="2" a="1"/>
  <c r="AJ52" i="2" s="1"/>
  <c r="AJ53" i="2" a="1"/>
  <c r="AJ53" i="2" s="1"/>
  <c r="AJ54" i="2" a="1"/>
  <c r="AJ54" i="2" s="1"/>
  <c r="AJ55" i="2" a="1"/>
  <c r="AJ55" i="2" s="1"/>
  <c r="AJ56" i="2" a="1"/>
  <c r="AJ56" i="2" s="1"/>
  <c r="AJ57" i="2" a="1"/>
  <c r="AJ57" i="2" s="1"/>
  <c r="AJ58" i="2" a="1"/>
  <c r="AJ58" i="2" s="1"/>
  <c r="AJ59" i="2" a="1"/>
  <c r="AJ59" i="2" s="1"/>
  <c r="AJ60" i="2" a="1"/>
  <c r="AJ60" i="2" s="1"/>
  <c r="AJ61" i="2" a="1"/>
  <c r="AJ61" i="2" s="1"/>
  <c r="AJ62" i="2" a="1"/>
  <c r="AJ62" i="2" s="1"/>
  <c r="AJ63" i="2" a="1"/>
  <c r="AJ63" i="2" s="1"/>
  <c r="AJ64" i="2" a="1"/>
  <c r="AJ64" i="2" s="1"/>
  <c r="AJ65" i="2" a="1"/>
  <c r="AJ65" i="2" s="1"/>
  <c r="AJ66" i="2" a="1"/>
  <c r="AJ66" i="2" s="1"/>
  <c r="AJ67" i="2" a="1"/>
  <c r="AJ67" i="2" s="1"/>
  <c r="AJ68" i="2" a="1"/>
  <c r="AJ68" i="2" s="1"/>
  <c r="AJ69" i="2" a="1"/>
  <c r="AJ69" i="2" s="1"/>
  <c r="AJ70" i="2" a="1"/>
  <c r="AJ70" i="2" s="1"/>
  <c r="AJ71" i="2" a="1"/>
  <c r="AJ71" i="2" s="1"/>
  <c r="AJ72" i="2" a="1"/>
  <c r="AJ72" i="2" s="1"/>
  <c r="AJ73" i="2" a="1"/>
  <c r="AJ73" i="2" s="1"/>
  <c r="AJ74" i="2" a="1"/>
  <c r="AJ74" i="2" s="1"/>
  <c r="AJ75" i="2" a="1"/>
  <c r="AJ75" i="2" s="1"/>
  <c r="AJ76" i="2" a="1"/>
  <c r="AJ76" i="2" s="1"/>
  <c r="AJ77" i="2" a="1"/>
  <c r="AJ77" i="2" s="1"/>
  <c r="AJ78" i="2" a="1"/>
  <c r="AJ78" i="2" s="1"/>
  <c r="AJ79" i="2" a="1"/>
  <c r="AJ79" i="2" s="1"/>
  <c r="AJ80" i="2" a="1"/>
  <c r="AJ80" i="2" s="1"/>
  <c r="AJ81" i="2" a="1"/>
  <c r="AJ81" i="2" s="1"/>
  <c r="AJ82" i="2" a="1"/>
  <c r="AJ82" i="2" s="1"/>
  <c r="AJ83" i="2" a="1"/>
  <c r="AJ83" i="2" s="1"/>
  <c r="AJ84" i="2" a="1"/>
  <c r="AJ84" i="2" s="1"/>
  <c r="AJ85" i="2" a="1"/>
  <c r="AJ85" i="2" s="1"/>
  <c r="AJ86" i="2" a="1"/>
  <c r="AJ86" i="2" s="1"/>
  <c r="AJ87" i="2" a="1"/>
  <c r="AJ87" i="2" s="1"/>
  <c r="AJ88" i="2" a="1"/>
  <c r="AJ88" i="2" s="1"/>
  <c r="AJ89" i="2" a="1"/>
  <c r="AJ89" i="2" s="1"/>
  <c r="AJ90" i="2" a="1"/>
  <c r="AJ90" i="2" s="1"/>
  <c r="AJ91" i="2" a="1"/>
  <c r="AJ91" i="2" s="1"/>
  <c r="AJ92" i="2" a="1"/>
  <c r="AJ92" i="2" s="1"/>
  <c r="AJ93" i="2" a="1"/>
  <c r="AJ93" i="2" s="1"/>
  <c r="AJ94" i="2" a="1"/>
  <c r="AJ94" i="2" s="1"/>
  <c r="AJ95" i="2" a="1"/>
  <c r="AJ95" i="2" s="1"/>
  <c r="AJ96" i="2" a="1"/>
  <c r="AJ96" i="2" s="1"/>
  <c r="AJ97" i="2" a="1"/>
  <c r="AJ97" i="2" s="1"/>
  <c r="AJ98" i="2" a="1"/>
  <c r="AJ98" i="2" s="1"/>
  <c r="AJ99" i="2" a="1"/>
  <c r="AJ99" i="2" s="1"/>
  <c r="AJ100" i="2" a="1"/>
  <c r="AJ100" i="2" s="1"/>
  <c r="AJ101" i="2" a="1"/>
  <c r="AJ101" i="2" s="1"/>
  <c r="AJ102" i="2" a="1"/>
  <c r="AJ102" i="2" s="1"/>
  <c r="AJ103" i="2" a="1"/>
  <c r="AJ103" i="2" s="1"/>
  <c r="AJ104" i="2" a="1"/>
  <c r="AJ104" i="2" s="1"/>
  <c r="AJ105" i="2" a="1"/>
  <c r="AJ105" i="2" s="1"/>
  <c r="AJ106" i="2" a="1"/>
  <c r="AJ106" i="2" s="1"/>
  <c r="AJ107" i="2" a="1"/>
  <c r="AJ107" i="2" s="1"/>
  <c r="AJ108" i="2" a="1"/>
  <c r="AJ108" i="2" s="1"/>
  <c r="AJ109" i="2" a="1"/>
  <c r="AJ109" i="2" s="1"/>
  <c r="AJ110" i="2" a="1"/>
  <c r="AJ110" i="2" s="1"/>
  <c r="AJ111" i="2" a="1"/>
  <c r="AJ111" i="2" s="1"/>
  <c r="AJ112" i="2" a="1"/>
  <c r="AJ112" i="2" s="1"/>
  <c r="AJ113" i="2" a="1"/>
  <c r="AJ113" i="2" s="1"/>
  <c r="AJ114" i="2" a="1"/>
  <c r="AJ114" i="2" s="1"/>
  <c r="AJ115" i="2" a="1"/>
  <c r="AJ115" i="2" s="1"/>
  <c r="AJ116" i="2" a="1"/>
  <c r="AJ116" i="2" s="1"/>
  <c r="AJ117" i="2" a="1"/>
  <c r="AJ117" i="2" s="1"/>
  <c r="AJ118" i="2" a="1"/>
  <c r="AJ118" i="2" s="1"/>
  <c r="AJ119" i="2" a="1"/>
  <c r="AJ119" i="2" s="1"/>
  <c r="AJ120" i="2" a="1"/>
  <c r="AJ120" i="2" s="1"/>
  <c r="AJ121" i="2" a="1"/>
  <c r="AJ121" i="2" s="1"/>
  <c r="AJ122" i="2" a="1"/>
  <c r="AJ122" i="2" s="1"/>
  <c r="AJ123" i="2" a="1"/>
  <c r="AJ123" i="2" s="1"/>
  <c r="AJ124" i="2" a="1"/>
  <c r="AJ124" i="2" s="1"/>
  <c r="AJ125" i="2" a="1"/>
  <c r="AJ125" i="2" s="1"/>
  <c r="AJ126" i="2" a="1"/>
  <c r="AJ126" i="2" s="1"/>
  <c r="AJ127" i="2" a="1"/>
  <c r="AJ127" i="2" s="1"/>
  <c r="AJ128" i="2" a="1"/>
  <c r="AJ128" i="2" s="1"/>
  <c r="AJ129" i="2" a="1"/>
  <c r="AJ129" i="2" s="1"/>
  <c r="AJ130" i="2" a="1"/>
  <c r="AJ130" i="2" s="1"/>
  <c r="AJ131" i="2" a="1"/>
  <c r="AJ131" i="2" s="1"/>
  <c r="AJ132" i="2" a="1"/>
  <c r="AJ132" i="2" s="1"/>
  <c r="AJ133" i="2" a="1"/>
  <c r="AJ133" i="2" s="1"/>
  <c r="AJ134" i="2" a="1"/>
  <c r="AJ134" i="2" s="1"/>
  <c r="AJ135" i="2" a="1"/>
  <c r="AJ135" i="2" s="1"/>
  <c r="AJ136" i="2" a="1"/>
  <c r="AJ136" i="2" s="1"/>
  <c r="AJ137" i="2" a="1"/>
  <c r="AJ137" i="2" s="1"/>
  <c r="AJ138" i="2" a="1"/>
  <c r="AJ138" i="2" s="1"/>
  <c r="AJ139" i="2" a="1"/>
  <c r="AJ139" i="2" s="1"/>
  <c r="AJ140" i="2" a="1"/>
  <c r="AJ140" i="2" s="1"/>
  <c r="AJ141" i="2" a="1"/>
  <c r="AJ141" i="2" s="1"/>
  <c r="AJ142" i="2" a="1"/>
  <c r="AJ142" i="2" s="1"/>
  <c r="AJ143" i="2" a="1"/>
  <c r="AJ143" i="2" s="1"/>
  <c r="AJ144" i="2" a="1"/>
  <c r="AJ144" i="2" s="1"/>
  <c r="AJ145" i="2" a="1"/>
  <c r="AJ145" i="2" s="1"/>
  <c r="AJ146" i="2" a="1"/>
  <c r="AJ146" i="2" s="1"/>
  <c r="AJ147" i="2" a="1"/>
  <c r="AJ147" i="2" s="1"/>
  <c r="AJ148" i="2" a="1"/>
  <c r="AJ148" i="2" s="1"/>
  <c r="AJ149" i="2" a="1"/>
  <c r="AJ149" i="2" s="1"/>
  <c r="AJ150" i="2" a="1"/>
  <c r="AJ150" i="2" s="1"/>
  <c r="AJ151" i="2" a="1"/>
  <c r="AJ151" i="2" s="1"/>
  <c r="AJ152" i="2" a="1"/>
  <c r="AJ152" i="2" s="1"/>
  <c r="AJ153" i="2" a="1"/>
  <c r="AJ153" i="2" s="1"/>
  <c r="AJ154" i="2" a="1"/>
  <c r="AJ154" i="2" s="1"/>
  <c r="AJ155" i="2" a="1"/>
  <c r="AJ155" i="2" s="1"/>
  <c r="AJ156" i="2" a="1"/>
  <c r="AJ156" i="2" s="1"/>
  <c r="AJ157" i="2" a="1"/>
  <c r="AJ157" i="2" s="1"/>
  <c r="AJ158" i="2" a="1"/>
  <c r="AJ158" i="2" s="1"/>
  <c r="AJ159" i="2" a="1"/>
  <c r="AJ159" i="2" s="1"/>
  <c r="AJ160" i="2" a="1"/>
  <c r="AJ160" i="2" s="1"/>
  <c r="AJ161" i="2" a="1"/>
  <c r="AJ161" i="2" s="1"/>
  <c r="AJ162" i="2" a="1"/>
  <c r="AJ162" i="2" s="1"/>
  <c r="AJ163" i="2" a="1"/>
  <c r="AJ163" i="2" s="1"/>
  <c r="AJ164" i="2" a="1"/>
  <c r="AJ164" i="2" s="1"/>
  <c r="AJ165" i="2" a="1"/>
  <c r="AJ165" i="2" s="1"/>
  <c r="AJ166" i="2" a="1"/>
  <c r="AJ166" i="2" s="1"/>
  <c r="AJ167" i="2" a="1"/>
  <c r="AJ167" i="2" s="1"/>
  <c r="AJ168" i="2" a="1"/>
  <c r="AJ168" i="2" s="1"/>
  <c r="AJ169" i="2" a="1"/>
  <c r="AJ169" i="2" s="1"/>
  <c r="AJ170" i="2" a="1"/>
  <c r="AJ170" i="2" s="1"/>
  <c r="AJ171" i="2" a="1"/>
  <c r="AJ171" i="2" s="1"/>
  <c r="AJ172" i="2" a="1"/>
  <c r="AJ172" i="2" s="1"/>
  <c r="AJ173" i="2" a="1"/>
  <c r="AJ173" i="2" s="1"/>
  <c r="AJ174" i="2" a="1"/>
  <c r="AJ174" i="2" s="1"/>
  <c r="AJ175" i="2" a="1"/>
  <c r="AJ175" i="2" s="1"/>
  <c r="AJ176" i="2" a="1"/>
  <c r="AJ176" i="2" s="1"/>
  <c r="AJ177" i="2" a="1"/>
  <c r="AJ177" i="2" s="1"/>
  <c r="AJ178" i="2" a="1"/>
  <c r="AJ178" i="2" s="1"/>
  <c r="AJ179" i="2" a="1"/>
  <c r="AJ179" i="2" s="1"/>
  <c r="AJ180" i="2" a="1"/>
  <c r="AJ180" i="2" s="1"/>
  <c r="AJ181" i="2" a="1"/>
  <c r="AJ181" i="2" s="1"/>
  <c r="AJ182" i="2" a="1"/>
  <c r="AJ182" i="2" s="1"/>
  <c r="AJ183" i="2" a="1"/>
  <c r="AJ183" i="2" s="1"/>
  <c r="AJ184" i="2" a="1"/>
  <c r="AJ184" i="2" s="1"/>
  <c r="AJ185" i="2" a="1"/>
  <c r="AJ185" i="2" s="1"/>
  <c r="AJ186" i="2" a="1"/>
  <c r="AJ186" i="2" s="1"/>
  <c r="AJ187" i="2" a="1"/>
  <c r="AJ187" i="2" s="1"/>
  <c r="AJ188" i="2" a="1"/>
  <c r="AJ188" i="2" s="1"/>
  <c r="AJ189" i="2" a="1"/>
  <c r="AJ189" i="2" s="1"/>
  <c r="AJ190" i="2" a="1"/>
  <c r="AJ190" i="2" s="1"/>
  <c r="AJ191" i="2" a="1"/>
  <c r="AJ191" i="2" s="1"/>
  <c r="AJ192" i="2" a="1"/>
  <c r="AJ192" i="2" s="1"/>
  <c r="AJ193" i="2" a="1"/>
  <c r="AJ193" i="2" s="1"/>
  <c r="AJ194" i="2" a="1"/>
  <c r="AJ194" i="2" s="1"/>
  <c r="AJ195" i="2" a="1"/>
  <c r="AJ195" i="2" s="1"/>
  <c r="AJ196" i="2" a="1"/>
  <c r="AJ196" i="2" s="1"/>
  <c r="AJ197" i="2" a="1"/>
  <c r="AJ197" i="2" s="1"/>
  <c r="AJ198" i="2" a="1"/>
  <c r="AJ198" i="2" s="1"/>
  <c r="AJ199" i="2" a="1"/>
  <c r="AJ199" i="2" s="1"/>
  <c r="AJ200" i="2" a="1"/>
  <c r="AJ200" i="2" s="1"/>
  <c r="AJ201" i="2" a="1"/>
  <c r="AJ201" i="2" s="1"/>
  <c r="AJ202" i="2" a="1"/>
  <c r="AJ202" i="2" s="1"/>
  <c r="AJ203" i="2" a="1"/>
  <c r="AJ203" i="2" s="1"/>
  <c r="AJ204" i="2" a="1"/>
  <c r="AJ204" i="2" s="1"/>
  <c r="AJ205" i="2" a="1"/>
  <c r="AJ205" i="2" s="1"/>
  <c r="AJ206" i="2" a="1"/>
  <c r="AJ206" i="2" s="1"/>
  <c r="AJ207" i="2" a="1"/>
  <c r="AJ207" i="2" s="1"/>
  <c r="AJ208" i="2" a="1"/>
  <c r="AJ208" i="2" s="1"/>
  <c r="AJ209" i="2" a="1"/>
  <c r="AJ209" i="2" s="1"/>
  <c r="AJ210" i="2" a="1"/>
  <c r="AJ210" i="2" s="1"/>
  <c r="AJ211" i="2" a="1"/>
  <c r="AJ211" i="2" s="1"/>
  <c r="AJ212" i="2" a="1"/>
  <c r="AJ212" i="2" s="1"/>
  <c r="AJ213" i="2" a="1"/>
  <c r="AJ213" i="2" s="1"/>
  <c r="AJ214" i="2" a="1"/>
  <c r="AJ214" i="2" s="1"/>
  <c r="AJ215" i="2" a="1"/>
  <c r="AJ215" i="2" s="1"/>
  <c r="AJ216" i="2" a="1"/>
  <c r="AJ216" i="2" s="1"/>
  <c r="AJ217" i="2" a="1"/>
  <c r="AJ217" i="2" s="1"/>
  <c r="AJ218" i="2" a="1"/>
  <c r="AJ218" i="2" s="1"/>
  <c r="AJ219" i="2" a="1"/>
  <c r="AJ219" i="2" s="1"/>
  <c r="AJ220" i="2" a="1"/>
  <c r="AJ220" i="2" s="1"/>
  <c r="AJ221" i="2" a="1"/>
  <c r="AJ221" i="2" s="1"/>
  <c r="AJ222" i="2" a="1"/>
  <c r="AJ222" i="2" s="1"/>
  <c r="AJ223" i="2" a="1"/>
  <c r="AJ223" i="2" s="1"/>
  <c r="AJ224" i="2" a="1"/>
  <c r="AJ224" i="2" s="1"/>
  <c r="AJ225" i="2" a="1"/>
  <c r="AJ225" i="2" s="1"/>
  <c r="AJ226" i="2" a="1"/>
  <c r="AJ226" i="2" s="1"/>
  <c r="AJ227" i="2" a="1"/>
  <c r="AJ227" i="2" s="1"/>
  <c r="AJ228" i="2" a="1"/>
  <c r="AJ228" i="2" s="1"/>
  <c r="AJ229" i="2" a="1"/>
  <c r="AJ229" i="2" s="1"/>
  <c r="AJ230" i="2" a="1"/>
  <c r="AJ230" i="2" s="1"/>
  <c r="AJ231" i="2" a="1"/>
  <c r="AJ231" i="2" s="1"/>
  <c r="AJ232" i="2" a="1"/>
  <c r="AJ232" i="2" s="1"/>
  <c r="AJ233" i="2" a="1"/>
  <c r="AJ233" i="2" s="1"/>
  <c r="AJ234" i="2" a="1"/>
  <c r="AJ234" i="2" s="1"/>
  <c r="AJ235" i="2" a="1"/>
  <c r="AJ235" i="2" s="1"/>
  <c r="AJ236" i="2" a="1"/>
  <c r="AJ236" i="2" s="1"/>
  <c r="AJ237" i="2" a="1"/>
  <c r="AJ237" i="2" s="1"/>
  <c r="AJ238" i="2" a="1"/>
  <c r="AJ238" i="2" s="1"/>
  <c r="AJ239" i="2" a="1"/>
  <c r="AJ239" i="2" s="1"/>
  <c r="AJ240" i="2" a="1"/>
  <c r="AJ240" i="2" s="1"/>
  <c r="AJ241" i="2" a="1"/>
  <c r="AJ241" i="2" s="1"/>
  <c r="AJ242" i="2" a="1"/>
  <c r="AJ242" i="2" s="1"/>
  <c r="AJ243" i="2" a="1"/>
  <c r="AJ243" i="2" s="1"/>
  <c r="AJ244" i="2" a="1"/>
  <c r="AJ244" i="2" s="1"/>
  <c r="AJ245" i="2" a="1"/>
  <c r="AJ245" i="2" s="1"/>
  <c r="AJ246" i="2" a="1"/>
  <c r="AJ246" i="2" s="1"/>
  <c r="AJ247" i="2" a="1"/>
  <c r="AJ247" i="2" s="1"/>
  <c r="AJ248" i="2" a="1"/>
  <c r="AJ248" i="2" s="1"/>
  <c r="AJ249" i="2" a="1"/>
  <c r="AJ249" i="2" s="1"/>
  <c r="AJ250" i="2" a="1"/>
  <c r="AJ250" i="2" s="1"/>
  <c r="AJ251" i="2" a="1"/>
  <c r="AJ251" i="2" s="1"/>
  <c r="AJ252" i="2" a="1"/>
  <c r="AJ252" i="2" s="1"/>
  <c r="AJ253" i="2" a="1"/>
  <c r="AJ253" i="2" s="1"/>
  <c r="AJ254" i="2" a="1"/>
  <c r="AJ254" i="2" s="1"/>
  <c r="AJ255" i="2" a="1"/>
  <c r="AJ255" i="2" s="1"/>
  <c r="AJ256" i="2" a="1"/>
  <c r="AJ256" i="2" s="1"/>
  <c r="AJ257" i="2" a="1"/>
  <c r="AJ257" i="2" s="1"/>
  <c r="AJ258" i="2" a="1"/>
  <c r="AJ258" i="2" s="1"/>
  <c r="AJ259" i="2" a="1"/>
  <c r="AJ259" i="2" s="1"/>
  <c r="AJ260" i="2" a="1"/>
  <c r="AJ260" i="2" s="1"/>
  <c r="AJ261" i="2" a="1"/>
  <c r="AJ261" i="2" s="1"/>
  <c r="AJ262" i="2" a="1"/>
  <c r="AJ262" i="2" s="1"/>
  <c r="AJ263" i="2" a="1"/>
  <c r="AJ263" i="2" s="1"/>
  <c r="AJ264" i="2" a="1"/>
  <c r="AJ264" i="2" s="1"/>
  <c r="AJ265" i="2" a="1"/>
  <c r="AJ265" i="2" s="1"/>
  <c r="AJ266" i="2" a="1"/>
  <c r="AJ266" i="2" s="1"/>
  <c r="AJ267" i="2" a="1"/>
  <c r="AJ267" i="2" s="1"/>
  <c r="AJ268" i="2" a="1"/>
  <c r="AJ268" i="2" s="1"/>
  <c r="AJ269" i="2" a="1"/>
  <c r="AJ269" i="2" s="1"/>
  <c r="AJ270" i="2" a="1"/>
  <c r="AJ270" i="2" s="1"/>
  <c r="AJ271" i="2" a="1"/>
  <c r="AJ271" i="2" s="1"/>
  <c r="AJ272" i="2" a="1"/>
  <c r="AJ272" i="2" s="1"/>
  <c r="AJ273" i="2" a="1"/>
  <c r="AJ273" i="2" s="1"/>
  <c r="AJ274" i="2" a="1"/>
  <c r="AJ274" i="2" s="1"/>
  <c r="AJ275" i="2" a="1"/>
  <c r="AJ275" i="2" s="1"/>
  <c r="AJ276" i="2" a="1"/>
  <c r="AJ276" i="2" s="1"/>
  <c r="AJ277" i="2" a="1"/>
  <c r="AJ277" i="2" s="1"/>
  <c r="AJ278" i="2" a="1"/>
  <c r="AJ278" i="2" s="1"/>
  <c r="AJ279" i="2" a="1"/>
  <c r="AJ279" i="2" s="1"/>
  <c r="AJ280" i="2" a="1"/>
  <c r="AJ280" i="2" s="1"/>
  <c r="AJ281" i="2" a="1"/>
  <c r="AJ281" i="2" s="1"/>
  <c r="AJ282" i="2" a="1"/>
  <c r="AJ282" i="2" s="1"/>
  <c r="AJ283" i="2" a="1"/>
  <c r="AJ283" i="2" s="1"/>
  <c r="AJ284" i="2" a="1"/>
  <c r="AJ284" i="2" s="1"/>
  <c r="AJ285" i="2" a="1"/>
  <c r="AJ285" i="2" s="1"/>
  <c r="AJ286" i="2" a="1"/>
  <c r="AJ286" i="2" s="1"/>
  <c r="AJ287" i="2" a="1"/>
  <c r="AJ287" i="2" s="1"/>
  <c r="AJ288" i="2" a="1"/>
  <c r="AJ288" i="2" s="1"/>
  <c r="AJ289" i="2" a="1"/>
  <c r="AJ289" i="2" s="1"/>
  <c r="AJ290" i="2" a="1"/>
  <c r="AJ290" i="2" s="1"/>
  <c r="AJ291" i="2" a="1"/>
  <c r="AJ291" i="2" s="1"/>
  <c r="AJ292" i="2" a="1"/>
  <c r="AJ292" i="2" s="1"/>
  <c r="AJ293" i="2" a="1"/>
  <c r="AJ293" i="2" s="1"/>
  <c r="AJ294" i="2" a="1"/>
  <c r="AJ294" i="2" s="1"/>
  <c r="AJ295" i="2" a="1"/>
  <c r="AJ295" i="2" s="1"/>
  <c r="AJ296" i="2" a="1"/>
  <c r="AJ296" i="2" s="1"/>
  <c r="AJ297" i="2" a="1"/>
  <c r="AJ297" i="2" s="1"/>
  <c r="AJ298" i="2" a="1"/>
  <c r="AJ298" i="2" s="1"/>
  <c r="AJ299" i="2" a="1"/>
  <c r="AJ299" i="2" s="1"/>
  <c r="AJ300" i="2" a="1"/>
  <c r="AJ300" i="2" s="1"/>
  <c r="AJ301" i="2" a="1"/>
  <c r="AJ301" i="2" s="1"/>
  <c r="AJ302" i="2" a="1"/>
  <c r="AJ302" i="2" s="1"/>
  <c r="AJ303" i="2" a="1"/>
  <c r="AJ303" i="2" s="1"/>
  <c r="AJ304" i="2" a="1"/>
  <c r="AJ304" i="2" s="1"/>
  <c r="AJ305" i="2" a="1"/>
  <c r="AJ305" i="2" s="1"/>
  <c r="AJ306" i="2" a="1"/>
  <c r="AJ306" i="2" s="1"/>
  <c r="AJ307" i="2" a="1"/>
  <c r="AJ307" i="2" s="1"/>
  <c r="AJ308" i="2" a="1"/>
  <c r="AJ308" i="2" s="1"/>
  <c r="AJ309" i="2" a="1"/>
  <c r="AJ309" i="2" s="1"/>
  <c r="AJ310" i="2" a="1"/>
  <c r="AJ310" i="2" s="1"/>
  <c r="AJ311" i="2" a="1"/>
  <c r="AJ311" i="2" s="1"/>
  <c r="AJ312" i="2" a="1"/>
  <c r="AJ312" i="2" s="1"/>
  <c r="AJ313" i="2" a="1"/>
  <c r="AJ313" i="2" s="1"/>
  <c r="AJ314" i="2" a="1"/>
  <c r="AJ314" i="2" s="1"/>
  <c r="AJ315" i="2" a="1"/>
  <c r="AJ315" i="2" s="1"/>
  <c r="AJ316" i="2" a="1"/>
  <c r="AJ316" i="2" s="1"/>
  <c r="AJ317" i="2" a="1"/>
  <c r="AJ317" i="2" s="1"/>
  <c r="AJ318" i="2" a="1"/>
  <c r="AJ318" i="2" s="1"/>
  <c r="AJ319" i="2" a="1"/>
  <c r="AJ319" i="2" s="1"/>
  <c r="AJ320" i="2" a="1"/>
  <c r="AJ320" i="2" s="1"/>
  <c r="AJ321" i="2" a="1"/>
  <c r="AJ321" i="2" s="1"/>
  <c r="AJ322" i="2" a="1"/>
  <c r="AJ322" i="2" s="1"/>
  <c r="AJ323" i="2" a="1"/>
  <c r="AJ323" i="2" s="1"/>
  <c r="AJ324" i="2" a="1"/>
  <c r="AJ324" i="2" s="1"/>
  <c r="AJ325" i="2" a="1"/>
  <c r="AJ325" i="2" s="1"/>
  <c r="AJ326" i="2" a="1"/>
  <c r="AJ326" i="2" s="1"/>
  <c r="AJ327" i="2" a="1"/>
  <c r="AJ327" i="2" s="1"/>
  <c r="AJ328" i="2" a="1"/>
  <c r="AJ328" i="2" s="1"/>
  <c r="AJ329" i="2" a="1"/>
  <c r="AJ329" i="2" s="1"/>
  <c r="AJ330" i="2" a="1"/>
  <c r="AJ330" i="2" s="1"/>
  <c r="AJ331" i="2" a="1"/>
  <c r="AJ331" i="2" s="1"/>
  <c r="AJ332" i="2" a="1"/>
  <c r="AJ332" i="2" s="1"/>
  <c r="AJ333" i="2" a="1"/>
  <c r="AJ333" i="2" s="1"/>
  <c r="AJ334" i="2" a="1"/>
  <c r="AJ334" i="2" s="1"/>
  <c r="AJ335" i="2" a="1"/>
  <c r="AJ335" i="2" s="1"/>
  <c r="AJ336" i="2" a="1"/>
  <c r="AJ336" i="2" s="1"/>
  <c r="AJ337" i="2" a="1"/>
  <c r="AJ337" i="2" s="1"/>
  <c r="AJ338" i="2" a="1"/>
  <c r="AJ338" i="2" s="1"/>
  <c r="AJ339" i="2" a="1"/>
  <c r="AJ339" i="2" s="1"/>
  <c r="AJ340" i="2" a="1"/>
  <c r="AJ340" i="2" s="1"/>
  <c r="AJ341" i="2" a="1"/>
  <c r="AJ341" i="2" s="1"/>
  <c r="AJ342" i="2" a="1"/>
  <c r="AJ342" i="2" s="1"/>
  <c r="AJ343" i="2" a="1"/>
  <c r="AJ343" i="2" s="1"/>
  <c r="AJ344" i="2" a="1"/>
  <c r="AJ344" i="2" s="1"/>
  <c r="AJ345" i="2" a="1"/>
  <c r="AJ345" i="2" s="1"/>
  <c r="AJ346" i="2" a="1"/>
  <c r="AJ346" i="2" s="1"/>
  <c r="AJ347" i="2" a="1"/>
  <c r="AJ347" i="2" s="1"/>
  <c r="AJ348" i="2" a="1"/>
  <c r="AJ348" i="2" s="1"/>
  <c r="AJ349" i="2" a="1"/>
  <c r="AJ349" i="2" s="1"/>
  <c r="AJ350" i="2" a="1"/>
  <c r="AJ350" i="2" s="1"/>
  <c r="AJ351" i="2" a="1"/>
  <c r="AJ351" i="2" s="1"/>
  <c r="AJ352" i="2" a="1"/>
  <c r="AJ352" i="2" s="1"/>
  <c r="AJ353" i="2" a="1"/>
  <c r="AJ353" i="2" s="1"/>
  <c r="AJ354" i="2" a="1"/>
  <c r="AJ354" i="2" s="1"/>
  <c r="AJ355" i="2" a="1"/>
  <c r="AJ355" i="2" s="1"/>
  <c r="AJ356" i="2" a="1"/>
  <c r="AJ356" i="2" s="1"/>
  <c r="AJ357" i="2" a="1"/>
  <c r="AJ357" i="2" s="1"/>
  <c r="AJ358" i="2" a="1"/>
  <c r="AJ358" i="2" s="1"/>
  <c r="AJ359" i="2" a="1"/>
  <c r="AJ359" i="2" s="1"/>
  <c r="AJ360" i="2" a="1"/>
  <c r="AJ360" i="2" s="1"/>
  <c r="AJ361" i="2" a="1"/>
  <c r="AJ361" i="2" s="1"/>
  <c r="AJ362" i="2" a="1"/>
  <c r="AJ362" i="2" s="1"/>
  <c r="AJ363" i="2" a="1"/>
  <c r="AJ363" i="2" s="1"/>
  <c r="AJ364" i="2" a="1"/>
  <c r="AJ364" i="2" s="1"/>
  <c r="AJ365" i="2" a="1"/>
  <c r="AJ365" i="2" s="1"/>
  <c r="AJ366" i="2" a="1"/>
  <c r="AJ366" i="2" s="1"/>
  <c r="AJ367" i="2" a="1"/>
  <c r="AJ367" i="2" s="1"/>
  <c r="AJ368" i="2" a="1"/>
  <c r="AJ368" i="2" s="1"/>
  <c r="AJ369" i="2" a="1"/>
  <c r="AJ369" i="2" s="1"/>
  <c r="AJ370" i="2" a="1"/>
  <c r="AJ370" i="2" s="1"/>
  <c r="AJ371" i="2" a="1"/>
  <c r="AJ371" i="2" s="1"/>
  <c r="AJ372" i="2" a="1"/>
  <c r="AJ372" i="2" s="1"/>
  <c r="AJ373" i="2" a="1"/>
  <c r="AJ373" i="2" s="1"/>
  <c r="AJ374" i="2" a="1"/>
  <c r="AJ374" i="2" s="1"/>
  <c r="AJ375" i="2" a="1"/>
  <c r="AJ375" i="2" s="1"/>
  <c r="AJ376" i="2" a="1"/>
  <c r="AJ376" i="2" s="1"/>
  <c r="AJ377" i="2" a="1"/>
  <c r="AJ377" i="2" s="1"/>
  <c r="AJ378" i="2" a="1"/>
  <c r="AJ378" i="2" s="1"/>
  <c r="AJ379" i="2" a="1"/>
  <c r="AJ379" i="2" s="1"/>
  <c r="AJ380" i="2" a="1"/>
  <c r="AJ380" i="2" s="1"/>
  <c r="AJ381" i="2" a="1"/>
  <c r="AJ381" i="2" s="1"/>
  <c r="AJ382" i="2" a="1"/>
  <c r="AJ382" i="2" s="1"/>
  <c r="AJ383" i="2" a="1"/>
  <c r="AJ383" i="2" s="1"/>
  <c r="AJ384" i="2" a="1"/>
  <c r="AJ384" i="2" s="1"/>
  <c r="AJ385" i="2" a="1"/>
  <c r="AJ385" i="2" s="1"/>
  <c r="AJ386" i="2" a="1"/>
  <c r="AJ386" i="2" s="1"/>
  <c r="AJ387" i="2" a="1"/>
  <c r="AJ387" i="2" s="1"/>
  <c r="AJ388" i="2" a="1"/>
  <c r="AJ388" i="2" s="1"/>
  <c r="AJ389" i="2" a="1"/>
  <c r="AJ389" i="2" s="1"/>
  <c r="AJ390" i="2" a="1"/>
  <c r="AJ390" i="2" s="1"/>
  <c r="AJ391" i="2" a="1"/>
  <c r="AJ391" i="2" s="1"/>
  <c r="AJ392" i="2" a="1"/>
  <c r="AJ392" i="2" s="1"/>
  <c r="AJ393" i="2" a="1"/>
  <c r="AJ393" i="2" s="1"/>
  <c r="AJ394" i="2" a="1"/>
  <c r="AJ394" i="2" s="1"/>
  <c r="AJ395" i="2" a="1"/>
  <c r="AJ395" i="2" s="1"/>
  <c r="AJ396" i="2" a="1"/>
  <c r="AJ396" i="2" s="1"/>
  <c r="AJ397" i="2" a="1"/>
  <c r="AJ397" i="2" s="1"/>
  <c r="AJ398" i="2" a="1"/>
  <c r="AJ398" i="2" s="1"/>
  <c r="AJ399" i="2" a="1"/>
  <c r="AJ399" i="2" s="1"/>
  <c r="AJ400" i="2" a="1"/>
  <c r="AJ400" i="2" s="1"/>
  <c r="AJ401" i="2" a="1"/>
  <c r="AJ401" i="2" s="1"/>
  <c r="AJ402" i="2" a="1"/>
  <c r="AJ402" i="2" s="1"/>
  <c r="AJ403" i="2" a="1"/>
  <c r="AJ403" i="2" s="1"/>
  <c r="AJ404" i="2" a="1"/>
  <c r="AJ404" i="2" s="1"/>
  <c r="AJ405" i="2" a="1"/>
  <c r="AJ405" i="2" s="1"/>
  <c r="AJ406" i="2" a="1"/>
  <c r="AJ406" i="2" s="1"/>
  <c r="AJ407" i="2" a="1"/>
  <c r="AJ407" i="2" s="1"/>
  <c r="AJ408" i="2" a="1"/>
  <c r="AJ408" i="2" s="1"/>
  <c r="AJ409" i="2" a="1"/>
  <c r="AJ409" i="2" s="1"/>
  <c r="AJ410" i="2" a="1"/>
  <c r="AJ410" i="2" s="1"/>
  <c r="AJ411" i="2" a="1"/>
  <c r="AJ411" i="2" s="1"/>
  <c r="AJ412" i="2" a="1"/>
  <c r="AJ412" i="2" s="1"/>
  <c r="AJ413" i="2" a="1"/>
  <c r="AJ413" i="2" s="1"/>
  <c r="AJ414" i="2" a="1"/>
  <c r="AJ414" i="2" s="1"/>
  <c r="AJ415" i="2" a="1"/>
  <c r="AJ415" i="2" s="1"/>
  <c r="AJ416" i="2" a="1"/>
  <c r="AJ416" i="2" s="1"/>
  <c r="AJ417" i="2" a="1"/>
  <c r="AJ417" i="2" s="1"/>
  <c r="AJ418" i="2" a="1"/>
  <c r="AJ418" i="2" s="1"/>
  <c r="AJ419" i="2" a="1"/>
  <c r="AJ419" i="2" s="1"/>
  <c r="AJ420" i="2" a="1"/>
  <c r="AJ420" i="2" s="1"/>
  <c r="AJ421" i="2" a="1"/>
  <c r="AJ421" i="2" s="1"/>
  <c r="AJ422" i="2" a="1"/>
  <c r="AJ422" i="2" s="1"/>
  <c r="AJ423" i="2" a="1"/>
  <c r="AJ423" i="2" s="1"/>
  <c r="AJ424" i="2" a="1"/>
  <c r="AJ424" i="2" s="1"/>
  <c r="AJ425" i="2" a="1"/>
  <c r="AJ425" i="2" s="1"/>
  <c r="AJ426" i="2" a="1"/>
  <c r="AJ426" i="2" s="1"/>
  <c r="AJ427" i="2" a="1"/>
  <c r="AJ427" i="2" s="1"/>
  <c r="AJ428" i="2" a="1"/>
  <c r="AJ428" i="2" s="1"/>
  <c r="AJ429" i="2" a="1"/>
  <c r="AJ429" i="2" s="1"/>
  <c r="AJ430" i="2" a="1"/>
  <c r="AJ430" i="2" s="1"/>
  <c r="AJ431" i="2" a="1"/>
  <c r="AJ431" i="2" s="1"/>
  <c r="AJ432" i="2" a="1"/>
  <c r="AJ432" i="2" s="1"/>
  <c r="AJ433" i="2" a="1"/>
  <c r="AJ433" i="2" s="1"/>
  <c r="AJ434" i="2" a="1"/>
  <c r="AJ434" i="2" s="1"/>
  <c r="AJ435" i="2" a="1"/>
  <c r="AJ435" i="2" s="1"/>
  <c r="AJ436" i="2" a="1"/>
  <c r="AJ436" i="2" s="1"/>
  <c r="AJ437" i="2" a="1"/>
  <c r="AJ437" i="2" s="1"/>
  <c r="AJ438" i="2" a="1"/>
  <c r="AJ438" i="2" s="1"/>
  <c r="AJ439" i="2" a="1"/>
  <c r="AJ439" i="2" s="1"/>
  <c r="AJ440" i="2" a="1"/>
  <c r="AJ440" i="2" s="1"/>
  <c r="AJ441" i="2" a="1"/>
  <c r="AJ441" i="2" s="1"/>
  <c r="AJ442" i="2" a="1"/>
  <c r="AJ442" i="2" s="1"/>
  <c r="AJ443" i="2" a="1"/>
  <c r="AJ443" i="2" s="1"/>
  <c r="AJ444" i="2" a="1"/>
  <c r="AJ444" i="2" s="1"/>
  <c r="AJ445" i="2" a="1"/>
  <c r="AJ445" i="2" s="1"/>
  <c r="AJ446" i="2" a="1"/>
  <c r="AJ446" i="2" s="1"/>
  <c r="AJ447" i="2" a="1"/>
  <c r="AJ447" i="2" s="1"/>
  <c r="AJ448" i="2" a="1"/>
  <c r="AJ448" i="2" s="1"/>
  <c r="AJ449" i="2" a="1"/>
  <c r="AJ449" i="2" s="1"/>
  <c r="AJ450" i="2" a="1"/>
  <c r="AJ450" i="2" s="1"/>
  <c r="AJ451" i="2" a="1"/>
  <c r="AJ451" i="2" s="1"/>
  <c r="AJ452" i="2" a="1"/>
  <c r="AJ452" i="2" s="1"/>
  <c r="AJ453" i="2" a="1"/>
  <c r="AJ453" i="2" s="1"/>
  <c r="AJ454" i="2" a="1"/>
  <c r="AJ454" i="2" s="1"/>
  <c r="AJ455" i="2" a="1"/>
  <c r="AJ455" i="2" s="1"/>
  <c r="AJ456" i="2" a="1"/>
  <c r="AJ456" i="2" s="1"/>
  <c r="AJ457" i="2" a="1"/>
  <c r="AJ457" i="2" s="1"/>
  <c r="AJ458" i="2" a="1"/>
  <c r="AJ458" i="2" s="1"/>
  <c r="AJ459" i="2" a="1"/>
  <c r="AJ459" i="2" s="1"/>
  <c r="AJ460" i="2" a="1"/>
  <c r="AJ460" i="2" s="1"/>
  <c r="AJ461" i="2" a="1"/>
  <c r="AJ461" i="2" s="1"/>
  <c r="AJ462" i="2" a="1"/>
  <c r="AJ462" i="2" s="1"/>
  <c r="AJ463" i="2" a="1"/>
  <c r="AJ463" i="2" s="1"/>
  <c r="AJ464" i="2" a="1"/>
  <c r="AJ464" i="2" s="1"/>
  <c r="AJ465" i="2" a="1"/>
  <c r="AJ465" i="2" s="1"/>
  <c r="AJ466" i="2" a="1"/>
  <c r="AJ466" i="2" s="1"/>
  <c r="AJ467" i="2" a="1"/>
  <c r="AJ467" i="2" s="1"/>
  <c r="AJ468" i="2" a="1"/>
  <c r="AJ468" i="2" s="1"/>
  <c r="AJ469" i="2" a="1"/>
  <c r="AJ469" i="2" s="1"/>
  <c r="AJ470" i="2" a="1"/>
  <c r="AJ470" i="2" s="1"/>
  <c r="AJ471" i="2" a="1"/>
  <c r="AJ471" i="2" s="1"/>
  <c r="AJ472" i="2" a="1"/>
  <c r="AJ472" i="2" s="1"/>
  <c r="AJ473" i="2" a="1"/>
  <c r="AJ473" i="2" s="1"/>
  <c r="AJ474" i="2" a="1"/>
  <c r="AJ474" i="2" s="1"/>
  <c r="AJ475" i="2" a="1"/>
  <c r="AJ475" i="2" s="1"/>
  <c r="AJ476" i="2" a="1"/>
  <c r="AJ476" i="2" s="1"/>
  <c r="AJ477" i="2" a="1"/>
  <c r="AJ477" i="2" s="1"/>
  <c r="AJ478" i="2" a="1"/>
  <c r="AJ478" i="2" s="1"/>
  <c r="AJ479" i="2" a="1"/>
  <c r="AJ479" i="2" s="1"/>
  <c r="AJ480" i="2" a="1"/>
  <c r="AJ480" i="2" s="1"/>
  <c r="AJ481" i="2" a="1"/>
  <c r="AJ481" i="2" s="1"/>
  <c r="AJ482" i="2" a="1"/>
  <c r="AJ482" i="2" s="1"/>
  <c r="AJ483" i="2" a="1"/>
  <c r="AJ483" i="2" s="1"/>
  <c r="AJ484" i="2" a="1"/>
  <c r="AJ484" i="2" s="1"/>
  <c r="AJ485" i="2" a="1"/>
  <c r="AJ485" i="2" s="1"/>
  <c r="AJ486" i="2" a="1"/>
  <c r="AJ486" i="2" s="1"/>
  <c r="AJ487" i="2" a="1"/>
  <c r="AJ487" i="2" s="1"/>
  <c r="AJ488" i="2" a="1"/>
  <c r="AJ488" i="2" s="1"/>
  <c r="AJ489" i="2" a="1"/>
  <c r="AJ489" i="2" s="1"/>
  <c r="AJ490" i="2" a="1"/>
  <c r="AJ490" i="2" s="1"/>
  <c r="AJ491" i="2" a="1"/>
  <c r="AJ491" i="2" s="1"/>
  <c r="AJ492" i="2" a="1"/>
  <c r="AJ492" i="2" s="1"/>
  <c r="AJ493" i="2" a="1"/>
  <c r="AJ493" i="2" s="1"/>
  <c r="AJ494" i="2" a="1"/>
  <c r="AJ494" i="2" s="1"/>
  <c r="AJ495" i="2" a="1"/>
  <c r="AJ495" i="2" s="1"/>
  <c r="AJ496" i="2" a="1"/>
  <c r="AJ496" i="2" s="1"/>
  <c r="AJ497" i="2" a="1"/>
  <c r="AJ497" i="2" s="1"/>
  <c r="AJ498" i="2" a="1"/>
  <c r="AJ498" i="2" s="1"/>
  <c r="AJ499" i="2" a="1"/>
  <c r="AJ499" i="2" s="1"/>
  <c r="AJ500" i="2" a="1"/>
  <c r="AJ500" i="2" s="1"/>
  <c r="AJ501" i="2" a="1"/>
  <c r="AJ501" i="2" s="1"/>
  <c r="AJ502" i="2" a="1"/>
  <c r="AJ502" i="2" s="1"/>
  <c r="AJ503" i="2" a="1"/>
  <c r="AJ503" i="2" s="1"/>
  <c r="AJ504" i="2" a="1"/>
  <c r="AJ504" i="2" s="1"/>
  <c r="AJ505" i="2" a="1"/>
  <c r="AJ505" i="2" s="1"/>
  <c r="AJ506" i="2" a="1"/>
  <c r="AJ506" i="2" s="1"/>
  <c r="AJ507" i="2" a="1"/>
  <c r="AJ507" i="2" s="1"/>
  <c r="AJ508" i="2" a="1"/>
  <c r="AJ508" i="2" s="1"/>
  <c r="AJ509" i="2" a="1"/>
  <c r="AJ509" i="2" s="1"/>
  <c r="AJ510" i="2" a="1"/>
  <c r="AJ510" i="2" s="1"/>
  <c r="AJ511" i="2" a="1"/>
  <c r="AJ511" i="2" s="1"/>
  <c r="AJ512" i="2" a="1"/>
  <c r="AJ512" i="2" s="1"/>
  <c r="AJ513" i="2" a="1"/>
  <c r="AJ513" i="2" s="1"/>
  <c r="AJ514" i="2" a="1"/>
  <c r="AJ514" i="2" s="1"/>
  <c r="AJ515" i="2" a="1"/>
  <c r="AJ515" i="2" s="1"/>
  <c r="AJ516" i="2" a="1"/>
  <c r="AJ516" i="2" s="1"/>
  <c r="AJ517" i="2" a="1"/>
  <c r="AJ517" i="2" s="1"/>
  <c r="AJ518" i="2" a="1"/>
  <c r="AJ518" i="2" s="1"/>
  <c r="AJ519" i="2" a="1"/>
  <c r="AJ519" i="2" s="1"/>
  <c r="AJ520" i="2" a="1"/>
  <c r="AJ520" i="2" s="1"/>
  <c r="AJ521" i="2" a="1"/>
  <c r="AJ521" i="2" s="1"/>
  <c r="AJ522" i="2" a="1"/>
  <c r="AJ522" i="2" s="1"/>
  <c r="AJ523" i="2" a="1"/>
  <c r="AJ523" i="2" s="1"/>
  <c r="AJ524" i="2" a="1"/>
  <c r="AJ524" i="2" s="1"/>
  <c r="AJ525" i="2" a="1"/>
  <c r="AJ525" i="2" s="1"/>
  <c r="AJ526" i="2" a="1"/>
  <c r="AJ526" i="2" s="1"/>
  <c r="AJ527" i="2" a="1"/>
  <c r="AJ527" i="2" s="1"/>
  <c r="AJ528" i="2" a="1"/>
  <c r="AJ528" i="2" s="1"/>
  <c r="AJ529" i="2" a="1"/>
  <c r="AJ529" i="2" s="1"/>
  <c r="AJ530" i="2" a="1"/>
  <c r="AJ530" i="2" s="1"/>
  <c r="AJ531" i="2" a="1"/>
  <c r="AJ531" i="2" s="1"/>
  <c r="AJ532" i="2" a="1"/>
  <c r="AJ532" i="2" s="1"/>
  <c r="AJ533" i="2" a="1"/>
  <c r="AJ533" i="2" s="1"/>
  <c r="AJ534" i="2" a="1"/>
  <c r="AJ534" i="2" s="1"/>
  <c r="AJ535" i="2" a="1"/>
  <c r="AJ535" i="2" s="1"/>
  <c r="AJ536" i="2" a="1"/>
  <c r="AJ536" i="2" s="1"/>
  <c r="AJ537" i="2" a="1"/>
  <c r="AJ537" i="2" s="1"/>
  <c r="AJ538" i="2" a="1"/>
  <c r="AJ538" i="2" s="1"/>
  <c r="AJ539" i="2" a="1"/>
  <c r="AJ539" i="2" s="1"/>
  <c r="AJ540" i="2" a="1"/>
  <c r="AJ540" i="2" s="1"/>
  <c r="AJ541" i="2" a="1"/>
  <c r="AJ541" i="2" s="1"/>
  <c r="AJ542" i="2" a="1"/>
  <c r="AJ542" i="2" s="1"/>
  <c r="AJ543" i="2" a="1"/>
  <c r="AJ543" i="2" s="1"/>
  <c r="AJ544" i="2" a="1"/>
  <c r="AJ544" i="2" s="1"/>
  <c r="AJ545" i="2" a="1"/>
  <c r="AJ545" i="2" s="1"/>
  <c r="AJ546" i="2" a="1"/>
  <c r="AJ546" i="2" s="1"/>
  <c r="AJ547" i="2" a="1"/>
  <c r="AJ547" i="2" s="1"/>
  <c r="AJ548" i="2" a="1"/>
  <c r="AJ548" i="2" s="1"/>
  <c r="AJ549" i="2" a="1"/>
  <c r="AJ549" i="2" s="1"/>
  <c r="AJ550" i="2" a="1"/>
  <c r="AJ550" i="2" s="1"/>
  <c r="AJ551" i="2" a="1"/>
  <c r="AJ551" i="2" s="1"/>
  <c r="AJ552" i="2" a="1"/>
  <c r="AJ552" i="2" s="1"/>
  <c r="AJ553" i="2" a="1"/>
  <c r="AJ553" i="2" s="1"/>
  <c r="AJ554" i="2" a="1"/>
  <c r="AJ554" i="2" s="1"/>
  <c r="AJ555" i="2" a="1"/>
  <c r="AJ555" i="2" s="1"/>
  <c r="AJ556" i="2" a="1"/>
  <c r="AJ556" i="2" s="1"/>
  <c r="AJ557" i="2" a="1"/>
  <c r="AJ557" i="2" s="1"/>
  <c r="AJ558" i="2" a="1"/>
  <c r="AJ558" i="2" s="1"/>
  <c r="AJ559" i="2" a="1"/>
  <c r="AJ559" i="2" s="1"/>
  <c r="AJ560" i="2" a="1"/>
  <c r="AJ560" i="2" s="1"/>
  <c r="AJ561" i="2" a="1"/>
  <c r="AJ561" i="2" s="1"/>
  <c r="AJ562" i="2" a="1"/>
  <c r="AJ562" i="2" s="1"/>
  <c r="AJ563" i="2" a="1"/>
  <c r="AJ563" i="2" s="1"/>
  <c r="AJ564" i="2" a="1"/>
  <c r="AJ564" i="2" s="1"/>
  <c r="AJ565" i="2" a="1"/>
  <c r="AJ565" i="2" s="1"/>
  <c r="AJ566" i="2" a="1"/>
  <c r="AJ566" i="2" s="1"/>
  <c r="AJ567" i="2" a="1"/>
  <c r="AJ567" i="2" s="1"/>
  <c r="AJ568" i="2" a="1"/>
  <c r="AJ568" i="2" s="1"/>
  <c r="AJ569" i="2" a="1"/>
  <c r="AJ569" i="2" s="1"/>
  <c r="AJ570" i="2" a="1"/>
  <c r="AJ570" i="2" s="1"/>
  <c r="AJ571" i="2" a="1"/>
  <c r="AJ571" i="2" s="1"/>
  <c r="AJ572" i="2" a="1"/>
  <c r="AJ572" i="2" s="1"/>
  <c r="AJ573" i="2" a="1"/>
  <c r="AJ573" i="2" s="1"/>
  <c r="AJ574" i="2" a="1"/>
  <c r="AJ574" i="2" s="1"/>
  <c r="AJ575" i="2" a="1"/>
  <c r="AJ575" i="2" s="1"/>
  <c r="AJ576" i="2" a="1"/>
  <c r="AJ576" i="2" s="1"/>
  <c r="AJ577" i="2" a="1"/>
  <c r="AJ577" i="2" s="1"/>
  <c r="AJ578" i="2" a="1"/>
  <c r="AJ578" i="2" s="1"/>
  <c r="AJ579" i="2" a="1"/>
  <c r="AJ579" i="2" s="1"/>
  <c r="AJ580" i="2" a="1"/>
  <c r="AJ580" i="2" s="1"/>
  <c r="AJ581" i="2" a="1"/>
  <c r="AJ581" i="2" s="1"/>
  <c r="AJ582" i="2" a="1"/>
  <c r="AJ582" i="2" s="1"/>
  <c r="AJ583" i="2" a="1"/>
  <c r="AJ583" i="2" s="1"/>
  <c r="AJ584" i="2" a="1"/>
  <c r="AJ584" i="2" s="1"/>
  <c r="AJ585" i="2" a="1"/>
  <c r="AJ585" i="2" s="1"/>
  <c r="AJ586" i="2" a="1"/>
  <c r="AJ586" i="2" s="1"/>
  <c r="AJ587" i="2" a="1"/>
  <c r="AJ587" i="2" s="1"/>
  <c r="AJ588" i="2" a="1"/>
  <c r="AJ588" i="2" s="1"/>
  <c r="AJ589" i="2" a="1"/>
  <c r="AJ589" i="2" s="1"/>
  <c r="AJ590" i="2" a="1"/>
  <c r="AJ590" i="2" s="1"/>
  <c r="AJ591" i="2" a="1"/>
  <c r="AJ591" i="2" s="1"/>
  <c r="AJ592" i="2" a="1"/>
  <c r="AJ592" i="2" s="1"/>
  <c r="AJ593" i="2" a="1"/>
  <c r="AJ593" i="2" s="1"/>
  <c r="AJ594" i="2" a="1"/>
  <c r="AJ594" i="2" s="1"/>
  <c r="AJ595" i="2" a="1"/>
  <c r="AJ595" i="2" s="1"/>
  <c r="AJ596" i="2" a="1"/>
  <c r="AJ596" i="2" s="1"/>
  <c r="AJ597" i="2" a="1"/>
  <c r="AJ597" i="2" s="1"/>
  <c r="AJ598" i="2" a="1"/>
  <c r="AJ598" i="2" s="1"/>
  <c r="AJ599" i="2" a="1"/>
  <c r="AJ599" i="2" s="1"/>
  <c r="AJ600" i="2" a="1"/>
  <c r="AJ600" i="2" s="1"/>
  <c r="AJ601" i="2" a="1"/>
  <c r="AJ601" i="2" s="1"/>
  <c r="AJ602" i="2" a="1"/>
  <c r="AJ602" i="2" s="1"/>
  <c r="AJ603" i="2" a="1"/>
  <c r="AJ603" i="2" s="1"/>
  <c r="AJ604" i="2" a="1"/>
  <c r="AJ604" i="2" s="1"/>
  <c r="AJ605" i="2" a="1"/>
  <c r="AJ605" i="2" s="1"/>
  <c r="AJ606" i="2" a="1"/>
  <c r="AJ606" i="2" s="1"/>
  <c r="AJ607" i="2" a="1"/>
  <c r="AJ607" i="2" s="1"/>
  <c r="AJ608" i="2" a="1"/>
  <c r="AJ608" i="2" s="1"/>
  <c r="AJ609" i="2" a="1"/>
  <c r="AJ609" i="2" s="1"/>
  <c r="AJ610" i="2" a="1"/>
  <c r="AJ610" i="2" s="1"/>
  <c r="AJ611" i="2" a="1"/>
  <c r="AJ611" i="2" s="1"/>
  <c r="AJ612" i="2" a="1"/>
  <c r="AJ612" i="2" s="1"/>
  <c r="AJ613" i="2" a="1"/>
  <c r="AJ613" i="2" s="1"/>
  <c r="AJ614" i="2" a="1"/>
  <c r="AJ614" i="2" s="1"/>
  <c r="AJ615" i="2" a="1"/>
  <c r="AJ615" i="2" s="1"/>
  <c r="AJ616" i="2" a="1"/>
  <c r="AJ616" i="2" s="1"/>
  <c r="AJ617" i="2" a="1"/>
  <c r="AJ617" i="2" s="1"/>
  <c r="AJ618" i="2" a="1"/>
  <c r="AJ618" i="2" s="1"/>
  <c r="AJ619" i="2" a="1"/>
  <c r="AJ619" i="2" s="1"/>
  <c r="AJ620" i="2" a="1"/>
  <c r="AJ620" i="2" s="1"/>
  <c r="AJ621" i="2" a="1"/>
  <c r="AJ621" i="2" s="1"/>
  <c r="AJ622" i="2" a="1"/>
  <c r="AJ622" i="2" s="1"/>
  <c r="AJ623" i="2" a="1"/>
  <c r="AJ623" i="2" s="1"/>
  <c r="AJ624" i="2" a="1"/>
  <c r="AJ624" i="2" s="1"/>
  <c r="AJ625" i="2" a="1"/>
  <c r="AJ625" i="2" s="1"/>
  <c r="AJ626" i="2" a="1"/>
  <c r="AJ626" i="2" s="1"/>
  <c r="AJ627" i="2" a="1"/>
  <c r="AJ627" i="2" s="1"/>
  <c r="AJ628" i="2" a="1"/>
  <c r="AJ628" i="2" s="1"/>
  <c r="AJ629" i="2" a="1"/>
  <c r="AJ629" i="2" s="1"/>
  <c r="AJ630" i="2" a="1"/>
  <c r="AJ630" i="2" s="1"/>
  <c r="AJ631" i="2" a="1"/>
  <c r="AJ631" i="2" s="1"/>
  <c r="AJ632" i="2" a="1"/>
  <c r="AJ632" i="2" s="1"/>
  <c r="AJ633" i="2" a="1"/>
  <c r="AJ633" i="2" s="1"/>
  <c r="AJ634" i="2" a="1"/>
  <c r="AJ634" i="2" s="1"/>
  <c r="AJ635" i="2" a="1"/>
  <c r="AJ635" i="2" s="1"/>
  <c r="AJ636" i="2" a="1"/>
  <c r="AJ636" i="2" s="1"/>
  <c r="AJ637" i="2" a="1"/>
  <c r="AJ637" i="2" s="1"/>
  <c r="AJ638" i="2" a="1"/>
  <c r="AJ638" i="2" s="1"/>
  <c r="AJ639" i="2" a="1"/>
  <c r="AJ639" i="2" s="1"/>
  <c r="AJ640" i="2" a="1"/>
  <c r="AJ640" i="2" s="1"/>
  <c r="AJ641" i="2" a="1"/>
  <c r="AJ641" i="2" s="1"/>
  <c r="AJ642" i="2" a="1"/>
  <c r="AJ642" i="2" s="1"/>
  <c r="AJ643" i="2" a="1"/>
  <c r="AJ643" i="2" s="1"/>
  <c r="AJ644" i="2" a="1"/>
  <c r="AJ644" i="2" s="1"/>
  <c r="AJ645" i="2" a="1"/>
  <c r="AJ645" i="2" s="1"/>
  <c r="AJ646" i="2" a="1"/>
  <c r="AJ646" i="2" s="1"/>
  <c r="AJ647" i="2" a="1"/>
  <c r="AJ647" i="2" s="1"/>
  <c r="AJ648" i="2" a="1"/>
  <c r="AJ648" i="2" s="1"/>
  <c r="AJ649" i="2" a="1"/>
  <c r="AJ649" i="2" s="1"/>
  <c r="AJ650" i="2" a="1"/>
  <c r="AJ650" i="2" s="1"/>
  <c r="AJ651" i="2" a="1"/>
  <c r="AJ651" i="2" s="1"/>
  <c r="AJ652" i="2" a="1"/>
  <c r="AJ652" i="2" s="1"/>
  <c r="AJ653" i="2" a="1"/>
  <c r="AJ653" i="2" s="1"/>
  <c r="AJ654" i="2" a="1"/>
  <c r="AJ654" i="2" s="1"/>
  <c r="AJ655" i="2" a="1"/>
  <c r="AJ655" i="2" s="1"/>
  <c r="AJ656" i="2" a="1"/>
  <c r="AJ656" i="2" s="1"/>
  <c r="AJ657" i="2" a="1"/>
  <c r="AJ657" i="2" s="1"/>
  <c r="AJ658" i="2" a="1"/>
  <c r="AJ658" i="2" s="1"/>
  <c r="AJ659" i="2" a="1"/>
  <c r="AJ659" i="2" s="1"/>
  <c r="AJ660" i="2" a="1"/>
  <c r="AJ660" i="2" s="1"/>
  <c r="AJ661" i="2" a="1"/>
  <c r="AJ661" i="2" s="1"/>
  <c r="AJ662" i="2" a="1"/>
  <c r="AJ662" i="2" s="1"/>
  <c r="AJ663" i="2" a="1"/>
  <c r="AJ663" i="2" s="1"/>
  <c r="AJ664" i="2" a="1"/>
  <c r="AJ664" i="2" s="1"/>
  <c r="AJ665" i="2" a="1"/>
  <c r="AJ665" i="2" s="1"/>
  <c r="AJ666" i="2" a="1"/>
  <c r="AJ666" i="2" s="1"/>
  <c r="AJ667" i="2" a="1"/>
  <c r="AJ667" i="2" s="1"/>
  <c r="AJ668" i="2" a="1"/>
  <c r="AJ668" i="2" s="1"/>
  <c r="AJ669" i="2" a="1"/>
  <c r="AJ669" i="2" s="1"/>
  <c r="AJ670" i="2" a="1"/>
  <c r="AJ670" i="2" s="1"/>
  <c r="AJ671" i="2" a="1"/>
  <c r="AJ671" i="2" s="1"/>
  <c r="AJ672" i="2" a="1"/>
  <c r="AJ672" i="2" s="1"/>
  <c r="AJ673" i="2" a="1"/>
  <c r="AJ673" i="2" s="1"/>
  <c r="AJ674" i="2" a="1"/>
  <c r="AJ674" i="2" s="1"/>
  <c r="AJ675" i="2" a="1"/>
  <c r="AJ675" i="2" s="1"/>
  <c r="AJ676" i="2" a="1"/>
  <c r="AJ676" i="2" s="1"/>
  <c r="AJ677" i="2" a="1"/>
  <c r="AJ677" i="2" s="1"/>
  <c r="AJ678" i="2" a="1"/>
  <c r="AJ678" i="2" s="1"/>
  <c r="AJ679" i="2" a="1"/>
  <c r="AJ679" i="2" s="1"/>
  <c r="AJ680" i="2" a="1"/>
  <c r="AJ680" i="2" s="1"/>
  <c r="AJ681" i="2" a="1"/>
  <c r="AJ681" i="2" s="1"/>
  <c r="AJ682" i="2" a="1"/>
  <c r="AJ682" i="2" s="1"/>
  <c r="AJ683" i="2" a="1"/>
  <c r="AJ683" i="2" s="1"/>
  <c r="AJ684" i="2" a="1"/>
  <c r="AJ684" i="2" s="1"/>
  <c r="AJ685" i="2" a="1"/>
  <c r="AJ685" i="2" s="1"/>
  <c r="AJ686" i="2" a="1"/>
  <c r="AJ686" i="2" s="1"/>
  <c r="AJ687" i="2" a="1"/>
  <c r="AJ687" i="2" s="1"/>
  <c r="AJ688" i="2" a="1"/>
  <c r="AJ688" i="2" s="1"/>
  <c r="AJ689" i="2" a="1"/>
  <c r="AJ689" i="2" s="1"/>
  <c r="AJ690" i="2" a="1"/>
  <c r="AJ690" i="2" s="1"/>
  <c r="AJ691" i="2" a="1"/>
  <c r="AJ691" i="2" s="1"/>
  <c r="AJ692" i="2" a="1"/>
  <c r="AJ692" i="2" s="1"/>
  <c r="AJ693" i="2" a="1"/>
  <c r="AJ693" i="2" s="1"/>
  <c r="AJ694" i="2" a="1"/>
  <c r="AJ694" i="2" s="1"/>
  <c r="AJ695" i="2" a="1"/>
  <c r="AJ695" i="2" s="1"/>
  <c r="AJ696" i="2" a="1"/>
  <c r="AJ696" i="2" s="1"/>
  <c r="AJ697" i="2" a="1"/>
  <c r="AJ697" i="2" s="1"/>
  <c r="AJ698" i="2" a="1"/>
  <c r="AJ698" i="2" s="1"/>
  <c r="AJ699" i="2" a="1"/>
  <c r="AJ699" i="2" s="1"/>
  <c r="AJ700" i="2" a="1"/>
  <c r="AJ700" i="2" s="1"/>
  <c r="AJ701" i="2" a="1"/>
  <c r="AJ701" i="2" s="1"/>
  <c r="AJ702" i="2" a="1"/>
  <c r="AJ702" i="2" s="1"/>
  <c r="AJ703" i="2" a="1"/>
  <c r="AJ703" i="2" s="1"/>
  <c r="AJ704" i="2" a="1"/>
  <c r="AJ704" i="2" s="1"/>
  <c r="AJ705" i="2" a="1"/>
  <c r="AJ705" i="2" s="1"/>
  <c r="AJ706" i="2" a="1"/>
  <c r="AJ706" i="2" s="1"/>
  <c r="AJ707" i="2" a="1"/>
  <c r="AJ707" i="2" s="1"/>
  <c r="AJ708" i="2" a="1"/>
  <c r="AJ708" i="2" s="1"/>
  <c r="AJ709" i="2" a="1"/>
  <c r="AJ709" i="2" s="1"/>
  <c r="AJ710" i="2" a="1"/>
  <c r="AJ710" i="2" s="1"/>
  <c r="AJ711" i="2" a="1"/>
  <c r="AJ711" i="2" s="1"/>
  <c r="AJ712" i="2" a="1"/>
  <c r="AJ712" i="2" s="1"/>
  <c r="AJ713" i="2" a="1"/>
  <c r="AJ713" i="2" s="1"/>
  <c r="AJ714" i="2" a="1"/>
  <c r="AJ714" i="2" s="1"/>
  <c r="AJ715" i="2" a="1"/>
  <c r="AJ715" i="2" s="1"/>
  <c r="AJ716" i="2" a="1"/>
  <c r="AJ716" i="2" s="1"/>
  <c r="AJ717" i="2" a="1"/>
  <c r="AJ717" i="2" s="1"/>
  <c r="AJ718" i="2" a="1"/>
  <c r="AJ718" i="2" s="1"/>
  <c r="AJ719" i="2" a="1"/>
  <c r="AJ719" i="2" s="1"/>
  <c r="AJ720" i="2" a="1"/>
  <c r="AJ720" i="2" s="1"/>
  <c r="AJ721" i="2" a="1"/>
  <c r="AJ721" i="2" s="1"/>
  <c r="AJ722" i="2" a="1"/>
  <c r="AJ722" i="2" s="1"/>
  <c r="AJ723" i="2" a="1"/>
  <c r="AJ723" i="2" s="1"/>
  <c r="AJ724" i="2" a="1"/>
  <c r="AJ724" i="2" s="1"/>
  <c r="AJ725" i="2" a="1"/>
  <c r="AJ725" i="2" s="1"/>
  <c r="AJ726" i="2" a="1"/>
  <c r="AJ726" i="2" s="1"/>
  <c r="AJ727" i="2" a="1"/>
  <c r="AJ727" i="2" s="1"/>
  <c r="AJ728" i="2" a="1"/>
  <c r="AJ728" i="2" s="1"/>
  <c r="AJ729" i="2" a="1"/>
  <c r="AJ729" i="2" s="1"/>
  <c r="AJ730" i="2" a="1"/>
  <c r="AJ730" i="2" s="1"/>
  <c r="AJ731" i="2" a="1"/>
  <c r="AJ731" i="2" s="1"/>
  <c r="AJ732" i="2" a="1"/>
  <c r="AJ732" i="2" s="1"/>
  <c r="AJ733" i="2" a="1"/>
  <c r="AJ733" i="2" s="1"/>
  <c r="AJ734" i="2" a="1"/>
  <c r="AJ734" i="2" s="1"/>
  <c r="AJ735" i="2" a="1"/>
  <c r="AJ735" i="2" s="1"/>
  <c r="AJ736" i="2" a="1"/>
  <c r="AJ736" i="2" s="1"/>
  <c r="AJ737" i="2" a="1"/>
  <c r="AJ737" i="2" s="1"/>
  <c r="AJ738" i="2" a="1"/>
  <c r="AJ738" i="2" s="1"/>
  <c r="AJ739" i="2" a="1"/>
  <c r="AJ739" i="2" s="1"/>
  <c r="AJ740" i="2" a="1"/>
  <c r="AJ740" i="2" s="1"/>
  <c r="AJ741" i="2" a="1"/>
  <c r="AJ741" i="2" s="1"/>
  <c r="AJ742" i="2" a="1"/>
  <c r="AJ742" i="2" s="1"/>
  <c r="AJ743" i="2" a="1"/>
  <c r="AJ743" i="2" s="1"/>
  <c r="AJ744" i="2" a="1"/>
  <c r="AJ744" i="2" s="1"/>
  <c r="AJ745" i="2" a="1"/>
  <c r="AJ745" i="2" s="1"/>
  <c r="AJ746" i="2" a="1"/>
  <c r="AJ746" i="2" s="1"/>
  <c r="AJ747" i="2" a="1"/>
  <c r="AJ747" i="2" s="1"/>
  <c r="AJ748" i="2" a="1"/>
  <c r="AJ748" i="2" s="1"/>
  <c r="AJ749" i="2" a="1"/>
  <c r="AJ749" i="2" s="1"/>
  <c r="AJ750" i="2" a="1"/>
  <c r="AJ750" i="2" s="1"/>
  <c r="AJ751" i="2" a="1"/>
  <c r="AJ751" i="2" s="1"/>
  <c r="AJ752" i="2" a="1"/>
  <c r="AJ752" i="2" s="1"/>
  <c r="AJ753" i="2" a="1"/>
  <c r="AJ753" i="2" s="1"/>
  <c r="AJ754" i="2" a="1"/>
  <c r="AJ754" i="2" s="1"/>
  <c r="AJ755" i="2" a="1"/>
  <c r="AJ755" i="2" s="1"/>
  <c r="AJ756" i="2" a="1"/>
  <c r="AJ756" i="2" s="1"/>
  <c r="AJ757" i="2" a="1"/>
  <c r="AJ757" i="2" s="1"/>
  <c r="AJ758" i="2" a="1"/>
  <c r="AJ758" i="2" s="1"/>
  <c r="AJ759" i="2" a="1"/>
  <c r="AJ759" i="2" s="1"/>
  <c r="AJ760" i="2" a="1"/>
  <c r="AJ760" i="2" s="1"/>
  <c r="AJ761" i="2" a="1"/>
  <c r="AJ761" i="2" s="1"/>
  <c r="AJ762" i="2" a="1"/>
  <c r="AJ762" i="2" s="1"/>
  <c r="AJ763" i="2" a="1"/>
  <c r="AJ763" i="2" s="1"/>
  <c r="AJ764" i="2" a="1"/>
  <c r="AJ764" i="2" s="1"/>
  <c r="AJ765" i="2" a="1"/>
  <c r="AJ765" i="2" s="1"/>
  <c r="AJ766" i="2" a="1"/>
  <c r="AJ766" i="2" s="1"/>
  <c r="AJ767" i="2" a="1"/>
  <c r="AJ767" i="2" s="1"/>
  <c r="AJ768" i="2" a="1"/>
  <c r="AJ768" i="2" s="1"/>
  <c r="AJ769" i="2" a="1"/>
  <c r="AJ769" i="2" s="1"/>
  <c r="AJ770" i="2" a="1"/>
  <c r="AJ770" i="2" s="1"/>
  <c r="AJ771" i="2" a="1"/>
  <c r="AJ771" i="2" s="1"/>
  <c r="AJ772" i="2" a="1"/>
  <c r="AJ772" i="2" s="1"/>
  <c r="AJ773" i="2" a="1"/>
  <c r="AJ773" i="2" s="1"/>
  <c r="AJ774" i="2" a="1"/>
  <c r="AJ774" i="2" s="1"/>
  <c r="AJ775" i="2" a="1"/>
  <c r="AJ775" i="2" s="1"/>
  <c r="AJ776" i="2" a="1"/>
  <c r="AJ776" i="2" s="1"/>
  <c r="AJ777" i="2" a="1"/>
  <c r="AJ777" i="2" s="1"/>
  <c r="AJ778" i="2" a="1"/>
  <c r="AJ778" i="2" s="1"/>
  <c r="AJ779" i="2" a="1"/>
  <c r="AJ779" i="2" s="1"/>
  <c r="AJ780" i="2" a="1"/>
  <c r="AJ780" i="2" s="1"/>
  <c r="AJ781" i="2" a="1"/>
  <c r="AJ781" i="2" s="1"/>
  <c r="AJ782" i="2" a="1"/>
  <c r="AJ782" i="2" s="1"/>
  <c r="AJ783" i="2" a="1"/>
  <c r="AJ783" i="2" s="1"/>
  <c r="AJ784" i="2" a="1"/>
  <c r="AJ784" i="2" s="1"/>
  <c r="AJ785" i="2" a="1"/>
  <c r="AJ785" i="2" s="1"/>
  <c r="AJ786" i="2" a="1"/>
  <c r="AJ786" i="2" s="1"/>
  <c r="AJ787" i="2" a="1"/>
  <c r="AJ787" i="2" s="1"/>
  <c r="AJ788" i="2" a="1"/>
  <c r="AJ788" i="2" s="1"/>
  <c r="AJ789" i="2" a="1"/>
  <c r="AJ789" i="2" s="1"/>
  <c r="AJ790" i="2" a="1"/>
  <c r="AJ790" i="2" s="1"/>
  <c r="AJ791" i="2" a="1"/>
  <c r="AJ791" i="2" s="1"/>
  <c r="AJ792" i="2" a="1"/>
  <c r="AJ792" i="2" s="1"/>
  <c r="AJ793" i="2" a="1"/>
  <c r="AJ793" i="2" s="1"/>
  <c r="AJ794" i="2" a="1"/>
  <c r="AJ794" i="2" s="1"/>
  <c r="AJ795" i="2" a="1"/>
  <c r="AJ795" i="2" s="1"/>
  <c r="AJ796" i="2" a="1"/>
  <c r="AJ796" i="2" s="1"/>
  <c r="AJ797" i="2" a="1"/>
  <c r="AJ797" i="2" s="1"/>
  <c r="AJ798" i="2" a="1"/>
  <c r="AJ798" i="2" s="1"/>
  <c r="AJ799" i="2" a="1"/>
  <c r="AJ799" i="2" s="1"/>
  <c r="AJ800" i="2" a="1"/>
  <c r="AJ800" i="2" s="1"/>
  <c r="AJ801" i="2" a="1"/>
  <c r="AJ801" i="2" s="1"/>
  <c r="AJ802" i="2" a="1"/>
  <c r="AJ802" i="2" s="1"/>
  <c r="AJ803" i="2" a="1"/>
  <c r="AJ803" i="2" s="1"/>
  <c r="AJ804" i="2" a="1"/>
  <c r="AJ804" i="2" s="1"/>
  <c r="AJ805" i="2" a="1"/>
  <c r="AJ805" i="2" s="1"/>
  <c r="AJ806" i="2" a="1"/>
  <c r="AJ806" i="2" s="1"/>
  <c r="AJ807" i="2" a="1"/>
  <c r="AJ807" i="2" s="1"/>
  <c r="AJ808" i="2" a="1"/>
  <c r="AJ808" i="2" s="1"/>
  <c r="AJ809" i="2" a="1"/>
  <c r="AJ809" i="2" s="1"/>
  <c r="AJ810" i="2" a="1"/>
  <c r="AJ810" i="2" s="1"/>
  <c r="AJ811" i="2" a="1"/>
  <c r="AJ811" i="2" s="1"/>
  <c r="AJ812" i="2" a="1"/>
  <c r="AJ812" i="2" s="1"/>
  <c r="AJ813" i="2" a="1"/>
  <c r="AJ813" i="2" s="1"/>
  <c r="AJ814" i="2" a="1"/>
  <c r="AJ814" i="2" s="1"/>
  <c r="AJ815" i="2" a="1"/>
  <c r="AJ815" i="2" s="1"/>
  <c r="AJ816" i="2" a="1"/>
  <c r="AJ816" i="2" s="1"/>
  <c r="AJ817" i="2" a="1"/>
  <c r="AJ817" i="2" s="1"/>
  <c r="AJ818" i="2" a="1"/>
  <c r="AJ818" i="2" s="1"/>
  <c r="AJ819" i="2" a="1"/>
  <c r="AJ819" i="2" s="1"/>
  <c r="AJ820" i="2" a="1"/>
  <c r="AJ820" i="2" s="1"/>
  <c r="AJ821" i="2" a="1"/>
  <c r="AJ821" i="2" s="1"/>
  <c r="AJ822" i="2" a="1"/>
  <c r="AJ822" i="2" s="1"/>
  <c r="AJ823" i="2" a="1"/>
  <c r="AJ823" i="2" s="1"/>
  <c r="AJ824" i="2" a="1"/>
  <c r="AJ824" i="2" s="1"/>
  <c r="AJ825" i="2" a="1"/>
  <c r="AJ825" i="2" s="1"/>
  <c r="AJ826" i="2" a="1"/>
  <c r="AJ826" i="2" s="1"/>
  <c r="AJ827" i="2" a="1"/>
  <c r="AJ827" i="2" s="1"/>
  <c r="AJ828" i="2" a="1"/>
  <c r="AJ828" i="2" s="1"/>
  <c r="AJ829" i="2" a="1"/>
  <c r="AJ829" i="2" s="1"/>
  <c r="AJ830" i="2" a="1"/>
  <c r="AJ830" i="2" s="1"/>
  <c r="AJ831" i="2" a="1"/>
  <c r="AJ831" i="2" s="1"/>
  <c r="AJ832" i="2" a="1"/>
  <c r="AJ832" i="2" s="1"/>
  <c r="AJ833" i="2" a="1"/>
  <c r="AJ833" i="2" s="1"/>
  <c r="AJ834" i="2" a="1"/>
  <c r="AJ834" i="2" s="1"/>
  <c r="AJ835" i="2" a="1"/>
  <c r="AJ835" i="2" s="1"/>
  <c r="AJ836" i="2" a="1"/>
  <c r="AJ836" i="2" s="1"/>
  <c r="AJ837" i="2" a="1"/>
  <c r="AJ837" i="2" s="1"/>
  <c r="AJ838" i="2" a="1"/>
  <c r="AJ838" i="2" s="1"/>
  <c r="AJ839" i="2" a="1"/>
  <c r="AJ839" i="2" s="1"/>
  <c r="AJ840" i="2" a="1"/>
  <c r="AJ840" i="2" s="1"/>
  <c r="AJ841" i="2" a="1"/>
  <c r="AJ841" i="2" s="1"/>
  <c r="AJ842" i="2" a="1"/>
  <c r="AJ842" i="2" s="1"/>
  <c r="AJ843" i="2" a="1"/>
  <c r="AJ843" i="2" s="1"/>
  <c r="AJ844" i="2" a="1"/>
  <c r="AJ844" i="2" s="1"/>
  <c r="AJ845" i="2" a="1"/>
  <c r="AJ845" i="2" s="1"/>
  <c r="AJ846" i="2" a="1"/>
  <c r="AJ846" i="2" s="1"/>
  <c r="AJ847" i="2" a="1"/>
  <c r="AJ847" i="2" s="1"/>
  <c r="AJ848" i="2" a="1"/>
  <c r="AJ848" i="2" s="1"/>
  <c r="AJ849" i="2" a="1"/>
  <c r="AJ849" i="2" s="1"/>
  <c r="AJ850" i="2" a="1"/>
  <c r="AJ850" i="2" s="1"/>
  <c r="AJ851" i="2" a="1"/>
  <c r="AJ851" i="2" s="1"/>
  <c r="AJ852" i="2" a="1"/>
  <c r="AJ852" i="2" s="1"/>
  <c r="AJ853" i="2" a="1"/>
  <c r="AJ853" i="2" s="1"/>
  <c r="AJ854" i="2" a="1"/>
  <c r="AJ854" i="2" s="1"/>
  <c r="AJ855" i="2" a="1"/>
  <c r="AJ855" i="2" s="1"/>
  <c r="AJ856" i="2" a="1"/>
  <c r="AJ856" i="2" s="1"/>
  <c r="AJ857" i="2" a="1"/>
  <c r="AJ857" i="2" s="1"/>
  <c r="AJ858" i="2" a="1"/>
  <c r="AJ858" i="2" s="1"/>
  <c r="AJ859" i="2" a="1"/>
  <c r="AJ859" i="2" s="1"/>
  <c r="AJ860" i="2" a="1"/>
  <c r="AJ860" i="2" s="1"/>
  <c r="AJ861" i="2" a="1"/>
  <c r="AJ861" i="2" s="1"/>
  <c r="AJ862" i="2" a="1"/>
  <c r="AJ862" i="2" s="1"/>
  <c r="AJ863" i="2" a="1"/>
  <c r="AJ863" i="2" s="1"/>
  <c r="AJ864" i="2" a="1"/>
  <c r="AJ864" i="2" s="1"/>
  <c r="AJ865" i="2" a="1"/>
  <c r="AJ865" i="2" s="1"/>
  <c r="AJ866" i="2" a="1"/>
  <c r="AJ866" i="2" s="1"/>
  <c r="AJ867" i="2" a="1"/>
  <c r="AJ867" i="2" s="1"/>
  <c r="AJ868" i="2" a="1"/>
  <c r="AJ868" i="2" s="1"/>
  <c r="AJ869" i="2" a="1"/>
  <c r="AJ869" i="2" s="1"/>
  <c r="AJ870" i="2" a="1"/>
  <c r="AJ870" i="2" s="1"/>
  <c r="AJ871" i="2" a="1"/>
  <c r="AJ871" i="2" s="1"/>
  <c r="AJ872" i="2" a="1"/>
  <c r="AJ872" i="2" s="1"/>
  <c r="AJ873" i="2" a="1"/>
  <c r="AJ873" i="2" s="1"/>
  <c r="AJ874" i="2" a="1"/>
  <c r="AJ874" i="2" s="1"/>
  <c r="AJ875" i="2" a="1"/>
  <c r="AJ875" i="2" s="1"/>
  <c r="AJ876" i="2" a="1"/>
  <c r="AJ876" i="2" s="1"/>
  <c r="AJ877" i="2" a="1"/>
  <c r="AJ877" i="2" s="1"/>
  <c r="AJ878" i="2" a="1"/>
  <c r="AJ878" i="2" s="1"/>
  <c r="AJ879" i="2" a="1"/>
  <c r="AJ879" i="2" s="1"/>
  <c r="AJ880" i="2" a="1"/>
  <c r="AJ880" i="2" s="1"/>
  <c r="AJ881" i="2" a="1"/>
  <c r="AJ881" i="2" s="1"/>
  <c r="AJ882" i="2" a="1"/>
  <c r="AJ882" i="2" s="1"/>
  <c r="AJ883" i="2" a="1"/>
  <c r="AJ883" i="2" s="1"/>
  <c r="AJ884" i="2" a="1"/>
  <c r="AJ884" i="2" s="1"/>
  <c r="AJ885" i="2" a="1"/>
  <c r="AJ885" i="2" s="1"/>
  <c r="AJ886" i="2" a="1"/>
  <c r="AJ886" i="2" s="1"/>
  <c r="AJ887" i="2" a="1"/>
  <c r="AJ887" i="2" s="1"/>
  <c r="AJ888" i="2" a="1"/>
  <c r="AJ888" i="2" s="1"/>
  <c r="AJ889" i="2" a="1"/>
  <c r="AJ889" i="2" s="1"/>
  <c r="AJ890" i="2" a="1"/>
  <c r="AJ890" i="2" s="1"/>
  <c r="AJ891" i="2" a="1"/>
  <c r="AJ891" i="2" s="1"/>
  <c r="AJ892" i="2" a="1"/>
  <c r="AJ892" i="2" s="1"/>
  <c r="AJ893" i="2" a="1"/>
  <c r="AJ893" i="2" s="1"/>
  <c r="AJ894" i="2" a="1"/>
  <c r="AJ894" i="2" s="1"/>
  <c r="AJ895" i="2" a="1"/>
  <c r="AJ895" i="2" s="1"/>
  <c r="AJ896" i="2" a="1"/>
  <c r="AJ896" i="2" s="1"/>
  <c r="AJ897" i="2" a="1"/>
  <c r="AJ897" i="2" s="1"/>
  <c r="AJ898" i="2" a="1"/>
  <c r="AJ898" i="2" s="1"/>
  <c r="AJ899" i="2" a="1"/>
  <c r="AJ899" i="2" s="1"/>
  <c r="AJ900" i="2" a="1"/>
  <c r="AJ900" i="2" s="1"/>
  <c r="AJ901" i="2" a="1"/>
  <c r="AJ901" i="2" s="1"/>
  <c r="AJ902" i="2" a="1"/>
  <c r="AJ902" i="2" s="1"/>
  <c r="AJ903" i="2" a="1"/>
  <c r="AJ903" i="2" s="1"/>
  <c r="AJ904" i="2" a="1"/>
  <c r="AJ904" i="2" s="1"/>
  <c r="AJ905" i="2" a="1"/>
  <c r="AJ905" i="2" s="1"/>
  <c r="AJ906" i="2" a="1"/>
  <c r="AJ906" i="2" s="1"/>
  <c r="AJ907" i="2" a="1"/>
  <c r="AJ907" i="2" s="1"/>
  <c r="AJ908" i="2" a="1"/>
  <c r="AJ908" i="2" s="1"/>
  <c r="AJ909" i="2" a="1"/>
  <c r="AJ909" i="2" s="1"/>
  <c r="AJ910" i="2" a="1"/>
  <c r="AJ910" i="2" s="1"/>
  <c r="AJ911" i="2" a="1"/>
  <c r="AJ911" i="2" s="1"/>
  <c r="AJ912" i="2" a="1"/>
  <c r="AJ912" i="2" s="1"/>
  <c r="AJ913" i="2" a="1"/>
  <c r="AJ913" i="2" s="1"/>
  <c r="AJ914" i="2" a="1"/>
  <c r="AJ914" i="2" s="1"/>
  <c r="AJ915" i="2" a="1"/>
  <c r="AJ915" i="2" s="1"/>
  <c r="AJ916" i="2" a="1"/>
  <c r="AJ916" i="2" s="1"/>
  <c r="AJ917" i="2" a="1"/>
  <c r="AJ917" i="2" s="1"/>
  <c r="AJ918" i="2" a="1"/>
  <c r="AJ918" i="2" s="1"/>
  <c r="AJ919" i="2" a="1"/>
  <c r="AJ919" i="2" s="1"/>
  <c r="AJ920" i="2" a="1"/>
  <c r="AJ920" i="2" s="1"/>
  <c r="AJ921" i="2" a="1"/>
  <c r="AJ921" i="2" s="1"/>
  <c r="AJ922" i="2" a="1"/>
  <c r="AJ922" i="2" s="1"/>
  <c r="AJ923" i="2" a="1"/>
  <c r="AJ923" i="2" s="1"/>
  <c r="AJ924" i="2" a="1"/>
  <c r="AJ924" i="2" s="1"/>
  <c r="AJ925" i="2" a="1"/>
  <c r="AJ925" i="2" s="1"/>
  <c r="AJ926" i="2" a="1"/>
  <c r="AJ926" i="2" s="1"/>
  <c r="AJ927" i="2" a="1"/>
  <c r="AJ927" i="2" s="1"/>
  <c r="AJ928" i="2" a="1"/>
  <c r="AJ928" i="2" s="1"/>
  <c r="AJ929" i="2" a="1"/>
  <c r="AJ929" i="2" s="1"/>
  <c r="AJ930" i="2" a="1"/>
  <c r="AJ930" i="2" s="1"/>
  <c r="AJ931" i="2" a="1"/>
  <c r="AJ931" i="2" s="1"/>
  <c r="AJ932" i="2" a="1"/>
  <c r="AJ932" i="2" s="1"/>
  <c r="AJ933" i="2" a="1"/>
  <c r="AJ933" i="2" s="1"/>
  <c r="AJ934" i="2" a="1"/>
  <c r="AJ934" i="2" s="1"/>
  <c r="AJ935" i="2" a="1"/>
  <c r="AJ935" i="2" s="1"/>
  <c r="AJ936" i="2" a="1"/>
  <c r="AJ936" i="2" s="1"/>
  <c r="AJ937" i="2" a="1"/>
  <c r="AJ937" i="2" s="1"/>
  <c r="AJ938" i="2" a="1"/>
  <c r="AJ938" i="2" s="1"/>
  <c r="AJ939" i="2" a="1"/>
  <c r="AJ939" i="2" s="1"/>
  <c r="AJ940" i="2" a="1"/>
  <c r="AJ940" i="2" s="1"/>
  <c r="AJ941" i="2" a="1"/>
  <c r="AJ941" i="2" s="1"/>
  <c r="AJ942" i="2" a="1"/>
  <c r="AJ942" i="2" s="1"/>
  <c r="AJ943" i="2" a="1"/>
  <c r="AJ943" i="2" s="1"/>
  <c r="AJ944" i="2" a="1"/>
  <c r="AJ944" i="2" s="1"/>
  <c r="AJ945" i="2" a="1"/>
  <c r="AJ945" i="2" s="1"/>
  <c r="AJ946" i="2" a="1"/>
  <c r="AJ946" i="2" s="1"/>
  <c r="AJ947" i="2" a="1"/>
  <c r="AJ947" i="2" s="1"/>
  <c r="AJ948" i="2" a="1"/>
  <c r="AJ948" i="2" s="1"/>
  <c r="AJ949" i="2" a="1"/>
  <c r="AJ949" i="2" s="1"/>
  <c r="AJ950" i="2" a="1"/>
  <c r="AJ950" i="2" s="1"/>
  <c r="AJ951" i="2" a="1"/>
  <c r="AJ951" i="2" s="1"/>
  <c r="AJ952" i="2" a="1"/>
  <c r="AJ952" i="2" s="1"/>
  <c r="AJ953" i="2" a="1"/>
  <c r="AJ953" i="2" s="1"/>
  <c r="AJ954" i="2" a="1"/>
  <c r="AJ954" i="2" s="1"/>
  <c r="AJ955" i="2" a="1"/>
  <c r="AJ955" i="2" s="1"/>
  <c r="AJ956" i="2" a="1"/>
  <c r="AJ956" i="2" s="1"/>
  <c r="AJ957" i="2" a="1"/>
  <c r="AJ957" i="2" s="1"/>
  <c r="AJ958" i="2" a="1"/>
  <c r="AJ958" i="2" s="1"/>
  <c r="AJ959" i="2" a="1"/>
  <c r="AJ959" i="2" s="1"/>
  <c r="AJ960" i="2" a="1"/>
  <c r="AJ960" i="2" s="1"/>
  <c r="AJ961" i="2" a="1"/>
  <c r="AJ961" i="2" s="1"/>
  <c r="AJ962" i="2" a="1"/>
  <c r="AJ962" i="2" s="1"/>
  <c r="AJ963" i="2" a="1"/>
  <c r="AJ963" i="2" s="1"/>
  <c r="AJ964" i="2" a="1"/>
  <c r="AJ964" i="2" s="1"/>
  <c r="AJ965" i="2" a="1"/>
  <c r="AJ965" i="2" s="1"/>
  <c r="AJ966" i="2" a="1"/>
  <c r="AJ966" i="2" s="1"/>
  <c r="AJ967" i="2" a="1"/>
  <c r="AJ967" i="2" s="1"/>
  <c r="AJ968" i="2" a="1"/>
  <c r="AJ968" i="2" s="1"/>
  <c r="AJ969" i="2" a="1"/>
  <c r="AJ969" i="2" s="1"/>
  <c r="AJ970" i="2" a="1"/>
  <c r="AJ970" i="2" s="1"/>
  <c r="AJ971" i="2" a="1"/>
  <c r="AJ971" i="2" s="1"/>
  <c r="AJ972" i="2" a="1"/>
  <c r="AJ972" i="2" s="1"/>
  <c r="AJ973" i="2" a="1"/>
  <c r="AJ973" i="2" s="1"/>
  <c r="AJ974" i="2" a="1"/>
  <c r="AJ974" i="2" s="1"/>
  <c r="AJ975" i="2" a="1"/>
  <c r="AJ975" i="2" s="1"/>
  <c r="AJ976" i="2" a="1"/>
  <c r="AJ976" i="2" s="1"/>
  <c r="AJ977" i="2" a="1"/>
  <c r="AJ977" i="2" s="1"/>
  <c r="AJ978" i="2" a="1"/>
  <c r="AJ978" i="2" s="1"/>
  <c r="AJ979" i="2" a="1"/>
  <c r="AJ979" i="2" s="1"/>
  <c r="AJ980" i="2" a="1"/>
  <c r="AJ980" i="2" s="1"/>
  <c r="AJ981" i="2" a="1"/>
  <c r="AJ981" i="2" s="1"/>
  <c r="AJ982" i="2" a="1"/>
  <c r="AJ982" i="2" s="1"/>
  <c r="AJ983" i="2" a="1"/>
  <c r="AJ983" i="2" s="1"/>
  <c r="AJ984" i="2" a="1"/>
  <c r="AJ984" i="2" s="1"/>
  <c r="AJ985" i="2" a="1"/>
  <c r="AJ985" i="2" s="1"/>
  <c r="AJ986" i="2" a="1"/>
  <c r="AJ986" i="2" s="1"/>
  <c r="AJ987" i="2" a="1"/>
  <c r="AJ987" i="2" s="1"/>
  <c r="AJ988" i="2" a="1"/>
  <c r="AJ988" i="2" s="1"/>
  <c r="AJ989" i="2" a="1"/>
  <c r="AJ989" i="2" s="1"/>
  <c r="AJ990" i="2" a="1"/>
  <c r="AJ990" i="2" s="1"/>
  <c r="AJ991" i="2" a="1"/>
  <c r="AJ991" i="2" s="1"/>
  <c r="AJ992" i="2" a="1"/>
  <c r="AJ992" i="2" s="1"/>
  <c r="AJ993" i="2" a="1"/>
  <c r="AJ993" i="2" s="1"/>
  <c r="AJ994" i="2" a="1"/>
  <c r="AJ994" i="2" s="1"/>
  <c r="AJ995" i="2" a="1"/>
  <c r="AJ995" i="2" s="1"/>
  <c r="AJ996" i="2" a="1"/>
  <c r="AJ996" i="2" s="1"/>
  <c r="AJ997" i="2" a="1"/>
  <c r="AJ997" i="2" s="1"/>
  <c r="AJ998" i="2" a="1"/>
  <c r="AJ998" i="2" s="1"/>
  <c r="AJ999" i="2" a="1"/>
  <c r="AJ999" i="2" s="1"/>
  <c r="AJ1000" i="2" a="1"/>
  <c r="AJ1000" i="2" s="1"/>
  <c r="AJ1001" i="2" a="1"/>
  <c r="AJ1001" i="2" s="1"/>
  <c r="AJ1002" i="2" a="1"/>
  <c r="AJ1002" i="2" s="1"/>
  <c r="AJ1003" i="2" a="1"/>
  <c r="AJ1003" i="2" s="1"/>
  <c r="AJ1004" i="2" a="1"/>
  <c r="AJ1004" i="2" s="1"/>
  <c r="AJ1005" i="2" a="1"/>
  <c r="AJ1005" i="2" s="1"/>
  <c r="AJ1006" i="2" a="1"/>
  <c r="AJ1006" i="2" s="1"/>
  <c r="AJ1007" i="2" a="1"/>
  <c r="AJ1007" i="2" s="1"/>
  <c r="AJ1008" i="2" a="1"/>
  <c r="AJ1008" i="2" s="1"/>
  <c r="AJ1009" i="2" a="1"/>
  <c r="AJ1009" i="2" s="1"/>
  <c r="AJ1010" i="2" a="1"/>
  <c r="AJ1010" i="2" s="1"/>
  <c r="AJ1011" i="2" a="1"/>
  <c r="AJ1011" i="2" s="1"/>
  <c r="AJ1012" i="2" a="1"/>
  <c r="AJ1012" i="2" s="1"/>
  <c r="AJ1013" i="2" a="1"/>
  <c r="AJ1013" i="2" s="1"/>
  <c r="AJ1014" i="2" a="1"/>
  <c r="AJ1014" i="2" s="1"/>
  <c r="AJ1015" i="2" a="1"/>
  <c r="AJ1015" i="2" s="1"/>
  <c r="AJ1016" i="2" a="1"/>
  <c r="AJ1016" i="2" s="1"/>
  <c r="AJ1017" i="2" a="1"/>
  <c r="AJ1017" i="2" s="1"/>
  <c r="AJ1018" i="2" a="1"/>
  <c r="AJ1018" i="2" s="1"/>
  <c r="AJ1019" i="2" a="1"/>
  <c r="AJ1019" i="2" s="1"/>
  <c r="AJ1020" i="2" a="1"/>
  <c r="AJ1020" i="2" s="1"/>
  <c r="AJ1021" i="2" a="1"/>
  <c r="AJ1021" i="2" s="1"/>
  <c r="AJ1022" i="2" a="1"/>
  <c r="AJ1022" i="2" s="1"/>
  <c r="AJ1023" i="2" a="1"/>
  <c r="AJ1023" i="2" s="1"/>
  <c r="AJ1024" i="2" a="1"/>
  <c r="AJ1024" i="2" s="1"/>
  <c r="AJ1025" i="2" a="1"/>
  <c r="AJ1025" i="2" s="1"/>
  <c r="AJ1026" i="2" a="1"/>
  <c r="AJ1026" i="2" s="1"/>
  <c r="AJ1027" i="2" a="1"/>
  <c r="AJ1027" i="2" s="1"/>
  <c r="AJ1028" i="2" a="1"/>
  <c r="AJ1028" i="2" s="1"/>
  <c r="AJ1029" i="2" a="1"/>
  <c r="AJ1029" i="2" s="1"/>
  <c r="AJ1030" i="2" a="1"/>
  <c r="AJ1030" i="2" s="1"/>
  <c r="AJ1031" i="2" a="1"/>
  <c r="AJ1031" i="2" s="1"/>
  <c r="AJ1032" i="2" a="1"/>
  <c r="AJ1032" i="2" s="1"/>
  <c r="AJ1033" i="2" a="1"/>
  <c r="AJ1033" i="2" s="1"/>
  <c r="AJ1034" i="2" a="1"/>
  <c r="AJ1034" i="2" s="1"/>
  <c r="AJ1035" i="2" a="1"/>
  <c r="AJ1035" i="2" s="1"/>
  <c r="AJ1036" i="2" a="1"/>
  <c r="AJ1036" i="2" s="1"/>
  <c r="AJ1037" i="2" a="1"/>
  <c r="AJ1037" i="2" s="1"/>
  <c r="AJ1038" i="2" a="1"/>
  <c r="AJ1038" i="2" s="1"/>
  <c r="AJ1039" i="2" a="1"/>
  <c r="AJ1039" i="2" s="1"/>
  <c r="AJ1040" i="2" a="1"/>
  <c r="AJ1040" i="2" s="1"/>
  <c r="AJ1041" i="2" a="1"/>
  <c r="AJ1041" i="2" s="1"/>
  <c r="AJ1042" i="2" a="1"/>
  <c r="AJ1042" i="2" s="1"/>
  <c r="AJ1043" i="2" a="1"/>
  <c r="AJ1043" i="2" s="1"/>
  <c r="AJ1044" i="2" a="1"/>
  <c r="AJ1044" i="2" s="1"/>
  <c r="AJ1045" i="2" a="1"/>
  <c r="AJ1045" i="2" s="1"/>
  <c r="AJ1046" i="2" a="1"/>
  <c r="AJ1046" i="2" s="1"/>
  <c r="AJ1047" i="2" a="1"/>
  <c r="AJ1047" i="2" s="1"/>
  <c r="AJ1048" i="2" a="1"/>
  <c r="AJ1048" i="2" s="1"/>
  <c r="AJ1049" i="2" a="1"/>
  <c r="AJ1049" i="2" s="1"/>
  <c r="AJ1050" i="2" a="1"/>
  <c r="AJ1050" i="2" s="1"/>
  <c r="AJ1051" i="2" a="1"/>
  <c r="AJ1051" i="2" s="1"/>
  <c r="AJ1052" i="2" a="1"/>
  <c r="AJ1052" i="2" s="1"/>
  <c r="AJ1053" i="2" a="1"/>
  <c r="AJ1053" i="2" s="1"/>
  <c r="AJ1054" i="2" a="1"/>
  <c r="AJ1054" i="2" s="1"/>
  <c r="AJ1055" i="2" a="1"/>
  <c r="AJ1055" i="2" s="1"/>
  <c r="AJ1056" i="2" a="1"/>
  <c r="AJ1056" i="2" s="1"/>
  <c r="AJ1057" i="2" a="1"/>
  <c r="AJ1057" i="2" s="1"/>
  <c r="AJ1058" i="2" a="1"/>
  <c r="AJ1058" i="2" s="1"/>
  <c r="AJ1059" i="2" a="1"/>
  <c r="AJ1059" i="2" s="1"/>
  <c r="AJ1060" i="2" a="1"/>
  <c r="AJ1060" i="2" s="1"/>
  <c r="AJ1061" i="2" a="1"/>
  <c r="AJ1061" i="2" s="1"/>
  <c r="AJ1062" i="2" a="1"/>
  <c r="AJ1062" i="2" s="1"/>
  <c r="AJ1063" i="2" a="1"/>
  <c r="AJ1063" i="2" s="1"/>
  <c r="AJ1064" i="2" a="1"/>
  <c r="AJ1064" i="2" s="1"/>
  <c r="AJ1065" i="2" a="1"/>
  <c r="AJ1065" i="2" s="1"/>
  <c r="AJ1066" i="2" a="1"/>
  <c r="AJ1066" i="2" s="1"/>
  <c r="AJ1067" i="2" a="1"/>
  <c r="AJ1067" i="2" s="1"/>
  <c r="AJ1068" i="2" a="1"/>
  <c r="AJ1068" i="2" s="1"/>
  <c r="AJ1069" i="2" a="1"/>
  <c r="AJ1069" i="2" s="1"/>
  <c r="AJ1070" i="2" a="1"/>
  <c r="AJ1070" i="2" s="1"/>
  <c r="AJ1071" i="2" a="1"/>
  <c r="AJ1071" i="2" s="1"/>
  <c r="AJ1072" i="2" a="1"/>
  <c r="AJ1072" i="2" s="1"/>
  <c r="AJ1073" i="2" a="1"/>
  <c r="AJ1073" i="2" s="1"/>
  <c r="AJ1074" i="2" a="1"/>
  <c r="AJ1074" i="2" s="1"/>
  <c r="AJ1075" i="2" a="1"/>
  <c r="AJ1075" i="2" s="1"/>
  <c r="AJ1076" i="2" a="1"/>
  <c r="AJ1076" i="2" s="1"/>
  <c r="AJ1077" i="2" a="1"/>
  <c r="AJ1077" i="2" s="1"/>
  <c r="AJ1078" i="2" a="1"/>
  <c r="AJ1078" i="2" s="1"/>
  <c r="AJ1079" i="2" a="1"/>
  <c r="AJ1079" i="2" s="1"/>
  <c r="AJ1080" i="2" a="1"/>
  <c r="AJ1080" i="2" s="1"/>
  <c r="AJ1081" i="2" a="1"/>
  <c r="AJ1081" i="2" s="1"/>
  <c r="AJ1082" i="2" a="1"/>
  <c r="AJ1082" i="2" s="1"/>
  <c r="AJ1083" i="2" a="1"/>
  <c r="AJ1083" i="2" s="1"/>
  <c r="AJ1084" i="2" a="1"/>
  <c r="AJ1084" i="2" s="1"/>
  <c r="AJ1085" i="2" a="1"/>
  <c r="AJ1085" i="2" s="1"/>
  <c r="AJ1086" i="2" a="1"/>
  <c r="AJ1086" i="2" s="1"/>
  <c r="AJ1087" i="2" a="1"/>
  <c r="AJ1087" i="2" s="1"/>
  <c r="AJ1088" i="2" a="1"/>
  <c r="AJ1088" i="2" s="1"/>
  <c r="AJ1089" i="2" a="1"/>
  <c r="AJ1089" i="2" s="1"/>
  <c r="AJ1090" i="2" a="1"/>
  <c r="AJ1090" i="2" s="1"/>
  <c r="AJ1091" i="2" a="1"/>
  <c r="AJ1091" i="2" s="1"/>
  <c r="AJ1092" i="2" a="1"/>
  <c r="AJ1092" i="2" s="1"/>
  <c r="AJ1093" i="2" a="1"/>
  <c r="AJ1093" i="2" s="1"/>
  <c r="AJ1094" i="2" a="1"/>
  <c r="AJ1094" i="2" s="1"/>
  <c r="AJ1095" i="2" a="1"/>
  <c r="AJ1095" i="2" s="1"/>
  <c r="AJ1096" i="2" a="1"/>
  <c r="AJ1096" i="2" s="1"/>
  <c r="AJ1097" i="2" a="1"/>
  <c r="AJ1097" i="2" s="1"/>
  <c r="AJ1098" i="2" a="1"/>
  <c r="AJ1098" i="2" s="1"/>
  <c r="AJ1099" i="2" a="1"/>
  <c r="AJ1099" i="2" s="1"/>
  <c r="AJ1100" i="2" a="1"/>
  <c r="AJ1100" i="2" s="1"/>
  <c r="AJ1101" i="2" a="1"/>
  <c r="AJ1101" i="2" s="1"/>
  <c r="AJ1102" i="2" a="1"/>
  <c r="AJ1102" i="2" s="1"/>
  <c r="AJ1103" i="2" a="1"/>
  <c r="AJ1103" i="2" s="1"/>
  <c r="AJ1104" i="2" a="1"/>
  <c r="AJ1104" i="2" s="1"/>
  <c r="AJ1105" i="2" a="1"/>
  <c r="AJ1105" i="2" s="1"/>
  <c r="AJ1106" i="2" a="1"/>
  <c r="AJ1106" i="2" s="1"/>
  <c r="AJ1107" i="2" a="1"/>
  <c r="AJ1107" i="2" s="1"/>
  <c r="AJ1108" i="2" a="1"/>
  <c r="AJ1108" i="2" s="1"/>
  <c r="AJ1109" i="2" a="1"/>
  <c r="AJ1109" i="2" s="1"/>
  <c r="AJ1110" i="2" a="1"/>
  <c r="AJ1110" i="2" s="1"/>
  <c r="AJ1111" i="2" a="1"/>
  <c r="AJ1111" i="2" s="1"/>
  <c r="AJ1112" i="2" a="1"/>
  <c r="AJ1112" i="2" s="1"/>
  <c r="AJ1113" i="2" a="1"/>
  <c r="AJ1113" i="2" s="1"/>
  <c r="AJ1114" i="2" a="1"/>
  <c r="AJ1114" i="2" s="1"/>
  <c r="AJ1115" i="2" a="1"/>
  <c r="AJ1115" i="2" s="1"/>
  <c r="AJ1116" i="2" a="1"/>
  <c r="AJ1116" i="2" s="1"/>
  <c r="AJ1117" i="2" a="1"/>
  <c r="AJ1117" i="2" s="1"/>
  <c r="AJ1118" i="2" a="1"/>
  <c r="AJ1118" i="2" s="1"/>
  <c r="AJ1119" i="2" a="1"/>
  <c r="AJ1119" i="2" s="1"/>
  <c r="AJ1120" i="2" a="1"/>
  <c r="AJ1120" i="2" s="1"/>
  <c r="AJ1121" i="2" a="1"/>
  <c r="AJ1121" i="2" s="1"/>
  <c r="AJ1122" i="2" a="1"/>
  <c r="AJ1122" i="2" s="1"/>
  <c r="AJ1123" i="2" a="1"/>
  <c r="AJ1123" i="2" s="1"/>
  <c r="AJ1124" i="2" a="1"/>
  <c r="AJ1124" i="2" s="1"/>
  <c r="AJ1125" i="2" a="1"/>
  <c r="AJ1125" i="2" s="1"/>
  <c r="AJ1126" i="2" a="1"/>
  <c r="AJ1126" i="2" s="1"/>
  <c r="AJ1127" i="2" a="1"/>
  <c r="AJ1127" i="2" s="1"/>
  <c r="AJ1128" i="2" a="1"/>
  <c r="AJ1128" i="2" s="1"/>
  <c r="AJ1129" i="2" a="1"/>
  <c r="AJ1129" i="2" s="1"/>
  <c r="AJ1130" i="2" a="1"/>
  <c r="AJ1130" i="2" s="1"/>
  <c r="AJ1131" i="2" a="1"/>
  <c r="AJ1131" i="2" s="1"/>
  <c r="AJ1132" i="2" a="1"/>
  <c r="AJ1132" i="2" s="1"/>
  <c r="AJ1133" i="2" a="1"/>
  <c r="AJ1133" i="2" s="1"/>
  <c r="AJ1134" i="2" a="1"/>
  <c r="AJ1134" i="2" s="1"/>
  <c r="AJ1135" i="2" a="1"/>
  <c r="AJ1135" i="2" s="1"/>
  <c r="AJ1136" i="2" a="1"/>
  <c r="AJ1136" i="2" s="1"/>
  <c r="AJ1137" i="2" a="1"/>
  <c r="AJ1137" i="2" s="1"/>
  <c r="AJ1138" i="2" a="1"/>
  <c r="AJ1138" i="2" s="1"/>
  <c r="AJ1139" i="2" a="1"/>
  <c r="AJ1139" i="2" s="1"/>
  <c r="AJ1140" i="2" a="1"/>
  <c r="AJ1140" i="2" s="1"/>
  <c r="AJ1141" i="2" a="1"/>
  <c r="AJ1141" i="2" s="1"/>
  <c r="AJ1142" i="2" a="1"/>
  <c r="AJ1142" i="2" s="1"/>
  <c r="AJ1143" i="2" a="1"/>
  <c r="AJ1143" i="2" s="1"/>
  <c r="AJ1144" i="2" a="1"/>
  <c r="AJ1144" i="2" s="1"/>
  <c r="AJ1145" i="2" a="1"/>
  <c r="AJ1145" i="2" s="1"/>
  <c r="AJ1146" i="2" a="1"/>
  <c r="AJ1146" i="2" s="1"/>
  <c r="AJ1147" i="2" a="1"/>
  <c r="AJ1147" i="2" s="1"/>
  <c r="AJ1148" i="2" a="1"/>
  <c r="AJ1148" i="2" s="1"/>
  <c r="AJ1149" i="2" a="1"/>
  <c r="AJ1149" i="2" s="1"/>
  <c r="AJ1150" i="2" a="1"/>
  <c r="AJ1150" i="2" s="1"/>
  <c r="AJ1151" i="2" a="1"/>
  <c r="AJ1151" i="2" s="1"/>
  <c r="AJ1152" i="2" a="1"/>
  <c r="AJ1152" i="2" s="1"/>
  <c r="AJ1153" i="2" a="1"/>
  <c r="AJ1153" i="2" s="1"/>
  <c r="AJ1154" i="2" a="1"/>
  <c r="AJ1154" i="2" s="1"/>
  <c r="AJ1155" i="2" a="1"/>
  <c r="AJ1155" i="2" s="1"/>
  <c r="AJ1156" i="2" a="1"/>
  <c r="AJ1156" i="2" s="1"/>
  <c r="AJ1157" i="2" a="1"/>
  <c r="AJ1157" i="2" s="1"/>
  <c r="AJ1158" i="2" a="1"/>
  <c r="AJ1158" i="2" s="1"/>
  <c r="AJ1159" i="2" a="1"/>
  <c r="AJ1159" i="2" s="1"/>
  <c r="AJ1160" i="2" a="1"/>
  <c r="AJ1160" i="2" s="1"/>
  <c r="AJ1161" i="2" a="1"/>
  <c r="AJ1161" i="2" s="1"/>
  <c r="AJ1162" i="2" a="1"/>
  <c r="AJ1162" i="2" s="1"/>
  <c r="AJ1163" i="2" a="1"/>
  <c r="AJ1163" i="2" s="1"/>
  <c r="AJ1164" i="2" a="1"/>
  <c r="AJ1164" i="2" s="1"/>
  <c r="AJ1165" i="2" a="1"/>
  <c r="AJ1165" i="2" s="1"/>
  <c r="AJ1166" i="2" a="1"/>
  <c r="AJ1166" i="2" s="1"/>
  <c r="AJ1167" i="2" a="1"/>
  <c r="AJ1167" i="2" s="1"/>
  <c r="AJ1168" i="2" a="1"/>
  <c r="AJ1168" i="2" s="1"/>
  <c r="AJ1169" i="2" a="1"/>
  <c r="AJ1169" i="2" s="1"/>
  <c r="AJ1170" i="2" a="1"/>
  <c r="AJ1170" i="2" s="1"/>
  <c r="AJ1171" i="2" a="1"/>
  <c r="AJ1171" i="2" s="1"/>
  <c r="AJ1172" i="2" a="1"/>
  <c r="AJ1172" i="2" s="1"/>
  <c r="AJ1173" i="2" a="1"/>
  <c r="AJ1173" i="2" s="1"/>
  <c r="AJ1174" i="2" a="1"/>
  <c r="AJ1174" i="2" s="1"/>
  <c r="AJ1175" i="2" a="1"/>
  <c r="AJ1175" i="2" s="1"/>
  <c r="AJ1176" i="2" a="1"/>
  <c r="AJ1176" i="2" s="1"/>
  <c r="AJ1177" i="2" a="1"/>
  <c r="AJ1177" i="2" s="1"/>
  <c r="AJ1178" i="2" a="1"/>
  <c r="AJ1178" i="2" s="1"/>
  <c r="AJ1179" i="2" a="1"/>
  <c r="AJ1179" i="2" s="1"/>
  <c r="AJ1180" i="2" a="1"/>
  <c r="AJ1180" i="2" s="1"/>
  <c r="AJ1181" i="2" a="1"/>
  <c r="AJ1181" i="2" s="1"/>
  <c r="AJ1182" i="2" a="1"/>
  <c r="AJ1182" i="2" s="1"/>
  <c r="AJ1183" i="2" a="1"/>
  <c r="AJ1183" i="2" s="1"/>
  <c r="AJ1184" i="2" a="1"/>
  <c r="AJ1184" i="2" s="1"/>
  <c r="AJ1185" i="2" a="1"/>
  <c r="AJ1185" i="2" s="1"/>
  <c r="AJ1186" i="2" a="1"/>
  <c r="AJ1186" i="2" s="1"/>
  <c r="AJ1187" i="2" a="1"/>
  <c r="AJ1187" i="2" s="1"/>
  <c r="AJ1188" i="2" a="1"/>
  <c r="AJ1188" i="2" s="1"/>
  <c r="AJ1189" i="2" a="1"/>
  <c r="AJ1189" i="2" s="1"/>
  <c r="AJ1190" i="2" a="1"/>
  <c r="AJ1190" i="2" s="1"/>
  <c r="AJ1191" i="2" a="1"/>
  <c r="AJ1191" i="2" s="1"/>
  <c r="AJ1192" i="2" a="1"/>
  <c r="AJ1192" i="2" s="1"/>
  <c r="AJ1193" i="2" a="1"/>
  <c r="AJ1193" i="2" s="1"/>
  <c r="AJ1194" i="2" a="1"/>
  <c r="AJ1194" i="2" s="1"/>
  <c r="AJ1195" i="2" a="1"/>
  <c r="AJ1195" i="2" s="1"/>
  <c r="AJ1196" i="2" a="1"/>
  <c r="AJ1196" i="2" s="1"/>
  <c r="AJ1197" i="2" a="1"/>
  <c r="AJ1197" i="2" s="1"/>
  <c r="AJ1198" i="2" a="1"/>
  <c r="AJ1198" i="2" s="1"/>
  <c r="AJ1199" i="2" a="1"/>
  <c r="AJ1199" i="2" s="1"/>
  <c r="AJ1200" i="2" a="1"/>
  <c r="AJ1200" i="2" s="1"/>
  <c r="AJ1201" i="2" a="1"/>
  <c r="AJ1201" i="2" s="1"/>
  <c r="AJ1202" i="2" a="1"/>
  <c r="AJ1202" i="2" s="1"/>
  <c r="AJ1203" i="2" a="1"/>
  <c r="AJ1203" i="2" s="1"/>
  <c r="AJ1204" i="2" a="1"/>
  <c r="AJ1204" i="2" s="1"/>
  <c r="AJ1205" i="2" a="1"/>
  <c r="AJ1205" i="2" s="1"/>
  <c r="AJ1206" i="2" a="1"/>
  <c r="AJ1206" i="2" s="1"/>
  <c r="AJ1207" i="2" a="1"/>
  <c r="AJ1207" i="2" s="1"/>
  <c r="AJ1208" i="2" a="1"/>
  <c r="AJ1208" i="2" s="1"/>
  <c r="AJ1209" i="2" a="1"/>
  <c r="AJ1209" i="2" s="1"/>
  <c r="AJ1210" i="2" a="1"/>
  <c r="AJ1210" i="2" s="1"/>
  <c r="AJ1211" i="2" a="1"/>
  <c r="AJ1211" i="2" s="1"/>
  <c r="AJ1212" i="2" a="1"/>
  <c r="AJ1212" i="2" s="1"/>
  <c r="AJ1213" i="2" a="1"/>
  <c r="AJ1213" i="2" s="1"/>
  <c r="AJ1214" i="2" a="1"/>
  <c r="AJ1214" i="2" s="1"/>
  <c r="AJ1215" i="2" a="1"/>
  <c r="AJ1215" i="2" s="1"/>
  <c r="AJ1216" i="2" a="1"/>
  <c r="AJ1216" i="2" s="1"/>
  <c r="AJ1217" i="2" a="1"/>
  <c r="AJ1217" i="2" s="1"/>
  <c r="AJ1218" i="2" a="1"/>
  <c r="AJ1218" i="2" s="1"/>
  <c r="AJ1219" i="2" a="1"/>
  <c r="AJ1219" i="2" s="1"/>
  <c r="AJ1220" i="2" a="1"/>
  <c r="AJ1220" i="2" s="1"/>
  <c r="AJ1221" i="2" a="1"/>
  <c r="AJ1221" i="2" s="1"/>
  <c r="AJ1222" i="2" a="1"/>
  <c r="AJ1222" i="2" s="1"/>
  <c r="AJ1223" i="2" a="1"/>
  <c r="AJ1223" i="2" s="1"/>
  <c r="AJ1224" i="2" a="1"/>
  <c r="AJ1224" i="2" s="1"/>
  <c r="AJ1225" i="2" a="1"/>
  <c r="AJ1225" i="2" s="1"/>
  <c r="AJ1226" i="2" a="1"/>
  <c r="AJ1226" i="2" s="1"/>
  <c r="AJ1227" i="2" a="1"/>
  <c r="AJ1227" i="2" s="1"/>
  <c r="AJ1228" i="2" a="1"/>
  <c r="AJ1228" i="2" s="1"/>
  <c r="AJ1229" i="2" a="1"/>
  <c r="AJ1229" i="2" s="1"/>
  <c r="AJ1230" i="2" a="1"/>
  <c r="AJ1230" i="2" s="1"/>
  <c r="AJ1231" i="2" a="1"/>
  <c r="AJ1231" i="2" s="1"/>
  <c r="AJ1232" i="2" a="1"/>
  <c r="AJ1232" i="2" s="1"/>
  <c r="AJ1233" i="2" a="1"/>
  <c r="AJ1233" i="2" s="1"/>
  <c r="AJ1234" i="2" a="1"/>
  <c r="AJ1234" i="2" s="1"/>
  <c r="AJ1235" i="2" a="1"/>
  <c r="AJ1235" i="2" s="1"/>
  <c r="AJ1236" i="2" a="1"/>
  <c r="AJ1236" i="2" s="1"/>
  <c r="AJ1237" i="2" a="1"/>
  <c r="AJ1237" i="2" s="1"/>
  <c r="AJ1238" i="2" a="1"/>
  <c r="AJ1238" i="2" s="1"/>
  <c r="AJ1239" i="2" a="1"/>
  <c r="AJ1239" i="2" s="1"/>
  <c r="AJ1240" i="2" a="1"/>
  <c r="AJ1240" i="2" s="1"/>
  <c r="AJ1241" i="2" a="1"/>
  <c r="AJ1241" i="2" s="1"/>
  <c r="AJ1242" i="2" a="1"/>
  <c r="AJ1242" i="2" s="1"/>
  <c r="AJ1243" i="2" a="1"/>
  <c r="AJ1243" i="2" s="1"/>
  <c r="AJ1244" i="2" a="1"/>
  <c r="AJ1244" i="2" s="1"/>
  <c r="AJ1245" i="2" a="1"/>
  <c r="AJ1245" i="2" s="1"/>
  <c r="AJ1246" i="2" a="1"/>
  <c r="AJ1246" i="2" s="1"/>
  <c r="AJ1247" i="2" a="1"/>
  <c r="AJ1247" i="2" s="1"/>
  <c r="AJ1248" i="2" a="1"/>
  <c r="AJ1248" i="2" s="1"/>
  <c r="AJ1249" i="2" a="1"/>
  <c r="AJ1249" i="2" s="1"/>
  <c r="AJ1250" i="2" a="1"/>
  <c r="AJ1250" i="2" s="1"/>
  <c r="AJ1251" i="2" a="1"/>
  <c r="AJ1251" i="2" s="1"/>
  <c r="AJ1252" i="2" a="1"/>
  <c r="AJ1252" i="2" s="1"/>
  <c r="AJ1253" i="2" a="1"/>
  <c r="AJ1253" i="2" s="1"/>
  <c r="AJ1254" i="2" a="1"/>
  <c r="AJ1254" i="2" s="1"/>
  <c r="AJ1255" i="2" a="1"/>
  <c r="AJ1255" i="2" s="1"/>
  <c r="AJ1256" i="2" a="1"/>
  <c r="AJ1256" i="2" s="1"/>
  <c r="AJ1257" i="2" a="1"/>
  <c r="AJ1257" i="2" s="1"/>
  <c r="AJ1258" i="2" a="1"/>
  <c r="AJ1258" i="2" s="1"/>
  <c r="AJ1259" i="2" a="1"/>
  <c r="AJ1259" i="2" s="1"/>
  <c r="AJ1260" i="2" a="1"/>
  <c r="AJ1260" i="2" s="1"/>
  <c r="AJ1261" i="2" a="1"/>
  <c r="AJ1261" i="2" s="1"/>
  <c r="AJ1262" i="2" a="1"/>
  <c r="AJ1262" i="2" s="1"/>
  <c r="AJ1263" i="2" a="1"/>
  <c r="AJ1263" i="2" s="1"/>
  <c r="AJ1264" i="2" a="1"/>
  <c r="AJ1264" i="2" s="1"/>
  <c r="AJ1265" i="2" a="1"/>
  <c r="AJ1265" i="2" s="1"/>
  <c r="AJ1266" i="2" a="1"/>
  <c r="AJ1266" i="2" s="1"/>
  <c r="AJ1267" i="2" a="1"/>
  <c r="AJ1267" i="2" s="1"/>
  <c r="AJ1268" i="2" a="1"/>
  <c r="AJ1268" i="2" s="1"/>
  <c r="AJ1269" i="2" a="1"/>
  <c r="AJ1269" i="2" s="1"/>
  <c r="AJ1270" i="2" a="1"/>
  <c r="AJ1270" i="2" s="1"/>
  <c r="AJ1271" i="2" a="1"/>
  <c r="AJ1271" i="2" s="1"/>
  <c r="AJ1272" i="2" a="1"/>
  <c r="AJ1272" i="2" s="1"/>
  <c r="AJ1273" i="2" a="1"/>
  <c r="AJ1273" i="2" s="1"/>
  <c r="AJ1274" i="2" a="1"/>
  <c r="AJ1274" i="2" s="1"/>
  <c r="AJ1275" i="2" a="1"/>
  <c r="AJ1275" i="2" s="1"/>
  <c r="AJ1276" i="2" a="1"/>
  <c r="AJ1276" i="2" s="1"/>
  <c r="AJ1277" i="2" a="1"/>
  <c r="AJ1277" i="2" s="1"/>
  <c r="AJ1278" i="2" a="1"/>
  <c r="AJ1278" i="2" s="1"/>
  <c r="AJ1279" i="2" a="1"/>
  <c r="AJ1279" i="2" s="1"/>
  <c r="AJ1280" i="2" a="1"/>
  <c r="AJ1280" i="2" s="1"/>
  <c r="AJ1281" i="2" a="1"/>
  <c r="AJ1281" i="2" s="1"/>
  <c r="AJ1282" i="2" a="1"/>
  <c r="AJ1282" i="2" s="1"/>
  <c r="AJ1283" i="2" a="1"/>
  <c r="AJ1283" i="2" s="1"/>
  <c r="AJ1284" i="2" a="1"/>
  <c r="AJ1284" i="2" s="1"/>
  <c r="AJ1285" i="2" a="1"/>
  <c r="AJ1285" i="2" s="1"/>
  <c r="AJ1286" i="2" a="1"/>
  <c r="AJ1286" i="2" s="1"/>
  <c r="AJ1287" i="2" a="1"/>
  <c r="AJ1287" i="2" s="1"/>
  <c r="AJ1288" i="2" a="1"/>
  <c r="AJ1288" i="2" s="1"/>
  <c r="AJ1289" i="2" a="1"/>
  <c r="AJ1289" i="2" s="1"/>
  <c r="AJ1290" i="2" a="1"/>
  <c r="AJ1290" i="2" s="1"/>
  <c r="AJ1291" i="2" a="1"/>
  <c r="AJ1291" i="2" s="1"/>
  <c r="AJ1292" i="2" a="1"/>
  <c r="AJ1292" i="2" s="1"/>
  <c r="AJ1293" i="2" a="1"/>
  <c r="AJ1293" i="2" s="1"/>
  <c r="AJ1294" i="2" a="1"/>
  <c r="AJ1294" i="2" s="1"/>
  <c r="AJ1295" i="2" a="1"/>
  <c r="AJ1295" i="2" s="1"/>
  <c r="AJ1296" i="2" a="1"/>
  <c r="AJ1296" i="2" s="1"/>
  <c r="AJ1297" i="2" a="1"/>
  <c r="AJ1297" i="2" s="1"/>
  <c r="AJ1298" i="2" a="1"/>
  <c r="AJ1298" i="2" s="1"/>
  <c r="AJ1299" i="2" a="1"/>
  <c r="AJ1299" i="2" s="1"/>
  <c r="AJ1300" i="2" a="1"/>
  <c r="AJ1300" i="2" s="1"/>
  <c r="AJ2" i="2" a="1"/>
  <c r="AJ2" i="2" s="1"/>
  <c r="AT28" i="2" l="1"/>
  <c r="AP29" i="2" l="1"/>
  <c r="AP41" i="2"/>
  <c r="AP30" i="2"/>
  <c r="AP42" i="2"/>
  <c r="AP31" i="2"/>
  <c r="AP43" i="2"/>
  <c r="AP32" i="2"/>
  <c r="AP44" i="2"/>
  <c r="AP33" i="2"/>
  <c r="AP45" i="2"/>
  <c r="AP34" i="2"/>
  <c r="AP46" i="2"/>
  <c r="AP35" i="2"/>
  <c r="AP47" i="2"/>
  <c r="AP36" i="2"/>
  <c r="AP48" i="2"/>
  <c r="AP51" i="2"/>
  <c r="AP37" i="2"/>
  <c r="AP49" i="2"/>
  <c r="AP39" i="2"/>
  <c r="AP38" i="2"/>
  <c r="AP50" i="2"/>
  <c r="AP40" i="2"/>
  <c r="AP28" i="2"/>
  <c r="AK1" i="2"/>
  <c r="AH2" i="2" l="1"/>
  <c r="AH3" i="2" l="1"/>
  <c r="AI2" i="2"/>
  <c r="T2" i="5"/>
  <c r="T3" i="5" s="1"/>
  <c r="T4" i="5" s="1"/>
  <c r="T5" i="5" s="1"/>
  <c r="T6" i="5" s="1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T79" i="5" s="1"/>
  <c r="T80" i="5" s="1"/>
  <c r="T81" i="5" s="1"/>
  <c r="T82" i="5" s="1"/>
  <c r="T83" i="5" s="1"/>
  <c r="T84" i="5" s="1"/>
  <c r="T85" i="5" s="1"/>
  <c r="T86" i="5" s="1"/>
  <c r="T87" i="5" s="1"/>
  <c r="T88" i="5" s="1"/>
  <c r="T89" i="5" s="1"/>
  <c r="T90" i="5" s="1"/>
  <c r="T91" i="5" s="1"/>
  <c r="T92" i="5" s="1"/>
  <c r="T93" i="5" s="1"/>
  <c r="T94" i="5" s="1"/>
  <c r="T95" i="5" s="1"/>
  <c r="T96" i="5" s="1"/>
  <c r="T97" i="5" s="1"/>
  <c r="T98" i="5" s="1"/>
  <c r="T99" i="5" s="1"/>
  <c r="T100" i="5" s="1"/>
  <c r="T101" i="5" s="1"/>
  <c r="T102" i="5" s="1"/>
  <c r="T103" i="5" s="1"/>
  <c r="T104" i="5" s="1"/>
  <c r="T105" i="5" s="1"/>
  <c r="T106" i="5" s="1"/>
  <c r="T107" i="5" s="1"/>
  <c r="T108" i="5" s="1"/>
  <c r="T109" i="5" s="1"/>
  <c r="T110" i="5" s="1"/>
  <c r="T111" i="5" s="1"/>
  <c r="T112" i="5" s="1"/>
  <c r="T113" i="5" s="1"/>
  <c r="T114" i="5" s="1"/>
  <c r="T115" i="5" s="1"/>
  <c r="T116" i="5" s="1"/>
  <c r="T117" i="5" s="1"/>
  <c r="T118" i="5" s="1"/>
  <c r="T119" i="5" s="1"/>
  <c r="T120" i="5" s="1"/>
  <c r="T121" i="5" s="1"/>
  <c r="T122" i="5" s="1"/>
  <c r="T123" i="5" s="1"/>
  <c r="T124" i="5" s="1"/>
  <c r="T125" i="5" s="1"/>
  <c r="T126" i="5" s="1"/>
  <c r="T127" i="5" s="1"/>
  <c r="T128" i="5" s="1"/>
  <c r="T129" i="5" s="1"/>
  <c r="T130" i="5" s="1"/>
  <c r="T131" i="5" s="1"/>
  <c r="T132" i="5" s="1"/>
  <c r="T133" i="5" s="1"/>
  <c r="T134" i="5" s="1"/>
  <c r="T135" i="5" s="1"/>
  <c r="T136" i="5" s="1"/>
  <c r="T137" i="5" s="1"/>
  <c r="T138" i="5" s="1"/>
  <c r="T139" i="5" s="1"/>
  <c r="T140" i="5" s="1"/>
  <c r="T141" i="5" s="1"/>
  <c r="T142" i="5" s="1"/>
  <c r="T143" i="5" s="1"/>
  <c r="T144" i="5" s="1"/>
  <c r="T145" i="5" s="1"/>
  <c r="T146" i="5" s="1"/>
  <c r="T147" i="5" s="1"/>
  <c r="T148" i="5" s="1"/>
  <c r="T149" i="5" s="1"/>
  <c r="T150" i="5" s="1"/>
  <c r="T151" i="5" s="1"/>
  <c r="T152" i="5" s="1"/>
  <c r="T153" i="5" s="1"/>
  <c r="T154" i="5" s="1"/>
  <c r="T155" i="5" s="1"/>
  <c r="T156" i="5" s="1"/>
  <c r="T157" i="5" s="1"/>
  <c r="T158" i="5" s="1"/>
  <c r="T159" i="5" s="1"/>
  <c r="T160" i="5" s="1"/>
  <c r="T161" i="5" s="1"/>
  <c r="T162" i="5" s="1"/>
  <c r="T163" i="5" s="1"/>
  <c r="T164" i="5" s="1"/>
  <c r="T165" i="5" s="1"/>
  <c r="T166" i="5" s="1"/>
  <c r="T167" i="5" s="1"/>
  <c r="T168" i="5" s="1"/>
  <c r="T169" i="5" s="1"/>
  <c r="T170" i="5" s="1"/>
  <c r="T171" i="5" s="1"/>
  <c r="T172" i="5" s="1"/>
  <c r="T173" i="5" s="1"/>
  <c r="T174" i="5" s="1"/>
  <c r="T175" i="5" s="1"/>
  <c r="T176" i="5" s="1"/>
  <c r="T177" i="5" s="1"/>
  <c r="T178" i="5" s="1"/>
  <c r="T179" i="5" s="1"/>
  <c r="T180" i="5" s="1"/>
  <c r="T181" i="5" s="1"/>
  <c r="T182" i="5" s="1"/>
  <c r="T183" i="5" s="1"/>
  <c r="T184" i="5" s="1"/>
  <c r="T185" i="5" s="1"/>
  <c r="T186" i="5" s="1"/>
  <c r="T187" i="5" s="1"/>
  <c r="T188" i="5" s="1"/>
  <c r="T189" i="5" s="1"/>
  <c r="T190" i="5" s="1"/>
  <c r="T191" i="5" s="1"/>
  <c r="T192" i="5" s="1"/>
  <c r="T193" i="5" s="1"/>
  <c r="T194" i="5" s="1"/>
  <c r="T195" i="5" s="1"/>
  <c r="T196" i="5" s="1"/>
  <c r="T197" i="5" s="1"/>
  <c r="T198" i="5" s="1"/>
  <c r="T199" i="5" s="1"/>
  <c r="T200" i="5" s="1"/>
  <c r="T201" i="5" s="1"/>
  <c r="T202" i="5" s="1"/>
  <c r="T203" i="5" s="1"/>
  <c r="T204" i="5" s="1"/>
  <c r="T205" i="5" s="1"/>
  <c r="T206" i="5" s="1"/>
  <c r="T207" i="5" s="1"/>
  <c r="T208" i="5" s="1"/>
  <c r="T209" i="5" s="1"/>
  <c r="T210" i="5" s="1"/>
  <c r="T211" i="5" s="1"/>
  <c r="T212" i="5" s="1"/>
  <c r="T213" i="5" s="1"/>
  <c r="T214" i="5" s="1"/>
  <c r="T215" i="5" s="1"/>
  <c r="T216" i="5" s="1"/>
  <c r="T217" i="5" s="1"/>
  <c r="T218" i="5" s="1"/>
  <c r="T219" i="5" s="1"/>
  <c r="T220" i="5" s="1"/>
  <c r="T221" i="5" s="1"/>
  <c r="T222" i="5" s="1"/>
  <c r="T223" i="5" s="1"/>
  <c r="T224" i="5" s="1"/>
  <c r="T225" i="5" s="1"/>
  <c r="T226" i="5" s="1"/>
  <c r="T227" i="5" s="1"/>
  <c r="T228" i="5" s="1"/>
  <c r="T229" i="5" s="1"/>
  <c r="T230" i="5" s="1"/>
  <c r="T231" i="5" s="1"/>
  <c r="T232" i="5" s="1"/>
  <c r="T233" i="5" s="1"/>
  <c r="T234" i="5" s="1"/>
  <c r="T235" i="5" s="1"/>
  <c r="T236" i="5" s="1"/>
  <c r="T237" i="5" s="1"/>
  <c r="T238" i="5" s="1"/>
  <c r="T239" i="5" s="1"/>
  <c r="T240" i="5" s="1"/>
  <c r="T241" i="5" s="1"/>
  <c r="T242" i="5" s="1"/>
  <c r="T243" i="5" s="1"/>
  <c r="T244" i="5" s="1"/>
  <c r="T245" i="5" s="1"/>
  <c r="T246" i="5" s="1"/>
  <c r="T247" i="5" s="1"/>
  <c r="T248" i="5" s="1"/>
  <c r="T249" i="5" s="1"/>
  <c r="T250" i="5" s="1"/>
  <c r="T251" i="5" s="1"/>
  <c r="T252" i="5" s="1"/>
  <c r="T253" i="5" s="1"/>
  <c r="T254" i="5" s="1"/>
  <c r="T255" i="5" s="1"/>
  <c r="T256" i="5" s="1"/>
  <c r="T257" i="5" s="1"/>
  <c r="T258" i="5" s="1"/>
  <c r="T259" i="5" s="1"/>
  <c r="T260" i="5" s="1"/>
  <c r="T261" i="5" s="1"/>
  <c r="T262" i="5" s="1"/>
  <c r="T263" i="5" s="1"/>
  <c r="T264" i="5" s="1"/>
  <c r="T265" i="5" s="1"/>
  <c r="T266" i="5" s="1"/>
  <c r="T267" i="5" s="1"/>
  <c r="T268" i="5" s="1"/>
  <c r="T269" i="5" s="1"/>
  <c r="T270" i="5" s="1"/>
  <c r="T271" i="5" s="1"/>
  <c r="T272" i="5" s="1"/>
  <c r="T273" i="5" s="1"/>
  <c r="T274" i="5" s="1"/>
  <c r="T275" i="5" s="1"/>
  <c r="T276" i="5" s="1"/>
  <c r="T277" i="5" s="1"/>
  <c r="T278" i="5" s="1"/>
  <c r="T279" i="5" s="1"/>
  <c r="T280" i="5" s="1"/>
  <c r="T281" i="5" s="1"/>
  <c r="T282" i="5" s="1"/>
  <c r="T283" i="5" s="1"/>
  <c r="T284" i="5" s="1"/>
  <c r="T285" i="5" s="1"/>
  <c r="T286" i="5" s="1"/>
  <c r="T287" i="5" s="1"/>
  <c r="T288" i="5" s="1"/>
  <c r="T289" i="5" s="1"/>
  <c r="T290" i="5" s="1"/>
  <c r="T291" i="5" s="1"/>
  <c r="T292" i="5" s="1"/>
  <c r="T293" i="5" s="1"/>
  <c r="T294" i="5" s="1"/>
  <c r="T295" i="5" s="1"/>
  <c r="T296" i="5" s="1"/>
  <c r="T297" i="5" s="1"/>
  <c r="T298" i="5" s="1"/>
  <c r="T299" i="5" s="1"/>
  <c r="T300" i="5" s="1"/>
  <c r="T301" i="5" s="1"/>
  <c r="T302" i="5" s="1"/>
  <c r="T303" i="5" s="1"/>
  <c r="T304" i="5" s="1"/>
  <c r="T305" i="5" s="1"/>
  <c r="T306" i="5" s="1"/>
  <c r="T307" i="5" s="1"/>
  <c r="T308" i="5" s="1"/>
  <c r="T309" i="5" s="1"/>
  <c r="T310" i="5" s="1"/>
  <c r="T311" i="5" s="1"/>
  <c r="T312" i="5" s="1"/>
  <c r="T313" i="5" s="1"/>
  <c r="T314" i="5" s="1"/>
  <c r="T315" i="5" s="1"/>
  <c r="T316" i="5" s="1"/>
  <c r="T317" i="5" s="1"/>
  <c r="T318" i="5" s="1"/>
  <c r="T319" i="5" s="1"/>
  <c r="T320" i="5" s="1"/>
  <c r="T321" i="5" s="1"/>
  <c r="T322" i="5" s="1"/>
  <c r="T323" i="5" s="1"/>
  <c r="T324" i="5" s="1"/>
  <c r="T325" i="5" s="1"/>
  <c r="T326" i="5" s="1"/>
  <c r="T327" i="5" s="1"/>
  <c r="T328" i="5" s="1"/>
  <c r="T329" i="5" s="1"/>
  <c r="T330" i="5" s="1"/>
  <c r="T331" i="5" s="1"/>
  <c r="T332" i="5" s="1"/>
  <c r="T333" i="5" s="1"/>
  <c r="T334" i="5" s="1"/>
  <c r="T335" i="5" s="1"/>
  <c r="T336" i="5" s="1"/>
  <c r="T337" i="5" s="1"/>
  <c r="T338" i="5" s="1"/>
  <c r="T339" i="5" s="1"/>
  <c r="T340" i="5" s="1"/>
  <c r="T341" i="5" s="1"/>
  <c r="T342" i="5" s="1"/>
  <c r="T343" i="5" s="1"/>
  <c r="T344" i="5" s="1"/>
  <c r="T345" i="5" s="1"/>
  <c r="T346" i="5" s="1"/>
  <c r="T347" i="5" s="1"/>
  <c r="T348" i="5" s="1"/>
  <c r="T349" i="5" s="1"/>
  <c r="T350" i="5" s="1"/>
  <c r="T351" i="5" s="1"/>
  <c r="T352" i="5" s="1"/>
  <c r="T353" i="5" s="1"/>
  <c r="T354" i="5" s="1"/>
  <c r="T355" i="5" s="1"/>
  <c r="T356" i="5" s="1"/>
  <c r="T357" i="5" s="1"/>
  <c r="T358" i="5" s="1"/>
  <c r="T359" i="5" s="1"/>
  <c r="T360" i="5" s="1"/>
  <c r="T361" i="5" s="1"/>
  <c r="T362" i="5" s="1"/>
  <c r="T363" i="5" s="1"/>
  <c r="T364" i="5" s="1"/>
  <c r="T365" i="5" s="1"/>
  <c r="T366" i="5" s="1"/>
  <c r="T367" i="5" s="1"/>
  <c r="T368" i="5" s="1"/>
  <c r="T369" i="5" s="1"/>
  <c r="T370" i="5" s="1"/>
  <c r="T371" i="5" s="1"/>
  <c r="T372" i="5" s="1"/>
  <c r="T373" i="5" s="1"/>
  <c r="T374" i="5" s="1"/>
  <c r="T375" i="5" s="1"/>
  <c r="T376" i="5" s="1"/>
  <c r="T377" i="5" s="1"/>
  <c r="T378" i="5" s="1"/>
  <c r="T379" i="5" s="1"/>
  <c r="T380" i="5" s="1"/>
  <c r="T381" i="5" s="1"/>
  <c r="T382" i="5" s="1"/>
  <c r="T383" i="5" s="1"/>
  <c r="T384" i="5" s="1"/>
  <c r="T385" i="5" s="1"/>
  <c r="T386" i="5" s="1"/>
  <c r="T387" i="5" s="1"/>
  <c r="T388" i="5" s="1"/>
  <c r="T389" i="5" s="1"/>
  <c r="T390" i="5" s="1"/>
  <c r="T391" i="5" s="1"/>
  <c r="T392" i="5" s="1"/>
  <c r="T393" i="5" s="1"/>
  <c r="T394" i="5" s="1"/>
  <c r="T395" i="5" s="1"/>
  <c r="T396" i="5" s="1"/>
  <c r="T397" i="5" s="1"/>
  <c r="T398" i="5" s="1"/>
  <c r="T399" i="5" s="1"/>
  <c r="T400" i="5" s="1"/>
  <c r="T401" i="5" s="1"/>
  <c r="T402" i="5" s="1"/>
  <c r="T403" i="5" s="1"/>
  <c r="T404" i="5" s="1"/>
  <c r="T405" i="5" s="1"/>
  <c r="T406" i="5" s="1"/>
  <c r="T407" i="5" s="1"/>
  <c r="T408" i="5" s="1"/>
  <c r="T409" i="5" s="1"/>
  <c r="T410" i="5" s="1"/>
  <c r="T411" i="5" s="1"/>
  <c r="T412" i="5" s="1"/>
  <c r="T413" i="5" s="1"/>
  <c r="T414" i="5" s="1"/>
  <c r="T415" i="5" s="1"/>
  <c r="T416" i="5" s="1"/>
  <c r="T417" i="5" s="1"/>
  <c r="T418" i="5" s="1"/>
  <c r="T419" i="5" s="1"/>
  <c r="T420" i="5" s="1"/>
  <c r="T421" i="5" s="1"/>
  <c r="T422" i="5" s="1"/>
  <c r="T423" i="5" s="1"/>
  <c r="T424" i="5" s="1"/>
  <c r="T425" i="5" s="1"/>
  <c r="T426" i="5" s="1"/>
  <c r="T427" i="5" s="1"/>
  <c r="T428" i="5" s="1"/>
  <c r="T429" i="5" s="1"/>
  <c r="T430" i="5" s="1"/>
  <c r="T431" i="5" s="1"/>
  <c r="T432" i="5" s="1"/>
  <c r="T433" i="5" s="1"/>
  <c r="T434" i="5" s="1"/>
  <c r="T435" i="5" s="1"/>
  <c r="T436" i="5" s="1"/>
  <c r="T437" i="5" s="1"/>
  <c r="T438" i="5" s="1"/>
  <c r="T439" i="5" s="1"/>
  <c r="T440" i="5" s="1"/>
  <c r="T441" i="5" s="1"/>
  <c r="T442" i="5" s="1"/>
  <c r="T443" i="5" s="1"/>
  <c r="T444" i="5" s="1"/>
  <c r="T445" i="5" s="1"/>
  <c r="T446" i="5" s="1"/>
  <c r="T447" i="5" s="1"/>
  <c r="T448" i="5" s="1"/>
  <c r="T449" i="5" s="1"/>
  <c r="T450" i="5" s="1"/>
  <c r="T451" i="5" s="1"/>
  <c r="T452" i="5" s="1"/>
  <c r="T453" i="5" s="1"/>
  <c r="T454" i="5" s="1"/>
  <c r="T455" i="5" s="1"/>
  <c r="T456" i="5" s="1"/>
  <c r="T457" i="5" s="1"/>
  <c r="T458" i="5" s="1"/>
  <c r="T459" i="5" s="1"/>
  <c r="T460" i="5" s="1"/>
  <c r="T461" i="5" s="1"/>
  <c r="T462" i="5" s="1"/>
  <c r="T463" i="5" s="1"/>
  <c r="T464" i="5" s="1"/>
  <c r="T465" i="5" s="1"/>
  <c r="T466" i="5" s="1"/>
  <c r="T467" i="5" s="1"/>
  <c r="T468" i="5" s="1"/>
  <c r="T469" i="5" s="1"/>
  <c r="T470" i="5" s="1"/>
  <c r="T471" i="5" s="1"/>
  <c r="T472" i="5" s="1"/>
  <c r="T473" i="5" s="1"/>
  <c r="T474" i="5" s="1"/>
  <c r="T475" i="5" s="1"/>
  <c r="T476" i="5" s="1"/>
  <c r="T477" i="5" s="1"/>
  <c r="T478" i="5" s="1"/>
  <c r="T479" i="5" s="1"/>
  <c r="T480" i="5" s="1"/>
  <c r="T481" i="5" s="1"/>
  <c r="T482" i="5" s="1"/>
  <c r="T483" i="5" s="1"/>
  <c r="T484" i="5" s="1"/>
  <c r="T485" i="5" s="1"/>
  <c r="T486" i="5" s="1"/>
  <c r="T487" i="5" s="1"/>
  <c r="T488" i="5" s="1"/>
  <c r="T489" i="5" s="1"/>
  <c r="T490" i="5" s="1"/>
  <c r="T491" i="5" s="1"/>
  <c r="T492" i="5" s="1"/>
  <c r="T493" i="5" s="1"/>
  <c r="T494" i="5" s="1"/>
  <c r="T495" i="5" s="1"/>
  <c r="T496" i="5" s="1"/>
  <c r="T497" i="5" s="1"/>
  <c r="T498" i="5" s="1"/>
  <c r="T499" i="5" s="1"/>
  <c r="T500" i="5" s="1"/>
  <c r="T501" i="5" s="1"/>
  <c r="T502" i="5" s="1"/>
  <c r="T503" i="5" s="1"/>
  <c r="T504" i="5" s="1"/>
  <c r="T505" i="5" s="1"/>
  <c r="T506" i="5" s="1"/>
  <c r="T507" i="5" s="1"/>
  <c r="T508" i="5" s="1"/>
  <c r="T509" i="5" s="1"/>
  <c r="T510" i="5" s="1"/>
  <c r="T511" i="5" s="1"/>
  <c r="T512" i="5" s="1"/>
  <c r="T513" i="5" s="1"/>
  <c r="T514" i="5" s="1"/>
  <c r="T515" i="5" s="1"/>
  <c r="T516" i="5" s="1"/>
  <c r="T517" i="5" s="1"/>
  <c r="T518" i="5" s="1"/>
  <c r="T519" i="5" s="1"/>
  <c r="T520" i="5" s="1"/>
  <c r="T521" i="5" s="1"/>
  <c r="T522" i="5" s="1"/>
  <c r="T523" i="5" s="1"/>
  <c r="T524" i="5" s="1"/>
  <c r="T525" i="5" s="1"/>
  <c r="T526" i="5" s="1"/>
  <c r="T527" i="5" s="1"/>
  <c r="T528" i="5" s="1"/>
  <c r="T529" i="5" s="1"/>
  <c r="T530" i="5" s="1"/>
  <c r="T531" i="5" s="1"/>
  <c r="T532" i="5" s="1"/>
  <c r="T533" i="5" s="1"/>
  <c r="T534" i="5" s="1"/>
  <c r="T535" i="5" s="1"/>
  <c r="T536" i="5" s="1"/>
  <c r="T537" i="5" s="1"/>
  <c r="T538" i="5" s="1"/>
  <c r="T539" i="5" s="1"/>
  <c r="T540" i="5" s="1"/>
  <c r="T541" i="5" s="1"/>
  <c r="T542" i="5" s="1"/>
  <c r="T543" i="5" s="1"/>
  <c r="T544" i="5" s="1"/>
  <c r="T545" i="5" s="1"/>
  <c r="T546" i="5" s="1"/>
  <c r="T547" i="5" s="1"/>
  <c r="T548" i="5" s="1"/>
  <c r="T549" i="5" s="1"/>
  <c r="T550" i="5" s="1"/>
  <c r="T551" i="5" s="1"/>
  <c r="T552" i="5" s="1"/>
  <c r="T553" i="5" s="1"/>
  <c r="T554" i="5" s="1"/>
  <c r="T555" i="5" s="1"/>
  <c r="T556" i="5" s="1"/>
  <c r="T557" i="5" s="1"/>
  <c r="T558" i="5" s="1"/>
  <c r="T559" i="5" s="1"/>
  <c r="T560" i="5" s="1"/>
  <c r="T561" i="5" s="1"/>
  <c r="T562" i="5" s="1"/>
  <c r="T563" i="5" s="1"/>
  <c r="T564" i="5" s="1"/>
  <c r="T565" i="5" s="1"/>
  <c r="T566" i="5" s="1"/>
  <c r="T567" i="5" s="1"/>
  <c r="T568" i="5" s="1"/>
  <c r="T569" i="5" s="1"/>
  <c r="T570" i="5" s="1"/>
  <c r="T571" i="5" s="1"/>
  <c r="T572" i="5" s="1"/>
  <c r="T573" i="5" s="1"/>
  <c r="T574" i="5" s="1"/>
  <c r="T575" i="5" s="1"/>
  <c r="T576" i="5" s="1"/>
  <c r="T577" i="5" s="1"/>
  <c r="T578" i="5" s="1"/>
  <c r="T579" i="5" s="1"/>
  <c r="T580" i="5" s="1"/>
  <c r="T581" i="5" s="1"/>
  <c r="T582" i="5" s="1"/>
  <c r="T583" i="5" s="1"/>
  <c r="T584" i="5" s="1"/>
  <c r="T585" i="5" s="1"/>
  <c r="T586" i="5" s="1"/>
  <c r="T587" i="5" s="1"/>
  <c r="T588" i="5" s="1"/>
  <c r="T589" i="5" s="1"/>
  <c r="T590" i="5" s="1"/>
  <c r="T591" i="5" s="1"/>
  <c r="T592" i="5" s="1"/>
  <c r="T593" i="5" s="1"/>
  <c r="T594" i="5" s="1"/>
  <c r="T595" i="5" s="1"/>
  <c r="T596" i="5" s="1"/>
  <c r="T597" i="5" s="1"/>
  <c r="T598" i="5" s="1"/>
  <c r="T599" i="5" s="1"/>
  <c r="T600" i="5" s="1"/>
  <c r="T601" i="5" s="1"/>
  <c r="T602" i="5" s="1"/>
  <c r="T603" i="5" s="1"/>
  <c r="T604" i="5" s="1"/>
  <c r="T605" i="5" s="1"/>
  <c r="T606" i="5" s="1"/>
  <c r="T607" i="5" s="1"/>
  <c r="T608" i="5" s="1"/>
  <c r="T609" i="5" s="1"/>
  <c r="T610" i="5" s="1"/>
  <c r="T611" i="5" s="1"/>
  <c r="T612" i="5" s="1"/>
  <c r="T613" i="5" s="1"/>
  <c r="T614" i="5" s="1"/>
  <c r="T615" i="5" s="1"/>
  <c r="T616" i="5" s="1"/>
  <c r="T617" i="5" s="1"/>
  <c r="T618" i="5" s="1"/>
  <c r="T619" i="5" s="1"/>
  <c r="T620" i="5" s="1"/>
  <c r="T621" i="5" s="1"/>
  <c r="T622" i="5" s="1"/>
  <c r="T623" i="5" s="1"/>
  <c r="T624" i="5" s="1"/>
  <c r="T625" i="5" s="1"/>
  <c r="T626" i="5" s="1"/>
  <c r="T627" i="5" s="1"/>
  <c r="T628" i="5" s="1"/>
  <c r="T629" i="5" s="1"/>
  <c r="T630" i="5" s="1"/>
  <c r="T631" i="5" s="1"/>
  <c r="T632" i="5" s="1"/>
  <c r="T633" i="5" s="1"/>
  <c r="T634" i="5" s="1"/>
  <c r="T635" i="5" s="1"/>
  <c r="T636" i="5" s="1"/>
  <c r="T637" i="5" s="1"/>
  <c r="T638" i="5" s="1"/>
  <c r="T639" i="5" s="1"/>
  <c r="T640" i="5" s="1"/>
  <c r="T641" i="5" s="1"/>
  <c r="T642" i="5" s="1"/>
  <c r="T643" i="5" s="1"/>
  <c r="T644" i="5" s="1"/>
  <c r="T645" i="5" s="1"/>
  <c r="T646" i="5" s="1"/>
  <c r="T647" i="5" s="1"/>
  <c r="T648" i="5" s="1"/>
  <c r="T649" i="5" s="1"/>
  <c r="T650" i="5" s="1"/>
  <c r="T651" i="5" s="1"/>
  <c r="T652" i="5" s="1"/>
  <c r="T653" i="5" s="1"/>
  <c r="T654" i="5" s="1"/>
  <c r="T655" i="5" s="1"/>
  <c r="T656" i="5" s="1"/>
  <c r="T657" i="5" s="1"/>
  <c r="T658" i="5" s="1"/>
  <c r="T659" i="5" s="1"/>
  <c r="T660" i="5" s="1"/>
  <c r="T661" i="5" s="1"/>
  <c r="T662" i="5" s="1"/>
  <c r="T663" i="5" s="1"/>
  <c r="T664" i="5" s="1"/>
  <c r="T665" i="5" s="1"/>
  <c r="T666" i="5" s="1"/>
  <c r="T667" i="5" s="1"/>
  <c r="T668" i="5" s="1"/>
  <c r="T669" i="5" s="1"/>
  <c r="T670" i="5" s="1"/>
  <c r="T671" i="5" s="1"/>
  <c r="T672" i="5" s="1"/>
  <c r="T673" i="5" s="1"/>
  <c r="T674" i="5" s="1"/>
  <c r="T675" i="5" s="1"/>
  <c r="T676" i="5" s="1"/>
  <c r="T677" i="5" s="1"/>
  <c r="T678" i="5" s="1"/>
  <c r="T679" i="5" s="1"/>
  <c r="T680" i="5" s="1"/>
  <c r="T681" i="5" s="1"/>
  <c r="T682" i="5" s="1"/>
  <c r="T683" i="5" s="1"/>
  <c r="T684" i="5" s="1"/>
  <c r="T685" i="5" s="1"/>
  <c r="T686" i="5" s="1"/>
  <c r="T687" i="5" s="1"/>
  <c r="T688" i="5" s="1"/>
  <c r="T689" i="5" s="1"/>
  <c r="T690" i="5" s="1"/>
  <c r="T691" i="5" s="1"/>
  <c r="T692" i="5" s="1"/>
  <c r="T693" i="5" s="1"/>
  <c r="T694" i="5" s="1"/>
  <c r="T695" i="5" s="1"/>
  <c r="T696" i="5" s="1"/>
  <c r="T697" i="5" s="1"/>
  <c r="T698" i="5" s="1"/>
  <c r="T699" i="5" s="1"/>
  <c r="T700" i="5" s="1"/>
  <c r="T701" i="5" s="1"/>
  <c r="T702" i="5" s="1"/>
  <c r="T703" i="5" s="1"/>
  <c r="T704" i="5" s="1"/>
  <c r="T705" i="5" s="1"/>
  <c r="T706" i="5" s="1"/>
  <c r="T707" i="5" s="1"/>
  <c r="T708" i="5" s="1"/>
  <c r="T709" i="5" s="1"/>
  <c r="T710" i="5" s="1"/>
  <c r="T711" i="5" s="1"/>
  <c r="T712" i="5" s="1"/>
  <c r="T713" i="5" s="1"/>
  <c r="T714" i="5" s="1"/>
  <c r="T715" i="5" s="1"/>
  <c r="T716" i="5" s="1"/>
  <c r="T717" i="5" s="1"/>
  <c r="T718" i="5" s="1"/>
  <c r="T719" i="5" s="1"/>
  <c r="T720" i="5" s="1"/>
  <c r="T721" i="5" s="1"/>
  <c r="T722" i="5" s="1"/>
  <c r="T723" i="5" s="1"/>
  <c r="T724" i="5" s="1"/>
  <c r="T725" i="5" s="1"/>
  <c r="T726" i="5" s="1"/>
  <c r="T727" i="5" s="1"/>
  <c r="T728" i="5" s="1"/>
  <c r="T729" i="5" s="1"/>
  <c r="T730" i="5" s="1"/>
  <c r="T731" i="5" s="1"/>
  <c r="T732" i="5" s="1"/>
  <c r="T733" i="5" s="1"/>
  <c r="T734" i="5" s="1"/>
  <c r="T735" i="5" s="1"/>
  <c r="T736" i="5" s="1"/>
  <c r="T737" i="5" s="1"/>
  <c r="T738" i="5" s="1"/>
  <c r="T739" i="5" s="1"/>
  <c r="T740" i="5" s="1"/>
  <c r="T741" i="5" s="1"/>
  <c r="T742" i="5" s="1"/>
  <c r="T743" i="5" s="1"/>
  <c r="T744" i="5" s="1"/>
  <c r="T745" i="5" s="1"/>
  <c r="T746" i="5" s="1"/>
  <c r="T747" i="5" s="1"/>
  <c r="T748" i="5" s="1"/>
  <c r="T749" i="5" s="1"/>
  <c r="T750" i="5" s="1"/>
  <c r="T751" i="5" s="1"/>
  <c r="T752" i="5" s="1"/>
  <c r="T753" i="5" s="1"/>
  <c r="T754" i="5" s="1"/>
  <c r="T755" i="5" s="1"/>
  <c r="T756" i="5" s="1"/>
  <c r="T757" i="5" s="1"/>
  <c r="T758" i="5" s="1"/>
  <c r="T759" i="5" s="1"/>
  <c r="T760" i="5" s="1"/>
  <c r="T761" i="5" s="1"/>
  <c r="T762" i="5" s="1"/>
  <c r="T763" i="5" s="1"/>
  <c r="T764" i="5" s="1"/>
  <c r="T765" i="5" s="1"/>
  <c r="T766" i="5" s="1"/>
  <c r="T767" i="5" s="1"/>
  <c r="T768" i="5" s="1"/>
  <c r="T769" i="5" s="1"/>
  <c r="T770" i="5" s="1"/>
  <c r="T771" i="5" s="1"/>
  <c r="T772" i="5" s="1"/>
  <c r="T773" i="5" s="1"/>
  <c r="T774" i="5" s="1"/>
  <c r="T775" i="5" s="1"/>
  <c r="T776" i="5" s="1"/>
  <c r="T777" i="5" s="1"/>
  <c r="T778" i="5" s="1"/>
  <c r="T779" i="5" s="1"/>
  <c r="T780" i="5" s="1"/>
  <c r="T781" i="5" s="1"/>
  <c r="T782" i="5" s="1"/>
  <c r="T783" i="5" s="1"/>
  <c r="T784" i="5" s="1"/>
  <c r="T785" i="5" s="1"/>
  <c r="T786" i="5" s="1"/>
  <c r="T787" i="5" s="1"/>
  <c r="T788" i="5" s="1"/>
  <c r="T789" i="5" s="1"/>
  <c r="T790" i="5" s="1"/>
  <c r="T791" i="5" s="1"/>
  <c r="T792" i="5" s="1"/>
  <c r="T793" i="5" s="1"/>
  <c r="T794" i="5" s="1"/>
  <c r="T795" i="5" s="1"/>
  <c r="T796" i="5" s="1"/>
  <c r="T797" i="5" s="1"/>
  <c r="T798" i="5" s="1"/>
  <c r="T799" i="5" s="1"/>
  <c r="T800" i="5" s="1"/>
  <c r="T801" i="5" s="1"/>
  <c r="T802" i="5" s="1"/>
  <c r="T803" i="5" s="1"/>
  <c r="T804" i="5" s="1"/>
  <c r="T805" i="5" s="1"/>
  <c r="T806" i="5" s="1"/>
  <c r="T807" i="5" s="1"/>
  <c r="T808" i="5" s="1"/>
  <c r="T809" i="5" s="1"/>
  <c r="T810" i="5" s="1"/>
  <c r="T811" i="5" s="1"/>
  <c r="T812" i="5" s="1"/>
  <c r="T813" i="5" s="1"/>
  <c r="T814" i="5" s="1"/>
  <c r="T815" i="5" s="1"/>
  <c r="T816" i="5" s="1"/>
  <c r="T817" i="5" s="1"/>
  <c r="T818" i="5" s="1"/>
  <c r="T819" i="5" s="1"/>
  <c r="T820" i="5" s="1"/>
  <c r="T821" i="5" s="1"/>
  <c r="T822" i="5" s="1"/>
  <c r="T823" i="5" s="1"/>
  <c r="T824" i="5" s="1"/>
  <c r="T825" i="5" s="1"/>
  <c r="T826" i="5" s="1"/>
  <c r="T827" i="5" s="1"/>
  <c r="T828" i="5" s="1"/>
  <c r="T829" i="5" s="1"/>
  <c r="T830" i="5" s="1"/>
  <c r="T831" i="5" s="1"/>
  <c r="T832" i="5" s="1"/>
  <c r="T833" i="5" s="1"/>
  <c r="T834" i="5" s="1"/>
  <c r="T835" i="5" s="1"/>
  <c r="T836" i="5" s="1"/>
  <c r="T837" i="5" s="1"/>
  <c r="T838" i="5" s="1"/>
  <c r="T839" i="5" s="1"/>
  <c r="T840" i="5" s="1"/>
  <c r="T841" i="5" s="1"/>
  <c r="T842" i="5" s="1"/>
  <c r="T843" i="5" s="1"/>
  <c r="T844" i="5" s="1"/>
  <c r="T845" i="5" s="1"/>
  <c r="T846" i="5" s="1"/>
  <c r="T847" i="5" s="1"/>
  <c r="T848" i="5" s="1"/>
  <c r="T849" i="5" s="1"/>
  <c r="T850" i="5" s="1"/>
  <c r="T851" i="5" s="1"/>
  <c r="T852" i="5" s="1"/>
  <c r="T853" i="5" s="1"/>
  <c r="T854" i="5" s="1"/>
  <c r="T855" i="5" s="1"/>
  <c r="T856" i="5" s="1"/>
  <c r="T857" i="5" s="1"/>
  <c r="T858" i="5" s="1"/>
  <c r="T859" i="5" s="1"/>
  <c r="T860" i="5" s="1"/>
  <c r="T861" i="5" s="1"/>
  <c r="T862" i="5" s="1"/>
  <c r="T863" i="5" s="1"/>
  <c r="T864" i="5" s="1"/>
  <c r="T865" i="5" s="1"/>
  <c r="T866" i="5" s="1"/>
  <c r="T867" i="5" s="1"/>
  <c r="T868" i="5" s="1"/>
  <c r="T869" i="5" s="1"/>
  <c r="T870" i="5" s="1"/>
  <c r="T871" i="5" s="1"/>
  <c r="T872" i="5" s="1"/>
  <c r="T873" i="5" s="1"/>
  <c r="T874" i="5" s="1"/>
  <c r="T875" i="5" s="1"/>
  <c r="T876" i="5" s="1"/>
  <c r="T877" i="5" s="1"/>
  <c r="T878" i="5" s="1"/>
  <c r="T879" i="5" s="1"/>
  <c r="T880" i="5" s="1"/>
  <c r="T881" i="5" s="1"/>
  <c r="T882" i="5" s="1"/>
  <c r="T883" i="5" s="1"/>
  <c r="T884" i="5" s="1"/>
  <c r="T885" i="5" s="1"/>
  <c r="T886" i="5" s="1"/>
  <c r="T887" i="5" s="1"/>
  <c r="T888" i="5" s="1"/>
  <c r="T889" i="5" s="1"/>
  <c r="T890" i="5" s="1"/>
  <c r="T891" i="5" s="1"/>
  <c r="T892" i="5" s="1"/>
  <c r="T893" i="5" s="1"/>
  <c r="T894" i="5" s="1"/>
  <c r="T895" i="5" s="1"/>
  <c r="T896" i="5" s="1"/>
  <c r="T897" i="5" s="1"/>
  <c r="T898" i="5" s="1"/>
  <c r="T899" i="5" s="1"/>
  <c r="T900" i="5" s="1"/>
  <c r="T901" i="5" s="1"/>
  <c r="T902" i="5" s="1"/>
  <c r="T903" i="5" s="1"/>
  <c r="T904" i="5" s="1"/>
  <c r="T905" i="5" s="1"/>
  <c r="T906" i="5" s="1"/>
  <c r="T907" i="5" s="1"/>
  <c r="T908" i="5" s="1"/>
  <c r="T909" i="5" s="1"/>
  <c r="T910" i="5" s="1"/>
  <c r="T911" i="5" s="1"/>
  <c r="T912" i="5" s="1"/>
  <c r="T913" i="5" s="1"/>
  <c r="T914" i="5" s="1"/>
  <c r="T915" i="5" s="1"/>
  <c r="T916" i="5" s="1"/>
  <c r="T917" i="5" s="1"/>
  <c r="T918" i="5" s="1"/>
  <c r="T919" i="5" s="1"/>
  <c r="T920" i="5" s="1"/>
  <c r="T921" i="5" s="1"/>
  <c r="T922" i="5" s="1"/>
  <c r="T923" i="5" s="1"/>
  <c r="T924" i="5" s="1"/>
  <c r="T925" i="5" s="1"/>
  <c r="T926" i="5" s="1"/>
  <c r="T927" i="5" s="1"/>
  <c r="T928" i="5" s="1"/>
  <c r="T929" i="5" s="1"/>
  <c r="T930" i="5" s="1"/>
  <c r="T931" i="5" s="1"/>
  <c r="T932" i="5" s="1"/>
  <c r="T933" i="5" s="1"/>
  <c r="T934" i="5" s="1"/>
  <c r="T935" i="5" s="1"/>
  <c r="T936" i="5" s="1"/>
  <c r="T937" i="5" s="1"/>
  <c r="T938" i="5" s="1"/>
  <c r="T939" i="5" s="1"/>
  <c r="T940" i="5" s="1"/>
  <c r="T941" i="5" s="1"/>
  <c r="T942" i="5" s="1"/>
  <c r="T943" i="5" s="1"/>
  <c r="T944" i="5" s="1"/>
  <c r="T945" i="5" s="1"/>
  <c r="T946" i="5" s="1"/>
  <c r="T947" i="5" s="1"/>
  <c r="T948" i="5" s="1"/>
  <c r="T949" i="5" s="1"/>
  <c r="T950" i="5" s="1"/>
  <c r="T951" i="5" s="1"/>
  <c r="T952" i="5" s="1"/>
  <c r="T953" i="5" s="1"/>
  <c r="T954" i="5" s="1"/>
  <c r="T955" i="5" s="1"/>
  <c r="T956" i="5" s="1"/>
  <c r="T957" i="5" s="1"/>
  <c r="T958" i="5" s="1"/>
  <c r="T959" i="5" s="1"/>
  <c r="T960" i="5" s="1"/>
  <c r="T961" i="5" s="1"/>
  <c r="T962" i="5" s="1"/>
  <c r="T963" i="5" s="1"/>
  <c r="T964" i="5" s="1"/>
  <c r="T965" i="5" s="1"/>
  <c r="T966" i="5" s="1"/>
  <c r="T967" i="5" s="1"/>
  <c r="T968" i="5" s="1"/>
  <c r="T969" i="5" s="1"/>
  <c r="T970" i="5" s="1"/>
  <c r="T971" i="5" s="1"/>
  <c r="T972" i="5" s="1"/>
  <c r="T973" i="5" s="1"/>
  <c r="T974" i="5" s="1"/>
  <c r="T975" i="5" s="1"/>
  <c r="T976" i="5" s="1"/>
  <c r="T977" i="5" s="1"/>
  <c r="T978" i="5" s="1"/>
  <c r="T979" i="5" s="1"/>
  <c r="T980" i="5" s="1"/>
  <c r="T981" i="5" s="1"/>
  <c r="T982" i="5" s="1"/>
  <c r="T983" i="5" s="1"/>
  <c r="T984" i="5" s="1"/>
  <c r="T985" i="5" s="1"/>
  <c r="T986" i="5" s="1"/>
  <c r="T987" i="5" s="1"/>
  <c r="T988" i="5" s="1"/>
  <c r="T989" i="5" s="1"/>
  <c r="T990" i="5" s="1"/>
  <c r="T991" i="5" s="1"/>
  <c r="T992" i="5" s="1"/>
  <c r="T993" i="5" s="1"/>
  <c r="T994" i="5" s="1"/>
  <c r="T995" i="5" s="1"/>
  <c r="T996" i="5" s="1"/>
  <c r="T997" i="5" s="1"/>
  <c r="T998" i="5" s="1"/>
  <c r="T999" i="5" s="1"/>
  <c r="T1000" i="5" s="1"/>
  <c r="T1001" i="5" s="1"/>
  <c r="T1002" i="5" s="1"/>
  <c r="T1003" i="5" s="1"/>
  <c r="T1004" i="5" s="1"/>
  <c r="T1005" i="5" s="1"/>
  <c r="T1006" i="5" s="1"/>
  <c r="T1007" i="5" s="1"/>
  <c r="T1008" i="5" s="1"/>
  <c r="T1009" i="5" s="1"/>
  <c r="H819" i="6"/>
  <c r="H1748" i="6"/>
  <c r="H1833" i="6"/>
  <c r="H994" i="6"/>
  <c r="H1439" i="6"/>
  <c r="H452" i="6"/>
  <c r="H969" i="6"/>
  <c r="H1198" i="6"/>
  <c r="H692" i="6"/>
  <c r="H2098" i="6"/>
  <c r="H2185" i="6"/>
  <c r="H2019" i="6"/>
  <c r="H888" i="6"/>
  <c r="H2213" i="6"/>
  <c r="H2536" i="6"/>
  <c r="H2108" i="6"/>
  <c r="H2601" i="6"/>
  <c r="H2399" i="6"/>
  <c r="H492" i="6"/>
  <c r="H2406" i="6"/>
  <c r="H2154" i="6"/>
  <c r="H1015" i="6"/>
  <c r="H2343" i="6"/>
  <c r="H2279" i="6"/>
  <c r="H1625" i="6"/>
  <c r="H879" i="6"/>
  <c r="H2319" i="6"/>
  <c r="H920" i="6"/>
  <c r="H2380" i="6"/>
  <c r="H973" i="6"/>
  <c r="H1739" i="6"/>
  <c r="H750" i="6"/>
  <c r="H2316" i="6"/>
  <c r="H664" i="6"/>
  <c r="H653" i="6"/>
  <c r="H434" i="6"/>
  <c r="H2555" i="6"/>
  <c r="H2458" i="6"/>
  <c r="H1818" i="6"/>
  <c r="H1151" i="6"/>
  <c r="H2315" i="6"/>
  <c r="H2030" i="6"/>
  <c r="H481" i="6"/>
  <c r="H2051" i="6"/>
  <c r="H1653" i="6"/>
  <c r="H2306" i="6"/>
  <c r="H2151" i="6"/>
  <c r="H1036" i="6"/>
  <c r="H2165" i="6"/>
  <c r="H1686" i="6"/>
  <c r="H2413" i="6"/>
  <c r="H2218" i="6"/>
  <c r="H1775" i="6"/>
  <c r="H749" i="6"/>
  <c r="H1897" i="6"/>
  <c r="H1741" i="6"/>
  <c r="H2568" i="6"/>
  <c r="H3335" i="6"/>
  <c r="H417" i="6"/>
  <c r="H2593" i="6"/>
  <c r="H435" i="6"/>
  <c r="H1627" i="6"/>
  <c r="H756" i="6"/>
  <c r="H411" i="6"/>
  <c r="H1031" i="6"/>
  <c r="H385" i="6"/>
  <c r="H1273" i="6"/>
  <c r="H2553" i="6"/>
  <c r="H2274" i="6"/>
  <c r="H423" i="6"/>
  <c r="H2150" i="6"/>
  <c r="H437" i="6"/>
  <c r="H2485" i="6"/>
  <c r="H545" i="6"/>
  <c r="H1572" i="6"/>
  <c r="H2954" i="6"/>
  <c r="H416" i="6"/>
  <c r="H2564" i="6"/>
  <c r="H748" i="6"/>
  <c r="H429" i="6"/>
  <c r="H2252" i="6"/>
  <c r="H2597" i="6"/>
  <c r="H445" i="6"/>
  <c r="H2391" i="6"/>
  <c r="H747" i="6"/>
  <c r="H2591" i="6"/>
  <c r="H2539" i="6"/>
  <c r="H2183" i="6"/>
  <c r="H1779" i="6"/>
  <c r="H553" i="6"/>
  <c r="H433" i="6"/>
  <c r="H2571" i="6"/>
  <c r="H746" i="6"/>
  <c r="H2350" i="6"/>
  <c r="H975" i="6"/>
  <c r="H2223" i="6"/>
  <c r="H968" i="6"/>
  <c r="H1918" i="6"/>
  <c r="H486" i="6"/>
  <c r="H1009" i="6"/>
  <c r="H2096" i="6"/>
  <c r="H418" i="6"/>
  <c r="H1865" i="6"/>
  <c r="H2573" i="6"/>
  <c r="H422" i="6"/>
  <c r="H426" i="6"/>
  <c r="H1132" i="6"/>
  <c r="H1926" i="6"/>
  <c r="H1951" i="6"/>
  <c r="H149" i="6"/>
  <c r="H556" i="6"/>
  <c r="H2125" i="6"/>
  <c r="H745" i="6"/>
  <c r="H432" i="6"/>
  <c r="H430" i="6"/>
  <c r="H1479" i="6"/>
  <c r="H1430" i="6"/>
  <c r="H440" i="6"/>
  <c r="H2567" i="6"/>
  <c r="H436" i="6"/>
  <c r="H3374" i="6"/>
  <c r="H1377" i="6"/>
  <c r="H554" i="6"/>
  <c r="H439" i="6"/>
  <c r="H1956" i="6"/>
  <c r="H2532" i="6"/>
  <c r="H2529" i="6"/>
  <c r="H1856" i="6"/>
  <c r="H2407" i="6"/>
  <c r="H1706" i="6"/>
  <c r="H2531" i="6"/>
  <c r="H2320" i="6"/>
  <c r="H1033" i="6"/>
  <c r="H591" i="6"/>
  <c r="H786" i="6"/>
  <c r="H472" i="6"/>
  <c r="H2137" i="6"/>
  <c r="H495" i="6"/>
  <c r="H96" i="6"/>
  <c r="H1221" i="6"/>
  <c r="H693" i="6"/>
  <c r="H1046" i="6"/>
  <c r="H2333" i="6"/>
  <c r="H1475" i="6"/>
  <c r="H2282" i="6"/>
  <c r="H612" i="6"/>
  <c r="H2035" i="6"/>
  <c r="H1835" i="6"/>
  <c r="H471" i="6"/>
  <c r="H2390" i="6"/>
  <c r="H2382" i="6"/>
  <c r="H1395" i="6"/>
  <c r="H1420" i="6"/>
  <c r="H846" i="6"/>
  <c r="H884" i="6"/>
  <c r="H2463" i="6"/>
  <c r="H795" i="6"/>
  <c r="H2501" i="6"/>
  <c r="H2269" i="6"/>
  <c r="H1214" i="6"/>
  <c r="H843" i="6"/>
  <c r="H558" i="6"/>
  <c r="H2342" i="6"/>
  <c r="H651" i="6"/>
  <c r="H572" i="6"/>
  <c r="H451" i="6"/>
  <c r="H2204" i="6"/>
  <c r="H2517" i="6"/>
  <c r="H2233" i="6"/>
  <c r="H2105" i="6"/>
  <c r="H1971" i="6"/>
  <c r="H744" i="6"/>
  <c r="H1820" i="6"/>
  <c r="H1027" i="6"/>
  <c r="H526" i="6"/>
  <c r="H520" i="6"/>
  <c r="H2200" i="6"/>
  <c r="H1766" i="6"/>
  <c r="H832" i="6"/>
  <c r="H2548" i="6"/>
  <c r="H760" i="6"/>
  <c r="H614" i="6"/>
  <c r="H2341" i="6"/>
  <c r="H779" i="6"/>
  <c r="H1631" i="6"/>
  <c r="H2103" i="6"/>
  <c r="H2500" i="6"/>
  <c r="H2070" i="6"/>
  <c r="H813" i="6"/>
  <c r="H1336" i="6"/>
  <c r="H1597" i="6"/>
  <c r="H1493" i="6"/>
  <c r="H1410" i="6"/>
  <c r="H415" i="6"/>
  <c r="H500" i="6"/>
  <c r="H2251" i="6"/>
  <c r="H3496" i="6"/>
  <c r="H3585" i="6"/>
  <c r="H339" i="6"/>
  <c r="H1638" i="6"/>
  <c r="H2409" i="6"/>
  <c r="H3439" i="6"/>
  <c r="H562" i="6"/>
  <c r="H972" i="6"/>
  <c r="H2359" i="6"/>
  <c r="H1433" i="6"/>
  <c r="H530" i="6"/>
  <c r="H414" i="6"/>
  <c r="H2560" i="6"/>
  <c r="H2588" i="6"/>
  <c r="H2504" i="6"/>
  <c r="H2464" i="6"/>
  <c r="H2449" i="6"/>
  <c r="H1905" i="6"/>
  <c r="H1004" i="6"/>
  <c r="H1847" i="6"/>
  <c r="H1441" i="6"/>
  <c r="H1499" i="6"/>
  <c r="H2254" i="6"/>
  <c r="H915" i="6"/>
  <c r="H505" i="6"/>
  <c r="H2489" i="6"/>
  <c r="H953" i="6"/>
  <c r="H2114" i="6"/>
  <c r="H1480" i="6"/>
  <c r="H2345" i="6"/>
  <c r="H1218" i="6"/>
  <c r="H1836" i="6"/>
  <c r="H2572" i="6"/>
  <c r="H1386" i="6"/>
  <c r="H1768" i="6"/>
  <c r="H1478" i="6"/>
  <c r="H111" i="6"/>
  <c r="H1473" i="6"/>
  <c r="H515" i="6"/>
  <c r="H1353" i="6"/>
  <c r="H1409" i="6"/>
  <c r="H808" i="6"/>
  <c r="H431" i="6"/>
  <c r="H2097" i="6"/>
  <c r="H2554" i="6"/>
  <c r="H2598" i="6"/>
  <c r="H2563" i="6"/>
  <c r="H1917" i="6"/>
  <c r="H1778" i="6"/>
  <c r="H2420" i="6"/>
  <c r="H2389" i="6"/>
  <c r="H1523" i="6"/>
  <c r="H781" i="6"/>
  <c r="H1944" i="6"/>
  <c r="H2459" i="6"/>
  <c r="H1471" i="6"/>
  <c r="H2596" i="6"/>
  <c r="H35" i="6"/>
  <c r="H1514" i="6"/>
  <c r="H1644" i="6"/>
  <c r="H1507" i="6"/>
  <c r="H2093" i="6"/>
  <c r="H1209" i="6"/>
  <c r="H51" i="6"/>
  <c r="H1450" i="6"/>
  <c r="H1712" i="6"/>
  <c r="H1600" i="6"/>
  <c r="H1575" i="6"/>
  <c r="H1806" i="6"/>
  <c r="H834" i="6"/>
  <c r="H2140" i="6"/>
  <c r="H815" i="6"/>
  <c r="H671" i="6"/>
  <c r="H759" i="6"/>
  <c r="H2167" i="6"/>
  <c r="H631" i="6"/>
  <c r="H2433" i="6"/>
  <c r="H2535" i="6"/>
  <c r="H549" i="6"/>
  <c r="H578" i="6"/>
  <c r="H1165" i="6"/>
  <c r="H2139" i="6"/>
  <c r="H2268" i="6"/>
  <c r="H1338" i="6"/>
  <c r="H2215" i="6"/>
  <c r="H1400" i="6"/>
  <c r="H881" i="6"/>
  <c r="H2298" i="6"/>
  <c r="H1556" i="6"/>
  <c r="H2397" i="6"/>
  <c r="H1326" i="6"/>
  <c r="H2205" i="6"/>
  <c r="H2322" i="6"/>
  <c r="H1495" i="6"/>
  <c r="H645" i="6"/>
  <c r="H1049" i="6"/>
  <c r="H444" i="6"/>
  <c r="H1932" i="6"/>
  <c r="H2585" i="6"/>
  <c r="H878" i="6"/>
  <c r="H647" i="6"/>
  <c r="H424" i="6"/>
  <c r="H2186" i="6"/>
  <c r="H1404" i="6"/>
  <c r="H1537" i="6"/>
  <c r="H2006" i="6"/>
  <c r="H1481" i="6"/>
  <c r="H1658" i="6"/>
  <c r="H2310" i="6"/>
  <c r="H981" i="6"/>
  <c r="H980" i="6"/>
  <c r="H2002" i="6"/>
  <c r="H455" i="6"/>
  <c r="H801" i="6"/>
  <c r="H2587" i="6"/>
  <c r="H1731" i="6"/>
  <c r="H1578" i="6"/>
  <c r="H586" i="6"/>
  <c r="H1732" i="6"/>
  <c r="H1591" i="6"/>
  <c r="H2065" i="6"/>
  <c r="H2149" i="6"/>
  <c r="H1786" i="6"/>
  <c r="H2600" i="6"/>
  <c r="H2084" i="6"/>
  <c r="H1250" i="6"/>
  <c r="H790" i="6"/>
  <c r="H1040" i="6"/>
  <c r="H2451" i="6"/>
  <c r="H2392" i="6"/>
  <c r="H2209" i="6"/>
  <c r="H1635" i="6"/>
  <c r="H1669" i="6"/>
  <c r="H2294" i="6"/>
  <c r="H2542" i="6"/>
  <c r="H2595" i="6"/>
  <c r="H2307" i="6"/>
  <c r="H1954" i="6"/>
  <c r="H428" i="6"/>
  <c r="H1337" i="6"/>
  <c r="H2457" i="6"/>
  <c r="H2240" i="6"/>
  <c r="H1122" i="6"/>
  <c r="H860" i="6"/>
  <c r="H923" i="6"/>
  <c r="H1738" i="6"/>
  <c r="H1012" i="6"/>
  <c r="H2225" i="6"/>
  <c r="H1772" i="6"/>
  <c r="H1527" i="6"/>
  <c r="H2100" i="6"/>
  <c r="H644" i="6"/>
  <c r="H2334" i="6"/>
  <c r="H805" i="6"/>
  <c r="H854" i="6"/>
  <c r="H2425" i="6"/>
  <c r="H542" i="6"/>
  <c r="H1923" i="6"/>
  <c r="H1431" i="6"/>
  <c r="H1459" i="6"/>
  <c r="H1758" i="6"/>
  <c r="H2386" i="6"/>
  <c r="H817" i="6"/>
  <c r="H1002" i="6"/>
  <c r="H535" i="6"/>
  <c r="H743" i="6"/>
  <c r="H2323" i="6"/>
  <c r="H410" i="6"/>
  <c r="H1140" i="6"/>
  <c r="H1950" i="6"/>
  <c r="H641" i="6"/>
  <c r="H1429" i="6"/>
  <c r="H2365" i="6"/>
  <c r="H1955" i="6"/>
  <c r="H1150" i="6"/>
  <c r="H467" i="6"/>
  <c r="H569" i="6"/>
  <c r="H2475" i="6"/>
  <c r="H608" i="6"/>
  <c r="H853" i="6"/>
  <c r="H690" i="6"/>
  <c r="H678" i="6"/>
  <c r="H1065" i="6"/>
  <c r="H1871" i="6"/>
  <c r="H1139" i="6"/>
  <c r="H1679" i="6"/>
  <c r="H2522" i="6"/>
  <c r="H2512" i="6"/>
  <c r="H1466" i="6"/>
  <c r="H1291" i="6"/>
  <c r="H1144" i="6"/>
  <c r="H413" i="6"/>
  <c r="H1685" i="6"/>
  <c r="H1418" i="6"/>
  <c r="H1314" i="6"/>
  <c r="H1268" i="6"/>
  <c r="H2435" i="6"/>
  <c r="H841" i="6"/>
  <c r="H2049" i="6"/>
  <c r="H1911" i="6"/>
  <c r="H935" i="6"/>
  <c r="H2263" i="6"/>
  <c r="H1468" i="6"/>
  <c r="H1347" i="6"/>
  <c r="H1603" i="6"/>
  <c r="H1545" i="6"/>
  <c r="H2339" i="6"/>
  <c r="H1286" i="6"/>
  <c r="H1531" i="6"/>
  <c r="H2047" i="6"/>
  <c r="H2256" i="6"/>
  <c r="H763" i="6"/>
  <c r="H1345" i="6"/>
  <c r="H1953" i="6"/>
  <c r="H1981" i="6"/>
  <c r="H1390" i="6"/>
  <c r="H686" i="6"/>
  <c r="H2583" i="6"/>
  <c r="H961" i="6"/>
  <c r="H595" i="6"/>
  <c r="H2094" i="6"/>
  <c r="H1220" i="6"/>
  <c r="H772" i="6"/>
  <c r="H2113" i="6"/>
  <c r="H978" i="6"/>
  <c r="H2278" i="6"/>
  <c r="H1561" i="6"/>
  <c r="H1777" i="6"/>
  <c r="H1700" i="6"/>
  <c r="H2109" i="6"/>
  <c r="H2092" i="6"/>
  <c r="H742" i="6"/>
  <c r="H579" i="6"/>
  <c r="H2102" i="6"/>
  <c r="H1894" i="6"/>
  <c r="H1868" i="6"/>
  <c r="H484" i="6"/>
  <c r="H863" i="6"/>
  <c r="H2144" i="6"/>
  <c r="H840" i="6"/>
  <c r="H936" i="6"/>
  <c r="H610" i="6"/>
  <c r="H609" i="6"/>
  <c r="H2579" i="6"/>
  <c r="H1256" i="6"/>
  <c r="H1774" i="6"/>
  <c r="H2578" i="6"/>
  <c r="H2089" i="6"/>
  <c r="H3447" i="6"/>
  <c r="H1149" i="6"/>
  <c r="H1415" i="6"/>
  <c r="H2082" i="6"/>
  <c r="H1346" i="6"/>
  <c r="H2034" i="6"/>
  <c r="H1589" i="6"/>
  <c r="H897" i="6"/>
  <c r="H1372" i="6"/>
  <c r="H1814" i="6"/>
  <c r="H2499" i="6"/>
  <c r="H1281" i="6"/>
  <c r="H741" i="6"/>
  <c r="H1850" i="6"/>
  <c r="H1232" i="6"/>
  <c r="H2602" i="6"/>
  <c r="H1989" i="6"/>
  <c r="H580" i="6"/>
  <c r="H2521" i="6"/>
  <c r="H1177" i="6"/>
  <c r="H2332" i="6"/>
  <c r="H1797" i="6"/>
  <c r="H2347" i="6"/>
  <c r="H597" i="6"/>
  <c r="H2287" i="6"/>
  <c r="H67" i="6"/>
  <c r="H1990" i="6"/>
  <c r="H1819" i="6"/>
  <c r="H1300" i="6"/>
  <c r="H1398" i="6"/>
  <c r="H646" i="6"/>
  <c r="H1413" i="6"/>
  <c r="H1388" i="6"/>
  <c r="H1357" i="6"/>
  <c r="H2038" i="6"/>
  <c r="H1642" i="6"/>
  <c r="H1515" i="6"/>
  <c r="H2228" i="6"/>
  <c r="H1452" i="6"/>
  <c r="H2148" i="6"/>
  <c r="H1160" i="6"/>
  <c r="H2311" i="6"/>
  <c r="H584" i="6"/>
  <c r="H2486" i="6"/>
  <c r="H740" i="6"/>
  <c r="H1419" i="6"/>
  <c r="H862" i="6"/>
  <c r="H534" i="6"/>
  <c r="H1827" i="6"/>
  <c r="H1530" i="6"/>
  <c r="H1895" i="6"/>
  <c r="H908" i="6"/>
  <c r="H1153" i="6"/>
  <c r="H712" i="6"/>
  <c r="H2356" i="6"/>
  <c r="H2131" i="6"/>
  <c r="H2050" i="6"/>
  <c r="H1169" i="6"/>
  <c r="H1752" i="6"/>
  <c r="H2212" i="6"/>
  <c r="H1922" i="6"/>
  <c r="H1385" i="6"/>
  <c r="H1078" i="6"/>
  <c r="H2245" i="6"/>
  <c r="H2029" i="6"/>
  <c r="H668" i="6"/>
  <c r="H798" i="6"/>
  <c r="H2337" i="6"/>
  <c r="H679" i="6"/>
  <c r="H633" i="6"/>
  <c r="H1558" i="6"/>
  <c r="H1519" i="6"/>
  <c r="H1427" i="6"/>
  <c r="H1391" i="6"/>
  <c r="H1436" i="6"/>
  <c r="H1594" i="6"/>
  <c r="H1352" i="6"/>
  <c r="H1634" i="6"/>
  <c r="H1520" i="6"/>
  <c r="H1906" i="6"/>
  <c r="H914" i="6"/>
  <c r="H46" i="6"/>
  <c r="H1401" i="6"/>
  <c r="H470" i="6"/>
  <c r="H2523" i="6"/>
  <c r="H2565" i="6"/>
  <c r="H2429" i="6"/>
  <c r="H1946" i="6"/>
  <c r="H893" i="6"/>
  <c r="H2549" i="6"/>
  <c r="H1366" i="6"/>
  <c r="H2226" i="6"/>
  <c r="H1798" i="6"/>
  <c r="H828" i="6"/>
  <c r="H3549" i="6"/>
  <c r="H3551" i="6"/>
  <c r="H3556" i="6"/>
  <c r="H3558" i="6"/>
  <c r="H3548" i="6"/>
  <c r="H3546" i="6"/>
  <c r="H3550" i="6"/>
  <c r="H3553" i="6"/>
  <c r="H3552" i="6"/>
  <c r="H3545" i="6"/>
  <c r="H3544" i="6"/>
  <c r="H3536" i="6"/>
  <c r="H3547" i="6"/>
  <c r="H3543" i="6"/>
  <c r="H2239" i="6"/>
  <c r="H1235" i="6"/>
  <c r="H1180" i="6"/>
  <c r="H2913" i="6"/>
  <c r="H1491" i="6"/>
  <c r="H1648" i="6"/>
  <c r="H2080" i="6"/>
  <c r="H906" i="6"/>
  <c r="H1240" i="6"/>
  <c r="H1771" i="6"/>
  <c r="H2199" i="6"/>
  <c r="H802" i="6"/>
  <c r="H2414" i="6"/>
  <c r="H575" i="6"/>
  <c r="H1147" i="6"/>
  <c r="H1876" i="6"/>
  <c r="H1672" i="6"/>
  <c r="H2402" i="6"/>
  <c r="H1103" i="6"/>
  <c r="H1863" i="6"/>
  <c r="H1567" i="6"/>
  <c r="H1465" i="6"/>
  <c r="H1621" i="6"/>
  <c r="H1462" i="6"/>
  <c r="H1484" i="6"/>
  <c r="H1715" i="6"/>
  <c r="H1622" i="6"/>
  <c r="H1417" i="6"/>
  <c r="H1283" i="6"/>
  <c r="H1555" i="6"/>
  <c r="H82" i="6"/>
  <c r="H1533" i="6"/>
  <c r="H2206" i="6"/>
  <c r="H1869" i="6"/>
  <c r="H1375" i="6"/>
  <c r="H1453" i="6"/>
  <c r="H1722" i="6"/>
  <c r="H533" i="6"/>
  <c r="H1094" i="6"/>
  <c r="H1730" i="6"/>
  <c r="H1207" i="6"/>
  <c r="H999" i="6"/>
  <c r="H949" i="6"/>
  <c r="H1717" i="6"/>
  <c r="H1483" i="6"/>
  <c r="H1574" i="6"/>
  <c r="H2077" i="6"/>
  <c r="H1397" i="6"/>
  <c r="H1549" i="6"/>
  <c r="H1587" i="6"/>
  <c r="H1249" i="6"/>
  <c r="H1728" i="6"/>
  <c r="H66" i="6"/>
  <c r="H2173" i="6"/>
  <c r="H894" i="6"/>
  <c r="H1042" i="6"/>
  <c r="H675" i="6"/>
  <c r="H702" i="6"/>
  <c r="H1000" i="6"/>
  <c r="H739" i="6"/>
  <c r="H1446" i="6"/>
  <c r="H1513" i="6"/>
  <c r="H659" i="6"/>
  <c r="H1988" i="6"/>
  <c r="H628" i="6"/>
  <c r="H2295" i="6"/>
  <c r="H1910" i="6"/>
  <c r="H905" i="6"/>
  <c r="H1934" i="6"/>
  <c r="H1670" i="6"/>
  <c r="H871" i="6"/>
  <c r="H1602" i="6"/>
  <c r="H1426" i="6"/>
  <c r="H2095" i="6"/>
  <c r="H970" i="6"/>
  <c r="H2331" i="6"/>
  <c r="H619" i="6"/>
  <c r="H704" i="6"/>
  <c r="H466" i="6"/>
  <c r="H2270" i="6"/>
  <c r="H479" i="6"/>
  <c r="H462" i="6"/>
  <c r="H1494" i="6"/>
  <c r="H2503" i="6"/>
  <c r="H3040" i="6"/>
  <c r="H1528" i="6"/>
  <c r="H1435" i="6"/>
  <c r="H1676" i="6"/>
  <c r="H1376" i="6"/>
  <c r="H475" i="6"/>
  <c r="H1403" i="6"/>
  <c r="H684" i="6"/>
  <c r="H1661" i="6"/>
  <c r="H1017" i="6"/>
  <c r="H976" i="6"/>
  <c r="H681" i="6"/>
  <c r="H1966" i="6"/>
  <c r="H2253" i="6"/>
  <c r="H1983" i="6"/>
  <c r="H2273" i="6"/>
  <c r="H2230" i="6"/>
  <c r="H463" i="6"/>
  <c r="H157" i="6"/>
  <c r="H33" i="6"/>
  <c r="H649" i="6"/>
  <c r="H2385" i="6"/>
  <c r="H1188" i="6"/>
  <c r="H1577" i="6"/>
  <c r="H602" i="6"/>
  <c r="H2438" i="6"/>
  <c r="H1030" i="6"/>
  <c r="H2441" i="6"/>
  <c r="H1782" i="6"/>
  <c r="H1822" i="6"/>
  <c r="H1762" i="6"/>
  <c r="H1170" i="6"/>
  <c r="H1760" i="6"/>
  <c r="H1529" i="6"/>
  <c r="H2242" i="6"/>
  <c r="H872" i="6"/>
  <c r="H2324" i="6"/>
  <c r="H494" i="6"/>
  <c r="H2197" i="6"/>
  <c r="H2241" i="6"/>
  <c r="H1604" i="6"/>
  <c r="H1086" i="6"/>
  <c r="H2493" i="6"/>
  <c r="H2147" i="6"/>
  <c r="H1191" i="6"/>
  <c r="H2064" i="6"/>
  <c r="H1855" i="6"/>
  <c r="H667" i="6"/>
  <c r="H1984" i="6"/>
  <c r="H1192" i="6"/>
  <c r="H1931" i="6"/>
  <c r="H966" i="6"/>
  <c r="H1405" i="6"/>
  <c r="H1217" i="6"/>
  <c r="H1947" i="6"/>
  <c r="H1958" i="6"/>
  <c r="H1662" i="6"/>
  <c r="H928" i="6"/>
  <c r="H559" i="6"/>
  <c r="H510" i="6"/>
  <c r="H3290" i="6"/>
  <c r="H1851" i="6"/>
  <c r="H589" i="6"/>
  <c r="H1339" i="6"/>
  <c r="H696" i="6"/>
  <c r="H1737" i="6"/>
  <c r="H1503" i="6"/>
  <c r="H1432" i="6"/>
  <c r="H1136" i="6"/>
  <c r="H2480" i="6"/>
  <c r="H617" i="6"/>
  <c r="H2547" i="6"/>
  <c r="H583" i="6"/>
  <c r="H1163" i="6"/>
  <c r="H1445" i="6"/>
  <c r="H2969" i="6"/>
  <c r="H1264" i="6"/>
  <c r="H799" i="6"/>
  <c r="H738" i="6"/>
  <c r="H2379" i="6"/>
  <c r="H648" i="6"/>
  <c r="H108" i="6"/>
  <c r="H1407" i="6"/>
  <c r="H1219" i="6"/>
  <c r="H1812" i="6"/>
  <c r="H1374" i="6"/>
  <c r="H1542" i="6"/>
  <c r="H1967" i="6"/>
  <c r="H2490" i="6"/>
  <c r="H1369" i="6"/>
  <c r="H2524" i="6"/>
  <c r="H84" i="6"/>
  <c r="H2182" i="6"/>
  <c r="H1428" i="6"/>
  <c r="H1560" i="6"/>
  <c r="H1146" i="6"/>
  <c r="H1571" i="6"/>
  <c r="H1568" i="6"/>
  <c r="H1225" i="6"/>
  <c r="H2405" i="6"/>
  <c r="H123" i="6"/>
  <c r="H1881" i="6"/>
  <c r="H1769" i="6"/>
  <c r="H1538" i="6"/>
  <c r="H1423" i="6"/>
  <c r="H1664" i="6"/>
  <c r="H1547" i="6"/>
  <c r="H2509" i="6"/>
  <c r="H1454" i="6"/>
  <c r="H2423" i="6"/>
  <c r="H1181" i="6"/>
  <c r="H2031" i="6"/>
  <c r="H1380" i="6"/>
  <c r="H1196" i="6"/>
  <c r="H1701" i="6"/>
  <c r="H1330" i="6"/>
  <c r="H1492" i="6"/>
  <c r="H1628" i="6"/>
  <c r="H1505" i="6"/>
  <c r="H2914" i="6"/>
  <c r="H2886" i="6"/>
  <c r="H2494" i="6"/>
  <c r="H537" i="6"/>
  <c r="H1853" i="6"/>
  <c r="H23" i="6"/>
  <c r="H2377" i="6"/>
  <c r="H2091" i="6"/>
  <c r="H2394" i="6"/>
  <c r="H624" i="6"/>
  <c r="H1364" i="6"/>
  <c r="H1511" i="6"/>
  <c r="H2430" i="6"/>
  <c r="H886" i="6"/>
  <c r="H1003" i="6"/>
  <c r="H1162" i="6"/>
  <c r="H1649" i="6"/>
  <c r="H1705" i="6"/>
  <c r="H1629" i="6"/>
  <c r="H1325" i="6"/>
  <c r="H1808" i="6"/>
  <c r="H1994" i="6"/>
  <c r="H2081" i="6"/>
  <c r="H1588" i="6"/>
  <c r="H469" i="6"/>
  <c r="H1498" i="6"/>
  <c r="H1363" i="6"/>
  <c r="H1317" i="6"/>
  <c r="H2208" i="6"/>
  <c r="H699" i="6"/>
  <c r="H762" i="6"/>
  <c r="H1176" i="6"/>
  <c r="H776" i="6"/>
  <c r="H1920" i="6"/>
  <c r="H2516" i="6"/>
  <c r="H473" i="6"/>
  <c r="H1134" i="6"/>
  <c r="H1842" i="6"/>
  <c r="H1535" i="6"/>
  <c r="H707" i="6"/>
  <c r="H2939" i="6"/>
  <c r="H2396" i="6"/>
  <c r="H1402" i="6"/>
  <c r="H3030" i="6"/>
  <c r="H1570" i="6"/>
  <c r="H1038" i="6"/>
  <c r="H1361" i="6"/>
  <c r="H1517" i="6"/>
  <c r="H1053" i="6"/>
  <c r="H1138" i="6"/>
  <c r="H1696" i="6"/>
  <c r="H2292" i="6"/>
  <c r="H866" i="6"/>
  <c r="H2088" i="6"/>
  <c r="H1857" i="6"/>
  <c r="H2314" i="6"/>
  <c r="H880" i="6"/>
  <c r="H2181" i="6"/>
  <c r="H899" i="6"/>
  <c r="H788" i="6"/>
  <c r="H2371" i="6"/>
  <c r="H2318" i="6"/>
  <c r="H1875" i="6"/>
  <c r="H1092" i="6"/>
  <c r="H1443" i="6"/>
  <c r="H1231" i="6"/>
  <c r="H1340" i="6"/>
  <c r="H1389" i="6"/>
  <c r="H2008" i="6"/>
  <c r="H1422" i="6"/>
  <c r="H1562" i="6"/>
  <c r="H1371" i="6"/>
  <c r="H2013" i="6"/>
  <c r="H1805" i="6"/>
  <c r="H1540" i="6"/>
  <c r="H656" i="6"/>
  <c r="H703" i="6"/>
  <c r="H2411" i="6"/>
  <c r="H767" i="6"/>
  <c r="H657" i="6"/>
  <c r="H1174" i="6"/>
  <c r="H2460" i="6"/>
  <c r="H1608" i="6"/>
  <c r="H1485" i="6"/>
  <c r="H2247" i="6"/>
  <c r="H2369" i="6"/>
  <c r="H1882" i="6"/>
  <c r="H1690" i="6"/>
  <c r="H2349" i="6"/>
  <c r="H2360" i="6"/>
  <c r="H1179" i="6"/>
  <c r="H1367" i="6"/>
  <c r="H1243" i="6"/>
  <c r="H1694" i="6"/>
  <c r="H1552" i="6"/>
  <c r="H1610" i="6"/>
  <c r="H2158" i="6"/>
  <c r="H2468" i="6"/>
  <c r="H2171" i="6"/>
  <c r="H541" i="6"/>
  <c r="H1166" i="6"/>
  <c r="H507" i="6"/>
  <c r="H1206" i="6"/>
  <c r="H837" i="6"/>
  <c r="H1230" i="6"/>
  <c r="H2552" i="6"/>
  <c r="H1579" i="6"/>
  <c r="H1548" i="6"/>
  <c r="H2421" i="6"/>
  <c r="H596" i="6"/>
  <c r="H688" i="6"/>
  <c r="H565" i="6"/>
  <c r="H594" i="6"/>
  <c r="H2248" i="6"/>
  <c r="H1239" i="6"/>
  <c r="H2482" i="6"/>
  <c r="H1270" i="6"/>
  <c r="H2300" i="6"/>
  <c r="H2301" i="6"/>
  <c r="H1299" i="6"/>
  <c r="H2238" i="6"/>
  <c r="H2249" i="6"/>
  <c r="H672" i="6"/>
  <c r="H1585" i="6"/>
  <c r="H2469" i="6"/>
  <c r="H2211" i="6"/>
  <c r="H1675" i="6"/>
  <c r="H1262" i="6"/>
  <c r="H2329" i="6"/>
  <c r="H622" i="6"/>
  <c r="H1982" i="6"/>
  <c r="H1525" i="6"/>
  <c r="H988" i="6"/>
  <c r="H1650" i="6"/>
  <c r="H1014" i="6"/>
  <c r="H91" i="6"/>
  <c r="H1275" i="6"/>
  <c r="H509" i="6"/>
  <c r="H2448" i="6"/>
  <c r="H1795" i="6"/>
  <c r="H2237" i="6"/>
  <c r="H865" i="6"/>
  <c r="H947" i="6"/>
  <c r="H68" i="6"/>
  <c r="H618" i="6"/>
  <c r="H2456" i="6"/>
  <c r="H1692" i="6"/>
  <c r="H1155" i="6"/>
  <c r="H685" i="6"/>
  <c r="H751" i="6"/>
  <c r="H687" i="6"/>
  <c r="H689" i="6"/>
  <c r="H532" i="6"/>
  <c r="H757" i="6"/>
  <c r="H660" i="6"/>
  <c r="H836" i="6"/>
  <c r="H665" i="6"/>
  <c r="H1236" i="6"/>
  <c r="H2442" i="6"/>
  <c r="H2437" i="6"/>
  <c r="H2424" i="6"/>
  <c r="H951" i="6"/>
  <c r="H2079" i="6"/>
  <c r="H1224" i="6"/>
  <c r="H778" i="6"/>
  <c r="H1874" i="6"/>
  <c r="H673" i="6"/>
  <c r="H1279" i="6"/>
  <c r="H2335" i="6"/>
  <c r="H1839" i="6"/>
  <c r="H1368" i="6"/>
  <c r="H1310" i="6"/>
  <c r="H1564" i="6"/>
  <c r="H1974" i="6"/>
  <c r="H870" i="6"/>
  <c r="H1486" i="6"/>
  <c r="H1021" i="6"/>
  <c r="H3082" i="6"/>
  <c r="H592" i="6"/>
  <c r="H2317" i="6"/>
  <c r="H94" i="6"/>
  <c r="H636" i="6"/>
  <c r="H2302" i="6"/>
  <c r="H1502" i="6"/>
  <c r="H821" i="6"/>
  <c r="H1412" i="6"/>
  <c r="H2566" i="6"/>
  <c r="H784" i="6"/>
  <c r="H952" i="6"/>
  <c r="H1550" i="6"/>
  <c r="H2346" i="6"/>
  <c r="H918" i="6"/>
  <c r="H1526" i="6"/>
  <c r="H2284" i="6"/>
  <c r="H2290" i="6"/>
  <c r="H1599" i="6"/>
  <c r="H755" i="6"/>
  <c r="H1630" i="6"/>
  <c r="H3235" i="6"/>
  <c r="H1606" i="6"/>
  <c r="H3230" i="6"/>
  <c r="H1254" i="6"/>
  <c r="H1348" i="6"/>
  <c r="H2452" i="6"/>
  <c r="H1841" i="6"/>
  <c r="H2073" i="6"/>
  <c r="H2222" i="6"/>
  <c r="H2022" i="6"/>
  <c r="H983" i="6"/>
  <c r="H2415" i="6"/>
  <c r="H2361" i="6"/>
  <c r="H1595" i="6"/>
  <c r="H489" i="6"/>
  <c r="H1234" i="6"/>
  <c r="H113" i="6"/>
  <c r="H1355" i="6"/>
  <c r="H2033" i="6"/>
  <c r="H931" i="6"/>
  <c r="H2296" i="6"/>
  <c r="H1584" i="6"/>
  <c r="H2378" i="6"/>
  <c r="H691" i="6"/>
  <c r="H2576" i="6"/>
  <c r="H2217" i="6"/>
  <c r="H1501" i="6"/>
  <c r="H2196" i="6"/>
  <c r="H737" i="6"/>
  <c r="H1693" i="6"/>
  <c r="H2465" i="6"/>
  <c r="H1359" i="6"/>
  <c r="H1100" i="6"/>
  <c r="H1032" i="6"/>
  <c r="H1962" i="6"/>
  <c r="H960" i="6"/>
  <c r="H1968" i="6"/>
  <c r="H585" i="6"/>
  <c r="H87" i="6"/>
  <c r="H2210" i="6"/>
  <c r="H3446" i="6"/>
  <c r="H1534" i="6"/>
  <c r="H1154" i="6"/>
  <c r="H984" i="6"/>
  <c r="H695" i="6"/>
  <c r="H2395" i="6"/>
  <c r="H661" i="6"/>
  <c r="H1915" i="6"/>
  <c r="H867" i="6"/>
  <c r="H705" i="6"/>
  <c r="H1079" i="6"/>
  <c r="H2366" i="6"/>
  <c r="H736" i="6"/>
  <c r="H833" i="6"/>
  <c r="H654" i="6"/>
  <c r="H2879" i="6"/>
  <c r="H1469" i="6"/>
  <c r="H3130" i="6"/>
  <c r="H3096" i="6"/>
  <c r="H3103" i="6"/>
  <c r="H3100" i="6"/>
  <c r="H3131" i="6"/>
  <c r="H1708" i="6"/>
  <c r="H1607" i="6"/>
  <c r="H1472" i="6"/>
  <c r="H17" i="6"/>
  <c r="H769" i="6"/>
  <c r="H2447" i="6"/>
  <c r="H2163" i="6"/>
  <c r="H606" i="6"/>
  <c r="H1605" i="6"/>
  <c r="H1854" i="6"/>
  <c r="H3134" i="6"/>
  <c r="H1311" i="6"/>
  <c r="H1565" i="6"/>
  <c r="H1448" i="6"/>
  <c r="H1451" i="6"/>
  <c r="H1141" i="6"/>
  <c r="H1828" i="6"/>
  <c r="H3133" i="6"/>
  <c r="H1039" i="6"/>
  <c r="H3135" i="6"/>
  <c r="H1444" i="6"/>
  <c r="H1271" i="6"/>
  <c r="H548" i="6"/>
  <c r="H1848" i="6"/>
  <c r="H2041" i="6"/>
  <c r="H1613" i="6"/>
  <c r="H1460" i="6"/>
  <c r="H1551" i="6"/>
  <c r="H1811" i="6"/>
  <c r="H1127" i="6"/>
  <c r="H1691" i="6"/>
  <c r="H1184" i="6"/>
  <c r="H1304" i="6"/>
  <c r="H1636" i="6"/>
  <c r="H1084" i="6"/>
  <c r="H1673" i="6"/>
  <c r="H1321" i="6"/>
  <c r="H909" i="6"/>
  <c r="H1006" i="6"/>
  <c r="H1076" i="6"/>
  <c r="H1456" i="6"/>
  <c r="H2905" i="6"/>
  <c r="H2890" i="6"/>
  <c r="H2901" i="6"/>
  <c r="H2897" i="6"/>
  <c r="H2899" i="6"/>
  <c r="H942" i="6"/>
  <c r="H1288" i="6"/>
  <c r="H2281" i="6"/>
  <c r="H804" i="6"/>
  <c r="H680" i="6"/>
  <c r="H1066" i="6"/>
  <c r="H106" i="6"/>
  <c r="H98" i="6"/>
  <c r="H64" i="6"/>
  <c r="H1949" i="6"/>
  <c r="H735" i="6"/>
  <c r="H521" i="6"/>
  <c r="H3091" i="6"/>
  <c r="H1996" i="6"/>
  <c r="H663" i="6"/>
  <c r="H2353" i="6"/>
  <c r="H2104" i="6"/>
  <c r="H100" i="6"/>
  <c r="H1308" i="6"/>
  <c r="H1611" i="6"/>
  <c r="H3006" i="6"/>
  <c r="H1512" i="6"/>
  <c r="H2544" i="6"/>
  <c r="H971" i="6"/>
  <c r="H2510" i="6"/>
  <c r="H527" i="6"/>
  <c r="H516" i="6"/>
  <c r="H2071" i="6"/>
  <c r="H1365" i="6"/>
  <c r="H1142" i="6"/>
  <c r="H2926" i="6"/>
  <c r="H3122" i="6"/>
  <c r="H3717" i="6"/>
  <c r="H2590" i="6"/>
  <c r="H3112" i="6"/>
  <c r="H3097" i="6"/>
  <c r="H3704" i="6"/>
  <c r="H3102" i="6"/>
  <c r="H1081" i="6"/>
  <c r="H3782" i="6"/>
  <c r="H1724" i="6"/>
  <c r="H1416" i="6"/>
  <c r="H1957" i="6"/>
  <c r="H907" i="6"/>
  <c r="H1619" i="6"/>
  <c r="H2259" i="6"/>
  <c r="H1019" i="6"/>
  <c r="H1392" i="6"/>
  <c r="H1930" i="6"/>
  <c r="H588" i="6"/>
  <c r="H2558" i="6"/>
  <c r="H623" i="6"/>
  <c r="H1803" i="6"/>
  <c r="H615" i="6"/>
  <c r="H104" i="6"/>
  <c r="H43" i="6"/>
  <c r="H1581" i="6"/>
  <c r="H2191" i="6"/>
  <c r="H929" i="6"/>
  <c r="H2491" i="6"/>
  <c r="H655" i="6"/>
  <c r="H1159" i="6"/>
  <c r="H621" i="6"/>
  <c r="H711" i="6"/>
  <c r="H3120" i="6"/>
  <c r="H3718" i="6"/>
  <c r="H2224" i="6"/>
  <c r="H1245" i="6"/>
  <c r="H2336" i="6"/>
  <c r="H2078" i="6"/>
  <c r="H1757" i="6"/>
  <c r="H2055" i="6"/>
  <c r="H1640" i="6"/>
  <c r="H1773" i="6"/>
  <c r="H990" i="6"/>
  <c r="H1278" i="6"/>
  <c r="H483" i="6"/>
  <c r="H2541" i="6"/>
  <c r="H1941" i="6"/>
  <c r="H793" i="6"/>
  <c r="H1121" i="6"/>
  <c r="H1872" i="6"/>
  <c r="H1043" i="6"/>
  <c r="H1711" i="6"/>
  <c r="H550" i="6"/>
  <c r="H2966" i="6"/>
  <c r="H3194" i="6"/>
  <c r="H3334" i="6"/>
  <c r="H2348" i="6"/>
  <c r="H453" i="6"/>
  <c r="H144" i="6"/>
  <c r="H3369" i="6"/>
  <c r="H2201" i="6"/>
  <c r="H734" i="6"/>
  <c r="H2180" i="6"/>
  <c r="H2291" i="6"/>
  <c r="H519" i="6"/>
  <c r="H1026" i="6"/>
  <c r="H1755" i="6"/>
  <c r="H733" i="6"/>
  <c r="H2203" i="6"/>
  <c r="H3575" i="6"/>
  <c r="H1028" i="6"/>
  <c r="H2255" i="6"/>
  <c r="H852" i="6"/>
  <c r="H948" i="6"/>
  <c r="H1161" i="6"/>
  <c r="H524" i="6"/>
  <c r="H1316" i="6"/>
  <c r="H1303" i="6"/>
  <c r="H1178" i="6"/>
  <c r="H1296" i="6"/>
  <c r="H616" i="6"/>
  <c r="H1924" i="6"/>
  <c r="H912" i="6"/>
  <c r="H1025" i="6"/>
  <c r="H859" i="6"/>
  <c r="H1111" i="6"/>
  <c r="H1306" i="6"/>
  <c r="H1544" i="6"/>
  <c r="H1729" i="6"/>
  <c r="H2997" i="6"/>
  <c r="H2540" i="6"/>
  <c r="H450" i="6"/>
  <c r="H2344" i="6"/>
  <c r="H1212" i="6"/>
  <c r="H1735" i="6"/>
  <c r="H115" i="6"/>
  <c r="H574" i="6"/>
  <c r="H797" i="6"/>
  <c r="H1509" i="6"/>
  <c r="H1781" i="6"/>
  <c r="H916" i="6"/>
  <c r="H1553" i="6"/>
  <c r="H732" i="6"/>
  <c r="H2408" i="6"/>
  <c r="H1384" i="6"/>
  <c r="H1477" i="6"/>
  <c r="H2875" i="6"/>
  <c r="H625" i="6"/>
  <c r="H2330" i="6"/>
  <c r="H37" i="6"/>
  <c r="H1723" i="6"/>
  <c r="H1099" i="6"/>
  <c r="H2869" i="6"/>
  <c r="H334" i="6"/>
  <c r="H1302" i="6"/>
  <c r="H626" i="6"/>
  <c r="H2426" i="6"/>
  <c r="H2141" i="6"/>
  <c r="H731" i="6"/>
  <c r="H1938" i="6"/>
  <c r="H3136" i="6"/>
  <c r="H2508" i="6"/>
  <c r="H1447" i="6"/>
  <c r="H38" i="6"/>
  <c r="H773" i="6"/>
  <c r="H4026" i="6"/>
  <c r="H1455" i="6"/>
  <c r="H1787" i="6"/>
  <c r="H1269" i="6"/>
  <c r="H147" i="6"/>
  <c r="H1518" i="6"/>
  <c r="H1434" i="6"/>
  <c r="H1573" i="6"/>
  <c r="H1684" i="6"/>
  <c r="H555" i="6"/>
  <c r="H1360" i="6"/>
  <c r="H1829" i="6"/>
  <c r="H2052" i="6"/>
  <c r="H2507" i="6"/>
  <c r="H787" i="6"/>
  <c r="H2101" i="6"/>
  <c r="H730" i="6"/>
  <c r="H1681" i="6"/>
  <c r="H1899" i="6"/>
  <c r="H1061" i="6"/>
  <c r="H1489" i="6"/>
  <c r="H1689" i="6"/>
  <c r="H1815" i="6"/>
  <c r="H1487" i="6"/>
  <c r="H381" i="6"/>
  <c r="H1157" i="6"/>
  <c r="H3067" i="6"/>
  <c r="H2016" i="6"/>
  <c r="H1927" i="6"/>
  <c r="H1424" i="6"/>
  <c r="H956" i="6"/>
  <c r="H1891" i="6"/>
  <c r="H729" i="6"/>
  <c r="H2518" i="6"/>
  <c r="H1936" i="6"/>
  <c r="H2176" i="6"/>
  <c r="H856" i="6"/>
  <c r="H1312" i="6"/>
  <c r="H2057" i="6"/>
  <c r="H1208" i="6"/>
  <c r="H1414" i="6"/>
  <c r="H421" i="6"/>
  <c r="H1506" i="6"/>
  <c r="H1510" i="6"/>
  <c r="H1289" i="6"/>
  <c r="H1655" i="6"/>
  <c r="H954" i="6"/>
  <c r="H2436" i="6"/>
  <c r="H1935" i="6"/>
  <c r="H1713" i="6"/>
  <c r="H3606" i="6"/>
  <c r="H3464" i="6"/>
  <c r="H1698" i="6"/>
  <c r="H2083" i="6"/>
  <c r="H576" i="6"/>
  <c r="H848" i="6"/>
  <c r="H604" i="6"/>
  <c r="H1826" i="6"/>
  <c r="H2903" i="6"/>
  <c r="H1973" i="6"/>
  <c r="H503" i="6"/>
  <c r="H2412" i="6"/>
  <c r="H22" i="6"/>
  <c r="H1277" i="6"/>
  <c r="H1912" i="6"/>
  <c r="H2170" i="6"/>
  <c r="H2085" i="6"/>
  <c r="H2526" i="6"/>
  <c r="H1186" i="6"/>
  <c r="H1909" i="6"/>
  <c r="H1652" i="6"/>
  <c r="H133" i="6"/>
  <c r="H2545" i="6"/>
  <c r="H2878" i="6"/>
  <c r="H1508" i="6"/>
  <c r="H2272" i="6"/>
  <c r="H460" i="6"/>
  <c r="H3174" i="6"/>
  <c r="H2161" i="6"/>
  <c r="H1908" i="6"/>
  <c r="H1295" i="6"/>
  <c r="H16" i="6"/>
  <c r="H2388" i="6"/>
  <c r="H728" i="6"/>
  <c r="H409" i="6"/>
  <c r="H789" i="6"/>
  <c r="H577" i="6"/>
  <c r="H1614" i="6"/>
  <c r="H1586" i="6"/>
  <c r="H1102" i="6"/>
  <c r="H2471" i="6"/>
  <c r="H2258" i="6"/>
  <c r="H1618" i="6"/>
  <c r="H2502" i="6"/>
  <c r="H1382" i="6"/>
  <c r="H1394" i="6"/>
  <c r="H1109" i="6"/>
  <c r="H1203" i="6"/>
  <c r="H2118" i="6"/>
  <c r="H944" i="6"/>
  <c r="H2120" i="6"/>
  <c r="H581" i="6"/>
  <c r="H991" i="6"/>
  <c r="H2130" i="6"/>
  <c r="H2027" i="6"/>
  <c r="H1128" i="6"/>
  <c r="H1903" i="6"/>
  <c r="H116" i="6"/>
  <c r="H3064" i="6"/>
  <c r="H2723" i="6"/>
  <c r="H2012" i="6"/>
  <c r="H1069" i="6"/>
  <c r="H1266" i="6"/>
  <c r="H794" i="6"/>
  <c r="H803" i="6"/>
  <c r="H1425" i="6"/>
  <c r="H2933" i="6"/>
  <c r="H2735" i="6"/>
  <c r="H977" i="6"/>
  <c r="H2119" i="6"/>
  <c r="H1714" i="6"/>
  <c r="H1759" i="6"/>
  <c r="H1880" i="6"/>
  <c r="H2351" i="6"/>
  <c r="H1497" i="6"/>
  <c r="H568" i="6"/>
  <c r="H1754" i="6"/>
  <c r="H601" i="6"/>
  <c r="H2368" i="6"/>
  <c r="H2305" i="6"/>
  <c r="H461" i="6"/>
  <c r="H2275" i="6"/>
  <c r="H2355" i="6"/>
  <c r="H2063" i="6"/>
  <c r="H2184" i="6"/>
  <c r="H1884" i="6"/>
  <c r="H1986" i="6"/>
  <c r="H2020" i="6"/>
  <c r="H590" i="6"/>
  <c r="H2067" i="6"/>
  <c r="H501" i="6"/>
  <c r="H2550" i="6"/>
  <c r="H1864" i="6"/>
  <c r="H603" i="6"/>
  <c r="H2069" i="6"/>
  <c r="H1668" i="6"/>
  <c r="H539" i="6"/>
  <c r="H1559" i="6"/>
  <c r="H1500" i="6"/>
  <c r="H1490" i="6"/>
  <c r="H1168" i="6"/>
  <c r="H173" i="6"/>
  <c r="H2584" i="6"/>
  <c r="H3298" i="6"/>
  <c r="H1546" i="6"/>
  <c r="H1541" i="6"/>
  <c r="H1767" i="6"/>
  <c r="H1335" i="6"/>
  <c r="H1175" i="6"/>
  <c r="H1751" i="6"/>
  <c r="H485" i="6"/>
  <c r="H40" i="6"/>
  <c r="H2313" i="6"/>
  <c r="H2267" i="6"/>
  <c r="H1616" i="6"/>
  <c r="H1131" i="6"/>
  <c r="H1925" i="6"/>
  <c r="H3820" i="6"/>
  <c r="H2400" i="6"/>
  <c r="H522" i="6"/>
  <c r="H2403" i="6"/>
  <c r="H1543" i="6"/>
  <c r="H2432" i="6"/>
  <c r="H1657" i="6"/>
  <c r="H1373" i="6"/>
  <c r="H1137" i="6"/>
  <c r="H864" i="6"/>
  <c r="H3101" i="6"/>
  <c r="H420" i="6"/>
  <c r="H3045" i="6"/>
  <c r="H425" i="6"/>
  <c r="H857" i="6"/>
  <c r="H1252" i="6"/>
  <c r="H766" i="6"/>
  <c r="H1083" i="6"/>
  <c r="H2367" i="6"/>
  <c r="H919" i="6"/>
  <c r="H1977" i="6"/>
  <c r="H78" i="6"/>
  <c r="H1761" i="6"/>
  <c r="H1566" i="6"/>
  <c r="H3423" i="6"/>
  <c r="H72" i="6"/>
  <c r="H448" i="6"/>
  <c r="H2372" i="6"/>
  <c r="H889" i="6"/>
  <c r="H3127" i="6"/>
  <c r="H107" i="6"/>
  <c r="H1228" i="6"/>
  <c r="H1130" i="6"/>
  <c r="H1688" i="6"/>
  <c r="H1315" i="6"/>
  <c r="H3160" i="6"/>
  <c r="H3745" i="6"/>
  <c r="H3139" i="6"/>
  <c r="H3152" i="6"/>
  <c r="H3738" i="6"/>
  <c r="H1726" i="6"/>
  <c r="H780" i="6"/>
  <c r="H2340" i="6"/>
  <c r="H1464" i="6"/>
  <c r="H1596" i="6"/>
  <c r="H1041" i="6"/>
  <c r="H1646" i="6"/>
  <c r="H1890" i="6"/>
  <c r="H2166" i="6"/>
  <c r="H1643" i="6"/>
  <c r="H1362" i="6"/>
  <c r="H1626" i="6"/>
  <c r="H979" i="6"/>
  <c r="H727" i="6"/>
  <c r="H1074" i="6"/>
  <c r="H1645" i="6"/>
  <c r="H2160" i="6"/>
  <c r="H1073" i="6"/>
  <c r="H825" i="6"/>
  <c r="H2015" i="6"/>
  <c r="H1821" i="6"/>
  <c r="H1582" i="6"/>
  <c r="H806" i="6"/>
  <c r="H2559" i="6"/>
  <c r="H1246" i="6"/>
  <c r="H513" i="6"/>
  <c r="H874" i="6"/>
  <c r="H1093" i="6"/>
  <c r="H573" i="6"/>
  <c r="H2026" i="6"/>
  <c r="H1948" i="6"/>
  <c r="H1285" i="6"/>
  <c r="H1539" i="6"/>
  <c r="H1342" i="6"/>
  <c r="H1313" i="6"/>
  <c r="H1187" i="6"/>
  <c r="H1350" i="6"/>
  <c r="H1804" i="6"/>
  <c r="H2921" i="6"/>
  <c r="H2917" i="6"/>
  <c r="H1358" i="6"/>
  <c r="H1785" i="6"/>
  <c r="H1940" i="6"/>
  <c r="H726" i="6"/>
  <c r="H2479" i="6"/>
  <c r="H2328" i="6"/>
  <c r="H1108" i="6"/>
  <c r="H782" i="6"/>
  <c r="H468" i="6"/>
  <c r="H49" i="6"/>
  <c r="H2040" i="6"/>
  <c r="H1867" i="6"/>
  <c r="H2216" i="6"/>
  <c r="H59" i="6"/>
  <c r="H2868" i="6"/>
  <c r="H1383" i="6"/>
  <c r="H1458" i="6"/>
  <c r="H1802" i="6"/>
  <c r="H1091" i="6"/>
  <c r="H1678" i="6"/>
  <c r="H109" i="6"/>
  <c r="H900" i="6"/>
  <c r="H1190" i="6"/>
  <c r="H1408" i="6"/>
  <c r="H1522" i="6"/>
  <c r="H1334" i="6"/>
  <c r="H3169" i="6"/>
  <c r="H891" i="6"/>
  <c r="H1970" i="6"/>
  <c r="H1241" i="6"/>
  <c r="H1071" i="6"/>
  <c r="H1233" i="6"/>
  <c r="H2338" i="6"/>
  <c r="H1832" i="6"/>
  <c r="H2582" i="6"/>
  <c r="H2956" i="6"/>
  <c r="H2162" i="6"/>
  <c r="H570" i="6"/>
  <c r="H697" i="6"/>
  <c r="H1740" i="6"/>
  <c r="H694" i="6"/>
  <c r="H2178" i="6"/>
  <c r="H459" i="6"/>
  <c r="H957" i="6"/>
  <c r="H2221" i="6"/>
  <c r="H752" i="6"/>
  <c r="H634" i="6"/>
  <c r="H487" i="6"/>
  <c r="H2481" i="6"/>
  <c r="H698" i="6"/>
  <c r="H725" i="6"/>
  <c r="H1964" i="6"/>
  <c r="H835" i="6"/>
  <c r="H724" i="6"/>
  <c r="H102" i="6"/>
  <c r="H1583" i="6"/>
  <c r="H955" i="6"/>
  <c r="H1639" i="6"/>
  <c r="H3427" i="6"/>
  <c r="H2023" i="6"/>
  <c r="H2157" i="6"/>
  <c r="H1978" i="6"/>
  <c r="H1979" i="6"/>
  <c r="H1961" i="6"/>
  <c r="H777" i="6"/>
  <c r="H39" i="6"/>
  <c r="H1082" i="6"/>
  <c r="H1985" i="6"/>
  <c r="H1892" i="6"/>
  <c r="H869" i="6"/>
  <c r="H2156" i="6"/>
  <c r="H2280" i="6"/>
  <c r="H1204" i="6"/>
  <c r="H1809" i="6"/>
  <c r="H1075" i="6"/>
  <c r="H1929" i="6"/>
  <c r="H996" i="6"/>
  <c r="H1845" i="6"/>
  <c r="H1844" i="6"/>
  <c r="H2488" i="6"/>
  <c r="H1238" i="6"/>
  <c r="H1089" i="6"/>
  <c r="H2870" i="6"/>
  <c r="H683" i="6"/>
  <c r="H2963" i="6"/>
  <c r="H2734" i="6"/>
  <c r="H1054" i="6"/>
  <c r="H1870" i="6"/>
  <c r="H1344" i="6"/>
  <c r="H1792" i="6"/>
  <c r="H1411" i="6"/>
  <c r="H814" i="6"/>
  <c r="H2492" i="6"/>
  <c r="H2003" i="6"/>
  <c r="H1135" i="6"/>
  <c r="H2072" i="6"/>
  <c r="H723" i="6"/>
  <c r="H1704" i="6"/>
  <c r="H1123" i="6"/>
  <c r="H937" i="6"/>
  <c r="H1200" i="6"/>
  <c r="H1756" i="6"/>
  <c r="H3021" i="6"/>
  <c r="H2068" i="6"/>
  <c r="H1695" i="6"/>
  <c r="H2440" i="6"/>
  <c r="H1813" i="6"/>
  <c r="H2439" i="6"/>
  <c r="H1747" i="6"/>
  <c r="H1320" i="6"/>
  <c r="H1592" i="6"/>
  <c r="H2037" i="6"/>
  <c r="H127" i="6"/>
  <c r="H1521" i="6"/>
  <c r="H2487" i="6"/>
  <c r="H1171" i="6"/>
  <c r="H924" i="6"/>
  <c r="H2575" i="6"/>
  <c r="H2042" i="6"/>
  <c r="H2495" i="6"/>
  <c r="H2327" i="6"/>
  <c r="H2146" i="6"/>
  <c r="H701" i="6"/>
  <c r="H2419" i="6"/>
  <c r="H607" i="6"/>
  <c r="H640" i="6"/>
  <c r="H1048" i="6"/>
  <c r="H443" i="6"/>
  <c r="H2580" i="6"/>
  <c r="H529" i="6"/>
  <c r="H1753" i="6"/>
  <c r="H1496" i="6"/>
  <c r="H1637" i="6"/>
  <c r="H2325" i="6"/>
  <c r="H2434" i="6"/>
  <c r="H3106" i="6"/>
  <c r="H1287" i="6"/>
  <c r="H890" i="6"/>
  <c r="H998" i="6"/>
  <c r="H564" i="6"/>
  <c r="H992" i="6"/>
  <c r="H1765" i="6"/>
  <c r="H447" i="6"/>
  <c r="H642" i="6"/>
  <c r="H2557" i="6"/>
  <c r="H2474" i="6"/>
  <c r="H2076" i="6"/>
  <c r="H2506" i="6"/>
  <c r="H2010" i="6"/>
  <c r="H1183" i="6"/>
  <c r="H964" i="6"/>
  <c r="H2520" i="6"/>
  <c r="H1309" i="6"/>
  <c r="H2124" i="6"/>
  <c r="H593" i="6"/>
  <c r="H2308" i="6"/>
  <c r="H3111" i="6"/>
  <c r="H1750" i="6"/>
  <c r="H1107" i="6"/>
  <c r="H700" i="6"/>
  <c r="H1193" i="6"/>
  <c r="H2075" i="6"/>
  <c r="H2533" i="6"/>
  <c r="H883" i="6"/>
  <c r="H1351" i="6"/>
  <c r="H1167" i="6"/>
  <c r="H2172" i="6"/>
  <c r="H2674" i="6"/>
  <c r="H2000" i="6"/>
  <c r="H465" i="6"/>
  <c r="H2059" i="6"/>
  <c r="H1687" i="6"/>
  <c r="H1998" i="6"/>
  <c r="H2363" i="6"/>
  <c r="H2467" i="6"/>
  <c r="H498" i="6"/>
  <c r="H722" i="6"/>
  <c r="H721" i="6"/>
  <c r="H1680" i="6"/>
  <c r="H2470" i="6"/>
  <c r="H1699" i="6"/>
  <c r="H1677" i="6"/>
  <c r="H1783" i="6"/>
  <c r="H2262" i="6"/>
  <c r="H2060" i="6"/>
  <c r="H2374" i="6"/>
  <c r="H1709" i="6"/>
  <c r="H669" i="6"/>
  <c r="H941" i="6"/>
  <c r="H1332" i="6"/>
  <c r="H1329" i="6"/>
  <c r="H1197" i="6"/>
  <c r="H1532" i="6"/>
  <c r="H2005" i="6"/>
  <c r="H720" i="6"/>
  <c r="H2126" i="6"/>
  <c r="H1085" i="6"/>
  <c r="H2174" i="6"/>
  <c r="H1298" i="6"/>
  <c r="H842" i="6"/>
  <c r="H2931" i="6"/>
  <c r="H2740" i="6"/>
  <c r="H70" i="6"/>
  <c r="H1742" i="6"/>
  <c r="H1216" i="6"/>
  <c r="H1624" i="6"/>
  <c r="H1601" i="6"/>
  <c r="H933" i="6"/>
  <c r="H1862" i="6"/>
  <c r="H2232" i="6"/>
  <c r="H1633" i="6"/>
  <c r="H2909" i="6"/>
  <c r="H3537" i="6"/>
  <c r="H1331" i="6"/>
  <c r="H1727" i="6"/>
  <c r="H1080" i="6"/>
  <c r="H36" i="6"/>
  <c r="H1063" i="6"/>
  <c r="H1467" i="6"/>
  <c r="H1292" i="6"/>
  <c r="H1261" i="6"/>
  <c r="H1999" i="6"/>
  <c r="H477" i="6"/>
  <c r="H2589" i="6"/>
  <c r="H523" i="6"/>
  <c r="H2036" i="6"/>
  <c r="H2018" i="6"/>
  <c r="H1843" i="6"/>
  <c r="H938" i="6"/>
  <c r="H122" i="6"/>
  <c r="H53" i="6"/>
  <c r="H2207" i="6"/>
  <c r="H2938" i="6"/>
  <c r="H2714" i="6"/>
  <c r="H892" i="6"/>
  <c r="H2136" i="6"/>
  <c r="H1659" i="6"/>
  <c r="H827" i="6"/>
  <c r="H1022" i="6"/>
  <c r="H1120" i="6"/>
  <c r="H1068" i="6"/>
  <c r="H1716" i="6"/>
  <c r="H1379" i="6"/>
  <c r="H1045" i="6"/>
  <c r="H2231" i="6"/>
  <c r="H2127" i="6"/>
  <c r="H851" i="6"/>
  <c r="H2123" i="6"/>
  <c r="H2134" i="6"/>
  <c r="H1969" i="6"/>
  <c r="H1143" i="6"/>
  <c r="H1222" i="6"/>
  <c r="H1877" i="6"/>
  <c r="H1980" i="6"/>
  <c r="H1975" i="6"/>
  <c r="H986" i="6"/>
  <c r="H1242" i="6"/>
  <c r="H902" i="6"/>
  <c r="H1018" i="6"/>
  <c r="H3392" i="6"/>
  <c r="H3068" i="6"/>
  <c r="H3664" i="6"/>
  <c r="H2145" i="6"/>
  <c r="H1647" i="6"/>
  <c r="H1557" i="6"/>
  <c r="H2168" i="6"/>
  <c r="H2967" i="6"/>
  <c r="H2710" i="6"/>
  <c r="H1440" i="6"/>
  <c r="H1879" i="6"/>
  <c r="H1210" i="6"/>
  <c r="H2986" i="6"/>
  <c r="H2705" i="6"/>
  <c r="H1743" i="6"/>
  <c r="H882" i="6"/>
  <c r="H3475" i="6"/>
  <c r="H958" i="6"/>
  <c r="H1050" i="6"/>
  <c r="H1227" i="6"/>
  <c r="H2862" i="6"/>
  <c r="H2929" i="6"/>
  <c r="H2743" i="6"/>
  <c r="H674" i="6"/>
  <c r="H934" i="6"/>
  <c r="H1008" i="6"/>
  <c r="H1290" i="6"/>
  <c r="H1654" i="6"/>
  <c r="H126" i="6"/>
  <c r="H719" i="6"/>
  <c r="H1258" i="6"/>
  <c r="H1087" i="6"/>
  <c r="H1265" i="6"/>
  <c r="H2053" i="6"/>
  <c r="H1873" i="6"/>
  <c r="H3035" i="6"/>
  <c r="H2730" i="6"/>
  <c r="H1293" i="6"/>
  <c r="H1943" i="6"/>
  <c r="H1620" i="6"/>
  <c r="H930" i="6"/>
  <c r="H1125" i="6"/>
  <c r="H1438" i="6"/>
  <c r="H1987" i="6"/>
  <c r="H1807" i="6"/>
  <c r="H1213" i="6"/>
  <c r="H1381" i="6"/>
  <c r="H1651" i="6"/>
  <c r="H1013" i="6"/>
  <c r="H2422" i="6"/>
  <c r="H1720" i="6"/>
  <c r="H1244" i="6"/>
  <c r="H1976" i="6"/>
  <c r="H3562" i="6"/>
  <c r="H3559" i="6"/>
  <c r="H3564" i="6"/>
  <c r="H2543" i="6"/>
  <c r="H2058" i="6"/>
  <c r="H2074" i="6"/>
  <c r="H1211" i="6"/>
  <c r="H2498" i="6"/>
  <c r="H2398" i="6"/>
  <c r="H2444" i="6"/>
  <c r="H1799" i="6"/>
  <c r="H718" i="6"/>
  <c r="H706" i="6"/>
  <c r="H2011" i="6"/>
  <c r="H2129" i="6"/>
  <c r="H896" i="6"/>
  <c r="H2090" i="6"/>
  <c r="H2116" i="6"/>
  <c r="H2220" i="6"/>
  <c r="H1158" i="6"/>
  <c r="H1393" i="6"/>
  <c r="H1044" i="6"/>
  <c r="H2244" i="6"/>
  <c r="H1790" i="6"/>
  <c r="H1129" i="6"/>
  <c r="H1710" i="6"/>
  <c r="H2117" i="6"/>
  <c r="H3459" i="6"/>
  <c r="H1349" i="6"/>
  <c r="H2194" i="6"/>
  <c r="H761" i="6"/>
  <c r="H2276" i="6"/>
  <c r="H29" i="6"/>
  <c r="H822" i="6"/>
  <c r="H2283" i="6"/>
  <c r="H1474" i="6"/>
  <c r="H170" i="6"/>
  <c r="H632" i="6"/>
  <c r="H2198" i="6"/>
  <c r="H2515" i="6"/>
  <c r="H2461" i="6"/>
  <c r="H1898" i="6"/>
  <c r="H1173" i="6"/>
  <c r="H1396" i="6"/>
  <c r="H2466" i="6"/>
  <c r="H2842" i="6"/>
  <c r="H1837" i="6"/>
  <c r="H2476" i="6"/>
  <c r="H563" i="6"/>
  <c r="H2133" i="6"/>
  <c r="H682" i="6"/>
  <c r="H1457" i="6"/>
  <c r="H925" i="6"/>
  <c r="H2354" i="6"/>
  <c r="H2446" i="6"/>
  <c r="H1660" i="6"/>
  <c r="H2236" i="6"/>
  <c r="H1189" i="6"/>
  <c r="H2257" i="6"/>
  <c r="H511" i="6"/>
  <c r="H1569" i="6"/>
  <c r="H2513" i="6"/>
  <c r="H1615" i="6"/>
  <c r="H2362" i="6"/>
  <c r="H476" i="6"/>
  <c r="H1324" i="6"/>
  <c r="H1248" i="6"/>
  <c r="H2177" i="6"/>
  <c r="H1341" i="6"/>
  <c r="H1641" i="6"/>
  <c r="H2574" i="6"/>
  <c r="H497" i="6"/>
  <c r="H2445" i="6"/>
  <c r="H2525" i="6"/>
  <c r="H658" i="6"/>
  <c r="H2562" i="6"/>
  <c r="H518" i="6"/>
  <c r="H2581" i="6"/>
  <c r="H446" i="6"/>
  <c r="H2179" i="6"/>
  <c r="H55" i="6"/>
  <c r="H1825" i="6"/>
  <c r="H531" i="6"/>
  <c r="H2383" i="6"/>
  <c r="H1470" i="6"/>
  <c r="H2159" i="6"/>
  <c r="H1488" i="6"/>
  <c r="H1784" i="6"/>
  <c r="H2190" i="6"/>
  <c r="H2066" i="6"/>
  <c r="H950" i="6"/>
  <c r="H861" i="6"/>
  <c r="H2153" i="6"/>
  <c r="H3070" i="6"/>
  <c r="H2484" i="6"/>
  <c r="H1632" i="6"/>
  <c r="H2054" i="6"/>
  <c r="H927" i="6"/>
  <c r="H2871" i="6"/>
  <c r="H2303" i="6"/>
  <c r="H1707" i="6"/>
  <c r="H662" i="6"/>
  <c r="H2872" i="6"/>
  <c r="H496" i="6"/>
  <c r="H145" i="6"/>
  <c r="H1118" i="6"/>
  <c r="H1029" i="6"/>
  <c r="H903" i="6"/>
  <c r="H1205" i="6"/>
  <c r="H1319" i="6"/>
  <c r="H2771" i="6"/>
  <c r="H1913" i="6"/>
  <c r="H1059" i="6"/>
  <c r="H796" i="6"/>
  <c r="H2045" i="6"/>
  <c r="H771" i="6"/>
  <c r="H1516" i="6"/>
  <c r="H3044" i="6"/>
  <c r="H3415" i="6"/>
  <c r="H3699" i="6"/>
  <c r="H2264" i="6"/>
  <c r="H2373" i="6"/>
  <c r="H512" i="6"/>
  <c r="H528" i="6"/>
  <c r="H2401" i="6"/>
  <c r="H1322" i="6"/>
  <c r="H995" i="6"/>
  <c r="H855" i="6"/>
  <c r="H1937" i="6"/>
  <c r="H764" i="6"/>
  <c r="H1744" i="6"/>
  <c r="H1001" i="6"/>
  <c r="H1056" i="6"/>
  <c r="H1195" i="6"/>
  <c r="H1810" i="6"/>
  <c r="H1060" i="6"/>
  <c r="H2858" i="6"/>
  <c r="H3370" i="6"/>
  <c r="H1282" i="6"/>
  <c r="H171" i="6"/>
  <c r="H2577" i="6"/>
  <c r="H2671" i="6"/>
  <c r="H2995" i="6"/>
  <c r="H2748" i="6"/>
  <c r="H2046" i="6"/>
  <c r="H2994" i="6"/>
  <c r="H2719" i="6"/>
  <c r="H1112" i="6"/>
  <c r="H1047" i="6"/>
  <c r="H587" i="6"/>
  <c r="H3371" i="6"/>
  <c r="H482" i="6"/>
  <c r="H2326" i="6"/>
  <c r="H2455" i="6"/>
  <c r="H3421" i="6"/>
  <c r="H1301" i="6"/>
  <c r="H1683" i="6"/>
  <c r="H1824" i="6"/>
  <c r="H20" i="6"/>
  <c r="H1858" i="6"/>
  <c r="H419" i="6"/>
  <c r="H1437" i="6"/>
  <c r="H1901" i="6"/>
  <c r="H2261" i="6"/>
  <c r="H1878" i="6"/>
  <c r="H1333" i="6"/>
  <c r="H758" i="6"/>
  <c r="H1449" i="6"/>
  <c r="H630" i="6"/>
  <c r="H1702" i="6"/>
  <c r="H1356" i="6"/>
  <c r="H818" i="6"/>
  <c r="H1886" i="6"/>
  <c r="H823" i="6"/>
  <c r="H959" i="6"/>
  <c r="H1101" i="6"/>
  <c r="H1667" i="6"/>
  <c r="H2250" i="6"/>
  <c r="H3384" i="6"/>
  <c r="H1007" i="6"/>
  <c r="H1229" i="6"/>
  <c r="H1172" i="6"/>
  <c r="H1035" i="6"/>
  <c r="H3587" i="6"/>
  <c r="H858" i="6"/>
  <c r="H1838" i="6"/>
  <c r="H1037" i="6"/>
  <c r="H2122" i="6"/>
  <c r="H2048" i="6"/>
  <c r="H1067" i="6"/>
  <c r="H800" i="6"/>
  <c r="H1734" i="6"/>
  <c r="H1370" i="6"/>
  <c r="H1524" i="6"/>
  <c r="H1921" i="6"/>
  <c r="H1860" i="6"/>
  <c r="H1052" i="6"/>
  <c r="H824" i="6"/>
  <c r="H1764" i="6"/>
  <c r="H2431" i="6"/>
  <c r="H2115" i="6"/>
  <c r="H873" i="6"/>
  <c r="H666" i="6"/>
  <c r="H2004" i="6"/>
  <c r="H3445" i="6"/>
  <c r="H1247" i="6"/>
  <c r="H2001" i="6"/>
  <c r="H2299" i="6"/>
  <c r="H1663" i="6"/>
  <c r="H2195" i="6"/>
  <c r="H1104" i="6"/>
  <c r="H1928" i="6"/>
  <c r="H1034" i="6"/>
  <c r="H1164" i="6"/>
  <c r="H552" i="6"/>
  <c r="H561" i="6"/>
  <c r="H1024" i="6"/>
  <c r="H1255" i="6"/>
  <c r="H1284" i="6"/>
  <c r="H112" i="6"/>
  <c r="H650" i="6"/>
  <c r="H1793" i="6"/>
  <c r="H807" i="6"/>
  <c r="H1133" i="6"/>
  <c r="H1463" i="6"/>
  <c r="H1952" i="6"/>
  <c r="H1972" i="6"/>
  <c r="H868" i="6"/>
  <c r="H1840" i="6"/>
  <c r="H1593" i="6"/>
  <c r="H940" i="6"/>
  <c r="H1276" i="6"/>
  <c r="H2472" i="6"/>
  <c r="H1105" i="6"/>
  <c r="H2135" i="6"/>
  <c r="H1902" i="6"/>
  <c r="H1883" i="6"/>
  <c r="H1893" i="6"/>
  <c r="H2370" i="6"/>
  <c r="H945" i="6"/>
  <c r="H844" i="6"/>
  <c r="H887" i="6"/>
  <c r="H717" i="6"/>
  <c r="H613" i="6"/>
  <c r="H962" i="6"/>
  <c r="H1697" i="6"/>
  <c r="H2246" i="6"/>
  <c r="H775" i="6"/>
  <c r="H1251" i="6"/>
  <c r="H1916" i="6"/>
  <c r="H1914" i="6"/>
  <c r="H2357" i="6"/>
  <c r="H845" i="6"/>
  <c r="H1097" i="6"/>
  <c r="H1185" i="6"/>
  <c r="H939" i="6"/>
  <c r="H1077" i="6"/>
  <c r="H1442" i="6"/>
  <c r="H2496" i="6"/>
  <c r="H629" i="6"/>
  <c r="H2527" i="6"/>
  <c r="H1896" i="6"/>
  <c r="H3179" i="6"/>
  <c r="H2810" i="6"/>
  <c r="H901" i="6"/>
  <c r="H987" i="6"/>
  <c r="H3393" i="6"/>
  <c r="H3440" i="6"/>
  <c r="H598" i="6"/>
  <c r="H1095" i="6"/>
  <c r="H716" i="6"/>
  <c r="H2214" i="6"/>
  <c r="H1253" i="6"/>
  <c r="H1223" i="6"/>
  <c r="H3430" i="6"/>
  <c r="H652" i="6"/>
  <c r="H499" i="6"/>
  <c r="H3473" i="6"/>
  <c r="H2086" i="6"/>
  <c r="H2381" i="6"/>
  <c r="H2164" i="6"/>
  <c r="H2962" i="6"/>
  <c r="H1421" i="6"/>
  <c r="H458" i="6"/>
  <c r="H493" i="6"/>
  <c r="H2304" i="6"/>
  <c r="H850" i="6"/>
  <c r="H456" i="6"/>
  <c r="H849" i="6"/>
  <c r="H2266" i="6"/>
  <c r="H2530" i="6"/>
  <c r="H2982" i="6"/>
  <c r="H2750" i="6"/>
  <c r="H3001" i="6"/>
  <c r="H2742" i="6"/>
  <c r="H504" i="6"/>
  <c r="H1945" i="6"/>
  <c r="H785" i="6"/>
  <c r="H611" i="6"/>
  <c r="H138" i="6"/>
  <c r="H635" i="6"/>
  <c r="H605" i="6"/>
  <c r="H2951" i="6"/>
  <c r="H538" i="6"/>
  <c r="H3055" i="6"/>
  <c r="H2731" i="6"/>
  <c r="H1682" i="6"/>
  <c r="H1305" i="6"/>
  <c r="H1148" i="6"/>
  <c r="H1992" i="6"/>
  <c r="H1294" i="6"/>
  <c r="H544" i="6"/>
  <c r="H1476" i="6"/>
  <c r="H1201" i="6"/>
  <c r="H898" i="6"/>
  <c r="H1939" i="6"/>
  <c r="H1058" i="6"/>
  <c r="H967" i="6"/>
  <c r="H1933" i="6"/>
  <c r="H2128" i="6"/>
  <c r="H2321" i="6"/>
  <c r="H1114" i="6"/>
  <c r="H1997" i="6"/>
  <c r="H1580" i="6"/>
  <c r="H2107" i="6"/>
  <c r="H571" i="6"/>
  <c r="H1272" i="6"/>
  <c r="H946" i="6"/>
  <c r="H1816" i="6"/>
  <c r="H1554" i="6"/>
  <c r="H922" i="6"/>
  <c r="H816" i="6"/>
  <c r="H1733" i="6"/>
  <c r="H2009" i="6"/>
  <c r="H1259" i="6"/>
  <c r="H1703" i="6"/>
  <c r="H1861" i="6"/>
  <c r="H1563" i="6"/>
  <c r="H21" i="6"/>
  <c r="H1831" i="6"/>
  <c r="H1995" i="6"/>
  <c r="H926" i="6"/>
  <c r="H715" i="6"/>
  <c r="H1088" i="6"/>
  <c r="H2044" i="6"/>
  <c r="H714" i="6"/>
  <c r="H1113" i="6"/>
  <c r="H1656" i="6"/>
  <c r="H3466" i="6"/>
  <c r="H1005" i="6"/>
  <c r="H637" i="6"/>
  <c r="H1719" i="6"/>
  <c r="H911" i="6"/>
  <c r="H1963" i="6"/>
  <c r="H1152" i="6"/>
  <c r="H2032" i="6"/>
  <c r="H566" i="6"/>
  <c r="H1010" i="6"/>
  <c r="H875" i="6"/>
  <c r="H2143" i="6"/>
  <c r="H2043" i="6"/>
  <c r="H1960" i="6"/>
  <c r="H3038" i="6"/>
  <c r="H3333" i="6"/>
  <c r="H85" i="6"/>
  <c r="H2234" i="6"/>
  <c r="H480" i="6"/>
  <c r="H2924" i="6"/>
  <c r="H1666" i="6"/>
  <c r="H809" i="6"/>
  <c r="H2418" i="6"/>
  <c r="H876" i="6"/>
  <c r="H1194" i="6"/>
  <c r="H2312" i="6"/>
  <c r="H1888" i="6"/>
  <c r="H167" i="6"/>
  <c r="H30" i="6"/>
  <c r="H514" i="6"/>
  <c r="H1852" i="6"/>
  <c r="H1110" i="6"/>
  <c r="H2673" i="6"/>
  <c r="H2976" i="6"/>
  <c r="H3023" i="6"/>
  <c r="H2717" i="6"/>
  <c r="H2229" i="6"/>
  <c r="H2669" i="6"/>
  <c r="H1124" i="6"/>
  <c r="H1993" i="6"/>
  <c r="H839" i="6"/>
  <c r="H488" i="6"/>
  <c r="H2417" i="6"/>
  <c r="H1318" i="6"/>
  <c r="H3574" i="6"/>
  <c r="H3098" i="6"/>
  <c r="H3703" i="6"/>
  <c r="H1280" i="6"/>
  <c r="H2410" i="6"/>
  <c r="H3191" i="6"/>
  <c r="H2850" i="6"/>
  <c r="H129" i="6"/>
  <c r="H74" i="6"/>
  <c r="H32" i="6"/>
  <c r="H161" i="6"/>
  <c r="H93" i="6"/>
  <c r="H3214" i="6"/>
  <c r="H599" i="6"/>
  <c r="H142" i="6"/>
  <c r="H8" i="6"/>
  <c r="H792" i="6"/>
  <c r="H547" i="6"/>
  <c r="H1199" i="6"/>
  <c r="H1846" i="6"/>
  <c r="H1859" i="6"/>
  <c r="H2110" i="6"/>
  <c r="H2271" i="6"/>
  <c r="H2087" i="6"/>
  <c r="H1399" i="6"/>
  <c r="H3368" i="6"/>
  <c r="H932" i="6"/>
  <c r="H2286" i="6"/>
  <c r="H989" i="6"/>
  <c r="H2599" i="6"/>
  <c r="H1536" i="6"/>
  <c r="H997" i="6"/>
  <c r="H1237" i="6"/>
  <c r="H2175" i="6"/>
  <c r="H830" i="6"/>
  <c r="H2142" i="6"/>
  <c r="H2155" i="6"/>
  <c r="H1576" i="6"/>
  <c r="H754" i="6"/>
  <c r="H982" i="6"/>
  <c r="H1866" i="6"/>
  <c r="H1482" i="6"/>
  <c r="H2062" i="6"/>
  <c r="H83" i="6"/>
  <c r="H1718" i="6"/>
  <c r="H2260" i="6"/>
  <c r="H2497" i="6"/>
  <c r="H2945" i="6"/>
  <c r="H2937" i="6"/>
  <c r="H1801" i="6"/>
  <c r="H2928" i="6"/>
  <c r="H993" i="6"/>
  <c r="H670" i="6"/>
  <c r="H1327" i="6"/>
  <c r="H1885" i="6"/>
  <c r="H1794" i="6"/>
  <c r="H713" i="6"/>
  <c r="H812" i="6"/>
  <c r="H1959" i="6"/>
  <c r="H560" i="6"/>
  <c r="H2189" i="6"/>
  <c r="H412" i="6"/>
  <c r="H427" i="6"/>
  <c r="H985" i="6"/>
  <c r="H1749" i="6"/>
  <c r="H2297" i="6"/>
  <c r="H1406" i="6"/>
  <c r="H56" i="6"/>
  <c r="H2289" i="6"/>
  <c r="H2235" i="6"/>
  <c r="H1117" i="6"/>
  <c r="H2187" i="6"/>
  <c r="H753" i="6"/>
  <c r="H710" i="6"/>
  <c r="H765" i="6"/>
  <c r="H2364" i="6"/>
  <c r="H1942" i="6"/>
  <c r="H895" i="6"/>
  <c r="H1791" i="6"/>
  <c r="H1267" i="6"/>
  <c r="H2152" i="6"/>
  <c r="H95" i="6"/>
  <c r="H2980" i="6"/>
  <c r="H2973" i="6"/>
  <c r="H1887" i="6"/>
  <c r="H1721" i="6"/>
  <c r="H3224" i="6"/>
  <c r="H3856" i="6"/>
  <c r="H3081" i="6"/>
  <c r="H3332" i="6"/>
  <c r="H77" i="6"/>
  <c r="H159" i="6"/>
  <c r="H245" i="6"/>
  <c r="H155" i="6"/>
  <c r="H910" i="6"/>
  <c r="H1257" i="6"/>
  <c r="H974" i="6"/>
  <c r="H1725" i="6"/>
  <c r="H1062" i="6"/>
  <c r="H2393" i="6"/>
  <c r="H1090" i="6"/>
  <c r="H643" i="6"/>
  <c r="H2112" i="6"/>
  <c r="H1354" i="6"/>
  <c r="H774" i="6"/>
  <c r="H3036" i="6"/>
  <c r="H1800" i="6"/>
  <c r="H172" i="6"/>
  <c r="H1770" i="6"/>
  <c r="H1307" i="6"/>
  <c r="H1736" i="6"/>
  <c r="H97" i="6"/>
  <c r="H1671" i="6"/>
  <c r="H2797" i="6"/>
  <c r="H3507" i="6"/>
  <c r="H154" i="6"/>
  <c r="H3443" i="6"/>
  <c r="H3532" i="6"/>
  <c r="H1763" i="6"/>
  <c r="H1274" i="6"/>
  <c r="H198" i="6"/>
  <c r="H2666" i="6"/>
  <c r="H3470" i="6"/>
  <c r="H3462" i="6"/>
  <c r="H1919" i="6"/>
  <c r="H1202" i="6"/>
  <c r="H1182" i="6"/>
  <c r="H3398" i="6"/>
  <c r="H2376" i="6"/>
  <c r="H2025" i="6"/>
  <c r="H449" i="6"/>
  <c r="H768" i="6"/>
  <c r="H2505" i="6"/>
  <c r="H3399" i="6"/>
  <c r="H2519" i="6"/>
  <c r="H1623" i="6"/>
  <c r="H600" i="6"/>
  <c r="H2024" i="6"/>
  <c r="H2138" i="6"/>
  <c r="H3395" i="6"/>
  <c r="H831" i="6"/>
  <c r="H2288" i="6"/>
  <c r="H2121" i="6"/>
  <c r="H2277" i="6"/>
  <c r="H2358" i="6"/>
  <c r="H491" i="6"/>
  <c r="H1461" i="6"/>
  <c r="H2169" i="6"/>
  <c r="H3424" i="6"/>
  <c r="H1991" i="6"/>
  <c r="H1126" i="6"/>
  <c r="H1016" i="6"/>
  <c r="H2534" i="6"/>
  <c r="H2675" i="6"/>
  <c r="H2877" i="6"/>
  <c r="H1889" i="6"/>
  <c r="H2840" i="6"/>
  <c r="H2701" i="6"/>
  <c r="H2876" i="6"/>
  <c r="H2884" i="6"/>
  <c r="H81" i="6"/>
  <c r="H1609" i="6"/>
  <c r="H1057" i="6"/>
  <c r="H965" i="6"/>
  <c r="H1096" i="6"/>
  <c r="H2450" i="6"/>
  <c r="H620" i="6"/>
  <c r="H3438" i="6"/>
  <c r="H2756" i="6"/>
  <c r="H1612" i="6"/>
  <c r="H2428" i="6"/>
  <c r="H502" i="6"/>
  <c r="H546" i="6"/>
  <c r="H2061" i="6"/>
  <c r="H1965" i="6"/>
  <c r="H826" i="6"/>
  <c r="H141" i="6"/>
  <c r="H1156" i="6"/>
  <c r="H1260" i="6"/>
  <c r="H1674" i="6"/>
  <c r="H1904" i="6"/>
  <c r="H1849" i="6"/>
  <c r="H1072" i="6"/>
  <c r="H2227" i="6"/>
  <c r="H1590" i="6"/>
  <c r="H1907" i="6"/>
  <c r="H2132" i="6"/>
  <c r="H917" i="6"/>
  <c r="H1328" i="6"/>
  <c r="H1064" i="6"/>
  <c r="H2021" i="6"/>
  <c r="H770" i="6"/>
  <c r="H1343" i="6"/>
  <c r="H1598" i="6"/>
  <c r="H1780" i="6"/>
  <c r="H2056" i="6"/>
  <c r="H921" i="6"/>
  <c r="H3331" i="6"/>
  <c r="H2813" i="6"/>
  <c r="H2375" i="6"/>
  <c r="H2843" i="6"/>
  <c r="H2672" i="6"/>
  <c r="H2953" i="6"/>
  <c r="H904" i="6"/>
  <c r="H490" i="6"/>
  <c r="H2427" i="6"/>
  <c r="H2188" i="6"/>
  <c r="H2014" i="6"/>
  <c r="H2293" i="6"/>
  <c r="H913" i="6"/>
  <c r="H877" i="6"/>
  <c r="H963" i="6"/>
  <c r="H464" i="6"/>
  <c r="H838" i="6"/>
  <c r="H1297" i="6"/>
  <c r="H2930" i="6"/>
  <c r="H3560" i="6"/>
  <c r="H2891" i="6"/>
  <c r="H3190" i="6"/>
  <c r="H3373" i="6"/>
  <c r="H3397" i="6"/>
  <c r="H3389" i="6"/>
  <c r="H2765" i="6"/>
  <c r="H2454" i="6"/>
  <c r="H478" i="6"/>
  <c r="H2202" i="6"/>
  <c r="H2984" i="6"/>
  <c r="H567" i="6"/>
  <c r="H1504" i="6"/>
  <c r="H2935" i="6"/>
  <c r="H2769" i="6"/>
  <c r="H2932" i="6"/>
  <c r="H3643" i="6"/>
  <c r="H3155" i="6"/>
  <c r="H3751" i="6"/>
  <c r="H3165" i="6"/>
  <c r="H3746" i="6"/>
  <c r="H2777" i="6"/>
  <c r="H3502" i="6"/>
  <c r="H2767" i="6"/>
  <c r="H2761" i="6"/>
  <c r="H3500" i="6"/>
  <c r="H506" i="6"/>
  <c r="H3099" i="6"/>
  <c r="H2902" i="6"/>
  <c r="H2667" i="6"/>
  <c r="H2789" i="6"/>
  <c r="H2804" i="6"/>
  <c r="H2821" i="6"/>
  <c r="H2831" i="6"/>
  <c r="H3330" i="6"/>
  <c r="H2801" i="6"/>
  <c r="H3509" i="6"/>
  <c r="H2781" i="6"/>
  <c r="H2780" i="6"/>
  <c r="H1746" i="6"/>
  <c r="H627" i="6"/>
  <c r="H2477" i="6"/>
  <c r="H118" i="6"/>
  <c r="H136" i="6"/>
  <c r="H2881" i="6"/>
  <c r="H153" i="6"/>
  <c r="H508" i="6"/>
  <c r="H582" i="6"/>
  <c r="H1900" i="6"/>
  <c r="H1106" i="6"/>
  <c r="H543" i="6"/>
  <c r="H3132" i="6"/>
  <c r="H2703" i="6"/>
  <c r="H2219" i="6"/>
  <c r="H3108" i="6"/>
  <c r="H3151" i="6"/>
  <c r="H2670" i="6"/>
  <c r="H3605" i="6"/>
  <c r="H2538" i="6"/>
  <c r="H3932" i="6"/>
  <c r="H3931" i="6"/>
  <c r="H1617" i="6"/>
  <c r="H847" i="6"/>
  <c r="H2265" i="6"/>
  <c r="H1323" i="6"/>
  <c r="H69" i="6"/>
  <c r="H2483" i="6"/>
  <c r="H2309" i="6"/>
  <c r="H79" i="6"/>
  <c r="H18" i="6"/>
  <c r="H92" i="6"/>
  <c r="H1226" i="6"/>
  <c r="H152" i="6"/>
  <c r="H146" i="6"/>
  <c r="H134" i="6"/>
  <c r="H2511" i="6"/>
  <c r="H3104" i="6"/>
  <c r="H3105" i="6"/>
  <c r="H4000" i="6"/>
  <c r="H1145" i="6"/>
  <c r="H3572" i="6"/>
  <c r="H3960" i="6"/>
  <c r="H1789" i="6"/>
  <c r="H3523" i="6"/>
  <c r="H2837" i="6"/>
  <c r="H3524" i="6"/>
  <c r="H2828" i="6"/>
  <c r="H3930" i="6"/>
  <c r="H3401" i="6"/>
  <c r="H3465" i="6"/>
  <c r="H3195" i="6"/>
  <c r="H135" i="6"/>
  <c r="H540" i="6"/>
  <c r="H1834" i="6"/>
  <c r="H638" i="6"/>
  <c r="H536" i="6"/>
  <c r="H120" i="6"/>
  <c r="H13" i="6"/>
  <c r="H15" i="6"/>
  <c r="H58" i="6"/>
  <c r="H525" i="6"/>
  <c r="H3020" i="6"/>
  <c r="H3060" i="6"/>
  <c r="H2722" i="6"/>
  <c r="H2651" i="6"/>
  <c r="H2790" i="6"/>
  <c r="H2106" i="6"/>
  <c r="H454" i="6"/>
  <c r="H2028" i="6"/>
  <c r="H2970" i="6"/>
  <c r="H2706" i="6"/>
  <c r="H3121" i="6"/>
  <c r="H2384" i="6"/>
  <c r="H1070" i="6"/>
  <c r="H57" i="6"/>
  <c r="H517" i="6"/>
  <c r="H4" i="6"/>
  <c r="H2099" i="6"/>
  <c r="H3381" i="6"/>
  <c r="H639" i="6"/>
  <c r="H708" i="6"/>
  <c r="H2285" i="6"/>
  <c r="H143" i="6"/>
  <c r="H2551" i="6"/>
  <c r="H2514" i="6"/>
  <c r="H2352" i="6"/>
  <c r="H709" i="6"/>
  <c r="H820" i="6"/>
  <c r="H791" i="6"/>
  <c r="H677" i="6"/>
  <c r="H2039" i="6"/>
  <c r="H3382" i="6"/>
  <c r="H2453" i="6"/>
  <c r="H557" i="6"/>
  <c r="H52" i="6"/>
  <c r="H1115" i="6"/>
  <c r="H1378" i="6"/>
  <c r="H2462" i="6"/>
  <c r="H1665" i="6"/>
  <c r="H2017" i="6"/>
  <c r="H2561" i="6"/>
  <c r="H1011" i="6"/>
  <c r="H3713" i="6"/>
  <c r="H3747" i="6"/>
  <c r="H60" i="6"/>
  <c r="H2944" i="6"/>
  <c r="H114" i="6"/>
  <c r="H28" i="6"/>
  <c r="H5" i="6"/>
  <c r="H3584" i="6"/>
  <c r="H3818" i="6"/>
  <c r="H3622" i="6"/>
  <c r="H26" i="6"/>
  <c r="H885" i="6"/>
  <c r="H3431" i="6"/>
  <c r="H3407" i="6"/>
  <c r="H442" i="6"/>
  <c r="H3270" i="6"/>
  <c r="H3844" i="6"/>
  <c r="H2404" i="6"/>
  <c r="H50" i="6"/>
  <c r="H811" i="6"/>
  <c r="H676" i="6"/>
  <c r="H2478" i="6"/>
  <c r="H1263" i="6"/>
  <c r="H2387" i="6"/>
  <c r="H3453" i="6"/>
  <c r="H1119" i="6"/>
  <c r="H62" i="6"/>
  <c r="H2243" i="6"/>
  <c r="H2528" i="6"/>
  <c r="H1776" i="6"/>
  <c r="H125" i="6"/>
  <c r="H1020" i="6"/>
  <c r="H76" i="6"/>
  <c r="H3412" i="6"/>
  <c r="H3375" i="6"/>
  <c r="H1817" i="6"/>
  <c r="H119" i="6"/>
  <c r="H2193" i="6"/>
  <c r="H3435" i="6"/>
  <c r="H3448" i="6"/>
  <c r="H3379" i="6"/>
  <c r="H3400" i="6"/>
  <c r="H474" i="6"/>
  <c r="H336" i="6"/>
  <c r="H318" i="6"/>
  <c r="H300" i="6"/>
  <c r="H2192" i="6"/>
  <c r="H2111" i="6"/>
  <c r="H551" i="6"/>
  <c r="H1116" i="6"/>
  <c r="H2007" i="6"/>
  <c r="H1796" i="6"/>
  <c r="H943" i="6"/>
  <c r="H3419" i="6"/>
  <c r="H829" i="6"/>
  <c r="H3420" i="6"/>
  <c r="H3712" i="6"/>
  <c r="H2416" i="6"/>
  <c r="H3062" i="6"/>
  <c r="H3707" i="6"/>
  <c r="H2712" i="6"/>
  <c r="H3929" i="6"/>
  <c r="H139" i="6"/>
  <c r="H810" i="6"/>
  <c r="H1745" i="6"/>
  <c r="H457" i="6"/>
  <c r="H438" i="6"/>
  <c r="H105" i="6"/>
  <c r="H1788" i="6"/>
  <c r="H137" i="6"/>
  <c r="H45" i="6"/>
  <c r="H117" i="6"/>
  <c r="H156" i="6"/>
  <c r="H1387" i="6"/>
  <c r="H3385" i="6"/>
  <c r="H3406" i="6"/>
  <c r="H165" i="6"/>
  <c r="H75" i="6"/>
  <c r="H1215" i="6"/>
  <c r="H1823" i="6"/>
  <c r="H2570" i="6"/>
  <c r="H3875" i="6"/>
  <c r="H1830" i="6"/>
  <c r="H12" i="6"/>
  <c r="H163" i="6"/>
  <c r="H6" i="6"/>
  <c r="H3432" i="6"/>
  <c r="H3455" i="6"/>
  <c r="H110" i="6"/>
  <c r="H47" i="6"/>
  <c r="H124" i="6"/>
  <c r="H41" i="6"/>
  <c r="H24" i="6"/>
  <c r="H61" i="6"/>
  <c r="H128" i="6"/>
  <c r="H130" i="6"/>
  <c r="H140" i="6"/>
  <c r="H101" i="6"/>
  <c r="H1051" i="6"/>
  <c r="H2640" i="6"/>
  <c r="H2915" i="6"/>
  <c r="H27" i="6"/>
  <c r="H3015" i="6"/>
  <c r="H3644" i="6"/>
  <c r="H3410" i="6"/>
  <c r="H3476" i="6"/>
  <c r="H3416" i="6"/>
  <c r="H3436" i="6"/>
  <c r="H1098" i="6"/>
  <c r="H150" i="6"/>
  <c r="H2537" i="6"/>
  <c r="H2952" i="6"/>
  <c r="H3570" i="6"/>
  <c r="H3197" i="6"/>
  <c r="H2709" i="6"/>
  <c r="H3380" i="6"/>
  <c r="H3413" i="6"/>
  <c r="H3890" i="6"/>
  <c r="H44" i="6"/>
  <c r="H441" i="6"/>
  <c r="H783" i="6"/>
  <c r="H3417" i="6"/>
  <c r="H2473" i="6"/>
  <c r="H3442" i="6"/>
  <c r="H3460" i="6"/>
  <c r="H1023" i="6"/>
  <c r="H25" i="6"/>
  <c r="H2443" i="6"/>
  <c r="H3449" i="6"/>
  <c r="H306" i="6"/>
  <c r="H132" i="6"/>
  <c r="H3411" i="6"/>
  <c r="H3404" i="6"/>
  <c r="H3467" i="6"/>
  <c r="H2653" i="6"/>
  <c r="H2795" i="6"/>
  <c r="H3051" i="6"/>
  <c r="H2728" i="6"/>
  <c r="H191" i="6"/>
  <c r="H3675" i="6"/>
  <c r="H3995" i="6"/>
  <c r="H2892" i="6"/>
  <c r="H3531" i="6"/>
  <c r="H31" i="6"/>
  <c r="H162" i="6"/>
  <c r="H2846" i="6"/>
  <c r="H3501" i="6"/>
  <c r="H90" i="6"/>
  <c r="H73" i="6"/>
  <c r="H3065" i="6"/>
  <c r="H103" i="6"/>
  <c r="H34" i="6"/>
  <c r="H3487" i="6"/>
  <c r="H3907" i="6"/>
  <c r="H3383" i="6"/>
  <c r="H3628" i="6"/>
  <c r="H3444" i="6"/>
  <c r="H3758" i="6"/>
  <c r="H3377" i="6"/>
  <c r="H3586" i="6"/>
  <c r="H3394" i="6"/>
  <c r="H3663" i="6"/>
  <c r="H3409" i="6"/>
  <c r="H3684" i="6"/>
  <c r="H3378" i="6"/>
  <c r="H3603" i="6"/>
  <c r="H3391" i="6"/>
  <c r="H3642" i="6"/>
  <c r="H3403" i="6"/>
  <c r="H3676" i="6"/>
  <c r="H86" i="6"/>
  <c r="H2923" i="6"/>
  <c r="H3961" i="6"/>
  <c r="H3162" i="6"/>
  <c r="H54" i="6"/>
  <c r="H80" i="6"/>
  <c r="H71" i="6"/>
  <c r="H121" i="6"/>
  <c r="H158" i="6"/>
  <c r="H88" i="6"/>
  <c r="H3458" i="6"/>
  <c r="H3084" i="6"/>
  <c r="H3905" i="6"/>
  <c r="H3908" i="6"/>
  <c r="H3779" i="6"/>
  <c r="H3861" i="6"/>
  <c r="H3928" i="6"/>
  <c r="H3426" i="6"/>
  <c r="H3451" i="6"/>
  <c r="H3617" i="6"/>
  <c r="H3428" i="6"/>
  <c r="H3472" i="6"/>
  <c r="H3414" i="6"/>
  <c r="H3140" i="6"/>
  <c r="H3216" i="6"/>
  <c r="H48" i="6"/>
  <c r="H168" i="6"/>
  <c r="H3390" i="6"/>
  <c r="H3387" i="6"/>
  <c r="H3386" i="6"/>
  <c r="H2919" i="6"/>
  <c r="H65" i="6"/>
  <c r="H63" i="6"/>
  <c r="H3422" i="6"/>
  <c r="H3396" i="6"/>
  <c r="H3897" i="6"/>
  <c r="H3903" i="6"/>
  <c r="H3805" i="6"/>
  <c r="H3906" i="6"/>
  <c r="H3405" i="6"/>
  <c r="H151" i="6"/>
  <c r="H164" i="6"/>
  <c r="H2950" i="6"/>
  <c r="H7" i="6"/>
  <c r="H160" i="6"/>
  <c r="H3528" i="6"/>
  <c r="H3623" i="6"/>
  <c r="H3565" i="6"/>
  <c r="H3869" i="6"/>
  <c r="H3732" i="6"/>
  <c r="H3748" i="6"/>
  <c r="H3754" i="6"/>
  <c r="H3739" i="6"/>
  <c r="H99" i="6"/>
  <c r="H332" i="6"/>
  <c r="H3452" i="6"/>
  <c r="H169" i="6"/>
  <c r="H14" i="6"/>
  <c r="H42" i="6"/>
  <c r="H174" i="6"/>
  <c r="H3022" i="6"/>
  <c r="H3649" i="6"/>
  <c r="H3627" i="6"/>
  <c r="H3569" i="6"/>
  <c r="H3372" i="6"/>
  <c r="H3454" i="6"/>
  <c r="H3434" i="6"/>
  <c r="H3798" i="6"/>
  <c r="H3854" i="6"/>
  <c r="H3871" i="6"/>
  <c r="H3154" i="6"/>
  <c r="H3741" i="6"/>
  <c r="H9" i="6"/>
  <c r="H2788" i="6"/>
  <c r="H2783" i="6"/>
  <c r="H3705" i="6"/>
  <c r="H148" i="6"/>
  <c r="H3376" i="6"/>
  <c r="H3490" i="6"/>
  <c r="H3648" i="6"/>
  <c r="H3632" i="6"/>
  <c r="H3685" i="6"/>
  <c r="H3640" i="6"/>
  <c r="H89" i="6"/>
  <c r="H3668" i="6"/>
  <c r="H3626" i="6"/>
  <c r="H3836" i="6"/>
  <c r="H3625" i="6"/>
  <c r="H3835" i="6"/>
  <c r="H19" i="6"/>
  <c r="H2940" i="6"/>
  <c r="H3778" i="6"/>
  <c r="H2763" i="6"/>
  <c r="H131" i="6"/>
  <c r="H3007" i="6"/>
  <c r="H2729" i="6"/>
  <c r="H3478" i="6"/>
  <c r="H3527" i="6"/>
  <c r="H3744" i="6"/>
  <c r="H2888" i="6"/>
  <c r="H3031" i="6"/>
  <c r="H2968" i="6"/>
  <c r="H3579" i="6"/>
  <c r="H2943" i="6"/>
  <c r="H3962" i="6"/>
  <c r="H11" i="6"/>
  <c r="H10" i="6"/>
  <c r="H3017" i="6"/>
  <c r="H2716" i="6"/>
  <c r="H2800" i="6"/>
  <c r="H3483" i="6"/>
  <c r="H3076" i="6"/>
  <c r="H2749" i="6"/>
  <c r="H3147" i="6"/>
  <c r="H3032" i="6"/>
  <c r="H3329" i="6"/>
  <c r="H3087" i="6"/>
  <c r="H2747" i="6"/>
  <c r="H3205" i="6"/>
  <c r="H3760" i="6"/>
  <c r="H3328" i="6"/>
  <c r="H3927" i="6"/>
  <c r="H3069" i="6"/>
  <c r="H2720" i="6"/>
  <c r="H2972" i="6"/>
  <c r="H3034" i="6"/>
  <c r="H3471" i="6"/>
  <c r="H3474" i="6"/>
  <c r="H3480" i="6"/>
  <c r="H3485" i="6"/>
  <c r="H3489" i="6"/>
  <c r="H3909" i="6"/>
  <c r="H3037" i="6"/>
  <c r="H3655" i="6"/>
  <c r="H2739" i="6"/>
  <c r="H3926" i="6"/>
  <c r="H3029" i="6"/>
  <c r="H2752" i="6"/>
  <c r="H3013" i="6"/>
  <c r="H2715" i="6"/>
  <c r="H3061" i="6"/>
  <c r="H2721" i="6"/>
  <c r="H2934" i="6"/>
  <c r="H2704" i="6"/>
  <c r="H3047" i="6"/>
  <c r="H3728" i="6"/>
  <c r="H2726" i="6"/>
  <c r="H3925" i="6"/>
  <c r="H3166" i="6"/>
  <c r="H179" i="6"/>
  <c r="H2796" i="6"/>
  <c r="H3935" i="6"/>
  <c r="H3078" i="6"/>
  <c r="H3167" i="6"/>
  <c r="H3042" i="6"/>
  <c r="H2744" i="6"/>
  <c r="H3093" i="6"/>
  <c r="H3700" i="6"/>
  <c r="H3639" i="6"/>
  <c r="H3004" i="6"/>
  <c r="H2974" i="6"/>
  <c r="H2741" i="6"/>
  <c r="H3039" i="6"/>
  <c r="H3327" i="6"/>
  <c r="H3011" i="6"/>
  <c r="H3033" i="6"/>
  <c r="H3659" i="6"/>
  <c r="H3018" i="6"/>
  <c r="H3630" i="6"/>
  <c r="H3054" i="6"/>
  <c r="H3326" i="6"/>
  <c r="H3109" i="6"/>
  <c r="H2702" i="6"/>
  <c r="H2768" i="6"/>
  <c r="H3026" i="6"/>
  <c r="H2732" i="6"/>
  <c r="H3053" i="6"/>
  <c r="H2708" i="6"/>
  <c r="H3094" i="6"/>
  <c r="H3019" i="6"/>
  <c r="H2964" i="6"/>
  <c r="H3024" i="6"/>
  <c r="H3170" i="6"/>
  <c r="H2999" i="6"/>
  <c r="H2754" i="6"/>
  <c r="H3277" i="6"/>
  <c r="H3276" i="6"/>
  <c r="H3272" i="6"/>
  <c r="H2922" i="6"/>
  <c r="H2758" i="6"/>
  <c r="H3237" i="6"/>
  <c r="H3009" i="6"/>
  <c r="H2700" i="6"/>
  <c r="H3207" i="6"/>
  <c r="H3772" i="6"/>
  <c r="H3075" i="6"/>
  <c r="H3325" i="6"/>
  <c r="H3041" i="6"/>
  <c r="H2987" i="6"/>
  <c r="H3263" i="6"/>
  <c r="H3177" i="6"/>
  <c r="H3137" i="6"/>
  <c r="H3753" i="6"/>
  <c r="H3083" i="6"/>
  <c r="H2713" i="6"/>
  <c r="H3116" i="6"/>
  <c r="H3012" i="6"/>
  <c r="H3641" i="6"/>
  <c r="H3226" i="6"/>
  <c r="H3248" i="6"/>
  <c r="H2906" i="6"/>
  <c r="H2757" i="6"/>
  <c r="H3283" i="6"/>
  <c r="H3057" i="6"/>
  <c r="H3115" i="6"/>
  <c r="H3219" i="6"/>
  <c r="H3213" i="6"/>
  <c r="H3088" i="6"/>
  <c r="H3043" i="6"/>
  <c r="H3324" i="6"/>
  <c r="H3119" i="6"/>
  <c r="H3323" i="6"/>
  <c r="H3128" i="6"/>
  <c r="H2718" i="6"/>
  <c r="H3126" i="6"/>
  <c r="H3721" i="6"/>
  <c r="H3056" i="6"/>
  <c r="H3049" i="6"/>
  <c r="H2746" i="6"/>
  <c r="H3077" i="6"/>
  <c r="H3670" i="6"/>
  <c r="H3256" i="6"/>
  <c r="H3186" i="6"/>
  <c r="H3218" i="6"/>
  <c r="H3260" i="6"/>
  <c r="H3158" i="6"/>
  <c r="H2773" i="6"/>
  <c r="H2772" i="6"/>
  <c r="H2946" i="6"/>
  <c r="H4024" i="6"/>
  <c r="H2904" i="6"/>
  <c r="H2958" i="6"/>
  <c r="H3322" i="6"/>
  <c r="H3072" i="6"/>
  <c r="H2990" i="6"/>
  <c r="H2737" i="6"/>
  <c r="H3159" i="6"/>
  <c r="H3429" i="6"/>
  <c r="H3887" i="6"/>
  <c r="H175" i="6"/>
  <c r="H3477" i="6"/>
  <c r="H2794" i="6"/>
  <c r="H2832" i="6"/>
  <c r="H3482" i="6"/>
  <c r="H3892" i="6"/>
  <c r="H2770" i="6"/>
  <c r="H4019" i="6"/>
  <c r="H3456" i="6"/>
  <c r="H3486" i="6"/>
  <c r="H189" i="6"/>
  <c r="H2859" i="6"/>
  <c r="H366" i="6"/>
  <c r="H3321" i="6"/>
  <c r="H3388" i="6"/>
  <c r="H2889" i="6"/>
  <c r="H2778" i="6"/>
  <c r="H3425" i="6"/>
  <c r="H3468" i="6"/>
  <c r="H260" i="6"/>
  <c r="H302" i="6"/>
  <c r="H283" i="6"/>
  <c r="H271" i="6"/>
  <c r="H273" i="6"/>
  <c r="H270" i="6"/>
  <c r="H329" i="6"/>
  <c r="H285" i="6"/>
  <c r="H3402" i="6"/>
  <c r="H3539" i="6"/>
  <c r="H3295" i="6"/>
  <c r="H185" i="6"/>
  <c r="H2918" i="6"/>
  <c r="H3542" i="6"/>
  <c r="H3223" i="6"/>
  <c r="H3802" i="6"/>
  <c r="H3320" i="6"/>
  <c r="H3924" i="6"/>
  <c r="H2814" i="6"/>
  <c r="H3514" i="6"/>
  <c r="H3788" i="6"/>
  <c r="H267" i="6"/>
  <c r="H2630" i="6"/>
  <c r="H2818" i="6"/>
  <c r="H3183" i="6"/>
  <c r="H2825" i="6"/>
  <c r="H3520" i="6"/>
  <c r="H2827" i="6"/>
  <c r="H2854" i="6"/>
  <c r="H3957" i="6"/>
  <c r="H2847" i="6"/>
  <c r="H3441" i="6"/>
  <c r="H3437" i="6"/>
  <c r="H201" i="6"/>
  <c r="H3257" i="6"/>
  <c r="H3341" i="6"/>
  <c r="H3357" i="6"/>
  <c r="H3865" i="6"/>
  <c r="H3469" i="6"/>
  <c r="H3408" i="6"/>
  <c r="H2853" i="6"/>
  <c r="H3944" i="6"/>
  <c r="H378" i="6"/>
  <c r="H3178" i="6"/>
  <c r="H3790" i="6"/>
  <c r="H3319" i="6"/>
  <c r="H3923" i="6"/>
  <c r="H2861" i="6"/>
  <c r="H3945" i="6"/>
  <c r="H212" i="6"/>
  <c r="H3809" i="6"/>
  <c r="H3340" i="6"/>
  <c r="H3356" i="6"/>
  <c r="H3847" i="6"/>
  <c r="H183" i="6"/>
  <c r="H2807" i="6"/>
  <c r="H3951" i="6"/>
  <c r="H2784" i="6"/>
  <c r="H2592" i="6"/>
  <c r="H2668" i="6"/>
  <c r="H2830" i="6"/>
  <c r="H3521" i="6"/>
  <c r="H3107" i="6"/>
  <c r="H3266" i="6"/>
  <c r="H3450" i="6"/>
  <c r="H3463" i="6"/>
  <c r="H3180" i="6"/>
  <c r="H204" i="6"/>
  <c r="H3255" i="6"/>
  <c r="H3922" i="6"/>
  <c r="H246" i="6"/>
  <c r="H252" i="6"/>
  <c r="H258" i="6"/>
  <c r="H2782" i="6"/>
  <c r="H2806" i="6"/>
  <c r="H3512" i="6"/>
  <c r="H2805" i="6"/>
  <c r="H3511" i="6"/>
  <c r="H2887" i="6"/>
  <c r="H3958" i="6"/>
  <c r="H2779" i="6"/>
  <c r="H3503" i="6"/>
  <c r="H2978" i="6"/>
  <c r="H3488" i="6"/>
  <c r="H2820" i="6"/>
  <c r="H3516" i="6"/>
  <c r="H2819" i="6"/>
  <c r="H2655" i="6"/>
  <c r="H2833" i="6"/>
  <c r="H2834" i="6"/>
  <c r="H345" i="6"/>
  <c r="H2845" i="6"/>
  <c r="H3943" i="6"/>
  <c r="H2811" i="6"/>
  <c r="H3515" i="6"/>
  <c r="H2812" i="6"/>
  <c r="H2883" i="6"/>
  <c r="H3530" i="6"/>
  <c r="H2808" i="6"/>
  <c r="H3519" i="6"/>
  <c r="H2657" i="6"/>
  <c r="H2841" i="6"/>
  <c r="H2774" i="6"/>
  <c r="H3118" i="6"/>
  <c r="H3716" i="6"/>
  <c r="H3232" i="6"/>
  <c r="H347" i="6"/>
  <c r="H2776" i="6"/>
  <c r="H237" i="6"/>
  <c r="H3117" i="6"/>
  <c r="H3724" i="6"/>
  <c r="H3163" i="6"/>
  <c r="H3737" i="6"/>
  <c r="H2733" i="6"/>
  <c r="H3921" i="6"/>
  <c r="H211" i="6"/>
  <c r="H3794" i="6"/>
  <c r="H2643" i="6"/>
  <c r="H3342" i="6"/>
  <c r="H3358" i="6"/>
  <c r="H2957" i="6"/>
  <c r="H3634" i="6"/>
  <c r="H3291" i="6"/>
  <c r="H194" i="6"/>
  <c r="H2635" i="6"/>
  <c r="H3215" i="6"/>
  <c r="H3780" i="6"/>
  <c r="H3948" i="6"/>
  <c r="H4009" i="6"/>
  <c r="H349" i="6"/>
  <c r="H256" i="6"/>
  <c r="H242" i="6"/>
  <c r="H350" i="6"/>
  <c r="H3" i="6"/>
  <c r="H195" i="6"/>
  <c r="H208" i="6"/>
  <c r="H406" i="6"/>
  <c r="H2647" i="6"/>
  <c r="H3347" i="6"/>
  <c r="H3363" i="6"/>
  <c r="H3285" i="6"/>
  <c r="H3346" i="6"/>
  <c r="H3362" i="6"/>
  <c r="H2642" i="6"/>
  <c r="H3349" i="6"/>
  <c r="H3365" i="6"/>
  <c r="H192" i="6"/>
  <c r="H3052" i="6"/>
  <c r="H3994" i="6"/>
  <c r="H193" i="6"/>
  <c r="H2633" i="6"/>
  <c r="H3187" i="6"/>
  <c r="H3947" i="6"/>
  <c r="H4007" i="6"/>
  <c r="H210" i="6"/>
  <c r="H3817" i="6"/>
  <c r="H4012" i="6"/>
  <c r="H197" i="6"/>
  <c r="H407" i="6"/>
  <c r="H3234" i="6"/>
  <c r="H2632" i="6"/>
  <c r="H2849" i="6"/>
  <c r="H4021" i="6"/>
  <c r="H2652" i="6"/>
  <c r="H4020" i="6"/>
  <c r="H2650" i="6"/>
  <c r="H2787" i="6"/>
  <c r="H3461" i="6"/>
  <c r="H3350" i="6"/>
  <c r="H3366" i="6"/>
  <c r="H3267" i="6"/>
  <c r="H3339" i="6"/>
  <c r="H3355" i="6"/>
  <c r="H3286" i="6"/>
  <c r="H3344" i="6"/>
  <c r="H3360" i="6"/>
  <c r="H3318" i="6"/>
  <c r="H3351" i="6"/>
  <c r="H3367" i="6"/>
  <c r="H2654" i="6"/>
  <c r="H2824" i="6"/>
  <c r="H2661" i="6"/>
  <c r="H2660" i="6"/>
  <c r="H214" i="6"/>
  <c r="H3838" i="6"/>
  <c r="H3484" i="6"/>
  <c r="H3481" i="6"/>
  <c r="H3433" i="6"/>
  <c r="H3066" i="6"/>
  <c r="H3479" i="6"/>
  <c r="H3201" i="6"/>
  <c r="H3770" i="6"/>
  <c r="H3317" i="6"/>
  <c r="H3920" i="6"/>
  <c r="H3726" i="6"/>
  <c r="H176" i="6"/>
  <c r="H2649" i="6"/>
  <c r="H2775" i="6"/>
  <c r="H2622" i="6"/>
  <c r="H2648" i="6"/>
  <c r="H2656" i="6"/>
  <c r="H2836" i="6"/>
  <c r="H3954" i="6"/>
  <c r="H181" i="6"/>
  <c r="H2663" i="6"/>
  <c r="H2799" i="6"/>
  <c r="H3937" i="6"/>
  <c r="H397" i="6"/>
  <c r="H2851" i="6"/>
  <c r="H2852" i="6"/>
  <c r="H374" i="6"/>
  <c r="H226" i="6"/>
  <c r="H218" i="6"/>
  <c r="H2791" i="6"/>
  <c r="H2792" i="6"/>
  <c r="H3505" i="6"/>
  <c r="H2838" i="6"/>
  <c r="H2764" i="6"/>
  <c r="H264" i="6"/>
  <c r="H188" i="6"/>
  <c r="H2623" i="6"/>
  <c r="H2631" i="6"/>
  <c r="H2844" i="6"/>
  <c r="H3942" i="6"/>
  <c r="H3955" i="6"/>
  <c r="H2925" i="6"/>
  <c r="H3554" i="6"/>
  <c r="H2839" i="6"/>
  <c r="H3526" i="6"/>
  <c r="H3525" i="6"/>
  <c r="H2835" i="6"/>
  <c r="H2829" i="6"/>
  <c r="H2848" i="6"/>
  <c r="H2645" i="6"/>
  <c r="H3161" i="6"/>
  <c r="H186" i="6"/>
  <c r="H2822" i="6"/>
  <c r="H3517" i="6"/>
  <c r="H3941" i="6"/>
  <c r="H3952" i="6"/>
  <c r="H2993" i="6"/>
  <c r="H3418" i="6"/>
  <c r="H3144" i="6"/>
  <c r="H3837" i="6"/>
  <c r="H180" i="6"/>
  <c r="H2629" i="6"/>
  <c r="H2798" i="6"/>
  <c r="H3508" i="6"/>
  <c r="H3936" i="6"/>
  <c r="H3950" i="6"/>
  <c r="H190" i="6"/>
  <c r="H2885" i="6"/>
  <c r="H3946" i="6"/>
  <c r="H3959" i="6"/>
  <c r="H2817" i="6"/>
  <c r="H3953" i="6"/>
  <c r="H3269" i="6"/>
  <c r="H3338" i="6"/>
  <c r="H3354" i="6"/>
  <c r="H184" i="6"/>
  <c r="H2626" i="6"/>
  <c r="H2809" i="6"/>
  <c r="H3513" i="6"/>
  <c r="H3939" i="6"/>
  <c r="H2816" i="6"/>
  <c r="H3940" i="6"/>
  <c r="H223" i="6"/>
  <c r="H356" i="6"/>
  <c r="H2916" i="6"/>
  <c r="H3735" i="6"/>
  <c r="H280" i="6"/>
  <c r="H330" i="6"/>
  <c r="H230" i="6"/>
  <c r="H2659" i="6"/>
  <c r="H2873" i="6"/>
  <c r="H3538" i="6"/>
  <c r="H2662" i="6"/>
  <c r="H2802" i="6"/>
  <c r="H3919" i="6"/>
  <c r="H231" i="6"/>
  <c r="H3157" i="6"/>
  <c r="H3743" i="6"/>
  <c r="H2786" i="6"/>
  <c r="H2760" i="6"/>
  <c r="H2603" i="6"/>
  <c r="H2857" i="6"/>
  <c r="H3956" i="6"/>
  <c r="H196" i="6"/>
  <c r="H3189" i="6"/>
  <c r="H2920" i="6"/>
  <c r="H2815" i="6"/>
  <c r="H2949" i="6"/>
  <c r="H3316" i="6"/>
  <c r="H202" i="6"/>
  <c r="H3842" i="6"/>
  <c r="H205" i="6"/>
  <c r="H3271" i="6"/>
  <c r="H200" i="6"/>
  <c r="H3259" i="6"/>
  <c r="H3192" i="6"/>
  <c r="H2736" i="6"/>
  <c r="H3281" i="6"/>
  <c r="H3343" i="6"/>
  <c r="H3359" i="6"/>
  <c r="H2941" i="6"/>
  <c r="H2727" i="6"/>
  <c r="H3073" i="6"/>
  <c r="H3682" i="6"/>
  <c r="H3541" i="6"/>
  <c r="H386" i="6"/>
  <c r="H3345" i="6"/>
  <c r="H3361" i="6"/>
  <c r="H3148" i="6"/>
  <c r="H3740" i="6"/>
  <c r="H3315" i="6"/>
  <c r="H3918" i="6"/>
  <c r="H3337" i="6"/>
  <c r="H3353" i="6"/>
  <c r="H215" i="6"/>
  <c r="H3254" i="6"/>
  <c r="H244" i="6"/>
  <c r="H380" i="6"/>
  <c r="H3457" i="6"/>
  <c r="H199" i="6"/>
  <c r="H2665" i="6"/>
  <c r="H221" i="6"/>
  <c r="H4025" i="6"/>
  <c r="H3292" i="6"/>
  <c r="H3348" i="6"/>
  <c r="H3364" i="6"/>
  <c r="H2863" i="6"/>
  <c r="H4022" i="6"/>
  <c r="H2826" i="6"/>
  <c r="H2867" i="6"/>
  <c r="H2856" i="6"/>
  <c r="H2855" i="6"/>
  <c r="H3113" i="6"/>
  <c r="H3314" i="6"/>
  <c r="H257" i="6"/>
  <c r="H375" i="6"/>
  <c r="H187" i="6"/>
  <c r="H2621" i="6"/>
  <c r="H2664" i="6"/>
  <c r="H2823" i="6"/>
  <c r="H2658" i="6"/>
  <c r="H2864" i="6"/>
  <c r="H4023" i="6"/>
  <c r="H182" i="6"/>
  <c r="H404" i="6"/>
  <c r="H2803" i="6"/>
  <c r="H3510" i="6"/>
  <c r="H3938" i="6"/>
  <c r="H2785" i="6"/>
  <c r="H3504" i="6"/>
  <c r="H2594" i="6"/>
  <c r="H178" i="6"/>
  <c r="H2620" i="6"/>
  <c r="H2628" i="6"/>
  <c r="H2766" i="6"/>
  <c r="H3934" i="6"/>
  <c r="H379" i="6"/>
  <c r="H227" i="6"/>
  <c r="H213" i="6"/>
  <c r="H3244" i="6"/>
  <c r="H207" i="6"/>
  <c r="H2641" i="6"/>
  <c r="H2860" i="6"/>
  <c r="H3529" i="6"/>
  <c r="H2762" i="6"/>
  <c r="H3499" i="6"/>
  <c r="H2793" i="6"/>
  <c r="H3506" i="6"/>
  <c r="H2874" i="6"/>
  <c r="H3336" i="6"/>
  <c r="H3352" i="6"/>
  <c r="H209" i="6"/>
  <c r="H3796" i="6"/>
  <c r="H2908" i="6"/>
  <c r="H3888" i="6"/>
  <c r="H2898" i="6"/>
  <c r="H3533" i="6"/>
  <c r="H2912" i="6"/>
  <c r="H2745" i="6"/>
  <c r="H177" i="6"/>
  <c r="H2619" i="6"/>
  <c r="H2627" i="6"/>
  <c r="H2759" i="6"/>
  <c r="H3498" i="6"/>
  <c r="H3933" i="6"/>
  <c r="H3949" i="6"/>
  <c r="H250" i="6"/>
  <c r="H3620" i="6"/>
  <c r="H3968" i="6"/>
  <c r="H2948" i="6"/>
  <c r="H3582" i="6"/>
  <c r="H3963" i="6"/>
  <c r="H3841" i="6"/>
  <c r="H3786" i="6"/>
  <c r="H3637" i="6"/>
  <c r="H3010" i="6"/>
  <c r="H3150" i="6"/>
  <c r="H3074" i="6"/>
  <c r="H3631" i="6"/>
  <c r="H3079" i="6"/>
  <c r="H3561" i="6"/>
  <c r="H3563" i="6"/>
  <c r="H3573" i="6"/>
  <c r="H3252" i="6"/>
  <c r="H3681" i="6"/>
  <c r="H3873" i="6"/>
  <c r="H3595" i="6"/>
  <c r="H3673" i="6"/>
  <c r="H3689" i="6"/>
  <c r="H3124" i="6"/>
  <c r="H3719" i="6"/>
  <c r="H3600" i="6"/>
  <c r="H3138" i="6"/>
  <c r="H3734" i="6"/>
  <c r="H2895" i="6"/>
  <c r="H2896" i="6"/>
  <c r="H3000" i="6"/>
  <c r="H3671" i="6"/>
  <c r="H2965" i="6"/>
  <c r="H3596" i="6"/>
  <c r="H3184" i="6"/>
  <c r="H3764" i="6"/>
  <c r="H3090" i="6"/>
  <c r="H3695" i="6"/>
  <c r="H3008" i="6"/>
  <c r="H3893" i="6"/>
  <c r="H3759" i="6"/>
  <c r="H3723" i="6"/>
  <c r="H3025" i="6"/>
  <c r="H3653" i="6"/>
  <c r="H3003" i="6"/>
  <c r="H3313" i="6"/>
  <c r="H402" i="6"/>
  <c r="H269" i="6"/>
  <c r="H3142" i="6"/>
  <c r="H3729" i="6"/>
  <c r="H362" i="6"/>
  <c r="H2936" i="6"/>
  <c r="H3059" i="6"/>
  <c r="H3667" i="6"/>
  <c r="H3095" i="6"/>
  <c r="H3693" i="6"/>
  <c r="H2724" i="6"/>
  <c r="H3917" i="6"/>
  <c r="H3522" i="6"/>
  <c r="H3825" i="6"/>
  <c r="H3896" i="6"/>
  <c r="H3725" i="6"/>
  <c r="H3129" i="6"/>
  <c r="H3202" i="6"/>
  <c r="H3697" i="6"/>
  <c r="H3722" i="6"/>
  <c r="H3868" i="6"/>
  <c r="H3757" i="6"/>
  <c r="H3878" i="6"/>
  <c r="H3709" i="6"/>
  <c r="H3756" i="6"/>
  <c r="H3071" i="6"/>
  <c r="H3175" i="6"/>
  <c r="H3176" i="6"/>
  <c r="H2699" i="6"/>
  <c r="H235" i="6"/>
  <c r="H3566" i="6"/>
  <c r="H277" i="6"/>
  <c r="H3850" i="6"/>
  <c r="H3080" i="6"/>
  <c r="H3680" i="6"/>
  <c r="H216" i="6"/>
  <c r="H3594" i="6"/>
  <c r="H3787" i="6"/>
  <c r="H3824" i="6"/>
  <c r="H3855" i="6"/>
  <c r="H3810" i="6"/>
  <c r="H3181" i="6"/>
  <c r="H3763" i="6"/>
  <c r="H2947" i="6"/>
  <c r="H3568" i="6"/>
  <c r="H2981" i="6"/>
  <c r="H3610" i="6"/>
  <c r="H3149" i="6"/>
  <c r="H3832" i="6"/>
  <c r="H3289" i="6"/>
  <c r="H3874" i="6"/>
  <c r="H3220" i="6"/>
  <c r="H3783" i="6"/>
  <c r="H3287" i="6"/>
  <c r="H3866" i="6"/>
  <c r="H3229" i="6"/>
  <c r="H3494" i="6"/>
  <c r="H2942" i="6"/>
  <c r="H3609" i="6"/>
  <c r="H3146" i="6"/>
  <c r="H3733" i="6"/>
  <c r="H3692" i="6"/>
  <c r="H3997" i="6"/>
  <c r="H3199" i="6"/>
  <c r="H3768" i="6"/>
  <c r="H3274" i="6"/>
  <c r="H3815" i="6"/>
  <c r="H3196" i="6"/>
  <c r="H3749" i="6"/>
  <c r="H3312" i="6"/>
  <c r="H3916" i="6"/>
  <c r="H3228" i="6"/>
  <c r="H263" i="6"/>
  <c r="H367" i="6"/>
  <c r="H392" i="6"/>
  <c r="H395" i="6"/>
  <c r="H3221" i="6"/>
  <c r="H3784" i="6"/>
  <c r="H3730" i="6"/>
  <c r="H4003" i="6"/>
  <c r="H3048" i="6"/>
  <c r="H3992" i="6"/>
  <c r="H3222" i="6"/>
  <c r="H344" i="6"/>
  <c r="H3303" i="6"/>
  <c r="H3901" i="6"/>
  <c r="H279" i="6"/>
  <c r="H261" i="6"/>
  <c r="H276" i="6"/>
  <c r="H368" i="6"/>
  <c r="H387" i="6"/>
  <c r="H233" i="6"/>
  <c r="H396" i="6"/>
  <c r="H314" i="6"/>
  <c r="H326" i="6"/>
  <c r="H3635" i="6"/>
  <c r="H3612" i="6"/>
  <c r="H3886" i="6"/>
  <c r="H3792" i="6"/>
  <c r="H3590" i="6"/>
  <c r="H3967" i="6"/>
  <c r="H3830" i="6"/>
  <c r="H3979" i="6"/>
  <c r="H3902" i="6"/>
  <c r="H3614" i="6"/>
  <c r="H3975" i="6"/>
  <c r="H394" i="6"/>
  <c r="H2677" i="6"/>
  <c r="H2604" i="6"/>
  <c r="H3615" i="6"/>
  <c r="H3965" i="6"/>
  <c r="H2698" i="6"/>
  <c r="H2684" i="6"/>
  <c r="H3125" i="6"/>
  <c r="H3688" i="6"/>
  <c r="H2697" i="6"/>
  <c r="H3679" i="6"/>
  <c r="H3998" i="6"/>
  <c r="H2676" i="6"/>
  <c r="H2689" i="6"/>
  <c r="H3227" i="6"/>
  <c r="H4010" i="6"/>
  <c r="H3247" i="6"/>
  <c r="H2606" i="6"/>
  <c r="H2977" i="6"/>
  <c r="H3972" i="6"/>
  <c r="H3145" i="6"/>
  <c r="H405" i="6"/>
  <c r="H3597" i="6"/>
  <c r="H3969" i="6"/>
  <c r="H2686" i="6"/>
  <c r="H2680" i="6"/>
  <c r="H3046" i="6"/>
  <c r="H3683" i="6"/>
  <c r="H3217" i="6"/>
  <c r="H2609" i="6"/>
  <c r="H3652" i="6"/>
  <c r="H3859" i="6"/>
  <c r="H3206" i="6"/>
  <c r="H2688" i="6"/>
  <c r="H2692" i="6"/>
  <c r="H2687" i="6"/>
  <c r="H2691" i="6"/>
  <c r="H3706" i="6"/>
  <c r="H3999" i="6"/>
  <c r="H2615" i="6"/>
  <c r="H3691" i="6"/>
  <c r="H2681" i="6"/>
  <c r="H2679" i="6"/>
  <c r="H2693" i="6"/>
  <c r="H316" i="6"/>
  <c r="H3280" i="6"/>
  <c r="H4016" i="6"/>
  <c r="H2685" i="6"/>
  <c r="H3002" i="6"/>
  <c r="H3492" i="6"/>
  <c r="H321" i="6"/>
  <c r="H3762" i="6"/>
  <c r="H3807" i="6"/>
  <c r="H2" i="6"/>
  <c r="H3646" i="6"/>
  <c r="H3982" i="6"/>
  <c r="H3495" i="6"/>
  <c r="H3677" i="6"/>
  <c r="H3985" i="6"/>
  <c r="H2989" i="6"/>
  <c r="H3978" i="6"/>
  <c r="H3616" i="6"/>
  <c r="H3974" i="6"/>
  <c r="H3633" i="6"/>
  <c r="H3981" i="6"/>
  <c r="H282" i="6"/>
  <c r="H234" i="6"/>
  <c r="H370" i="6"/>
  <c r="H228" i="6"/>
  <c r="H2678" i="6"/>
  <c r="H3848" i="6"/>
  <c r="H2900" i="6"/>
  <c r="H3534" i="6"/>
  <c r="H3853" i="6"/>
  <c r="H3867" i="6"/>
  <c r="H3862" i="6"/>
  <c r="H2907" i="6"/>
  <c r="H3535" i="6"/>
  <c r="H272" i="6"/>
  <c r="H388" i="6"/>
  <c r="H3831" i="6"/>
  <c r="H3577" i="6"/>
  <c r="H315" i="6"/>
  <c r="H268" i="6"/>
  <c r="H372" i="6"/>
  <c r="H254" i="6"/>
  <c r="H3200" i="6"/>
  <c r="H290" i="6"/>
  <c r="H360" i="6"/>
  <c r="H328" i="6"/>
  <c r="H354" i="6"/>
  <c r="H401" i="6"/>
  <c r="H262" i="6"/>
  <c r="H296" i="6"/>
  <c r="H377" i="6"/>
  <c r="H310" i="6"/>
  <c r="H313" i="6"/>
  <c r="H358" i="6"/>
  <c r="H287" i="6"/>
  <c r="H307" i="6"/>
  <c r="H274" i="6"/>
  <c r="H265" i="6"/>
  <c r="H286" i="6"/>
  <c r="H309" i="6"/>
  <c r="H289" i="6"/>
  <c r="H303" i="6"/>
  <c r="H2617" i="6"/>
  <c r="H3767" i="6"/>
  <c r="H4008" i="6"/>
  <c r="H3085" i="6"/>
  <c r="H3657" i="6"/>
  <c r="H2894" i="6"/>
  <c r="H2893" i="6"/>
  <c r="H323" i="6"/>
  <c r="H2608" i="6"/>
  <c r="H3650" i="6"/>
  <c r="H3242" i="6"/>
  <c r="H3819" i="6"/>
  <c r="H298" i="6"/>
  <c r="H337" i="6"/>
  <c r="H324" i="6"/>
  <c r="H2639" i="6"/>
  <c r="H3621" i="6"/>
  <c r="H3977" i="6"/>
  <c r="H295" i="6"/>
  <c r="H291" i="6"/>
  <c r="H331" i="6"/>
  <c r="H294" i="6"/>
  <c r="H2865" i="6"/>
  <c r="H2866" i="6"/>
  <c r="H2971" i="6"/>
  <c r="H2738" i="6"/>
  <c r="H305" i="6"/>
  <c r="H3833" i="6"/>
  <c r="H3811" i="6"/>
  <c r="H3773" i="6"/>
  <c r="H2683" i="6"/>
  <c r="H3822" i="6"/>
  <c r="H3814" i="6"/>
  <c r="H3275" i="6"/>
  <c r="H3834" i="6"/>
  <c r="H3889" i="6"/>
  <c r="H3806" i="6"/>
  <c r="H3816" i="6"/>
  <c r="H400" i="6"/>
  <c r="H3518" i="6"/>
  <c r="H3797" i="6"/>
  <c r="H2983" i="6"/>
  <c r="H3619" i="6"/>
  <c r="H2634" i="6"/>
  <c r="H3089" i="6"/>
  <c r="H3771" i="6"/>
  <c r="H299" i="6"/>
  <c r="H3050" i="6"/>
  <c r="H3996" i="6"/>
  <c r="H3156" i="6"/>
  <c r="H3727" i="6"/>
  <c r="H3976" i="6"/>
  <c r="H3672" i="6"/>
  <c r="H3246" i="6"/>
  <c r="H3813" i="6"/>
  <c r="H3092" i="6"/>
  <c r="H3708" i="6"/>
  <c r="H206" i="6"/>
  <c r="H3711" i="6"/>
  <c r="H251" i="6"/>
  <c r="H3261" i="6"/>
  <c r="H3171" i="6"/>
  <c r="H3980" i="6"/>
  <c r="H3651" i="6"/>
  <c r="H342" i="6"/>
  <c r="H3860" i="6"/>
  <c r="H3863" i="6"/>
  <c r="H3803" i="6"/>
  <c r="H3876" i="6"/>
  <c r="H3821" i="6"/>
  <c r="H3243" i="6"/>
  <c r="H3870" i="6"/>
  <c r="H3895" i="6"/>
  <c r="H3233" i="6"/>
  <c r="H2725" i="6"/>
  <c r="H3599" i="6"/>
  <c r="H2975" i="6"/>
  <c r="H3589" i="6"/>
  <c r="H3715" i="6"/>
  <c r="H3282" i="6"/>
  <c r="H4017" i="6"/>
  <c r="H3674" i="6"/>
  <c r="H3262" i="6"/>
  <c r="H4014" i="6"/>
  <c r="H3253" i="6"/>
  <c r="H3829" i="6"/>
  <c r="H3294" i="6"/>
  <c r="H3297" i="6"/>
  <c r="H4013" i="6"/>
  <c r="H3300" i="6"/>
  <c r="H3592" i="6"/>
  <c r="H3273" i="6"/>
  <c r="H3885" i="6"/>
  <c r="H3231" i="6"/>
  <c r="H3800" i="6"/>
  <c r="H2646" i="6"/>
  <c r="H3774" i="6"/>
  <c r="H3804" i="6"/>
  <c r="H2614" i="6"/>
  <c r="H3690" i="6"/>
  <c r="H3988" i="6"/>
  <c r="H3172" i="6"/>
  <c r="H3752" i="6"/>
  <c r="H3900" i="6"/>
  <c r="H2556" i="6"/>
  <c r="H3245" i="6"/>
  <c r="H3823" i="6"/>
  <c r="H3658" i="6"/>
  <c r="H3661" i="6"/>
  <c r="H3288" i="6"/>
  <c r="H3872" i="6"/>
  <c r="H3660" i="6"/>
  <c r="H3203" i="6"/>
  <c r="H3769" i="6"/>
  <c r="H3636" i="6"/>
  <c r="H3984" i="6"/>
  <c r="H3880" i="6"/>
  <c r="H3293" i="6"/>
  <c r="H3607" i="6"/>
  <c r="H3971" i="6"/>
  <c r="H3864" i="6"/>
  <c r="H293" i="6"/>
  <c r="H288" i="6"/>
  <c r="H361" i="6"/>
  <c r="H275" i="6"/>
  <c r="H308" i="6"/>
  <c r="H224" i="6"/>
  <c r="H348" i="6"/>
  <c r="H266" i="6"/>
  <c r="H391" i="6"/>
  <c r="H253" i="6"/>
  <c r="H217" i="6"/>
  <c r="H365" i="6"/>
  <c r="H340" i="6"/>
  <c r="H325" i="6"/>
  <c r="H281" i="6"/>
  <c r="H2961" i="6"/>
  <c r="H3578" i="6"/>
  <c r="H3964" i="6"/>
  <c r="H322" i="6"/>
  <c r="H3014" i="6"/>
  <c r="H2753" i="6"/>
  <c r="H333" i="6"/>
  <c r="H2955" i="6"/>
  <c r="H3581" i="6"/>
  <c r="H3966" i="6"/>
  <c r="H2991" i="6"/>
  <c r="H2755" i="6"/>
  <c r="H398" i="6"/>
  <c r="H3898" i="6"/>
  <c r="H390" i="6"/>
  <c r="H343" i="6"/>
  <c r="H3662" i="6"/>
  <c r="H3990" i="6"/>
  <c r="H259" i="6"/>
  <c r="H3114" i="6"/>
  <c r="H3710" i="6"/>
  <c r="H2959" i="6"/>
  <c r="H3611" i="6"/>
  <c r="H3311" i="6"/>
  <c r="H3915" i="6"/>
  <c r="H2996" i="6"/>
  <c r="H2979" i="6"/>
  <c r="H3629" i="6"/>
  <c r="H2711" i="6"/>
  <c r="H3914" i="6"/>
  <c r="H2696" i="6"/>
  <c r="H3212" i="6"/>
  <c r="H3799" i="6"/>
  <c r="H3027" i="6"/>
  <c r="H3791" i="6"/>
  <c r="H2751" i="6"/>
  <c r="H3913" i="6"/>
  <c r="H3123" i="6"/>
  <c r="H3493" i="6"/>
  <c r="H2960" i="6"/>
  <c r="H3491" i="6"/>
  <c r="H3168" i="6"/>
  <c r="H3793" i="6"/>
  <c r="H2707" i="6"/>
  <c r="H3912" i="6"/>
  <c r="H3188" i="6"/>
  <c r="H3241" i="6"/>
  <c r="H3310" i="6"/>
  <c r="H3301" i="6"/>
  <c r="H3899" i="6"/>
  <c r="H3278" i="6"/>
  <c r="H3268" i="6"/>
  <c r="H3063" i="6"/>
  <c r="H3839" i="6"/>
  <c r="H3736" i="6"/>
  <c r="H3284" i="6"/>
  <c r="H3857" i="6"/>
  <c r="H3555" i="6"/>
  <c r="H255" i="6"/>
  <c r="H352" i="6"/>
  <c r="H2998" i="6"/>
  <c r="H3624" i="6"/>
  <c r="H3879" i="6"/>
  <c r="H2927" i="6"/>
  <c r="H3557" i="6"/>
  <c r="H239" i="6"/>
  <c r="H389" i="6"/>
  <c r="H317" i="6"/>
  <c r="H2911" i="6"/>
  <c r="H3540" i="6"/>
  <c r="H219" i="6"/>
  <c r="H247" i="6"/>
  <c r="H243" i="6"/>
  <c r="H382" i="6"/>
  <c r="H249" i="6"/>
  <c r="H346" i="6"/>
  <c r="H353" i="6"/>
  <c r="H351" i="6"/>
  <c r="H240" i="6"/>
  <c r="H278" i="6"/>
  <c r="H225" i="6"/>
  <c r="H203" i="6"/>
  <c r="H408" i="6"/>
  <c r="H3265" i="6"/>
  <c r="H363" i="6"/>
  <c r="H384" i="6"/>
  <c r="H236" i="6"/>
  <c r="H373" i="6"/>
  <c r="H311" i="6"/>
  <c r="H319" i="6"/>
  <c r="H3645" i="6"/>
  <c r="H3877" i="6"/>
  <c r="H3882" i="6"/>
  <c r="H3238" i="6"/>
  <c r="H3894" i="6"/>
  <c r="H3883" i="6"/>
  <c r="H3251" i="6"/>
  <c r="H3827" i="6"/>
  <c r="H2605" i="6"/>
  <c r="H2644" i="6"/>
  <c r="H3598" i="6"/>
  <c r="H3970" i="6"/>
  <c r="H3240" i="6"/>
  <c r="H2694" i="6"/>
  <c r="H3164" i="6"/>
  <c r="H3891" i="6"/>
  <c r="H369" i="6"/>
  <c r="H238" i="6"/>
  <c r="H241" i="6"/>
  <c r="H229" i="6"/>
  <c r="H2607" i="6"/>
  <c r="H3613" i="6"/>
  <c r="H399" i="6"/>
  <c r="H284" i="6"/>
  <c r="H232" i="6"/>
  <c r="H248" i="6"/>
  <c r="H2638" i="6"/>
  <c r="H3296" i="6"/>
  <c r="H335" i="6"/>
  <c r="H364" i="6"/>
  <c r="H355" i="6"/>
  <c r="H359" i="6"/>
  <c r="H357" i="6"/>
  <c r="H3808" i="6"/>
  <c r="H301" i="6"/>
  <c r="H3846" i="6"/>
  <c r="H3153" i="6"/>
  <c r="H3785" i="6"/>
  <c r="H3016" i="6"/>
  <c r="H3225" i="6"/>
  <c r="H3795" i="6"/>
  <c r="H403" i="6"/>
  <c r="H2637" i="6"/>
  <c r="H3845" i="6"/>
  <c r="H3742" i="6"/>
  <c r="H3591" i="6"/>
  <c r="H3843" i="6"/>
  <c r="H3086" i="6"/>
  <c r="H3701" i="6"/>
  <c r="H3250" i="6"/>
  <c r="H3801" i="6"/>
  <c r="H3840" i="6"/>
  <c r="H3698" i="6"/>
  <c r="H3993" i="6"/>
  <c r="H312" i="6"/>
  <c r="H2613" i="6"/>
  <c r="H3665" i="6"/>
  <c r="H2992" i="6"/>
  <c r="H2882" i="6"/>
  <c r="H2880" i="6"/>
  <c r="H297" i="6"/>
  <c r="H3720" i="6"/>
  <c r="H320" i="6"/>
  <c r="H3185" i="6"/>
  <c r="H292" i="6"/>
  <c r="H3005" i="6"/>
  <c r="H3983" i="6"/>
  <c r="H2985" i="6"/>
  <c r="H3309" i="6"/>
  <c r="H222" i="6"/>
  <c r="H3302" i="6"/>
  <c r="H3654" i="6"/>
  <c r="H3989" i="6"/>
  <c r="H3731" i="6"/>
  <c r="H4004" i="6"/>
  <c r="H1055" i="6"/>
  <c r="H3198" i="6"/>
  <c r="H3776" i="6"/>
  <c r="H393" i="6"/>
  <c r="H2988" i="6"/>
  <c r="H3812" i="6"/>
  <c r="H4011" i="6"/>
  <c r="H2546" i="6"/>
  <c r="H3249" i="6"/>
  <c r="H3826" i="6"/>
  <c r="H3258" i="6"/>
  <c r="H3828" i="6"/>
  <c r="H3308" i="6"/>
  <c r="H3911" i="6"/>
  <c r="H3110" i="6"/>
  <c r="H4001" i="6"/>
  <c r="H2910" i="6"/>
  <c r="H327" i="6"/>
  <c r="H2624" i="6"/>
  <c r="H3239" i="6"/>
  <c r="H2625" i="6"/>
  <c r="H3307" i="6"/>
  <c r="H4018" i="6"/>
  <c r="H3618" i="6"/>
  <c r="H3973" i="6"/>
  <c r="H3761" i="6"/>
  <c r="H3279" i="6"/>
  <c r="H3583" i="6"/>
  <c r="H220" i="6"/>
  <c r="H383" i="6"/>
  <c r="H2611" i="6"/>
  <c r="H3193" i="6"/>
  <c r="H3986" i="6"/>
  <c r="H3656" i="6"/>
  <c r="H3987" i="6"/>
  <c r="H3714" i="6"/>
  <c r="H3304" i="6"/>
  <c r="H3904" i="6"/>
  <c r="H3028" i="6"/>
  <c r="H3306" i="6"/>
  <c r="H3143" i="6"/>
  <c r="H3694" i="6"/>
  <c r="H3678" i="6"/>
  <c r="H3204" i="6"/>
  <c r="H3777" i="6"/>
  <c r="H341" i="6"/>
  <c r="H338" i="6"/>
  <c r="H2612" i="6"/>
  <c r="H3669" i="6"/>
  <c r="H3991" i="6"/>
  <c r="H3851" i="6"/>
  <c r="H4015" i="6"/>
  <c r="H3209" i="6"/>
  <c r="H3766" i="6"/>
  <c r="H3264" i="6"/>
  <c r="H3687" i="6"/>
  <c r="H3604" i="6"/>
  <c r="H3210" i="6"/>
  <c r="H3781" i="6"/>
  <c r="H3576" i="6"/>
  <c r="H3858" i="6"/>
  <c r="H3211" i="6"/>
  <c r="H4002" i="6"/>
  <c r="H3593" i="6"/>
  <c r="H2586" i="6"/>
  <c r="H3058" i="6"/>
  <c r="H3686" i="6"/>
  <c r="H3567" i="6"/>
  <c r="H3666" i="6"/>
  <c r="H3305" i="6"/>
  <c r="H3910" i="6"/>
  <c r="H3580" i="6"/>
  <c r="H371" i="6"/>
  <c r="H3497" i="6"/>
  <c r="H3588" i="6"/>
  <c r="H3696" i="6"/>
  <c r="H3608" i="6"/>
  <c r="H166" i="6"/>
  <c r="H2569" i="6"/>
  <c r="H3602" i="6"/>
  <c r="H3571" i="6"/>
  <c r="H3638" i="6"/>
  <c r="H3601" i="6"/>
  <c r="H3702" i="6"/>
  <c r="H3775" i="6"/>
  <c r="H3141" i="6"/>
  <c r="H376" i="6"/>
  <c r="H304" i="6"/>
  <c r="H3299" i="6"/>
  <c r="H2610" i="6"/>
  <c r="H3647" i="6"/>
  <c r="H3849" i="6"/>
  <c r="H2682" i="6"/>
  <c r="H2618" i="6"/>
  <c r="H3236" i="6"/>
  <c r="H2616" i="6"/>
  <c r="H3173" i="6"/>
  <c r="H2690" i="6"/>
  <c r="H3750" i="6"/>
  <c r="H4005" i="6"/>
  <c r="H3881" i="6"/>
  <c r="H3755" i="6"/>
  <c r="H4006" i="6"/>
  <c r="H3852" i="6"/>
  <c r="H2636" i="6"/>
  <c r="H3208" i="6"/>
  <c r="H3789" i="6"/>
  <c r="H3884" i="6"/>
  <c r="H2695" i="6"/>
  <c r="H3182" i="6"/>
  <c r="H3765" i="6"/>
  <c r="S980" i="2"/>
  <c r="Z980" i="2" s="1"/>
  <c r="M980" i="2"/>
  <c r="S979" i="2"/>
  <c r="X979" i="2" s="1"/>
  <c r="M979" i="2"/>
  <c r="S978" i="2"/>
  <c r="Z978" i="2" s="1"/>
  <c r="M978" i="2"/>
  <c r="S861" i="2"/>
  <c r="AG861" i="2" s="1"/>
  <c r="M861" i="2"/>
  <c r="S860" i="2"/>
  <c r="AG860" i="2" s="1"/>
  <c r="M860" i="2"/>
  <c r="S1112" i="2"/>
  <c r="Y1112" i="2" s="1"/>
  <c r="M1112" i="2"/>
  <c r="S1111" i="2"/>
  <c r="Y1111" i="2" s="1"/>
  <c r="M1111" i="2"/>
  <c r="S1110" i="2"/>
  <c r="Y1110" i="2" s="1"/>
  <c r="M1110" i="2"/>
  <c r="S510" i="2"/>
  <c r="AG510" i="2" s="1"/>
  <c r="M510" i="2"/>
  <c r="S509" i="2"/>
  <c r="AG509" i="2" s="1"/>
  <c r="M509" i="2"/>
  <c r="S128" i="2"/>
  <c r="AG128" i="2" s="1"/>
  <c r="M128" i="2"/>
  <c r="S658" i="2"/>
  <c r="AG658" i="2" s="1"/>
  <c r="M658" i="2"/>
  <c r="S446" i="2"/>
  <c r="AG446" i="2" s="1"/>
  <c r="M446" i="2"/>
  <c r="S554" i="2"/>
  <c r="AG554" i="2" s="1"/>
  <c r="M554" i="2"/>
  <c r="S553" i="2"/>
  <c r="AG553" i="2" s="1"/>
  <c r="M553" i="2"/>
  <c r="S552" i="2"/>
  <c r="AG552" i="2" s="1"/>
  <c r="M552" i="2"/>
  <c r="S278" i="2"/>
  <c r="AG278" i="2" s="1"/>
  <c r="M278" i="2"/>
  <c r="S1159" i="2"/>
  <c r="Y1159" i="2" s="1"/>
  <c r="M1159" i="2"/>
  <c r="S1158" i="2"/>
  <c r="Y1158" i="2" s="1"/>
  <c r="M1158" i="2"/>
  <c r="S1157" i="2"/>
  <c r="Y1157" i="2" s="1"/>
  <c r="M1157" i="2"/>
  <c r="S1156" i="2"/>
  <c r="Z1156" i="2" s="1"/>
  <c r="M1156" i="2"/>
  <c r="S1155" i="2"/>
  <c r="Y1155" i="2" s="1"/>
  <c r="M1155" i="2"/>
  <c r="S1154" i="2"/>
  <c r="X1154" i="2" s="1"/>
  <c r="M1154" i="2"/>
  <c r="S1153" i="2"/>
  <c r="Z1153" i="2" s="1"/>
  <c r="M1153" i="2"/>
  <c r="S445" i="2"/>
  <c r="AG445" i="2" s="1"/>
  <c r="M445" i="2"/>
  <c r="S277" i="2"/>
  <c r="AG277" i="2" s="1"/>
  <c r="M277" i="2"/>
  <c r="S444" i="2"/>
  <c r="AG444" i="2" s="1"/>
  <c r="M444" i="2"/>
  <c r="S443" i="2"/>
  <c r="AG443" i="2" s="1"/>
  <c r="M443" i="2"/>
  <c r="S1179" i="2"/>
  <c r="X1179" i="2" s="1"/>
  <c r="M1179" i="2"/>
  <c r="S1178" i="2"/>
  <c r="Z1178" i="2" s="1"/>
  <c r="M1178" i="2"/>
  <c r="S1177" i="2"/>
  <c r="M1177" i="2"/>
  <c r="S1176" i="2"/>
  <c r="Y1176" i="2" s="1"/>
  <c r="M1176" i="2"/>
  <c r="S1175" i="2"/>
  <c r="Z1175" i="2" s="1"/>
  <c r="M1175" i="2"/>
  <c r="S1174" i="2"/>
  <c r="Y1174" i="2" s="1"/>
  <c r="M1174" i="2"/>
  <c r="S442" i="2"/>
  <c r="AG442" i="2" s="1"/>
  <c r="M442" i="2"/>
  <c r="S1026" i="2"/>
  <c r="AG1026" i="2" s="1"/>
  <c r="M1026" i="2"/>
  <c r="S859" i="2"/>
  <c r="AG859" i="2" s="1"/>
  <c r="M859" i="2"/>
  <c r="S858" i="2"/>
  <c r="AG858" i="2" s="1"/>
  <c r="M858" i="2"/>
  <c r="S857" i="2"/>
  <c r="AG857" i="2" s="1"/>
  <c r="M857" i="2"/>
  <c r="S856" i="2"/>
  <c r="AG856" i="2" s="1"/>
  <c r="M856" i="2"/>
  <c r="S855" i="2"/>
  <c r="AG855" i="2" s="1"/>
  <c r="M855" i="2"/>
  <c r="S441" i="2"/>
  <c r="AG441" i="2" s="1"/>
  <c r="M441" i="2"/>
  <c r="S508" i="2"/>
  <c r="AG508" i="2" s="1"/>
  <c r="M508" i="2"/>
  <c r="S854" i="2"/>
  <c r="AG854" i="2" s="1"/>
  <c r="M854" i="2"/>
  <c r="S276" i="2"/>
  <c r="AG276" i="2" s="1"/>
  <c r="M276" i="2"/>
  <c r="S507" i="2"/>
  <c r="AG507" i="2" s="1"/>
  <c r="M507" i="2"/>
  <c r="S506" i="2"/>
  <c r="AG506" i="2" s="1"/>
  <c r="M506" i="2"/>
  <c r="S440" i="2"/>
  <c r="AG440" i="2" s="1"/>
  <c r="M440" i="2"/>
  <c r="S439" i="2"/>
  <c r="AG439" i="2" s="1"/>
  <c r="M439" i="2"/>
  <c r="S586" i="2"/>
  <c r="X586" i="2" s="1"/>
  <c r="M586" i="2"/>
  <c r="S102" i="2"/>
  <c r="AG102" i="2" s="1"/>
  <c r="M102" i="2"/>
  <c r="S101" i="2"/>
  <c r="AG101" i="2" s="1"/>
  <c r="M101" i="2"/>
  <c r="S438" i="2"/>
  <c r="AG438" i="2" s="1"/>
  <c r="M438" i="2"/>
  <c r="S100" i="2"/>
  <c r="AG100" i="2" s="1"/>
  <c r="M100" i="2"/>
  <c r="S437" i="2"/>
  <c r="AG437" i="2" s="1"/>
  <c r="M437" i="2"/>
  <c r="S436" i="2"/>
  <c r="AG436" i="2" s="1"/>
  <c r="M436" i="2"/>
  <c r="S127" i="2"/>
  <c r="AG127" i="2" s="1"/>
  <c r="M127" i="2"/>
  <c r="S1169" i="2"/>
  <c r="Y1169" i="2" s="1"/>
  <c r="M1169" i="2"/>
  <c r="S567" i="2"/>
  <c r="X567" i="2" s="1"/>
  <c r="M567" i="2"/>
  <c r="S1292" i="2"/>
  <c r="AG1292" i="2" s="1"/>
  <c r="M1292" i="2"/>
  <c r="S435" i="2"/>
  <c r="AG435" i="2" s="1"/>
  <c r="M435" i="2"/>
  <c r="S434" i="2"/>
  <c r="AG434" i="2" s="1"/>
  <c r="M434" i="2"/>
  <c r="S1291" i="2"/>
  <c r="AG1291" i="2" s="1"/>
  <c r="M1291" i="2"/>
  <c r="S1290" i="2"/>
  <c r="AG1290" i="2" s="1"/>
  <c r="M1290" i="2"/>
  <c r="S1061" i="2"/>
  <c r="X1061" i="2" s="1"/>
  <c r="M1061" i="2"/>
  <c r="S1060" i="2"/>
  <c r="X1060" i="2" s="1"/>
  <c r="M1060" i="2"/>
  <c r="S1059" i="2"/>
  <c r="Y1059" i="2" s="1"/>
  <c r="M1059" i="2"/>
  <c r="S1058" i="2"/>
  <c r="Z1058" i="2" s="1"/>
  <c r="M1058" i="2"/>
  <c r="S1057" i="2"/>
  <c r="Z1057" i="2" s="1"/>
  <c r="M1057" i="2"/>
  <c r="S99" i="2"/>
  <c r="AG99" i="2" s="1"/>
  <c r="M99" i="2"/>
  <c r="S275" i="2"/>
  <c r="AG275" i="2" s="1"/>
  <c r="M275" i="2"/>
  <c r="S1289" i="2"/>
  <c r="AG1289" i="2" s="1"/>
  <c r="M1289" i="2"/>
  <c r="S1288" i="2"/>
  <c r="AG1288" i="2" s="1"/>
  <c r="M1288" i="2"/>
  <c r="S433" i="2"/>
  <c r="AG433" i="2" s="1"/>
  <c r="M433" i="2"/>
  <c r="S274" i="2"/>
  <c r="AG274" i="2" s="1"/>
  <c r="M274" i="2"/>
  <c r="S584" i="2"/>
  <c r="M584" i="2"/>
  <c r="S583" i="2"/>
  <c r="X583" i="2" s="1"/>
  <c r="M583" i="2"/>
  <c r="S582" i="2"/>
  <c r="Z582" i="2" s="1"/>
  <c r="M582" i="2"/>
  <c r="S581" i="2"/>
  <c r="Y581" i="2" s="1"/>
  <c r="M581" i="2"/>
  <c r="S273" i="2"/>
  <c r="AG273" i="2" s="1"/>
  <c r="M273" i="2"/>
  <c r="S679" i="2"/>
  <c r="Z679" i="2" s="1"/>
  <c r="M679" i="2"/>
  <c r="S678" i="2"/>
  <c r="Y678" i="2" s="1"/>
  <c r="M678" i="2"/>
  <c r="S677" i="2"/>
  <c r="X677" i="2" s="1"/>
  <c r="M677" i="2"/>
  <c r="S1160" i="2"/>
  <c r="Z1160" i="2" s="1"/>
  <c r="M1160" i="2"/>
  <c r="S432" i="2"/>
  <c r="AG432" i="2" s="1"/>
  <c r="M432" i="2"/>
  <c r="S580" i="2"/>
  <c r="M580" i="2"/>
  <c r="S272" i="2"/>
  <c r="AG272" i="2" s="1"/>
  <c r="M272" i="2"/>
  <c r="S431" i="2"/>
  <c r="AG431" i="2" s="1"/>
  <c r="M431" i="2"/>
  <c r="S98" i="2"/>
  <c r="AG98" i="2" s="1"/>
  <c r="M98" i="2"/>
  <c r="S536" i="2"/>
  <c r="AG536" i="2" s="1"/>
  <c r="M536" i="2"/>
  <c r="S657" i="2"/>
  <c r="AG657" i="2" s="1"/>
  <c r="M657" i="2"/>
  <c r="S1143" i="2"/>
  <c r="Z1143" i="2" s="1"/>
  <c r="M1143" i="2"/>
  <c r="S1142" i="2"/>
  <c r="Y1142" i="2" s="1"/>
  <c r="M1142" i="2"/>
  <c r="S2" i="2"/>
  <c r="AG2" i="2" s="1"/>
  <c r="M2" i="2"/>
  <c r="S957" i="2"/>
  <c r="X957" i="2" s="1"/>
  <c r="M957" i="2"/>
  <c r="S1173" i="2"/>
  <c r="Z1173" i="2" s="1"/>
  <c r="M1173" i="2"/>
  <c r="S1287" i="2"/>
  <c r="AG1287" i="2" s="1"/>
  <c r="M1287" i="2"/>
  <c r="S941" i="2"/>
  <c r="AG941" i="2" s="1"/>
  <c r="M941" i="2"/>
  <c r="S1286" i="2"/>
  <c r="AG1286" i="2" s="1"/>
  <c r="M1286" i="2"/>
  <c r="S918" i="2"/>
  <c r="M918" i="2"/>
  <c r="S917" i="2"/>
  <c r="M917" i="2"/>
  <c r="S916" i="2"/>
  <c r="Z916" i="2" s="1"/>
  <c r="M916" i="2"/>
  <c r="S915" i="2"/>
  <c r="Y915" i="2" s="1"/>
  <c r="M915" i="2"/>
  <c r="S914" i="2"/>
  <c r="Z914" i="2" s="1"/>
  <c r="M914" i="2"/>
  <c r="S913" i="2"/>
  <c r="Y913" i="2" s="1"/>
  <c r="M913" i="2"/>
  <c r="S912" i="2"/>
  <c r="Y912" i="2" s="1"/>
  <c r="M912" i="2"/>
  <c r="S911" i="2"/>
  <c r="Y911" i="2" s="1"/>
  <c r="M911" i="2"/>
  <c r="S910" i="2"/>
  <c r="Z910" i="2" s="1"/>
  <c r="M910" i="2"/>
  <c r="S909" i="2"/>
  <c r="Z909" i="2" s="1"/>
  <c r="M909" i="2"/>
  <c r="S908" i="2"/>
  <c r="X908" i="2" s="1"/>
  <c r="M908" i="2"/>
  <c r="S907" i="2"/>
  <c r="Z907" i="2" s="1"/>
  <c r="M907" i="2"/>
  <c r="S906" i="2"/>
  <c r="M906" i="2"/>
  <c r="S905" i="2"/>
  <c r="X905" i="2" s="1"/>
  <c r="M905" i="2"/>
  <c r="S904" i="2"/>
  <c r="Z904" i="2" s="1"/>
  <c r="M904" i="2"/>
  <c r="S903" i="2"/>
  <c r="Y903" i="2" s="1"/>
  <c r="M903" i="2"/>
  <c r="S902" i="2"/>
  <c r="Z902" i="2" s="1"/>
  <c r="M902" i="2"/>
  <c r="S901" i="2"/>
  <c r="Z901" i="2" s="1"/>
  <c r="M901" i="2"/>
  <c r="S430" i="2"/>
  <c r="AG430" i="2" s="1"/>
  <c r="M430" i="2"/>
  <c r="S126" i="2"/>
  <c r="AG126" i="2" s="1"/>
  <c r="M126" i="2"/>
  <c r="S271" i="2"/>
  <c r="AG271" i="2" s="1"/>
  <c r="M271" i="2"/>
  <c r="S429" i="2"/>
  <c r="AG429" i="2" s="1"/>
  <c r="M429" i="2"/>
  <c r="S97" i="2"/>
  <c r="AG97" i="2" s="1"/>
  <c r="M97" i="2"/>
  <c r="S270" i="2"/>
  <c r="AG270" i="2" s="1"/>
  <c r="M270" i="2"/>
  <c r="S505" i="2"/>
  <c r="AG505" i="2" s="1"/>
  <c r="M505" i="2"/>
  <c r="S428" i="2"/>
  <c r="AG428" i="2" s="1"/>
  <c r="M428" i="2"/>
  <c r="S900" i="2"/>
  <c r="Y900" i="2" s="1"/>
  <c r="M900" i="2"/>
  <c r="S899" i="2"/>
  <c r="Y899" i="2" s="1"/>
  <c r="M899" i="2"/>
  <c r="S898" i="2"/>
  <c r="Z898" i="2" s="1"/>
  <c r="M898" i="2"/>
  <c r="S897" i="2"/>
  <c r="Z897" i="2" s="1"/>
  <c r="M897" i="2"/>
  <c r="S853" i="2"/>
  <c r="AG853" i="2" s="1"/>
  <c r="M853" i="2"/>
  <c r="S96" i="2"/>
  <c r="AG96" i="2" s="1"/>
  <c r="M96" i="2"/>
  <c r="S95" i="2"/>
  <c r="AG95" i="2" s="1"/>
  <c r="M95" i="2"/>
  <c r="S269" i="2"/>
  <c r="AG269" i="2" s="1"/>
  <c r="M269" i="2"/>
  <c r="S1285" i="2"/>
  <c r="AG1285" i="2" s="1"/>
  <c r="M1285" i="2"/>
  <c r="S1284" i="2"/>
  <c r="AG1284" i="2" s="1"/>
  <c r="M1284" i="2"/>
  <c r="S1283" i="2"/>
  <c r="AG1283" i="2" s="1"/>
  <c r="M1283" i="2"/>
  <c r="S1282" i="2"/>
  <c r="AG1282" i="2" s="1"/>
  <c r="M1282" i="2"/>
  <c r="S268" i="2"/>
  <c r="AG268" i="2" s="1"/>
  <c r="M268" i="2"/>
  <c r="S94" i="2"/>
  <c r="AG94" i="2" s="1"/>
  <c r="M94" i="2"/>
  <c r="S427" i="2"/>
  <c r="AG427" i="2" s="1"/>
  <c r="M427" i="2"/>
  <c r="S93" i="2"/>
  <c r="AG93" i="2" s="1"/>
  <c r="M93" i="2"/>
  <c r="S92" i="2"/>
  <c r="AG92" i="2" s="1"/>
  <c r="M92" i="2"/>
  <c r="S91" i="2"/>
  <c r="AG91" i="2" s="1"/>
  <c r="M91" i="2"/>
  <c r="S575" i="2"/>
  <c r="Z575" i="2" s="1"/>
  <c r="M575" i="2"/>
  <c r="S267" i="2"/>
  <c r="AG267" i="2" s="1"/>
  <c r="M267" i="2"/>
  <c r="S1281" i="2"/>
  <c r="AG1281" i="2" s="1"/>
  <c r="M1281" i="2"/>
  <c r="S426" i="2"/>
  <c r="AG426" i="2" s="1"/>
  <c r="M426" i="2"/>
  <c r="S1096" i="2"/>
  <c r="M1096" i="2"/>
  <c r="S1095" i="2"/>
  <c r="X1095" i="2" s="1"/>
  <c r="M1095" i="2"/>
  <c r="S1094" i="2"/>
  <c r="Z1094" i="2" s="1"/>
  <c r="M1094" i="2"/>
  <c r="S1093" i="2"/>
  <c r="Y1093" i="2" s="1"/>
  <c r="M1093" i="2"/>
  <c r="S1092" i="2"/>
  <c r="Z1092" i="2" s="1"/>
  <c r="M1092" i="2"/>
  <c r="S1091" i="2"/>
  <c r="Z1091" i="2" s="1"/>
  <c r="M1091" i="2"/>
  <c r="S1090" i="2"/>
  <c r="Y1090" i="2" s="1"/>
  <c r="M1090" i="2"/>
  <c r="S756" i="2"/>
  <c r="AG756" i="2" s="1"/>
  <c r="M756" i="2"/>
  <c r="S266" i="2"/>
  <c r="AG266" i="2" s="1"/>
  <c r="M266" i="2"/>
  <c r="S425" i="2"/>
  <c r="AG425" i="2" s="1"/>
  <c r="M425" i="2"/>
  <c r="S424" i="2"/>
  <c r="AG424" i="2" s="1"/>
  <c r="M424" i="2"/>
  <c r="S477" i="2"/>
  <c r="AG477" i="2" s="1"/>
  <c r="M477" i="2"/>
  <c r="S476" i="2"/>
  <c r="AG476" i="2" s="1"/>
  <c r="M476" i="2"/>
  <c r="S475" i="2"/>
  <c r="AG475" i="2" s="1"/>
  <c r="M475" i="2"/>
  <c r="S474" i="2"/>
  <c r="AG474" i="2" s="1"/>
  <c r="M474" i="2"/>
  <c r="S423" i="2"/>
  <c r="AG423" i="2" s="1"/>
  <c r="M423" i="2"/>
  <c r="S755" i="2"/>
  <c r="AG755" i="2" s="1"/>
  <c r="M755" i="2"/>
  <c r="S1280" i="2"/>
  <c r="AG1280" i="2" s="1"/>
  <c r="M1280" i="2"/>
  <c r="S656" i="2"/>
  <c r="AG656" i="2" s="1"/>
  <c r="M656" i="2"/>
  <c r="S504" i="2"/>
  <c r="AG504" i="2" s="1"/>
  <c r="M504" i="2"/>
  <c r="S754" i="2"/>
  <c r="AG754" i="2" s="1"/>
  <c r="M754" i="2"/>
  <c r="S90" i="2"/>
  <c r="AG90" i="2" s="1"/>
  <c r="M90" i="2"/>
  <c r="S1279" i="2"/>
  <c r="AG1279" i="2" s="1"/>
  <c r="M1279" i="2"/>
  <c r="S1025" i="2"/>
  <c r="AG1025" i="2" s="1"/>
  <c r="M1025" i="2"/>
  <c r="S89" i="2"/>
  <c r="AG89" i="2" s="1"/>
  <c r="M89" i="2"/>
  <c r="S265" i="2"/>
  <c r="AG265" i="2" s="1"/>
  <c r="M265" i="2"/>
  <c r="S422" i="2"/>
  <c r="AG422" i="2" s="1"/>
  <c r="M422" i="2"/>
  <c r="S421" i="2"/>
  <c r="AG421" i="2" s="1"/>
  <c r="M421" i="2"/>
  <c r="S1024" i="2"/>
  <c r="AG1024" i="2" s="1"/>
  <c r="M1024" i="2"/>
  <c r="S655" i="2"/>
  <c r="AG655" i="2" s="1"/>
  <c r="M655" i="2"/>
  <c r="S786" i="2"/>
  <c r="Y786" i="2" s="1"/>
  <c r="M786" i="2"/>
  <c r="S785" i="2"/>
  <c r="X785" i="2" s="1"/>
  <c r="M785" i="2"/>
  <c r="S784" i="2"/>
  <c r="Z784" i="2" s="1"/>
  <c r="M784" i="2"/>
  <c r="S783" i="2"/>
  <c r="Z783" i="2" s="1"/>
  <c r="M783" i="2"/>
  <c r="S125" i="2"/>
  <c r="AG125" i="2" s="1"/>
  <c r="M125" i="2"/>
  <c r="S264" i="2"/>
  <c r="AG264" i="2" s="1"/>
  <c r="M264" i="2"/>
  <c r="S654" i="2"/>
  <c r="AG654" i="2" s="1"/>
  <c r="M654" i="2"/>
  <c r="S968" i="2"/>
  <c r="X968" i="2" s="1"/>
  <c r="M968" i="2"/>
  <c r="S967" i="2"/>
  <c r="Z967" i="2" s="1"/>
  <c r="M967" i="2"/>
  <c r="S420" i="2"/>
  <c r="AG420" i="2" s="1"/>
  <c r="M420" i="2"/>
  <c r="S419" i="2"/>
  <c r="AG419" i="2" s="1"/>
  <c r="M419" i="2"/>
  <c r="S263" i="2"/>
  <c r="AG263" i="2" s="1"/>
  <c r="M263" i="2"/>
  <c r="S418" i="2"/>
  <c r="AG418" i="2" s="1"/>
  <c r="M418" i="2"/>
  <c r="S1278" i="2"/>
  <c r="AG1278" i="2" s="1"/>
  <c r="M1278" i="2"/>
  <c r="S1277" i="2"/>
  <c r="AG1277" i="2" s="1"/>
  <c r="M1277" i="2"/>
  <c r="S1276" i="2"/>
  <c r="AG1276" i="2" s="1"/>
  <c r="M1276" i="2"/>
  <c r="S1275" i="2"/>
  <c r="AG1275" i="2" s="1"/>
  <c r="M1275" i="2"/>
  <c r="S124" i="2"/>
  <c r="AG124" i="2" s="1"/>
  <c r="M124" i="2"/>
  <c r="S653" i="2"/>
  <c r="AG653" i="2" s="1"/>
  <c r="M653" i="2"/>
  <c r="S652" i="2"/>
  <c r="AG652" i="2" s="1"/>
  <c r="M652" i="2"/>
  <c r="S1023" i="2"/>
  <c r="AG1023" i="2" s="1"/>
  <c r="M1023" i="2"/>
  <c r="S1022" i="2"/>
  <c r="AG1022" i="2" s="1"/>
  <c r="M1022" i="2"/>
  <c r="S651" i="2"/>
  <c r="AG651" i="2" s="1"/>
  <c r="M651" i="2"/>
  <c r="S88" i="2"/>
  <c r="AG88" i="2" s="1"/>
  <c r="M88" i="2"/>
  <c r="S940" i="2"/>
  <c r="AG940" i="2" s="1"/>
  <c r="M940" i="2"/>
  <c r="S939" i="2"/>
  <c r="AG939" i="2" s="1"/>
  <c r="M939" i="2"/>
  <c r="S938" i="2"/>
  <c r="AG938" i="2" s="1"/>
  <c r="M938" i="2"/>
  <c r="S937" i="2"/>
  <c r="AG937" i="2" s="1"/>
  <c r="M937" i="2"/>
  <c r="S696" i="2"/>
  <c r="AG696" i="2" s="1"/>
  <c r="M696" i="2"/>
  <c r="S695" i="2"/>
  <c r="AG695" i="2" s="1"/>
  <c r="M695" i="2"/>
  <c r="S87" i="2"/>
  <c r="AG87" i="2" s="1"/>
  <c r="M87" i="2"/>
  <c r="S417" i="2"/>
  <c r="AG417" i="2" s="1"/>
  <c r="M417" i="2"/>
  <c r="S565" i="2"/>
  <c r="AG565" i="2" s="1"/>
  <c r="M565" i="2"/>
  <c r="S564" i="2"/>
  <c r="AG564" i="2" s="1"/>
  <c r="M564" i="2"/>
  <c r="S563" i="2"/>
  <c r="AG563" i="2" s="1"/>
  <c r="M563" i="2"/>
  <c r="S562" i="2"/>
  <c r="AG562" i="2" s="1"/>
  <c r="M562" i="2"/>
  <c r="S561" i="2"/>
  <c r="AG561" i="2" s="1"/>
  <c r="M561" i="2"/>
  <c r="S416" i="2"/>
  <c r="AG416" i="2" s="1"/>
  <c r="M416" i="2"/>
  <c r="S1075" i="2"/>
  <c r="Z1075" i="2" s="1"/>
  <c r="M1075" i="2"/>
  <c r="S1073" i="2"/>
  <c r="M1073" i="2"/>
  <c r="S1072" i="2"/>
  <c r="X1072" i="2" s="1"/>
  <c r="M1072" i="2"/>
  <c r="S1071" i="2"/>
  <c r="Z1071" i="2" s="1"/>
  <c r="M1071" i="2"/>
  <c r="S1070" i="2"/>
  <c r="M1070" i="2"/>
  <c r="S1069" i="2"/>
  <c r="X1069" i="2" s="1"/>
  <c r="M1069" i="2"/>
  <c r="S1068" i="2"/>
  <c r="X1068" i="2" s="1"/>
  <c r="M1068" i="2"/>
  <c r="S1074" i="2"/>
  <c r="Y1074" i="2" s="1"/>
  <c r="M1074" i="2"/>
  <c r="S1067" i="2"/>
  <c r="Z1067" i="2" s="1"/>
  <c r="M1067" i="2"/>
  <c r="S936" i="2"/>
  <c r="AG936" i="2" s="1"/>
  <c r="M936" i="2"/>
  <c r="S262" i="2"/>
  <c r="AG262" i="2" s="1"/>
  <c r="M262" i="2"/>
  <c r="S896" i="2"/>
  <c r="X896" i="2" s="1"/>
  <c r="M896" i="2"/>
  <c r="S415" i="2"/>
  <c r="AG415" i="2" s="1"/>
  <c r="M415" i="2"/>
  <c r="S1132" i="2"/>
  <c r="Z1132" i="2" s="1"/>
  <c r="M1132" i="2"/>
  <c r="S981" i="2"/>
  <c r="X981" i="2" s="1"/>
  <c r="M981" i="2"/>
  <c r="S977" i="2"/>
  <c r="Z977" i="2" s="1"/>
  <c r="M977" i="2"/>
  <c r="S976" i="2"/>
  <c r="M976" i="2"/>
  <c r="S975" i="2"/>
  <c r="X975" i="2" s="1"/>
  <c r="M975" i="2"/>
  <c r="S974" i="2"/>
  <c r="X974" i="2" s="1"/>
  <c r="M974" i="2"/>
  <c r="S1274" i="2"/>
  <c r="AG1274" i="2" s="1"/>
  <c r="M1274" i="2"/>
  <c r="S86" i="2"/>
  <c r="AG86" i="2" s="1"/>
  <c r="M86" i="2"/>
  <c r="S85" i="2"/>
  <c r="AG85" i="2" s="1"/>
  <c r="M85" i="2"/>
  <c r="S592" i="2"/>
  <c r="Y592" i="2" s="1"/>
  <c r="M592" i="2"/>
  <c r="S962" i="2"/>
  <c r="X962" i="2" s="1"/>
  <c r="M962" i="2"/>
  <c r="S551" i="2"/>
  <c r="AG551" i="2" s="1"/>
  <c r="M551" i="2"/>
  <c r="S550" i="2"/>
  <c r="AG550" i="2" s="1"/>
  <c r="M550" i="2"/>
  <c r="S549" i="2"/>
  <c r="AG549" i="2" s="1"/>
  <c r="M549" i="2"/>
  <c r="S261" i="2"/>
  <c r="AG261" i="2" s="1"/>
  <c r="M261" i="2"/>
  <c r="S812" i="2"/>
  <c r="AG812" i="2" s="1"/>
  <c r="M812" i="2"/>
  <c r="S129" i="2"/>
  <c r="AG129" i="2" s="1"/>
  <c r="M129" i="2"/>
  <c r="S84" i="2"/>
  <c r="AG84" i="2" s="1"/>
  <c r="M84" i="2"/>
  <c r="S1273" i="2"/>
  <c r="AG1273" i="2" s="1"/>
  <c r="M1273" i="2"/>
  <c r="S1272" i="2"/>
  <c r="AG1272" i="2" s="1"/>
  <c r="M1272" i="2"/>
  <c r="S811" i="2"/>
  <c r="AG811" i="2" s="1"/>
  <c r="M811" i="2"/>
  <c r="S935" i="2"/>
  <c r="AG935" i="2" s="1"/>
  <c r="M935" i="2"/>
  <c r="S934" i="2"/>
  <c r="AG934" i="2" s="1"/>
  <c r="M934" i="2"/>
  <c r="S933" i="2"/>
  <c r="AG933" i="2" s="1"/>
  <c r="M933" i="2"/>
  <c r="S932" i="2"/>
  <c r="AG932" i="2" s="1"/>
  <c r="M932" i="2"/>
  <c r="S83" i="2"/>
  <c r="AG83" i="2" s="1"/>
  <c r="M83" i="2"/>
  <c r="S414" i="2"/>
  <c r="AG414" i="2" s="1"/>
  <c r="M414" i="2"/>
  <c r="S473" i="2"/>
  <c r="AG473" i="2" s="1"/>
  <c r="M473" i="2"/>
  <c r="S472" i="2"/>
  <c r="AG472" i="2" s="1"/>
  <c r="M472" i="2"/>
  <c r="S413" i="2"/>
  <c r="AG413" i="2" s="1"/>
  <c r="M413" i="2"/>
  <c r="S412" i="2"/>
  <c r="AG412" i="2" s="1"/>
  <c r="M412" i="2"/>
  <c r="S535" i="2"/>
  <c r="AG535" i="2" s="1"/>
  <c r="M535" i="2"/>
  <c r="S411" i="2"/>
  <c r="AG411" i="2" s="1"/>
  <c r="M411" i="2"/>
  <c r="S410" i="2"/>
  <c r="AG410" i="2" s="1"/>
  <c r="M410" i="2"/>
  <c r="S82" i="2"/>
  <c r="AG82" i="2" s="1"/>
  <c r="M82" i="2"/>
  <c r="S409" i="2"/>
  <c r="AG409" i="2" s="1"/>
  <c r="M409" i="2"/>
  <c r="S105" i="2"/>
  <c r="AG105" i="2" s="1"/>
  <c r="M105" i="2"/>
  <c r="S650" i="2"/>
  <c r="AG650" i="2" s="1"/>
  <c r="M650" i="2"/>
  <c r="S649" i="2"/>
  <c r="AG649" i="2" s="1"/>
  <c r="M649" i="2"/>
  <c r="S648" i="2"/>
  <c r="AG648" i="2" s="1"/>
  <c r="M648" i="2"/>
  <c r="S1116" i="2"/>
  <c r="X1116" i="2" s="1"/>
  <c r="M1116" i="2"/>
  <c r="S1115" i="2"/>
  <c r="M1115" i="2"/>
  <c r="S1114" i="2"/>
  <c r="Y1114" i="2" s="1"/>
  <c r="M1114" i="2"/>
  <c r="S1113" i="2"/>
  <c r="M1113" i="2"/>
  <c r="S766" i="2"/>
  <c r="Z766" i="2" s="1"/>
  <c r="M766" i="2"/>
  <c r="S765" i="2"/>
  <c r="Y765" i="2" s="1"/>
  <c r="M765" i="2"/>
  <c r="S950" i="2"/>
  <c r="X950" i="2" s="1"/>
  <c r="M950" i="2"/>
  <c r="S949" i="2"/>
  <c r="X949" i="2" s="1"/>
  <c r="M949" i="2"/>
  <c r="S948" i="2"/>
  <c r="Z948" i="2" s="1"/>
  <c r="M948" i="2"/>
  <c r="S873" i="2"/>
  <c r="Y873" i="2" s="1"/>
  <c r="M873" i="2"/>
  <c r="S872" i="2"/>
  <c r="Z872" i="2" s="1"/>
  <c r="M872" i="2"/>
  <c r="S871" i="2"/>
  <c r="M871" i="2"/>
  <c r="S870" i="2"/>
  <c r="X870" i="2" s="1"/>
  <c r="M870" i="2"/>
  <c r="S408" i="2"/>
  <c r="AG408" i="2" s="1"/>
  <c r="M408" i="2"/>
  <c r="S534" i="2"/>
  <c r="AG534" i="2" s="1"/>
  <c r="M534" i="2"/>
  <c r="S407" i="2"/>
  <c r="AG407" i="2" s="1"/>
  <c r="M407" i="2"/>
  <c r="S406" i="2"/>
  <c r="AG406" i="2" s="1"/>
  <c r="M406" i="2"/>
  <c r="S852" i="2"/>
  <c r="AG852" i="2" s="1"/>
  <c r="M852" i="2"/>
  <c r="S851" i="2"/>
  <c r="AG851" i="2" s="1"/>
  <c r="M851" i="2"/>
  <c r="S405" i="2"/>
  <c r="AG405" i="2" s="1"/>
  <c r="M405" i="2"/>
  <c r="S260" i="2"/>
  <c r="AG260" i="2" s="1"/>
  <c r="M260" i="2"/>
  <c r="S1271" i="2"/>
  <c r="AG1271" i="2" s="1"/>
  <c r="M1271" i="2"/>
  <c r="S1270" i="2"/>
  <c r="AG1270" i="2" s="1"/>
  <c r="M1270" i="2"/>
  <c r="S931" i="2"/>
  <c r="AG931" i="2" s="1"/>
  <c r="M931" i="2"/>
  <c r="S930" i="2"/>
  <c r="AG930" i="2" s="1"/>
  <c r="M930" i="2"/>
  <c r="S1137" i="2"/>
  <c r="Z1137" i="2" s="1"/>
  <c r="M1137" i="2"/>
  <c r="S1136" i="2"/>
  <c r="X1136" i="2" s="1"/>
  <c r="M1136" i="2"/>
  <c r="S1135" i="2"/>
  <c r="M1135" i="2"/>
  <c r="S1134" i="2"/>
  <c r="M1134" i="2"/>
  <c r="S1133" i="2"/>
  <c r="Y1133" i="2" s="1"/>
  <c r="M1133" i="2"/>
  <c r="S1269" i="2"/>
  <c r="AG1269" i="2" s="1"/>
  <c r="M1269" i="2"/>
  <c r="S404" i="2"/>
  <c r="AG404" i="2" s="1"/>
  <c r="M404" i="2"/>
  <c r="S403" i="2"/>
  <c r="AG403" i="2" s="1"/>
  <c r="M403" i="2"/>
  <c r="S533" i="2"/>
  <c r="AG533" i="2" s="1"/>
  <c r="M533" i="2"/>
  <c r="S259" i="2"/>
  <c r="AG259" i="2" s="1"/>
  <c r="M259" i="2"/>
  <c r="S790" i="2"/>
  <c r="M790" i="2"/>
  <c r="S789" i="2"/>
  <c r="X789" i="2" s="1"/>
  <c r="M789" i="2"/>
  <c r="S788" i="2"/>
  <c r="Y788" i="2" s="1"/>
  <c r="M788" i="2"/>
  <c r="S787" i="2"/>
  <c r="Y787" i="2" s="1"/>
  <c r="M787" i="2"/>
  <c r="S258" i="2"/>
  <c r="AG258" i="2" s="1"/>
  <c r="M258" i="2"/>
  <c r="S257" i="2"/>
  <c r="AG257" i="2" s="1"/>
  <c r="M257" i="2"/>
  <c r="S123" i="2"/>
  <c r="AG123" i="2" s="1"/>
  <c r="M123" i="2"/>
  <c r="S668" i="2"/>
  <c r="X668" i="2" s="1"/>
  <c r="M668" i="2"/>
  <c r="S667" i="2"/>
  <c r="Z667" i="2" s="1"/>
  <c r="M667" i="2"/>
  <c r="S666" i="2"/>
  <c r="Z666" i="2" s="1"/>
  <c r="M666" i="2"/>
  <c r="S665" i="2"/>
  <c r="Y665" i="2" s="1"/>
  <c r="M665" i="2"/>
  <c r="S1268" i="2"/>
  <c r="AG1268" i="2" s="1"/>
  <c r="M1268" i="2"/>
  <c r="S503" i="2"/>
  <c r="AG503" i="2" s="1"/>
  <c r="M503" i="2"/>
  <c r="S647" i="2"/>
  <c r="AG647" i="2" s="1"/>
  <c r="M647" i="2"/>
  <c r="S81" i="2"/>
  <c r="AG81" i="2" s="1"/>
  <c r="M81" i="2"/>
  <c r="S402" i="2"/>
  <c r="AG402" i="2" s="1"/>
  <c r="M402" i="2"/>
  <c r="S1021" i="2"/>
  <c r="AG1021" i="2" s="1"/>
  <c r="M1021" i="2"/>
  <c r="S80" i="2"/>
  <c r="AG80" i="2" s="1"/>
  <c r="M80" i="2"/>
  <c r="S502" i="2"/>
  <c r="AG502" i="2" s="1"/>
  <c r="M502" i="2"/>
  <c r="S997" i="2"/>
  <c r="M997" i="2"/>
  <c r="S996" i="2"/>
  <c r="Z996" i="2" s="1"/>
  <c r="M996" i="2"/>
  <c r="S995" i="2"/>
  <c r="X995" i="2" s="1"/>
  <c r="M995" i="2"/>
  <c r="S401" i="2"/>
  <c r="AG401" i="2" s="1"/>
  <c r="M401" i="2"/>
  <c r="S256" i="2"/>
  <c r="AG256" i="2" s="1"/>
  <c r="M256" i="2"/>
  <c r="S471" i="2"/>
  <c r="AG471" i="2" s="1"/>
  <c r="M471" i="2"/>
  <c r="S470" i="2"/>
  <c r="AG470" i="2" s="1"/>
  <c r="M470" i="2"/>
  <c r="S400" i="2"/>
  <c r="AG400" i="2" s="1"/>
  <c r="M400" i="2"/>
  <c r="S255" i="2"/>
  <c r="AG255" i="2" s="1"/>
  <c r="M255" i="2"/>
  <c r="S254" i="2"/>
  <c r="AG254" i="2" s="1"/>
  <c r="M254" i="2"/>
  <c r="S253" i="2"/>
  <c r="AG253" i="2" s="1"/>
  <c r="M253" i="2"/>
  <c r="S252" i="2"/>
  <c r="AG252" i="2" s="1"/>
  <c r="M252" i="2"/>
  <c r="S251" i="2"/>
  <c r="AG251" i="2" s="1"/>
  <c r="M251" i="2"/>
  <c r="S250" i="2"/>
  <c r="AG250" i="2" s="1"/>
  <c r="M250" i="2"/>
  <c r="S249" i="2"/>
  <c r="AG249" i="2" s="1"/>
  <c r="M249" i="2"/>
  <c r="S248" i="2"/>
  <c r="AG248" i="2" s="1"/>
  <c r="M248" i="2"/>
  <c r="S247" i="2"/>
  <c r="AG247" i="2" s="1"/>
  <c r="M247" i="2"/>
  <c r="S246" i="2"/>
  <c r="AG246" i="2" s="1"/>
  <c r="M246" i="2"/>
  <c r="S245" i="2"/>
  <c r="AG245" i="2" s="1"/>
  <c r="M245" i="2"/>
  <c r="S244" i="2"/>
  <c r="AG244" i="2" s="1"/>
  <c r="M244" i="2"/>
  <c r="S243" i="2"/>
  <c r="AG243" i="2" s="1"/>
  <c r="M243" i="2"/>
  <c r="S242" i="2"/>
  <c r="AG242" i="2" s="1"/>
  <c r="M242" i="2"/>
  <c r="S241" i="2"/>
  <c r="AG241" i="2" s="1"/>
  <c r="M241" i="2"/>
  <c r="S240" i="2"/>
  <c r="AG240" i="2" s="1"/>
  <c r="M240" i="2"/>
  <c r="S239" i="2"/>
  <c r="AG239" i="2" s="1"/>
  <c r="M239" i="2"/>
  <c r="S238" i="2"/>
  <c r="AG238" i="2" s="1"/>
  <c r="M238" i="2"/>
  <c r="S237" i="2"/>
  <c r="AG237" i="2" s="1"/>
  <c r="M237" i="2"/>
  <c r="S236" i="2"/>
  <c r="AG236" i="2" s="1"/>
  <c r="M236" i="2"/>
  <c r="S235" i="2"/>
  <c r="AG235" i="2" s="1"/>
  <c r="M235" i="2"/>
  <c r="S234" i="2"/>
  <c r="AG234" i="2" s="1"/>
  <c r="M234" i="2"/>
  <c r="S233" i="2"/>
  <c r="AG233" i="2" s="1"/>
  <c r="M233" i="2"/>
  <c r="S232" i="2"/>
  <c r="AG232" i="2" s="1"/>
  <c r="M232" i="2"/>
  <c r="S231" i="2"/>
  <c r="AG231" i="2" s="1"/>
  <c r="M231" i="2"/>
  <c r="S79" i="2"/>
  <c r="AG79" i="2" s="1"/>
  <c r="M79" i="2"/>
  <c r="S230" i="2"/>
  <c r="AG230" i="2" s="1"/>
  <c r="M230" i="2"/>
  <c r="S229" i="2"/>
  <c r="AG229" i="2" s="1"/>
  <c r="M229" i="2"/>
  <c r="S399" i="2"/>
  <c r="AG399" i="2" s="1"/>
  <c r="M399" i="2"/>
  <c r="S1129" i="2"/>
  <c r="X1129" i="2" s="1"/>
  <c r="M1129" i="2"/>
  <c r="S1128" i="2"/>
  <c r="Z1128" i="2" s="1"/>
  <c r="M1128" i="2"/>
  <c r="S398" i="2"/>
  <c r="AG398" i="2" s="1"/>
  <c r="M398" i="2"/>
  <c r="S397" i="2"/>
  <c r="AG397" i="2" s="1"/>
  <c r="M397" i="2"/>
  <c r="S78" i="2"/>
  <c r="AG78" i="2" s="1"/>
  <c r="M78" i="2"/>
  <c r="S1267" i="2"/>
  <c r="AG1267" i="2" s="1"/>
  <c r="M1267" i="2"/>
  <c r="S680" i="2"/>
  <c r="Y680" i="2" s="1"/>
  <c r="M680" i="2"/>
  <c r="S1266" i="2"/>
  <c r="AG1266" i="2" s="1"/>
  <c r="M1266" i="2"/>
  <c r="S1145" i="2"/>
  <c r="Z1145" i="2" s="1"/>
  <c r="M1145" i="2"/>
  <c r="S1144" i="2"/>
  <c r="M1144" i="2"/>
  <c r="S396" i="2"/>
  <c r="AG396" i="2" s="1"/>
  <c r="M396" i="2"/>
  <c r="S395" i="2"/>
  <c r="AG395" i="2" s="1"/>
  <c r="M395" i="2"/>
  <c r="S122" i="2"/>
  <c r="AG122" i="2" s="1"/>
  <c r="M122" i="2"/>
  <c r="S228" i="2"/>
  <c r="AG228" i="2" s="1"/>
  <c r="M228" i="2"/>
  <c r="S548" i="2"/>
  <c r="AG548" i="2" s="1"/>
  <c r="M548" i="2"/>
  <c r="S1171" i="2"/>
  <c r="Y1171" i="2" s="1"/>
  <c r="M1171" i="2"/>
  <c r="S394" i="2"/>
  <c r="AG394" i="2" s="1"/>
  <c r="M394" i="2"/>
  <c r="S393" i="2"/>
  <c r="AG393" i="2" s="1"/>
  <c r="M393" i="2"/>
  <c r="S227" i="2"/>
  <c r="AG227" i="2" s="1"/>
  <c r="M227" i="2"/>
  <c r="S850" i="2"/>
  <c r="AG850" i="2" s="1"/>
  <c r="M850" i="2"/>
  <c r="S966" i="2"/>
  <c r="Z966" i="2" s="1"/>
  <c r="M966" i="2"/>
  <c r="S77" i="2"/>
  <c r="AG77" i="2" s="1"/>
  <c r="M77" i="2"/>
  <c r="S392" i="2"/>
  <c r="AG392" i="2" s="1"/>
  <c r="M392" i="2"/>
  <c r="S532" i="2"/>
  <c r="AG532" i="2" s="1"/>
  <c r="M532" i="2"/>
  <c r="S391" i="2"/>
  <c r="AG391" i="2" s="1"/>
  <c r="M391" i="2"/>
  <c r="S1265" i="2"/>
  <c r="AG1265" i="2" s="1"/>
  <c r="M1265" i="2"/>
  <c r="S390" i="2"/>
  <c r="AG390" i="2" s="1"/>
  <c r="M390" i="2"/>
  <c r="S76" i="2"/>
  <c r="AG76" i="2" s="1"/>
  <c r="M76" i="2"/>
  <c r="S226" i="2"/>
  <c r="AG226" i="2" s="1"/>
  <c r="M226" i="2"/>
  <c r="S389" i="2"/>
  <c r="AG389" i="2" s="1"/>
  <c r="M389" i="2"/>
  <c r="S388" i="2"/>
  <c r="AG388" i="2" s="1"/>
  <c r="M388" i="2"/>
  <c r="S646" i="2"/>
  <c r="AG646" i="2" s="1"/>
  <c r="M646" i="2"/>
  <c r="S645" i="2"/>
  <c r="AG645" i="2" s="1"/>
  <c r="M645" i="2"/>
  <c r="S644" i="2"/>
  <c r="AG644" i="2" s="1"/>
  <c r="M644" i="2"/>
  <c r="S643" i="2"/>
  <c r="AG643" i="2" s="1"/>
  <c r="M643" i="2"/>
  <c r="S1264" i="2"/>
  <c r="AG1264" i="2" s="1"/>
  <c r="M1264" i="2"/>
  <c r="S1263" i="2"/>
  <c r="AG1263" i="2" s="1"/>
  <c r="M1263" i="2"/>
  <c r="S1262" i="2"/>
  <c r="AG1262" i="2" s="1"/>
  <c r="M1262" i="2"/>
  <c r="S1261" i="2"/>
  <c r="AG1261" i="2" s="1"/>
  <c r="M1261" i="2"/>
  <c r="S965" i="2"/>
  <c r="Y965" i="2" s="1"/>
  <c r="M965" i="2"/>
  <c r="S1260" i="2"/>
  <c r="AG1260" i="2" s="1"/>
  <c r="M1260" i="2"/>
  <c r="S1259" i="2"/>
  <c r="AG1259" i="2" s="1"/>
  <c r="M1259" i="2"/>
  <c r="S1258" i="2"/>
  <c r="AG1258" i="2" s="1"/>
  <c r="M1258" i="2"/>
  <c r="S964" i="2"/>
  <c r="Y964" i="2" s="1"/>
  <c r="M964" i="2"/>
  <c r="S225" i="2"/>
  <c r="AG225" i="2" s="1"/>
  <c r="M225" i="2"/>
  <c r="S469" i="2"/>
  <c r="AG469" i="2" s="1"/>
  <c r="M469" i="2"/>
  <c r="S224" i="2"/>
  <c r="AG224" i="2" s="1"/>
  <c r="M224" i="2"/>
  <c r="S223" i="2"/>
  <c r="AG223" i="2" s="1"/>
  <c r="M223" i="2"/>
  <c r="S222" i="2"/>
  <c r="AG222" i="2" s="1"/>
  <c r="M222" i="2"/>
  <c r="S75" i="2"/>
  <c r="AG75" i="2" s="1"/>
  <c r="M75" i="2"/>
  <c r="S221" i="2"/>
  <c r="AG221" i="2" s="1"/>
  <c r="M221" i="2"/>
  <c r="S468" i="2"/>
  <c r="AG468" i="2" s="1"/>
  <c r="M468" i="2"/>
  <c r="S467" i="2"/>
  <c r="AG467" i="2" s="1"/>
  <c r="M467" i="2"/>
  <c r="S501" i="2"/>
  <c r="AG501" i="2" s="1"/>
  <c r="M501" i="2"/>
  <c r="S753" i="2"/>
  <c r="AG753" i="2" s="1"/>
  <c r="M753" i="2"/>
  <c r="S74" i="2"/>
  <c r="AG74" i="2" s="1"/>
  <c r="M74" i="2"/>
  <c r="S73" i="2"/>
  <c r="AG73" i="2" s="1"/>
  <c r="M73" i="2"/>
  <c r="S220" i="2"/>
  <c r="AG220" i="2" s="1"/>
  <c r="M220" i="2"/>
  <c r="S219" i="2"/>
  <c r="AG219" i="2" s="1"/>
  <c r="M219" i="2"/>
  <c r="S1146" i="2"/>
  <c r="Z1146" i="2" s="1"/>
  <c r="M1146" i="2"/>
  <c r="S642" i="2"/>
  <c r="AG642" i="2" s="1"/>
  <c r="M642" i="2"/>
  <c r="S121" i="2"/>
  <c r="AG121" i="2" s="1"/>
  <c r="M121" i="2"/>
  <c r="S752" i="2"/>
  <c r="AG752" i="2" s="1"/>
  <c r="M752" i="2"/>
  <c r="S218" i="2"/>
  <c r="AG218" i="2" s="1"/>
  <c r="M218" i="2"/>
  <c r="S751" i="2"/>
  <c r="AG751" i="2" s="1"/>
  <c r="M751" i="2"/>
  <c r="S72" i="2"/>
  <c r="AG72" i="2" s="1"/>
  <c r="M72" i="2"/>
  <c r="S1257" i="2"/>
  <c r="AG1257" i="2" s="1"/>
  <c r="M1257" i="2"/>
  <c r="S641" i="2"/>
  <c r="AG641" i="2" s="1"/>
  <c r="M641" i="2"/>
  <c r="S579" i="2"/>
  <c r="Z579" i="2" s="1"/>
  <c r="M579" i="2"/>
  <c r="S1020" i="2"/>
  <c r="AG1020" i="2" s="1"/>
  <c r="M1020" i="2"/>
  <c r="S602" i="2"/>
  <c r="X602" i="2" s="1"/>
  <c r="M602" i="2"/>
  <c r="S601" i="2"/>
  <c r="Y601" i="2" s="1"/>
  <c r="M601" i="2"/>
  <c r="S600" i="2"/>
  <c r="X600" i="2" s="1"/>
  <c r="M600" i="2"/>
  <c r="S217" i="2"/>
  <c r="AG217" i="2" s="1"/>
  <c r="M217" i="2"/>
  <c r="S71" i="2"/>
  <c r="AG71" i="2" s="1"/>
  <c r="M71" i="2"/>
  <c r="S216" i="2"/>
  <c r="AG216" i="2" s="1"/>
  <c r="M216" i="2"/>
  <c r="S120" i="2"/>
  <c r="AG120" i="2" s="1"/>
  <c r="M120" i="2"/>
  <c r="S387" i="2"/>
  <c r="AG387" i="2" s="1"/>
  <c r="M387" i="2"/>
  <c r="S386" i="2"/>
  <c r="AG386" i="2" s="1"/>
  <c r="M386" i="2"/>
  <c r="S929" i="2"/>
  <c r="AG929" i="2" s="1"/>
  <c r="M929" i="2"/>
  <c r="S928" i="2"/>
  <c r="AG928" i="2" s="1"/>
  <c r="M928" i="2"/>
  <c r="S385" i="2"/>
  <c r="AG385" i="2" s="1"/>
  <c r="M385" i="2"/>
  <c r="S1256" i="2"/>
  <c r="AG1256" i="2" s="1"/>
  <c r="M1256" i="2"/>
  <c r="S1255" i="2"/>
  <c r="AG1255" i="2" s="1"/>
  <c r="M1255" i="2"/>
  <c r="S1254" i="2"/>
  <c r="AG1254" i="2" s="1"/>
  <c r="M1254" i="2"/>
  <c r="S1253" i="2"/>
  <c r="AG1253" i="2" s="1"/>
  <c r="M1253" i="2"/>
  <c r="S1019" i="2"/>
  <c r="AG1019" i="2" s="1"/>
  <c r="M1019" i="2"/>
  <c r="S810" i="2"/>
  <c r="AG810" i="2" s="1"/>
  <c r="M810" i="2"/>
  <c r="S384" i="2"/>
  <c r="AG384" i="2" s="1"/>
  <c r="M384" i="2"/>
  <c r="S215" i="2"/>
  <c r="AG215" i="2" s="1"/>
  <c r="M215" i="2"/>
  <c r="S750" i="2"/>
  <c r="AG750" i="2" s="1"/>
  <c r="M750" i="2"/>
  <c r="S726" i="2"/>
  <c r="X726" i="2" s="1"/>
  <c r="M726" i="2"/>
  <c r="S70" i="2"/>
  <c r="AG70" i="2" s="1"/>
  <c r="M70" i="2"/>
  <c r="S466" i="2"/>
  <c r="AG466" i="2" s="1"/>
  <c r="M466" i="2"/>
  <c r="S465" i="2"/>
  <c r="AG465" i="2" s="1"/>
  <c r="M465" i="2"/>
  <c r="S69" i="2"/>
  <c r="AG69" i="2" s="1"/>
  <c r="M69" i="2"/>
  <c r="S383" i="2"/>
  <c r="AG383" i="2" s="1"/>
  <c r="M383" i="2"/>
  <c r="S1252" i="2"/>
  <c r="AG1252" i="2" s="1"/>
  <c r="M1252" i="2"/>
  <c r="S1251" i="2"/>
  <c r="AG1251" i="2" s="1"/>
  <c r="M1251" i="2"/>
  <c r="S382" i="2"/>
  <c r="AG382" i="2" s="1"/>
  <c r="M382" i="2"/>
  <c r="S500" i="2"/>
  <c r="AG500" i="2" s="1"/>
  <c r="M500" i="2"/>
  <c r="S214" i="2"/>
  <c r="AG214" i="2" s="1"/>
  <c r="M214" i="2"/>
  <c r="S381" i="2"/>
  <c r="AG381" i="2" s="1"/>
  <c r="M381" i="2"/>
  <c r="S1250" i="2"/>
  <c r="AG1250" i="2" s="1"/>
  <c r="M1250" i="2"/>
  <c r="S849" i="2"/>
  <c r="AG849" i="2" s="1"/>
  <c r="M849" i="2"/>
  <c r="S213" i="2"/>
  <c r="AG213" i="2" s="1"/>
  <c r="M213" i="2"/>
  <c r="S212" i="2"/>
  <c r="AG212" i="2" s="1"/>
  <c r="M212" i="2"/>
  <c r="S380" i="2"/>
  <c r="AG380" i="2" s="1"/>
  <c r="M380" i="2"/>
  <c r="S379" i="2"/>
  <c r="AG379" i="2" s="1"/>
  <c r="M379" i="2"/>
  <c r="S1002" i="2"/>
  <c r="Z1002" i="2" s="1"/>
  <c r="M1002" i="2"/>
  <c r="S1029" i="2"/>
  <c r="M1029" i="2"/>
  <c r="S1028" i="2"/>
  <c r="Z1028" i="2" s="1"/>
  <c r="M1028" i="2"/>
  <c r="S1027" i="2"/>
  <c r="Z1027" i="2" s="1"/>
  <c r="M1027" i="2"/>
  <c r="S378" i="2"/>
  <c r="AG378" i="2" s="1"/>
  <c r="M378" i="2"/>
  <c r="S211" i="2"/>
  <c r="AG211" i="2" s="1"/>
  <c r="M211" i="2"/>
  <c r="S961" i="2"/>
  <c r="X961" i="2" s="1"/>
  <c r="M961" i="2"/>
  <c r="S960" i="2"/>
  <c r="X960" i="2" s="1"/>
  <c r="M960" i="2"/>
  <c r="S711" i="2"/>
  <c r="M711" i="2"/>
  <c r="S710" i="2"/>
  <c r="M710" i="2"/>
  <c r="S809" i="2"/>
  <c r="AG809" i="2" s="1"/>
  <c r="M809" i="2"/>
  <c r="S377" i="2"/>
  <c r="AG377" i="2" s="1"/>
  <c r="M377" i="2"/>
  <c r="S545" i="2"/>
  <c r="AG545" i="2" s="1"/>
  <c r="M545" i="2"/>
  <c r="S544" i="2"/>
  <c r="AG544" i="2" s="1"/>
  <c r="M544" i="2"/>
  <c r="S543" i="2"/>
  <c r="AG543" i="2" s="1"/>
  <c r="M543" i="2"/>
  <c r="S542" i="2"/>
  <c r="AG542" i="2" s="1"/>
  <c r="M542" i="2"/>
  <c r="S541" i="2"/>
  <c r="AG541" i="2" s="1"/>
  <c r="M541" i="2"/>
  <c r="S540" i="2"/>
  <c r="AG540" i="2" s="1"/>
  <c r="M540" i="2"/>
  <c r="S539" i="2"/>
  <c r="AG539" i="2" s="1"/>
  <c r="M539" i="2"/>
  <c r="S538" i="2"/>
  <c r="AG538" i="2" s="1"/>
  <c r="M538" i="2"/>
  <c r="S1249" i="2"/>
  <c r="AG1249" i="2" s="1"/>
  <c r="M1249" i="2"/>
  <c r="S821" i="2"/>
  <c r="M821" i="2"/>
  <c r="S820" i="2"/>
  <c r="Z820" i="2" s="1"/>
  <c r="M820" i="2"/>
  <c r="S819" i="2"/>
  <c r="X819" i="2" s="1"/>
  <c r="M819" i="2"/>
  <c r="S640" i="2"/>
  <c r="AG640" i="2" s="1"/>
  <c r="M640" i="2"/>
  <c r="S676" i="2"/>
  <c r="M676" i="2"/>
  <c r="S570" i="2"/>
  <c r="M570" i="2"/>
  <c r="S569" i="2"/>
  <c r="Z569" i="2" s="1"/>
  <c r="M569" i="2"/>
  <c r="S764" i="2"/>
  <c r="Y764" i="2" s="1"/>
  <c r="M764" i="2"/>
  <c r="S1248" i="2"/>
  <c r="AG1248" i="2" s="1"/>
  <c r="M1248" i="2"/>
  <c r="S1247" i="2"/>
  <c r="AG1247" i="2" s="1"/>
  <c r="M1247" i="2"/>
  <c r="S210" i="2"/>
  <c r="AG210" i="2" s="1"/>
  <c r="M210" i="2"/>
  <c r="S209" i="2"/>
  <c r="AG209" i="2" s="1"/>
  <c r="M209" i="2"/>
  <c r="S208" i="2"/>
  <c r="AG208" i="2" s="1"/>
  <c r="M208" i="2"/>
  <c r="S207" i="2"/>
  <c r="AG207" i="2" s="1"/>
  <c r="M207" i="2"/>
  <c r="S499" i="2"/>
  <c r="AG499" i="2" s="1"/>
  <c r="M499" i="2"/>
  <c r="S1246" i="2"/>
  <c r="AG1246" i="2" s="1"/>
  <c r="M1246" i="2"/>
  <c r="S1245" i="2"/>
  <c r="AG1245" i="2" s="1"/>
  <c r="M1245" i="2"/>
  <c r="S1244" i="2"/>
  <c r="AG1244" i="2" s="1"/>
  <c r="M1244" i="2"/>
  <c r="S104" i="2"/>
  <c r="AG104" i="2" s="1"/>
  <c r="M104" i="2"/>
  <c r="S103" i="2"/>
  <c r="AG103" i="2" s="1"/>
  <c r="M103" i="2"/>
  <c r="S1243" i="2"/>
  <c r="AG1243" i="2" s="1"/>
  <c r="M1243" i="2"/>
  <c r="S1242" i="2"/>
  <c r="AG1242" i="2" s="1"/>
  <c r="M1242" i="2"/>
  <c r="S206" i="2"/>
  <c r="AG206" i="2" s="1"/>
  <c r="M206" i="2"/>
  <c r="S919" i="2"/>
  <c r="X919" i="2" s="1"/>
  <c r="M919" i="2"/>
  <c r="S376" i="2"/>
  <c r="AG376" i="2" s="1"/>
  <c r="M376" i="2"/>
  <c r="S985" i="2"/>
  <c r="M985" i="2"/>
  <c r="S984" i="2"/>
  <c r="X984" i="2" s="1"/>
  <c r="M984" i="2"/>
  <c r="S983" i="2"/>
  <c r="Z983" i="2" s="1"/>
  <c r="M983" i="2"/>
  <c r="S982" i="2"/>
  <c r="M982" i="2"/>
  <c r="S795" i="2"/>
  <c r="M795" i="2"/>
  <c r="S794" i="2"/>
  <c r="M794" i="2"/>
  <c r="S205" i="2"/>
  <c r="AG205" i="2" s="1"/>
  <c r="M205" i="2"/>
  <c r="S119" i="2"/>
  <c r="AG119" i="2" s="1"/>
  <c r="M119" i="2"/>
  <c r="S808" i="2"/>
  <c r="AG808" i="2" s="1"/>
  <c r="M808" i="2"/>
  <c r="S807" i="2"/>
  <c r="AG807" i="2" s="1"/>
  <c r="M807" i="2"/>
  <c r="S204" i="2"/>
  <c r="AG204" i="2" s="1"/>
  <c r="M204" i="2"/>
  <c r="S68" i="2"/>
  <c r="AG68" i="2" s="1"/>
  <c r="M68" i="2"/>
  <c r="S67" i="2"/>
  <c r="AG67" i="2" s="1"/>
  <c r="M67" i="2"/>
  <c r="S375" i="2"/>
  <c r="AG375" i="2" s="1"/>
  <c r="M375" i="2"/>
  <c r="S203" i="2"/>
  <c r="AG203" i="2" s="1"/>
  <c r="M203" i="2"/>
  <c r="S202" i="2"/>
  <c r="AG202" i="2" s="1"/>
  <c r="M202" i="2"/>
  <c r="S1018" i="2"/>
  <c r="AG1018" i="2" s="1"/>
  <c r="M1018" i="2"/>
  <c r="S66" i="2"/>
  <c r="AG66" i="2" s="1"/>
  <c r="M66" i="2"/>
  <c r="S201" i="2"/>
  <c r="AG201" i="2" s="1"/>
  <c r="M201" i="2"/>
  <c r="S200" i="2"/>
  <c r="AG200" i="2" s="1"/>
  <c r="M200" i="2"/>
  <c r="S749" i="2"/>
  <c r="AG749" i="2" s="1"/>
  <c r="M749" i="2"/>
  <c r="S65" i="2"/>
  <c r="AG65" i="2" s="1"/>
  <c r="M65" i="2"/>
  <c r="S806" i="2"/>
  <c r="AG806" i="2" s="1"/>
  <c r="M806" i="2"/>
  <c r="S639" i="2"/>
  <c r="AG639" i="2" s="1"/>
  <c r="M639" i="2"/>
  <c r="S199" i="2"/>
  <c r="AG199" i="2" s="1"/>
  <c r="M199" i="2"/>
  <c r="S1017" i="2"/>
  <c r="AG1017" i="2" s="1"/>
  <c r="M1017" i="2"/>
  <c r="S1241" i="2"/>
  <c r="AG1241" i="2" s="1"/>
  <c r="M1241" i="2"/>
  <c r="S1240" i="2"/>
  <c r="AG1240" i="2" s="1"/>
  <c r="M1240" i="2"/>
  <c r="S1239" i="2"/>
  <c r="AG1239" i="2" s="1"/>
  <c r="M1239" i="2"/>
  <c r="S1238" i="2"/>
  <c r="AG1238" i="2" s="1"/>
  <c r="M1238" i="2"/>
  <c r="S869" i="2"/>
  <c r="Z869" i="2" s="1"/>
  <c r="M869" i="2"/>
  <c r="S868" i="2"/>
  <c r="Y868" i="2" s="1"/>
  <c r="M868" i="2"/>
  <c r="S64" i="2"/>
  <c r="AG64" i="2" s="1"/>
  <c r="M64" i="2"/>
  <c r="S198" i="2"/>
  <c r="AG198" i="2" s="1"/>
  <c r="M198" i="2"/>
  <c r="S63" i="2"/>
  <c r="AG63" i="2" s="1"/>
  <c r="M63" i="2"/>
  <c r="S498" i="2"/>
  <c r="AG498" i="2" s="1"/>
  <c r="M498" i="2"/>
  <c r="S497" i="2"/>
  <c r="AG497" i="2" s="1"/>
  <c r="M497" i="2"/>
  <c r="S496" i="2"/>
  <c r="AG496" i="2" s="1"/>
  <c r="M496" i="2"/>
  <c r="S62" i="2"/>
  <c r="AG62" i="2" s="1"/>
  <c r="M62" i="2"/>
  <c r="S374" i="2"/>
  <c r="AG374" i="2" s="1"/>
  <c r="M374" i="2"/>
  <c r="S197" i="2"/>
  <c r="AG197" i="2" s="1"/>
  <c r="M197" i="2"/>
  <c r="S373" i="2"/>
  <c r="AG373" i="2" s="1"/>
  <c r="M373" i="2"/>
  <c r="S372" i="2"/>
  <c r="AG372" i="2" s="1"/>
  <c r="M372" i="2"/>
  <c r="S61" i="2"/>
  <c r="AG61" i="2" s="1"/>
  <c r="M61" i="2"/>
  <c r="S60" i="2"/>
  <c r="AG60" i="2" s="1"/>
  <c r="M60" i="2"/>
  <c r="S59" i="2"/>
  <c r="AG59" i="2" s="1"/>
  <c r="M59" i="2"/>
  <c r="S58" i="2"/>
  <c r="AG58" i="2" s="1"/>
  <c r="M58" i="2"/>
  <c r="S57" i="2"/>
  <c r="AG57" i="2" s="1"/>
  <c r="M57" i="2"/>
  <c r="S56" i="2"/>
  <c r="AG56" i="2" s="1"/>
  <c r="M56" i="2"/>
  <c r="S118" i="2"/>
  <c r="AG118" i="2" s="1"/>
  <c r="M118" i="2"/>
  <c r="S973" i="2"/>
  <c r="M973" i="2"/>
  <c r="S972" i="2"/>
  <c r="Z972" i="2" s="1"/>
  <c r="M972" i="2"/>
  <c r="S371" i="2"/>
  <c r="AG371" i="2" s="1"/>
  <c r="M371" i="2"/>
  <c r="S971" i="2"/>
  <c r="M971" i="2"/>
  <c r="S970" i="2"/>
  <c r="Y970" i="2" s="1"/>
  <c r="M970" i="2"/>
  <c r="S969" i="2"/>
  <c r="Z969" i="2" s="1"/>
  <c r="M969" i="2"/>
  <c r="S495" i="2"/>
  <c r="AG495" i="2" s="1"/>
  <c r="M495" i="2"/>
  <c r="S196" i="2"/>
  <c r="AG196" i="2" s="1"/>
  <c r="M196" i="2"/>
  <c r="S370" i="2"/>
  <c r="AG370" i="2" s="1"/>
  <c r="M370" i="2"/>
  <c r="S195" i="2"/>
  <c r="AG195" i="2" s="1"/>
  <c r="M195" i="2"/>
  <c r="S1005" i="2"/>
  <c r="Y1005" i="2" s="1"/>
  <c r="M1005" i="2"/>
  <c r="S494" i="2"/>
  <c r="AG494" i="2" s="1"/>
  <c r="M494" i="2"/>
  <c r="S369" i="2"/>
  <c r="AG369" i="2" s="1"/>
  <c r="M369" i="2"/>
  <c r="S368" i="2"/>
  <c r="AG368" i="2" s="1"/>
  <c r="M368" i="2"/>
  <c r="S194" i="2"/>
  <c r="AG194" i="2" s="1"/>
  <c r="M194" i="2"/>
  <c r="S1237" i="2"/>
  <c r="AG1237" i="2" s="1"/>
  <c r="M1237" i="2"/>
  <c r="S1236" i="2"/>
  <c r="AG1236" i="2" s="1"/>
  <c r="M1236" i="2"/>
  <c r="S1235" i="2"/>
  <c r="AG1235" i="2" s="1"/>
  <c r="M1235" i="2"/>
  <c r="S1234" i="2"/>
  <c r="AG1234" i="2" s="1"/>
  <c r="M1234" i="2"/>
  <c r="S638" i="2"/>
  <c r="AG638" i="2" s="1"/>
  <c r="M638" i="2"/>
  <c r="S637" i="2"/>
  <c r="AG637" i="2" s="1"/>
  <c r="M637" i="2"/>
  <c r="S636" i="2"/>
  <c r="AG636" i="2" s="1"/>
  <c r="M636" i="2"/>
  <c r="S1080" i="2"/>
  <c r="Z1080" i="2" s="1"/>
  <c r="M1080" i="2"/>
  <c r="S1079" i="2"/>
  <c r="M1079" i="2"/>
  <c r="S1078" i="2"/>
  <c r="X1078" i="2" s="1"/>
  <c r="M1078" i="2"/>
  <c r="S1077" i="2"/>
  <c r="Z1077" i="2" s="1"/>
  <c r="M1077" i="2"/>
  <c r="S1076" i="2"/>
  <c r="M1076" i="2"/>
  <c r="S635" i="2"/>
  <c r="AG635" i="2" s="1"/>
  <c r="M635" i="2"/>
  <c r="S55" i="2"/>
  <c r="AG55" i="2" s="1"/>
  <c r="M55" i="2"/>
  <c r="S54" i="2"/>
  <c r="AG54" i="2" s="1"/>
  <c r="M54" i="2"/>
  <c r="S493" i="2"/>
  <c r="AG493" i="2" s="1"/>
  <c r="M493" i="2"/>
  <c r="S53" i="2"/>
  <c r="AG53" i="2" s="1"/>
  <c r="M53" i="2"/>
  <c r="S52" i="2"/>
  <c r="AG52" i="2" s="1"/>
  <c r="M52" i="2"/>
  <c r="S51" i="2"/>
  <c r="AG51" i="2" s="1"/>
  <c r="M51" i="2"/>
  <c r="S193" i="2"/>
  <c r="AG193" i="2" s="1"/>
  <c r="M193" i="2"/>
  <c r="S1109" i="2"/>
  <c r="X1109" i="2" s="1"/>
  <c r="M1109" i="2"/>
  <c r="S1108" i="2"/>
  <c r="Z1108" i="2" s="1"/>
  <c r="M1108" i="2"/>
  <c r="S1107" i="2"/>
  <c r="M1107" i="2"/>
  <c r="S1106" i="2"/>
  <c r="Y1106" i="2" s="1"/>
  <c r="M1106" i="2"/>
  <c r="S699" i="2"/>
  <c r="M699" i="2"/>
  <c r="S698" i="2"/>
  <c r="Z698" i="2" s="1"/>
  <c r="M698" i="2"/>
  <c r="S697" i="2"/>
  <c r="X697" i="2" s="1"/>
  <c r="M697" i="2"/>
  <c r="S1168" i="2"/>
  <c r="M1168" i="2"/>
  <c r="S1167" i="2"/>
  <c r="Z1167" i="2" s="1"/>
  <c r="M1167" i="2"/>
  <c r="S1166" i="2"/>
  <c r="X1166" i="2" s="1"/>
  <c r="M1166" i="2"/>
  <c r="S1165" i="2"/>
  <c r="Y1165" i="2" s="1"/>
  <c r="M1165" i="2"/>
  <c r="S1164" i="2"/>
  <c r="Y1164" i="2" s="1"/>
  <c r="M1164" i="2"/>
  <c r="S1163" i="2"/>
  <c r="X1163" i="2" s="1"/>
  <c r="M1163" i="2"/>
  <c r="S1162" i="2"/>
  <c r="M1162" i="2"/>
  <c r="S1161" i="2"/>
  <c r="Z1161" i="2" s="1"/>
  <c r="M1161" i="2"/>
  <c r="S464" i="2"/>
  <c r="AG464" i="2" s="1"/>
  <c r="M464" i="2"/>
  <c r="S463" i="2"/>
  <c r="AG463" i="2" s="1"/>
  <c r="M463" i="2"/>
  <c r="S367" i="2"/>
  <c r="AG367" i="2" s="1"/>
  <c r="M367" i="2"/>
  <c r="S675" i="2"/>
  <c r="Z675" i="2" s="1"/>
  <c r="M675" i="2"/>
  <c r="S674" i="2"/>
  <c r="M674" i="2"/>
  <c r="S673" i="2"/>
  <c r="M673" i="2"/>
  <c r="S366" i="2"/>
  <c r="AG366" i="2" s="1"/>
  <c r="M366" i="2"/>
  <c r="S492" i="2"/>
  <c r="AG492" i="2" s="1"/>
  <c r="M492" i="2"/>
  <c r="S50" i="2"/>
  <c r="AG50" i="2" s="1"/>
  <c r="M50" i="2"/>
  <c r="S848" i="2"/>
  <c r="AG848" i="2" s="1"/>
  <c r="M848" i="2"/>
  <c r="S847" i="2"/>
  <c r="AG847" i="2" s="1"/>
  <c r="M847" i="2"/>
  <c r="S846" i="2"/>
  <c r="AG846" i="2" s="1"/>
  <c r="M846" i="2"/>
  <c r="S845" i="2"/>
  <c r="AG845" i="2" s="1"/>
  <c r="M845" i="2"/>
  <c r="S844" i="2"/>
  <c r="AG844" i="2" s="1"/>
  <c r="M844" i="2"/>
  <c r="S843" i="2"/>
  <c r="AG843" i="2" s="1"/>
  <c r="M843" i="2"/>
  <c r="S842" i="2"/>
  <c r="AG842" i="2" s="1"/>
  <c r="M842" i="2"/>
  <c r="S841" i="2"/>
  <c r="AG841" i="2" s="1"/>
  <c r="M841" i="2"/>
  <c r="S599" i="2"/>
  <c r="M599" i="2"/>
  <c r="S598" i="2"/>
  <c r="M598" i="2"/>
  <c r="S597" i="2"/>
  <c r="Y597" i="2" s="1"/>
  <c r="M597" i="2"/>
  <c r="S596" i="2"/>
  <c r="M596" i="2"/>
  <c r="S595" i="2"/>
  <c r="M595" i="2"/>
  <c r="S594" i="2"/>
  <c r="M594" i="2"/>
  <c r="S49" i="2"/>
  <c r="AG49" i="2" s="1"/>
  <c r="M49" i="2"/>
  <c r="S531" i="2"/>
  <c r="AG531" i="2" s="1"/>
  <c r="M531" i="2"/>
  <c r="S462" i="2"/>
  <c r="AG462" i="2" s="1"/>
  <c r="M462" i="2"/>
  <c r="S461" i="2"/>
  <c r="AG461" i="2" s="1"/>
  <c r="M461" i="2"/>
  <c r="S117" i="2"/>
  <c r="AG117" i="2" s="1"/>
  <c r="M117" i="2"/>
  <c r="S694" i="2"/>
  <c r="AG694" i="2" s="1"/>
  <c r="M694" i="2"/>
  <c r="S840" i="2"/>
  <c r="AG840" i="2" s="1"/>
  <c r="M840" i="2"/>
  <c r="S839" i="2"/>
  <c r="AG839" i="2" s="1"/>
  <c r="AT29" i="2" s="1"/>
  <c r="M839" i="2"/>
  <c r="S1016" i="2"/>
  <c r="AG1016" i="2" s="1"/>
  <c r="M1016" i="2"/>
  <c r="S192" i="2"/>
  <c r="AG192" i="2" s="1"/>
  <c r="M192" i="2"/>
  <c r="S530" i="2"/>
  <c r="AG530" i="2" s="1"/>
  <c r="M530" i="2"/>
  <c r="S867" i="2"/>
  <c r="Z867" i="2" s="1"/>
  <c r="M867" i="2"/>
  <c r="S866" i="2"/>
  <c r="Z866" i="2" s="1"/>
  <c r="M866" i="2"/>
  <c r="S865" i="2"/>
  <c r="M865" i="2"/>
  <c r="S864" i="2"/>
  <c r="M864" i="2"/>
  <c r="S863" i="2"/>
  <c r="Z863" i="2" s="1"/>
  <c r="M863" i="2"/>
  <c r="S634" i="2"/>
  <c r="AG634" i="2" s="1"/>
  <c r="M634" i="2"/>
  <c r="S633" i="2"/>
  <c r="AG633" i="2" s="1"/>
  <c r="M633" i="2"/>
  <c r="S632" i="2"/>
  <c r="AG632" i="2" s="1"/>
  <c r="M632" i="2"/>
  <c r="S895" i="2"/>
  <c r="M895" i="2"/>
  <c r="S894" i="2"/>
  <c r="X894" i="2" s="1"/>
  <c r="M894" i="2"/>
  <c r="S893" i="2"/>
  <c r="X893" i="2" s="1"/>
  <c r="M893" i="2"/>
  <c r="S892" i="2"/>
  <c r="M892" i="2"/>
  <c r="S891" i="2"/>
  <c r="Z891" i="2" s="1"/>
  <c r="M891" i="2"/>
  <c r="S365" i="2"/>
  <c r="AG365" i="2" s="1"/>
  <c r="M365" i="2"/>
  <c r="S364" i="2"/>
  <c r="AG364" i="2" s="1"/>
  <c r="M364" i="2"/>
  <c r="S1233" i="2"/>
  <c r="AG1233" i="2" s="1"/>
  <c r="M1233" i="2"/>
  <c r="S1015" i="2"/>
  <c r="AG1015" i="2" s="1"/>
  <c r="M1015" i="2"/>
  <c r="S1046" i="2"/>
  <c r="X1046" i="2" s="1"/>
  <c r="M1046" i="2"/>
  <c r="S1045" i="2"/>
  <c r="Z1045" i="2" s="1"/>
  <c r="M1045" i="2"/>
  <c r="S363" i="2"/>
  <c r="AG363" i="2" s="1"/>
  <c r="M363" i="2"/>
  <c r="S956" i="2"/>
  <c r="Y956" i="2" s="1"/>
  <c r="M956" i="2"/>
  <c r="S800" i="2"/>
  <c r="Z800" i="2" s="1"/>
  <c r="M800" i="2"/>
  <c r="S799" i="2"/>
  <c r="Z799" i="2" s="1"/>
  <c r="M799" i="2"/>
  <c r="S631" i="2"/>
  <c r="AG631" i="2" s="1"/>
  <c r="M631" i="2"/>
  <c r="S191" i="2"/>
  <c r="AG191" i="2" s="1"/>
  <c r="M191" i="2"/>
  <c r="S529" i="2"/>
  <c r="AG529" i="2" s="1"/>
  <c r="M529" i="2"/>
  <c r="S927" i="2"/>
  <c r="AG927" i="2" s="1"/>
  <c r="M927" i="2"/>
  <c r="S630" i="2"/>
  <c r="AG630" i="2" s="1"/>
  <c r="M630" i="2"/>
  <c r="S714" i="2"/>
  <c r="Z714" i="2" s="1"/>
  <c r="M714" i="2"/>
  <c r="S709" i="2"/>
  <c r="M709" i="2"/>
  <c r="S708" i="2"/>
  <c r="Z708" i="2" s="1"/>
  <c r="M708" i="2"/>
  <c r="S707" i="2"/>
  <c r="X707" i="2" s="1"/>
  <c r="M707" i="2"/>
  <c r="S706" i="2"/>
  <c r="Y706" i="2" s="1"/>
  <c r="M706" i="2"/>
  <c r="S48" i="2"/>
  <c r="AG48" i="2" s="1"/>
  <c r="M48" i="2"/>
  <c r="S362" i="2"/>
  <c r="AG362" i="2" s="1"/>
  <c r="M362" i="2"/>
  <c r="S994" i="2"/>
  <c r="Y994" i="2" s="1"/>
  <c r="M994" i="2"/>
  <c r="S993" i="2"/>
  <c r="M993" i="2"/>
  <c r="S992" i="2"/>
  <c r="Z992" i="2" s="1"/>
  <c r="M992" i="2"/>
  <c r="S991" i="2"/>
  <c r="M991" i="2"/>
  <c r="S990" i="2"/>
  <c r="M990" i="2"/>
  <c r="S989" i="2"/>
  <c r="Z989" i="2" s="1"/>
  <c r="M989" i="2"/>
  <c r="S47" i="2"/>
  <c r="AG47" i="2" s="1"/>
  <c r="M47" i="2"/>
  <c r="S361" i="2"/>
  <c r="AG361" i="2" s="1"/>
  <c r="M361" i="2"/>
  <c r="S838" i="2"/>
  <c r="AG838" i="2" s="1"/>
  <c r="M838" i="2"/>
  <c r="S862" i="2"/>
  <c r="M862" i="2"/>
  <c r="S190" i="2"/>
  <c r="AG190" i="2" s="1"/>
  <c r="M190" i="2"/>
  <c r="S189" i="2"/>
  <c r="AG189" i="2" s="1"/>
  <c r="M189" i="2"/>
  <c r="S629" i="2"/>
  <c r="AG629" i="2" s="1"/>
  <c r="M629" i="2"/>
  <c r="S628" i="2"/>
  <c r="AG628" i="2" s="1"/>
  <c r="M628" i="2"/>
  <c r="S116" i="2"/>
  <c r="AG116" i="2" s="1"/>
  <c r="M116" i="2"/>
  <c r="S671" i="2"/>
  <c r="M671" i="2"/>
  <c r="S670" i="2"/>
  <c r="M670" i="2"/>
  <c r="S669" i="2"/>
  <c r="Z669" i="2" s="1"/>
  <c r="M669" i="2"/>
  <c r="S1232" i="2"/>
  <c r="AG1232" i="2" s="1"/>
  <c r="M1232" i="2"/>
  <c r="S1297" i="2"/>
  <c r="Z1297" i="2" s="1"/>
  <c r="M1297" i="2"/>
  <c r="S591" i="2"/>
  <c r="Z591" i="2" s="1"/>
  <c r="M591" i="2"/>
  <c r="S590" i="2"/>
  <c r="X590" i="2" s="1"/>
  <c r="M590" i="2"/>
  <c r="S1151" i="2"/>
  <c r="Z1151" i="2" s="1"/>
  <c r="M1151" i="2"/>
  <c r="S589" i="2"/>
  <c r="M589" i="2"/>
  <c r="S1150" i="2"/>
  <c r="Y1150" i="2" s="1"/>
  <c r="M1150" i="2"/>
  <c r="S588" i="2"/>
  <c r="M588" i="2"/>
  <c r="S1149" i="2"/>
  <c r="Z1149" i="2" s="1"/>
  <c r="M1149" i="2"/>
  <c r="S188" i="2"/>
  <c r="AG188" i="2" s="1"/>
  <c r="M188" i="2"/>
  <c r="S717" i="2"/>
  <c r="Z717" i="2" s="1"/>
  <c r="M717" i="2"/>
  <c r="S716" i="2"/>
  <c r="Z716" i="2" s="1"/>
  <c r="M716" i="2"/>
  <c r="S757" i="2"/>
  <c r="M757" i="2"/>
  <c r="S715" i="2"/>
  <c r="Z715" i="2" s="1"/>
  <c r="M715" i="2"/>
  <c r="S187" i="2"/>
  <c r="AG187" i="2" s="1"/>
  <c r="M187" i="2"/>
  <c r="S186" i="2"/>
  <c r="AG186" i="2" s="1"/>
  <c r="M186" i="2"/>
  <c r="S693" i="2"/>
  <c r="AG693" i="2" s="1"/>
  <c r="M693" i="2"/>
  <c r="S460" i="2"/>
  <c r="AG460" i="2" s="1"/>
  <c r="M460" i="2"/>
  <c r="S360" i="2"/>
  <c r="AG360" i="2" s="1"/>
  <c r="M360" i="2"/>
  <c r="S528" i="2"/>
  <c r="AG528" i="2" s="1"/>
  <c r="M528" i="2"/>
  <c r="S185" i="2"/>
  <c r="AG185" i="2" s="1"/>
  <c r="M185" i="2"/>
  <c r="S359" i="2"/>
  <c r="AG359" i="2" s="1"/>
  <c r="M359" i="2"/>
  <c r="S184" i="2"/>
  <c r="AG184" i="2" s="1"/>
  <c r="M184" i="2"/>
  <c r="S183" i="2"/>
  <c r="AG183" i="2" s="1"/>
  <c r="M183" i="2"/>
  <c r="S46" i="2"/>
  <c r="AG46" i="2" s="1"/>
  <c r="M46" i="2"/>
  <c r="S358" i="2"/>
  <c r="AG358" i="2" s="1"/>
  <c r="M358" i="2"/>
  <c r="S45" i="2"/>
  <c r="AG45" i="2" s="1"/>
  <c r="M45" i="2"/>
  <c r="S182" i="2"/>
  <c r="AG182" i="2" s="1"/>
  <c r="M182" i="2"/>
  <c r="S357" i="2"/>
  <c r="AG357" i="2" s="1"/>
  <c r="M357" i="2"/>
  <c r="S356" i="2"/>
  <c r="AG356" i="2" s="1"/>
  <c r="M356" i="2"/>
  <c r="S355" i="2"/>
  <c r="AG355" i="2" s="1"/>
  <c r="M355" i="2"/>
  <c r="S44" i="2"/>
  <c r="AG44" i="2" s="1"/>
  <c r="M44" i="2"/>
  <c r="S181" i="2"/>
  <c r="AG181" i="2" s="1"/>
  <c r="M181" i="2"/>
  <c r="S354" i="2"/>
  <c r="AG354" i="2" s="1"/>
  <c r="M354" i="2"/>
  <c r="S571" i="2"/>
  <c r="X571" i="2" s="1"/>
  <c r="M571" i="2"/>
  <c r="S1231" i="2"/>
  <c r="AG1231" i="2" s="1"/>
  <c r="M1231" i="2"/>
  <c r="S43" i="2"/>
  <c r="AG43" i="2" s="1"/>
  <c r="M43" i="2"/>
  <c r="S1033" i="2"/>
  <c r="Z1033" i="2" s="1"/>
  <c r="M1033" i="2"/>
  <c r="S1032" i="2"/>
  <c r="Z1032" i="2" s="1"/>
  <c r="M1032" i="2"/>
  <c r="S1031" i="2"/>
  <c r="Y1031" i="2" s="1"/>
  <c r="M1031" i="2"/>
  <c r="S1030" i="2"/>
  <c r="Z1030" i="2" s="1"/>
  <c r="M1030" i="2"/>
  <c r="S725" i="2"/>
  <c r="Z725" i="2" s="1"/>
  <c r="M725" i="2"/>
  <c r="S724" i="2"/>
  <c r="Y724" i="2" s="1"/>
  <c r="M724" i="2"/>
  <c r="S723" i="2"/>
  <c r="M723" i="2"/>
  <c r="S722" i="2"/>
  <c r="Z722" i="2" s="1"/>
  <c r="M722" i="2"/>
  <c r="S721" i="2"/>
  <c r="M721" i="2"/>
  <c r="S720" i="2"/>
  <c r="X720" i="2" s="1"/>
  <c r="M720" i="2"/>
  <c r="S719" i="2"/>
  <c r="Z719" i="2" s="1"/>
  <c r="M719" i="2"/>
  <c r="S718" i="2"/>
  <c r="Y718" i="2" s="1"/>
  <c r="M718" i="2"/>
  <c r="S42" i="2"/>
  <c r="AG42" i="2" s="1"/>
  <c r="M42" i="2"/>
  <c r="S180" i="2"/>
  <c r="AG180" i="2" s="1"/>
  <c r="M180" i="2"/>
  <c r="S353" i="2"/>
  <c r="AG353" i="2" s="1"/>
  <c r="M353" i="2"/>
  <c r="S802" i="2"/>
  <c r="Z802" i="2" s="1"/>
  <c r="M802" i="2"/>
  <c r="S115" i="2"/>
  <c r="AG115" i="2" s="1"/>
  <c r="M115" i="2"/>
  <c r="S179" i="2"/>
  <c r="AG179" i="2" s="1"/>
  <c r="M179" i="2"/>
  <c r="S352" i="2"/>
  <c r="AG352" i="2" s="1"/>
  <c r="M352" i="2"/>
  <c r="S351" i="2"/>
  <c r="AG351" i="2" s="1"/>
  <c r="M351" i="2"/>
  <c r="S350" i="2"/>
  <c r="AG350" i="2" s="1"/>
  <c r="M350" i="2"/>
  <c r="S178" i="2"/>
  <c r="AG178" i="2" s="1"/>
  <c r="M178" i="2"/>
  <c r="S837" i="2"/>
  <c r="AG837" i="2" s="1"/>
  <c r="M837" i="2"/>
  <c r="S491" i="2"/>
  <c r="AG491" i="2" s="1"/>
  <c r="M491" i="2"/>
  <c r="S664" i="2"/>
  <c r="Z664" i="2" s="1"/>
  <c r="M664" i="2"/>
  <c r="S663" i="2"/>
  <c r="Y663" i="2" s="1"/>
  <c r="M663" i="2"/>
  <c r="S662" i="2"/>
  <c r="Y662" i="2" s="1"/>
  <c r="M662" i="2"/>
  <c r="S661" i="2"/>
  <c r="Z661" i="2" s="1"/>
  <c r="M661" i="2"/>
  <c r="S660" i="2"/>
  <c r="Z660" i="2" s="1"/>
  <c r="M660" i="2"/>
  <c r="S659" i="2"/>
  <c r="Y659" i="2" s="1"/>
  <c r="M659" i="2"/>
  <c r="S1066" i="2"/>
  <c r="M1066" i="2"/>
  <c r="S1065" i="2"/>
  <c r="Z1065" i="2" s="1"/>
  <c r="M1065" i="2"/>
  <c r="S1064" i="2"/>
  <c r="M1064" i="2"/>
  <c r="S1063" i="2"/>
  <c r="X1063" i="2" s="1"/>
  <c r="M1063" i="2"/>
  <c r="S1062" i="2"/>
  <c r="Z1062" i="2" s="1"/>
  <c r="M1062" i="2"/>
  <c r="S177" i="2"/>
  <c r="AG177" i="2" s="1"/>
  <c r="M177" i="2"/>
  <c r="S176" i="2"/>
  <c r="AG176" i="2" s="1"/>
  <c r="M176" i="2"/>
  <c r="S1230" i="2"/>
  <c r="AG1230" i="2" s="1"/>
  <c r="M1230" i="2"/>
  <c r="S114" i="2"/>
  <c r="AG114" i="2" s="1"/>
  <c r="M114" i="2"/>
  <c r="S574" i="2"/>
  <c r="Z574" i="2" s="1"/>
  <c r="M574" i="2"/>
  <c r="S573" i="2"/>
  <c r="Z573" i="2" s="1"/>
  <c r="M573" i="2"/>
  <c r="S572" i="2"/>
  <c r="Y572" i="2" s="1"/>
  <c r="M572" i="2"/>
  <c r="S748" i="2"/>
  <c r="AG748" i="2" s="1"/>
  <c r="M748" i="2"/>
  <c r="S877" i="2"/>
  <c r="Z877" i="2" s="1"/>
  <c r="M877" i="2"/>
  <c r="S876" i="2"/>
  <c r="M876" i="2"/>
  <c r="S875" i="2"/>
  <c r="X875" i="2" s="1"/>
  <c r="M875" i="2"/>
  <c r="S874" i="2"/>
  <c r="Z874" i="2" s="1"/>
  <c r="M874" i="2"/>
  <c r="S490" i="2"/>
  <c r="AG490" i="2" s="1"/>
  <c r="M490" i="2"/>
  <c r="S568" i="2"/>
  <c r="Z568" i="2" s="1"/>
  <c r="M568" i="2"/>
  <c r="S41" i="2"/>
  <c r="AG41" i="2" s="1"/>
  <c r="M41" i="2"/>
  <c r="S627" i="2"/>
  <c r="AG627" i="2" s="1"/>
  <c r="M627" i="2"/>
  <c r="S40" i="2"/>
  <c r="AG40" i="2" s="1"/>
  <c r="M40" i="2"/>
  <c r="S1014" i="2"/>
  <c r="AG1014" i="2" s="1"/>
  <c r="M1014" i="2"/>
  <c r="S489" i="2"/>
  <c r="AG489" i="2" s="1"/>
  <c r="M489" i="2"/>
  <c r="S349" i="2"/>
  <c r="AG349" i="2" s="1"/>
  <c r="M349" i="2"/>
  <c r="S348" i="2"/>
  <c r="AG348" i="2" s="1"/>
  <c r="M348" i="2"/>
  <c r="S626" i="2"/>
  <c r="AG626" i="2" s="1"/>
  <c r="M626" i="2"/>
  <c r="S625" i="2"/>
  <c r="AG625" i="2" s="1"/>
  <c r="M625" i="2"/>
  <c r="S1229" i="2"/>
  <c r="AG1229" i="2" s="1"/>
  <c r="M1229" i="2"/>
  <c r="S1127" i="2"/>
  <c r="Y1127" i="2" s="1"/>
  <c r="M1127" i="2"/>
  <c r="S1126" i="2"/>
  <c r="Z1126" i="2" s="1"/>
  <c r="M1126" i="2"/>
  <c r="S1125" i="2"/>
  <c r="X1125" i="2" s="1"/>
  <c r="M1125" i="2"/>
  <c r="S1124" i="2"/>
  <c r="Y1124" i="2" s="1"/>
  <c r="M1124" i="2"/>
  <c r="S347" i="2"/>
  <c r="AG347" i="2" s="1"/>
  <c r="M347" i="2"/>
  <c r="S346" i="2"/>
  <c r="AG346" i="2" s="1"/>
  <c r="M346" i="2"/>
  <c r="S1152" i="2"/>
  <c r="Y1152" i="2" s="1"/>
  <c r="M1152" i="2"/>
  <c r="S39" i="2"/>
  <c r="AG39" i="2" s="1"/>
  <c r="M39" i="2"/>
  <c r="S38" i="2"/>
  <c r="AG38" i="2" s="1"/>
  <c r="M38" i="2"/>
  <c r="S37" i="2"/>
  <c r="AG37" i="2" s="1"/>
  <c r="M37" i="2"/>
  <c r="S36" i="2"/>
  <c r="AG36" i="2" s="1"/>
  <c r="M36" i="2"/>
  <c r="S1013" i="2"/>
  <c r="AG1013" i="2" s="1"/>
  <c r="M1013" i="2"/>
  <c r="S345" i="2"/>
  <c r="AG345" i="2" s="1"/>
  <c r="M345" i="2"/>
  <c r="S344" i="2"/>
  <c r="AG344" i="2" s="1"/>
  <c r="M344" i="2"/>
  <c r="S113" i="2"/>
  <c r="AG113" i="2" s="1"/>
  <c r="M113" i="2"/>
  <c r="S175" i="2"/>
  <c r="AG175" i="2" s="1"/>
  <c r="M175" i="2"/>
  <c r="S488" i="2"/>
  <c r="AG488" i="2" s="1"/>
  <c r="M488" i="2"/>
  <c r="S805" i="2"/>
  <c r="AG805" i="2" s="1"/>
  <c r="M805" i="2"/>
  <c r="S1082" i="2"/>
  <c r="Y1082" i="2" s="1"/>
  <c r="M1082" i="2"/>
  <c r="S1040" i="2"/>
  <c r="Y1040" i="2" s="1"/>
  <c r="M1040" i="2"/>
  <c r="S1039" i="2"/>
  <c r="Z1039" i="2" s="1"/>
  <c r="M1039" i="2"/>
  <c r="S1038" i="2"/>
  <c r="M1038" i="2"/>
  <c r="S1037" i="2"/>
  <c r="X1037" i="2" s="1"/>
  <c r="M1037" i="2"/>
  <c r="S1036" i="2"/>
  <c r="Z1036" i="2" s="1"/>
  <c r="M1036" i="2"/>
  <c r="S624" i="2"/>
  <c r="AG624" i="2" s="1"/>
  <c r="M624" i="2"/>
  <c r="S1083" i="2"/>
  <c r="Y1083" i="2" s="1"/>
  <c r="M1083" i="2"/>
  <c r="S174" i="2"/>
  <c r="AG174" i="2" s="1"/>
  <c r="M174" i="2"/>
  <c r="S782" i="2"/>
  <c r="Y782" i="2" s="1"/>
  <c r="M782" i="2"/>
  <c r="S781" i="2"/>
  <c r="Z781" i="2" s="1"/>
  <c r="M781" i="2"/>
  <c r="S173" i="2"/>
  <c r="AG173" i="2" s="1"/>
  <c r="M173" i="2"/>
  <c r="S172" i="2"/>
  <c r="AG172" i="2" s="1"/>
  <c r="M172" i="2"/>
  <c r="S527" i="2"/>
  <c r="AG527" i="2" s="1"/>
  <c r="M527" i="2"/>
  <c r="S343" i="2"/>
  <c r="AG343" i="2" s="1"/>
  <c r="M343" i="2"/>
  <c r="S672" i="2"/>
  <c r="M672" i="2"/>
  <c r="S342" i="2"/>
  <c r="AG342" i="2" s="1"/>
  <c r="M342" i="2"/>
  <c r="S171" i="2"/>
  <c r="AG171" i="2" s="1"/>
  <c r="M171" i="2"/>
  <c r="S825" i="2"/>
  <c r="Y825" i="2" s="1"/>
  <c r="M825" i="2"/>
  <c r="S824" i="2"/>
  <c r="Z824" i="2" s="1"/>
  <c r="M824" i="2"/>
  <c r="S170" i="2"/>
  <c r="AG170" i="2" s="1"/>
  <c r="M170" i="2"/>
  <c r="S169" i="2"/>
  <c r="AG169" i="2" s="1"/>
  <c r="M169" i="2"/>
  <c r="S168" i="2"/>
  <c r="AG168" i="2" s="1"/>
  <c r="M168" i="2"/>
  <c r="S623" i="2"/>
  <c r="AG623" i="2" s="1"/>
  <c r="M623" i="2"/>
  <c r="S622" i="2"/>
  <c r="AG622" i="2" s="1"/>
  <c r="M622" i="2"/>
  <c r="S621" i="2"/>
  <c r="AG621" i="2" s="1"/>
  <c r="M621" i="2"/>
  <c r="S167" i="2"/>
  <c r="AG167" i="2" s="1"/>
  <c r="M167" i="2"/>
  <c r="S620" i="2"/>
  <c r="AG620" i="2" s="1"/>
  <c r="M620" i="2"/>
  <c r="S341" i="2"/>
  <c r="AG341" i="2" s="1"/>
  <c r="M341" i="2"/>
  <c r="S340" i="2"/>
  <c r="AG340" i="2" s="1"/>
  <c r="M340" i="2"/>
  <c r="S339" i="2"/>
  <c r="AG339" i="2" s="1"/>
  <c r="M339" i="2"/>
  <c r="S35" i="2"/>
  <c r="AG35" i="2" s="1"/>
  <c r="M35" i="2"/>
  <c r="S34" i="2"/>
  <c r="AG34" i="2" s="1"/>
  <c r="M34" i="2"/>
  <c r="S33" i="2"/>
  <c r="AG33" i="2" s="1"/>
  <c r="M33" i="2"/>
  <c r="S32" i="2"/>
  <c r="AG32" i="2" s="1"/>
  <c r="M32" i="2"/>
  <c r="S619" i="2"/>
  <c r="AG619" i="2" s="1"/>
  <c r="M619" i="2"/>
  <c r="S926" i="2"/>
  <c r="AG926" i="2" s="1"/>
  <c r="M926" i="2"/>
  <c r="S31" i="2"/>
  <c r="AG31" i="2" s="1"/>
  <c r="M31" i="2"/>
  <c r="S338" i="2"/>
  <c r="AG338" i="2" s="1"/>
  <c r="M338" i="2"/>
  <c r="S804" i="2"/>
  <c r="AG804" i="2" s="1"/>
  <c r="M804" i="2"/>
  <c r="S30" i="2"/>
  <c r="AG30" i="2" s="1"/>
  <c r="M30" i="2"/>
  <c r="S337" i="2"/>
  <c r="AG337" i="2" s="1"/>
  <c r="M337" i="2"/>
  <c r="S797" i="2"/>
  <c r="Y797" i="2" s="1"/>
  <c r="M797" i="2"/>
  <c r="S796" i="2"/>
  <c r="Z796" i="2" s="1"/>
  <c r="M796" i="2"/>
  <c r="S1131" i="2"/>
  <c r="Y1131" i="2" s="1"/>
  <c r="M1131" i="2"/>
  <c r="S1130" i="2"/>
  <c r="Y1130" i="2" s="1"/>
  <c r="M1130" i="2"/>
  <c r="S618" i="2"/>
  <c r="AG618" i="2" s="1"/>
  <c r="M618" i="2"/>
  <c r="S617" i="2"/>
  <c r="AG617" i="2" s="1"/>
  <c r="M617" i="2"/>
  <c r="S616" i="2"/>
  <c r="AG616" i="2" s="1"/>
  <c r="M616" i="2"/>
  <c r="S615" i="2"/>
  <c r="AG615" i="2" s="1"/>
  <c r="M615" i="2"/>
  <c r="S614" i="2"/>
  <c r="AG614" i="2" s="1"/>
  <c r="M614" i="2"/>
  <c r="S613" i="2"/>
  <c r="AG613" i="2" s="1"/>
  <c r="M613" i="2"/>
  <c r="S692" i="2"/>
  <c r="AG692" i="2" s="1"/>
  <c r="M692" i="2"/>
  <c r="S691" i="2"/>
  <c r="AG691" i="2" s="1"/>
  <c r="M691" i="2"/>
  <c r="S690" i="2"/>
  <c r="AG690" i="2" s="1"/>
  <c r="M690" i="2"/>
  <c r="S689" i="2"/>
  <c r="AG689" i="2" s="1"/>
  <c r="M689" i="2"/>
  <c r="S166" i="2"/>
  <c r="AG166" i="2" s="1"/>
  <c r="M166" i="2"/>
  <c r="S165" i="2"/>
  <c r="AG165" i="2" s="1"/>
  <c r="M165" i="2"/>
  <c r="S164" i="2"/>
  <c r="AG164" i="2" s="1"/>
  <c r="M164" i="2"/>
  <c r="S836" i="2"/>
  <c r="AG836" i="2" s="1"/>
  <c r="M836" i="2"/>
  <c r="S835" i="2"/>
  <c r="AG835" i="2" s="1"/>
  <c r="M835" i="2"/>
  <c r="S834" i="2"/>
  <c r="AG834" i="2" s="1"/>
  <c r="M834" i="2"/>
  <c r="S833" i="2"/>
  <c r="AG833" i="2" s="1"/>
  <c r="M833" i="2"/>
  <c r="S832" i="2"/>
  <c r="AG832" i="2" s="1"/>
  <c r="M832" i="2"/>
  <c r="S1228" i="2"/>
  <c r="AG1228" i="2" s="1"/>
  <c r="M1228" i="2"/>
  <c r="S1227" i="2"/>
  <c r="AG1227" i="2" s="1"/>
  <c r="M1227" i="2"/>
  <c r="S1226" i="2"/>
  <c r="AG1226" i="2" s="1"/>
  <c r="M1226" i="2"/>
  <c r="S1225" i="2"/>
  <c r="AG1225" i="2" s="1"/>
  <c r="M1225" i="2"/>
  <c r="S163" i="2"/>
  <c r="AG163" i="2" s="1"/>
  <c r="M163" i="2"/>
  <c r="S29" i="2"/>
  <c r="AG29" i="2" s="1"/>
  <c r="M29" i="2"/>
  <c r="S336" i="2"/>
  <c r="AG336" i="2" s="1"/>
  <c r="M336" i="2"/>
  <c r="S335" i="2"/>
  <c r="AG335" i="2" s="1"/>
  <c r="M335" i="2"/>
  <c r="S334" i="2"/>
  <c r="AG334" i="2" s="1"/>
  <c r="M334" i="2"/>
  <c r="S162" i="2"/>
  <c r="AG162" i="2" s="1"/>
  <c r="M162" i="2"/>
  <c r="S1224" i="2"/>
  <c r="AG1224" i="2" s="1"/>
  <c r="M1224" i="2"/>
  <c r="S1223" i="2"/>
  <c r="AG1223" i="2" s="1"/>
  <c r="M1223" i="2"/>
  <c r="S1222" i="2"/>
  <c r="AG1222" i="2" s="1"/>
  <c r="M1222" i="2"/>
  <c r="S537" i="2"/>
  <c r="AG537" i="2" s="1"/>
  <c r="M537" i="2"/>
  <c r="S161" i="2"/>
  <c r="AG161" i="2" s="1"/>
  <c r="M161" i="2"/>
  <c r="S160" i="2"/>
  <c r="AG160" i="2" s="1"/>
  <c r="M160" i="2"/>
  <c r="S112" i="2"/>
  <c r="AG112" i="2" s="1"/>
  <c r="M112" i="2"/>
  <c r="S111" i="2"/>
  <c r="AG111" i="2" s="1"/>
  <c r="M111" i="2"/>
  <c r="S333" i="2"/>
  <c r="AG333" i="2" s="1"/>
  <c r="M333" i="2"/>
  <c r="S1012" i="2"/>
  <c r="AG1012" i="2" s="1"/>
  <c r="M1012" i="2"/>
  <c r="S612" i="2"/>
  <c r="AG612" i="2" s="1"/>
  <c r="M612" i="2"/>
  <c r="S332" i="2"/>
  <c r="AG332" i="2" s="1"/>
  <c r="M332" i="2"/>
  <c r="S1123" i="2"/>
  <c r="Y1123" i="2" s="1"/>
  <c r="M1123" i="2"/>
  <c r="S1122" i="2"/>
  <c r="M1122" i="2"/>
  <c r="S1121" i="2"/>
  <c r="Y1121" i="2" s="1"/>
  <c r="M1121" i="2"/>
  <c r="S1120" i="2"/>
  <c r="M1120" i="2"/>
  <c r="S1119" i="2"/>
  <c r="Y1119" i="2" s="1"/>
  <c r="M1119" i="2"/>
  <c r="S1118" i="2"/>
  <c r="Z1118" i="2" s="1"/>
  <c r="M1118" i="2"/>
  <c r="S1117" i="2"/>
  <c r="Z1117" i="2" s="1"/>
  <c r="M1117" i="2"/>
  <c r="S1011" i="2"/>
  <c r="AG1011" i="2" s="1"/>
  <c r="M1011" i="2"/>
  <c r="S487" i="2"/>
  <c r="AG487" i="2" s="1"/>
  <c r="M487" i="2"/>
  <c r="S331" i="2"/>
  <c r="AG331" i="2" s="1"/>
  <c r="M331" i="2"/>
  <c r="S988" i="2"/>
  <c r="Y988" i="2" s="1"/>
  <c r="M988" i="2"/>
  <c r="S987" i="2"/>
  <c r="M987" i="2"/>
  <c r="S986" i="2"/>
  <c r="Y986" i="2" s="1"/>
  <c r="M986" i="2"/>
  <c r="S330" i="2"/>
  <c r="AG330" i="2" s="1"/>
  <c r="M330" i="2"/>
  <c r="S1050" i="2"/>
  <c r="Y1050" i="2" s="1"/>
  <c r="M1050" i="2"/>
  <c r="S1049" i="2"/>
  <c r="M1049" i="2"/>
  <c r="S1048" i="2"/>
  <c r="Y1048" i="2" s="1"/>
  <c r="M1048" i="2"/>
  <c r="S1047" i="2"/>
  <c r="X1047" i="2" s="1"/>
  <c r="M1047" i="2"/>
  <c r="S1221" i="2"/>
  <c r="AG1221" i="2" s="1"/>
  <c r="M1221" i="2"/>
  <c r="S1105" i="2"/>
  <c r="X1105" i="2" s="1"/>
  <c r="M1105" i="2"/>
  <c r="S1104" i="2"/>
  <c r="Z1104" i="2" s="1"/>
  <c r="M1104" i="2"/>
  <c r="S1103" i="2"/>
  <c r="Z1103" i="2" s="1"/>
  <c r="M1103" i="2"/>
  <c r="S1220" i="2"/>
  <c r="AG1220" i="2" s="1"/>
  <c r="M1220" i="2"/>
  <c r="S1296" i="2"/>
  <c r="AG1296" i="2" s="1"/>
  <c r="M1296" i="2"/>
  <c r="S1295" i="2"/>
  <c r="AG1295" i="2" s="1"/>
  <c r="M1295" i="2"/>
  <c r="S1294" i="2"/>
  <c r="AG1294" i="2" s="1"/>
  <c r="M1294" i="2"/>
  <c r="S1293" i="2"/>
  <c r="AG1293" i="2" s="1"/>
  <c r="M1293" i="2"/>
  <c r="S28" i="2"/>
  <c r="AG28" i="2" s="1"/>
  <c r="M28" i="2"/>
  <c r="S1170" i="2"/>
  <c r="Y1170" i="2" s="1"/>
  <c r="M1170" i="2"/>
  <c r="S747" i="2"/>
  <c r="AG747" i="2" s="1"/>
  <c r="M747" i="2"/>
  <c r="S746" i="2"/>
  <c r="AG746" i="2" s="1"/>
  <c r="M746" i="2"/>
  <c r="S745" i="2"/>
  <c r="AG745" i="2" s="1"/>
  <c r="M745" i="2"/>
  <c r="S744" i="2"/>
  <c r="AG744" i="2" s="1"/>
  <c r="M744" i="2"/>
  <c r="S743" i="2"/>
  <c r="AG743" i="2" s="1"/>
  <c r="M743" i="2"/>
  <c r="S742" i="2"/>
  <c r="AG742" i="2" s="1"/>
  <c r="M742" i="2"/>
  <c r="S1219" i="2"/>
  <c r="AG1219" i="2" s="1"/>
  <c r="M1219" i="2"/>
  <c r="S1218" i="2"/>
  <c r="AG1218" i="2" s="1"/>
  <c r="M1218" i="2"/>
  <c r="S741" i="2"/>
  <c r="AG741" i="2" s="1"/>
  <c r="M741" i="2"/>
  <c r="S740" i="2"/>
  <c r="AG740" i="2" s="1"/>
  <c r="M740" i="2"/>
  <c r="S739" i="2"/>
  <c r="AG739" i="2" s="1"/>
  <c r="M739" i="2"/>
  <c r="S738" i="2"/>
  <c r="AG738" i="2" s="1"/>
  <c r="M738" i="2"/>
  <c r="S737" i="2"/>
  <c r="AG737" i="2" s="1"/>
  <c r="M737" i="2"/>
  <c r="S736" i="2"/>
  <c r="AG736" i="2" s="1"/>
  <c r="M736" i="2"/>
  <c r="S735" i="2"/>
  <c r="AG735" i="2" s="1"/>
  <c r="M735" i="2"/>
  <c r="S734" i="2"/>
  <c r="AG734" i="2" s="1"/>
  <c r="M734" i="2"/>
  <c r="S733" i="2"/>
  <c r="AG733" i="2" s="1"/>
  <c r="M733" i="2"/>
  <c r="S159" i="2"/>
  <c r="AG159" i="2" s="1"/>
  <c r="M159" i="2"/>
  <c r="S158" i="2"/>
  <c r="AG158" i="2" s="1"/>
  <c r="M158" i="2"/>
  <c r="S27" i="2"/>
  <c r="AG27" i="2" s="1"/>
  <c r="M27" i="2"/>
  <c r="S963" i="2"/>
  <c r="M963" i="2"/>
  <c r="S157" i="2"/>
  <c r="AG157" i="2" s="1"/>
  <c r="M157" i="2"/>
  <c r="S730" i="2"/>
  <c r="M730" i="2"/>
  <c r="S729" i="2"/>
  <c r="Y729" i="2" s="1"/>
  <c r="M729" i="2"/>
  <c r="S728" i="2"/>
  <c r="Y728" i="2" s="1"/>
  <c r="M728" i="2"/>
  <c r="S727" i="2"/>
  <c r="Z727" i="2" s="1"/>
  <c r="M727" i="2"/>
  <c r="S156" i="2"/>
  <c r="AG156" i="2" s="1"/>
  <c r="M156" i="2"/>
  <c r="S155" i="2"/>
  <c r="AG155" i="2" s="1"/>
  <c r="M155" i="2"/>
  <c r="S547" i="2"/>
  <c r="AG547" i="2" s="1"/>
  <c r="M547" i="2"/>
  <c r="S110" i="2"/>
  <c r="AG110" i="2" s="1"/>
  <c r="M110" i="2"/>
  <c r="S578" i="2"/>
  <c r="M578" i="2"/>
  <c r="S459" i="2"/>
  <c r="AG459" i="2" s="1"/>
  <c r="M459" i="2"/>
  <c r="S458" i="2"/>
  <c r="AG458" i="2" s="1"/>
  <c r="M458" i="2"/>
  <c r="S577" i="2"/>
  <c r="Y577" i="2" s="1"/>
  <c r="M577" i="2"/>
  <c r="S576" i="2"/>
  <c r="M576" i="2"/>
  <c r="S329" i="2"/>
  <c r="AG329" i="2" s="1"/>
  <c r="M329" i="2"/>
  <c r="S154" i="2"/>
  <c r="AG154" i="2" s="1"/>
  <c r="M154" i="2"/>
  <c r="S328" i="2"/>
  <c r="AG328" i="2" s="1"/>
  <c r="M328" i="2"/>
  <c r="S153" i="2"/>
  <c r="AG153" i="2" s="1"/>
  <c r="M153" i="2"/>
  <c r="S152" i="2"/>
  <c r="AG152" i="2" s="1"/>
  <c r="M152" i="2"/>
  <c r="S327" i="2"/>
  <c r="AG327" i="2" s="1"/>
  <c r="M327" i="2"/>
  <c r="S831" i="2"/>
  <c r="AG831" i="2" s="1"/>
  <c r="M831" i="2"/>
  <c r="S830" i="2"/>
  <c r="AG830" i="2" s="1"/>
  <c r="M830" i="2"/>
  <c r="S829" i="2"/>
  <c r="AG829" i="2" s="1"/>
  <c r="M829" i="2"/>
  <c r="S828" i="2"/>
  <c r="AG828" i="2" s="1"/>
  <c r="M828" i="2"/>
  <c r="S1035" i="2"/>
  <c r="Y1035" i="2" s="1"/>
  <c r="M1035" i="2"/>
  <c r="S1034" i="2"/>
  <c r="M1034" i="2"/>
  <c r="S26" i="2"/>
  <c r="AG26" i="2" s="1"/>
  <c r="M26" i="2"/>
  <c r="S151" i="2"/>
  <c r="AG151" i="2" s="1"/>
  <c r="M151" i="2"/>
  <c r="S925" i="2"/>
  <c r="AG925" i="2" s="1"/>
  <c r="M925" i="2"/>
  <c r="S924" i="2"/>
  <c r="AG924" i="2" s="1"/>
  <c r="M924" i="2"/>
  <c r="S703" i="2"/>
  <c r="Z703" i="2" s="1"/>
  <c r="M703" i="2"/>
  <c r="S611" i="2"/>
  <c r="AG611" i="2" s="1"/>
  <c r="M611" i="2"/>
  <c r="S610" i="2"/>
  <c r="AG610" i="2" s="1"/>
  <c r="M610" i="2"/>
  <c r="S609" i="2"/>
  <c r="AG609" i="2" s="1"/>
  <c r="M609" i="2"/>
  <c r="S1217" i="2"/>
  <c r="AG1217" i="2" s="1"/>
  <c r="M1217" i="2"/>
  <c r="S1216" i="2"/>
  <c r="AG1216" i="2" s="1"/>
  <c r="M1216" i="2"/>
  <c r="S1215" i="2"/>
  <c r="AG1215" i="2" s="1"/>
  <c r="M1215" i="2"/>
  <c r="S1214" i="2"/>
  <c r="AG1214" i="2" s="1"/>
  <c r="M1214" i="2"/>
  <c r="S1148" i="2"/>
  <c r="Y1148" i="2" s="1"/>
  <c r="M1148" i="2"/>
  <c r="S1147" i="2"/>
  <c r="Z1147" i="2" s="1"/>
  <c r="M1147" i="2"/>
  <c r="S109" i="2"/>
  <c r="AG109" i="2" s="1"/>
  <c r="M109" i="2"/>
  <c r="S1213" i="2"/>
  <c r="AG1213" i="2" s="1"/>
  <c r="M1213" i="2"/>
  <c r="S608" i="2"/>
  <c r="AG608" i="2" s="1"/>
  <c r="M608" i="2"/>
  <c r="S150" i="2"/>
  <c r="AG150" i="2" s="1"/>
  <c r="M150" i="2"/>
  <c r="S526" i="2"/>
  <c r="AG526" i="2" s="1"/>
  <c r="M526" i="2"/>
  <c r="S457" i="2"/>
  <c r="AG457" i="2" s="1"/>
  <c r="M457" i="2"/>
  <c r="S1087" i="2"/>
  <c r="Z1087" i="2" s="1"/>
  <c r="M1087" i="2"/>
  <c r="S1086" i="2"/>
  <c r="M1086" i="2"/>
  <c r="S1085" i="2"/>
  <c r="Y1085" i="2" s="1"/>
  <c r="M1085" i="2"/>
  <c r="S1084" i="2"/>
  <c r="M1084" i="2"/>
  <c r="S1102" i="2"/>
  <c r="Y1102" i="2" s="1"/>
  <c r="M1102" i="2"/>
  <c r="S1101" i="2"/>
  <c r="Z1101" i="2" s="1"/>
  <c r="M1101" i="2"/>
  <c r="S1100" i="2"/>
  <c r="Y1100" i="2" s="1"/>
  <c r="M1100" i="2"/>
  <c r="S1099" i="2"/>
  <c r="X1099" i="2" s="1"/>
  <c r="M1099" i="2"/>
  <c r="S1098" i="2"/>
  <c r="Z1098" i="2" s="1"/>
  <c r="M1098" i="2"/>
  <c r="S1097" i="2"/>
  <c r="Z1097" i="2" s="1"/>
  <c r="M1097" i="2"/>
  <c r="S25" i="2"/>
  <c r="AG25" i="2" s="1"/>
  <c r="M25" i="2"/>
  <c r="S486" i="2"/>
  <c r="AG486" i="2" s="1"/>
  <c r="M486" i="2"/>
  <c r="S823" i="2"/>
  <c r="Y823" i="2" s="1"/>
  <c r="M823" i="2"/>
  <c r="S822" i="2"/>
  <c r="M822" i="2"/>
  <c r="S326" i="2"/>
  <c r="AG326" i="2" s="1"/>
  <c r="M326" i="2"/>
  <c r="S1212" i="2"/>
  <c r="AG1212" i="2" s="1"/>
  <c r="M1212" i="2"/>
  <c r="S1211" i="2"/>
  <c r="AG1211" i="2" s="1"/>
  <c r="M1211" i="2"/>
  <c r="S1210" i="2"/>
  <c r="AG1210" i="2" s="1"/>
  <c r="M1210" i="2"/>
  <c r="S1209" i="2"/>
  <c r="AG1209" i="2" s="1"/>
  <c r="M1209" i="2"/>
  <c r="S1208" i="2"/>
  <c r="AG1208" i="2" s="1"/>
  <c r="M1208" i="2"/>
  <c r="S1207" i="2"/>
  <c r="AG1207" i="2" s="1"/>
  <c r="M1207" i="2"/>
  <c r="S1206" i="2"/>
  <c r="AG1206" i="2" s="1"/>
  <c r="M1206" i="2"/>
  <c r="S1205" i="2"/>
  <c r="AG1205" i="2" s="1"/>
  <c r="M1205" i="2"/>
  <c r="S607" i="2"/>
  <c r="AG607" i="2" s="1"/>
  <c r="M607" i="2"/>
  <c r="S24" i="2"/>
  <c r="AG24" i="2" s="1"/>
  <c r="M24" i="2"/>
  <c r="S774" i="2"/>
  <c r="X774" i="2" s="1"/>
  <c r="M774" i="2"/>
  <c r="S773" i="2"/>
  <c r="Z773" i="2" s="1"/>
  <c r="M773" i="2"/>
  <c r="S772" i="2"/>
  <c r="X772" i="2" s="1"/>
  <c r="M772" i="2"/>
  <c r="S771" i="2"/>
  <c r="Y771" i="2" s="1"/>
  <c r="M771" i="2"/>
  <c r="S1141" i="2"/>
  <c r="Z1141" i="2" s="1"/>
  <c r="M1141" i="2"/>
  <c r="S1140" i="2"/>
  <c r="Z1140" i="2" s="1"/>
  <c r="M1140" i="2"/>
  <c r="S1139" i="2"/>
  <c r="Z1139" i="2" s="1"/>
  <c r="M1139" i="2"/>
  <c r="S1138" i="2"/>
  <c r="Z1138" i="2" s="1"/>
  <c r="M1138" i="2"/>
  <c r="S23" i="2"/>
  <c r="AG23" i="2" s="1"/>
  <c r="M23" i="2"/>
  <c r="S149" i="2"/>
  <c r="AG149" i="2" s="1"/>
  <c r="M149" i="2"/>
  <c r="S325" i="2"/>
  <c r="AG325" i="2" s="1"/>
  <c r="M325" i="2"/>
  <c r="S324" i="2"/>
  <c r="AG324" i="2" s="1"/>
  <c r="M324" i="2"/>
  <c r="S323" i="2"/>
  <c r="AG323" i="2" s="1"/>
  <c r="M323" i="2"/>
  <c r="S322" i="2"/>
  <c r="AG322" i="2" s="1"/>
  <c r="M322" i="2"/>
  <c r="S321" i="2"/>
  <c r="AG321" i="2" s="1"/>
  <c r="M321" i="2"/>
  <c r="S320" i="2"/>
  <c r="AG320" i="2" s="1"/>
  <c r="M320" i="2"/>
  <c r="S702" i="2"/>
  <c r="Z702" i="2" s="1"/>
  <c r="M702" i="2"/>
  <c r="S701" i="2"/>
  <c r="Z701" i="2" s="1"/>
  <c r="M701" i="2"/>
  <c r="S700" i="2"/>
  <c r="Z700" i="2" s="1"/>
  <c r="M700" i="2"/>
  <c r="S952" i="2"/>
  <c r="Z952" i="2" s="1"/>
  <c r="M952" i="2"/>
  <c r="S951" i="2"/>
  <c r="Z951" i="2" s="1"/>
  <c r="M951" i="2"/>
  <c r="S456" i="2"/>
  <c r="AG456" i="2" s="1"/>
  <c r="M456" i="2"/>
  <c r="S455" i="2"/>
  <c r="AG455" i="2" s="1"/>
  <c r="M455" i="2"/>
  <c r="S485" i="2"/>
  <c r="AG485" i="2" s="1"/>
  <c r="M485" i="2"/>
  <c r="S525" i="2"/>
  <c r="AG525" i="2" s="1"/>
  <c r="M525" i="2"/>
  <c r="S524" i="2"/>
  <c r="AG524" i="2" s="1"/>
  <c r="M524" i="2"/>
  <c r="S523" i="2"/>
  <c r="AG523" i="2" s="1"/>
  <c r="M523" i="2"/>
  <c r="S522" i="2"/>
  <c r="AG522" i="2" s="1"/>
  <c r="M522" i="2"/>
  <c r="S521" i="2"/>
  <c r="AG521" i="2" s="1"/>
  <c r="M521" i="2"/>
  <c r="S520" i="2"/>
  <c r="AG520" i="2" s="1"/>
  <c r="M520" i="2"/>
  <c r="S519" i="2"/>
  <c r="AG519" i="2" s="1"/>
  <c r="M519" i="2"/>
  <c r="S518" i="2"/>
  <c r="AG518" i="2" s="1"/>
  <c r="M518" i="2"/>
  <c r="S517" i="2"/>
  <c r="AG517" i="2" s="1"/>
  <c r="M517" i="2"/>
  <c r="S516" i="2"/>
  <c r="AG516" i="2" s="1"/>
  <c r="M516" i="2"/>
  <c r="S515" i="2"/>
  <c r="AG515" i="2" s="1"/>
  <c r="M515" i="2"/>
  <c r="S319" i="2"/>
  <c r="AG319" i="2" s="1"/>
  <c r="M319" i="2"/>
  <c r="S890" i="2"/>
  <c r="X890" i="2" s="1"/>
  <c r="M890" i="2"/>
  <c r="S484" i="2"/>
  <c r="AG484" i="2" s="1"/>
  <c r="M484" i="2"/>
  <c r="S815" i="2"/>
  <c r="M815" i="2"/>
  <c r="S814" i="2"/>
  <c r="Y814" i="2" s="1"/>
  <c r="M814" i="2"/>
  <c r="S1010" i="2"/>
  <c r="AG1010" i="2" s="1"/>
  <c r="M1010" i="2"/>
  <c r="S803" i="2"/>
  <c r="AG803" i="2" s="1"/>
  <c r="M803" i="2"/>
  <c r="S318" i="2"/>
  <c r="AG318" i="2" s="1"/>
  <c r="M318" i="2"/>
  <c r="S148" i="2"/>
  <c r="AG148" i="2" s="1"/>
  <c r="M148" i="2"/>
  <c r="S317" i="2"/>
  <c r="AG317" i="2" s="1"/>
  <c r="M317" i="2"/>
  <c r="S606" i="2"/>
  <c r="AG606" i="2" s="1"/>
  <c r="M606" i="2"/>
  <c r="S316" i="2"/>
  <c r="AG316" i="2" s="1"/>
  <c r="M316" i="2"/>
  <c r="S1204" i="2"/>
  <c r="AG1204" i="2" s="1"/>
  <c r="M1204" i="2"/>
  <c r="S959" i="2"/>
  <c r="Z959" i="2" s="1"/>
  <c r="M959" i="2"/>
  <c r="S958" i="2"/>
  <c r="Y958" i="2" s="1"/>
  <c r="M958" i="2"/>
  <c r="S315" i="2"/>
  <c r="AG315" i="2" s="1"/>
  <c r="M315" i="2"/>
  <c r="S1089" i="2"/>
  <c r="Y1089" i="2" s="1"/>
  <c r="M1089" i="2"/>
  <c r="S1088" i="2"/>
  <c r="Z1088" i="2" s="1"/>
  <c r="M1088" i="2"/>
  <c r="S947" i="2"/>
  <c r="Z947" i="2" s="1"/>
  <c r="M947" i="2"/>
  <c r="S946" i="2"/>
  <c r="Z946" i="2" s="1"/>
  <c r="M946" i="2"/>
  <c r="S945" i="2"/>
  <c r="Z945" i="2" s="1"/>
  <c r="M945" i="2"/>
  <c r="S944" i="2"/>
  <c r="Z944" i="2" s="1"/>
  <c r="M944" i="2"/>
  <c r="S943" i="2"/>
  <c r="X943" i="2" s="1"/>
  <c r="M943" i="2"/>
  <c r="S942" i="2"/>
  <c r="X942" i="2" s="1"/>
  <c r="M942" i="2"/>
  <c r="S314" i="2"/>
  <c r="AG314" i="2" s="1"/>
  <c r="M314" i="2"/>
  <c r="S313" i="2"/>
  <c r="AG313" i="2" s="1"/>
  <c r="M313" i="2"/>
  <c r="S798" i="2"/>
  <c r="Z798" i="2" s="1"/>
  <c r="M798" i="2"/>
  <c r="S514" i="2"/>
  <c r="AG514" i="2" s="1"/>
  <c r="M514" i="2"/>
  <c r="S513" i="2"/>
  <c r="AG513" i="2" s="1"/>
  <c r="M513" i="2"/>
  <c r="S512" i="2"/>
  <c r="AG512" i="2" s="1"/>
  <c r="M512" i="2"/>
  <c r="S511" i="2"/>
  <c r="AG511" i="2" s="1"/>
  <c r="M511" i="2"/>
  <c r="S312" i="2"/>
  <c r="AG312" i="2" s="1"/>
  <c r="M312" i="2"/>
  <c r="S1203" i="2"/>
  <c r="AG1203" i="2" s="1"/>
  <c r="M1203" i="2"/>
  <c r="S1202" i="2"/>
  <c r="AG1202" i="2" s="1"/>
  <c r="M1202" i="2"/>
  <c r="S827" i="2"/>
  <c r="AG827" i="2" s="1"/>
  <c r="M827" i="2"/>
  <c r="S826" i="2"/>
  <c r="AG826" i="2" s="1"/>
  <c r="M826" i="2"/>
  <c r="S22" i="2"/>
  <c r="AG22" i="2" s="1"/>
  <c r="M22" i="2"/>
  <c r="S1201" i="2"/>
  <c r="AG1201" i="2" s="1"/>
  <c r="M1201" i="2"/>
  <c r="S705" i="2"/>
  <c r="Z705" i="2" s="1"/>
  <c r="M705" i="2"/>
  <c r="S704" i="2"/>
  <c r="Y704" i="2" s="1"/>
  <c r="M704" i="2"/>
  <c r="S1200" i="2"/>
  <c r="AG1200" i="2" s="1"/>
  <c r="M1200" i="2"/>
  <c r="S1199" i="2"/>
  <c r="AG1199" i="2" s="1"/>
  <c r="M1199" i="2"/>
  <c r="S1198" i="2"/>
  <c r="AG1198" i="2" s="1"/>
  <c r="M1198" i="2"/>
  <c r="S1197" i="2"/>
  <c r="AG1197" i="2" s="1"/>
  <c r="M1197" i="2"/>
  <c r="S1196" i="2"/>
  <c r="AG1196" i="2" s="1"/>
  <c r="M1196" i="2"/>
  <c r="S1195" i="2"/>
  <c r="AG1195" i="2" s="1"/>
  <c r="M1195" i="2"/>
  <c r="S1194" i="2"/>
  <c r="AG1194" i="2" s="1"/>
  <c r="M1194" i="2"/>
  <c r="S1193" i="2"/>
  <c r="AG1193" i="2" s="1"/>
  <c r="M1193" i="2"/>
  <c r="S1192" i="2"/>
  <c r="AG1192" i="2" s="1"/>
  <c r="M1192" i="2"/>
  <c r="S1191" i="2"/>
  <c r="AG1191" i="2" s="1"/>
  <c r="M1191" i="2"/>
  <c r="S1190" i="2"/>
  <c r="AG1190" i="2" s="1"/>
  <c r="M1190" i="2"/>
  <c r="S1189" i="2"/>
  <c r="AG1189" i="2" s="1"/>
  <c r="M1189" i="2"/>
  <c r="S311" i="2"/>
  <c r="AG311" i="2" s="1"/>
  <c r="M311" i="2"/>
  <c r="S310" i="2"/>
  <c r="AG310" i="2" s="1"/>
  <c r="M310" i="2"/>
  <c r="S1188" i="2"/>
  <c r="AG1188" i="2" s="1"/>
  <c r="M1188" i="2"/>
  <c r="S309" i="2"/>
  <c r="AG309" i="2" s="1"/>
  <c r="M309" i="2"/>
  <c r="S732" i="2"/>
  <c r="AG732" i="2" s="1"/>
  <c r="M732" i="2"/>
  <c r="S923" i="2"/>
  <c r="AG923" i="2" s="1"/>
  <c r="M923" i="2"/>
  <c r="S922" i="2"/>
  <c r="AG922" i="2" s="1"/>
  <c r="M922" i="2"/>
  <c r="S921" i="2"/>
  <c r="AG921" i="2" s="1"/>
  <c r="M921" i="2"/>
  <c r="S920" i="2"/>
  <c r="AG920" i="2" s="1"/>
  <c r="M920" i="2"/>
  <c r="S1187" i="2"/>
  <c r="AG1187" i="2" s="1"/>
  <c r="M1187" i="2"/>
  <c r="S1186" i="2"/>
  <c r="AG1186" i="2" s="1"/>
  <c r="M1186" i="2"/>
  <c r="S879" i="2"/>
  <c r="Y879" i="2" s="1"/>
  <c r="M879" i="2"/>
  <c r="S878" i="2"/>
  <c r="Y878" i="2" s="1"/>
  <c r="M878" i="2"/>
  <c r="S1056" i="2"/>
  <c r="Z1056" i="2" s="1"/>
  <c r="M1056" i="2"/>
  <c r="S1055" i="2"/>
  <c r="Y1055" i="2" s="1"/>
  <c r="M1055" i="2"/>
  <c r="S1054" i="2"/>
  <c r="Z1054" i="2" s="1"/>
  <c r="M1054" i="2"/>
  <c r="S1053" i="2"/>
  <c r="Z1053" i="2" s="1"/>
  <c r="M1053" i="2"/>
  <c r="S1052" i="2"/>
  <c r="Z1052" i="2" s="1"/>
  <c r="M1052" i="2"/>
  <c r="S1051" i="2"/>
  <c r="Y1051" i="2" s="1"/>
  <c r="M1051" i="2"/>
  <c r="S21" i="2"/>
  <c r="AG21" i="2" s="1"/>
  <c r="M21" i="2"/>
  <c r="S1081" i="2"/>
  <c r="Y1081" i="2" s="1"/>
  <c r="M1081" i="2"/>
  <c r="S20" i="2"/>
  <c r="AG20" i="2" s="1"/>
  <c r="M20" i="2"/>
  <c r="S308" i="2"/>
  <c r="AG308" i="2" s="1"/>
  <c r="M308" i="2"/>
  <c r="S19" i="2"/>
  <c r="AG19" i="2" s="1"/>
  <c r="M19" i="2"/>
  <c r="S605" i="2"/>
  <c r="AG605" i="2" s="1"/>
  <c r="M605" i="2"/>
  <c r="S307" i="2"/>
  <c r="AG307" i="2" s="1"/>
  <c r="M307" i="2"/>
  <c r="S593" i="2"/>
  <c r="Y593" i="2" s="1"/>
  <c r="M593" i="2"/>
  <c r="S306" i="2"/>
  <c r="AG306" i="2" s="1"/>
  <c r="M306" i="2"/>
  <c r="S793" i="2"/>
  <c r="Y793" i="2" s="1"/>
  <c r="M793" i="2"/>
  <c r="S792" i="2"/>
  <c r="Z792" i="2" s="1"/>
  <c r="M792" i="2"/>
  <c r="S791" i="2"/>
  <c r="Z791" i="2" s="1"/>
  <c r="M791" i="2"/>
  <c r="S147" i="2"/>
  <c r="AG147" i="2" s="1"/>
  <c r="M147" i="2"/>
  <c r="S146" i="2"/>
  <c r="AG146" i="2" s="1"/>
  <c r="M146" i="2"/>
  <c r="S305" i="2"/>
  <c r="AG305" i="2" s="1"/>
  <c r="M305" i="2"/>
  <c r="S731" i="2"/>
  <c r="AG731" i="2" s="1"/>
  <c r="M731" i="2"/>
  <c r="S145" i="2"/>
  <c r="AG145" i="2" s="1"/>
  <c r="M145" i="2"/>
  <c r="S18" i="2"/>
  <c r="AG18" i="2" s="1"/>
  <c r="M18" i="2"/>
  <c r="S17" i="2"/>
  <c r="AG17" i="2" s="1"/>
  <c r="M17" i="2"/>
  <c r="S304" i="2"/>
  <c r="AG304" i="2" s="1"/>
  <c r="M304" i="2"/>
  <c r="S108" i="2"/>
  <c r="AG108" i="2" s="1"/>
  <c r="M108" i="2"/>
  <c r="S604" i="2"/>
  <c r="AG604" i="2" s="1"/>
  <c r="M604" i="2"/>
  <c r="S603" i="2"/>
  <c r="AG603" i="2" s="1"/>
  <c r="M603" i="2"/>
  <c r="S454" i="2"/>
  <c r="AG454" i="2" s="1"/>
  <c r="M454" i="2"/>
  <c r="S453" i="2"/>
  <c r="AG453" i="2" s="1"/>
  <c r="M453" i="2"/>
  <c r="S144" i="2"/>
  <c r="AG144" i="2" s="1"/>
  <c r="M144" i="2"/>
  <c r="S452" i="2"/>
  <c r="AG452" i="2" s="1"/>
  <c r="M452" i="2"/>
  <c r="S451" i="2"/>
  <c r="AG451" i="2" s="1"/>
  <c r="M451" i="2"/>
  <c r="S770" i="2"/>
  <c r="Z770" i="2" s="1"/>
  <c r="M770" i="2"/>
  <c r="S769" i="2"/>
  <c r="Z769" i="2" s="1"/>
  <c r="M769" i="2"/>
  <c r="S768" i="2"/>
  <c r="Z768" i="2" s="1"/>
  <c r="M768" i="2"/>
  <c r="S767" i="2"/>
  <c r="Y767" i="2" s="1"/>
  <c r="M767" i="2"/>
  <c r="S303" i="2"/>
  <c r="AG303" i="2" s="1"/>
  <c r="M303" i="2"/>
  <c r="S302" i="2"/>
  <c r="AG302" i="2" s="1"/>
  <c r="M302" i="2"/>
  <c r="S301" i="2"/>
  <c r="AG301" i="2" s="1"/>
  <c r="M301" i="2"/>
  <c r="S483" i="2"/>
  <c r="AG483" i="2" s="1"/>
  <c r="M483" i="2"/>
  <c r="S482" i="2"/>
  <c r="AG482" i="2" s="1"/>
  <c r="M482" i="2"/>
  <c r="S143" i="2"/>
  <c r="AG143" i="2" s="1"/>
  <c r="M143" i="2"/>
  <c r="S1185" i="2"/>
  <c r="AG1185" i="2" s="1"/>
  <c r="M1185" i="2"/>
  <c r="S585" i="2"/>
  <c r="Y585" i="2" s="1"/>
  <c r="M585" i="2"/>
  <c r="S1044" i="2"/>
  <c r="Z1044" i="2" s="1"/>
  <c r="M1044" i="2"/>
  <c r="S1043" i="2"/>
  <c r="Z1043" i="2" s="1"/>
  <c r="M1043" i="2"/>
  <c r="S1042" i="2"/>
  <c r="Z1042" i="2" s="1"/>
  <c r="M1042" i="2"/>
  <c r="S1184" i="2"/>
  <c r="AG1184" i="2" s="1"/>
  <c r="M1184" i="2"/>
  <c r="S1041" i="2"/>
  <c r="Z1041" i="2" s="1"/>
  <c r="M1041" i="2"/>
  <c r="S955" i="2"/>
  <c r="Y955" i="2" s="1"/>
  <c r="M955" i="2"/>
  <c r="S954" i="2"/>
  <c r="Z954" i="2" s="1"/>
  <c r="M954" i="2"/>
  <c r="S953" i="2"/>
  <c r="Y953" i="2" s="1"/>
  <c r="M953" i="2"/>
  <c r="S1001" i="2"/>
  <c r="Z1001" i="2" s="1"/>
  <c r="M1001" i="2"/>
  <c r="S1183" i="2"/>
  <c r="AG1183" i="2" s="1"/>
  <c r="M1183" i="2"/>
  <c r="S1009" i="2"/>
  <c r="AG1009" i="2" s="1"/>
  <c r="M1009" i="2"/>
  <c r="S300" i="2"/>
  <c r="AG300" i="2" s="1"/>
  <c r="M300" i="2"/>
  <c r="S16" i="2"/>
  <c r="AG16" i="2" s="1"/>
  <c r="M16" i="2"/>
  <c r="S142" i="2"/>
  <c r="AG142" i="2" s="1"/>
  <c r="M142" i="2"/>
  <c r="S107" i="2"/>
  <c r="AG107" i="2" s="1"/>
  <c r="M107" i="2"/>
  <c r="S1004" i="2"/>
  <c r="Y1004" i="2" s="1"/>
  <c r="M1004" i="2"/>
  <c r="S1003" i="2"/>
  <c r="Z1003" i="2" s="1"/>
  <c r="M1003" i="2"/>
  <c r="S450" i="2"/>
  <c r="AG450" i="2" s="1"/>
  <c r="M450" i="2"/>
  <c r="S449" i="2"/>
  <c r="AG449" i="2" s="1"/>
  <c r="M449" i="2"/>
  <c r="S299" i="2"/>
  <c r="AG299" i="2" s="1"/>
  <c r="M299" i="2"/>
  <c r="S15" i="2"/>
  <c r="AG15" i="2" s="1"/>
  <c r="M15" i="2"/>
  <c r="S1000" i="2"/>
  <c r="Y1000" i="2" s="1"/>
  <c r="M1000" i="2"/>
  <c r="S999" i="2"/>
  <c r="X999" i="2" s="1"/>
  <c r="M999" i="2"/>
  <c r="S998" i="2"/>
  <c r="Y998" i="2" s="1"/>
  <c r="M998" i="2"/>
  <c r="S141" i="2"/>
  <c r="AG141" i="2" s="1"/>
  <c r="M141" i="2"/>
  <c r="S298" i="2"/>
  <c r="AG298" i="2" s="1"/>
  <c r="M298" i="2"/>
  <c r="S14" i="2"/>
  <c r="AG14" i="2" s="1"/>
  <c r="M14" i="2"/>
  <c r="S1172" i="2"/>
  <c r="Y1172" i="2" s="1"/>
  <c r="M1172" i="2"/>
  <c r="S13" i="2"/>
  <c r="AG13" i="2" s="1"/>
  <c r="M13" i="2"/>
  <c r="S297" i="2"/>
  <c r="AG297" i="2" s="1"/>
  <c r="M297" i="2"/>
  <c r="S296" i="2"/>
  <c r="AG296" i="2" s="1"/>
  <c r="M296" i="2"/>
  <c r="S12" i="2"/>
  <c r="AG12" i="2" s="1"/>
  <c r="M12" i="2"/>
  <c r="S11" i="2"/>
  <c r="AG11" i="2" s="1"/>
  <c r="M11" i="2"/>
  <c r="S10" i="2"/>
  <c r="AG10" i="2" s="1"/>
  <c r="M10" i="2"/>
  <c r="S566" i="2"/>
  <c r="X566" i="2" s="1"/>
  <c r="M566" i="2"/>
  <c r="S140" i="2"/>
  <c r="AG140" i="2" s="1"/>
  <c r="M140" i="2"/>
  <c r="S9" i="2"/>
  <c r="AG9" i="2" s="1"/>
  <c r="M9" i="2"/>
  <c r="S780" i="2"/>
  <c r="Z780" i="2" s="1"/>
  <c r="M780" i="2"/>
  <c r="S779" i="2"/>
  <c r="Z779" i="2" s="1"/>
  <c r="M779" i="2"/>
  <c r="S778" i="2"/>
  <c r="Y778" i="2" s="1"/>
  <c r="M778" i="2"/>
  <c r="S777" i="2"/>
  <c r="Z777" i="2" s="1"/>
  <c r="M777" i="2"/>
  <c r="S776" i="2"/>
  <c r="Y776" i="2" s="1"/>
  <c r="M776" i="2"/>
  <c r="S775" i="2"/>
  <c r="Z775" i="2" s="1"/>
  <c r="M775" i="2"/>
  <c r="S801" i="2"/>
  <c r="Y801" i="2" s="1"/>
  <c r="M801" i="2"/>
  <c r="S295" i="2"/>
  <c r="AG295" i="2" s="1"/>
  <c r="M295" i="2"/>
  <c r="S1008" i="2"/>
  <c r="AG1008" i="2" s="1"/>
  <c r="M1008" i="2"/>
  <c r="S688" i="2"/>
  <c r="AG688" i="2" s="1"/>
  <c r="M688" i="2"/>
  <c r="S687" i="2"/>
  <c r="AG687" i="2" s="1"/>
  <c r="M687" i="2"/>
  <c r="S686" i="2"/>
  <c r="AG686" i="2" s="1"/>
  <c r="M686" i="2"/>
  <c r="S685" i="2"/>
  <c r="AG685" i="2" s="1"/>
  <c r="M685" i="2"/>
  <c r="S684" i="2"/>
  <c r="AG684" i="2" s="1"/>
  <c r="M684" i="2"/>
  <c r="S683" i="2"/>
  <c r="AG683" i="2" s="1"/>
  <c r="M683" i="2"/>
  <c r="S682" i="2"/>
  <c r="AG682" i="2" s="1"/>
  <c r="M682" i="2"/>
  <c r="S681" i="2"/>
  <c r="AG681" i="2" s="1"/>
  <c r="M681" i="2"/>
  <c r="S1007" i="2"/>
  <c r="AG1007" i="2" s="1"/>
  <c r="M1007" i="2"/>
  <c r="S481" i="2"/>
  <c r="AG481" i="2" s="1"/>
  <c r="M481" i="2"/>
  <c r="S139" i="2"/>
  <c r="AG139" i="2" s="1"/>
  <c r="M139" i="2"/>
  <c r="S713" i="2"/>
  <c r="Y713" i="2" s="1"/>
  <c r="M713" i="2"/>
  <c r="S712" i="2"/>
  <c r="X712" i="2" s="1"/>
  <c r="M712" i="2"/>
  <c r="S138" i="2"/>
  <c r="AG138" i="2" s="1"/>
  <c r="M138" i="2"/>
  <c r="S294" i="2"/>
  <c r="AG294" i="2" s="1"/>
  <c r="M294" i="2"/>
  <c r="S480" i="2"/>
  <c r="AG480" i="2" s="1"/>
  <c r="M480" i="2"/>
  <c r="S479" i="2"/>
  <c r="AG479" i="2" s="1"/>
  <c r="M479" i="2"/>
  <c r="S293" i="2"/>
  <c r="AG293" i="2" s="1"/>
  <c r="M293" i="2"/>
  <c r="S8" i="2"/>
  <c r="AG8" i="2" s="1"/>
  <c r="M8" i="2"/>
  <c r="S292" i="2"/>
  <c r="AG292" i="2" s="1"/>
  <c r="M292" i="2"/>
  <c r="S137" i="2"/>
  <c r="AG137" i="2" s="1"/>
  <c r="M137" i="2"/>
  <c r="S448" i="2"/>
  <c r="AG448" i="2" s="1"/>
  <c r="M448" i="2"/>
  <c r="S447" i="2"/>
  <c r="AG447" i="2" s="1"/>
  <c r="M447" i="2"/>
  <c r="S136" i="2"/>
  <c r="AG136" i="2" s="1"/>
  <c r="M136" i="2"/>
  <c r="S291" i="2"/>
  <c r="AG291" i="2" s="1"/>
  <c r="M291" i="2"/>
  <c r="S587" i="2"/>
  <c r="Y587" i="2" s="1"/>
  <c r="M587" i="2"/>
  <c r="S7" i="2"/>
  <c r="AG7" i="2" s="1"/>
  <c r="M7" i="2"/>
  <c r="S135" i="2"/>
  <c r="AG135" i="2" s="1"/>
  <c r="M135" i="2"/>
  <c r="S134" i="2"/>
  <c r="AG134" i="2" s="1"/>
  <c r="M134" i="2"/>
  <c r="S763" i="2"/>
  <c r="Y763" i="2" s="1"/>
  <c r="M763" i="2"/>
  <c r="S762" i="2"/>
  <c r="Z762" i="2" s="1"/>
  <c r="M762" i="2"/>
  <c r="S761" i="2"/>
  <c r="Y761" i="2" s="1"/>
  <c r="M761" i="2"/>
  <c r="S760" i="2"/>
  <c r="Z760" i="2" s="1"/>
  <c r="M760" i="2"/>
  <c r="S759" i="2"/>
  <c r="Y759" i="2" s="1"/>
  <c r="M759" i="2"/>
  <c r="S758" i="2"/>
  <c r="Z758" i="2" s="1"/>
  <c r="M758" i="2"/>
  <c r="S1182" i="2"/>
  <c r="AG1182" i="2" s="1"/>
  <c r="M1182" i="2"/>
  <c r="S106" i="2"/>
  <c r="AG106" i="2" s="1"/>
  <c r="M106" i="2"/>
  <c r="S560" i="2"/>
  <c r="AG560" i="2" s="1"/>
  <c r="M560" i="2"/>
  <c r="S559" i="2"/>
  <c r="AG559" i="2" s="1"/>
  <c r="M559" i="2"/>
  <c r="S558" i="2"/>
  <c r="AG558" i="2" s="1"/>
  <c r="M558" i="2"/>
  <c r="S557" i="2"/>
  <c r="AG557" i="2" s="1"/>
  <c r="M557" i="2"/>
  <c r="S556" i="2"/>
  <c r="AG556" i="2" s="1"/>
  <c r="M556" i="2"/>
  <c r="S555" i="2"/>
  <c r="AG555" i="2" s="1"/>
  <c r="M555" i="2"/>
  <c r="S290" i="2"/>
  <c r="AG290" i="2" s="1"/>
  <c r="M290" i="2"/>
  <c r="S133" i="2"/>
  <c r="AG133" i="2" s="1"/>
  <c r="M133" i="2"/>
  <c r="S6" i="2"/>
  <c r="AG6" i="2" s="1"/>
  <c r="M6" i="2"/>
  <c r="S132" i="2"/>
  <c r="AG132" i="2" s="1"/>
  <c r="M132" i="2"/>
  <c r="S889" i="2"/>
  <c r="Y889" i="2" s="1"/>
  <c r="M889" i="2"/>
  <c r="S888" i="2"/>
  <c r="X888" i="2" s="1"/>
  <c r="M888" i="2"/>
  <c r="S887" i="2"/>
  <c r="Z887" i="2" s="1"/>
  <c r="M887" i="2"/>
  <c r="S886" i="2"/>
  <c r="Z886" i="2" s="1"/>
  <c r="M886" i="2"/>
  <c r="S885" i="2"/>
  <c r="X885" i="2" s="1"/>
  <c r="M885" i="2"/>
  <c r="S884" i="2"/>
  <c r="Z884" i="2" s="1"/>
  <c r="M884" i="2"/>
  <c r="S883" i="2"/>
  <c r="Y883" i="2" s="1"/>
  <c r="M883" i="2"/>
  <c r="S882" i="2"/>
  <c r="Z882" i="2" s="1"/>
  <c r="M882" i="2"/>
  <c r="S881" i="2"/>
  <c r="Y881" i="2" s="1"/>
  <c r="M881" i="2"/>
  <c r="S880" i="2"/>
  <c r="Z880" i="2" s="1"/>
  <c r="M880" i="2"/>
  <c r="S289" i="2"/>
  <c r="AG289" i="2" s="1"/>
  <c r="M289" i="2"/>
  <c r="S288" i="2"/>
  <c r="AG288" i="2" s="1"/>
  <c r="M288" i="2"/>
  <c r="S5" i="2"/>
  <c r="AG5" i="2" s="1"/>
  <c r="M5" i="2"/>
  <c r="S131" i="2"/>
  <c r="AG131" i="2" s="1"/>
  <c r="M131" i="2"/>
  <c r="S1006" i="2"/>
  <c r="AG1006" i="2" s="1"/>
  <c r="M1006" i="2"/>
  <c r="S1181" i="2"/>
  <c r="AG1181" i="2" s="1"/>
  <c r="M1181" i="2"/>
  <c r="S287" i="2"/>
  <c r="AG287" i="2" s="1"/>
  <c r="M287" i="2"/>
  <c r="S813" i="2"/>
  <c r="Z813" i="2" s="1"/>
  <c r="M813" i="2"/>
  <c r="S1300" i="2"/>
  <c r="Y1300" i="2" s="1"/>
  <c r="M1300" i="2"/>
  <c r="S1299" i="2"/>
  <c r="Z1299" i="2" s="1"/>
  <c r="M1299" i="2"/>
  <c r="S1298" i="2"/>
  <c r="Y1298" i="2" s="1"/>
  <c r="M1298" i="2"/>
  <c r="S818" i="2"/>
  <c r="Y818" i="2" s="1"/>
  <c r="M818" i="2"/>
  <c r="S817" i="2"/>
  <c r="X817" i="2" s="1"/>
  <c r="M817" i="2"/>
  <c r="S816" i="2"/>
  <c r="Z816" i="2" s="1"/>
  <c r="M816" i="2"/>
  <c r="S1180" i="2"/>
  <c r="AG1180" i="2" s="1"/>
  <c r="M1180" i="2"/>
  <c r="S286" i="2"/>
  <c r="AG286" i="2" s="1"/>
  <c r="M286" i="2"/>
  <c r="S285" i="2"/>
  <c r="AG285" i="2" s="1"/>
  <c r="M285" i="2"/>
  <c r="S4" i="2"/>
  <c r="AG4" i="2" s="1"/>
  <c r="M4" i="2"/>
  <c r="S546" i="2"/>
  <c r="AG546" i="2" s="1"/>
  <c r="M546" i="2"/>
  <c r="S3" i="2"/>
  <c r="AG3" i="2" s="1"/>
  <c r="M3" i="2"/>
  <c r="S478" i="2"/>
  <c r="AG478" i="2" s="1"/>
  <c r="M478" i="2"/>
  <c r="S284" i="2"/>
  <c r="AG284" i="2" s="1"/>
  <c r="M284" i="2"/>
  <c r="S283" i="2"/>
  <c r="AG283" i="2" s="1"/>
  <c r="M283" i="2"/>
  <c r="S282" i="2"/>
  <c r="AG282" i="2" s="1"/>
  <c r="M282" i="2"/>
  <c r="S281" i="2"/>
  <c r="AG281" i="2" s="1"/>
  <c r="M281" i="2"/>
  <c r="S280" i="2"/>
  <c r="AG280" i="2" s="1"/>
  <c r="M280" i="2"/>
  <c r="S279" i="2"/>
  <c r="AG279" i="2" s="1"/>
  <c r="M279" i="2"/>
  <c r="S130" i="2"/>
  <c r="AG130" i="2" s="1"/>
  <c r="M130" i="2"/>
  <c r="B12" i="1"/>
  <c r="B11" i="1"/>
  <c r="B10" i="1"/>
  <c r="B9" i="1"/>
  <c r="B8" i="1"/>
  <c r="B7" i="1"/>
  <c r="B6" i="1"/>
  <c r="AQ51" i="2" l="1"/>
  <c r="AQ39" i="2"/>
  <c r="AQ50" i="2"/>
  <c r="AQ38" i="2"/>
  <c r="AQ49" i="2"/>
  <c r="AQ37" i="2"/>
  <c r="AQ48" i="2"/>
  <c r="AQ36" i="2"/>
  <c r="AQ47" i="2"/>
  <c r="AQ35" i="2"/>
  <c r="AQ41" i="2"/>
  <c r="AQ46" i="2"/>
  <c r="AQ34" i="2"/>
  <c r="AQ45" i="2"/>
  <c r="AQ33" i="2"/>
  <c r="AQ44" i="2"/>
  <c r="AQ32" i="2"/>
  <c r="AQ29" i="2"/>
  <c r="AQ43" i="2"/>
  <c r="AQ31" i="2"/>
  <c r="AQ42" i="2"/>
  <c r="AQ30" i="2"/>
  <c r="AQ40" i="2"/>
  <c r="AQ28" i="2"/>
  <c r="AT30" i="2"/>
  <c r="AH4" i="2"/>
  <c r="AI3" i="2"/>
  <c r="Z581" i="2"/>
  <c r="Z448" i="2"/>
  <c r="X130" i="2"/>
  <c r="X286" i="2"/>
  <c r="X131" i="2"/>
  <c r="X106" i="2"/>
  <c r="X291" i="2"/>
  <c r="Z8" i="2"/>
  <c r="Z682" i="2"/>
  <c r="Z13" i="2"/>
  <c r="X1009" i="2"/>
  <c r="X1185" i="2"/>
  <c r="X452" i="2"/>
  <c r="Z108" i="2"/>
  <c r="Z306" i="2"/>
  <c r="X20" i="2"/>
  <c r="Z1187" i="2"/>
  <c r="Z309" i="2"/>
  <c r="Z1197" i="2"/>
  <c r="Z1201" i="2"/>
  <c r="Z313" i="2"/>
  <c r="Y318" i="2"/>
  <c r="Y519" i="2"/>
  <c r="Z525" i="2"/>
  <c r="X323" i="2"/>
  <c r="X1208" i="2"/>
  <c r="X1213" i="2"/>
  <c r="X924" i="2"/>
  <c r="X153" i="2"/>
  <c r="X156" i="2"/>
  <c r="X735" i="2"/>
  <c r="X745" i="2"/>
  <c r="X1011" i="2"/>
  <c r="X111" i="2"/>
  <c r="Y29" i="2"/>
  <c r="Y165" i="2"/>
  <c r="Y33" i="2"/>
  <c r="Y169" i="2"/>
  <c r="Y175" i="2"/>
  <c r="Y627" i="2"/>
  <c r="Y114" i="2"/>
  <c r="Y353" i="2"/>
  <c r="Y182" i="2"/>
  <c r="X186" i="2"/>
  <c r="X364" i="2"/>
  <c r="Y839" i="2"/>
  <c r="Y531" i="2"/>
  <c r="Y845" i="2"/>
  <c r="Y464" i="2"/>
  <c r="X52" i="2"/>
  <c r="X637" i="2"/>
  <c r="X371" i="2"/>
  <c r="Z197" i="2"/>
  <c r="X63" i="2"/>
  <c r="Y1239" i="2"/>
  <c r="Y1018" i="2"/>
  <c r="Z382" i="2"/>
  <c r="Y810" i="2"/>
  <c r="Y216" i="2"/>
  <c r="Y218" i="2"/>
  <c r="Y468" i="2"/>
  <c r="Y76" i="2"/>
  <c r="Y397" i="2"/>
  <c r="Y235" i="2"/>
  <c r="Z247" i="2"/>
  <c r="Z253" i="2"/>
  <c r="Z256" i="2"/>
  <c r="Z80" i="2"/>
  <c r="Z1268" i="2"/>
  <c r="Z257" i="2"/>
  <c r="Z259" i="2"/>
  <c r="Z1270" i="2"/>
  <c r="Z406" i="2"/>
  <c r="Z649" i="2"/>
  <c r="Z411" i="2"/>
  <c r="Z414" i="2"/>
  <c r="Z811" i="2"/>
  <c r="Z261" i="2"/>
  <c r="Z85" i="2"/>
  <c r="Z936" i="2"/>
  <c r="Z562" i="2"/>
  <c r="Z695" i="2"/>
  <c r="Z88" i="2"/>
  <c r="Z124" i="2"/>
  <c r="Z263" i="2"/>
  <c r="Z264" i="2"/>
  <c r="Z655" i="2"/>
  <c r="Z1025" i="2"/>
  <c r="Z477" i="2"/>
  <c r="Z426" i="2"/>
  <c r="Z93" i="2"/>
  <c r="Z1284" i="2"/>
  <c r="Z270" i="2"/>
  <c r="Z1286" i="2"/>
  <c r="Z272" i="2"/>
  <c r="Z3" i="2"/>
  <c r="Z557" i="2"/>
  <c r="Z281" i="2"/>
  <c r="Z135" i="2"/>
  <c r="Z284" i="2"/>
  <c r="Z555" i="2"/>
  <c r="X688" i="2"/>
  <c r="Z303" i="2"/>
  <c r="X305" i="2"/>
  <c r="Z1191" i="2"/>
  <c r="Z312" i="2"/>
  <c r="Z274" i="2"/>
  <c r="Z1291" i="2"/>
  <c r="Z127" i="2"/>
  <c r="Z102" i="2"/>
  <c r="Z276" i="2"/>
  <c r="Z857" i="2"/>
  <c r="Z444" i="2"/>
  <c r="Z553" i="2"/>
  <c r="Z510" i="2"/>
  <c r="Z134" i="2"/>
  <c r="Z6" i="2"/>
  <c r="Y279" i="2"/>
  <c r="Y1182" i="2"/>
  <c r="Y136" i="2"/>
  <c r="Y1008" i="2"/>
  <c r="Y10" i="2"/>
  <c r="Y1183" i="2"/>
  <c r="Y143" i="2"/>
  <c r="Y144" i="2"/>
  <c r="Y146" i="2"/>
  <c r="Y920" i="2"/>
  <c r="Z1192" i="2"/>
  <c r="Y1198" i="2"/>
  <c r="Y511" i="2"/>
  <c r="Y314" i="2"/>
  <c r="Z1204" i="2"/>
  <c r="Z803" i="2"/>
  <c r="Y319" i="2"/>
  <c r="Y520" i="2"/>
  <c r="Z485" i="2"/>
  <c r="Z324" i="2"/>
  <c r="Z24" i="2"/>
  <c r="Y1209" i="2"/>
  <c r="Z109" i="2"/>
  <c r="Y1217" i="2"/>
  <c r="Z925" i="2"/>
  <c r="Z829" i="2"/>
  <c r="X328" i="2"/>
  <c r="Z459" i="2"/>
  <c r="Z27" i="2"/>
  <c r="Y736" i="2"/>
  <c r="Z1218" i="2"/>
  <c r="Z746" i="2"/>
  <c r="Y1295" i="2"/>
  <c r="Z1221" i="2"/>
  <c r="Z112" i="2"/>
  <c r="Z1224" i="2"/>
  <c r="X163" i="2"/>
  <c r="Z833" i="2"/>
  <c r="Y166" i="2"/>
  <c r="Y614" i="2"/>
  <c r="Z338" i="2"/>
  <c r="Y34" i="2"/>
  <c r="Z167" i="2"/>
  <c r="Y170" i="2"/>
  <c r="Y343" i="2"/>
  <c r="Y174" i="2"/>
  <c r="Z113" i="2"/>
  <c r="Y38" i="2"/>
  <c r="Z348" i="2"/>
  <c r="Z41" i="2"/>
  <c r="X1230" i="2"/>
  <c r="Y351" i="2"/>
  <c r="Z180" i="2"/>
  <c r="Y181" i="2"/>
  <c r="Y45" i="2"/>
  <c r="Z185" i="2"/>
  <c r="Z187" i="2"/>
  <c r="Z116" i="2"/>
  <c r="X838" i="2"/>
  <c r="Z365" i="2"/>
  <c r="Z840" i="2"/>
  <c r="Z846" i="2"/>
  <c r="Z638" i="2"/>
  <c r="Z59" i="2"/>
  <c r="Z374" i="2"/>
  <c r="Z198" i="2"/>
  <c r="Z1240" i="2"/>
  <c r="Z65" i="2"/>
  <c r="Z202" i="2"/>
  <c r="Z807" i="2"/>
  <c r="Z206" i="2"/>
  <c r="Z1245" i="2"/>
  <c r="Z210" i="2"/>
  <c r="X538" i="2"/>
  <c r="X544" i="2"/>
  <c r="X849" i="2"/>
  <c r="X1251" i="2"/>
  <c r="Z70" i="2"/>
  <c r="Z928" i="2"/>
  <c r="X752" i="2"/>
  <c r="Z73" i="2"/>
  <c r="Z225" i="2"/>
  <c r="Z645" i="2"/>
  <c r="X390" i="2"/>
  <c r="Z79" i="2"/>
  <c r="X236" i="2"/>
  <c r="Z242" i="2"/>
  <c r="Y248" i="2"/>
  <c r="Y1271" i="2"/>
  <c r="Z1272" i="2"/>
  <c r="X549" i="2"/>
  <c r="Z86" i="2"/>
  <c r="Z563" i="2"/>
  <c r="Z651" i="2"/>
  <c r="X1275" i="2"/>
  <c r="Z419" i="2"/>
  <c r="X125" i="2"/>
  <c r="Z1024" i="2"/>
  <c r="X1279" i="2"/>
  <c r="Z755" i="2"/>
  <c r="X424" i="2"/>
  <c r="X1281" i="2"/>
  <c r="Z427" i="2"/>
  <c r="X97" i="2"/>
  <c r="X941" i="2"/>
  <c r="Z273" i="2"/>
  <c r="Z280" i="2"/>
  <c r="Z288" i="2"/>
  <c r="Z132" i="2"/>
  <c r="Z289" i="2"/>
  <c r="Z685" i="2"/>
  <c r="Y478" i="2"/>
  <c r="Y1180" i="2"/>
  <c r="Y5" i="2"/>
  <c r="Y556" i="2"/>
  <c r="Y293" i="2"/>
  <c r="Y683" i="2"/>
  <c r="Y1184" i="2"/>
  <c r="Y304" i="2"/>
  <c r="Z1188" i="2"/>
  <c r="Y22" i="2"/>
  <c r="X433" i="2"/>
  <c r="X434" i="2"/>
  <c r="Z436" i="2"/>
  <c r="Z854" i="2"/>
  <c r="X277" i="2"/>
  <c r="X554" i="2"/>
  <c r="Z447" i="2"/>
  <c r="Z479" i="2"/>
  <c r="Z139" i="2"/>
  <c r="Z684" i="2"/>
  <c r="Z295" i="2"/>
  <c r="Z11" i="2"/>
  <c r="Z14" i="2"/>
  <c r="Z15" i="2"/>
  <c r="Z107" i="2"/>
  <c r="Z482" i="2"/>
  <c r="Z453" i="2"/>
  <c r="Z17" i="2"/>
  <c r="Z147" i="2"/>
  <c r="Z307" i="2"/>
  <c r="Z21" i="2"/>
  <c r="X921" i="2"/>
  <c r="Z310" i="2"/>
  <c r="X1193" i="2"/>
  <c r="Y1199" i="2"/>
  <c r="X826" i="2"/>
  <c r="Z512" i="2"/>
  <c r="X316" i="2"/>
  <c r="Y1010" i="2"/>
  <c r="X515" i="2"/>
  <c r="Z521" i="2"/>
  <c r="Y1210" i="2"/>
  <c r="Y151" i="2"/>
  <c r="Z154" i="2"/>
  <c r="Z737" i="2"/>
  <c r="Z747" i="2"/>
  <c r="Z160" i="2"/>
  <c r="Y1225" i="2"/>
  <c r="Y834" i="2"/>
  <c r="Y689" i="2"/>
  <c r="Y615" i="2"/>
  <c r="Y31" i="2"/>
  <c r="Y35" i="2"/>
  <c r="Y621" i="2"/>
  <c r="Y527" i="2"/>
  <c r="Z344" i="2"/>
  <c r="Y39" i="2"/>
  <c r="Z176" i="2"/>
  <c r="Y352" i="2"/>
  <c r="Z42" i="2"/>
  <c r="Z358" i="2"/>
  <c r="Z361" i="2"/>
  <c r="Y191" i="2"/>
  <c r="Z694" i="2"/>
  <c r="Y841" i="2"/>
  <c r="X847" i="2"/>
  <c r="Z493" i="2"/>
  <c r="Z1234" i="2"/>
  <c r="Y369" i="2"/>
  <c r="Y495" i="2"/>
  <c r="X60" i="2"/>
  <c r="Z62" i="2"/>
  <c r="Z64" i="2"/>
  <c r="Z1241" i="2"/>
  <c r="X749" i="2"/>
  <c r="Z203" i="2"/>
  <c r="X808" i="2"/>
  <c r="Z1242" i="2"/>
  <c r="X1247" i="2"/>
  <c r="Z640" i="2"/>
  <c r="Y539" i="2"/>
  <c r="Z1250" i="2"/>
  <c r="Y1252" i="2"/>
  <c r="Y1253" i="2"/>
  <c r="Z929" i="2"/>
  <c r="Y641" i="2"/>
  <c r="X121" i="2"/>
  <c r="Z74" i="2"/>
  <c r="Z75" i="2"/>
  <c r="Z1262" i="2"/>
  <c r="Z646" i="2"/>
  <c r="Z1265" i="2"/>
  <c r="Z850" i="2"/>
  <c r="X228" i="2"/>
  <c r="Z1266" i="2"/>
  <c r="Y231" i="2"/>
  <c r="Z237" i="2"/>
  <c r="Z243" i="2"/>
  <c r="Z249" i="2"/>
  <c r="Z403" i="2"/>
  <c r="Z260" i="2"/>
  <c r="Y534" i="2"/>
  <c r="Z105" i="2"/>
  <c r="Y412" i="2"/>
  <c r="Z932" i="2"/>
  <c r="Y1273" i="2"/>
  <c r="Z550" i="2"/>
  <c r="Y1274" i="2"/>
  <c r="Y564" i="2"/>
  <c r="Z937" i="2"/>
  <c r="Y1022" i="2"/>
  <c r="Z1276" i="2"/>
  <c r="Y421" i="2"/>
  <c r="Z90" i="2"/>
  <c r="Y423" i="2"/>
  <c r="Z425" i="2"/>
  <c r="Z267" i="2"/>
  <c r="Y94" i="2"/>
  <c r="Z269" i="2"/>
  <c r="Z429" i="2"/>
  <c r="Z1287" i="2"/>
  <c r="Y657" i="2"/>
  <c r="Z432" i="2"/>
  <c r="Z1288" i="2"/>
  <c r="Z435" i="2"/>
  <c r="Y437" i="2"/>
  <c r="Z439" i="2"/>
  <c r="Y508" i="2"/>
  <c r="Z859" i="2"/>
  <c r="Z445" i="2"/>
  <c r="Z446" i="2"/>
  <c r="Y546" i="2"/>
  <c r="Z558" i="2"/>
  <c r="Y480" i="2"/>
  <c r="Y12" i="2"/>
  <c r="Z298" i="2"/>
  <c r="Z299" i="2"/>
  <c r="Y142" i="2"/>
  <c r="Z483" i="2"/>
  <c r="Y454" i="2"/>
  <c r="Z18" i="2"/>
  <c r="Z605" i="2"/>
  <c r="X922" i="2"/>
  <c r="Y311" i="2"/>
  <c r="X1194" i="2"/>
  <c r="Y1200" i="2"/>
  <c r="X827" i="2"/>
  <c r="Y513" i="2"/>
  <c r="Y522" i="2"/>
  <c r="Z456" i="2"/>
  <c r="Y320" i="2"/>
  <c r="Z149" i="2"/>
  <c r="Z1205" i="2"/>
  <c r="Y1211" i="2"/>
  <c r="Y25" i="2"/>
  <c r="Y526" i="2"/>
  <c r="Y610" i="2"/>
  <c r="Y26" i="2"/>
  <c r="Y831" i="2"/>
  <c r="Y329" i="2"/>
  <c r="Y110" i="2"/>
  <c r="Y159" i="2"/>
  <c r="Y738" i="2"/>
  <c r="Y742" i="2"/>
  <c r="Y1220" i="2"/>
  <c r="Y612" i="2"/>
  <c r="Y161" i="2"/>
  <c r="Y334" i="2"/>
  <c r="Y1226" i="2"/>
  <c r="Y835" i="2"/>
  <c r="Y690" i="2"/>
  <c r="Y616" i="2"/>
  <c r="Y926" i="2"/>
  <c r="Y339" i="2"/>
  <c r="Y622" i="2"/>
  <c r="Y172" i="2"/>
  <c r="Y624" i="2"/>
  <c r="Y345" i="2"/>
  <c r="Y489" i="2"/>
  <c r="Y490" i="2"/>
  <c r="Y177" i="2"/>
  <c r="Y491" i="2"/>
  <c r="Y179" i="2"/>
  <c r="Y43" i="2"/>
  <c r="Y355" i="2"/>
  <c r="Y46" i="2"/>
  <c r="Y360" i="2"/>
  <c r="Y1232" i="2"/>
  <c r="Y629" i="2"/>
  <c r="Y47" i="2"/>
  <c r="X530" i="2"/>
  <c r="Y842" i="2"/>
  <c r="Y54" i="2"/>
  <c r="Y61" i="2"/>
  <c r="X496" i="2"/>
  <c r="Z200" i="2"/>
  <c r="Z119" i="2"/>
  <c r="Z1243" i="2"/>
  <c r="X499" i="2"/>
  <c r="Y1248" i="2"/>
  <c r="X540" i="2"/>
  <c r="X377" i="2"/>
  <c r="Y211" i="2"/>
  <c r="X379" i="2"/>
  <c r="Z381" i="2"/>
  <c r="Y750" i="2"/>
  <c r="X1254" i="2"/>
  <c r="Z386" i="2"/>
  <c r="Z1257" i="2"/>
  <c r="X753" i="2"/>
  <c r="X222" i="2"/>
  <c r="Z1258" i="2"/>
  <c r="Y388" i="2"/>
  <c r="Z227" i="2"/>
  <c r="X122" i="2"/>
  <c r="Z232" i="2"/>
  <c r="Z244" i="2"/>
  <c r="Z250" i="2"/>
  <c r="Z400" i="2"/>
  <c r="Z81" i="2"/>
  <c r="Z405" i="2"/>
  <c r="Z408" i="2"/>
  <c r="X409" i="2"/>
  <c r="Z413" i="2"/>
  <c r="Z933" i="2"/>
  <c r="Z84" i="2"/>
  <c r="Z551" i="2"/>
  <c r="Z565" i="2"/>
  <c r="Z938" i="2"/>
  <c r="Y1023" i="2"/>
  <c r="Z1277" i="2"/>
  <c r="Y422" i="2"/>
  <c r="Z754" i="2"/>
  <c r="X474" i="2"/>
  <c r="Z266" i="2"/>
  <c r="Z268" i="2"/>
  <c r="Z95" i="2"/>
  <c r="Z271" i="2"/>
  <c r="Z536" i="2"/>
  <c r="Z1289" i="2"/>
  <c r="Z1292" i="2"/>
  <c r="X100" i="2"/>
  <c r="Z440" i="2"/>
  <c r="Z441" i="2"/>
  <c r="Z1026" i="2"/>
  <c r="Z658" i="2"/>
  <c r="Z282" i="2"/>
  <c r="Z4" i="2"/>
  <c r="Z1181" i="2"/>
  <c r="Z133" i="2"/>
  <c r="Z559" i="2"/>
  <c r="Z7" i="2"/>
  <c r="Z137" i="2"/>
  <c r="Z294" i="2"/>
  <c r="Z1007" i="2"/>
  <c r="Z686" i="2"/>
  <c r="Z9" i="2"/>
  <c r="Z296" i="2"/>
  <c r="Z141" i="2"/>
  <c r="Z449" i="2"/>
  <c r="Z16" i="2"/>
  <c r="Z301" i="2"/>
  <c r="Z603" i="2"/>
  <c r="Z145" i="2"/>
  <c r="Z19" i="2"/>
  <c r="Z923" i="2"/>
  <c r="Y1189" i="2"/>
  <c r="Z1195" i="2"/>
  <c r="Z1202" i="2"/>
  <c r="Y514" i="2"/>
  <c r="Y315" i="2"/>
  <c r="Z317" i="2"/>
  <c r="Z517" i="2"/>
  <c r="Z23" i="2"/>
  <c r="Z1206" i="2"/>
  <c r="Z150" i="2"/>
  <c r="Z611" i="2"/>
  <c r="Z327" i="2"/>
  <c r="Z547" i="2"/>
  <c r="Z733" i="2"/>
  <c r="Z743" i="2"/>
  <c r="Z331" i="2"/>
  <c r="Z1012" i="2"/>
  <c r="Z335" i="2"/>
  <c r="Z1227" i="2"/>
  <c r="Z836" i="2"/>
  <c r="Z691" i="2"/>
  <c r="Z617" i="2"/>
  <c r="Z337" i="2"/>
  <c r="Z619" i="2"/>
  <c r="Z340" i="2"/>
  <c r="Z623" i="2"/>
  <c r="Z171" i="2"/>
  <c r="Z173" i="2"/>
  <c r="Z805" i="2"/>
  <c r="Z1013" i="2"/>
  <c r="Z346" i="2"/>
  <c r="Z1229" i="2"/>
  <c r="Z1014" i="2"/>
  <c r="Z837" i="2"/>
  <c r="Z115" i="2"/>
  <c r="Z1231" i="2"/>
  <c r="Z356" i="2"/>
  <c r="Z183" i="2"/>
  <c r="Z460" i="2"/>
  <c r="Z362" i="2"/>
  <c r="Z1015" i="2"/>
  <c r="X192" i="2"/>
  <c r="X461" i="2"/>
  <c r="X843" i="2"/>
  <c r="Y50" i="2"/>
  <c r="X367" i="2"/>
  <c r="Z193" i="2"/>
  <c r="Z55" i="2"/>
  <c r="X1236" i="2"/>
  <c r="Z56" i="2"/>
  <c r="Z372" i="2"/>
  <c r="Y497" i="2"/>
  <c r="Z199" i="2"/>
  <c r="Y201" i="2"/>
  <c r="X67" i="2"/>
  <c r="Z205" i="2"/>
  <c r="X207" i="2"/>
  <c r="Y541" i="2"/>
  <c r="Z809" i="2"/>
  <c r="Y378" i="2"/>
  <c r="Y380" i="2"/>
  <c r="X69" i="2"/>
  <c r="Y215" i="2"/>
  <c r="Z1255" i="2"/>
  <c r="Z72" i="2"/>
  <c r="Y501" i="2"/>
  <c r="Y223" i="2"/>
  <c r="Z1259" i="2"/>
  <c r="Z1264" i="2"/>
  <c r="Z389" i="2"/>
  <c r="Z532" i="2"/>
  <c r="X393" i="2"/>
  <c r="Z395" i="2"/>
  <c r="Z1267" i="2"/>
  <c r="Y399" i="2"/>
  <c r="Y233" i="2"/>
  <c r="Z239" i="2"/>
  <c r="Z245" i="2"/>
  <c r="X251" i="2"/>
  <c r="X470" i="2"/>
  <c r="X647" i="2"/>
  <c r="X1269" i="2"/>
  <c r="X851" i="2"/>
  <c r="X82" i="2"/>
  <c r="X472" i="2"/>
  <c r="X934" i="2"/>
  <c r="X129" i="2"/>
  <c r="X416" i="2"/>
  <c r="X417" i="2"/>
  <c r="X939" i="2"/>
  <c r="X652" i="2"/>
  <c r="X265" i="2"/>
  <c r="X504" i="2"/>
  <c r="X475" i="2"/>
  <c r="X756" i="2"/>
  <c r="X91" i="2"/>
  <c r="X1282" i="2"/>
  <c r="X96" i="2"/>
  <c r="X428" i="2"/>
  <c r="X126" i="2"/>
  <c r="X98" i="2"/>
  <c r="X438" i="2"/>
  <c r="X506" i="2"/>
  <c r="X855" i="2"/>
  <c r="X442" i="2"/>
  <c r="X278" i="2"/>
  <c r="Z128" i="2"/>
  <c r="X860" i="2"/>
  <c r="Z287" i="2"/>
  <c r="Z481" i="2"/>
  <c r="Y283" i="2"/>
  <c r="Y290" i="2"/>
  <c r="Y292" i="2"/>
  <c r="Y681" i="2"/>
  <c r="Z300" i="2"/>
  <c r="Y302" i="2"/>
  <c r="Y604" i="2"/>
  <c r="Y1186" i="2"/>
  <c r="Z732" i="2"/>
  <c r="Z1196" i="2"/>
  <c r="Z148" i="2"/>
  <c r="Z484" i="2"/>
  <c r="Z518" i="2"/>
  <c r="Z322" i="2"/>
  <c r="Z1207" i="2"/>
  <c r="Y326" i="2"/>
  <c r="Z608" i="2"/>
  <c r="Y1215" i="2"/>
  <c r="Z152" i="2"/>
  <c r="Z155" i="2"/>
  <c r="Y157" i="2"/>
  <c r="Z734" i="2"/>
  <c r="Y740" i="2"/>
  <c r="Z744" i="2"/>
  <c r="Y1293" i="2"/>
  <c r="Z487" i="2"/>
  <c r="Z333" i="2"/>
  <c r="Y1222" i="2"/>
  <c r="Z336" i="2"/>
  <c r="X1228" i="2"/>
  <c r="Z164" i="2"/>
  <c r="X692" i="2"/>
  <c r="Z618" i="2"/>
  <c r="X30" i="2"/>
  <c r="Z32" i="2"/>
  <c r="X341" i="2"/>
  <c r="Z168" i="2"/>
  <c r="X342" i="2"/>
  <c r="Z488" i="2"/>
  <c r="X36" i="2"/>
  <c r="Z347" i="2"/>
  <c r="X625" i="2"/>
  <c r="Z40" i="2"/>
  <c r="X178" i="2"/>
  <c r="Z357" i="2"/>
  <c r="X184" i="2"/>
  <c r="Z48" i="2"/>
  <c r="X630" i="2"/>
  <c r="Y1016" i="2"/>
  <c r="X462" i="2"/>
  <c r="X844" i="2"/>
  <c r="X463" i="2"/>
  <c r="Z635" i="2"/>
  <c r="Y636" i="2"/>
  <c r="Y195" i="2"/>
  <c r="Y57" i="2"/>
  <c r="Y498" i="2"/>
  <c r="Z542" i="2"/>
  <c r="X212" i="2"/>
  <c r="Z500" i="2"/>
  <c r="X465" i="2"/>
  <c r="Z384" i="2"/>
  <c r="X1256" i="2"/>
  <c r="Z120" i="2"/>
  <c r="Z751" i="2"/>
  <c r="X219" i="2"/>
  <c r="Z467" i="2"/>
  <c r="X224" i="2"/>
  <c r="Z1260" i="2"/>
  <c r="X643" i="2"/>
  <c r="Z226" i="2"/>
  <c r="X392" i="2"/>
  <c r="Z394" i="2"/>
  <c r="X396" i="2"/>
  <c r="Z78" i="2"/>
  <c r="X229" i="2"/>
  <c r="Z234" i="2"/>
  <c r="X240" i="2"/>
  <c r="Y246" i="2"/>
  <c r="Y252" i="2"/>
  <c r="Y502" i="2"/>
  <c r="Y123" i="2"/>
  <c r="Y852" i="2"/>
  <c r="Y410" i="2"/>
  <c r="Y935" i="2"/>
  <c r="Y262" i="2"/>
  <c r="Y561" i="2"/>
  <c r="Y940" i="2"/>
  <c r="Y418" i="2"/>
  <c r="Y656" i="2"/>
  <c r="Y853" i="2"/>
  <c r="Y430" i="2"/>
  <c r="Y2" i="2"/>
  <c r="Z285" i="2"/>
  <c r="Y1006" i="2"/>
  <c r="Y560" i="2"/>
  <c r="Y138" i="2"/>
  <c r="Z687" i="2"/>
  <c r="Z140" i="2"/>
  <c r="Y297" i="2"/>
  <c r="Y450" i="2"/>
  <c r="Z451" i="2"/>
  <c r="Y731" i="2"/>
  <c r="Z308" i="2"/>
  <c r="Z1190" i="2"/>
  <c r="Z1203" i="2"/>
  <c r="Y524" i="2"/>
  <c r="Y99" i="2"/>
  <c r="Y507" i="2"/>
  <c r="Y509" i="2"/>
  <c r="Y749" i="2"/>
  <c r="Y605" i="2"/>
  <c r="Z1225" i="2"/>
  <c r="X109" i="2"/>
  <c r="X481" i="2"/>
  <c r="X38" i="2"/>
  <c r="Z422" i="2"/>
  <c r="Y708" i="2"/>
  <c r="X231" i="2"/>
  <c r="X1234" i="2"/>
  <c r="Y1032" i="2"/>
  <c r="Z454" i="2"/>
  <c r="Y163" i="2"/>
  <c r="Z61" i="2"/>
  <c r="Y1230" i="2"/>
  <c r="X903" i="2"/>
  <c r="X136" i="2"/>
  <c r="Z172" i="2"/>
  <c r="Z845" i="2"/>
  <c r="Z501" i="2"/>
  <c r="X47" i="2"/>
  <c r="Y285" i="2"/>
  <c r="Z761" i="2"/>
  <c r="Y298" i="2"/>
  <c r="X623" i="2"/>
  <c r="Z45" i="2"/>
  <c r="Y193" i="2"/>
  <c r="Y851" i="2"/>
  <c r="X1075" i="2"/>
  <c r="Y18" i="2"/>
  <c r="X687" i="2"/>
  <c r="Z163" i="2"/>
  <c r="Y199" i="2"/>
  <c r="Y428" i="2"/>
  <c r="X356" i="2"/>
  <c r="Z1254" i="2"/>
  <c r="Y281" i="2"/>
  <c r="X694" i="2"/>
  <c r="Z911" i="2"/>
  <c r="X362" i="2"/>
  <c r="Z1085" i="2"/>
  <c r="X399" i="2"/>
  <c r="Z788" i="2"/>
  <c r="X1274" i="2"/>
  <c r="Z955" i="2"/>
  <c r="Y640" i="2"/>
  <c r="X205" i="2"/>
  <c r="X1248" i="2"/>
  <c r="Y413" i="2"/>
  <c r="Z786" i="2"/>
  <c r="Z657" i="2"/>
  <c r="Y433" i="2"/>
  <c r="Y205" i="2"/>
  <c r="Y1103" i="2"/>
  <c r="X80" i="2"/>
  <c r="Y979" i="2"/>
  <c r="Y472" i="2"/>
  <c r="Z560" i="2"/>
  <c r="X1218" i="2"/>
  <c r="Y745" i="2"/>
  <c r="X35" i="2"/>
  <c r="Y625" i="2"/>
  <c r="X1297" i="2"/>
  <c r="Z844" i="2"/>
  <c r="Z304" i="2"/>
  <c r="Y305" i="2"/>
  <c r="Z35" i="2"/>
  <c r="Y1069" i="2"/>
  <c r="X617" i="2"/>
  <c r="Y840" i="2"/>
  <c r="Z463" i="2"/>
  <c r="Z159" i="2"/>
  <c r="Y617" i="2"/>
  <c r="Y652" i="2"/>
  <c r="Y357" i="2"/>
  <c r="X56" i="2"/>
  <c r="Z399" i="2"/>
  <c r="X260" i="2"/>
  <c r="Z652" i="2"/>
  <c r="Z776" i="2"/>
  <c r="Y947" i="2"/>
  <c r="Z1099" i="2"/>
  <c r="X608" i="2"/>
  <c r="Z742" i="2"/>
  <c r="X747" i="2"/>
  <c r="Y785" i="2"/>
  <c r="X422" i="2"/>
  <c r="X1169" i="2"/>
  <c r="X1085" i="2"/>
  <c r="Y27" i="2"/>
  <c r="Z1220" i="2"/>
  <c r="Y1117" i="2"/>
  <c r="Y809" i="2"/>
  <c r="X381" i="2"/>
  <c r="Z641" i="2"/>
  <c r="Z251" i="2"/>
  <c r="Y802" i="2"/>
  <c r="Z129" i="2"/>
  <c r="Y885" i="2"/>
  <c r="X173" i="2"/>
  <c r="X345" i="2"/>
  <c r="X283" i="2"/>
  <c r="Z1127" i="2"/>
  <c r="X74" i="2"/>
  <c r="Y106" i="2"/>
  <c r="Z616" i="2"/>
  <c r="X187" i="2"/>
  <c r="Z1106" i="2"/>
  <c r="Y974" i="2"/>
  <c r="Z508" i="2"/>
  <c r="Y323" i="2"/>
  <c r="X326" i="2"/>
  <c r="Z614" i="2"/>
  <c r="X32" i="2"/>
  <c r="X113" i="2"/>
  <c r="X347" i="2"/>
  <c r="X42" i="2"/>
  <c r="X1032" i="2"/>
  <c r="X840" i="2"/>
  <c r="Z1164" i="2"/>
  <c r="Y493" i="2"/>
  <c r="X1146" i="2"/>
  <c r="X253" i="2"/>
  <c r="Y949" i="2"/>
  <c r="Y506" i="2"/>
  <c r="X1111" i="2"/>
  <c r="X801" i="2"/>
  <c r="X887" i="2"/>
  <c r="X1198" i="2"/>
  <c r="X148" i="2"/>
  <c r="X1087" i="2"/>
  <c r="Y703" i="2"/>
  <c r="Y487" i="2"/>
  <c r="Z1198" i="2"/>
  <c r="Y1087" i="2"/>
  <c r="Y481" i="2"/>
  <c r="Y1009" i="2"/>
  <c r="Z302" i="2"/>
  <c r="Z511" i="2"/>
  <c r="Y733" i="2"/>
  <c r="Z33" i="2"/>
  <c r="Z38" i="2"/>
  <c r="Y574" i="2"/>
  <c r="Z724" i="2"/>
  <c r="Y530" i="2"/>
  <c r="X54" i="2"/>
  <c r="Y1234" i="2"/>
  <c r="X1259" i="2"/>
  <c r="Z507" i="2"/>
  <c r="Z1154" i="2"/>
  <c r="Z546" i="2"/>
  <c r="Z801" i="2"/>
  <c r="X520" i="2"/>
  <c r="X27" i="2"/>
  <c r="X734" i="2"/>
  <c r="X1117" i="2"/>
  <c r="Y111" i="2"/>
  <c r="Z894" i="2"/>
  <c r="X809" i="2"/>
  <c r="X666" i="2"/>
  <c r="X937" i="2"/>
  <c r="Z279" i="2"/>
  <c r="Z885" i="2"/>
  <c r="X1189" i="2"/>
  <c r="X22" i="2"/>
  <c r="X952" i="2"/>
  <c r="Y1141" i="2"/>
  <c r="Y1098" i="2"/>
  <c r="Y747" i="2"/>
  <c r="Z1295" i="2"/>
  <c r="Y173" i="2"/>
  <c r="Y40" i="2"/>
  <c r="Y573" i="2"/>
  <c r="X663" i="2"/>
  <c r="X181" i="2"/>
  <c r="X460" i="2"/>
  <c r="X116" i="2"/>
  <c r="Y866" i="2"/>
  <c r="X841" i="2"/>
  <c r="X698" i="2"/>
  <c r="Z369" i="2"/>
  <c r="Z497" i="2"/>
  <c r="Z868" i="2"/>
  <c r="Z810" i="2"/>
  <c r="Z123" i="2"/>
  <c r="Z974" i="2"/>
  <c r="X562" i="2"/>
  <c r="Y756" i="2"/>
  <c r="Y1094" i="2"/>
  <c r="X901" i="2"/>
  <c r="Z957" i="2"/>
  <c r="Z1158" i="2"/>
  <c r="Y762" i="2"/>
  <c r="X138" i="2"/>
  <c r="Y566" i="2"/>
  <c r="X142" i="2"/>
  <c r="Z1209" i="2"/>
  <c r="Y153" i="2"/>
  <c r="Y547" i="2"/>
  <c r="Y735" i="2"/>
  <c r="X1118" i="2"/>
  <c r="X836" i="2"/>
  <c r="X690" i="2"/>
  <c r="Z343" i="2"/>
  <c r="Z351" i="2"/>
  <c r="X353" i="2"/>
  <c r="Y725" i="2"/>
  <c r="X1015" i="2"/>
  <c r="Y1236" i="2"/>
  <c r="X495" i="2"/>
  <c r="Z749" i="2"/>
  <c r="Y819" i="2"/>
  <c r="X539" i="2"/>
  <c r="Y381" i="2"/>
  <c r="Z1252" i="2"/>
  <c r="Z601" i="2"/>
  <c r="Y1257" i="2"/>
  <c r="Y532" i="2"/>
  <c r="Z122" i="2"/>
  <c r="Y789" i="2"/>
  <c r="Z534" i="2"/>
  <c r="Z410" i="2"/>
  <c r="X1273" i="2"/>
  <c r="Z940" i="2"/>
  <c r="X967" i="2"/>
  <c r="Z138" i="2"/>
  <c r="X685" i="2"/>
  <c r="Y449" i="2"/>
  <c r="Z142" i="2"/>
  <c r="Z314" i="2"/>
  <c r="Z958" i="2"/>
  <c r="X771" i="2"/>
  <c r="Y1099" i="2"/>
  <c r="Z153" i="2"/>
  <c r="X1221" i="2"/>
  <c r="X487" i="2"/>
  <c r="Y824" i="2"/>
  <c r="Y1037" i="2"/>
  <c r="Y348" i="2"/>
  <c r="X627" i="2"/>
  <c r="X574" i="2"/>
  <c r="Z353" i="2"/>
  <c r="X992" i="2"/>
  <c r="Z706" i="2"/>
  <c r="Z893" i="2"/>
  <c r="Y867" i="2"/>
  <c r="X839" i="2"/>
  <c r="X193" i="2"/>
  <c r="X493" i="2"/>
  <c r="Z1236" i="2"/>
  <c r="X199" i="2"/>
  <c r="Z819" i="2"/>
  <c r="Z539" i="2"/>
  <c r="Y1129" i="2"/>
  <c r="Y470" i="2"/>
  <c r="X996" i="2"/>
  <c r="X933" i="2"/>
  <c r="Y549" i="2"/>
  <c r="Z421" i="2"/>
  <c r="Y1095" i="2"/>
  <c r="Y268" i="2"/>
  <c r="Z1159" i="2"/>
  <c r="Y460" i="2"/>
  <c r="Y452" i="2"/>
  <c r="Z470" i="2"/>
  <c r="Y996" i="2"/>
  <c r="Z583" i="2"/>
  <c r="Y1060" i="2"/>
  <c r="X1155" i="2"/>
  <c r="X658" i="2"/>
  <c r="Z1111" i="2"/>
  <c r="Z181" i="2"/>
  <c r="X1151" i="2"/>
  <c r="Z629" i="2"/>
  <c r="X956" i="2"/>
  <c r="Y863" i="2"/>
  <c r="Y638" i="2"/>
  <c r="Y119" i="2"/>
  <c r="Z1253" i="2"/>
  <c r="Z216" i="2"/>
  <c r="X72" i="2"/>
  <c r="Y392" i="2"/>
  <c r="Z231" i="2"/>
  <c r="X411" i="2"/>
  <c r="Z1069" i="2"/>
  <c r="Z564" i="2"/>
  <c r="Y1292" i="2"/>
  <c r="Z1155" i="2"/>
  <c r="Y698" i="2"/>
  <c r="Z1300" i="2"/>
  <c r="Y712" i="2"/>
  <c r="Z1172" i="2"/>
  <c r="Y999" i="2"/>
  <c r="Y16" i="2"/>
  <c r="X953" i="2"/>
  <c r="X1051" i="2"/>
  <c r="Y705" i="2"/>
  <c r="X513" i="2"/>
  <c r="Y484" i="2"/>
  <c r="X459" i="2"/>
  <c r="Z745" i="2"/>
  <c r="Y1047" i="2"/>
  <c r="Z986" i="2"/>
  <c r="Z334" i="2"/>
  <c r="Y341" i="2"/>
  <c r="Y623" i="2"/>
  <c r="Y1151" i="2"/>
  <c r="X546" i="2"/>
  <c r="X560" i="2"/>
  <c r="X793" i="2"/>
  <c r="Y19" i="2"/>
  <c r="Z1051" i="2"/>
  <c r="X318" i="2"/>
  <c r="Y518" i="2"/>
  <c r="Y324" i="2"/>
  <c r="X1100" i="2"/>
  <c r="Y459" i="2"/>
  <c r="Z1293" i="2"/>
  <c r="Z1047" i="2"/>
  <c r="Y1011" i="2"/>
  <c r="X833" i="2"/>
  <c r="Z34" i="2"/>
  <c r="X114" i="2"/>
  <c r="Y1063" i="2"/>
  <c r="Z1031" i="2"/>
  <c r="Y358" i="2"/>
  <c r="Z531" i="2"/>
  <c r="Z1163" i="2"/>
  <c r="X61" i="2"/>
  <c r="Y1242" i="2"/>
  <c r="Z215" i="2"/>
  <c r="Z222" i="2"/>
  <c r="Z964" i="2"/>
  <c r="X243" i="2"/>
  <c r="Y667" i="2"/>
  <c r="Z852" i="2"/>
  <c r="Y870" i="2"/>
  <c r="Z949" i="2"/>
  <c r="Y129" i="2"/>
  <c r="Z1274" i="2"/>
  <c r="Z416" i="2"/>
  <c r="X263" i="2"/>
  <c r="Z423" i="2"/>
  <c r="Y126" i="2"/>
  <c r="X915" i="2"/>
  <c r="Y440" i="2"/>
  <c r="Z12" i="2"/>
  <c r="Z878" i="2"/>
  <c r="Z1193" i="2"/>
  <c r="Y1201" i="2"/>
  <c r="Y951" i="2"/>
  <c r="Y1140" i="2"/>
  <c r="X1207" i="2"/>
  <c r="Y327" i="2"/>
  <c r="X727" i="2"/>
  <c r="Z166" i="2"/>
  <c r="Y178" i="2"/>
  <c r="Y192" i="2"/>
  <c r="Z697" i="2"/>
  <c r="X211" i="2"/>
  <c r="X1002" i="2"/>
  <c r="X386" i="2"/>
  <c r="X788" i="2"/>
  <c r="Z409" i="2"/>
  <c r="Y981" i="2"/>
  <c r="Y938" i="2"/>
  <c r="X1093" i="2"/>
  <c r="X657" i="2"/>
  <c r="Y952" i="2"/>
  <c r="Z841" i="2"/>
  <c r="X889" i="2"/>
  <c r="X761" i="2"/>
  <c r="Y301" i="2"/>
  <c r="Y1052" i="2"/>
  <c r="Y944" i="2"/>
  <c r="X1089" i="2"/>
  <c r="Z519" i="2"/>
  <c r="Z524" i="2"/>
  <c r="Z192" i="2"/>
  <c r="X1243" i="2"/>
  <c r="X640" i="2"/>
  <c r="Z211" i="2"/>
  <c r="Y1002" i="2"/>
  <c r="Y386" i="2"/>
  <c r="Z223" i="2"/>
  <c r="Y1258" i="2"/>
  <c r="Z233" i="2"/>
  <c r="X250" i="2"/>
  <c r="Z950" i="2"/>
  <c r="Z412" i="2"/>
  <c r="Z504" i="2"/>
  <c r="Y1281" i="2"/>
  <c r="Z293" i="2"/>
  <c r="X780" i="2"/>
  <c r="Z297" i="2"/>
  <c r="Z953" i="2"/>
  <c r="Z1184" i="2"/>
  <c r="Y1185" i="2"/>
  <c r="X769" i="2"/>
  <c r="Z604" i="2"/>
  <c r="Z593" i="2"/>
  <c r="X1199" i="2"/>
  <c r="Y1203" i="2"/>
  <c r="Y1206" i="2"/>
  <c r="X1210" i="2"/>
  <c r="Y328" i="2"/>
  <c r="X577" i="2"/>
  <c r="Y727" i="2"/>
  <c r="X1123" i="2"/>
  <c r="Z835" i="2"/>
  <c r="X339" i="2"/>
  <c r="X167" i="2"/>
  <c r="X168" i="2"/>
  <c r="Z1082" i="2"/>
  <c r="Y113" i="2"/>
  <c r="Y36" i="2"/>
  <c r="Y1125" i="2"/>
  <c r="Z625" i="2"/>
  <c r="X568" i="2"/>
  <c r="X177" i="2"/>
  <c r="X1065" i="2"/>
  <c r="X661" i="2"/>
  <c r="X664" i="2"/>
  <c r="Y571" i="2"/>
  <c r="X1149" i="2"/>
  <c r="Y838" i="2"/>
  <c r="Z994" i="2"/>
  <c r="X970" i="2"/>
  <c r="Y496" i="2"/>
  <c r="Y206" i="2"/>
  <c r="X764" i="2"/>
  <c r="X380" i="2"/>
  <c r="Y1250" i="2"/>
  <c r="Y465" i="2"/>
  <c r="Y1256" i="2"/>
  <c r="X75" i="2"/>
  <c r="Y1259" i="2"/>
  <c r="X239" i="2"/>
  <c r="Y243" i="2"/>
  <c r="X400" i="2"/>
  <c r="Y668" i="2"/>
  <c r="Z851" i="2"/>
  <c r="Z82" i="2"/>
  <c r="X84" i="2"/>
  <c r="Z561" i="2"/>
  <c r="X565" i="2"/>
  <c r="X783" i="2"/>
  <c r="Z756" i="2"/>
  <c r="Z428" i="2"/>
  <c r="X271" i="2"/>
  <c r="X916" i="2"/>
  <c r="Y582" i="2"/>
  <c r="X441" i="2"/>
  <c r="Z278" i="2"/>
  <c r="Y658" i="2"/>
  <c r="X5" i="2"/>
  <c r="Y882" i="2"/>
  <c r="X1180" i="2"/>
  <c r="X1298" i="2"/>
  <c r="X287" i="2"/>
  <c r="Y6" i="2"/>
  <c r="Z1008" i="2"/>
  <c r="X776" i="2"/>
  <c r="Y780" i="2"/>
  <c r="Z1004" i="2"/>
  <c r="X302" i="2"/>
  <c r="Y769" i="2"/>
  <c r="Z920" i="2"/>
  <c r="Z1199" i="2"/>
  <c r="X947" i="2"/>
  <c r="X958" i="2"/>
  <c r="Y803" i="2"/>
  <c r="X518" i="2"/>
  <c r="Y521" i="2"/>
  <c r="X1140" i="2"/>
  <c r="Z1210" i="2"/>
  <c r="Z823" i="2"/>
  <c r="X703" i="2"/>
  <c r="Z328" i="2"/>
  <c r="Z1123" i="2"/>
  <c r="Z339" i="2"/>
  <c r="Y167" i="2"/>
  <c r="Y168" i="2"/>
  <c r="Z36" i="2"/>
  <c r="Y568" i="2"/>
  <c r="Z177" i="2"/>
  <c r="Y1065" i="2"/>
  <c r="Y661" i="2"/>
  <c r="Y664" i="2"/>
  <c r="Z571" i="2"/>
  <c r="X45" i="2"/>
  <c r="Z838" i="2"/>
  <c r="Y707" i="2"/>
  <c r="Y630" i="2"/>
  <c r="X799" i="2"/>
  <c r="Y893" i="2"/>
  <c r="Z842" i="2"/>
  <c r="Y463" i="2"/>
  <c r="Y697" i="2"/>
  <c r="X638" i="2"/>
  <c r="Z970" i="2"/>
  <c r="Z496" i="2"/>
  <c r="Y202" i="2"/>
  <c r="Z764" i="2"/>
  <c r="X541" i="2"/>
  <c r="Z380" i="2"/>
  <c r="X215" i="2"/>
  <c r="X1253" i="2"/>
  <c r="Y600" i="2"/>
  <c r="X501" i="2"/>
  <c r="Y75" i="2"/>
  <c r="Z388" i="2"/>
  <c r="X1265" i="2"/>
  <c r="Y1267" i="2"/>
  <c r="Y239" i="2"/>
  <c r="Y400" i="2"/>
  <c r="Z935" i="2"/>
  <c r="Y565" i="2"/>
  <c r="Y271" i="2"/>
  <c r="Y916" i="2"/>
  <c r="Y441" i="2"/>
  <c r="Z1180" i="2"/>
  <c r="Z1298" i="2"/>
  <c r="Y287" i="2"/>
  <c r="Z707" i="2"/>
  <c r="Z630" i="2"/>
  <c r="Z600" i="2"/>
  <c r="Z1171" i="2"/>
  <c r="Z1129" i="2"/>
  <c r="Z252" i="2"/>
  <c r="X408" i="2"/>
  <c r="X413" i="2"/>
  <c r="X550" i="2"/>
  <c r="Z975" i="2"/>
  <c r="Y265" i="2"/>
  <c r="Z912" i="2"/>
  <c r="Y567" i="2"/>
  <c r="Z883" i="2"/>
  <c r="X587" i="2"/>
  <c r="X448" i="2"/>
  <c r="Y13" i="2"/>
  <c r="Y954" i="2"/>
  <c r="X143" i="2"/>
  <c r="Y108" i="2"/>
  <c r="Y20" i="2"/>
  <c r="Y1191" i="2"/>
  <c r="Y1196" i="2"/>
  <c r="X317" i="2"/>
  <c r="Y322" i="2"/>
  <c r="X805" i="2"/>
  <c r="Y346" i="2"/>
  <c r="Y784" i="2"/>
  <c r="Z265" i="2"/>
  <c r="Y754" i="2"/>
  <c r="Y583" i="2"/>
  <c r="X1059" i="2"/>
  <c r="Z567" i="2"/>
  <c r="Y1153" i="2"/>
  <c r="X1157" i="2"/>
  <c r="Z587" i="2"/>
  <c r="Z921" i="2"/>
  <c r="X798" i="2"/>
  <c r="Z1010" i="2"/>
  <c r="Z319" i="2"/>
  <c r="Y1207" i="2"/>
  <c r="X1035" i="2"/>
  <c r="X154" i="2"/>
  <c r="X155" i="2"/>
  <c r="X1295" i="2"/>
  <c r="X112" i="2"/>
  <c r="X1222" i="2"/>
  <c r="Y836" i="2"/>
  <c r="X689" i="2"/>
  <c r="Z926" i="2"/>
  <c r="Z169" i="2"/>
  <c r="Z174" i="2"/>
  <c r="Y805" i="2"/>
  <c r="X662" i="2"/>
  <c r="X591" i="2"/>
  <c r="X361" i="2"/>
  <c r="Y362" i="2"/>
  <c r="X800" i="2"/>
  <c r="Y1046" i="2"/>
  <c r="X365" i="2"/>
  <c r="Y694" i="2"/>
  <c r="Y843" i="2"/>
  <c r="Z847" i="2"/>
  <c r="X1108" i="2"/>
  <c r="Z54" i="2"/>
  <c r="X1005" i="2"/>
  <c r="Z495" i="2"/>
  <c r="Y56" i="2"/>
  <c r="X497" i="2"/>
  <c r="Y1240" i="2"/>
  <c r="Y203" i="2"/>
  <c r="Y212" i="2"/>
  <c r="X1252" i="2"/>
  <c r="Y389" i="2"/>
  <c r="Y850" i="2"/>
  <c r="Y244" i="2"/>
  <c r="X811" i="2"/>
  <c r="X938" i="2"/>
  <c r="X279" i="2"/>
  <c r="Y1299" i="2"/>
  <c r="Y888" i="2"/>
  <c r="Z713" i="2"/>
  <c r="X681" i="2"/>
  <c r="Y686" i="2"/>
  <c r="Y9" i="2"/>
  <c r="X12" i="2"/>
  <c r="Y1043" i="2"/>
  <c r="Y770" i="2"/>
  <c r="X454" i="2"/>
  <c r="X605" i="2"/>
  <c r="Y310" i="2"/>
  <c r="X511" i="2"/>
  <c r="Y1088" i="2"/>
  <c r="X519" i="2"/>
  <c r="X701" i="2"/>
  <c r="Y154" i="2"/>
  <c r="Z1222" i="2"/>
  <c r="Z689" i="2"/>
  <c r="X1127" i="2"/>
  <c r="X348" i="2"/>
  <c r="Z662" i="2"/>
  <c r="Z720" i="2"/>
  <c r="X725" i="2"/>
  <c r="X358" i="2"/>
  <c r="Y186" i="2"/>
  <c r="Z1150" i="2"/>
  <c r="Y591" i="2"/>
  <c r="Y361" i="2"/>
  <c r="X708" i="2"/>
  <c r="Y800" i="2"/>
  <c r="Z1046" i="2"/>
  <c r="Y894" i="2"/>
  <c r="X863" i="2"/>
  <c r="X867" i="2"/>
  <c r="Z843" i="2"/>
  <c r="Z1005" i="2"/>
  <c r="X268" i="2"/>
  <c r="Z126" i="2"/>
  <c r="Z903" i="2"/>
  <c r="Y957" i="2"/>
  <c r="Y434" i="2"/>
  <c r="Z509" i="2"/>
  <c r="X1112" i="2"/>
  <c r="Y284" i="2"/>
  <c r="Y817" i="2"/>
  <c r="Y291" i="2"/>
  <c r="Y294" i="2"/>
  <c r="Z778" i="2"/>
  <c r="X450" i="2"/>
  <c r="Z767" i="2"/>
  <c r="Z793" i="2"/>
  <c r="X1186" i="2"/>
  <c r="Y313" i="2"/>
  <c r="X1204" i="2"/>
  <c r="Y1138" i="2"/>
  <c r="Z1100" i="2"/>
  <c r="Z610" i="2"/>
  <c r="Y156" i="2"/>
  <c r="Z988" i="2"/>
  <c r="X160" i="2"/>
  <c r="X164" i="2"/>
  <c r="X619" i="2"/>
  <c r="Z341" i="2"/>
  <c r="Z170" i="2"/>
  <c r="Z1083" i="2"/>
  <c r="Z345" i="2"/>
  <c r="Y347" i="2"/>
  <c r="Z627" i="2"/>
  <c r="Z1230" i="2"/>
  <c r="Z1063" i="2"/>
  <c r="Y992" i="2"/>
  <c r="Y48" i="2"/>
  <c r="X891" i="2"/>
  <c r="Z1109" i="2"/>
  <c r="X969" i="2"/>
  <c r="X372" i="2"/>
  <c r="X62" i="2"/>
  <c r="Y808" i="2"/>
  <c r="Y1243" i="2"/>
  <c r="X820" i="2"/>
  <c r="X378" i="2"/>
  <c r="Y929" i="2"/>
  <c r="X227" i="2"/>
  <c r="Y237" i="2"/>
  <c r="X245" i="2"/>
  <c r="Y250" i="2"/>
  <c r="Z1269" i="2"/>
  <c r="Z472" i="2"/>
  <c r="Y933" i="2"/>
  <c r="Y962" i="2"/>
  <c r="Y1275" i="2"/>
  <c r="Z785" i="2"/>
  <c r="X266" i="2"/>
  <c r="Y95" i="2"/>
  <c r="Y97" i="2"/>
  <c r="X536" i="2"/>
  <c r="Z1060" i="2"/>
  <c r="Z1169" i="2"/>
  <c r="Y438" i="2"/>
  <c r="Z817" i="2"/>
  <c r="Z450" i="2"/>
  <c r="Z1186" i="2"/>
  <c r="Y1204" i="2"/>
  <c r="Z156" i="2"/>
  <c r="Y160" i="2"/>
  <c r="Y619" i="2"/>
  <c r="Y891" i="2"/>
  <c r="Y969" i="2"/>
  <c r="Y372" i="2"/>
  <c r="Y62" i="2"/>
  <c r="Z808" i="2"/>
  <c r="Y820" i="2"/>
  <c r="Z378" i="2"/>
  <c r="Y405" i="2"/>
  <c r="Y409" i="2"/>
  <c r="Z962" i="2"/>
  <c r="X936" i="2"/>
  <c r="Y416" i="2"/>
  <c r="X564" i="2"/>
  <c r="Z939" i="2"/>
  <c r="Z1023" i="2"/>
  <c r="Z475" i="2"/>
  <c r="Y266" i="2"/>
  <c r="Z900" i="2"/>
  <c r="Z430" i="2"/>
  <c r="X904" i="2"/>
  <c r="Y536" i="2"/>
  <c r="X508" i="2"/>
  <c r="Z860" i="2"/>
  <c r="Y131" i="2"/>
  <c r="Z881" i="2"/>
  <c r="X135" i="2"/>
  <c r="Y296" i="2"/>
  <c r="X1000" i="2"/>
  <c r="Y1041" i="2"/>
  <c r="Y603" i="2"/>
  <c r="X146" i="2"/>
  <c r="Z1055" i="2"/>
  <c r="Y1202" i="2"/>
  <c r="Z151" i="2"/>
  <c r="Z1226" i="2"/>
  <c r="Y875" i="2"/>
  <c r="X660" i="2"/>
  <c r="Z663" i="2"/>
  <c r="Z178" i="2"/>
  <c r="Y42" i="2"/>
  <c r="X182" i="2"/>
  <c r="Y187" i="2"/>
  <c r="Y1297" i="2"/>
  <c r="Y116" i="2"/>
  <c r="Z47" i="2"/>
  <c r="Z956" i="2"/>
  <c r="Y1015" i="2"/>
  <c r="Y461" i="2"/>
  <c r="X50" i="2"/>
  <c r="X369" i="2"/>
  <c r="Y869" i="2"/>
  <c r="X1018" i="2"/>
  <c r="Y67" i="2"/>
  <c r="Z1248" i="2"/>
  <c r="X750" i="2"/>
  <c r="Y1255" i="2"/>
  <c r="Y72" i="2"/>
  <c r="X1262" i="2"/>
  <c r="Y135" i="2"/>
  <c r="X314" i="2"/>
  <c r="Z318" i="2"/>
  <c r="Z520" i="2"/>
  <c r="X320" i="2"/>
  <c r="Y1139" i="2"/>
  <c r="X1098" i="2"/>
  <c r="X1101" i="2"/>
  <c r="Y611" i="2"/>
  <c r="X1293" i="2"/>
  <c r="Y1221" i="2"/>
  <c r="Y331" i="2"/>
  <c r="Y333" i="2"/>
  <c r="X1224" i="2"/>
  <c r="Z29" i="2"/>
  <c r="X165" i="2"/>
  <c r="X338" i="2"/>
  <c r="X824" i="2"/>
  <c r="X343" i="2"/>
  <c r="Z182" i="2"/>
  <c r="Z461" i="2"/>
  <c r="Z50" i="2"/>
  <c r="Z1018" i="2"/>
  <c r="Z67" i="2"/>
  <c r="Z750" i="2"/>
  <c r="Y1262" i="2"/>
  <c r="Z680" i="2"/>
  <c r="Y1128" i="2"/>
  <c r="Z787" i="2"/>
  <c r="X534" i="2"/>
  <c r="Y934" i="2"/>
  <c r="X786" i="2"/>
  <c r="Y1279" i="2"/>
  <c r="Z1093" i="2"/>
  <c r="X93" i="2"/>
  <c r="Y1160" i="2"/>
  <c r="X1057" i="2"/>
  <c r="Z1061" i="2"/>
  <c r="X1292" i="2"/>
  <c r="X127" i="2"/>
  <c r="Z506" i="2"/>
  <c r="Z1110" i="2"/>
  <c r="Y1208" i="2"/>
  <c r="X823" i="2"/>
  <c r="Z526" i="2"/>
  <c r="Z1217" i="2"/>
  <c r="X151" i="2"/>
  <c r="Z728" i="2"/>
  <c r="Z736" i="2"/>
  <c r="X740" i="2"/>
  <c r="X1104" i="2"/>
  <c r="X335" i="2"/>
  <c r="X614" i="2"/>
  <c r="Z1131" i="2"/>
  <c r="Y30" i="2"/>
  <c r="X170" i="2"/>
  <c r="X781" i="2"/>
  <c r="X1083" i="2"/>
  <c r="Z1125" i="2"/>
  <c r="Z43" i="2"/>
  <c r="Y184" i="2"/>
  <c r="Z360" i="2"/>
  <c r="Z186" i="2"/>
  <c r="Y757" i="2"/>
  <c r="X757" i="2"/>
  <c r="Y590" i="2"/>
  <c r="X1233" i="2"/>
  <c r="Z1233" i="2"/>
  <c r="Y1233" i="2"/>
  <c r="Y865" i="2"/>
  <c r="Z865" i="2"/>
  <c r="Z596" i="2"/>
  <c r="Y596" i="2"/>
  <c r="X596" i="2"/>
  <c r="Z1134" i="2"/>
  <c r="X1134" i="2"/>
  <c r="Z283" i="2"/>
  <c r="Y286" i="2"/>
  <c r="X1006" i="2"/>
  <c r="X759" i="2"/>
  <c r="Y7" i="2"/>
  <c r="Z136" i="2"/>
  <c r="X292" i="2"/>
  <c r="X480" i="2"/>
  <c r="Z683" i="2"/>
  <c r="X998" i="2"/>
  <c r="X585" i="2"/>
  <c r="X731" i="2"/>
  <c r="X311" i="2"/>
  <c r="Y1195" i="2"/>
  <c r="X705" i="2"/>
  <c r="Z826" i="2"/>
  <c r="X1088" i="2"/>
  <c r="Z316" i="2"/>
  <c r="Y890" i="2"/>
  <c r="X517" i="2"/>
  <c r="Z320" i="2"/>
  <c r="X324" i="2"/>
  <c r="X1138" i="2"/>
  <c r="X1141" i="2"/>
  <c r="Z1208" i="2"/>
  <c r="Z740" i="2"/>
  <c r="Y1104" i="2"/>
  <c r="Y335" i="2"/>
  <c r="Z30" i="2"/>
  <c r="Y781" i="2"/>
  <c r="X573" i="2"/>
  <c r="X357" i="2"/>
  <c r="Z184" i="2"/>
  <c r="Z590" i="2"/>
  <c r="Z633" i="2"/>
  <c r="X633" i="2"/>
  <c r="Y633" i="2"/>
  <c r="X1263" i="2"/>
  <c r="Z1263" i="2"/>
  <c r="Y1263" i="2"/>
  <c r="Y1177" i="2"/>
  <c r="Z1177" i="2"/>
  <c r="X1177" i="2"/>
  <c r="X990" i="2"/>
  <c r="Z990" i="2"/>
  <c r="Y990" i="2"/>
  <c r="Z387" i="2"/>
  <c r="Y387" i="2"/>
  <c r="X387" i="2"/>
  <c r="Z415" i="2"/>
  <c r="Y415" i="2"/>
  <c r="X415" i="2"/>
  <c r="X1278" i="2"/>
  <c r="Z1278" i="2"/>
  <c r="Y1278" i="2"/>
  <c r="Z1006" i="2"/>
  <c r="X289" i="2"/>
  <c r="Y886" i="2"/>
  <c r="Z889" i="2"/>
  <c r="X290" i="2"/>
  <c r="X558" i="2"/>
  <c r="Z759" i="2"/>
  <c r="Z763" i="2"/>
  <c r="Z480" i="2"/>
  <c r="Y687" i="2"/>
  <c r="Y777" i="2"/>
  <c r="X10" i="2"/>
  <c r="Z998" i="2"/>
  <c r="X299" i="2"/>
  <c r="Y1003" i="2"/>
  <c r="X1183" i="2"/>
  <c r="Z585" i="2"/>
  <c r="X483" i="2"/>
  <c r="Y303" i="2"/>
  <c r="X144" i="2"/>
  <c r="Z731" i="2"/>
  <c r="X791" i="2"/>
  <c r="Y306" i="2"/>
  <c r="X1081" i="2"/>
  <c r="X1056" i="2"/>
  <c r="X1188" i="2"/>
  <c r="X1192" i="2"/>
  <c r="X514" i="2"/>
  <c r="Y945" i="2"/>
  <c r="Z814" i="2"/>
  <c r="Y701" i="2"/>
  <c r="Y774" i="2"/>
  <c r="Y1101" i="2"/>
  <c r="Y150" i="2"/>
  <c r="Y109" i="2"/>
  <c r="Y924" i="2"/>
  <c r="X829" i="2"/>
  <c r="Z577" i="2"/>
  <c r="Z110" i="2"/>
  <c r="Y734" i="2"/>
  <c r="X737" i="2"/>
  <c r="X746" i="2"/>
  <c r="X1121" i="2"/>
  <c r="Z111" i="2"/>
  <c r="Y1224" i="2"/>
  <c r="X618" i="2"/>
  <c r="X796" i="2"/>
  <c r="Y342" i="2"/>
  <c r="X1039" i="2"/>
  <c r="X1126" i="2"/>
  <c r="Z489" i="2"/>
  <c r="X877" i="2"/>
  <c r="Z179" i="2"/>
  <c r="X670" i="2"/>
  <c r="Z670" i="2"/>
  <c r="Y670" i="2"/>
  <c r="Z634" i="2"/>
  <c r="X634" i="2"/>
  <c r="Z1073" i="2"/>
  <c r="X1073" i="2"/>
  <c r="X1285" i="2"/>
  <c r="Y1285" i="2"/>
  <c r="Y289" i="2"/>
  <c r="Z290" i="2"/>
  <c r="Y558" i="2"/>
  <c r="Z10" i="2"/>
  <c r="Y299" i="2"/>
  <c r="Z1183" i="2"/>
  <c r="Y483" i="2"/>
  <c r="Z144" i="2"/>
  <c r="Y791" i="2"/>
  <c r="Z1081" i="2"/>
  <c r="Y1056" i="2"/>
  <c r="Y1188" i="2"/>
  <c r="Y1192" i="2"/>
  <c r="X319" i="2"/>
  <c r="Z774" i="2"/>
  <c r="X1209" i="2"/>
  <c r="X1215" i="2"/>
  <c r="Z924" i="2"/>
  <c r="Y829" i="2"/>
  <c r="X152" i="2"/>
  <c r="Y737" i="2"/>
  <c r="Y743" i="2"/>
  <c r="Y746" i="2"/>
  <c r="Y1105" i="2"/>
  <c r="X986" i="2"/>
  <c r="Z1121" i="2"/>
  <c r="Z612" i="2"/>
  <c r="X336" i="2"/>
  <c r="X1225" i="2"/>
  <c r="X166" i="2"/>
  <c r="Y618" i="2"/>
  <c r="Y796" i="2"/>
  <c r="X34" i="2"/>
  <c r="Z342" i="2"/>
  <c r="Z782" i="2"/>
  <c r="Y1039" i="2"/>
  <c r="Y1126" i="2"/>
  <c r="Z490" i="2"/>
  <c r="Y877" i="2"/>
  <c r="X718" i="2"/>
  <c r="X722" i="2"/>
  <c r="X717" i="2"/>
  <c r="Y717" i="2"/>
  <c r="Y598" i="2"/>
  <c r="Z598" i="2"/>
  <c r="X598" i="2"/>
  <c r="X281" i="2"/>
  <c r="Y4" i="2"/>
  <c r="Y8" i="2"/>
  <c r="X713" i="2"/>
  <c r="X297" i="2"/>
  <c r="X298" i="2"/>
  <c r="X955" i="2"/>
  <c r="X1043" i="2"/>
  <c r="X604" i="2"/>
  <c r="X18" i="2"/>
  <c r="Y1053" i="2"/>
  <c r="Y959" i="2"/>
  <c r="X803" i="2"/>
  <c r="X521" i="2"/>
  <c r="Z1215" i="2"/>
  <c r="Y152" i="2"/>
  <c r="Z1105" i="2"/>
  <c r="Y336" i="2"/>
  <c r="Z718" i="2"/>
  <c r="Y722" i="2"/>
  <c r="Z589" i="2"/>
  <c r="Y589" i="2"/>
  <c r="X589" i="2"/>
  <c r="Z189" i="2"/>
  <c r="Y189" i="2"/>
  <c r="X189" i="2"/>
  <c r="Z673" i="2"/>
  <c r="X673" i="2"/>
  <c r="Y673" i="2"/>
  <c r="X1079" i="2"/>
  <c r="Z1079" i="2"/>
  <c r="Y1079" i="2"/>
  <c r="Y194" i="2"/>
  <c r="Z194" i="2"/>
  <c r="X194" i="2"/>
  <c r="Z985" i="2"/>
  <c r="Y985" i="2"/>
  <c r="X985" i="2"/>
  <c r="Z404" i="2"/>
  <c r="Y404" i="2"/>
  <c r="X404" i="2"/>
  <c r="X917" i="2"/>
  <c r="Z917" i="2"/>
  <c r="Y917" i="2"/>
  <c r="X488" i="2"/>
  <c r="X344" i="2"/>
  <c r="X1124" i="2"/>
  <c r="X1014" i="2"/>
  <c r="X41" i="2"/>
  <c r="X176" i="2"/>
  <c r="Z659" i="2"/>
  <c r="X115" i="2"/>
  <c r="X180" i="2"/>
  <c r="X1030" i="2"/>
  <c r="Z355" i="2"/>
  <c r="X46" i="2"/>
  <c r="X185" i="2"/>
  <c r="Z693" i="2"/>
  <c r="X693" i="2"/>
  <c r="Z49" i="2"/>
  <c r="Y49" i="2"/>
  <c r="X49" i="2"/>
  <c r="Z1246" i="2"/>
  <c r="Y1246" i="2"/>
  <c r="X1246" i="2"/>
  <c r="Y570" i="2"/>
  <c r="Z570" i="2"/>
  <c r="X570" i="2"/>
  <c r="X710" i="2"/>
  <c r="Y710" i="2"/>
  <c r="Y402" i="2"/>
  <c r="Z402" i="2"/>
  <c r="X402" i="2"/>
  <c r="X580" i="2"/>
  <c r="Y580" i="2"/>
  <c r="X275" i="2"/>
  <c r="Z275" i="2"/>
  <c r="Y275" i="2"/>
  <c r="Z478" i="2"/>
  <c r="Y887" i="2"/>
  <c r="Y555" i="2"/>
  <c r="X1182" i="2"/>
  <c r="Y448" i="2"/>
  <c r="Z681" i="2"/>
  <c r="Y685" i="2"/>
  <c r="Y688" i="2"/>
  <c r="X140" i="2"/>
  <c r="X300" i="2"/>
  <c r="X451" i="2"/>
  <c r="X308" i="2"/>
  <c r="Y1187" i="2"/>
  <c r="Y923" i="2"/>
  <c r="X1190" i="2"/>
  <c r="X1200" i="2"/>
  <c r="X512" i="2"/>
  <c r="Y798" i="2"/>
  <c r="Z942" i="2"/>
  <c r="Z1089" i="2"/>
  <c r="X485" i="2"/>
  <c r="X702" i="2"/>
  <c r="Z771" i="2"/>
  <c r="X24" i="2"/>
  <c r="Z326" i="2"/>
  <c r="Z25" i="2"/>
  <c r="Y608" i="2"/>
  <c r="X1147" i="2"/>
  <c r="X925" i="2"/>
  <c r="X157" i="2"/>
  <c r="Z735" i="2"/>
  <c r="Y1218" i="2"/>
  <c r="X744" i="2"/>
  <c r="Y1118" i="2"/>
  <c r="Y1012" i="2"/>
  <c r="Y112" i="2"/>
  <c r="Y833" i="2"/>
  <c r="Y692" i="2"/>
  <c r="Z1130" i="2"/>
  <c r="Y338" i="2"/>
  <c r="X174" i="2"/>
  <c r="Y488" i="2"/>
  <c r="Y344" i="2"/>
  <c r="Z1152" i="2"/>
  <c r="Z1124" i="2"/>
  <c r="Y1014" i="2"/>
  <c r="Y41" i="2"/>
  <c r="Y176" i="2"/>
  <c r="X491" i="2"/>
  <c r="X351" i="2"/>
  <c r="Y115" i="2"/>
  <c r="Y180" i="2"/>
  <c r="Y1030" i="2"/>
  <c r="X1033" i="2"/>
  <c r="Z46" i="2"/>
  <c r="Y185" i="2"/>
  <c r="Y693" i="2"/>
  <c r="Z190" i="2"/>
  <c r="Y190" i="2"/>
  <c r="Z529" i="2"/>
  <c r="Y529" i="2"/>
  <c r="X529" i="2"/>
  <c r="Z117" i="2"/>
  <c r="Y117" i="2"/>
  <c r="X117" i="2"/>
  <c r="Z674" i="2"/>
  <c r="Y674" i="2"/>
  <c r="X674" i="2"/>
  <c r="Z214" i="2"/>
  <c r="Y214" i="2"/>
  <c r="X214" i="2"/>
  <c r="Y130" i="2"/>
  <c r="X285" i="2"/>
  <c r="X6" i="2"/>
  <c r="Y559" i="2"/>
  <c r="Z1182" i="2"/>
  <c r="Y140" i="2"/>
  <c r="Y300" i="2"/>
  <c r="Y451" i="2"/>
  <c r="Y792" i="2"/>
  <c r="Y308" i="2"/>
  <c r="X878" i="2"/>
  <c r="X310" i="2"/>
  <c r="Y1190" i="2"/>
  <c r="Z1200" i="2"/>
  <c r="Y512" i="2"/>
  <c r="X484" i="2"/>
  <c r="Y485" i="2"/>
  <c r="Y702" i="2"/>
  <c r="Y24" i="2"/>
  <c r="Y1147" i="2"/>
  <c r="Y925" i="2"/>
  <c r="Z157" i="2"/>
  <c r="Y744" i="2"/>
  <c r="Z491" i="2"/>
  <c r="Y1033" i="2"/>
  <c r="X715" i="2"/>
  <c r="X190" i="2"/>
  <c r="X594" i="2"/>
  <c r="Y594" i="2"/>
  <c r="Z594" i="2"/>
  <c r="Z1115" i="2"/>
  <c r="Y1115" i="2"/>
  <c r="X1115" i="2"/>
  <c r="Y92" i="2"/>
  <c r="Z92" i="2"/>
  <c r="Y715" i="2"/>
  <c r="Y709" i="2"/>
  <c r="Z709" i="2"/>
  <c r="X709" i="2"/>
  <c r="Z1162" i="2"/>
  <c r="Y1162" i="2"/>
  <c r="X1162" i="2"/>
  <c r="Z1235" i="2"/>
  <c r="Y1235" i="2"/>
  <c r="X1235" i="2"/>
  <c r="X997" i="2"/>
  <c r="Z997" i="2"/>
  <c r="Y997" i="2"/>
  <c r="X930" i="2"/>
  <c r="Z930" i="2"/>
  <c r="Y930" i="2"/>
  <c r="Z292" i="2"/>
  <c r="Y1181" i="2"/>
  <c r="Z5" i="2"/>
  <c r="X881" i="2"/>
  <c r="Z556" i="2"/>
  <c r="Y682" i="2"/>
  <c r="X1008" i="2"/>
  <c r="Y141" i="2"/>
  <c r="Z1000" i="2"/>
  <c r="Y1044" i="2"/>
  <c r="Z143" i="2"/>
  <c r="Y145" i="2"/>
  <c r="Z146" i="2"/>
  <c r="X1055" i="2"/>
  <c r="X920" i="2"/>
  <c r="Y732" i="2"/>
  <c r="Z22" i="2"/>
  <c r="X1010" i="2"/>
  <c r="Z323" i="2"/>
  <c r="Y1097" i="2"/>
  <c r="Y1213" i="2"/>
  <c r="X1217" i="2"/>
  <c r="Z1035" i="2"/>
  <c r="Z831" i="2"/>
  <c r="Y155" i="2"/>
  <c r="X728" i="2"/>
  <c r="X736" i="2"/>
  <c r="X1050" i="2"/>
  <c r="Z1011" i="2"/>
  <c r="X333" i="2"/>
  <c r="Y164" i="2"/>
  <c r="X1131" i="2"/>
  <c r="Y32" i="2"/>
  <c r="Z622" i="2"/>
  <c r="Z825" i="2"/>
  <c r="Z1037" i="2"/>
  <c r="Z175" i="2"/>
  <c r="X346" i="2"/>
  <c r="X40" i="2"/>
  <c r="Z875" i="2"/>
  <c r="Z572" i="2"/>
  <c r="Z114" i="2"/>
  <c r="Y660" i="2"/>
  <c r="X802" i="2"/>
  <c r="Y720" i="2"/>
  <c r="X1031" i="2"/>
  <c r="Y356" i="2"/>
  <c r="Z862" i="2"/>
  <c r="Y862" i="2"/>
  <c r="X862" i="2"/>
  <c r="X864" i="2"/>
  <c r="Y864" i="2"/>
  <c r="Z864" i="2"/>
  <c r="X595" i="2"/>
  <c r="Z595" i="2"/>
  <c r="Y595" i="2"/>
  <c r="Y103" i="2"/>
  <c r="Z103" i="2"/>
  <c r="X103" i="2"/>
  <c r="Z545" i="2"/>
  <c r="Y545" i="2"/>
  <c r="X545" i="2"/>
  <c r="Z1213" i="2"/>
  <c r="Z1050" i="2"/>
  <c r="Y631" i="2"/>
  <c r="Z631" i="2"/>
  <c r="Z632" i="2"/>
  <c r="Y632" i="2"/>
  <c r="X632" i="2"/>
  <c r="Z1168" i="2"/>
  <c r="Y1168" i="2"/>
  <c r="X1168" i="2"/>
  <c r="Y1076" i="2"/>
  <c r="Z1076" i="2"/>
  <c r="X1076" i="2"/>
  <c r="Z973" i="2"/>
  <c r="Y973" i="2"/>
  <c r="X973" i="2"/>
  <c r="Z982" i="2"/>
  <c r="Y982" i="2"/>
  <c r="X982" i="2"/>
  <c r="Z217" i="2"/>
  <c r="Y217" i="2"/>
  <c r="X217" i="2"/>
  <c r="X696" i="2"/>
  <c r="Y696" i="2"/>
  <c r="Y420" i="2"/>
  <c r="Z420" i="2"/>
  <c r="Z1280" i="2"/>
  <c r="X1280" i="2"/>
  <c r="X858" i="2"/>
  <c r="Y858" i="2"/>
  <c r="X706" i="2"/>
  <c r="Y367" i="2"/>
  <c r="Y1161" i="2"/>
  <c r="X1164" i="2"/>
  <c r="Y1167" i="2"/>
  <c r="Z1078" i="2"/>
  <c r="X972" i="2"/>
  <c r="Y60" i="2"/>
  <c r="X868" i="2"/>
  <c r="X1239" i="2"/>
  <c r="X201" i="2"/>
  <c r="Y984" i="2"/>
  <c r="Y1245" i="2"/>
  <c r="Y207" i="2"/>
  <c r="Y1247" i="2"/>
  <c r="Y540" i="2"/>
  <c r="Y961" i="2"/>
  <c r="Y69" i="2"/>
  <c r="Y726" i="2"/>
  <c r="X601" i="2"/>
  <c r="X641" i="2"/>
  <c r="Y121" i="2"/>
  <c r="Y753" i="2"/>
  <c r="X223" i="2"/>
  <c r="X964" i="2"/>
  <c r="Y643" i="2"/>
  <c r="X388" i="2"/>
  <c r="Z76" i="2"/>
  <c r="Y393" i="2"/>
  <c r="Y228" i="2"/>
  <c r="Y396" i="2"/>
  <c r="X680" i="2"/>
  <c r="Z397" i="2"/>
  <c r="X233" i="2"/>
  <c r="Z647" i="2"/>
  <c r="X403" i="2"/>
  <c r="Z1133" i="2"/>
  <c r="Y1137" i="2"/>
  <c r="X551" i="2"/>
  <c r="X1132" i="2"/>
  <c r="Y1068" i="2"/>
  <c r="Y1072" i="2"/>
  <c r="Y1277" i="2"/>
  <c r="Z968" i="2"/>
  <c r="Z656" i="2"/>
  <c r="Y474" i="2"/>
  <c r="Y424" i="2"/>
  <c r="Z91" i="2"/>
  <c r="Y96" i="2"/>
  <c r="X899" i="2"/>
  <c r="Z905" i="2"/>
  <c r="X910" i="2"/>
  <c r="X913" i="2"/>
  <c r="Y677" i="2"/>
  <c r="Y1289" i="2"/>
  <c r="Y100" i="2"/>
  <c r="Y586" i="2"/>
  <c r="Y442" i="2"/>
  <c r="Z1176" i="2"/>
  <c r="Y1179" i="2"/>
  <c r="X1159" i="2"/>
  <c r="Z462" i="2"/>
  <c r="X845" i="2"/>
  <c r="Z367" i="2"/>
  <c r="Z60" i="2"/>
  <c r="Z1239" i="2"/>
  <c r="Z201" i="2"/>
  <c r="X203" i="2"/>
  <c r="X119" i="2"/>
  <c r="X206" i="2"/>
  <c r="Z207" i="2"/>
  <c r="Z1247" i="2"/>
  <c r="Z540" i="2"/>
  <c r="Z961" i="2"/>
  <c r="Z379" i="2"/>
  <c r="Z69" i="2"/>
  <c r="Z726" i="2"/>
  <c r="Z121" i="2"/>
  <c r="Z753" i="2"/>
  <c r="X532" i="2"/>
  <c r="X850" i="2"/>
  <c r="Z393" i="2"/>
  <c r="Z228" i="2"/>
  <c r="X237" i="2"/>
  <c r="Y240" i="2"/>
  <c r="X244" i="2"/>
  <c r="Y251" i="2"/>
  <c r="X667" i="2"/>
  <c r="X257" i="2"/>
  <c r="Y950" i="2"/>
  <c r="Y82" i="2"/>
  <c r="X412" i="2"/>
  <c r="Y551" i="2"/>
  <c r="Y975" i="2"/>
  <c r="Z1068" i="2"/>
  <c r="Y939" i="2"/>
  <c r="Z1022" i="2"/>
  <c r="X784" i="2"/>
  <c r="X655" i="2"/>
  <c r="X90" i="2"/>
  <c r="Z474" i="2"/>
  <c r="Z1090" i="2"/>
  <c r="X1094" i="2"/>
  <c r="Z96" i="2"/>
  <c r="Z899" i="2"/>
  <c r="Y910" i="2"/>
  <c r="Z913" i="2"/>
  <c r="Z2" i="2"/>
  <c r="Z677" i="2"/>
  <c r="X581" i="2"/>
  <c r="Y1061" i="2"/>
  <c r="Z100" i="2"/>
  <c r="X507" i="2"/>
  <c r="Z442" i="2"/>
  <c r="Z1179" i="2"/>
  <c r="X1153" i="2"/>
  <c r="X1156" i="2"/>
  <c r="Y554" i="2"/>
  <c r="X509" i="2"/>
  <c r="Y1149" i="2"/>
  <c r="Y799" i="2"/>
  <c r="Z530" i="2"/>
  <c r="Z839" i="2"/>
  <c r="Z789" i="2"/>
  <c r="Y408" i="2"/>
  <c r="Z934" i="2"/>
  <c r="Z1273" i="2"/>
  <c r="X1023" i="2"/>
  <c r="X754" i="2"/>
  <c r="Y475" i="2"/>
  <c r="X1091" i="2"/>
  <c r="Z853" i="2"/>
  <c r="X900" i="2"/>
  <c r="X911" i="2"/>
  <c r="X1173" i="2"/>
  <c r="X1142" i="2"/>
  <c r="X678" i="2"/>
  <c r="X1174" i="2"/>
  <c r="Y846" i="2"/>
  <c r="Y1109" i="2"/>
  <c r="X869" i="2"/>
  <c r="Y807" i="2"/>
  <c r="X1242" i="2"/>
  <c r="Z541" i="2"/>
  <c r="X1250" i="2"/>
  <c r="X1255" i="2"/>
  <c r="X929" i="2"/>
  <c r="Y602" i="2"/>
  <c r="X1257" i="2"/>
  <c r="Z218" i="2"/>
  <c r="Y224" i="2"/>
  <c r="X1258" i="2"/>
  <c r="Z965" i="2"/>
  <c r="X389" i="2"/>
  <c r="X1267" i="2"/>
  <c r="X1128" i="2"/>
  <c r="X252" i="2"/>
  <c r="X405" i="2"/>
  <c r="X406" i="2"/>
  <c r="X948" i="2"/>
  <c r="Z765" i="2"/>
  <c r="X105" i="2"/>
  <c r="Y1173" i="2"/>
  <c r="Z1142" i="2"/>
  <c r="Z678" i="2"/>
  <c r="X582" i="2"/>
  <c r="Z1059" i="2"/>
  <c r="Z438" i="2"/>
  <c r="X440" i="2"/>
  <c r="X276" i="2"/>
  <c r="Z1174" i="2"/>
  <c r="Y1154" i="2"/>
  <c r="Z1157" i="2"/>
  <c r="Y278" i="2"/>
  <c r="X510" i="2"/>
  <c r="Z1112" i="2"/>
  <c r="X55" i="2"/>
  <c r="X1077" i="2"/>
  <c r="X1080" i="2"/>
  <c r="X64" i="2"/>
  <c r="X1241" i="2"/>
  <c r="X200" i="2"/>
  <c r="X983" i="2"/>
  <c r="Y1146" i="2"/>
  <c r="Y74" i="2"/>
  <c r="X1264" i="2"/>
  <c r="X646" i="2"/>
  <c r="Y1265" i="2"/>
  <c r="Y227" i="2"/>
  <c r="X395" i="2"/>
  <c r="X1266" i="2"/>
  <c r="Y229" i="2"/>
  <c r="X232" i="2"/>
  <c r="Z235" i="2"/>
  <c r="Y245" i="2"/>
  <c r="Z502" i="2"/>
  <c r="X81" i="2"/>
  <c r="Z668" i="2"/>
  <c r="Z870" i="2"/>
  <c r="Y1116" i="2"/>
  <c r="X932" i="2"/>
  <c r="Y84" i="2"/>
  <c r="Y896" i="2"/>
  <c r="X1074" i="2"/>
  <c r="Y1075" i="2"/>
  <c r="Y417" i="2"/>
  <c r="Z418" i="2"/>
  <c r="Y967" i="2"/>
  <c r="Y125" i="2"/>
  <c r="Z1095" i="2"/>
  <c r="X575" i="2"/>
  <c r="Y1282" i="2"/>
  <c r="X897" i="2"/>
  <c r="Y904" i="2"/>
  <c r="Y908" i="2"/>
  <c r="Z915" i="2"/>
  <c r="Y98" i="2"/>
  <c r="X99" i="2"/>
  <c r="X437" i="2"/>
  <c r="Y855" i="2"/>
  <c r="X1178" i="2"/>
  <c r="X48" i="2"/>
  <c r="Y847" i="2"/>
  <c r="X675" i="2"/>
  <c r="Z464" i="2"/>
  <c r="Y1163" i="2"/>
  <c r="X1106" i="2"/>
  <c r="Y55" i="2"/>
  <c r="Y1077" i="2"/>
  <c r="Y1080" i="2"/>
  <c r="X59" i="2"/>
  <c r="Y64" i="2"/>
  <c r="Y1241" i="2"/>
  <c r="Y200" i="2"/>
  <c r="Y983" i="2"/>
  <c r="Y499" i="2"/>
  <c r="Y210" i="2"/>
  <c r="Y1264" i="2"/>
  <c r="Y646" i="2"/>
  <c r="Y395" i="2"/>
  <c r="Y1266" i="2"/>
  <c r="Y232" i="2"/>
  <c r="Y81" i="2"/>
  <c r="Y1269" i="2"/>
  <c r="X766" i="2"/>
  <c r="Z1116" i="2"/>
  <c r="Z592" i="2"/>
  <c r="Z896" i="2"/>
  <c r="Z1074" i="2"/>
  <c r="Z417" i="2"/>
  <c r="X88" i="2"/>
  <c r="X1276" i="2"/>
  <c r="Y504" i="2"/>
  <c r="Y575" i="2"/>
  <c r="Z1282" i="2"/>
  <c r="X95" i="2"/>
  <c r="Z98" i="2"/>
  <c r="X1160" i="2"/>
  <c r="X679" i="2"/>
  <c r="Z99" i="2"/>
  <c r="Z437" i="2"/>
  <c r="Z855" i="2"/>
  <c r="X1026" i="2"/>
  <c r="X1175" i="2"/>
  <c r="Y1178" i="2"/>
  <c r="Y277" i="2"/>
  <c r="X1158" i="2"/>
  <c r="X1110" i="2"/>
  <c r="Y860" i="2"/>
  <c r="Y1026" i="2"/>
  <c r="Y128" i="2"/>
  <c r="X1161" i="2"/>
  <c r="X1167" i="2"/>
  <c r="Y1078" i="2"/>
  <c r="Y65" i="2"/>
  <c r="X1245" i="2"/>
  <c r="Y219" i="2"/>
  <c r="Z468" i="2"/>
  <c r="Y647" i="2"/>
  <c r="X1137" i="2"/>
  <c r="X85" i="2"/>
  <c r="Z262" i="2"/>
  <c r="X1277" i="2"/>
  <c r="Y968" i="2"/>
  <c r="Y91" i="2"/>
  <c r="Z94" i="2"/>
  <c r="Y905" i="2"/>
  <c r="Y941" i="2"/>
  <c r="X1289" i="2"/>
  <c r="X1176" i="2"/>
  <c r="Z993" i="2"/>
  <c r="X993" i="2"/>
  <c r="X492" i="2"/>
  <c r="Z492" i="2"/>
  <c r="Z196" i="2"/>
  <c r="Y196" i="2"/>
  <c r="X196" i="2"/>
  <c r="X68" i="2"/>
  <c r="Z68" i="2"/>
  <c r="Y68" i="2"/>
  <c r="Y795" i="2"/>
  <c r="Z795" i="2"/>
  <c r="X795" i="2"/>
  <c r="Y516" i="2"/>
  <c r="X516" i="2"/>
  <c r="Z455" i="2"/>
  <c r="X455" i="2"/>
  <c r="Z804" i="2"/>
  <c r="Y804" i="2"/>
  <c r="X804" i="2"/>
  <c r="Z1038" i="2"/>
  <c r="Y1038" i="2"/>
  <c r="X1038" i="2"/>
  <c r="Z349" i="2"/>
  <c r="X349" i="2"/>
  <c r="Z723" i="2"/>
  <c r="X723" i="2"/>
  <c r="Z130" i="2"/>
  <c r="X4" i="2"/>
  <c r="Z286" i="2"/>
  <c r="X1181" i="2"/>
  <c r="Z131" i="2"/>
  <c r="X886" i="2"/>
  <c r="Z888" i="2"/>
  <c r="X559" i="2"/>
  <c r="Z106" i="2"/>
  <c r="X7" i="2"/>
  <c r="Z291" i="2"/>
  <c r="X294" i="2"/>
  <c r="Z712" i="2"/>
  <c r="X686" i="2"/>
  <c r="Z688" i="2"/>
  <c r="X9" i="2"/>
  <c r="Z566" i="2"/>
  <c r="X141" i="2"/>
  <c r="Z999" i="2"/>
  <c r="X16" i="2"/>
  <c r="Z1009" i="2"/>
  <c r="X1044" i="2"/>
  <c r="Z1185" i="2"/>
  <c r="X770" i="2"/>
  <c r="Z452" i="2"/>
  <c r="X145" i="2"/>
  <c r="Z305" i="2"/>
  <c r="X19" i="2"/>
  <c r="Z20" i="2"/>
  <c r="X923" i="2"/>
  <c r="Z311" i="2"/>
  <c r="X1191" i="2"/>
  <c r="X1202" i="2"/>
  <c r="Z513" i="2"/>
  <c r="X313" i="2"/>
  <c r="Y317" i="2"/>
  <c r="Z890" i="2"/>
  <c r="Z516" i="2"/>
  <c r="Y455" i="2"/>
  <c r="X322" i="2"/>
  <c r="Z1212" i="2"/>
  <c r="Y1212" i="2"/>
  <c r="X1212" i="2"/>
  <c r="Z1084" i="2"/>
  <c r="Y1084" i="2"/>
  <c r="X1084" i="2"/>
  <c r="Z1214" i="2"/>
  <c r="Y1214" i="2"/>
  <c r="X1214" i="2"/>
  <c r="Z1034" i="2"/>
  <c r="Y1034" i="2"/>
  <c r="X1034" i="2"/>
  <c r="Z576" i="2"/>
  <c r="Y576" i="2"/>
  <c r="X576" i="2"/>
  <c r="Z730" i="2"/>
  <c r="Y730" i="2"/>
  <c r="X730" i="2"/>
  <c r="Z739" i="2"/>
  <c r="Y739" i="2"/>
  <c r="X739" i="2"/>
  <c r="Z28" i="2"/>
  <c r="Y28" i="2"/>
  <c r="X28" i="2"/>
  <c r="Z1049" i="2"/>
  <c r="Y1049" i="2"/>
  <c r="X1049" i="2"/>
  <c r="Z1120" i="2"/>
  <c r="Y1120" i="2"/>
  <c r="X1120" i="2"/>
  <c r="Z537" i="2"/>
  <c r="Y537" i="2"/>
  <c r="X537" i="2"/>
  <c r="Z834" i="2"/>
  <c r="X834" i="2"/>
  <c r="Z692" i="2"/>
  <c r="X1130" i="2"/>
  <c r="Y349" i="2"/>
  <c r="Y723" i="2"/>
  <c r="Z757" i="2"/>
  <c r="Y993" i="2"/>
  <c r="Y492" i="2"/>
  <c r="Z220" i="2"/>
  <c r="Y220" i="2"/>
  <c r="X220" i="2"/>
  <c r="Z221" i="2"/>
  <c r="Y221" i="2"/>
  <c r="X221" i="2"/>
  <c r="Z815" i="2"/>
  <c r="Y815" i="2"/>
  <c r="Z325" i="2"/>
  <c r="X325" i="2"/>
  <c r="Z876" i="2"/>
  <c r="Y876" i="2"/>
  <c r="X876" i="2"/>
  <c r="Z354" i="2"/>
  <c r="Y354" i="2"/>
  <c r="X354" i="2"/>
  <c r="Z628" i="2"/>
  <c r="X628" i="2"/>
  <c r="Z53" i="2"/>
  <c r="Y53" i="2"/>
  <c r="Z204" i="2"/>
  <c r="Y204" i="2"/>
  <c r="X204" i="2"/>
  <c r="X650" i="2"/>
  <c r="Z650" i="2"/>
  <c r="Y650" i="2"/>
  <c r="Z654" i="2"/>
  <c r="Y654" i="2"/>
  <c r="X654" i="2"/>
  <c r="Z906" i="2"/>
  <c r="Y906" i="2"/>
  <c r="X906" i="2"/>
  <c r="X3" i="2"/>
  <c r="X813" i="2"/>
  <c r="X884" i="2"/>
  <c r="X557" i="2"/>
  <c r="X134" i="2"/>
  <c r="X479" i="2"/>
  <c r="X684" i="2"/>
  <c r="X779" i="2"/>
  <c r="X14" i="2"/>
  <c r="X107" i="2"/>
  <c r="X1042" i="2"/>
  <c r="X768" i="2"/>
  <c r="X17" i="2"/>
  <c r="X307" i="2"/>
  <c r="X1054" i="2"/>
  <c r="Y1194" i="2"/>
  <c r="X1197" i="2"/>
  <c r="Y943" i="2"/>
  <c r="X946" i="2"/>
  <c r="X815" i="2"/>
  <c r="X522" i="2"/>
  <c r="X525" i="2"/>
  <c r="Y456" i="2"/>
  <c r="X456" i="2"/>
  <c r="X700" i="2"/>
  <c r="Y325" i="2"/>
  <c r="X773" i="2"/>
  <c r="Y1228" i="2"/>
  <c r="Z613" i="2"/>
  <c r="Y613" i="2"/>
  <c r="X613" i="2"/>
  <c r="X797" i="2"/>
  <c r="Z621" i="2"/>
  <c r="X621" i="2"/>
  <c r="X624" i="2"/>
  <c r="Z39" i="2"/>
  <c r="X39" i="2"/>
  <c r="Z352" i="2"/>
  <c r="X352" i="2"/>
  <c r="Y628" i="2"/>
  <c r="Z927" i="2"/>
  <c r="Y927" i="2"/>
  <c r="X927" i="2"/>
  <c r="Y366" i="2"/>
  <c r="Z366" i="2"/>
  <c r="X366" i="2"/>
  <c r="X53" i="2"/>
  <c r="Z368" i="2"/>
  <c r="Y368" i="2"/>
  <c r="X368" i="2"/>
  <c r="Y197" i="2"/>
  <c r="X197" i="2"/>
  <c r="Z66" i="2"/>
  <c r="Y66" i="2"/>
  <c r="X66" i="2"/>
  <c r="X642" i="2"/>
  <c r="Z642" i="2"/>
  <c r="Y642" i="2"/>
  <c r="Z241" i="2"/>
  <c r="Y241" i="2"/>
  <c r="X241" i="2"/>
  <c r="Y3" i="2"/>
  <c r="Y813" i="2"/>
  <c r="Y884" i="2"/>
  <c r="Y557" i="2"/>
  <c r="Y134" i="2"/>
  <c r="Y479" i="2"/>
  <c r="Y684" i="2"/>
  <c r="Y779" i="2"/>
  <c r="Y14" i="2"/>
  <c r="Y107" i="2"/>
  <c r="Y1042" i="2"/>
  <c r="Y768" i="2"/>
  <c r="Y17" i="2"/>
  <c r="Y307" i="2"/>
  <c r="Y1054" i="2"/>
  <c r="Z1194" i="2"/>
  <c r="Y1197" i="2"/>
  <c r="Z943" i="2"/>
  <c r="Y946" i="2"/>
  <c r="Z522" i="2"/>
  <c r="Y525" i="2"/>
  <c r="Y700" i="2"/>
  <c r="Y773" i="2"/>
  <c r="Z607" i="2"/>
  <c r="X607" i="2"/>
  <c r="Z486" i="2"/>
  <c r="X486" i="2"/>
  <c r="Z457" i="2"/>
  <c r="X457" i="2"/>
  <c r="Z609" i="2"/>
  <c r="X609" i="2"/>
  <c r="Z830" i="2"/>
  <c r="X830" i="2"/>
  <c r="Z578" i="2"/>
  <c r="X578" i="2"/>
  <c r="Z158" i="2"/>
  <c r="X158" i="2"/>
  <c r="Z1219" i="2"/>
  <c r="X1219" i="2"/>
  <c r="Z1296" i="2"/>
  <c r="X1296" i="2"/>
  <c r="Z987" i="2"/>
  <c r="X987" i="2"/>
  <c r="Z332" i="2"/>
  <c r="X332" i="2"/>
  <c r="Z162" i="2"/>
  <c r="X162" i="2"/>
  <c r="Z1228" i="2"/>
  <c r="Z797" i="2"/>
  <c r="Z672" i="2"/>
  <c r="Y672" i="2"/>
  <c r="X672" i="2"/>
  <c r="Z624" i="2"/>
  <c r="Z588" i="2"/>
  <c r="X588" i="2"/>
  <c r="Z363" i="2"/>
  <c r="X363" i="2"/>
  <c r="X284" i="2"/>
  <c r="X1299" i="2"/>
  <c r="X882" i="2"/>
  <c r="X555" i="2"/>
  <c r="X762" i="2"/>
  <c r="X8" i="2"/>
  <c r="X682" i="2"/>
  <c r="X777" i="2"/>
  <c r="X13" i="2"/>
  <c r="X1003" i="2"/>
  <c r="X1041" i="2"/>
  <c r="X303" i="2"/>
  <c r="X108" i="2"/>
  <c r="X306" i="2"/>
  <c r="Y921" i="2"/>
  <c r="X732" i="2"/>
  <c r="Z1189" i="2"/>
  <c r="Y826" i="2"/>
  <c r="X1203" i="2"/>
  <c r="Z514" i="2"/>
  <c r="Y316" i="2"/>
  <c r="Y148" i="2"/>
  <c r="Y517" i="2"/>
  <c r="Y149" i="2"/>
  <c r="X149" i="2"/>
  <c r="X1139" i="2"/>
  <c r="Y607" i="2"/>
  <c r="Y486" i="2"/>
  <c r="Y457" i="2"/>
  <c r="Y609" i="2"/>
  <c r="Y830" i="2"/>
  <c r="Y578" i="2"/>
  <c r="Y158" i="2"/>
  <c r="Y1219" i="2"/>
  <c r="Y1296" i="2"/>
  <c r="Y987" i="2"/>
  <c r="Y332" i="2"/>
  <c r="Y162" i="2"/>
  <c r="Z165" i="2"/>
  <c r="Z626" i="2"/>
  <c r="Y626" i="2"/>
  <c r="X626" i="2"/>
  <c r="X490" i="2"/>
  <c r="Z721" i="2"/>
  <c r="Y721" i="2"/>
  <c r="X721" i="2"/>
  <c r="X43" i="2"/>
  <c r="Y588" i="2"/>
  <c r="Z991" i="2"/>
  <c r="Y991" i="2"/>
  <c r="X991" i="2"/>
  <c r="Y363" i="2"/>
  <c r="X848" i="2"/>
  <c r="Z848" i="2"/>
  <c r="Y848" i="2"/>
  <c r="Z58" i="2"/>
  <c r="Y58" i="2"/>
  <c r="X58" i="2"/>
  <c r="X375" i="2"/>
  <c r="Z375" i="2"/>
  <c r="Y375" i="2"/>
  <c r="X238" i="2"/>
  <c r="Z238" i="2"/>
  <c r="Y238" i="2"/>
  <c r="Z523" i="2"/>
  <c r="Y523" i="2"/>
  <c r="Z832" i="2"/>
  <c r="Y832" i="2"/>
  <c r="X832" i="2"/>
  <c r="Z1066" i="2"/>
  <c r="X1066" i="2"/>
  <c r="Z528" i="2"/>
  <c r="X528" i="2"/>
  <c r="Z1107" i="2"/>
  <c r="Y1107" i="2"/>
  <c r="X118" i="2"/>
  <c r="Y118" i="2"/>
  <c r="X639" i="2"/>
  <c r="Z639" i="2"/>
  <c r="Y639" i="2"/>
  <c r="Z466" i="2"/>
  <c r="Y466" i="2"/>
  <c r="X466" i="2"/>
  <c r="Z1019" i="2"/>
  <c r="Y1019" i="2"/>
  <c r="X1019" i="2"/>
  <c r="X282" i="2"/>
  <c r="X818" i="2"/>
  <c r="X880" i="2"/>
  <c r="X133" i="2"/>
  <c r="X760" i="2"/>
  <c r="X137" i="2"/>
  <c r="X1007" i="2"/>
  <c r="X775" i="2"/>
  <c r="X296" i="2"/>
  <c r="X449" i="2"/>
  <c r="X954" i="2"/>
  <c r="X301" i="2"/>
  <c r="X603" i="2"/>
  <c r="X792" i="2"/>
  <c r="X1052" i="2"/>
  <c r="X1187" i="2"/>
  <c r="X1195" i="2"/>
  <c r="X1201" i="2"/>
  <c r="X944" i="2"/>
  <c r="X959" i="2"/>
  <c r="X523" i="2"/>
  <c r="X951" i="2"/>
  <c r="Y1205" i="2"/>
  <c r="X1205" i="2"/>
  <c r="X29" i="2"/>
  <c r="Z690" i="2"/>
  <c r="Z31" i="2"/>
  <c r="X31" i="2"/>
  <c r="X825" i="2"/>
  <c r="Z1040" i="2"/>
  <c r="X1040" i="2"/>
  <c r="Y1066" i="2"/>
  <c r="Y528" i="2"/>
  <c r="Z671" i="2"/>
  <c r="Y671" i="2"/>
  <c r="X671" i="2"/>
  <c r="X842" i="2"/>
  <c r="X1107" i="2"/>
  <c r="Y371" i="2"/>
  <c r="Z371" i="2"/>
  <c r="Z118" i="2"/>
  <c r="Y137" i="2"/>
  <c r="Y1007" i="2"/>
  <c r="Y775" i="2"/>
  <c r="Y606" i="2"/>
  <c r="X606" i="2"/>
  <c r="Z822" i="2"/>
  <c r="X822" i="2"/>
  <c r="Z1086" i="2"/>
  <c r="X1086" i="2"/>
  <c r="Z1216" i="2"/>
  <c r="X1216" i="2"/>
  <c r="Z828" i="2"/>
  <c r="X828" i="2"/>
  <c r="Z458" i="2"/>
  <c r="X458" i="2"/>
  <c r="Z963" i="2"/>
  <c r="X963" i="2"/>
  <c r="Z741" i="2"/>
  <c r="X741" i="2"/>
  <c r="Z1294" i="2"/>
  <c r="X1294" i="2"/>
  <c r="Z330" i="2"/>
  <c r="X330" i="2"/>
  <c r="Z1122" i="2"/>
  <c r="X1122" i="2"/>
  <c r="Z1223" i="2"/>
  <c r="X1223" i="2"/>
  <c r="Z620" i="2"/>
  <c r="Y620" i="2"/>
  <c r="X620" i="2"/>
  <c r="Z37" i="2"/>
  <c r="Y37" i="2"/>
  <c r="X37" i="2"/>
  <c r="Z350" i="2"/>
  <c r="Y350" i="2"/>
  <c r="X350" i="2"/>
  <c r="Z806" i="2"/>
  <c r="Y806" i="2"/>
  <c r="X806" i="2"/>
  <c r="Y1244" i="2"/>
  <c r="Z1244" i="2"/>
  <c r="X1244" i="2"/>
  <c r="X383" i="2"/>
  <c r="Z383" i="2"/>
  <c r="Y383" i="2"/>
  <c r="Z77" i="2"/>
  <c r="Y77" i="2"/>
  <c r="X77" i="2"/>
  <c r="Z548" i="2"/>
  <c r="Y548" i="2"/>
  <c r="X548" i="2"/>
  <c r="Y880" i="2"/>
  <c r="Y133" i="2"/>
  <c r="Y760" i="2"/>
  <c r="Z818" i="2"/>
  <c r="X758" i="2"/>
  <c r="X447" i="2"/>
  <c r="X139" i="2"/>
  <c r="X295" i="2"/>
  <c r="X11" i="2"/>
  <c r="X15" i="2"/>
  <c r="X1001" i="2"/>
  <c r="X482" i="2"/>
  <c r="X453" i="2"/>
  <c r="X147" i="2"/>
  <c r="X21" i="2"/>
  <c r="Y922" i="2"/>
  <c r="X309" i="2"/>
  <c r="Y827" i="2"/>
  <c r="X312" i="2"/>
  <c r="Z606" i="2"/>
  <c r="Y515" i="2"/>
  <c r="Z321" i="2"/>
  <c r="Y321" i="2"/>
  <c r="X23" i="2"/>
  <c r="Y822" i="2"/>
  <c r="Y1086" i="2"/>
  <c r="Y1216" i="2"/>
  <c r="Y828" i="2"/>
  <c r="Y458" i="2"/>
  <c r="Y963" i="2"/>
  <c r="Y741" i="2"/>
  <c r="Y1294" i="2"/>
  <c r="Y330" i="2"/>
  <c r="Y1122" i="2"/>
  <c r="Y1223" i="2"/>
  <c r="X1226" i="2"/>
  <c r="Z748" i="2"/>
  <c r="X748" i="2"/>
  <c r="Z44" i="2"/>
  <c r="X44" i="2"/>
  <c r="Z188" i="2"/>
  <c r="Y188" i="2"/>
  <c r="X188" i="2"/>
  <c r="Z892" i="2"/>
  <c r="X892" i="2"/>
  <c r="Y895" i="2"/>
  <c r="Z895" i="2"/>
  <c r="X895" i="2"/>
  <c r="Z370" i="2"/>
  <c r="Y370" i="2"/>
  <c r="Z1238" i="2"/>
  <c r="Y1238" i="2"/>
  <c r="X1238" i="2"/>
  <c r="Y282" i="2"/>
  <c r="X816" i="2"/>
  <c r="X288" i="2"/>
  <c r="X132" i="2"/>
  <c r="X478" i="2"/>
  <c r="Y816" i="2"/>
  <c r="X1300" i="2"/>
  <c r="Y288" i="2"/>
  <c r="X883" i="2"/>
  <c r="Y132" i="2"/>
  <c r="X293" i="2"/>
  <c r="Y139" i="2"/>
  <c r="X683" i="2"/>
  <c r="X1172" i="2"/>
  <c r="Y15" i="2"/>
  <c r="Y482" i="2"/>
  <c r="X767" i="2"/>
  <c r="Y453" i="2"/>
  <c r="X304" i="2"/>
  <c r="Y147" i="2"/>
  <c r="X593" i="2"/>
  <c r="Y21" i="2"/>
  <c r="X879" i="2"/>
  <c r="Z922" i="2"/>
  <c r="Y309" i="2"/>
  <c r="X704" i="2"/>
  <c r="Z827" i="2"/>
  <c r="Y312" i="2"/>
  <c r="X315" i="2"/>
  <c r="Z515" i="2"/>
  <c r="X524" i="2"/>
  <c r="X321" i="2"/>
  <c r="Y23" i="2"/>
  <c r="X1211" i="2"/>
  <c r="X1102" i="2"/>
  <c r="X1148" i="2"/>
  <c r="X26" i="2"/>
  <c r="X329" i="2"/>
  <c r="X729" i="2"/>
  <c r="X738" i="2"/>
  <c r="X1170" i="2"/>
  <c r="X1048" i="2"/>
  <c r="X1119" i="2"/>
  <c r="X161" i="2"/>
  <c r="Z615" i="2"/>
  <c r="X615" i="2"/>
  <c r="Y748" i="2"/>
  <c r="Y44" i="2"/>
  <c r="X1232" i="2"/>
  <c r="Z191" i="2"/>
  <c r="X191" i="2"/>
  <c r="Y364" i="2"/>
  <c r="Z364" i="2"/>
  <c r="Y892" i="2"/>
  <c r="X494" i="2"/>
  <c r="Z494" i="2"/>
  <c r="X370" i="2"/>
  <c r="X391" i="2"/>
  <c r="Z391" i="2"/>
  <c r="Y391" i="2"/>
  <c r="X280" i="2"/>
  <c r="Y280" i="2"/>
  <c r="X556" i="2"/>
  <c r="Y758" i="2"/>
  <c r="X763" i="2"/>
  <c r="Y447" i="2"/>
  <c r="Y295" i="2"/>
  <c r="X778" i="2"/>
  <c r="Y11" i="2"/>
  <c r="X1004" i="2"/>
  <c r="Y1001" i="2"/>
  <c r="X1184" i="2"/>
  <c r="X1053" i="2"/>
  <c r="Z879" i="2"/>
  <c r="Y1193" i="2"/>
  <c r="X1196" i="2"/>
  <c r="Z704" i="2"/>
  <c r="Y942" i="2"/>
  <c r="X945" i="2"/>
  <c r="Z315" i="2"/>
  <c r="X814" i="2"/>
  <c r="Z772" i="2"/>
  <c r="Y772" i="2"/>
  <c r="X1206" i="2"/>
  <c r="Z1211" i="2"/>
  <c r="X1097" i="2"/>
  <c r="Z1102" i="2"/>
  <c r="X150" i="2"/>
  <c r="Z1148" i="2"/>
  <c r="X611" i="2"/>
  <c r="Z26" i="2"/>
  <c r="X327" i="2"/>
  <c r="Z329" i="2"/>
  <c r="X547" i="2"/>
  <c r="Z729" i="2"/>
  <c r="X733" i="2"/>
  <c r="Z738" i="2"/>
  <c r="X743" i="2"/>
  <c r="Z1170" i="2"/>
  <c r="X1103" i="2"/>
  <c r="Z1048" i="2"/>
  <c r="X331" i="2"/>
  <c r="Z1119" i="2"/>
  <c r="X1012" i="2"/>
  <c r="Z161" i="2"/>
  <c r="Z527" i="2"/>
  <c r="X527" i="2"/>
  <c r="Z1064" i="2"/>
  <c r="Y1064" i="2"/>
  <c r="X1064" i="2"/>
  <c r="Z359" i="2"/>
  <c r="Y359" i="2"/>
  <c r="X359" i="2"/>
  <c r="Z1232" i="2"/>
  <c r="Z599" i="2"/>
  <c r="Y599" i="2"/>
  <c r="X599" i="2"/>
  <c r="Y494" i="2"/>
  <c r="X1017" i="2"/>
  <c r="Z1017" i="2"/>
  <c r="Y1017" i="2"/>
  <c r="Z794" i="2"/>
  <c r="Y794" i="2"/>
  <c r="X794" i="2"/>
  <c r="X376" i="2"/>
  <c r="Z376" i="2"/>
  <c r="Z104" i="2"/>
  <c r="Y104" i="2"/>
  <c r="X104" i="2"/>
  <c r="X208" i="2"/>
  <c r="Z208" i="2"/>
  <c r="Y255" i="2"/>
  <c r="Z255" i="2"/>
  <c r="Y471" i="2"/>
  <c r="X471" i="2"/>
  <c r="Z471" i="2"/>
  <c r="Z653" i="2"/>
  <c r="Y653" i="2"/>
  <c r="X653" i="2"/>
  <c r="Z505" i="2"/>
  <c r="Y505" i="2"/>
  <c r="X505" i="2"/>
  <c r="Z63" i="2"/>
  <c r="Y63" i="2"/>
  <c r="Y376" i="2"/>
  <c r="Y208" i="2"/>
  <c r="Z1249" i="2"/>
  <c r="Y1249" i="2"/>
  <c r="X1249" i="2"/>
  <c r="Z544" i="2"/>
  <c r="Y544" i="2"/>
  <c r="Z248" i="2"/>
  <c r="X248" i="2"/>
  <c r="X255" i="2"/>
  <c r="X1016" i="2"/>
  <c r="Z1016" i="2"/>
  <c r="X1165" i="2"/>
  <c r="Z1165" i="2"/>
  <c r="Z919" i="2"/>
  <c r="Y919" i="2"/>
  <c r="Z209" i="2"/>
  <c r="Y209" i="2"/>
  <c r="X209" i="2"/>
  <c r="Z538" i="2"/>
  <c r="Y538" i="2"/>
  <c r="Y382" i="2"/>
  <c r="X382" i="2"/>
  <c r="Y699" i="2"/>
  <c r="X699" i="2"/>
  <c r="X83" i="2"/>
  <c r="Z83" i="2"/>
  <c r="Y83" i="2"/>
  <c r="X1227" i="2"/>
  <c r="X691" i="2"/>
  <c r="X337" i="2"/>
  <c r="X340" i="2"/>
  <c r="X171" i="2"/>
  <c r="X1036" i="2"/>
  <c r="X1013" i="2"/>
  <c r="X1229" i="2"/>
  <c r="X874" i="2"/>
  <c r="X1062" i="2"/>
  <c r="X837" i="2"/>
  <c r="X719" i="2"/>
  <c r="X1231" i="2"/>
  <c r="X183" i="2"/>
  <c r="X716" i="2"/>
  <c r="X669" i="2"/>
  <c r="X989" i="2"/>
  <c r="X714" i="2"/>
  <c r="X1045" i="2"/>
  <c r="Y365" i="2"/>
  <c r="Y634" i="2"/>
  <c r="Y675" i="2"/>
  <c r="Z699" i="2"/>
  <c r="Y1108" i="2"/>
  <c r="X51" i="2"/>
  <c r="Z51" i="2"/>
  <c r="Y972" i="2"/>
  <c r="Y59" i="2"/>
  <c r="X374" i="2"/>
  <c r="X198" i="2"/>
  <c r="Z984" i="2"/>
  <c r="Z499" i="2"/>
  <c r="Z676" i="2"/>
  <c r="Y676" i="2"/>
  <c r="Z213" i="2"/>
  <c r="Y213" i="2"/>
  <c r="X213" i="2"/>
  <c r="Z1135" i="2"/>
  <c r="Y1135" i="2"/>
  <c r="X1135" i="2"/>
  <c r="X25" i="2"/>
  <c r="X526" i="2"/>
  <c r="X610" i="2"/>
  <c r="X831" i="2"/>
  <c r="X110" i="2"/>
  <c r="X159" i="2"/>
  <c r="X742" i="2"/>
  <c r="X1220" i="2"/>
  <c r="X988" i="2"/>
  <c r="X612" i="2"/>
  <c r="X334" i="2"/>
  <c r="Y1227" i="2"/>
  <c r="X835" i="2"/>
  <c r="Y691" i="2"/>
  <c r="X616" i="2"/>
  <c r="Y337" i="2"/>
  <c r="X926" i="2"/>
  <c r="Y340" i="2"/>
  <c r="X622" i="2"/>
  <c r="Y171" i="2"/>
  <c r="X172" i="2"/>
  <c r="Y1036" i="2"/>
  <c r="X1082" i="2"/>
  <c r="Y1013" i="2"/>
  <c r="X1152" i="2"/>
  <c r="Y1229" i="2"/>
  <c r="X489" i="2"/>
  <c r="Y874" i="2"/>
  <c r="X572" i="2"/>
  <c r="Y1062" i="2"/>
  <c r="X659" i="2"/>
  <c r="Y837" i="2"/>
  <c r="X179" i="2"/>
  <c r="Y719" i="2"/>
  <c r="X724" i="2"/>
  <c r="Y1231" i="2"/>
  <c r="X355" i="2"/>
  <c r="Y183" i="2"/>
  <c r="X360" i="2"/>
  <c r="Y716" i="2"/>
  <c r="X1150" i="2"/>
  <c r="Y669" i="2"/>
  <c r="X629" i="2"/>
  <c r="Y989" i="2"/>
  <c r="X994" i="2"/>
  <c r="Y714" i="2"/>
  <c r="X631" i="2"/>
  <c r="Y1045" i="2"/>
  <c r="X865" i="2"/>
  <c r="Y462" i="2"/>
  <c r="X846" i="2"/>
  <c r="X464" i="2"/>
  <c r="Z1166" i="2"/>
  <c r="Y1166" i="2"/>
  <c r="Y51" i="2"/>
  <c r="Y635" i="2"/>
  <c r="X635" i="2"/>
  <c r="Y374" i="2"/>
  <c r="Y198" i="2"/>
  <c r="X1240" i="2"/>
  <c r="X65" i="2"/>
  <c r="X202" i="2"/>
  <c r="X807" i="2"/>
  <c r="X210" i="2"/>
  <c r="X676" i="2"/>
  <c r="Y1028" i="2"/>
  <c r="X1028" i="2"/>
  <c r="Y379" i="2"/>
  <c r="Z1251" i="2"/>
  <c r="Y1251" i="2"/>
  <c r="Z1020" i="2"/>
  <c r="Y1020" i="2"/>
  <c r="X1020" i="2"/>
  <c r="Z752" i="2"/>
  <c r="Y752" i="2"/>
  <c r="Z644" i="2"/>
  <c r="Y644" i="2"/>
  <c r="X644" i="2"/>
  <c r="Z390" i="2"/>
  <c r="Y390" i="2"/>
  <c r="Z230" i="2"/>
  <c r="Y230" i="2"/>
  <c r="X230" i="2"/>
  <c r="Z236" i="2"/>
  <c r="Y236" i="2"/>
  <c r="Z931" i="2"/>
  <c r="Y931" i="2"/>
  <c r="X931" i="2"/>
  <c r="X597" i="2"/>
  <c r="Z597" i="2"/>
  <c r="X636" i="2"/>
  <c r="Z636" i="2"/>
  <c r="Z849" i="2"/>
  <c r="Y849" i="2"/>
  <c r="Y1136" i="2"/>
  <c r="Z1136" i="2"/>
  <c r="Z407" i="2"/>
  <c r="Y407" i="2"/>
  <c r="X407" i="2"/>
  <c r="Z52" i="2"/>
  <c r="Y52" i="2"/>
  <c r="Z1237" i="2"/>
  <c r="Y1237" i="2"/>
  <c r="X1237" i="2"/>
  <c r="X195" i="2"/>
  <c r="Z195" i="2"/>
  <c r="X33" i="2"/>
  <c r="X169" i="2"/>
  <c r="X782" i="2"/>
  <c r="X175" i="2"/>
  <c r="Z971" i="2"/>
  <c r="Y971" i="2"/>
  <c r="X971" i="2"/>
  <c r="X57" i="2"/>
  <c r="Z57" i="2"/>
  <c r="Z711" i="2"/>
  <c r="Y711" i="2"/>
  <c r="X711" i="2"/>
  <c r="Z1029" i="2"/>
  <c r="Y1029" i="2"/>
  <c r="X533" i="2"/>
  <c r="Z533" i="2"/>
  <c r="Y533" i="2"/>
  <c r="X866" i="2"/>
  <c r="X531" i="2"/>
  <c r="Y844" i="2"/>
  <c r="Z637" i="2"/>
  <c r="Y637" i="2"/>
  <c r="Z373" i="2"/>
  <c r="Y373" i="2"/>
  <c r="X373" i="2"/>
  <c r="X498" i="2"/>
  <c r="Z498" i="2"/>
  <c r="X821" i="2"/>
  <c r="Z821" i="2"/>
  <c r="Y543" i="2"/>
  <c r="X543" i="2"/>
  <c r="Y377" i="2"/>
  <c r="X1029" i="2"/>
  <c r="Z385" i="2"/>
  <c r="Y385" i="2"/>
  <c r="X385" i="2"/>
  <c r="Z71" i="2"/>
  <c r="Y71" i="2"/>
  <c r="Z469" i="2"/>
  <c r="Y469" i="2"/>
  <c r="X469" i="2"/>
  <c r="Z1261" i="2"/>
  <c r="Y1261" i="2"/>
  <c r="Z1144" i="2"/>
  <c r="Y1144" i="2"/>
  <c r="X1144" i="2"/>
  <c r="Z398" i="2"/>
  <c r="Y398" i="2"/>
  <c r="Z254" i="2"/>
  <c r="Y254" i="2"/>
  <c r="X254" i="2"/>
  <c r="Y821" i="2"/>
  <c r="Z543" i="2"/>
  <c r="Z377" i="2"/>
  <c r="Z960" i="2"/>
  <c r="Y960" i="2"/>
  <c r="Y1254" i="2"/>
  <c r="X71" i="2"/>
  <c r="Y222" i="2"/>
  <c r="X1261" i="2"/>
  <c r="Y122" i="2"/>
  <c r="X398" i="2"/>
  <c r="Z710" i="2"/>
  <c r="Z212" i="2"/>
  <c r="Z465" i="2"/>
  <c r="Z1256" i="2"/>
  <c r="Z602" i="2"/>
  <c r="Z219" i="2"/>
  <c r="Z224" i="2"/>
  <c r="Z643" i="2"/>
  <c r="Z392" i="2"/>
  <c r="Z396" i="2"/>
  <c r="Z229" i="2"/>
  <c r="Z240" i="2"/>
  <c r="Z812" i="2"/>
  <c r="Y812" i="2"/>
  <c r="X812" i="2"/>
  <c r="Z584" i="2"/>
  <c r="Y584" i="2"/>
  <c r="X584" i="2"/>
  <c r="Z443" i="2"/>
  <c r="Y443" i="2"/>
  <c r="X443" i="2"/>
  <c r="Z976" i="2"/>
  <c r="Y976" i="2"/>
  <c r="X976" i="2"/>
  <c r="Z1290" i="2"/>
  <c r="Y1290" i="2"/>
  <c r="X1290" i="2"/>
  <c r="X569" i="2"/>
  <c r="X542" i="2"/>
  <c r="X1027" i="2"/>
  <c r="X500" i="2"/>
  <c r="X384" i="2"/>
  <c r="X120" i="2"/>
  <c r="X751" i="2"/>
  <c r="X467" i="2"/>
  <c r="X1260" i="2"/>
  <c r="X226" i="2"/>
  <c r="X394" i="2"/>
  <c r="X78" i="2"/>
  <c r="X234" i="2"/>
  <c r="X246" i="2"/>
  <c r="X249" i="2"/>
  <c r="Z1021" i="2"/>
  <c r="Y1021" i="2"/>
  <c r="X1021" i="2"/>
  <c r="Z871" i="2"/>
  <c r="Y871" i="2"/>
  <c r="X871" i="2"/>
  <c r="Z89" i="2"/>
  <c r="Y89" i="2"/>
  <c r="X89" i="2"/>
  <c r="Y569" i="2"/>
  <c r="Y542" i="2"/>
  <c r="Y1027" i="2"/>
  <c r="Y500" i="2"/>
  <c r="Y384" i="2"/>
  <c r="Y120" i="2"/>
  <c r="Y751" i="2"/>
  <c r="Y467" i="2"/>
  <c r="Y1260" i="2"/>
  <c r="Y226" i="2"/>
  <c r="Y394" i="2"/>
  <c r="Y78" i="2"/>
  <c r="Y234" i="2"/>
  <c r="Z246" i="2"/>
  <c r="Y249" i="2"/>
  <c r="X1271" i="2"/>
  <c r="Z1271" i="2"/>
  <c r="Z1113" i="2"/>
  <c r="Y1113" i="2"/>
  <c r="X1113" i="2"/>
  <c r="Z918" i="2"/>
  <c r="Y918" i="2"/>
  <c r="X918" i="2"/>
  <c r="Z503" i="2"/>
  <c r="Y503" i="2"/>
  <c r="X503" i="2"/>
  <c r="Z1070" i="2"/>
  <c r="Y1070" i="2"/>
  <c r="X1070" i="2"/>
  <c r="Z476" i="2"/>
  <c r="Y476" i="2"/>
  <c r="X476" i="2"/>
  <c r="Z101" i="2"/>
  <c r="Y101" i="2"/>
  <c r="X101" i="2"/>
  <c r="X401" i="2"/>
  <c r="Z401" i="2"/>
  <c r="Z258" i="2"/>
  <c r="Y258" i="2"/>
  <c r="X258" i="2"/>
  <c r="Z648" i="2"/>
  <c r="Y648" i="2"/>
  <c r="X648" i="2"/>
  <c r="Z552" i="2"/>
  <c r="Y552" i="2"/>
  <c r="X552" i="2"/>
  <c r="X70" i="2"/>
  <c r="X928" i="2"/>
  <c r="X579" i="2"/>
  <c r="X73" i="2"/>
  <c r="X225" i="2"/>
  <c r="X645" i="2"/>
  <c r="X966" i="2"/>
  <c r="X1145" i="2"/>
  <c r="X79" i="2"/>
  <c r="X242" i="2"/>
  <c r="X247" i="2"/>
  <c r="Y401" i="2"/>
  <c r="X873" i="2"/>
  <c r="Z873" i="2"/>
  <c r="X1114" i="2"/>
  <c r="Z535" i="2"/>
  <c r="Y535" i="2"/>
  <c r="X535" i="2"/>
  <c r="Z1096" i="2"/>
  <c r="Y1096" i="2"/>
  <c r="X1096" i="2"/>
  <c r="Y70" i="2"/>
  <c r="X810" i="2"/>
  <c r="Y928" i="2"/>
  <c r="X216" i="2"/>
  <c r="Y579" i="2"/>
  <c r="X218" i="2"/>
  <c r="Y73" i="2"/>
  <c r="X468" i="2"/>
  <c r="Y225" i="2"/>
  <c r="X965" i="2"/>
  <c r="Y645" i="2"/>
  <c r="X76" i="2"/>
  <c r="Y966" i="2"/>
  <c r="X1171" i="2"/>
  <c r="Y1145" i="2"/>
  <c r="X397" i="2"/>
  <c r="Y79" i="2"/>
  <c r="X235" i="2"/>
  <c r="Y242" i="2"/>
  <c r="Y247" i="2"/>
  <c r="Z1114" i="2"/>
  <c r="Z87" i="2"/>
  <c r="Y87" i="2"/>
  <c r="X87" i="2"/>
  <c r="Z1283" i="2"/>
  <c r="Y1283" i="2"/>
  <c r="X1283" i="2"/>
  <c r="Z431" i="2"/>
  <c r="Y431" i="2"/>
  <c r="X431" i="2"/>
  <c r="Z856" i="2"/>
  <c r="Y856" i="2"/>
  <c r="X856" i="2"/>
  <c r="Z995" i="2"/>
  <c r="Y995" i="2"/>
  <c r="X665" i="2"/>
  <c r="Z665" i="2"/>
  <c r="X787" i="2"/>
  <c r="Z790" i="2"/>
  <c r="Y790" i="2"/>
  <c r="X790" i="2"/>
  <c r="Z473" i="2"/>
  <c r="Y473" i="2"/>
  <c r="X473" i="2"/>
  <c r="Z861" i="2"/>
  <c r="Y861" i="2"/>
  <c r="X861" i="2"/>
  <c r="Y253" i="2"/>
  <c r="Y80" i="2"/>
  <c r="Y257" i="2"/>
  <c r="Y1134" i="2"/>
  <c r="Y406" i="2"/>
  <c r="Y766" i="2"/>
  <c r="Y411" i="2"/>
  <c r="Y811" i="2"/>
  <c r="Z549" i="2"/>
  <c r="Y85" i="2"/>
  <c r="Z981" i="2"/>
  <c r="Y936" i="2"/>
  <c r="Z1072" i="2"/>
  <c r="Y562" i="2"/>
  <c r="Z696" i="2"/>
  <c r="Y88" i="2"/>
  <c r="Z1275" i="2"/>
  <c r="Y263" i="2"/>
  <c r="Z125" i="2"/>
  <c r="Y655" i="2"/>
  <c r="Z1279" i="2"/>
  <c r="Y1280" i="2"/>
  <c r="Z424" i="2"/>
  <c r="Y1091" i="2"/>
  <c r="Z1281" i="2"/>
  <c r="Y93" i="2"/>
  <c r="Z1285" i="2"/>
  <c r="Y897" i="2"/>
  <c r="Z97" i="2"/>
  <c r="Y901" i="2"/>
  <c r="Z908" i="2"/>
  <c r="Z941" i="2"/>
  <c r="Z580" i="2"/>
  <c r="Y679" i="2"/>
  <c r="Z433" i="2"/>
  <c r="Y1057" i="2"/>
  <c r="Z434" i="2"/>
  <c r="Y127" i="2"/>
  <c r="Z586" i="2"/>
  <c r="Y276" i="2"/>
  <c r="Z858" i="2"/>
  <c r="Y1175" i="2"/>
  <c r="Z277" i="2"/>
  <c r="Y1156" i="2"/>
  <c r="Z554" i="2"/>
  <c r="Y510" i="2"/>
  <c r="Z979" i="2"/>
  <c r="X128" i="2"/>
  <c r="X425" i="2"/>
  <c r="X267" i="2"/>
  <c r="X269" i="2"/>
  <c r="X429" i="2"/>
  <c r="X909" i="2"/>
  <c r="X1287" i="2"/>
  <c r="X432" i="2"/>
  <c r="X1288" i="2"/>
  <c r="X435" i="2"/>
  <c r="X439" i="2"/>
  <c r="X859" i="2"/>
  <c r="X445" i="2"/>
  <c r="X446" i="2"/>
  <c r="X980" i="2"/>
  <c r="Y666" i="2"/>
  <c r="Y403" i="2"/>
  <c r="Y260" i="2"/>
  <c r="Y948" i="2"/>
  <c r="Y105" i="2"/>
  <c r="Y932" i="2"/>
  <c r="X1272" i="2"/>
  <c r="Y550" i="2"/>
  <c r="X86" i="2"/>
  <c r="Y1132" i="2"/>
  <c r="X1067" i="2"/>
  <c r="Y1073" i="2"/>
  <c r="X563" i="2"/>
  <c r="Y937" i="2"/>
  <c r="X651" i="2"/>
  <c r="Y1276" i="2"/>
  <c r="X419" i="2"/>
  <c r="Y783" i="2"/>
  <c r="X1024" i="2"/>
  <c r="Y90" i="2"/>
  <c r="X755" i="2"/>
  <c r="Y425" i="2"/>
  <c r="X1092" i="2"/>
  <c r="Y267" i="2"/>
  <c r="X427" i="2"/>
  <c r="Y269" i="2"/>
  <c r="X898" i="2"/>
  <c r="Y429" i="2"/>
  <c r="X902" i="2"/>
  <c r="Y909" i="2"/>
  <c r="X914" i="2"/>
  <c r="Y1287" i="2"/>
  <c r="X1143" i="2"/>
  <c r="Y432" i="2"/>
  <c r="X273" i="2"/>
  <c r="Y1288" i="2"/>
  <c r="X1058" i="2"/>
  <c r="Y435" i="2"/>
  <c r="X436" i="2"/>
  <c r="Y439" i="2"/>
  <c r="X854" i="2"/>
  <c r="Y859" i="2"/>
  <c r="Y445" i="2"/>
  <c r="Y446" i="2"/>
  <c r="Y980" i="2"/>
  <c r="X256" i="2"/>
  <c r="X1268" i="2"/>
  <c r="X259" i="2"/>
  <c r="X1270" i="2"/>
  <c r="X872" i="2"/>
  <c r="X649" i="2"/>
  <c r="X414" i="2"/>
  <c r="Y1272" i="2"/>
  <c r="X261" i="2"/>
  <c r="Y86" i="2"/>
  <c r="X977" i="2"/>
  <c r="Y1067" i="2"/>
  <c r="X1071" i="2"/>
  <c r="Y563" i="2"/>
  <c r="X695" i="2"/>
  <c r="Y651" i="2"/>
  <c r="X124" i="2"/>
  <c r="Y419" i="2"/>
  <c r="X264" i="2"/>
  <c r="Y1024" i="2"/>
  <c r="X1025" i="2"/>
  <c r="Y755" i="2"/>
  <c r="X477" i="2"/>
  <c r="Y1092" i="2"/>
  <c r="X426" i="2"/>
  <c r="Y427" i="2"/>
  <c r="X1284" i="2"/>
  <c r="Y898" i="2"/>
  <c r="X270" i="2"/>
  <c r="Y902" i="2"/>
  <c r="X907" i="2"/>
  <c r="Y914" i="2"/>
  <c r="X1286" i="2"/>
  <c r="Y1143" i="2"/>
  <c r="X272" i="2"/>
  <c r="Y273" i="2"/>
  <c r="X274" i="2"/>
  <c r="Y1058" i="2"/>
  <c r="X1291" i="2"/>
  <c r="Y436" i="2"/>
  <c r="X102" i="2"/>
  <c r="Y854" i="2"/>
  <c r="X857" i="2"/>
  <c r="X444" i="2"/>
  <c r="X553" i="2"/>
  <c r="X978" i="2"/>
  <c r="Y256" i="2"/>
  <c r="X502" i="2"/>
  <c r="Y1268" i="2"/>
  <c r="X123" i="2"/>
  <c r="Y259" i="2"/>
  <c r="X1133" i="2"/>
  <c r="Y1270" i="2"/>
  <c r="X852" i="2"/>
  <c r="Y872" i="2"/>
  <c r="X765" i="2"/>
  <c r="Y649" i="2"/>
  <c r="X410" i="2"/>
  <c r="Y414" i="2"/>
  <c r="X935" i="2"/>
  <c r="Y261" i="2"/>
  <c r="X592" i="2"/>
  <c r="Y977" i="2"/>
  <c r="X262" i="2"/>
  <c r="Y1071" i="2"/>
  <c r="X561" i="2"/>
  <c r="Y695" i="2"/>
  <c r="X940" i="2"/>
  <c r="Y124" i="2"/>
  <c r="X418" i="2"/>
  <c r="Y264" i="2"/>
  <c r="Y1025" i="2"/>
  <c r="X656" i="2"/>
  <c r="Y477" i="2"/>
  <c r="X1090" i="2"/>
  <c r="Y426" i="2"/>
  <c r="X92" i="2"/>
  <c r="Y1284" i="2"/>
  <c r="X853" i="2"/>
  <c r="Y270" i="2"/>
  <c r="X430" i="2"/>
  <c r="Y907" i="2"/>
  <c r="X912" i="2"/>
  <c r="Y1286" i="2"/>
  <c r="X2" i="2"/>
  <c r="Y272" i="2"/>
  <c r="Y274" i="2"/>
  <c r="Y1291" i="2"/>
  <c r="Y102" i="2"/>
  <c r="Y857" i="2"/>
  <c r="Y444" i="2"/>
  <c r="Y553" i="2"/>
  <c r="Y978" i="2"/>
  <c r="X1022" i="2"/>
  <c r="X420" i="2"/>
  <c r="X421" i="2"/>
  <c r="X423" i="2"/>
  <c r="X94" i="2"/>
  <c r="AR51" i="2" l="1"/>
  <c r="AR39" i="2"/>
  <c r="AR50" i="2"/>
  <c r="AR38" i="2"/>
  <c r="AR49" i="2"/>
  <c r="AR37" i="2"/>
  <c r="AR48" i="2"/>
  <c r="AR36" i="2"/>
  <c r="AR47" i="2"/>
  <c r="AR35" i="2"/>
  <c r="AR46" i="2"/>
  <c r="AR34" i="2"/>
  <c r="AR45" i="2"/>
  <c r="AR33" i="2"/>
  <c r="AR44" i="2"/>
  <c r="AR32" i="2"/>
  <c r="AR43" i="2"/>
  <c r="AR31" i="2"/>
  <c r="AR41" i="2"/>
  <c r="AR42" i="2"/>
  <c r="AR30" i="2"/>
  <c r="AR29" i="2"/>
  <c r="AR40" i="2"/>
  <c r="AR28" i="2"/>
  <c r="AH5" i="2"/>
  <c r="AI4" i="2"/>
  <c r="AH6" i="2" l="1"/>
  <c r="AI5" i="2"/>
  <c r="AH7" i="2" l="1"/>
  <c r="AI6" i="2"/>
  <c r="AH8" i="2" l="1"/>
  <c r="AI7" i="2"/>
  <c r="AH9" i="2" l="1"/>
  <c r="AI8" i="2"/>
  <c r="AH10" i="2" l="1"/>
  <c r="AI9" i="2"/>
  <c r="AH11" i="2" l="1"/>
  <c r="AI10" i="2"/>
  <c r="AH12" i="2" l="1"/>
  <c r="AI11" i="2"/>
  <c r="AH13" i="2" l="1"/>
  <c r="AI12" i="2"/>
  <c r="AH14" i="2" l="1"/>
  <c r="AI13" i="2"/>
  <c r="AH15" i="2" l="1"/>
  <c r="AI14" i="2"/>
  <c r="AH16" i="2" l="1"/>
  <c r="AI15" i="2"/>
  <c r="AH17" i="2" l="1"/>
  <c r="AI16" i="2"/>
  <c r="AH18" i="2" l="1"/>
  <c r="AI17" i="2"/>
  <c r="AH19" i="2" l="1"/>
  <c r="AI18" i="2"/>
  <c r="AH20" i="2" l="1"/>
  <c r="AI19" i="2"/>
  <c r="AH21" i="2" l="1"/>
  <c r="AI20" i="2"/>
  <c r="AH22" i="2" l="1"/>
  <c r="AI21" i="2"/>
  <c r="AH23" i="2" l="1"/>
  <c r="AI22" i="2"/>
  <c r="AH24" i="2" l="1"/>
  <c r="AI23" i="2"/>
  <c r="AH25" i="2" l="1"/>
  <c r="AI24" i="2"/>
  <c r="AH26" i="2" l="1"/>
  <c r="AI25" i="2"/>
  <c r="AH27" i="2" l="1"/>
  <c r="AI26" i="2"/>
  <c r="AH28" i="2" l="1"/>
  <c r="AI27" i="2"/>
  <c r="AH29" i="2" l="1"/>
  <c r="AI28" i="2"/>
  <c r="AH30" i="2" l="1"/>
  <c r="AI29" i="2"/>
  <c r="AH31" i="2" l="1"/>
  <c r="AI30" i="2"/>
  <c r="AH32" i="2" l="1"/>
  <c r="AI31" i="2"/>
  <c r="AH33" i="2" l="1"/>
  <c r="AI32" i="2"/>
  <c r="AH34" i="2" l="1"/>
  <c r="AI33" i="2"/>
  <c r="AH35" i="2" l="1"/>
  <c r="AI34" i="2"/>
  <c r="AH36" i="2" l="1"/>
  <c r="AI35" i="2"/>
  <c r="AH37" i="2" l="1"/>
  <c r="AI36" i="2"/>
  <c r="AH38" i="2" l="1"/>
  <c r="AI37" i="2"/>
  <c r="AH39" i="2" l="1"/>
  <c r="AI38" i="2"/>
  <c r="AH40" i="2" l="1"/>
  <c r="AI39" i="2"/>
  <c r="AH41" i="2" l="1"/>
  <c r="AI40" i="2"/>
  <c r="AH42" i="2" l="1"/>
  <c r="AI41" i="2"/>
  <c r="AH43" i="2" l="1"/>
  <c r="AI42" i="2"/>
  <c r="AH44" i="2" l="1"/>
  <c r="AI43" i="2"/>
  <c r="AH45" i="2" l="1"/>
  <c r="AI44" i="2"/>
  <c r="AH46" i="2" l="1"/>
  <c r="AI45" i="2"/>
  <c r="AH47" i="2" l="1"/>
  <c r="AI46" i="2"/>
  <c r="AH48" i="2" l="1"/>
  <c r="AI47" i="2"/>
  <c r="AH49" i="2" l="1"/>
  <c r="AI48" i="2"/>
  <c r="AH50" i="2" l="1"/>
  <c r="AI49" i="2"/>
  <c r="AH51" i="2" l="1"/>
  <c r="AI50" i="2"/>
  <c r="AH52" i="2" l="1"/>
  <c r="AI51" i="2"/>
  <c r="AH53" i="2" l="1"/>
  <c r="AI52" i="2"/>
  <c r="AH54" i="2" l="1"/>
  <c r="AI53" i="2"/>
  <c r="AH55" i="2" l="1"/>
  <c r="AI54" i="2"/>
  <c r="AH56" i="2" l="1"/>
  <c r="AI55" i="2"/>
  <c r="AH57" i="2" l="1"/>
  <c r="AI56" i="2"/>
  <c r="AH58" i="2" l="1"/>
  <c r="AI57" i="2"/>
  <c r="AH59" i="2" l="1"/>
  <c r="AI58" i="2"/>
  <c r="AH60" i="2" l="1"/>
  <c r="AI59" i="2"/>
  <c r="AH61" i="2" l="1"/>
  <c r="AI60" i="2"/>
  <c r="AH62" i="2" l="1"/>
  <c r="AI61" i="2"/>
  <c r="AH63" i="2" l="1"/>
  <c r="AI62" i="2"/>
  <c r="AH64" i="2" l="1"/>
  <c r="AI63" i="2"/>
  <c r="AH65" i="2" l="1"/>
  <c r="AI64" i="2"/>
  <c r="AH66" i="2" l="1"/>
  <c r="AI65" i="2"/>
  <c r="AH67" i="2" l="1"/>
  <c r="AI66" i="2"/>
  <c r="AH68" i="2" l="1"/>
  <c r="AI67" i="2"/>
  <c r="AH69" i="2" l="1"/>
  <c r="AI68" i="2"/>
  <c r="AH70" i="2" l="1"/>
  <c r="AI69" i="2"/>
  <c r="AH71" i="2" l="1"/>
  <c r="AI70" i="2"/>
  <c r="AH72" i="2" l="1"/>
  <c r="AI71" i="2"/>
  <c r="AH73" i="2" l="1"/>
  <c r="AI72" i="2"/>
  <c r="AH74" i="2" l="1"/>
  <c r="AI73" i="2"/>
  <c r="AH75" i="2" l="1"/>
  <c r="AI74" i="2"/>
  <c r="AH76" i="2" l="1"/>
  <c r="AI75" i="2"/>
  <c r="AH77" i="2" l="1"/>
  <c r="AI76" i="2"/>
  <c r="AH78" i="2" l="1"/>
  <c r="AI77" i="2"/>
  <c r="AH79" i="2" l="1"/>
  <c r="AI78" i="2"/>
  <c r="AH80" i="2" l="1"/>
  <c r="AI79" i="2"/>
  <c r="AH81" i="2" l="1"/>
  <c r="AI80" i="2"/>
  <c r="AH82" i="2" l="1"/>
  <c r="AI81" i="2"/>
  <c r="AH83" i="2" l="1"/>
  <c r="AI82" i="2"/>
  <c r="AH84" i="2" l="1"/>
  <c r="AI83" i="2"/>
  <c r="AH85" i="2" l="1"/>
  <c r="AI84" i="2"/>
  <c r="AH86" i="2" l="1"/>
  <c r="AI85" i="2"/>
  <c r="AH87" i="2" l="1"/>
  <c r="AI86" i="2"/>
  <c r="AH88" i="2" l="1"/>
  <c r="AI87" i="2"/>
  <c r="AH89" i="2" l="1"/>
  <c r="AI88" i="2"/>
  <c r="AH90" i="2" l="1"/>
  <c r="AI89" i="2"/>
  <c r="AH91" i="2" l="1"/>
  <c r="AI90" i="2"/>
  <c r="AH92" i="2" l="1"/>
  <c r="AI91" i="2"/>
  <c r="AH93" i="2" l="1"/>
  <c r="AI92" i="2"/>
  <c r="AH94" i="2" l="1"/>
  <c r="AI93" i="2"/>
  <c r="AH95" i="2" l="1"/>
  <c r="AI94" i="2"/>
  <c r="AH96" i="2" l="1"/>
  <c r="AI95" i="2"/>
  <c r="AH97" i="2" l="1"/>
  <c r="AI96" i="2"/>
  <c r="AH98" i="2" l="1"/>
  <c r="AI97" i="2"/>
  <c r="AH99" i="2" l="1"/>
  <c r="AI98" i="2"/>
  <c r="AH100" i="2" l="1"/>
  <c r="AI99" i="2"/>
  <c r="AH101" i="2" l="1"/>
  <c r="AI100" i="2"/>
  <c r="AH102" i="2" l="1"/>
  <c r="AI101" i="2"/>
  <c r="AH103" i="2" l="1"/>
  <c r="AI102" i="2"/>
  <c r="AH104" i="2" l="1"/>
  <c r="AI103" i="2"/>
  <c r="AH105" i="2" l="1"/>
  <c r="AI104" i="2"/>
  <c r="AH106" i="2" l="1"/>
  <c r="AI105" i="2"/>
  <c r="AH107" i="2" l="1"/>
  <c r="AI106" i="2"/>
  <c r="AH108" i="2" l="1"/>
  <c r="AI107" i="2"/>
  <c r="AH109" i="2" l="1"/>
  <c r="AI108" i="2"/>
  <c r="AH110" i="2" l="1"/>
  <c r="AI109" i="2"/>
  <c r="AH111" i="2" l="1"/>
  <c r="AI110" i="2"/>
  <c r="AH112" i="2" l="1"/>
  <c r="AI111" i="2"/>
  <c r="AH113" i="2" l="1"/>
  <c r="AI112" i="2"/>
  <c r="AH114" i="2" l="1"/>
  <c r="AI113" i="2"/>
  <c r="AH115" i="2" l="1"/>
  <c r="AI114" i="2"/>
  <c r="AH116" i="2" l="1"/>
  <c r="AI115" i="2"/>
  <c r="AH117" i="2" l="1"/>
  <c r="AI116" i="2"/>
  <c r="AH118" i="2" l="1"/>
  <c r="AI117" i="2"/>
  <c r="AH119" i="2" l="1"/>
  <c r="AI118" i="2"/>
  <c r="AH120" i="2" l="1"/>
  <c r="AI119" i="2"/>
  <c r="AH121" i="2" l="1"/>
  <c r="AI120" i="2"/>
  <c r="AH122" i="2" l="1"/>
  <c r="AI121" i="2"/>
  <c r="AH123" i="2" l="1"/>
  <c r="AI122" i="2"/>
  <c r="AH124" i="2" l="1"/>
  <c r="AI123" i="2"/>
  <c r="AH125" i="2" l="1"/>
  <c r="AI124" i="2"/>
  <c r="AH126" i="2" l="1"/>
  <c r="AI125" i="2"/>
  <c r="AH127" i="2" l="1"/>
  <c r="AI126" i="2"/>
  <c r="AH128" i="2" l="1"/>
  <c r="AI127" i="2"/>
  <c r="AH129" i="2" l="1"/>
  <c r="AI128" i="2"/>
  <c r="AH130" i="2" l="1"/>
  <c r="AI129" i="2"/>
  <c r="AH131" i="2" l="1"/>
  <c r="AI130" i="2"/>
  <c r="AH132" i="2" l="1"/>
  <c r="AI131" i="2"/>
  <c r="AH133" i="2" l="1"/>
  <c r="AI132" i="2"/>
  <c r="AH134" i="2" l="1"/>
  <c r="AI133" i="2"/>
  <c r="AH135" i="2" l="1"/>
  <c r="AI134" i="2"/>
  <c r="AH136" i="2" l="1"/>
  <c r="AI135" i="2"/>
  <c r="AH137" i="2" l="1"/>
  <c r="AI136" i="2"/>
  <c r="AH138" i="2" l="1"/>
  <c r="AI137" i="2"/>
  <c r="AH139" i="2" l="1"/>
  <c r="AI138" i="2"/>
  <c r="AH140" i="2" l="1"/>
  <c r="AI139" i="2"/>
  <c r="AH141" i="2" l="1"/>
  <c r="AI140" i="2"/>
  <c r="AH142" i="2" l="1"/>
  <c r="AI141" i="2"/>
  <c r="AH143" i="2" l="1"/>
  <c r="AI142" i="2"/>
  <c r="AH144" i="2" l="1"/>
  <c r="AI143" i="2"/>
  <c r="AH145" i="2" l="1"/>
  <c r="AI144" i="2"/>
  <c r="AH146" i="2" l="1"/>
  <c r="AI145" i="2"/>
  <c r="AH147" i="2" l="1"/>
  <c r="AI146" i="2"/>
  <c r="AH148" i="2" l="1"/>
  <c r="AI147" i="2"/>
  <c r="AH149" i="2" l="1"/>
  <c r="AI148" i="2"/>
  <c r="AH150" i="2" l="1"/>
  <c r="AI149" i="2"/>
  <c r="AH151" i="2" l="1"/>
  <c r="AI150" i="2"/>
  <c r="AH152" i="2" l="1"/>
  <c r="AI151" i="2"/>
  <c r="AH153" i="2" l="1"/>
  <c r="AI152" i="2"/>
  <c r="AH154" i="2" l="1"/>
  <c r="AI153" i="2"/>
  <c r="AH155" i="2" l="1"/>
  <c r="AI154" i="2"/>
  <c r="AH156" i="2" l="1"/>
  <c r="AI155" i="2"/>
  <c r="AH157" i="2" l="1"/>
  <c r="AI156" i="2"/>
  <c r="AH158" i="2" l="1"/>
  <c r="AI157" i="2"/>
  <c r="AH159" i="2" l="1"/>
  <c r="AI158" i="2"/>
  <c r="AH160" i="2" l="1"/>
  <c r="AI159" i="2"/>
  <c r="AH161" i="2" l="1"/>
  <c r="AI160" i="2"/>
  <c r="AH162" i="2" l="1"/>
  <c r="AI161" i="2"/>
  <c r="AH163" i="2" l="1"/>
  <c r="AI162" i="2"/>
  <c r="AH164" i="2" l="1"/>
  <c r="AI163" i="2"/>
  <c r="AH165" i="2" l="1"/>
  <c r="AI164" i="2"/>
  <c r="AH166" i="2" l="1"/>
  <c r="AI165" i="2"/>
  <c r="AH167" i="2" l="1"/>
  <c r="AI166" i="2"/>
  <c r="AH168" i="2" l="1"/>
  <c r="AI167" i="2"/>
  <c r="AH169" i="2" l="1"/>
  <c r="AI168" i="2"/>
  <c r="AH170" i="2" l="1"/>
  <c r="AI169" i="2"/>
  <c r="AH171" i="2" l="1"/>
  <c r="AI170" i="2"/>
  <c r="AH172" i="2" l="1"/>
  <c r="AI171" i="2"/>
  <c r="AH173" i="2" l="1"/>
  <c r="AI172" i="2"/>
  <c r="AH174" i="2" l="1"/>
  <c r="AI173" i="2"/>
  <c r="AH175" i="2" l="1"/>
  <c r="AI174" i="2"/>
  <c r="AH176" i="2" l="1"/>
  <c r="AI175" i="2"/>
  <c r="AH177" i="2" l="1"/>
  <c r="AI176" i="2"/>
  <c r="AH178" i="2" l="1"/>
  <c r="AI177" i="2"/>
  <c r="AH179" i="2" l="1"/>
  <c r="AI178" i="2"/>
  <c r="AH180" i="2" l="1"/>
  <c r="AI179" i="2"/>
  <c r="AH181" i="2" l="1"/>
  <c r="AI180" i="2"/>
  <c r="AH182" i="2" l="1"/>
  <c r="AI181" i="2"/>
  <c r="AH183" i="2" l="1"/>
  <c r="AI182" i="2"/>
  <c r="AH184" i="2" l="1"/>
  <c r="AI183" i="2"/>
  <c r="AH185" i="2" l="1"/>
  <c r="AI184" i="2"/>
  <c r="AH186" i="2" l="1"/>
  <c r="AI185" i="2"/>
  <c r="AH187" i="2" l="1"/>
  <c r="AI186" i="2"/>
  <c r="AH188" i="2" l="1"/>
  <c r="AI187" i="2"/>
  <c r="AH189" i="2" l="1"/>
  <c r="AI188" i="2"/>
  <c r="AH190" i="2" l="1"/>
  <c r="AI189" i="2"/>
  <c r="AH191" i="2" l="1"/>
  <c r="AI190" i="2"/>
  <c r="AH192" i="2" l="1"/>
  <c r="AI191" i="2"/>
  <c r="AH193" i="2" l="1"/>
  <c r="AI192" i="2"/>
  <c r="AH194" i="2" l="1"/>
  <c r="AI193" i="2"/>
  <c r="AH195" i="2" l="1"/>
  <c r="AI194" i="2"/>
  <c r="AH196" i="2" l="1"/>
  <c r="AI195" i="2"/>
  <c r="AH197" i="2" l="1"/>
  <c r="AI196" i="2"/>
  <c r="AH198" i="2" l="1"/>
  <c r="AI197" i="2"/>
  <c r="AH199" i="2" l="1"/>
  <c r="AI198" i="2"/>
  <c r="AH200" i="2" l="1"/>
  <c r="AI199" i="2"/>
  <c r="AH201" i="2" l="1"/>
  <c r="AI200" i="2"/>
  <c r="AH202" i="2" l="1"/>
  <c r="AI201" i="2"/>
  <c r="AH203" i="2" l="1"/>
  <c r="AI202" i="2"/>
  <c r="AH204" i="2" l="1"/>
  <c r="AI203" i="2"/>
  <c r="AH205" i="2" l="1"/>
  <c r="AI204" i="2"/>
  <c r="AH206" i="2" l="1"/>
  <c r="AI205" i="2"/>
  <c r="AH207" i="2" l="1"/>
  <c r="AI206" i="2"/>
  <c r="AH208" i="2" l="1"/>
  <c r="AI207" i="2"/>
  <c r="AH209" i="2" l="1"/>
  <c r="AI208" i="2"/>
  <c r="AH210" i="2" l="1"/>
  <c r="AI209" i="2"/>
  <c r="AH211" i="2" l="1"/>
  <c r="AI210" i="2"/>
  <c r="AH212" i="2" l="1"/>
  <c r="AI211" i="2"/>
  <c r="AH213" i="2" l="1"/>
  <c r="AI212" i="2"/>
  <c r="AH214" i="2" l="1"/>
  <c r="AI213" i="2"/>
  <c r="AH215" i="2" l="1"/>
  <c r="AI214" i="2"/>
  <c r="AH216" i="2" l="1"/>
  <c r="AI215" i="2"/>
  <c r="AH217" i="2" l="1"/>
  <c r="AI216" i="2"/>
  <c r="AH218" i="2" l="1"/>
  <c r="AI217" i="2"/>
  <c r="AH219" i="2" l="1"/>
  <c r="AI218" i="2"/>
  <c r="AH220" i="2" l="1"/>
  <c r="AI219" i="2"/>
  <c r="AH221" i="2" l="1"/>
  <c r="AI220" i="2"/>
  <c r="AH222" i="2" l="1"/>
  <c r="AI221" i="2"/>
  <c r="AH223" i="2" l="1"/>
  <c r="AI222" i="2"/>
  <c r="AH224" i="2" l="1"/>
  <c r="AI223" i="2"/>
  <c r="AH225" i="2" l="1"/>
  <c r="AI224" i="2"/>
  <c r="AH226" i="2" l="1"/>
  <c r="AI225" i="2"/>
  <c r="AH227" i="2" l="1"/>
  <c r="AI226" i="2"/>
  <c r="AH228" i="2" l="1"/>
  <c r="AI227" i="2"/>
  <c r="AH229" i="2" l="1"/>
  <c r="AI228" i="2"/>
  <c r="AH230" i="2" l="1"/>
  <c r="AI229" i="2"/>
  <c r="AH231" i="2" l="1"/>
  <c r="AI230" i="2"/>
  <c r="AH232" i="2" l="1"/>
  <c r="AI231" i="2"/>
  <c r="AH233" i="2" l="1"/>
  <c r="AI232" i="2"/>
  <c r="AH234" i="2" l="1"/>
  <c r="AI233" i="2"/>
  <c r="AH235" i="2" l="1"/>
  <c r="AI234" i="2"/>
  <c r="AH236" i="2" l="1"/>
  <c r="AI235" i="2"/>
  <c r="AH237" i="2" l="1"/>
  <c r="AI236" i="2"/>
  <c r="AH238" i="2" l="1"/>
  <c r="AI237" i="2"/>
  <c r="AH239" i="2" l="1"/>
  <c r="AI238" i="2"/>
  <c r="AH240" i="2" l="1"/>
  <c r="AI239" i="2"/>
  <c r="AH241" i="2" l="1"/>
  <c r="AI240" i="2"/>
  <c r="AH242" i="2" l="1"/>
  <c r="AI241" i="2"/>
  <c r="AH243" i="2" l="1"/>
  <c r="AI242" i="2"/>
  <c r="AH244" i="2" l="1"/>
  <c r="AI243" i="2"/>
  <c r="AH245" i="2" l="1"/>
  <c r="AI244" i="2"/>
  <c r="AH246" i="2" l="1"/>
  <c r="AI245" i="2"/>
  <c r="AH247" i="2" l="1"/>
  <c r="AI246" i="2"/>
  <c r="AH248" i="2" l="1"/>
  <c r="AI247" i="2"/>
  <c r="AH249" i="2" l="1"/>
  <c r="AI248" i="2"/>
  <c r="AH250" i="2" l="1"/>
  <c r="AI249" i="2"/>
  <c r="AH251" i="2" l="1"/>
  <c r="AI250" i="2"/>
  <c r="AH252" i="2" l="1"/>
  <c r="AI251" i="2"/>
  <c r="AH253" i="2" l="1"/>
  <c r="AI252" i="2"/>
  <c r="AH254" i="2" l="1"/>
  <c r="AI253" i="2"/>
  <c r="AH255" i="2" l="1"/>
  <c r="AI254" i="2"/>
  <c r="AH256" i="2" l="1"/>
  <c r="AI255" i="2"/>
  <c r="AH257" i="2" l="1"/>
  <c r="AI256" i="2"/>
  <c r="AH258" i="2" l="1"/>
  <c r="AI257" i="2"/>
  <c r="AH259" i="2" l="1"/>
  <c r="AI258" i="2"/>
  <c r="AH260" i="2" l="1"/>
  <c r="AI259" i="2"/>
  <c r="AH261" i="2" l="1"/>
  <c r="AI260" i="2"/>
  <c r="AH262" i="2" l="1"/>
  <c r="AI261" i="2"/>
  <c r="AH263" i="2" l="1"/>
  <c r="AI262" i="2"/>
  <c r="AH264" i="2" l="1"/>
  <c r="AI263" i="2"/>
  <c r="AH265" i="2" l="1"/>
  <c r="AI264" i="2"/>
  <c r="AH266" i="2" l="1"/>
  <c r="AI265" i="2"/>
  <c r="AH267" i="2" l="1"/>
  <c r="AI266" i="2"/>
  <c r="AH268" i="2" l="1"/>
  <c r="AI267" i="2"/>
  <c r="AH269" i="2" l="1"/>
  <c r="AI268" i="2"/>
  <c r="AH270" i="2" l="1"/>
  <c r="AI269" i="2"/>
  <c r="AH271" i="2" l="1"/>
  <c r="AI270" i="2"/>
  <c r="AH272" i="2" l="1"/>
  <c r="AI271" i="2"/>
  <c r="AH273" i="2" l="1"/>
  <c r="AI272" i="2"/>
  <c r="AH274" i="2" l="1"/>
  <c r="AI273" i="2"/>
  <c r="AH275" i="2" l="1"/>
  <c r="AI274" i="2"/>
  <c r="AH276" i="2" l="1"/>
  <c r="AI275" i="2"/>
  <c r="AH277" i="2" l="1"/>
  <c r="AI276" i="2"/>
  <c r="AH278" i="2" l="1"/>
  <c r="AI277" i="2"/>
  <c r="AH279" i="2" l="1"/>
  <c r="AI278" i="2"/>
  <c r="AH280" i="2" l="1"/>
  <c r="AI279" i="2"/>
  <c r="AH281" i="2" l="1"/>
  <c r="AI280" i="2"/>
  <c r="AH282" i="2" l="1"/>
  <c r="AI281" i="2"/>
  <c r="AH283" i="2" l="1"/>
  <c r="AI282" i="2"/>
  <c r="AH284" i="2" l="1"/>
  <c r="AI283" i="2"/>
  <c r="AH285" i="2" l="1"/>
  <c r="AI284" i="2"/>
  <c r="AH286" i="2" l="1"/>
  <c r="AI285" i="2"/>
  <c r="AH287" i="2" l="1"/>
  <c r="AI286" i="2"/>
  <c r="AH288" i="2" l="1"/>
  <c r="AI287" i="2"/>
  <c r="AH289" i="2" l="1"/>
  <c r="AI288" i="2"/>
  <c r="AH290" i="2" l="1"/>
  <c r="AI289" i="2"/>
  <c r="AH291" i="2" l="1"/>
  <c r="AI290" i="2"/>
  <c r="AH292" i="2" l="1"/>
  <c r="AI291" i="2"/>
  <c r="AH293" i="2" l="1"/>
  <c r="AI292" i="2"/>
  <c r="AH294" i="2" l="1"/>
  <c r="AI293" i="2"/>
  <c r="AH295" i="2" l="1"/>
  <c r="AI294" i="2"/>
  <c r="AH296" i="2" l="1"/>
  <c r="AI295" i="2"/>
  <c r="AH297" i="2" l="1"/>
  <c r="AI296" i="2"/>
  <c r="AH298" i="2" l="1"/>
  <c r="AI297" i="2"/>
  <c r="AH299" i="2" l="1"/>
  <c r="AI298" i="2"/>
  <c r="AH300" i="2" l="1"/>
  <c r="AI299" i="2"/>
  <c r="AH301" i="2" l="1"/>
  <c r="AI300" i="2"/>
  <c r="AH302" i="2" l="1"/>
  <c r="AI301" i="2"/>
  <c r="AH303" i="2" l="1"/>
  <c r="AI302" i="2"/>
  <c r="AH304" i="2" l="1"/>
  <c r="AI303" i="2"/>
  <c r="AH305" i="2" l="1"/>
  <c r="AI304" i="2"/>
  <c r="AH306" i="2" l="1"/>
  <c r="AI305" i="2"/>
  <c r="AH307" i="2" l="1"/>
  <c r="AI306" i="2"/>
  <c r="AH308" i="2" l="1"/>
  <c r="AI307" i="2"/>
  <c r="AH309" i="2" l="1"/>
  <c r="AI308" i="2"/>
  <c r="AH310" i="2" l="1"/>
  <c r="AI309" i="2"/>
  <c r="AH311" i="2" l="1"/>
  <c r="AI310" i="2"/>
  <c r="AH312" i="2" l="1"/>
  <c r="AI311" i="2"/>
  <c r="AH313" i="2" l="1"/>
  <c r="AI312" i="2"/>
  <c r="AH314" i="2" l="1"/>
  <c r="AI313" i="2"/>
  <c r="AH315" i="2" l="1"/>
  <c r="AI314" i="2"/>
  <c r="AH316" i="2" l="1"/>
  <c r="AI315" i="2"/>
  <c r="AH317" i="2" l="1"/>
  <c r="AI316" i="2"/>
  <c r="AH318" i="2" l="1"/>
  <c r="AI317" i="2"/>
  <c r="AH319" i="2" l="1"/>
  <c r="AI318" i="2"/>
  <c r="AH320" i="2" l="1"/>
  <c r="AI319" i="2"/>
  <c r="AH321" i="2" l="1"/>
  <c r="AI320" i="2"/>
  <c r="AH322" i="2" l="1"/>
  <c r="AI321" i="2"/>
  <c r="AH323" i="2" l="1"/>
  <c r="AI322" i="2"/>
  <c r="AH324" i="2" l="1"/>
  <c r="AI323" i="2"/>
  <c r="AH325" i="2" l="1"/>
  <c r="AI324" i="2"/>
  <c r="AH326" i="2" l="1"/>
  <c r="AI325" i="2"/>
  <c r="AH327" i="2" l="1"/>
  <c r="AI326" i="2"/>
  <c r="AH328" i="2" l="1"/>
  <c r="AI327" i="2"/>
  <c r="AH329" i="2" l="1"/>
  <c r="AI328" i="2"/>
  <c r="AH330" i="2" l="1"/>
  <c r="AI329" i="2"/>
  <c r="AH331" i="2" l="1"/>
  <c r="AI330" i="2"/>
  <c r="AH332" i="2" l="1"/>
  <c r="AI331" i="2"/>
  <c r="AH333" i="2" l="1"/>
  <c r="AI332" i="2"/>
  <c r="AH334" i="2" l="1"/>
  <c r="AI333" i="2"/>
  <c r="AH335" i="2" l="1"/>
  <c r="AI334" i="2"/>
  <c r="AH336" i="2" l="1"/>
  <c r="AI335" i="2"/>
  <c r="AH337" i="2" l="1"/>
  <c r="AI336" i="2"/>
  <c r="AH338" i="2" l="1"/>
  <c r="AI337" i="2"/>
  <c r="AH339" i="2" l="1"/>
  <c r="AI338" i="2"/>
  <c r="AH340" i="2" l="1"/>
  <c r="AI339" i="2"/>
  <c r="AH341" i="2" l="1"/>
  <c r="AI340" i="2"/>
  <c r="AH342" i="2" l="1"/>
  <c r="AI341" i="2"/>
  <c r="AH343" i="2" l="1"/>
  <c r="AI342" i="2"/>
  <c r="AH344" i="2" l="1"/>
  <c r="AI343" i="2"/>
  <c r="AH345" i="2" l="1"/>
  <c r="AI344" i="2"/>
  <c r="AH346" i="2" l="1"/>
  <c r="AI345" i="2"/>
  <c r="AH347" i="2" l="1"/>
  <c r="AI346" i="2"/>
  <c r="AH348" i="2" l="1"/>
  <c r="AI347" i="2"/>
  <c r="AH349" i="2" l="1"/>
  <c r="AI348" i="2"/>
  <c r="AH350" i="2" l="1"/>
  <c r="AI349" i="2"/>
  <c r="AH351" i="2" l="1"/>
  <c r="AI350" i="2"/>
  <c r="AH352" i="2" l="1"/>
  <c r="AI351" i="2"/>
  <c r="AH353" i="2" l="1"/>
  <c r="AI352" i="2"/>
  <c r="AH354" i="2" l="1"/>
  <c r="AI353" i="2"/>
  <c r="AH355" i="2" l="1"/>
  <c r="AI354" i="2"/>
  <c r="AH356" i="2" l="1"/>
  <c r="AI355" i="2"/>
  <c r="AH357" i="2" l="1"/>
  <c r="AI356" i="2"/>
  <c r="AH358" i="2" l="1"/>
  <c r="AI357" i="2"/>
  <c r="AH359" i="2" l="1"/>
  <c r="AI358" i="2"/>
  <c r="AH360" i="2" l="1"/>
  <c r="AI359" i="2"/>
  <c r="AH361" i="2" l="1"/>
  <c r="AI360" i="2"/>
  <c r="AH362" i="2" l="1"/>
  <c r="AI361" i="2"/>
  <c r="AH363" i="2" l="1"/>
  <c r="AI362" i="2"/>
  <c r="AH364" i="2" l="1"/>
  <c r="AI363" i="2"/>
  <c r="AH365" i="2" l="1"/>
  <c r="AI364" i="2"/>
  <c r="AH366" i="2" l="1"/>
  <c r="AI365" i="2"/>
  <c r="AH367" i="2" l="1"/>
  <c r="AI366" i="2"/>
  <c r="AH368" i="2" l="1"/>
  <c r="AI367" i="2"/>
  <c r="AH369" i="2" l="1"/>
  <c r="AI368" i="2"/>
  <c r="AH370" i="2" l="1"/>
  <c r="AI369" i="2"/>
  <c r="AH371" i="2" l="1"/>
  <c r="AI370" i="2"/>
  <c r="AH372" i="2" l="1"/>
  <c r="AI371" i="2"/>
  <c r="AH373" i="2" l="1"/>
  <c r="AI372" i="2"/>
  <c r="AH374" i="2" l="1"/>
  <c r="AI373" i="2"/>
  <c r="AH375" i="2" l="1"/>
  <c r="AI374" i="2"/>
  <c r="AH376" i="2" l="1"/>
  <c r="AI375" i="2"/>
  <c r="AH377" i="2" l="1"/>
  <c r="AI376" i="2"/>
  <c r="AH378" i="2" l="1"/>
  <c r="AI377" i="2"/>
  <c r="AH379" i="2" l="1"/>
  <c r="AI378" i="2"/>
  <c r="AH380" i="2" l="1"/>
  <c r="AI379" i="2"/>
  <c r="AH381" i="2" l="1"/>
  <c r="AI380" i="2"/>
  <c r="AH382" i="2" l="1"/>
  <c r="AI381" i="2"/>
  <c r="AH383" i="2" l="1"/>
  <c r="AI382" i="2"/>
  <c r="AH384" i="2" l="1"/>
  <c r="AI383" i="2"/>
  <c r="AH385" i="2" l="1"/>
  <c r="AI384" i="2"/>
  <c r="AH386" i="2" l="1"/>
  <c r="AI385" i="2"/>
  <c r="AH387" i="2" l="1"/>
  <c r="AI386" i="2"/>
  <c r="AH388" i="2" l="1"/>
  <c r="AI387" i="2"/>
  <c r="AH389" i="2" l="1"/>
  <c r="AI388" i="2"/>
  <c r="AH390" i="2" l="1"/>
  <c r="AI389" i="2"/>
  <c r="AH391" i="2" l="1"/>
  <c r="AI390" i="2"/>
  <c r="AH392" i="2" l="1"/>
  <c r="AI391" i="2"/>
  <c r="AH393" i="2" l="1"/>
  <c r="AI392" i="2"/>
  <c r="AH394" i="2" l="1"/>
  <c r="AI393" i="2"/>
  <c r="AH395" i="2" l="1"/>
  <c r="AI394" i="2"/>
  <c r="AH396" i="2" l="1"/>
  <c r="AI395" i="2"/>
  <c r="AH397" i="2" l="1"/>
  <c r="AI396" i="2"/>
  <c r="AH398" i="2" l="1"/>
  <c r="AI397" i="2"/>
  <c r="AH399" i="2" l="1"/>
  <c r="AI398" i="2"/>
  <c r="AH400" i="2" l="1"/>
  <c r="AI399" i="2"/>
  <c r="AH401" i="2" l="1"/>
  <c r="AI400" i="2"/>
  <c r="AH402" i="2" l="1"/>
  <c r="AI401" i="2"/>
  <c r="AH403" i="2" l="1"/>
  <c r="AI402" i="2"/>
  <c r="AH404" i="2" l="1"/>
  <c r="AI403" i="2"/>
  <c r="AH405" i="2" l="1"/>
  <c r="AI404" i="2"/>
  <c r="AH406" i="2" l="1"/>
  <c r="AI405" i="2"/>
  <c r="AH407" i="2" l="1"/>
  <c r="AI406" i="2"/>
  <c r="AH408" i="2" l="1"/>
  <c r="AI407" i="2"/>
  <c r="AH409" i="2" l="1"/>
  <c r="AI408" i="2"/>
  <c r="AH410" i="2" l="1"/>
  <c r="AI409" i="2"/>
  <c r="AH411" i="2" l="1"/>
  <c r="AI410" i="2"/>
  <c r="AH412" i="2" l="1"/>
  <c r="AI411" i="2"/>
  <c r="AH413" i="2" l="1"/>
  <c r="AI412" i="2"/>
  <c r="AH414" i="2" l="1"/>
  <c r="AI413" i="2"/>
  <c r="AH415" i="2" l="1"/>
  <c r="AI414" i="2"/>
  <c r="AH416" i="2" l="1"/>
  <c r="AI415" i="2"/>
  <c r="AH417" i="2" l="1"/>
  <c r="AI416" i="2"/>
  <c r="AH418" i="2" l="1"/>
  <c r="AI417" i="2"/>
  <c r="AH419" i="2" l="1"/>
  <c r="AI418" i="2"/>
  <c r="AH420" i="2" l="1"/>
  <c r="AI419" i="2"/>
  <c r="AH421" i="2" l="1"/>
  <c r="AI420" i="2"/>
  <c r="AH422" i="2" l="1"/>
  <c r="AI421" i="2"/>
  <c r="AH423" i="2" l="1"/>
  <c r="AI422" i="2"/>
  <c r="AH424" i="2" l="1"/>
  <c r="AI423" i="2"/>
  <c r="AH425" i="2" l="1"/>
  <c r="AI424" i="2"/>
  <c r="AH426" i="2" l="1"/>
  <c r="AI425" i="2"/>
  <c r="AH427" i="2" l="1"/>
  <c r="AI426" i="2"/>
  <c r="AH428" i="2" l="1"/>
  <c r="AI427" i="2"/>
  <c r="AH429" i="2" l="1"/>
  <c r="AI428" i="2"/>
  <c r="AH430" i="2" l="1"/>
  <c r="AI429" i="2"/>
  <c r="AH431" i="2" l="1"/>
  <c r="AI430" i="2"/>
  <c r="AH432" i="2" l="1"/>
  <c r="AI431" i="2"/>
  <c r="AH433" i="2" l="1"/>
  <c r="AI432" i="2"/>
  <c r="AH434" i="2" l="1"/>
  <c r="AI433" i="2"/>
  <c r="AH435" i="2" l="1"/>
  <c r="AI434" i="2"/>
  <c r="AH436" i="2" l="1"/>
  <c r="AI435" i="2"/>
  <c r="AH437" i="2" l="1"/>
  <c r="AI436" i="2"/>
  <c r="AH438" i="2" l="1"/>
  <c r="AI437" i="2"/>
  <c r="AH439" i="2" l="1"/>
  <c r="AI438" i="2"/>
  <c r="AH440" i="2" l="1"/>
  <c r="AI439" i="2"/>
  <c r="AH441" i="2" l="1"/>
  <c r="AI440" i="2"/>
  <c r="AH442" i="2" l="1"/>
  <c r="AI441" i="2"/>
  <c r="AH443" i="2" l="1"/>
  <c r="AI442" i="2"/>
  <c r="AH444" i="2" l="1"/>
  <c r="AI443" i="2"/>
  <c r="AH445" i="2" l="1"/>
  <c r="AI444" i="2"/>
  <c r="AH446" i="2" l="1"/>
  <c r="AI445" i="2"/>
  <c r="AH447" i="2" l="1"/>
  <c r="AI446" i="2"/>
  <c r="AH448" i="2" l="1"/>
  <c r="AI447" i="2"/>
  <c r="AH449" i="2" l="1"/>
  <c r="AI448" i="2"/>
  <c r="AH450" i="2" l="1"/>
  <c r="AI449" i="2"/>
  <c r="AH451" i="2" l="1"/>
  <c r="AI450" i="2"/>
  <c r="AH452" i="2" l="1"/>
  <c r="AI451" i="2"/>
  <c r="AH453" i="2" l="1"/>
  <c r="AI452" i="2"/>
  <c r="AH454" i="2" l="1"/>
  <c r="AI453" i="2"/>
  <c r="AH455" i="2" l="1"/>
  <c r="AI454" i="2"/>
  <c r="AH456" i="2" l="1"/>
  <c r="AI455" i="2"/>
  <c r="AH457" i="2" l="1"/>
  <c r="AI456" i="2"/>
  <c r="AH458" i="2" l="1"/>
  <c r="AI457" i="2"/>
  <c r="AH459" i="2" l="1"/>
  <c r="AI458" i="2"/>
  <c r="AH460" i="2" l="1"/>
  <c r="AI459" i="2"/>
  <c r="AH461" i="2" l="1"/>
  <c r="AI460" i="2"/>
  <c r="AH462" i="2" l="1"/>
  <c r="AI461" i="2"/>
  <c r="AH463" i="2" l="1"/>
  <c r="AI462" i="2"/>
  <c r="AH464" i="2" l="1"/>
  <c r="AI463" i="2"/>
  <c r="AH465" i="2" l="1"/>
  <c r="AI464" i="2"/>
  <c r="AH466" i="2" l="1"/>
  <c r="AI465" i="2"/>
  <c r="AH467" i="2" l="1"/>
  <c r="AI466" i="2"/>
  <c r="AH468" i="2" l="1"/>
  <c r="AI467" i="2"/>
  <c r="AH469" i="2" l="1"/>
  <c r="AI468" i="2"/>
  <c r="AH470" i="2" l="1"/>
  <c r="AI469" i="2"/>
  <c r="AH471" i="2" l="1"/>
  <c r="AI470" i="2"/>
  <c r="AH472" i="2" l="1"/>
  <c r="AI471" i="2"/>
  <c r="AH473" i="2" l="1"/>
  <c r="AI472" i="2"/>
  <c r="AH474" i="2" l="1"/>
  <c r="AI473" i="2"/>
  <c r="AH475" i="2" l="1"/>
  <c r="AI474" i="2"/>
  <c r="AH476" i="2" l="1"/>
  <c r="AI475" i="2"/>
  <c r="AH477" i="2" l="1"/>
  <c r="AI476" i="2"/>
  <c r="AH478" i="2" l="1"/>
  <c r="AI477" i="2"/>
  <c r="AH479" i="2" l="1"/>
  <c r="AI478" i="2"/>
  <c r="AH480" i="2" l="1"/>
  <c r="AI479" i="2"/>
  <c r="AH481" i="2" l="1"/>
  <c r="AI480" i="2"/>
  <c r="AH482" i="2" l="1"/>
  <c r="AI481" i="2"/>
  <c r="AH483" i="2" l="1"/>
  <c r="AI482" i="2"/>
  <c r="AH484" i="2" l="1"/>
  <c r="AI483" i="2"/>
  <c r="AH485" i="2" l="1"/>
  <c r="AI484" i="2"/>
  <c r="AH486" i="2" l="1"/>
  <c r="AI485" i="2"/>
  <c r="AH487" i="2" l="1"/>
  <c r="AI486" i="2"/>
  <c r="AH488" i="2" l="1"/>
  <c r="AI487" i="2"/>
  <c r="AH489" i="2" l="1"/>
  <c r="AI488" i="2"/>
  <c r="AH490" i="2" l="1"/>
  <c r="AI489" i="2"/>
  <c r="AH491" i="2" l="1"/>
  <c r="AI490" i="2"/>
  <c r="AH492" i="2" l="1"/>
  <c r="AI491" i="2"/>
  <c r="AH493" i="2" l="1"/>
  <c r="AI492" i="2"/>
  <c r="AH494" i="2" l="1"/>
  <c r="AI493" i="2"/>
  <c r="AH495" i="2" l="1"/>
  <c r="AI494" i="2"/>
  <c r="AH496" i="2" l="1"/>
  <c r="AI495" i="2"/>
  <c r="AH497" i="2" l="1"/>
  <c r="AI496" i="2"/>
  <c r="AH498" i="2" l="1"/>
  <c r="AI497" i="2"/>
  <c r="AH499" i="2" l="1"/>
  <c r="AI498" i="2"/>
  <c r="AH500" i="2" l="1"/>
  <c r="AI499" i="2"/>
  <c r="AH501" i="2" l="1"/>
  <c r="AI500" i="2"/>
  <c r="AH502" i="2" l="1"/>
  <c r="AI501" i="2"/>
  <c r="AH503" i="2" l="1"/>
  <c r="AI502" i="2"/>
  <c r="AH504" i="2" l="1"/>
  <c r="AI503" i="2"/>
  <c r="AH505" i="2" l="1"/>
  <c r="AI504" i="2"/>
  <c r="AH506" i="2" l="1"/>
  <c r="AI505" i="2"/>
  <c r="AH507" i="2" l="1"/>
  <c r="AI506" i="2"/>
  <c r="AH508" i="2" l="1"/>
  <c r="AI507" i="2"/>
  <c r="AH509" i="2" l="1"/>
  <c r="AI508" i="2"/>
  <c r="AH510" i="2" l="1"/>
  <c r="AI509" i="2"/>
  <c r="AH511" i="2" l="1"/>
  <c r="AI510" i="2"/>
  <c r="AH512" i="2" l="1"/>
  <c r="AI511" i="2"/>
  <c r="AH513" i="2" l="1"/>
  <c r="AI512" i="2"/>
  <c r="AH514" i="2" l="1"/>
  <c r="AI513" i="2"/>
  <c r="AH515" i="2" l="1"/>
  <c r="AI514" i="2"/>
  <c r="AH516" i="2" l="1"/>
  <c r="AI515" i="2"/>
  <c r="AH517" i="2" l="1"/>
  <c r="AI516" i="2"/>
  <c r="AH518" i="2" l="1"/>
  <c r="AI517" i="2"/>
  <c r="AH519" i="2" l="1"/>
  <c r="AI518" i="2"/>
  <c r="AH520" i="2" l="1"/>
  <c r="AI519" i="2"/>
  <c r="AH521" i="2" l="1"/>
  <c r="AI520" i="2"/>
  <c r="AH522" i="2" l="1"/>
  <c r="AI521" i="2"/>
  <c r="AH523" i="2" l="1"/>
  <c r="AI522" i="2"/>
  <c r="AH524" i="2" l="1"/>
  <c r="AI523" i="2"/>
  <c r="AH525" i="2" l="1"/>
  <c r="AI524" i="2"/>
  <c r="AH526" i="2" l="1"/>
  <c r="AI525" i="2"/>
  <c r="AH527" i="2" l="1"/>
  <c r="AI526" i="2"/>
  <c r="AH528" i="2" l="1"/>
  <c r="AI527" i="2"/>
  <c r="AH529" i="2" l="1"/>
  <c r="AI528" i="2"/>
  <c r="AH530" i="2" l="1"/>
  <c r="AI529" i="2"/>
  <c r="AH531" i="2" l="1"/>
  <c r="AI530" i="2"/>
  <c r="AH532" i="2" l="1"/>
  <c r="AI531" i="2"/>
  <c r="AH533" i="2" l="1"/>
  <c r="AI532" i="2"/>
  <c r="AH534" i="2" l="1"/>
  <c r="AI533" i="2"/>
  <c r="AH535" i="2" l="1"/>
  <c r="AI534" i="2"/>
  <c r="AH536" i="2" l="1"/>
  <c r="AI535" i="2"/>
  <c r="AH537" i="2" l="1"/>
  <c r="AI536" i="2"/>
  <c r="AH538" i="2" l="1"/>
  <c r="AI537" i="2"/>
  <c r="AH539" i="2" l="1"/>
  <c r="AI538" i="2"/>
  <c r="AH540" i="2" l="1"/>
  <c r="AI539" i="2"/>
  <c r="AH541" i="2" l="1"/>
  <c r="AI540" i="2"/>
  <c r="AH542" i="2" l="1"/>
  <c r="AI541" i="2"/>
  <c r="AH543" i="2" l="1"/>
  <c r="AI542" i="2"/>
  <c r="AH544" i="2" l="1"/>
  <c r="AI543" i="2"/>
  <c r="AH545" i="2" l="1"/>
  <c r="AI544" i="2"/>
  <c r="AH546" i="2" l="1"/>
  <c r="AI545" i="2"/>
  <c r="AH547" i="2" l="1"/>
  <c r="AI546" i="2"/>
  <c r="AH548" i="2" l="1"/>
  <c r="AI547" i="2"/>
  <c r="AH549" i="2" l="1"/>
  <c r="AI548" i="2"/>
  <c r="AH550" i="2" l="1"/>
  <c r="AI549" i="2"/>
  <c r="AH551" i="2" l="1"/>
  <c r="AI550" i="2"/>
  <c r="AH552" i="2" l="1"/>
  <c r="AI551" i="2"/>
  <c r="AH553" i="2" l="1"/>
  <c r="AI552" i="2"/>
  <c r="AH554" i="2" l="1"/>
  <c r="AI553" i="2"/>
  <c r="AH555" i="2" l="1"/>
  <c r="AI554" i="2"/>
  <c r="AH556" i="2" l="1"/>
  <c r="AI555" i="2"/>
  <c r="AH557" i="2" l="1"/>
  <c r="AI556" i="2"/>
  <c r="AH558" i="2" l="1"/>
  <c r="AI557" i="2"/>
  <c r="AH559" i="2" l="1"/>
  <c r="AI558" i="2"/>
  <c r="AH560" i="2" l="1"/>
  <c r="AI559" i="2"/>
  <c r="AH561" i="2" l="1"/>
  <c r="AI560" i="2"/>
  <c r="AH562" i="2" l="1"/>
  <c r="AI561" i="2"/>
  <c r="AH563" i="2" l="1"/>
  <c r="AI562" i="2"/>
  <c r="AH564" i="2" l="1"/>
  <c r="AI563" i="2"/>
  <c r="AH565" i="2" l="1"/>
  <c r="AI564" i="2"/>
  <c r="AH566" i="2" l="1"/>
  <c r="AI565" i="2"/>
  <c r="AH567" i="2" l="1"/>
  <c r="AI566" i="2"/>
  <c r="AH568" i="2" l="1"/>
  <c r="AI567" i="2"/>
  <c r="AH569" i="2" l="1"/>
  <c r="AI568" i="2"/>
  <c r="AH570" i="2" l="1"/>
  <c r="AI569" i="2"/>
  <c r="AH571" i="2" l="1"/>
  <c r="AI570" i="2"/>
  <c r="AH572" i="2" l="1"/>
  <c r="AI571" i="2"/>
  <c r="AH573" i="2" l="1"/>
  <c r="AI572" i="2"/>
  <c r="AH574" i="2" l="1"/>
  <c r="AI573" i="2"/>
  <c r="AH575" i="2" l="1"/>
  <c r="AI574" i="2"/>
  <c r="AH576" i="2" l="1"/>
  <c r="AI575" i="2"/>
  <c r="AH577" i="2" l="1"/>
  <c r="AI576" i="2"/>
  <c r="AH578" i="2" l="1"/>
  <c r="AI577" i="2"/>
  <c r="AH579" i="2" l="1"/>
  <c r="AI578" i="2"/>
  <c r="AH580" i="2" l="1"/>
  <c r="AI579" i="2"/>
  <c r="AH581" i="2" l="1"/>
  <c r="AI580" i="2"/>
  <c r="AH582" i="2" l="1"/>
  <c r="AI581" i="2"/>
  <c r="AH583" i="2" l="1"/>
  <c r="AI582" i="2"/>
  <c r="AH584" i="2" l="1"/>
  <c r="AI583" i="2"/>
  <c r="AH585" i="2" l="1"/>
  <c r="AI584" i="2"/>
  <c r="AH586" i="2" l="1"/>
  <c r="AI585" i="2"/>
  <c r="AH587" i="2" l="1"/>
  <c r="AI586" i="2"/>
  <c r="AH588" i="2" l="1"/>
  <c r="AI587" i="2"/>
  <c r="AH589" i="2" l="1"/>
  <c r="AI588" i="2"/>
  <c r="AH590" i="2" l="1"/>
  <c r="AI589" i="2"/>
  <c r="AH591" i="2" l="1"/>
  <c r="AI590" i="2"/>
  <c r="AH592" i="2" l="1"/>
  <c r="AI591" i="2"/>
  <c r="AH593" i="2" l="1"/>
  <c r="AI592" i="2"/>
  <c r="AH594" i="2" l="1"/>
  <c r="AI593" i="2"/>
  <c r="AH595" i="2" l="1"/>
  <c r="AI594" i="2"/>
  <c r="AH596" i="2" l="1"/>
  <c r="AI595" i="2"/>
  <c r="AH597" i="2" l="1"/>
  <c r="AI596" i="2"/>
  <c r="AH598" i="2" l="1"/>
  <c r="AI597" i="2"/>
  <c r="AH599" i="2" l="1"/>
  <c r="AI598" i="2"/>
  <c r="AH600" i="2" l="1"/>
  <c r="AI599" i="2"/>
  <c r="AH601" i="2" l="1"/>
  <c r="AI600" i="2"/>
  <c r="AH602" i="2" l="1"/>
  <c r="AI601" i="2"/>
  <c r="AH603" i="2" l="1"/>
  <c r="AI602" i="2"/>
  <c r="AH604" i="2" l="1"/>
  <c r="AI603" i="2"/>
  <c r="AH605" i="2" l="1"/>
  <c r="AI604" i="2"/>
  <c r="AH606" i="2" l="1"/>
  <c r="AI605" i="2"/>
  <c r="AH607" i="2" l="1"/>
  <c r="AI606" i="2"/>
  <c r="AH608" i="2" l="1"/>
  <c r="AI607" i="2"/>
  <c r="AH609" i="2" l="1"/>
  <c r="AI608" i="2"/>
  <c r="AH610" i="2" l="1"/>
  <c r="AI609" i="2"/>
  <c r="AH611" i="2" l="1"/>
  <c r="AI610" i="2"/>
  <c r="AH612" i="2" l="1"/>
  <c r="AI611" i="2"/>
  <c r="AH613" i="2" l="1"/>
  <c r="AI612" i="2"/>
  <c r="AH614" i="2" l="1"/>
  <c r="AI613" i="2"/>
  <c r="AH615" i="2" l="1"/>
  <c r="AI614" i="2"/>
  <c r="AH616" i="2" l="1"/>
  <c r="AI615" i="2"/>
  <c r="AH617" i="2" l="1"/>
  <c r="AI616" i="2"/>
  <c r="AH618" i="2" l="1"/>
  <c r="AI617" i="2"/>
  <c r="AH619" i="2" l="1"/>
  <c r="AI618" i="2"/>
  <c r="AH620" i="2" l="1"/>
  <c r="AI619" i="2"/>
  <c r="AH621" i="2" l="1"/>
  <c r="AI620" i="2"/>
  <c r="AH622" i="2" l="1"/>
  <c r="AI621" i="2"/>
  <c r="AH623" i="2" l="1"/>
  <c r="AI622" i="2"/>
  <c r="AH624" i="2" l="1"/>
  <c r="AI623" i="2"/>
  <c r="AH625" i="2" l="1"/>
  <c r="AI624" i="2"/>
  <c r="AH626" i="2" l="1"/>
  <c r="AI625" i="2"/>
  <c r="AH627" i="2" l="1"/>
  <c r="AI626" i="2"/>
  <c r="AH628" i="2" l="1"/>
  <c r="AI627" i="2"/>
  <c r="AH629" i="2" l="1"/>
  <c r="AI628" i="2"/>
  <c r="AH630" i="2" l="1"/>
  <c r="AI629" i="2"/>
  <c r="AH631" i="2" l="1"/>
  <c r="AI630" i="2"/>
  <c r="AH632" i="2" l="1"/>
  <c r="AI631" i="2"/>
  <c r="AH633" i="2" l="1"/>
  <c r="AI632" i="2"/>
  <c r="AH634" i="2" l="1"/>
  <c r="AI633" i="2"/>
  <c r="AH635" i="2" l="1"/>
  <c r="AI634" i="2"/>
  <c r="AH636" i="2" l="1"/>
  <c r="AI635" i="2"/>
  <c r="AH637" i="2" l="1"/>
  <c r="AI636" i="2"/>
  <c r="AH638" i="2" l="1"/>
  <c r="AI637" i="2"/>
  <c r="AH639" i="2" l="1"/>
  <c r="AI638" i="2"/>
  <c r="AH640" i="2" l="1"/>
  <c r="AI639" i="2"/>
  <c r="AH641" i="2" l="1"/>
  <c r="AI640" i="2"/>
  <c r="AH642" i="2" l="1"/>
  <c r="AI641" i="2"/>
  <c r="AH643" i="2" l="1"/>
  <c r="AI642" i="2"/>
  <c r="AH644" i="2" l="1"/>
  <c r="AI643" i="2"/>
  <c r="AH645" i="2" l="1"/>
  <c r="AI644" i="2"/>
  <c r="AH646" i="2" l="1"/>
  <c r="AI645" i="2"/>
  <c r="AH647" i="2" l="1"/>
  <c r="AI646" i="2"/>
  <c r="AH648" i="2" l="1"/>
  <c r="AI647" i="2"/>
  <c r="AH649" i="2" l="1"/>
  <c r="AI648" i="2"/>
  <c r="AH650" i="2" l="1"/>
  <c r="AI649" i="2"/>
  <c r="AH651" i="2" l="1"/>
  <c r="AI650" i="2"/>
  <c r="AH652" i="2" l="1"/>
  <c r="AI651" i="2"/>
  <c r="AH653" i="2" l="1"/>
  <c r="AI652" i="2"/>
  <c r="AH654" i="2" l="1"/>
  <c r="AI653" i="2"/>
  <c r="AH655" i="2" l="1"/>
  <c r="AI654" i="2"/>
  <c r="AH656" i="2" l="1"/>
  <c r="AI655" i="2"/>
  <c r="AH657" i="2" l="1"/>
  <c r="AI656" i="2"/>
  <c r="AH658" i="2" l="1"/>
  <c r="AI657" i="2"/>
  <c r="AH659" i="2" l="1"/>
  <c r="AI658" i="2"/>
  <c r="AH660" i="2" l="1"/>
  <c r="AI659" i="2"/>
  <c r="AH661" i="2" l="1"/>
  <c r="AI660" i="2"/>
  <c r="AH662" i="2" l="1"/>
  <c r="AI661" i="2"/>
  <c r="AH663" i="2" l="1"/>
  <c r="AI662" i="2"/>
  <c r="AH664" i="2" l="1"/>
  <c r="AI663" i="2"/>
  <c r="AH665" i="2" l="1"/>
  <c r="AI664" i="2"/>
  <c r="AH666" i="2" l="1"/>
  <c r="AI665" i="2"/>
  <c r="AH667" i="2" l="1"/>
  <c r="AI666" i="2"/>
  <c r="AH668" i="2" l="1"/>
  <c r="AI667" i="2"/>
  <c r="AH669" i="2" l="1"/>
  <c r="AI668" i="2"/>
  <c r="AH670" i="2" l="1"/>
  <c r="AI669" i="2"/>
  <c r="AH671" i="2" l="1"/>
  <c r="AI670" i="2"/>
  <c r="AH672" i="2" l="1"/>
  <c r="AI671" i="2"/>
  <c r="AH673" i="2" l="1"/>
  <c r="AI672" i="2"/>
  <c r="AH674" i="2" l="1"/>
  <c r="AI673" i="2"/>
  <c r="AH675" i="2" l="1"/>
  <c r="AI674" i="2"/>
  <c r="AH676" i="2" l="1"/>
  <c r="AI675" i="2"/>
  <c r="AH677" i="2" l="1"/>
  <c r="AI676" i="2"/>
  <c r="AH678" i="2" l="1"/>
  <c r="AI677" i="2"/>
  <c r="AH679" i="2" l="1"/>
  <c r="AI678" i="2"/>
  <c r="AH680" i="2" l="1"/>
  <c r="AI679" i="2"/>
  <c r="AH681" i="2" l="1"/>
  <c r="AI680" i="2"/>
  <c r="AH682" i="2" l="1"/>
  <c r="AI681" i="2"/>
  <c r="AH683" i="2" l="1"/>
  <c r="AI682" i="2"/>
  <c r="AH684" i="2" l="1"/>
  <c r="AI683" i="2"/>
  <c r="AH685" i="2" l="1"/>
  <c r="AI684" i="2"/>
  <c r="AH686" i="2" l="1"/>
  <c r="AI685" i="2"/>
  <c r="AH687" i="2" l="1"/>
  <c r="AI686" i="2"/>
  <c r="AH688" i="2" l="1"/>
  <c r="AI687" i="2"/>
  <c r="AH689" i="2" l="1"/>
  <c r="AI688" i="2"/>
  <c r="AH690" i="2" l="1"/>
  <c r="AI689" i="2"/>
  <c r="AH691" i="2" l="1"/>
  <c r="AI690" i="2"/>
  <c r="AH692" i="2" l="1"/>
  <c r="AI691" i="2"/>
  <c r="AH693" i="2" l="1"/>
  <c r="AI692" i="2"/>
  <c r="AH694" i="2" l="1"/>
  <c r="AI693" i="2"/>
  <c r="AH695" i="2" l="1"/>
  <c r="AI694" i="2"/>
  <c r="AH696" i="2" l="1"/>
  <c r="AI695" i="2"/>
  <c r="AH697" i="2" l="1"/>
  <c r="AI696" i="2"/>
  <c r="AH698" i="2" l="1"/>
  <c r="AI697" i="2"/>
  <c r="AH699" i="2" l="1"/>
  <c r="AI698" i="2"/>
  <c r="AH700" i="2" l="1"/>
  <c r="AI699" i="2"/>
  <c r="AH701" i="2" l="1"/>
  <c r="AI700" i="2"/>
  <c r="AH702" i="2" l="1"/>
  <c r="AI701" i="2"/>
  <c r="AH703" i="2" l="1"/>
  <c r="AI702" i="2"/>
  <c r="AH704" i="2" l="1"/>
  <c r="AI703" i="2"/>
  <c r="AH705" i="2" l="1"/>
  <c r="AI704" i="2"/>
  <c r="AH706" i="2" l="1"/>
  <c r="AI705" i="2"/>
  <c r="AH707" i="2" l="1"/>
  <c r="AI706" i="2"/>
  <c r="AH708" i="2" l="1"/>
  <c r="AI707" i="2"/>
  <c r="AH709" i="2" l="1"/>
  <c r="AI708" i="2"/>
  <c r="AH710" i="2" l="1"/>
  <c r="AI709" i="2"/>
  <c r="AH711" i="2" l="1"/>
  <c r="AI710" i="2"/>
  <c r="AH712" i="2" l="1"/>
  <c r="AI711" i="2"/>
  <c r="AH713" i="2" l="1"/>
  <c r="AI712" i="2"/>
  <c r="AH714" i="2" l="1"/>
  <c r="AI713" i="2"/>
  <c r="AH715" i="2" l="1"/>
  <c r="AI714" i="2"/>
  <c r="AH716" i="2" l="1"/>
  <c r="AI715" i="2"/>
  <c r="AH717" i="2" l="1"/>
  <c r="AI716" i="2"/>
  <c r="AH718" i="2" l="1"/>
  <c r="AI717" i="2"/>
  <c r="AH719" i="2" l="1"/>
  <c r="AI718" i="2"/>
  <c r="AH720" i="2" l="1"/>
  <c r="AI719" i="2"/>
  <c r="AH721" i="2" l="1"/>
  <c r="AI720" i="2"/>
  <c r="AH722" i="2" l="1"/>
  <c r="AI721" i="2"/>
  <c r="AH723" i="2" l="1"/>
  <c r="AI722" i="2"/>
  <c r="AH724" i="2" l="1"/>
  <c r="AI723" i="2"/>
  <c r="AH725" i="2" l="1"/>
  <c r="AI724" i="2"/>
  <c r="AH726" i="2" l="1"/>
  <c r="AI725" i="2"/>
  <c r="AH727" i="2" l="1"/>
  <c r="AI726" i="2"/>
  <c r="AH728" i="2" l="1"/>
  <c r="AI727" i="2"/>
  <c r="AH729" i="2" l="1"/>
  <c r="AI728" i="2"/>
  <c r="AH730" i="2" l="1"/>
  <c r="AI729" i="2"/>
  <c r="AH731" i="2" l="1"/>
  <c r="AI730" i="2"/>
  <c r="AH732" i="2" l="1"/>
  <c r="AI731" i="2"/>
  <c r="AH733" i="2" l="1"/>
  <c r="AI732" i="2"/>
  <c r="AH734" i="2" l="1"/>
  <c r="AI733" i="2"/>
  <c r="AH735" i="2" l="1"/>
  <c r="AI734" i="2"/>
  <c r="AH736" i="2" l="1"/>
  <c r="AI735" i="2"/>
  <c r="AH737" i="2" l="1"/>
  <c r="AI736" i="2"/>
  <c r="AH738" i="2" l="1"/>
  <c r="AI737" i="2"/>
  <c r="AH739" i="2" l="1"/>
  <c r="AI738" i="2"/>
  <c r="AH740" i="2" l="1"/>
  <c r="AI739" i="2"/>
  <c r="AH741" i="2" l="1"/>
  <c r="AI740" i="2"/>
  <c r="AH742" i="2" l="1"/>
  <c r="AI741" i="2"/>
  <c r="AH743" i="2" l="1"/>
  <c r="AI742" i="2"/>
  <c r="AH744" i="2" l="1"/>
  <c r="AI743" i="2"/>
  <c r="AH745" i="2" l="1"/>
  <c r="AI744" i="2"/>
  <c r="AH746" i="2" l="1"/>
  <c r="AI745" i="2"/>
  <c r="AH747" i="2" l="1"/>
  <c r="AI746" i="2"/>
  <c r="AH748" i="2" l="1"/>
  <c r="AI747" i="2"/>
  <c r="AH749" i="2" l="1"/>
  <c r="AI748" i="2"/>
  <c r="AH750" i="2" l="1"/>
  <c r="AI749" i="2"/>
  <c r="AH751" i="2" l="1"/>
  <c r="AI750" i="2"/>
  <c r="AH752" i="2" l="1"/>
  <c r="AI751" i="2"/>
  <c r="AH753" i="2" l="1"/>
  <c r="AI752" i="2"/>
  <c r="AH754" i="2" l="1"/>
  <c r="AI753" i="2"/>
  <c r="AH755" i="2" l="1"/>
  <c r="AI754" i="2"/>
  <c r="AH756" i="2" l="1"/>
  <c r="AI755" i="2"/>
  <c r="AH757" i="2" l="1"/>
  <c r="AI756" i="2"/>
  <c r="AH758" i="2" l="1"/>
  <c r="AI757" i="2"/>
  <c r="AH759" i="2" l="1"/>
  <c r="AI758" i="2"/>
  <c r="AH760" i="2" l="1"/>
  <c r="AI759" i="2"/>
  <c r="AH761" i="2" l="1"/>
  <c r="AI760" i="2"/>
  <c r="AH762" i="2" l="1"/>
  <c r="AI761" i="2"/>
  <c r="AH763" i="2" l="1"/>
  <c r="AI762" i="2"/>
  <c r="AH764" i="2" l="1"/>
  <c r="AI763" i="2"/>
  <c r="AH765" i="2" l="1"/>
  <c r="AI764" i="2"/>
  <c r="AH766" i="2" l="1"/>
  <c r="AI765" i="2"/>
  <c r="AH767" i="2" l="1"/>
  <c r="AI766" i="2"/>
  <c r="AH768" i="2" l="1"/>
  <c r="AI767" i="2"/>
  <c r="AH769" i="2" l="1"/>
  <c r="AI768" i="2"/>
  <c r="AH770" i="2" l="1"/>
  <c r="AI769" i="2"/>
  <c r="AH771" i="2" l="1"/>
  <c r="AI770" i="2"/>
  <c r="AH772" i="2" l="1"/>
  <c r="AI771" i="2"/>
  <c r="AH773" i="2" l="1"/>
  <c r="AI772" i="2"/>
  <c r="AH774" i="2" l="1"/>
  <c r="AI773" i="2"/>
  <c r="AH775" i="2" l="1"/>
  <c r="AI774" i="2"/>
  <c r="AH776" i="2" l="1"/>
  <c r="AI775" i="2"/>
  <c r="AH777" i="2" l="1"/>
  <c r="AI776" i="2"/>
  <c r="AH778" i="2" l="1"/>
  <c r="AI777" i="2"/>
  <c r="AH779" i="2" l="1"/>
  <c r="AI778" i="2"/>
  <c r="AH780" i="2" l="1"/>
  <c r="AI779" i="2"/>
  <c r="AH781" i="2" l="1"/>
  <c r="AI780" i="2"/>
  <c r="AH782" i="2" l="1"/>
  <c r="AI781" i="2"/>
  <c r="AH783" i="2" l="1"/>
  <c r="AI782" i="2"/>
  <c r="AH784" i="2" l="1"/>
  <c r="AI783" i="2"/>
  <c r="AH785" i="2" l="1"/>
  <c r="AI784" i="2"/>
  <c r="AH786" i="2" l="1"/>
  <c r="AI785" i="2"/>
  <c r="AH787" i="2" l="1"/>
  <c r="AI786" i="2"/>
  <c r="AH788" i="2" l="1"/>
  <c r="AI787" i="2"/>
  <c r="AH789" i="2" l="1"/>
  <c r="AI788" i="2"/>
  <c r="AH790" i="2" l="1"/>
  <c r="AI789" i="2"/>
  <c r="AH791" i="2" l="1"/>
  <c r="AI790" i="2"/>
  <c r="AH792" i="2" l="1"/>
  <c r="AI791" i="2"/>
  <c r="AH793" i="2" l="1"/>
  <c r="AI792" i="2"/>
  <c r="AH794" i="2" l="1"/>
  <c r="AI793" i="2"/>
  <c r="AH795" i="2" l="1"/>
  <c r="AI794" i="2"/>
  <c r="AH796" i="2" l="1"/>
  <c r="AI795" i="2"/>
  <c r="AH797" i="2" l="1"/>
  <c r="AI796" i="2"/>
  <c r="AH798" i="2" l="1"/>
  <c r="AI797" i="2"/>
  <c r="AH799" i="2" l="1"/>
  <c r="AI798" i="2"/>
  <c r="AH800" i="2" l="1"/>
  <c r="AI799" i="2"/>
  <c r="AH801" i="2" l="1"/>
  <c r="AI800" i="2"/>
  <c r="AH802" i="2" l="1"/>
  <c r="AI801" i="2"/>
  <c r="AH803" i="2" l="1"/>
  <c r="AI802" i="2"/>
  <c r="AH804" i="2" l="1"/>
  <c r="AI803" i="2"/>
  <c r="AH805" i="2" l="1"/>
  <c r="AI804" i="2"/>
  <c r="AH806" i="2" l="1"/>
  <c r="AI805" i="2"/>
  <c r="AH807" i="2" l="1"/>
  <c r="AI806" i="2"/>
  <c r="AH808" i="2" l="1"/>
  <c r="AI807" i="2"/>
  <c r="AH809" i="2" l="1"/>
  <c r="AI808" i="2"/>
  <c r="AH810" i="2" l="1"/>
  <c r="AI809" i="2"/>
  <c r="AH811" i="2" l="1"/>
  <c r="AI810" i="2"/>
  <c r="AH812" i="2" l="1"/>
  <c r="AI811" i="2"/>
  <c r="AH813" i="2" l="1"/>
  <c r="AI812" i="2"/>
  <c r="AH814" i="2" l="1"/>
  <c r="AI813" i="2"/>
  <c r="AH815" i="2" l="1"/>
  <c r="AI814" i="2"/>
  <c r="AH816" i="2" l="1"/>
  <c r="AI815" i="2"/>
  <c r="AH817" i="2" l="1"/>
  <c r="AI816" i="2"/>
  <c r="AH818" i="2" l="1"/>
  <c r="AI817" i="2"/>
  <c r="AH819" i="2" l="1"/>
  <c r="AI818" i="2"/>
  <c r="AH820" i="2" l="1"/>
  <c r="AI819" i="2"/>
  <c r="AH821" i="2" l="1"/>
  <c r="AI820" i="2"/>
  <c r="AH822" i="2" l="1"/>
  <c r="AI821" i="2"/>
  <c r="AH823" i="2" l="1"/>
  <c r="AI822" i="2"/>
  <c r="AH824" i="2" l="1"/>
  <c r="AI823" i="2"/>
  <c r="AH825" i="2" l="1"/>
  <c r="AI824" i="2"/>
  <c r="AH826" i="2" l="1"/>
  <c r="AI825" i="2"/>
  <c r="AH827" i="2" l="1"/>
  <c r="AI826" i="2"/>
  <c r="AH828" i="2" l="1"/>
  <c r="AI827" i="2"/>
  <c r="AH829" i="2" l="1"/>
  <c r="AI828" i="2"/>
  <c r="AH830" i="2" l="1"/>
  <c r="AI829" i="2"/>
  <c r="AH831" i="2" l="1"/>
  <c r="AI830" i="2"/>
  <c r="AH832" i="2" l="1"/>
  <c r="AI831" i="2"/>
  <c r="AH833" i="2" l="1"/>
  <c r="AI832" i="2"/>
  <c r="AH834" i="2" l="1"/>
  <c r="AI833" i="2"/>
  <c r="AH835" i="2" l="1"/>
  <c r="AI834" i="2"/>
  <c r="AH836" i="2" l="1"/>
  <c r="AI835" i="2"/>
  <c r="AH837" i="2" l="1"/>
  <c r="AI836" i="2"/>
  <c r="AH838" i="2" l="1"/>
  <c r="AI837" i="2"/>
  <c r="AH839" i="2" l="1"/>
  <c r="AI838" i="2"/>
  <c r="AH840" i="2" l="1"/>
  <c r="AI839" i="2"/>
  <c r="AH841" i="2" l="1"/>
  <c r="AI840" i="2"/>
  <c r="AH842" i="2" l="1"/>
  <c r="AI841" i="2"/>
  <c r="AH843" i="2" l="1"/>
  <c r="AI842" i="2"/>
  <c r="AH844" i="2" l="1"/>
  <c r="AI843" i="2"/>
  <c r="AH845" i="2" l="1"/>
  <c r="AI844" i="2"/>
  <c r="AH846" i="2" l="1"/>
  <c r="AI845" i="2"/>
  <c r="AH847" i="2" l="1"/>
  <c r="AI846" i="2"/>
  <c r="AH848" i="2" l="1"/>
  <c r="AI847" i="2"/>
  <c r="AH849" i="2" l="1"/>
  <c r="AI848" i="2"/>
  <c r="AH850" i="2" l="1"/>
  <c r="AI849" i="2"/>
  <c r="AH851" i="2" l="1"/>
  <c r="AI850" i="2"/>
  <c r="AH852" i="2" l="1"/>
  <c r="AI851" i="2"/>
  <c r="AH853" i="2" l="1"/>
  <c r="AI852" i="2"/>
  <c r="AH854" i="2" l="1"/>
  <c r="AI853" i="2"/>
  <c r="AH855" i="2" l="1"/>
  <c r="AI854" i="2"/>
  <c r="AH856" i="2" l="1"/>
  <c r="AI855" i="2"/>
  <c r="AH857" i="2" l="1"/>
  <c r="AI856" i="2"/>
  <c r="AH858" i="2" l="1"/>
  <c r="AI857" i="2"/>
  <c r="AH859" i="2" l="1"/>
  <c r="AI858" i="2"/>
  <c r="AH860" i="2" l="1"/>
  <c r="AI859" i="2"/>
  <c r="AH861" i="2" l="1"/>
  <c r="AI860" i="2"/>
  <c r="AH862" i="2" l="1"/>
  <c r="AI861" i="2"/>
  <c r="AH863" i="2" l="1"/>
  <c r="AI862" i="2"/>
  <c r="AH864" i="2" l="1"/>
  <c r="AI863" i="2"/>
  <c r="AH865" i="2" l="1"/>
  <c r="AI864" i="2"/>
  <c r="AH866" i="2" l="1"/>
  <c r="AI865" i="2"/>
  <c r="AH867" i="2" l="1"/>
  <c r="AI866" i="2"/>
  <c r="AH868" i="2" l="1"/>
  <c r="AI867" i="2"/>
  <c r="AH869" i="2" l="1"/>
  <c r="AI868" i="2"/>
  <c r="AH870" i="2" l="1"/>
  <c r="AI869" i="2"/>
  <c r="AH871" i="2" l="1"/>
  <c r="AI870" i="2"/>
  <c r="AH872" i="2" l="1"/>
  <c r="AI871" i="2"/>
  <c r="AH873" i="2" l="1"/>
  <c r="AI872" i="2"/>
  <c r="AH874" i="2" l="1"/>
  <c r="AI873" i="2"/>
  <c r="AH875" i="2" l="1"/>
  <c r="AI874" i="2"/>
  <c r="AH876" i="2" l="1"/>
  <c r="AI875" i="2"/>
  <c r="AH877" i="2" l="1"/>
  <c r="AI876" i="2"/>
  <c r="AH878" i="2" l="1"/>
  <c r="AI877" i="2"/>
  <c r="AH879" i="2" l="1"/>
  <c r="AI878" i="2"/>
  <c r="AH880" i="2" l="1"/>
  <c r="AI879" i="2"/>
  <c r="AH881" i="2" l="1"/>
  <c r="AI880" i="2"/>
  <c r="AH882" i="2" l="1"/>
  <c r="AI881" i="2"/>
  <c r="AH883" i="2" l="1"/>
  <c r="AI882" i="2"/>
  <c r="AH884" i="2" l="1"/>
  <c r="AI883" i="2"/>
  <c r="AH885" i="2" l="1"/>
  <c r="AI884" i="2"/>
  <c r="AH886" i="2" l="1"/>
  <c r="AI885" i="2"/>
  <c r="AH887" i="2" l="1"/>
  <c r="AI886" i="2"/>
  <c r="AH888" i="2" l="1"/>
  <c r="AI887" i="2"/>
  <c r="AH889" i="2" l="1"/>
  <c r="AI888" i="2"/>
  <c r="AH890" i="2" l="1"/>
  <c r="AI889" i="2"/>
  <c r="AH891" i="2" l="1"/>
  <c r="AI890" i="2"/>
  <c r="AH892" i="2" l="1"/>
  <c r="AI891" i="2"/>
  <c r="AH893" i="2" l="1"/>
  <c r="AI892" i="2"/>
  <c r="AH894" i="2" l="1"/>
  <c r="AI893" i="2"/>
  <c r="AH895" i="2" l="1"/>
  <c r="AI894" i="2"/>
  <c r="AH896" i="2" l="1"/>
  <c r="AI895" i="2"/>
  <c r="AH897" i="2" l="1"/>
  <c r="AI896" i="2"/>
  <c r="AH898" i="2" l="1"/>
  <c r="AI897" i="2"/>
  <c r="AH899" i="2" l="1"/>
  <c r="AI898" i="2"/>
  <c r="AH900" i="2" l="1"/>
  <c r="AI899" i="2"/>
  <c r="AH901" i="2" l="1"/>
  <c r="AI900" i="2"/>
  <c r="AH902" i="2" l="1"/>
  <c r="AI901" i="2"/>
  <c r="AH903" i="2" l="1"/>
  <c r="AI902" i="2"/>
  <c r="AH904" i="2" l="1"/>
  <c r="AI903" i="2"/>
  <c r="AH905" i="2" l="1"/>
  <c r="AI904" i="2"/>
  <c r="AH906" i="2" l="1"/>
  <c r="AI905" i="2"/>
  <c r="AH907" i="2" l="1"/>
  <c r="AI906" i="2"/>
  <c r="AH908" i="2" l="1"/>
  <c r="AI907" i="2"/>
  <c r="AH909" i="2" l="1"/>
  <c r="AI908" i="2"/>
  <c r="AH910" i="2" l="1"/>
  <c r="AI909" i="2"/>
  <c r="AH911" i="2" l="1"/>
  <c r="AI910" i="2"/>
  <c r="AH912" i="2" l="1"/>
  <c r="AI911" i="2"/>
  <c r="AH913" i="2" l="1"/>
  <c r="AI912" i="2"/>
  <c r="AH914" i="2" l="1"/>
  <c r="AI913" i="2"/>
  <c r="AH915" i="2" l="1"/>
  <c r="AI914" i="2"/>
  <c r="AH916" i="2" l="1"/>
  <c r="AI915" i="2"/>
  <c r="AH917" i="2" l="1"/>
  <c r="AI916" i="2"/>
  <c r="AH918" i="2" l="1"/>
  <c r="AI917" i="2"/>
  <c r="AH919" i="2" l="1"/>
  <c r="AI918" i="2"/>
  <c r="AH920" i="2" l="1"/>
  <c r="AI919" i="2"/>
  <c r="AH921" i="2" l="1"/>
  <c r="AI920" i="2"/>
  <c r="AH922" i="2" l="1"/>
  <c r="AI921" i="2"/>
  <c r="AH923" i="2" l="1"/>
  <c r="AI922" i="2"/>
  <c r="AH924" i="2" l="1"/>
  <c r="AI923" i="2"/>
  <c r="AH925" i="2" l="1"/>
  <c r="AI924" i="2"/>
  <c r="AH926" i="2" l="1"/>
  <c r="AI925" i="2"/>
  <c r="AH927" i="2" l="1"/>
  <c r="AI926" i="2"/>
  <c r="AH928" i="2" l="1"/>
  <c r="AI927" i="2"/>
  <c r="AH929" i="2" l="1"/>
  <c r="AI928" i="2"/>
  <c r="AH930" i="2" l="1"/>
  <c r="AI929" i="2"/>
  <c r="AH931" i="2" l="1"/>
  <c r="AI930" i="2"/>
  <c r="AH932" i="2" l="1"/>
  <c r="AI931" i="2"/>
  <c r="AH933" i="2" l="1"/>
  <c r="AI932" i="2"/>
  <c r="AH934" i="2" l="1"/>
  <c r="AI933" i="2"/>
  <c r="AH935" i="2" l="1"/>
  <c r="AI934" i="2"/>
  <c r="AH936" i="2" l="1"/>
  <c r="AI935" i="2"/>
  <c r="AH937" i="2" l="1"/>
  <c r="AI936" i="2"/>
  <c r="AH938" i="2" l="1"/>
  <c r="AI937" i="2"/>
  <c r="AH939" i="2" l="1"/>
  <c r="AI938" i="2"/>
  <c r="AH940" i="2" l="1"/>
  <c r="AI939" i="2"/>
  <c r="AH941" i="2" l="1"/>
  <c r="AI940" i="2"/>
  <c r="AH942" i="2" l="1"/>
  <c r="AI941" i="2"/>
  <c r="AH943" i="2" l="1"/>
  <c r="AI942" i="2"/>
  <c r="AH944" i="2" l="1"/>
  <c r="AI943" i="2"/>
  <c r="AH945" i="2" l="1"/>
  <c r="AI944" i="2"/>
  <c r="AH946" i="2" l="1"/>
  <c r="AI945" i="2"/>
  <c r="AH947" i="2" l="1"/>
  <c r="AI946" i="2"/>
  <c r="AH948" i="2" l="1"/>
  <c r="AI947" i="2"/>
  <c r="AH949" i="2" l="1"/>
  <c r="AI948" i="2"/>
  <c r="AH950" i="2" l="1"/>
  <c r="AI949" i="2"/>
  <c r="AH951" i="2" l="1"/>
  <c r="AI950" i="2"/>
  <c r="AH952" i="2" l="1"/>
  <c r="AI951" i="2"/>
  <c r="AH953" i="2" l="1"/>
  <c r="AI952" i="2"/>
  <c r="AH954" i="2" l="1"/>
  <c r="AI953" i="2"/>
  <c r="AH955" i="2" l="1"/>
  <c r="AI954" i="2"/>
  <c r="AH956" i="2" l="1"/>
  <c r="AI955" i="2"/>
  <c r="AH957" i="2" l="1"/>
  <c r="AI956" i="2"/>
  <c r="AH958" i="2" l="1"/>
  <c r="AI957" i="2"/>
  <c r="AH959" i="2" l="1"/>
  <c r="AI958" i="2"/>
  <c r="AH960" i="2" l="1"/>
  <c r="AI959" i="2"/>
  <c r="AH961" i="2" l="1"/>
  <c r="AI960" i="2"/>
  <c r="AH962" i="2" l="1"/>
  <c r="AI961" i="2"/>
  <c r="AH963" i="2" l="1"/>
  <c r="AI962" i="2"/>
  <c r="AH964" i="2" l="1"/>
  <c r="AI963" i="2"/>
  <c r="AH965" i="2" l="1"/>
  <c r="AI964" i="2"/>
  <c r="AH966" i="2" l="1"/>
  <c r="AI965" i="2"/>
  <c r="AH967" i="2" l="1"/>
  <c r="AI966" i="2"/>
  <c r="AH968" i="2" l="1"/>
  <c r="AI967" i="2"/>
  <c r="AH969" i="2" l="1"/>
  <c r="AI968" i="2"/>
  <c r="AH970" i="2" l="1"/>
  <c r="AI969" i="2"/>
  <c r="AH971" i="2" l="1"/>
  <c r="AI970" i="2"/>
  <c r="AH972" i="2" l="1"/>
  <c r="AI971" i="2"/>
  <c r="AH973" i="2" l="1"/>
  <c r="AI972" i="2"/>
  <c r="AH974" i="2" l="1"/>
  <c r="AI973" i="2"/>
  <c r="AH975" i="2" l="1"/>
  <c r="AI974" i="2"/>
  <c r="AH976" i="2" l="1"/>
  <c r="AI975" i="2"/>
  <c r="AH977" i="2" l="1"/>
  <c r="AI976" i="2"/>
  <c r="AH978" i="2" l="1"/>
  <c r="AI977" i="2"/>
  <c r="AH979" i="2" l="1"/>
  <c r="AI978" i="2"/>
  <c r="AH980" i="2" l="1"/>
  <c r="AI979" i="2"/>
  <c r="AH981" i="2" l="1"/>
  <c r="AI980" i="2"/>
  <c r="AH982" i="2" l="1"/>
  <c r="AI981" i="2"/>
  <c r="AH983" i="2" l="1"/>
  <c r="AI982" i="2"/>
  <c r="AH984" i="2" l="1"/>
  <c r="AI983" i="2"/>
  <c r="AH985" i="2" l="1"/>
  <c r="AI984" i="2"/>
  <c r="AH986" i="2" l="1"/>
  <c r="AI985" i="2"/>
  <c r="AH987" i="2" l="1"/>
  <c r="AI986" i="2"/>
  <c r="AH988" i="2" l="1"/>
  <c r="AI987" i="2"/>
  <c r="AH989" i="2" l="1"/>
  <c r="AI988" i="2"/>
  <c r="AH990" i="2" l="1"/>
  <c r="AI989" i="2"/>
  <c r="AH991" i="2" l="1"/>
  <c r="AI990" i="2"/>
  <c r="AH992" i="2" l="1"/>
  <c r="AI991" i="2"/>
  <c r="AH993" i="2" l="1"/>
  <c r="AI992" i="2"/>
  <c r="AH994" i="2" l="1"/>
  <c r="AI993" i="2"/>
  <c r="AH995" i="2" l="1"/>
  <c r="AI994" i="2"/>
  <c r="AH996" i="2" l="1"/>
  <c r="AI995" i="2"/>
  <c r="AH997" i="2" l="1"/>
  <c r="AI996" i="2"/>
  <c r="AH998" i="2" l="1"/>
  <c r="AI997" i="2"/>
  <c r="AH999" i="2" l="1"/>
  <c r="AI998" i="2"/>
  <c r="AH1000" i="2" l="1"/>
  <c r="AI999" i="2"/>
  <c r="AH1001" i="2" l="1"/>
  <c r="AI1000" i="2"/>
  <c r="AH1002" i="2" l="1"/>
  <c r="AI1001" i="2"/>
  <c r="AH1003" i="2" l="1"/>
  <c r="AI1002" i="2"/>
  <c r="AH1004" i="2" l="1"/>
  <c r="AI1003" i="2"/>
  <c r="AH1005" i="2" l="1"/>
  <c r="AI1004" i="2"/>
  <c r="AH1006" i="2" l="1"/>
  <c r="AI1005" i="2"/>
  <c r="AH1007" i="2" l="1"/>
  <c r="AI1006" i="2"/>
  <c r="AH1008" i="2" l="1"/>
  <c r="AI1007" i="2"/>
  <c r="AH1009" i="2" l="1"/>
  <c r="AI1008" i="2"/>
  <c r="AH1010" i="2" l="1"/>
  <c r="AI1009" i="2"/>
  <c r="AH1011" i="2" l="1"/>
  <c r="AI1010" i="2"/>
  <c r="AH1012" i="2" l="1"/>
  <c r="AI1011" i="2"/>
  <c r="AH1013" i="2" l="1"/>
  <c r="AI1012" i="2"/>
  <c r="AH1014" i="2" l="1"/>
  <c r="AI1013" i="2"/>
  <c r="AH1015" i="2" l="1"/>
  <c r="AI1014" i="2"/>
  <c r="AH1016" i="2" l="1"/>
  <c r="AI1015" i="2"/>
  <c r="AH1017" i="2" l="1"/>
  <c r="AI1016" i="2"/>
  <c r="AH1018" i="2" l="1"/>
  <c r="AI1017" i="2"/>
  <c r="AH1019" i="2" l="1"/>
  <c r="AI1018" i="2"/>
  <c r="AH1020" i="2" l="1"/>
  <c r="AI1019" i="2"/>
  <c r="AH1021" i="2" l="1"/>
  <c r="AI1020" i="2"/>
  <c r="AH1022" i="2" l="1"/>
  <c r="AI1021" i="2"/>
  <c r="AH1023" i="2" l="1"/>
  <c r="AI1022" i="2"/>
  <c r="AH1024" i="2" l="1"/>
  <c r="AI1023" i="2"/>
  <c r="AH1025" i="2" l="1"/>
  <c r="AI1024" i="2"/>
  <c r="AH1026" i="2" l="1"/>
  <c r="AI1025" i="2"/>
  <c r="AH1027" i="2" l="1"/>
  <c r="AI1026" i="2"/>
  <c r="AH1028" i="2" l="1"/>
  <c r="AI1027" i="2"/>
  <c r="AH1029" i="2" l="1"/>
  <c r="AI1028" i="2"/>
  <c r="AH1030" i="2" l="1"/>
  <c r="AI1029" i="2"/>
  <c r="AH1031" i="2" l="1"/>
  <c r="AI1030" i="2"/>
  <c r="AH1032" i="2" l="1"/>
  <c r="AI1031" i="2"/>
  <c r="AH1033" i="2" l="1"/>
  <c r="AI1032" i="2"/>
  <c r="AH1034" i="2" l="1"/>
  <c r="AI1033" i="2"/>
  <c r="AH1035" i="2" l="1"/>
  <c r="AI1034" i="2"/>
  <c r="AH1036" i="2" l="1"/>
  <c r="AI1035" i="2"/>
  <c r="AH1037" i="2" l="1"/>
  <c r="AI1036" i="2"/>
  <c r="AH1038" i="2" l="1"/>
  <c r="AI1037" i="2"/>
  <c r="AH1039" i="2" l="1"/>
  <c r="AI1038" i="2"/>
  <c r="AH1040" i="2" l="1"/>
  <c r="AI1039" i="2"/>
  <c r="AH1041" i="2" l="1"/>
  <c r="AI1040" i="2"/>
  <c r="AH1042" i="2" l="1"/>
  <c r="AI1041" i="2"/>
  <c r="AH1043" i="2" l="1"/>
  <c r="AI1042" i="2"/>
  <c r="AH1044" i="2" l="1"/>
  <c r="AI1043" i="2"/>
  <c r="AH1045" i="2" l="1"/>
  <c r="AI1044" i="2"/>
  <c r="AH1046" i="2" l="1"/>
  <c r="AI1045" i="2"/>
  <c r="AH1047" i="2" l="1"/>
  <c r="AI1046" i="2"/>
  <c r="AH1048" i="2" l="1"/>
  <c r="AI1047" i="2"/>
  <c r="AH1049" i="2" l="1"/>
  <c r="AI1048" i="2"/>
  <c r="AH1050" i="2" l="1"/>
  <c r="AI1049" i="2"/>
  <c r="AH1051" i="2" l="1"/>
  <c r="AI1050" i="2"/>
  <c r="AH1052" i="2" l="1"/>
  <c r="AI1051" i="2"/>
  <c r="AH1053" i="2" l="1"/>
  <c r="AI1052" i="2"/>
  <c r="AH1054" i="2" l="1"/>
  <c r="AI1053" i="2"/>
  <c r="AH1055" i="2" l="1"/>
  <c r="AI1054" i="2"/>
  <c r="AH1056" i="2" l="1"/>
  <c r="AI1055" i="2"/>
  <c r="AH1057" i="2" l="1"/>
  <c r="AI1056" i="2"/>
  <c r="AH1058" i="2" l="1"/>
  <c r="AI1057" i="2"/>
  <c r="AH1059" i="2" l="1"/>
  <c r="AI1058" i="2"/>
  <c r="AH1060" i="2" l="1"/>
  <c r="AI1059" i="2"/>
  <c r="AH1061" i="2" l="1"/>
  <c r="AI1060" i="2"/>
  <c r="AH1062" i="2" l="1"/>
  <c r="AI1061" i="2"/>
  <c r="AH1063" i="2" l="1"/>
  <c r="AI1062" i="2"/>
  <c r="AH1064" i="2" l="1"/>
  <c r="AI1063" i="2"/>
  <c r="AH1065" i="2" l="1"/>
  <c r="AI1064" i="2"/>
  <c r="AH1066" i="2" l="1"/>
  <c r="AI1065" i="2"/>
  <c r="AH1067" i="2" l="1"/>
  <c r="AI1066" i="2"/>
  <c r="AH1068" i="2" l="1"/>
  <c r="AI1067" i="2"/>
  <c r="AH1069" i="2" l="1"/>
  <c r="AI1068" i="2"/>
  <c r="AH1070" i="2" l="1"/>
  <c r="AI1069" i="2"/>
  <c r="AH1071" i="2" l="1"/>
  <c r="AI1070" i="2"/>
  <c r="AH1072" i="2" l="1"/>
  <c r="AI1071" i="2"/>
  <c r="AH1073" i="2" l="1"/>
  <c r="AI1072" i="2"/>
  <c r="AH1074" i="2" l="1"/>
  <c r="AI1073" i="2"/>
  <c r="AH1075" i="2" l="1"/>
  <c r="AI1074" i="2"/>
  <c r="AH1076" i="2" l="1"/>
  <c r="AI1075" i="2"/>
  <c r="AH1077" i="2" l="1"/>
  <c r="AI1076" i="2"/>
  <c r="AH1078" i="2" l="1"/>
  <c r="AI1077" i="2"/>
  <c r="AH1079" i="2" l="1"/>
  <c r="AI1078" i="2"/>
  <c r="AH1080" i="2" l="1"/>
  <c r="AI1079" i="2"/>
  <c r="AH1081" i="2" l="1"/>
  <c r="AI1080" i="2"/>
  <c r="AH1082" i="2" l="1"/>
  <c r="AI1081" i="2"/>
  <c r="AH1083" i="2" l="1"/>
  <c r="AI1082" i="2"/>
  <c r="AH1084" i="2" l="1"/>
  <c r="AI1083" i="2"/>
  <c r="AH1085" i="2" l="1"/>
  <c r="AI1084" i="2"/>
  <c r="AH1086" i="2" l="1"/>
  <c r="AI1085" i="2"/>
  <c r="AH1087" i="2" l="1"/>
  <c r="AI1086" i="2"/>
  <c r="AH1088" i="2" l="1"/>
  <c r="AI1087" i="2"/>
  <c r="AH1089" i="2" l="1"/>
  <c r="AI1088" i="2"/>
  <c r="AH1090" i="2" l="1"/>
  <c r="AI1089" i="2"/>
  <c r="AH1091" i="2" l="1"/>
  <c r="AI1090" i="2"/>
  <c r="AH1092" i="2" l="1"/>
  <c r="AI1091" i="2"/>
  <c r="AH1093" i="2" l="1"/>
  <c r="AI1092" i="2"/>
  <c r="AH1094" i="2" l="1"/>
  <c r="AI1093" i="2"/>
  <c r="AH1095" i="2" l="1"/>
  <c r="AI1094" i="2"/>
  <c r="AH1096" i="2" l="1"/>
  <c r="AI1095" i="2"/>
  <c r="AH1097" i="2" l="1"/>
  <c r="AI1096" i="2"/>
  <c r="AH1098" i="2" l="1"/>
  <c r="AI1097" i="2"/>
  <c r="AH1099" i="2" l="1"/>
  <c r="AI1098" i="2"/>
  <c r="AH1100" i="2" l="1"/>
  <c r="AI1099" i="2"/>
  <c r="AH1101" i="2" l="1"/>
  <c r="AI1100" i="2"/>
  <c r="AH1102" i="2" l="1"/>
  <c r="AI1101" i="2"/>
  <c r="AH1103" i="2" l="1"/>
  <c r="AI1102" i="2"/>
  <c r="AH1104" i="2" l="1"/>
  <c r="AI1103" i="2"/>
  <c r="AH1105" i="2" l="1"/>
  <c r="AI1104" i="2"/>
  <c r="AH1106" i="2" l="1"/>
  <c r="AI1105" i="2"/>
  <c r="AH1107" i="2" l="1"/>
  <c r="AI1106" i="2"/>
  <c r="AH1108" i="2" l="1"/>
  <c r="AI1107" i="2"/>
  <c r="AH1109" i="2" l="1"/>
  <c r="AI1108" i="2"/>
  <c r="AH1110" i="2" l="1"/>
  <c r="AI1109" i="2"/>
  <c r="AH1111" i="2" l="1"/>
  <c r="AI1110" i="2"/>
  <c r="AH1112" i="2" l="1"/>
  <c r="AI1111" i="2"/>
  <c r="AH1113" i="2" l="1"/>
  <c r="AI1112" i="2"/>
  <c r="AH1114" i="2" l="1"/>
  <c r="AI1113" i="2"/>
  <c r="AH1115" i="2" l="1"/>
  <c r="AI1114" i="2"/>
  <c r="AH1116" i="2" l="1"/>
  <c r="AI1115" i="2"/>
  <c r="AH1117" i="2" l="1"/>
  <c r="AI1116" i="2"/>
  <c r="AH1118" i="2" l="1"/>
  <c r="AI1117" i="2"/>
  <c r="AH1119" i="2" l="1"/>
  <c r="AI1118" i="2"/>
  <c r="AH1120" i="2" l="1"/>
  <c r="AI1119" i="2"/>
  <c r="AH1121" i="2" l="1"/>
  <c r="AI1120" i="2"/>
  <c r="AH1122" i="2" l="1"/>
  <c r="AI1121" i="2"/>
  <c r="AH1123" i="2" l="1"/>
  <c r="AI1122" i="2"/>
  <c r="AH1124" i="2" l="1"/>
  <c r="AI1123" i="2"/>
  <c r="AH1125" i="2" l="1"/>
  <c r="AI1124" i="2"/>
  <c r="AH1126" i="2" l="1"/>
  <c r="AI1125" i="2"/>
  <c r="AH1127" i="2" l="1"/>
  <c r="AI1126" i="2"/>
  <c r="AH1128" i="2" l="1"/>
  <c r="AI1127" i="2"/>
  <c r="AH1129" i="2" l="1"/>
  <c r="AI1128" i="2"/>
  <c r="AH1130" i="2" l="1"/>
  <c r="AI1129" i="2"/>
  <c r="AH1131" i="2" l="1"/>
  <c r="AI1130" i="2"/>
  <c r="AH1132" i="2" l="1"/>
  <c r="AI1131" i="2"/>
  <c r="AH1133" i="2" l="1"/>
  <c r="AI1132" i="2"/>
  <c r="AH1134" i="2" l="1"/>
  <c r="AI1133" i="2"/>
  <c r="AH1135" i="2" l="1"/>
  <c r="AI1134" i="2"/>
  <c r="AH1136" i="2" l="1"/>
  <c r="AI1135" i="2"/>
  <c r="AH1137" i="2" l="1"/>
  <c r="AI1136" i="2"/>
  <c r="AH1138" i="2" l="1"/>
  <c r="AI1137" i="2"/>
  <c r="AH1139" i="2" l="1"/>
  <c r="AI1138" i="2"/>
  <c r="AH1140" i="2" l="1"/>
  <c r="AI1139" i="2"/>
  <c r="AH1141" i="2" l="1"/>
  <c r="AI1140" i="2"/>
  <c r="AH1142" i="2" l="1"/>
  <c r="AI1141" i="2"/>
  <c r="AH1143" i="2" l="1"/>
  <c r="AI1142" i="2"/>
  <c r="AH1144" i="2" l="1"/>
  <c r="AI1143" i="2"/>
  <c r="AH1145" i="2" l="1"/>
  <c r="AI1144" i="2"/>
  <c r="AH1146" i="2" l="1"/>
  <c r="AI1145" i="2"/>
  <c r="AH1147" i="2" l="1"/>
  <c r="AI1146" i="2"/>
  <c r="AH1148" i="2" l="1"/>
  <c r="AI1147" i="2"/>
  <c r="AH1149" i="2" l="1"/>
  <c r="AI1148" i="2"/>
  <c r="AH1150" i="2" l="1"/>
  <c r="AI1149" i="2"/>
  <c r="AH1151" i="2" l="1"/>
  <c r="AI1150" i="2"/>
  <c r="AH1152" i="2" l="1"/>
  <c r="AI1151" i="2"/>
  <c r="AH1153" i="2" l="1"/>
  <c r="AI1152" i="2"/>
  <c r="AH1154" i="2" l="1"/>
  <c r="AI1153" i="2"/>
  <c r="AH1155" i="2" l="1"/>
  <c r="AI1154" i="2"/>
  <c r="AH1156" i="2" l="1"/>
  <c r="AI1155" i="2"/>
  <c r="AH1157" i="2" l="1"/>
  <c r="AI1156" i="2"/>
  <c r="AH1158" i="2" l="1"/>
  <c r="AI1157" i="2"/>
  <c r="AH1159" i="2" l="1"/>
  <c r="AI1158" i="2"/>
  <c r="AH1160" i="2" l="1"/>
  <c r="AI1159" i="2"/>
  <c r="AH1161" i="2" l="1"/>
  <c r="AI1160" i="2"/>
  <c r="AH1162" i="2" l="1"/>
  <c r="AI1161" i="2"/>
  <c r="AH1163" i="2" l="1"/>
  <c r="AI1162" i="2"/>
  <c r="AH1164" i="2" l="1"/>
  <c r="AI1163" i="2"/>
  <c r="AH1165" i="2" l="1"/>
  <c r="AI1164" i="2"/>
  <c r="AH1166" i="2" l="1"/>
  <c r="AI1165" i="2"/>
  <c r="AH1167" i="2" l="1"/>
  <c r="AI1166" i="2"/>
  <c r="AH1168" i="2" l="1"/>
  <c r="AI1167" i="2"/>
  <c r="AH1169" i="2" l="1"/>
  <c r="AI1168" i="2"/>
  <c r="AH1170" i="2" l="1"/>
  <c r="AI1169" i="2"/>
  <c r="AH1171" i="2" l="1"/>
  <c r="AI1170" i="2"/>
  <c r="AH1172" i="2" l="1"/>
  <c r="AI1171" i="2"/>
  <c r="AH1173" i="2" l="1"/>
  <c r="AI1172" i="2"/>
  <c r="AH1174" i="2" l="1"/>
  <c r="AI1173" i="2"/>
  <c r="AH1175" i="2" l="1"/>
  <c r="AI1174" i="2"/>
  <c r="AH1176" i="2" l="1"/>
  <c r="AI1175" i="2"/>
  <c r="AH1177" i="2" l="1"/>
  <c r="AI1176" i="2"/>
  <c r="AH1178" i="2" l="1"/>
  <c r="AI1177" i="2"/>
  <c r="AH1179" i="2" l="1"/>
  <c r="AI1178" i="2"/>
  <c r="AH1180" i="2" l="1"/>
  <c r="AI1179" i="2"/>
  <c r="AH1181" i="2" l="1"/>
  <c r="AI1180" i="2"/>
  <c r="AH1182" i="2" l="1"/>
  <c r="AI1181" i="2"/>
  <c r="AH1183" i="2" l="1"/>
  <c r="AI1182" i="2"/>
  <c r="AH1184" i="2" l="1"/>
  <c r="AI1183" i="2"/>
  <c r="AH1185" i="2" l="1"/>
  <c r="AI1184" i="2"/>
  <c r="AH1186" i="2" l="1"/>
  <c r="AI1185" i="2"/>
  <c r="AH1187" i="2" l="1"/>
  <c r="AI1186" i="2"/>
  <c r="AH1188" i="2" l="1"/>
  <c r="AI1187" i="2"/>
  <c r="AH1189" i="2" l="1"/>
  <c r="AI1188" i="2"/>
  <c r="AH1190" i="2" l="1"/>
  <c r="AI1189" i="2"/>
  <c r="AH1191" i="2" l="1"/>
  <c r="AI1190" i="2"/>
  <c r="AH1192" i="2" l="1"/>
  <c r="AI1191" i="2"/>
  <c r="AH1193" i="2" l="1"/>
  <c r="AI1192" i="2"/>
  <c r="AH1194" i="2" l="1"/>
  <c r="AI1193" i="2"/>
  <c r="AH1195" i="2" l="1"/>
  <c r="AI1194" i="2"/>
  <c r="AH1196" i="2" l="1"/>
  <c r="AI1195" i="2"/>
  <c r="AH1197" i="2" l="1"/>
  <c r="AI1196" i="2"/>
  <c r="AH1198" i="2" l="1"/>
  <c r="AI1197" i="2"/>
  <c r="AH1199" i="2" l="1"/>
  <c r="AI1198" i="2"/>
  <c r="AH1200" i="2" l="1"/>
  <c r="AI1199" i="2"/>
  <c r="AH1201" i="2" l="1"/>
  <c r="AI1200" i="2"/>
  <c r="AH1202" i="2" l="1"/>
  <c r="AI1201" i="2"/>
  <c r="AH1203" i="2" l="1"/>
  <c r="AI1202" i="2"/>
  <c r="AH1204" i="2" l="1"/>
  <c r="AI1203" i="2"/>
  <c r="AH1205" i="2" l="1"/>
  <c r="AI1204" i="2"/>
  <c r="AH1206" i="2" l="1"/>
  <c r="AI1205" i="2"/>
  <c r="AH1207" i="2" l="1"/>
  <c r="AI1206" i="2"/>
  <c r="AH1208" i="2" l="1"/>
  <c r="AI1207" i="2"/>
  <c r="AH1209" i="2" l="1"/>
  <c r="AI1208" i="2"/>
  <c r="AH1210" i="2" l="1"/>
  <c r="AI1209" i="2"/>
  <c r="AH1211" i="2" l="1"/>
  <c r="AI1210" i="2"/>
  <c r="AH1212" i="2" l="1"/>
  <c r="AI1211" i="2"/>
  <c r="AH1213" i="2" l="1"/>
  <c r="AI1212" i="2"/>
  <c r="AH1214" i="2" l="1"/>
  <c r="AI1213" i="2"/>
  <c r="AH1215" i="2" l="1"/>
  <c r="AI1214" i="2"/>
  <c r="AH1216" i="2" l="1"/>
  <c r="AI1215" i="2"/>
  <c r="AH1217" i="2" l="1"/>
  <c r="AI1216" i="2"/>
  <c r="AH1218" i="2" l="1"/>
  <c r="AI1217" i="2"/>
  <c r="AH1219" i="2" l="1"/>
  <c r="AI1218" i="2"/>
  <c r="AH1220" i="2" l="1"/>
  <c r="AI1219" i="2"/>
  <c r="AH1221" i="2" l="1"/>
  <c r="AI1220" i="2"/>
  <c r="AH1222" i="2" l="1"/>
  <c r="AI1221" i="2"/>
  <c r="AH1223" i="2" l="1"/>
  <c r="AI1222" i="2"/>
  <c r="AH1224" i="2" l="1"/>
  <c r="AI1223" i="2"/>
  <c r="AH1225" i="2" l="1"/>
  <c r="AI1224" i="2"/>
  <c r="AH1226" i="2" l="1"/>
  <c r="AI1225" i="2"/>
  <c r="AH1227" i="2" l="1"/>
  <c r="AI1226" i="2"/>
  <c r="AH1228" i="2" l="1"/>
  <c r="AI1227" i="2"/>
  <c r="AH1229" i="2" l="1"/>
  <c r="AI1228" i="2"/>
  <c r="AH1230" i="2" l="1"/>
  <c r="AI1229" i="2"/>
  <c r="AH1231" i="2" l="1"/>
  <c r="AI1230" i="2"/>
  <c r="AH1232" i="2" l="1"/>
  <c r="AI1231" i="2"/>
  <c r="AH1233" i="2" l="1"/>
  <c r="AI1232" i="2"/>
  <c r="AH1234" i="2" l="1"/>
  <c r="AI1233" i="2"/>
  <c r="AH1235" i="2" l="1"/>
  <c r="AI1234" i="2"/>
  <c r="AH1236" i="2" l="1"/>
  <c r="AI1235" i="2"/>
  <c r="AH1237" i="2" l="1"/>
  <c r="AI1236" i="2"/>
  <c r="AH1238" i="2" l="1"/>
  <c r="AI1237" i="2"/>
  <c r="AH1239" i="2" l="1"/>
  <c r="AI1238" i="2"/>
  <c r="AH1240" i="2" l="1"/>
  <c r="AI1239" i="2"/>
  <c r="AH1241" i="2" l="1"/>
  <c r="AI1240" i="2"/>
  <c r="AH1242" i="2" l="1"/>
  <c r="AI1241" i="2"/>
  <c r="AH1243" i="2" l="1"/>
  <c r="AI1242" i="2"/>
  <c r="AH1244" i="2" l="1"/>
  <c r="AI1243" i="2"/>
  <c r="AH1245" i="2" l="1"/>
  <c r="AI1244" i="2"/>
  <c r="AH1246" i="2" l="1"/>
  <c r="AI1245" i="2"/>
  <c r="AH1247" i="2" l="1"/>
  <c r="AI1246" i="2"/>
  <c r="AH1248" i="2" l="1"/>
  <c r="AI1247" i="2"/>
  <c r="AH1249" i="2" l="1"/>
  <c r="AI1248" i="2"/>
  <c r="AH1250" i="2" l="1"/>
  <c r="AI1249" i="2"/>
  <c r="AH1251" i="2" l="1"/>
  <c r="AI1250" i="2"/>
  <c r="AH1252" i="2" l="1"/>
  <c r="AI1251" i="2"/>
  <c r="AH1253" i="2" l="1"/>
  <c r="AI1252" i="2"/>
  <c r="AH1254" i="2" l="1"/>
  <c r="AI1253" i="2"/>
  <c r="AH1255" i="2" l="1"/>
  <c r="AI1254" i="2"/>
  <c r="AH1256" i="2" l="1"/>
  <c r="AI1255" i="2"/>
  <c r="AH1257" i="2" l="1"/>
  <c r="AI1256" i="2"/>
  <c r="AH1258" i="2" l="1"/>
  <c r="AI1257" i="2"/>
  <c r="AH1259" i="2" l="1"/>
  <c r="AI1258" i="2"/>
  <c r="AH1260" i="2" l="1"/>
  <c r="AI1259" i="2"/>
  <c r="AH1261" i="2" l="1"/>
  <c r="AI1260" i="2"/>
  <c r="AH1262" i="2" l="1"/>
  <c r="AI1261" i="2"/>
  <c r="AH1263" i="2" l="1"/>
  <c r="AI1262" i="2"/>
  <c r="AH1264" i="2" l="1"/>
  <c r="AI1263" i="2"/>
  <c r="AH1265" i="2" l="1"/>
  <c r="AI1264" i="2"/>
  <c r="AH1266" i="2" l="1"/>
  <c r="AI1265" i="2"/>
  <c r="AH1267" i="2" l="1"/>
  <c r="AI1266" i="2"/>
  <c r="AH1268" i="2" l="1"/>
  <c r="AI1267" i="2"/>
  <c r="AH1269" i="2" l="1"/>
  <c r="AI1268" i="2"/>
  <c r="AH1270" i="2" l="1"/>
  <c r="AI1269" i="2"/>
  <c r="AH1271" i="2" l="1"/>
  <c r="AI1270" i="2"/>
  <c r="AH1272" i="2" l="1"/>
  <c r="AI1271" i="2"/>
  <c r="AH1273" i="2" l="1"/>
  <c r="AI1272" i="2"/>
  <c r="AH1274" i="2" l="1"/>
  <c r="AI1273" i="2"/>
  <c r="AH1275" i="2" l="1"/>
  <c r="AI1274" i="2"/>
  <c r="AH1276" i="2" l="1"/>
  <c r="AI1275" i="2"/>
  <c r="AH1277" i="2" l="1"/>
  <c r="AI1276" i="2"/>
  <c r="AH1278" i="2" l="1"/>
  <c r="AI1277" i="2"/>
  <c r="AH1279" i="2" l="1"/>
  <c r="AI1278" i="2"/>
  <c r="AH1280" i="2" l="1"/>
  <c r="AI1279" i="2"/>
  <c r="AH1281" i="2" l="1"/>
  <c r="AI1280" i="2"/>
  <c r="AH1282" i="2" l="1"/>
  <c r="AI1281" i="2"/>
  <c r="AH1283" i="2" l="1"/>
  <c r="AI1282" i="2"/>
  <c r="AH1284" i="2" l="1"/>
  <c r="AI1283" i="2"/>
  <c r="AH1285" i="2" l="1"/>
  <c r="AI1284" i="2"/>
  <c r="AH1286" i="2" l="1"/>
  <c r="AI1285" i="2"/>
  <c r="AH1287" i="2" l="1"/>
  <c r="AI1286" i="2"/>
  <c r="AH1288" i="2" l="1"/>
  <c r="AI1287" i="2"/>
  <c r="AH1289" i="2" l="1"/>
  <c r="AI1288" i="2"/>
  <c r="AH1290" i="2" l="1"/>
  <c r="AI1289" i="2"/>
  <c r="AH1291" i="2" l="1"/>
  <c r="AI1290" i="2"/>
  <c r="AH1292" i="2" l="1"/>
  <c r="AI1291" i="2"/>
  <c r="AH1293" i="2" l="1"/>
  <c r="AI1292" i="2"/>
  <c r="AH1294" i="2" l="1"/>
  <c r="AI1293" i="2"/>
  <c r="AH1295" i="2" l="1"/>
  <c r="AI1294" i="2"/>
  <c r="AH1296" i="2" l="1"/>
  <c r="AI1295" i="2"/>
  <c r="AH1297" i="2" l="1"/>
  <c r="AI1296" i="2"/>
  <c r="AH1298" i="2" l="1"/>
  <c r="AI1297" i="2"/>
  <c r="AH1299" i="2" l="1"/>
  <c r="AI1298" i="2"/>
  <c r="AH1300" i="2" l="1"/>
  <c r="AI1300" i="2" s="1"/>
  <c r="AI1299" i="2"/>
  <c r="AN28" i="2" l="1"/>
  <c r="AN35" i="2"/>
  <c r="AN29" i="2"/>
  <c r="AN34" i="2"/>
  <c r="AN43" i="2"/>
  <c r="AN37" i="2"/>
  <c r="AN50" i="2"/>
  <c r="AN47" i="2"/>
  <c r="AN30" i="2"/>
  <c r="AN48" i="2"/>
  <c r="AN38" i="2"/>
  <c r="AN45" i="2"/>
  <c r="AN36" i="2"/>
  <c r="AN33" i="2"/>
  <c r="AN41" i="2"/>
  <c r="AN32" i="2"/>
  <c r="AN40" i="2"/>
  <c r="AN42" i="2"/>
  <c r="AN44" i="2"/>
  <c r="AN46" i="2"/>
  <c r="AN49" i="2"/>
  <c r="AN51" i="2"/>
  <c r="AN31" i="2"/>
  <c r="AN39" i="2"/>
  <c r="AO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Bongiovi, Giuseppe</author>
    <author>Source</author>
  </authors>
  <commentList>
    <comment ref="H103" authorId="0" shapeId="0" xr:uid="{FC5AA11B-E3FB-4063-BD49-B01E0ABF8D37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03" authorId="0" shapeId="0" xr:uid="{1FC7ECE3-AA22-4831-9715-EEDCB0433F15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03" authorId="0" shapeId="0" xr:uid="{85B4F232-AD11-4736-8CDC-D95330CE7A4A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04" authorId="0" shapeId="0" xr:uid="{8533B162-2ED9-4E22-ADD2-7D3B1018FAF2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04" authorId="0" shapeId="0" xr:uid="{5696F867-EA9B-4A91-BE78-0CB7F1F379AE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04" authorId="0" shapeId="0" xr:uid="{B5A1BCB0-C8B0-4812-9F3D-B48373C2AD39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05" authorId="0" shapeId="0" xr:uid="{903A2146-8CBB-4CDA-A7A3-E73B02264F40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05" authorId="0" shapeId="0" xr:uid="{679C9928-8ABA-47D0-A09A-AED9DBF4B52F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05" authorId="0" shapeId="0" xr:uid="{6EB72277-9FFD-4753-8CA3-CE0D8F5CBECD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06" authorId="0" shapeId="0" xr:uid="{F3EC56F4-B608-457D-9266-20A6EEA17E7A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06" authorId="0" shapeId="0" xr:uid="{8758753E-F681-4723-9B36-8C671230D18D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06" authorId="0" shapeId="0" xr:uid="{F85DEFFB-EC32-4F61-AD5F-BB1085C8D9BA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07" authorId="0" shapeId="0" xr:uid="{0066B353-6182-4E56-A7D2-02D13BCC06B1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07" authorId="0" shapeId="0" xr:uid="{18C93D82-E210-4D7F-B0F6-1D905F3515D0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07" authorId="0" shapeId="0" xr:uid="{774C93E9-5445-4A0C-98BA-540BC2233805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08" authorId="0" shapeId="0" xr:uid="{B97AF68B-C888-49C5-87FA-C5B97E0D57DC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08" authorId="0" shapeId="0" xr:uid="{EF426797-D067-45D5-A5BF-CF50720948A4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08" authorId="0" shapeId="0" xr:uid="{3A4F5476-D320-4C9A-85FA-8D61A25B9DC3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09" authorId="0" shapeId="0" xr:uid="{08068CAE-F043-4AB0-BF9B-62463067825D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09" authorId="0" shapeId="0" xr:uid="{CA5A5977-4E58-4B36-AA5B-C4EC31600DB0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09" authorId="0" shapeId="0" xr:uid="{78244E40-0743-4BA7-8B3E-BC5353156518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10" authorId="0" shapeId="0" xr:uid="{F2ADAE6F-4C04-4709-8026-550B386D8E20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10" authorId="0" shapeId="0" xr:uid="{24F9A3E6-26DA-4937-97A9-6B51897F6620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10" authorId="0" shapeId="0" xr:uid="{5B95C8B1-636D-4E61-A00E-2F10497FB860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11" authorId="0" shapeId="0" xr:uid="{82FFD299-3CEC-41AF-98FC-E8357C43B88C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11" authorId="0" shapeId="0" xr:uid="{9DDC647D-6EC5-45C1-9CBB-9FCF48EBF3FA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11" authorId="0" shapeId="0" xr:uid="{E165F44C-E243-4503-A129-4ED7BEDB3489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12" authorId="0" shapeId="0" xr:uid="{6157D0AE-8F9F-4BAF-88CF-F1990E28646F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12" authorId="0" shapeId="0" xr:uid="{BB636D27-E703-4707-B0C7-C7F501FCB9AF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12" authorId="0" shapeId="0" xr:uid="{A856AF77-5494-4A23-B5AF-EADA08733831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13" authorId="0" shapeId="0" xr:uid="{5FF9A23A-78EC-4777-8CD3-5A0E377FF860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13" authorId="0" shapeId="0" xr:uid="{1865D096-AD1E-421F-8EE8-FFBE5BF42AA7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13" authorId="0" shapeId="0" xr:uid="{833B7DC9-6B01-4516-9BD5-C3DBAE380086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14" authorId="0" shapeId="0" xr:uid="{14F83C23-ADF5-4A87-9796-41F41FFD1E43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14" authorId="0" shapeId="0" xr:uid="{05BC1087-25F6-4FA8-8022-E196A39B36C3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14" authorId="0" shapeId="0" xr:uid="{EE8943F2-5574-47D3-A466-33E2E3D0701B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15" authorId="0" shapeId="0" xr:uid="{25FDC4E9-472D-456E-9BE9-30B3F61300F2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15" authorId="0" shapeId="0" xr:uid="{F974468F-D705-40C2-B3A0-1ACE9B7E9DA8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15" authorId="0" shapeId="0" xr:uid="{45810954-4F63-4BDC-BAC2-B582733D1A2D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16" authorId="0" shapeId="0" xr:uid="{3D3090AC-36DE-48CA-942D-6197B48FAA29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16" authorId="0" shapeId="0" xr:uid="{E5037653-E862-439B-B3E6-D889C312062B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16" authorId="0" shapeId="0" xr:uid="{E885AEE3-BF37-4C6D-BE73-A709A48704A5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17" authorId="0" shapeId="0" xr:uid="{E6E975E6-1A2E-4854-BBAD-0A8C73083E8F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17" authorId="0" shapeId="0" xr:uid="{1E1122E3-45FB-4628-A2ED-E2FD224AE7FB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17" authorId="0" shapeId="0" xr:uid="{52E0CAA0-CCB2-4FFB-AA45-36BFB33EEEA8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18" authorId="0" shapeId="0" xr:uid="{B1581E37-DD71-4C90-AA83-C068B5935E87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18" authorId="0" shapeId="0" xr:uid="{FB97309E-A2B4-4C49-A695-5A6B32FD704E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18" authorId="0" shapeId="0" xr:uid="{5BF588F5-DB23-4C2B-BA64-5CFC49A4B885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19" authorId="0" shapeId="0" xr:uid="{4E98836E-F5C6-4AD1-A4E1-D7D0F54CB1F3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19" authorId="0" shapeId="0" xr:uid="{525EB299-99EA-40DC-AD2C-4AE42E8BEA94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19" authorId="0" shapeId="0" xr:uid="{AC50A1D8-11A9-4941-9F24-44E201051E87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20" authorId="0" shapeId="0" xr:uid="{49BE8D04-4990-4E5A-8C41-F8CE1872B3BA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20" authorId="0" shapeId="0" xr:uid="{EF613D4B-9F4D-4FB9-B7F0-0035569BBF53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20" authorId="0" shapeId="0" xr:uid="{23FA489F-AD7A-43D8-B7D2-CD1825C72F64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21" authorId="0" shapeId="0" xr:uid="{6E7EDF67-28C0-4A47-A94B-31B6D4E2C63F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21" authorId="0" shapeId="0" xr:uid="{56B2CD3F-3533-45EB-BD3F-0CB41B402730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21" authorId="0" shapeId="0" xr:uid="{BA18B4AA-BCEC-4989-BB11-C625C3EE0A07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22" authorId="0" shapeId="0" xr:uid="{3770396A-A835-4204-889C-AFB2980DFDD6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22" authorId="0" shapeId="0" xr:uid="{87111A2F-9EEC-4180-9096-F786C8488240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22" authorId="0" shapeId="0" xr:uid="{CA10284B-2967-441B-B6D4-D304D0C517B1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23" authorId="0" shapeId="0" xr:uid="{7DB5750B-EBE0-4BBD-9B33-08EAFA06D2E6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23" authorId="0" shapeId="0" xr:uid="{E73FC734-B51E-4BB6-A223-5BD3B6B2C074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23" authorId="0" shapeId="0" xr:uid="{C994258C-A151-4610-8FAC-72A725F1107A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24" authorId="0" shapeId="0" xr:uid="{5FEC77D5-D080-483B-AE81-847A80BCE0D6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24" authorId="0" shapeId="0" xr:uid="{CB35AF49-A1CF-407C-8CE1-627F68432138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24" authorId="0" shapeId="0" xr:uid="{83D3108F-96BF-4AF3-A951-82CAE4CDADCA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25" authorId="0" shapeId="0" xr:uid="{CE72AB12-CB8D-41D6-8420-A5E4EEC9EEFE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25" authorId="0" shapeId="0" xr:uid="{7A59595D-E5E1-4796-AD43-247BE3F79F43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25" authorId="0" shapeId="0" xr:uid="{53EF7FBB-4A56-4A0D-B35C-B93160FE275F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26" authorId="0" shapeId="0" xr:uid="{1BFDED8E-67CA-461E-AAC5-58D90F1E2FC1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26" authorId="0" shapeId="0" xr:uid="{80CE723C-C7DE-46C2-9E2F-B59B7E117B6E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26" authorId="0" shapeId="0" xr:uid="{5AB8C8EB-A0A4-4BB3-91F1-44381FC1110E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27" authorId="0" shapeId="0" xr:uid="{6FE419C3-8E29-428C-B369-6ED630112F5D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27" authorId="0" shapeId="0" xr:uid="{DE57B374-2B65-4D3C-B2AC-729D49359755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27" authorId="0" shapeId="0" xr:uid="{EDE9E6BD-38BD-4488-B3A6-BFAE46477E2B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128" authorId="0" shapeId="0" xr:uid="{60CD9B1B-9957-4A12-B418-88C2AD3B0DF9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28" authorId="0" shapeId="0" xr:uid="{F6E65FD7-96D1-4EA2-9536-C2CEEBFE8E0C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28" authorId="0" shapeId="0" xr:uid="{352197F6-CC89-49A6-8B8A-0393DD1B017D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H447" authorId="0" shapeId="0" xr:uid="{0D753F90-A384-47E1-B6FE-4B3B054C30A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47" authorId="0" shapeId="0" xr:uid="{C3028487-DEC1-4039-865F-82DBD62D4E8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47" authorId="0" shapeId="0" xr:uid="{023005F8-CF31-464F-9FDD-DE6D70C08A75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48" authorId="0" shapeId="0" xr:uid="{42A53026-BC2F-4260-AE3F-99F8DFC3A9D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48" authorId="0" shapeId="0" xr:uid="{B4695640-B503-44E3-8566-75A94557DAA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48" authorId="0" shapeId="0" xr:uid="{CBE6FB50-8E38-4746-AD83-B09E8147447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49" authorId="0" shapeId="0" xr:uid="{6CB29C75-730C-4D70-848B-7D940050BAF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49" authorId="0" shapeId="0" xr:uid="{84A9AC2F-AA47-41CA-8E98-A37962E3851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49" authorId="0" shapeId="0" xr:uid="{6EBE1CBF-2788-4DDC-926A-BFB07E286E4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50" authorId="0" shapeId="0" xr:uid="{28FA5B0C-77A0-4C1F-9A4F-FC01A55207F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50" authorId="0" shapeId="0" xr:uid="{9BB76744-CC7D-43DA-89FA-A57A6A8BA55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50" authorId="0" shapeId="0" xr:uid="{23379B01-809F-40E7-870F-261C85C3682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51" authorId="0" shapeId="0" xr:uid="{FAA551CC-A7DB-40D1-BC30-CE458D0AA4D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51" authorId="0" shapeId="0" xr:uid="{CFD9C7B4-75C8-4EA9-8E32-F4ED032E720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51" authorId="0" shapeId="0" xr:uid="{465E1434-73E1-4159-8FAB-B73EE780130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52" authorId="0" shapeId="0" xr:uid="{856382D9-C8F7-4FF2-BECC-4638B24E3242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52" authorId="0" shapeId="0" xr:uid="{E0731DEF-28E9-498D-9C07-6BFE2D77CE2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52" authorId="0" shapeId="0" xr:uid="{579E767B-6535-42D3-8FD2-43B6DF7C6D0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53" authorId="0" shapeId="0" xr:uid="{A62624EE-5B84-4263-8DC9-E85748E9567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53" authorId="0" shapeId="0" xr:uid="{5B361FD0-913D-4923-8ED9-832763056B8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53" authorId="0" shapeId="0" xr:uid="{39600F9B-3530-4D9F-920F-378975A133F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54" authorId="0" shapeId="0" xr:uid="{55B976DF-A6D3-447E-ABC7-5FE43EC281B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54" authorId="0" shapeId="0" xr:uid="{F3E232FC-FA48-4AAA-BDC1-480BAD084FB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54" authorId="0" shapeId="0" xr:uid="{E51368CA-15FC-4203-B1C3-23FE2B0287C5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55" authorId="0" shapeId="0" xr:uid="{3E6340CF-E29C-4C51-B4F0-1C064F38B80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55" authorId="0" shapeId="0" xr:uid="{06BCAFF8-57EF-49CB-A37A-E685C2D25F7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55" authorId="0" shapeId="0" xr:uid="{4B9880A6-E855-4518-93B2-EDE8D6EBE9D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56" authorId="0" shapeId="0" xr:uid="{44D15942-E213-4D68-AB4C-9B322EEAAAA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56" authorId="0" shapeId="0" xr:uid="{1ADF8497-21AB-47E1-9A01-1C980C90C79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56" authorId="0" shapeId="0" xr:uid="{73F92903-C868-433B-BB9F-68A6DF8D3D6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57" authorId="0" shapeId="0" xr:uid="{66BFA9FD-1FBC-4068-BE58-1D6901FB8F4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57" authorId="0" shapeId="0" xr:uid="{1561082F-5416-466C-8255-7F972C9C7E1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57" authorId="0" shapeId="0" xr:uid="{D779F388-102E-40A5-84D2-3F3C65A7F3C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58" authorId="0" shapeId="0" xr:uid="{0A236AD7-773D-4105-8D9A-7CDA21BA5C2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58" authorId="0" shapeId="0" xr:uid="{2F7D78AA-F7A5-43F0-86C0-15C4DA967F3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58" authorId="0" shapeId="0" xr:uid="{E5F28C3B-87A3-4AC2-87BC-E668AAD8C6E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59" authorId="0" shapeId="0" xr:uid="{C7DEDD81-ABA7-4763-9D8C-894AE31519C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59" authorId="0" shapeId="0" xr:uid="{37C66D48-A687-4701-A8EE-E3ACE377ECE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59" authorId="0" shapeId="0" xr:uid="{6FCCFB17-82EE-4341-B728-A1D675732CC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60" authorId="0" shapeId="0" xr:uid="{DFC0CD55-F9C9-48A3-84AD-398C74263B5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60" authorId="0" shapeId="0" xr:uid="{DB4BF95D-4B09-430C-BFF7-454278FC1EF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60" authorId="0" shapeId="0" xr:uid="{7D822F81-C235-477F-84BB-F69E29FECCA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61" authorId="0" shapeId="0" xr:uid="{F56DF7AB-05C8-44E3-81F9-39EA699B377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61" authorId="0" shapeId="0" xr:uid="{FA700101-BB72-4803-A5DE-2C4AFBDEBBD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61" authorId="0" shapeId="0" xr:uid="{4A3D1F3D-AD0E-46FA-BE25-B164D392EB9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62" authorId="0" shapeId="0" xr:uid="{99FF9C42-241F-4B4F-BD57-C7FC5F07F32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62" authorId="0" shapeId="0" xr:uid="{44457DE2-2CE6-41E7-8349-D354818C4DD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62" authorId="0" shapeId="0" xr:uid="{7867008D-8937-4BAF-B7A2-958B268FCFE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63" authorId="0" shapeId="0" xr:uid="{A0B800D1-2A02-40A8-A7AF-0DE58E6DCEF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63" authorId="0" shapeId="0" xr:uid="{2D0842F1-B61F-4563-947F-2720F834DD6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63" authorId="0" shapeId="0" xr:uid="{74B98E41-BE2B-43E5-B709-E3E1D0DF66D5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64" authorId="0" shapeId="0" xr:uid="{0042813E-9400-4E0F-91F1-95BB8836943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64" authorId="0" shapeId="0" xr:uid="{62414D68-B2AF-4C14-9B6A-0ECDC787293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64" authorId="0" shapeId="0" xr:uid="{AE16D498-772B-44B6-971F-E49C123D440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65" authorId="0" shapeId="0" xr:uid="{A5282B8F-9984-4751-B038-536D28E881F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65" authorId="0" shapeId="0" xr:uid="{65CCBDA5-051D-413A-B826-DDC78D47878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65" authorId="0" shapeId="0" xr:uid="{1C3E0F7D-A0DD-418A-A26D-48F9B41F2825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66" authorId="0" shapeId="0" xr:uid="{385A1006-9C54-418D-860B-945DFDB4235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66" authorId="0" shapeId="0" xr:uid="{C799ADF1-8222-4DB6-B623-7DE53C016AF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66" authorId="0" shapeId="0" xr:uid="{3711FA59-288D-410E-A960-9F8F80AE299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67" authorId="0" shapeId="0" xr:uid="{EAAC8E37-FCBE-4F87-80BA-1843DC05EBE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67" authorId="0" shapeId="0" xr:uid="{DEC9ECEF-6C95-4272-AC05-8CAF540754F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67" authorId="0" shapeId="0" xr:uid="{272E1EC4-D7B6-4EF9-B5A2-F18A34B8052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68" authorId="0" shapeId="0" xr:uid="{BDA5D5B1-5D8E-4E29-BE55-9DFF4C59241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68" authorId="0" shapeId="0" xr:uid="{0F40C668-5BB0-41A6-A548-9FBA181C2D4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68" authorId="0" shapeId="0" xr:uid="{ED5BE39D-21C3-485B-82A2-2CC1D0C542B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69" authorId="0" shapeId="0" xr:uid="{8EA42240-01BD-4387-A7C9-35D88A94377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69" authorId="0" shapeId="0" xr:uid="{CE79FBB0-A129-4CE3-A5CD-1B8AEC64A5B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69" authorId="0" shapeId="0" xr:uid="{75264CFC-9E1E-40E6-B121-53E9B401ACB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70" authorId="0" shapeId="0" xr:uid="{4C203A46-5940-41CB-ABBE-B12B75391EE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70" authorId="0" shapeId="0" xr:uid="{C4083B6C-EEA8-413C-BA64-4E3E16591F4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70" authorId="0" shapeId="0" xr:uid="{9A1B250D-1325-4E9D-925B-7C4F1E05E63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71" authorId="0" shapeId="0" xr:uid="{01047320-BDF9-494C-9AD5-28635102E8A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71" authorId="0" shapeId="0" xr:uid="{6B34EECA-7E66-4434-BF3D-3045C4F174E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71" authorId="0" shapeId="0" xr:uid="{6A6FF723-D27A-434B-9836-0EB97F7A763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72" authorId="0" shapeId="0" xr:uid="{4D5B6EC8-0720-4CAD-8F7E-8E618FFB3315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72" authorId="0" shapeId="0" xr:uid="{AE148B0F-ED1D-4B91-91EE-674206AF8D5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72" authorId="0" shapeId="0" xr:uid="{84E1A89E-52B7-471C-B202-AD9562F7A48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73" authorId="0" shapeId="0" xr:uid="{E791DA08-6217-441D-930B-5AC2475CE07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73" authorId="0" shapeId="0" xr:uid="{6323889A-7991-42D3-ADFB-1D105F12E56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73" authorId="0" shapeId="0" xr:uid="{6C1ADDFC-3D87-440E-B1CA-F4E9487DEF1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74" authorId="0" shapeId="0" xr:uid="{3BD937B2-0D69-4E9D-844F-03487D6DE68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74" authorId="0" shapeId="0" xr:uid="{8E0287D7-7913-474F-A001-7F5D26134EA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74" authorId="0" shapeId="0" xr:uid="{279D6C44-CC28-4BB7-9D05-0BD6431483E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75" authorId="0" shapeId="0" xr:uid="{5063A65E-1ABB-4547-9ECC-6B4C55911AA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75" authorId="0" shapeId="0" xr:uid="{24E35BCD-0F12-48FF-9CB0-880AEB04522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75" authorId="0" shapeId="0" xr:uid="{0BC01ABB-C09B-4AD7-ACA9-E4AFA870A46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76" authorId="0" shapeId="0" xr:uid="{46AC7905-8504-4195-9933-8B266A08A68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76" authorId="0" shapeId="0" xr:uid="{19C85F67-E3C9-4A38-A09D-210AAD07AE3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76" authorId="0" shapeId="0" xr:uid="{3F8975EB-60A6-4B13-8237-C7BD1542FBB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H477" authorId="0" shapeId="0" xr:uid="{8F00FE60-D368-4242-A2E3-B435266B5C9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I477" authorId="0" shapeId="0" xr:uid="{A45E5AF8-1351-43FF-9277-16BAB1C4C6B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J477" authorId="0" shapeId="0" xr:uid="{F2EDA7A3-CE4D-4D3A-A00C-2DDBB3B9436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Low HR assumption: 10.0
Base HR : 10.5
High HR: 11.2
Units are Must Run assuming zero heat rate
</t>
        </r>
      </text>
    </comment>
    <comment ref="Q566" authorId="1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66" authorId="1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67" authorId="1" shapeId="0" xr:uid="{00000000-0006-0000-0100-000033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67" authorId="1" shapeId="0" xr:uid="{00000000-0006-0000-0100-000034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68" authorId="1" shapeId="0" xr:uid="{00000000-0006-0000-0100-00003F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68" authorId="1" shapeId="0" xr:uid="{00000000-0006-0000-0100-000040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69" authorId="1" shapeId="0" xr:uid="{00000000-0006-0000-0100-00002F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69" authorId="1" shapeId="0" xr:uid="{00000000-0006-0000-0100-000030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70" authorId="1" shapeId="0" xr:uid="{00000000-0006-0000-0100-000031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70" authorId="1" shapeId="0" xr:uid="{00000000-0006-0000-0100-000032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71" authorId="1" shapeId="0" xr:uid="{00000000-0006-0000-0100-00007F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71" authorId="1" shapeId="0" xr:uid="{00000000-0006-0000-0100-000080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72" authorId="1" shapeId="0" xr:uid="{00000000-0006-0000-0100-000049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72" authorId="1" shapeId="0" xr:uid="{00000000-0006-0000-0100-00004A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73" authorId="1" shapeId="0" xr:uid="{00000000-0006-0000-0100-00004B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73" authorId="1" shapeId="0" xr:uid="{00000000-0006-0000-0100-00004C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74" authorId="1" shapeId="0" xr:uid="{00000000-0006-0000-0100-00004D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74" authorId="1" shapeId="0" xr:uid="{00000000-0006-0000-0100-00004E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75" authorId="1" shapeId="0" xr:uid="{00000000-0006-0000-0100-0000E1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75" authorId="1" shapeId="0" xr:uid="{00000000-0006-0000-0100-0000E2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76" authorId="1" shapeId="0" xr:uid="{00000000-0006-0000-0100-0000E1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76" authorId="1" shapeId="0" xr:uid="{00000000-0006-0000-0100-0000E2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77" authorId="1" shapeId="0" xr:uid="{00000000-0006-0000-0100-0000E3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77" authorId="1" shapeId="0" xr:uid="{00000000-0006-0000-0100-0000E4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78" authorId="1" shapeId="0" xr:uid="{00000000-0006-0000-0100-0000E5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78" authorId="1" shapeId="0" xr:uid="{00000000-0006-0000-0100-0000E6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79" authorId="1" shapeId="0" xr:uid="{00000000-0006-0000-0100-000053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79" authorId="1" shapeId="0" xr:uid="{00000000-0006-0000-0100-000054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80" authorId="1" shapeId="0" xr:uid="{00000000-0006-0000-0100-000017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80" authorId="1" shapeId="0" xr:uid="{00000000-0006-0000-0100-000018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81" authorId="1" shapeId="0" xr:uid="{00000000-0006-0000-0100-000021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81" authorId="1" shapeId="0" xr:uid="{00000000-0006-0000-0100-000022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82" authorId="1" shapeId="0" xr:uid="{00000000-0006-0000-0100-000023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82" authorId="1" shapeId="0" xr:uid="{00000000-0006-0000-0100-000024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83" authorId="1" shapeId="0" xr:uid="{00000000-0006-0000-0100-000025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83" authorId="1" shapeId="0" xr:uid="{00000000-0006-0000-0100-000026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84" authorId="1" shapeId="0" xr:uid="{00000000-0006-0000-0100-000027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84" authorId="1" shapeId="0" xr:uid="{00000000-0006-0000-0100-000028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85" authorId="1" shapeId="0" xr:uid="{00000000-0006-0000-0100-000061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85" authorId="1" shapeId="0" xr:uid="{00000000-0006-0000-0100-000062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86" authorId="1" shapeId="0" xr:uid="{00000000-0006-0000-0100-000037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86" authorId="1" shapeId="0" xr:uid="{00000000-0006-0000-0100-000038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87" authorId="1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87" authorId="1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88" authorId="1" shapeId="0" xr:uid="{00000000-0006-0000-0100-00008B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88" authorId="1" shapeId="0" xr:uid="{00000000-0006-0000-0100-00008C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89" authorId="1" shapeId="0" xr:uid="{00000000-0006-0000-0100-00008F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89" authorId="1" shapeId="0" xr:uid="{00000000-0006-0000-0100-000090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90" authorId="1" shapeId="0" xr:uid="{00000000-0006-0000-0100-000093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90" authorId="1" shapeId="0" xr:uid="{00000000-0006-0000-0100-000094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91" authorId="1" shapeId="0" xr:uid="{00000000-0006-0000-0100-000095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91" authorId="1" shapeId="0" xr:uid="{00000000-0006-0000-0100-000096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92" authorId="1" shapeId="0" xr:uid="{00000000-0006-0000-0100-0000A5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92" authorId="1" shapeId="0" xr:uid="{00000000-0006-0000-0100-0000A6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93" authorId="1" shapeId="0" xr:uid="{00000000-0006-0000-0100-000071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93" authorId="1" shapeId="0" xr:uid="{00000000-0006-0000-0100-000072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94" authorId="1" shapeId="0" xr:uid="{00000000-0006-0000-0100-0000D5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94" authorId="1" shapeId="0" xr:uid="{00000000-0006-0000-0100-0000D6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95" authorId="1" shapeId="0" xr:uid="{00000000-0006-0000-0100-0000D7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95" authorId="1" shapeId="0" xr:uid="{00000000-0006-0000-0100-0000D8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96" authorId="1" shapeId="0" xr:uid="{00000000-0006-0000-0100-0000D9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96" authorId="1" shapeId="0" xr:uid="{00000000-0006-0000-0100-0000DA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97" authorId="1" shapeId="0" xr:uid="{00000000-0006-0000-0100-0000DB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97" authorId="1" shapeId="0" xr:uid="{00000000-0006-0000-0100-0000DC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98" authorId="1" shapeId="0" xr:uid="{00000000-0006-0000-0100-0000DD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98" authorId="1" shapeId="0" xr:uid="{00000000-0006-0000-0100-0000DE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599" authorId="1" shapeId="0" xr:uid="{00000000-0006-0000-0100-0000DF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599" authorId="1" shapeId="0" xr:uid="{00000000-0006-0000-0100-0000E0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00" authorId="1" shapeId="0" xr:uid="{00000000-0006-0000-0100-00004D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00" authorId="1" shapeId="0" xr:uid="{00000000-0006-0000-0100-00004E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01" authorId="1" shapeId="0" xr:uid="{00000000-0006-0000-0100-00004F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01" authorId="1" shapeId="0" xr:uid="{00000000-0006-0000-0100-000050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02" authorId="1" shapeId="0" xr:uid="{00000000-0006-0000-0100-000051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02" authorId="1" shapeId="0" xr:uid="{00000000-0006-0000-0100-000052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59" authorId="1" shapeId="0" xr:uid="{00000000-0006-0000-0100-000059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59" authorId="1" shapeId="0" xr:uid="{00000000-0006-0000-0100-00005A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60" authorId="1" shapeId="0" xr:uid="{00000000-0006-0000-0100-00005B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60" authorId="1" shapeId="0" xr:uid="{00000000-0006-0000-0100-00005C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61" authorId="1" shapeId="0" xr:uid="{00000000-0006-0000-0100-00005D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61" authorId="1" shapeId="0" xr:uid="{00000000-0006-0000-0100-00005E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62" authorId="1" shapeId="0" xr:uid="{00000000-0006-0000-0100-00005F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62" authorId="1" shapeId="0" xr:uid="{00000000-0006-0000-0100-000060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63" authorId="1" shapeId="0" xr:uid="{00000000-0006-0000-0100-000061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63" authorId="1" shapeId="0" xr:uid="{00000000-0006-0000-0100-000062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64" authorId="1" shapeId="0" xr:uid="{00000000-0006-0000-0100-000063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64" authorId="1" shapeId="0" xr:uid="{00000000-0006-0000-0100-000064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65" authorId="1" shapeId="0" xr:uid="{00000000-0006-0000-0100-00006F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65" authorId="1" shapeId="0" xr:uid="{00000000-0006-0000-0100-000070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66" authorId="1" shapeId="0" xr:uid="{00000000-0006-0000-0100-000071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66" authorId="1" shapeId="0" xr:uid="{00000000-0006-0000-0100-000072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67" authorId="1" shapeId="0" xr:uid="{00000000-0006-0000-0100-000073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67" authorId="1" shapeId="0" xr:uid="{00000000-0006-0000-0100-000074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68" authorId="1" shapeId="0" xr:uid="{00000000-0006-0000-0100-000075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68" authorId="1" shapeId="0" xr:uid="{00000000-0006-0000-0100-000076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69" authorId="1" shapeId="0" xr:uid="{00000000-0006-0000-0100-000099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69" authorId="1" shapeId="0" xr:uid="{00000000-0006-0000-0100-00009A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70" authorId="1" shapeId="0" xr:uid="{00000000-0006-0000-0100-00009B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70" authorId="1" shapeId="0" xr:uid="{00000000-0006-0000-0100-00009C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71" authorId="1" shapeId="0" xr:uid="{00000000-0006-0000-0100-00009D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71" authorId="1" shapeId="0" xr:uid="{00000000-0006-0000-0100-00009E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72" authorId="1" shapeId="0" xr:uid="{00000000-0006-0000-0100-000021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72" authorId="1" shapeId="0" xr:uid="{00000000-0006-0000-0100-000022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73" authorId="1" shapeId="0" xr:uid="{00000000-0006-0000-0100-0000E1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73" authorId="1" shapeId="0" xr:uid="{00000000-0006-0000-0100-0000E2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74" authorId="1" shapeId="0" xr:uid="{00000000-0006-0000-0100-0000E3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74" authorId="1" shapeId="0" xr:uid="{00000000-0006-0000-0100-0000E4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75" authorId="1" shapeId="0" xr:uid="{00000000-0006-0000-0100-0000E5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75" authorId="1" shapeId="0" xr:uid="{00000000-0006-0000-0100-0000E6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76" authorId="1" shapeId="0" xr:uid="{00000000-0006-0000-0100-000033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76" authorId="1" shapeId="0" xr:uid="{00000000-0006-0000-0100-000034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77" authorId="1" shapeId="0" xr:uid="{00000000-0006-0000-0100-00001B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77" authorId="1" shapeId="0" xr:uid="{00000000-0006-0000-0100-00001C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78" authorId="1" shapeId="0" xr:uid="{00000000-0006-0000-0100-00001D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78" authorId="1" shapeId="0" xr:uid="{00000000-0006-0000-0100-00001E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79" authorId="1" shapeId="0" xr:uid="{00000000-0006-0000-0100-00001F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79" authorId="1" shapeId="0" xr:uid="{00000000-0006-0000-0100-000020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80" authorId="1" shapeId="0" xr:uid="{00000000-0006-0000-0100-000063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80" authorId="1" shapeId="0" xr:uid="{00000000-0006-0000-0100-000064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97" authorId="1" shapeId="0" xr:uid="{00000000-0006-0000-0100-0000F7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97" authorId="1" shapeId="0" xr:uid="{00000000-0006-0000-0100-0000F8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98" authorId="1" shapeId="0" xr:uid="{00000000-0006-0000-0100-0000F9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98" authorId="1" shapeId="0" xr:uid="{00000000-0006-0000-0100-0000FA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699" authorId="1" shapeId="0" xr:uid="{00000000-0006-0000-0100-0000FB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699" authorId="1" shapeId="0" xr:uid="{00000000-0006-0000-0100-0000FC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00" authorId="1" shapeId="0" xr:uid="{00000000-0006-0000-0100-0000A9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00" authorId="1" shapeId="0" xr:uid="{00000000-0006-0000-0100-0000AA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01" authorId="1" shapeId="0" xr:uid="{00000000-0006-0000-0100-0000AB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01" authorId="1" shapeId="0" xr:uid="{00000000-0006-0000-0100-0000AC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02" authorId="1" shapeId="0" xr:uid="{00000000-0006-0000-0100-0000AD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02" authorId="1" shapeId="0" xr:uid="{00000000-0006-0000-0100-0000AE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03" authorId="1" shapeId="0" xr:uid="{00000000-0006-0000-0100-0000DB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03" authorId="1" shapeId="0" xr:uid="{00000000-0006-0000-0100-0000DC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04" authorId="1" shapeId="0" xr:uid="{00000000-0006-0000-0100-000085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04" authorId="1" shapeId="0" xr:uid="{00000000-0006-0000-0100-000086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05" authorId="1" shapeId="0" xr:uid="{00000000-0006-0000-0100-000087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05" authorId="1" shapeId="0" xr:uid="{00000000-0006-0000-0100-000088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06" authorId="1" shapeId="0" xr:uid="{00000000-0006-0000-0100-0000AD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06" authorId="1" shapeId="0" xr:uid="{00000000-0006-0000-0100-0000AE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07" authorId="1" shapeId="0" xr:uid="{00000000-0006-0000-0100-0000AF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07" authorId="1" shapeId="0" xr:uid="{00000000-0006-0000-0100-0000B0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08" authorId="1" shapeId="0" xr:uid="{00000000-0006-0000-0100-0000B1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08" authorId="1" shapeId="0" xr:uid="{00000000-0006-0000-0100-0000B2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09" authorId="1" shapeId="0" xr:uid="{00000000-0006-0000-0100-0000B3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09" authorId="1" shapeId="0" xr:uid="{00000000-0006-0000-0100-0000B4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10" authorId="1" shapeId="0" xr:uid="{00000000-0006-0000-0100-00003B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10" authorId="1" shapeId="0" xr:uid="{00000000-0006-0000-0100-00003C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11" authorId="1" shapeId="0" xr:uid="{00000000-0006-0000-0100-00003D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11" authorId="1" shapeId="0" xr:uid="{00000000-0006-0000-0100-00003E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12" authorId="1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12" authorId="1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13" authorId="1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13" authorId="1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14" authorId="1" shapeId="0" xr:uid="{00000000-0006-0000-0100-0000B5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14" authorId="1" shapeId="0" xr:uid="{00000000-0006-0000-0100-0000B6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15" authorId="1" shapeId="0" xr:uid="{00000000-0006-0000-0100-000081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15" authorId="1" shapeId="0" xr:uid="{00000000-0006-0000-0100-000082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16" authorId="1" shapeId="0" xr:uid="{00000000-0006-0000-0100-000085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16" authorId="1" shapeId="0" xr:uid="{00000000-0006-0000-0100-000086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17" authorId="1" shapeId="0" xr:uid="{00000000-0006-0000-0100-000087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17" authorId="1" shapeId="0" xr:uid="{00000000-0006-0000-0100-000088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18" authorId="1" shapeId="0" xr:uid="{00000000-0006-0000-0100-000067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18" authorId="1" shapeId="0" xr:uid="{00000000-0006-0000-0100-000068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19" authorId="1" shapeId="0" xr:uid="{00000000-0006-0000-0100-000069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19" authorId="1" shapeId="0" xr:uid="{00000000-0006-0000-0100-00006A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20" authorId="1" shapeId="0" xr:uid="{00000000-0006-0000-0100-00006B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20" authorId="1" shapeId="0" xr:uid="{00000000-0006-0000-0100-00006C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21" authorId="1" shapeId="0" xr:uid="{00000000-0006-0000-0100-00006D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21" authorId="1" shapeId="0" xr:uid="{00000000-0006-0000-0100-00006E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22" authorId="1" shapeId="0" xr:uid="{00000000-0006-0000-0100-00006F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22" authorId="1" shapeId="0" xr:uid="{00000000-0006-0000-0100-000070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23" authorId="1" shapeId="0" xr:uid="{00000000-0006-0000-0100-000071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23" authorId="1" shapeId="0" xr:uid="{00000000-0006-0000-0100-000072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24" authorId="1" shapeId="0" xr:uid="{00000000-0006-0000-0100-000073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24" authorId="1" shapeId="0" xr:uid="{00000000-0006-0000-0100-000074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25" authorId="1" shapeId="0" xr:uid="{00000000-0006-0000-0100-000075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25" authorId="1" shapeId="0" xr:uid="{00000000-0006-0000-0100-000076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26" authorId="1" shapeId="0" xr:uid="{00000000-0006-0000-0100-00004B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26" authorId="1" shapeId="0" xr:uid="{00000000-0006-0000-0100-00004C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27" authorId="1" shapeId="0" xr:uid="{00000000-0006-0000-0100-0000E7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27" authorId="1" shapeId="0" xr:uid="{00000000-0006-0000-0100-0000E8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28" authorId="1" shapeId="0" xr:uid="{00000000-0006-0000-0100-0000E9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28" authorId="1" shapeId="0" xr:uid="{00000000-0006-0000-0100-0000EA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29" authorId="1" shapeId="0" xr:uid="{00000000-0006-0000-0100-0000EB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29" authorId="1" shapeId="0" xr:uid="{00000000-0006-0000-0100-0000EC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30" authorId="1" shapeId="0" xr:uid="{00000000-0006-0000-0100-0000ED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30" authorId="1" shapeId="0" xr:uid="{00000000-0006-0000-0100-0000EE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57" authorId="1" shapeId="0" xr:uid="{00000000-0006-0000-0100-000083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57" authorId="1" shapeId="0" xr:uid="{00000000-0006-0000-0100-000084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58" authorId="1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58" authorId="1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59" authorId="1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59" authorId="1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60" authorId="1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60" authorId="1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61" authorId="1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61" authorId="1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62" authorId="1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62" authorId="1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63" authorId="1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63" authorId="1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64" authorId="1" shapeId="0" xr:uid="{00000000-0006-0000-0100-00002D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64" authorId="1" shapeId="0" xr:uid="{00000000-0006-0000-0100-00002E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65" authorId="1" shapeId="0" xr:uid="{00000000-0006-0000-0100-000097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65" authorId="1" shapeId="0" xr:uid="{00000000-0006-0000-0100-000098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66" authorId="1" shapeId="0" xr:uid="{00000000-0006-0000-0100-000099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66" authorId="1" shapeId="0" xr:uid="{00000000-0006-0000-0100-00009A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67" authorId="1" shapeId="0" xr:uid="{00000000-0006-0000-0100-000063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67" authorId="1" shapeId="0" xr:uid="{00000000-0006-0000-0100-000064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68" authorId="1" shapeId="0" xr:uid="{00000000-0006-0000-0100-000065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68" authorId="1" shapeId="0" xr:uid="{00000000-0006-0000-0100-000066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69" authorId="1" shapeId="0" xr:uid="{00000000-0006-0000-0100-000067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69" authorId="1" shapeId="0" xr:uid="{00000000-0006-0000-0100-000068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70" authorId="1" shapeId="0" xr:uid="{00000000-0006-0000-0100-000069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70" authorId="1" shapeId="0" xr:uid="{00000000-0006-0000-0100-00006A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71" authorId="1" shapeId="0" xr:uid="{00000000-0006-0000-0100-0000B7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71" authorId="1" shapeId="0" xr:uid="{00000000-0006-0000-0100-0000B8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72" authorId="1" shapeId="0" xr:uid="{00000000-0006-0000-0100-0000B9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72" authorId="1" shapeId="0" xr:uid="{00000000-0006-0000-0100-0000BA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73" authorId="1" shapeId="0" xr:uid="{00000000-0006-0000-0100-0000BB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73" authorId="1" shapeId="0" xr:uid="{00000000-0006-0000-0100-0000BC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74" authorId="1" shapeId="0" xr:uid="{00000000-0006-0000-0100-0000BD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74" authorId="1" shapeId="0" xr:uid="{00000000-0006-0000-0100-0000BE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75" authorId="1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75" authorId="1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76" authorId="1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76" authorId="1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77" authorId="1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77" authorId="1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78" authorId="1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78" authorId="1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79" authorId="1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79" authorId="1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80" authorId="1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80" authorId="1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81" authorId="1" shapeId="0" xr:uid="{00000000-0006-0000-0100-000023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81" authorId="1" shapeId="0" xr:uid="{00000000-0006-0000-0100-000024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82" authorId="1" shapeId="0" xr:uid="{00000000-0006-0000-0100-000025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82" authorId="1" shapeId="0" xr:uid="{00000000-0006-0000-0100-000026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83" authorId="1" shapeId="0" xr:uid="{00000000-0006-0000-0100-0000CB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83" authorId="1" shapeId="0" xr:uid="{00000000-0006-0000-0100-0000CC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84" authorId="1" shapeId="0" xr:uid="{00000000-0006-0000-0100-0000CD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84" authorId="1" shapeId="0" xr:uid="{00000000-0006-0000-0100-0000CE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85" authorId="1" shapeId="0" xr:uid="{00000000-0006-0000-0100-0000CF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85" authorId="1" shapeId="0" xr:uid="{00000000-0006-0000-0100-0000D0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86" authorId="1" shapeId="0" xr:uid="{00000000-0006-0000-0100-0000D1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86" authorId="1" shapeId="0" xr:uid="{00000000-0006-0000-0100-0000D2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87" authorId="1" shapeId="0" xr:uid="{00000000-0006-0000-0100-000077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87" authorId="1" shapeId="0" xr:uid="{00000000-0006-0000-0100-000078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88" authorId="1" shapeId="0" xr:uid="{00000000-0006-0000-0100-000079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88" authorId="1" shapeId="0" xr:uid="{00000000-0006-0000-0100-00007A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89" authorId="1" shapeId="0" xr:uid="{00000000-0006-0000-0100-00007B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89" authorId="1" shapeId="0" xr:uid="{00000000-0006-0000-0100-00007C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90" authorId="1" shapeId="0" xr:uid="{00000000-0006-0000-0100-00007D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90" authorId="1" shapeId="0" xr:uid="{00000000-0006-0000-0100-00007E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91" authorId="1" shapeId="0" xr:uid="{00000000-0006-0000-0100-00006B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91" authorId="1" shapeId="0" xr:uid="{00000000-0006-0000-0100-00006C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92" authorId="1" shapeId="0" xr:uid="{00000000-0006-0000-0100-00006D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92" authorId="1" shapeId="0" xr:uid="{00000000-0006-0000-0100-00006E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93" authorId="1" shapeId="0" xr:uid="{00000000-0006-0000-0100-00006F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93" authorId="1" shapeId="0" xr:uid="{00000000-0006-0000-0100-000070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794" authorId="0" shapeId="0" xr:uid="{FE8B319C-5A58-475E-9226-6B9EB39A65B3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794" authorId="0" shapeId="0" xr:uid="{D045993E-7338-431E-937E-45E8ABE064F6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794" authorId="0" shapeId="0" xr:uid="{715023D5-4FB1-4160-881F-84A8974C56BA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794" authorId="1" shapeId="0" xr:uid="{00000000-0006-0000-0100-00001F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94" authorId="1" shapeId="0" xr:uid="{00000000-0006-0000-0100-000020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795" authorId="0" shapeId="0" xr:uid="{8CE7DF96-FD82-4D97-AC6B-18474B4674A5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795" authorId="0" shapeId="0" xr:uid="{F500906C-3204-4306-83E8-45F1EE6A5EAC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795" authorId="0" shapeId="0" xr:uid="{B8DE8B42-DE2A-4E3D-978A-D3B46BDC04EA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795" authorId="1" shapeId="0" xr:uid="{00000000-0006-0000-0100-000021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95" authorId="1" shapeId="0" xr:uid="{00000000-0006-0000-0100-000022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96" authorId="1" shapeId="0" xr:uid="{00000000-0006-0000-0100-000019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96" authorId="1" shapeId="0" xr:uid="{00000000-0006-0000-0100-00001A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97" authorId="1" shapeId="0" xr:uid="{00000000-0006-0000-0100-00001B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97" authorId="1" shapeId="0" xr:uid="{00000000-0006-0000-0100-00001C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98" authorId="1" shapeId="0" xr:uid="{00000000-0006-0000-0100-000089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98" authorId="1" shapeId="0" xr:uid="{00000000-0006-0000-0100-00008A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799" authorId="1" shapeId="0" xr:uid="{00000000-0006-0000-0100-0000B7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799" authorId="1" shapeId="0" xr:uid="{00000000-0006-0000-0100-0000B8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00" authorId="1" shapeId="0" xr:uid="{00000000-0006-0000-0100-0000B9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00" authorId="1" shapeId="0" xr:uid="{00000000-0006-0000-0100-0000BA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801" authorId="0" shapeId="0" xr:uid="{3F8C6270-6C00-45EA-A9A7-5E79C2898B02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801" authorId="0" shapeId="0" xr:uid="{8550A97E-D9A5-4E89-BA5E-29B26400BD38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801" authorId="0" shapeId="0" xr:uid="{7546885F-A91B-4340-90B3-834E257A9914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801" authorId="1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01" authorId="1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02" authorId="1" shapeId="0" xr:uid="{00000000-0006-0000-0100-000065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02" authorId="1" shapeId="0" xr:uid="{00000000-0006-0000-0100-000066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13" authorId="1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13" authorId="1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14" authorId="1" shapeId="0" xr:uid="{00000000-0006-0000-0100-00009F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14" authorId="1" shapeId="0" xr:uid="{00000000-0006-0000-0100-0000A0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15" authorId="1" shapeId="0" xr:uid="{00000000-0006-0000-0100-0000A1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15" authorId="1" shapeId="0" xr:uid="{00000000-0006-0000-0100-0000A2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16" authorId="1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16" authorId="1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17" authorId="1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17" authorId="1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18" authorId="1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18" authorId="1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19" authorId="1" shapeId="0" xr:uid="{00000000-0006-0000-0100-000035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19" authorId="1" shapeId="0" xr:uid="{00000000-0006-0000-0100-000036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20" authorId="1" shapeId="0" xr:uid="{00000000-0006-0000-0100-000037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20" authorId="1" shapeId="0" xr:uid="{00000000-0006-0000-0100-000038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21" authorId="1" shapeId="0" xr:uid="{00000000-0006-0000-0100-000039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21" authorId="1" shapeId="0" xr:uid="{00000000-0006-0000-0100-00003A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22" authorId="1" shapeId="0" xr:uid="{00000000-0006-0000-0100-0000BF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22" authorId="1" shapeId="0" xr:uid="{00000000-0006-0000-0100-0000C0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23" authorId="1" shapeId="0" xr:uid="{00000000-0006-0000-0100-0000C1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23" authorId="1" shapeId="0" xr:uid="{00000000-0006-0000-0100-0000C2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24" authorId="1" shapeId="0" xr:uid="{00000000-0006-0000-0100-00001D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24" authorId="1" shapeId="0" xr:uid="{00000000-0006-0000-0100-00001E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25" authorId="1" shapeId="0" xr:uid="{00000000-0006-0000-0100-00001F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25" authorId="1" shapeId="0" xr:uid="{00000000-0006-0000-0100-000020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62" authorId="1" shapeId="0" xr:uid="{00000000-0006-0000-0100-00009F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62" authorId="1" shapeId="0" xr:uid="{00000000-0006-0000-0100-0000A0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63" authorId="1" shapeId="0" xr:uid="{00000000-0006-0000-0100-0000CB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63" authorId="1" shapeId="0" xr:uid="{00000000-0006-0000-0100-0000CC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64" authorId="1" shapeId="0" xr:uid="{00000000-0006-0000-0100-0000CD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64" authorId="1" shapeId="0" xr:uid="{00000000-0006-0000-0100-0000CE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65" authorId="1" shapeId="0" xr:uid="{00000000-0006-0000-0100-0000CF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65" authorId="1" shapeId="0" xr:uid="{00000000-0006-0000-0100-0000D0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66" authorId="1" shapeId="0" xr:uid="{00000000-0006-0000-0100-0000D1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66" authorId="1" shapeId="0" xr:uid="{00000000-0006-0000-0100-0000D2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67" authorId="1" shapeId="0" xr:uid="{00000000-0006-0000-0100-0000D3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67" authorId="1" shapeId="0" xr:uid="{00000000-0006-0000-0100-0000D4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68" authorId="1" shapeId="0" xr:uid="{00000000-0006-0000-0100-00001B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68" authorId="1" shapeId="0" xr:uid="{00000000-0006-0000-0100-00001C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69" authorId="1" shapeId="0" xr:uid="{00000000-0006-0000-0100-00001D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69" authorId="1" shapeId="0" xr:uid="{00000000-0006-0000-0100-00001E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70" authorId="1" shapeId="0" xr:uid="{00000000-0006-0000-0100-000089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70" authorId="1" shapeId="0" xr:uid="{00000000-0006-0000-0100-00008A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71" authorId="1" shapeId="0" xr:uid="{00000000-0006-0000-0100-00008B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71" authorId="1" shapeId="0" xr:uid="{00000000-0006-0000-0100-00008C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72" authorId="1" shapeId="0" xr:uid="{00000000-0006-0000-0100-00008D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72" authorId="1" shapeId="0" xr:uid="{00000000-0006-0000-0100-00008E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73" authorId="1" shapeId="0" xr:uid="{00000000-0006-0000-0100-00008F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73" authorId="1" shapeId="0" xr:uid="{00000000-0006-0000-0100-000090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74" authorId="1" shapeId="0" xr:uid="{00000000-0006-0000-0100-000041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74" authorId="1" shapeId="0" xr:uid="{00000000-0006-0000-0100-000042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75" authorId="1" shapeId="0" xr:uid="{00000000-0006-0000-0100-000043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75" authorId="1" shapeId="0" xr:uid="{00000000-0006-0000-0100-000044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76" authorId="1" shapeId="0" xr:uid="{00000000-0006-0000-0100-000045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76" authorId="1" shapeId="0" xr:uid="{00000000-0006-0000-0100-000046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77" authorId="1" shapeId="0" xr:uid="{00000000-0006-0000-0100-000047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77" authorId="1" shapeId="0" xr:uid="{00000000-0006-0000-0100-000048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878" authorId="0" shapeId="0" xr:uid="{C4A2DD8A-E5B3-4712-BAFD-C3D9917E8ED1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878" authorId="0" shapeId="0" xr:uid="{D71D6F5A-8BE1-49EA-A538-BB7105CA4E2D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878" authorId="0" shapeId="0" xr:uid="{449D0CBA-5EAB-464E-9B0A-9BD4BE1C6A03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878" authorId="1" shapeId="0" xr:uid="{00000000-0006-0000-0100-000081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78" authorId="1" shapeId="0" xr:uid="{00000000-0006-0000-0100-000082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879" authorId="0" shapeId="0" xr:uid="{99E4C0F7-3760-4B16-BF07-18764698E2DC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879" authorId="0" shapeId="0" xr:uid="{0745B187-EC0F-494F-9B57-3C7E2176214D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879" authorId="0" shapeId="0" xr:uid="{FE327B98-2811-4325-9D7F-B7DF91F73FA2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879" authorId="1" shapeId="0" xr:uid="{00000000-0006-0000-0100-000083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79" authorId="1" shapeId="0" xr:uid="{00000000-0006-0000-0100-000084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80" authorId="1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80" authorId="1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81" authorId="1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81" authorId="1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82" authorId="1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82" authorId="1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83" authorId="1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83" authorId="1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84" authorId="1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84" authorId="1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85" authorId="1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85" authorId="1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86" authorId="1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86" authorId="1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87" authorId="1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87" authorId="1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88" authorId="1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88" authorId="1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89" authorId="1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89" authorId="1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90" authorId="1" shapeId="0" xr:uid="{00000000-0006-0000-0100-0000A3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90" authorId="1" shapeId="0" xr:uid="{00000000-0006-0000-0100-0000A4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91" authorId="1" shapeId="0" xr:uid="{00000000-0006-0000-0100-0000C1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91" authorId="1" shapeId="0" xr:uid="{00000000-0006-0000-0100-0000C2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92" authorId="1" shapeId="0" xr:uid="{00000000-0006-0000-0100-0000C3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92" authorId="1" shapeId="0" xr:uid="{00000000-0006-0000-0100-0000C4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93" authorId="1" shapeId="0" xr:uid="{00000000-0006-0000-0100-0000C5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93" authorId="1" shapeId="0" xr:uid="{00000000-0006-0000-0100-0000C6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94" authorId="1" shapeId="0" xr:uid="{00000000-0006-0000-0100-0000C7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94" authorId="1" shapeId="0" xr:uid="{00000000-0006-0000-0100-0000C8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95" authorId="1" shapeId="0" xr:uid="{00000000-0006-0000-0100-0000C9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95" authorId="1" shapeId="0" xr:uid="{00000000-0006-0000-0100-0000CA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96" authorId="1" shapeId="0" xr:uid="{00000000-0006-0000-0100-0000B3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96" authorId="1" shapeId="0" xr:uid="{00000000-0006-0000-0100-0000B4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97" authorId="1" shapeId="0" xr:uid="{00000000-0006-0000-0100-0000E3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97" authorId="1" shapeId="0" xr:uid="{00000000-0006-0000-0100-0000E4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98" authorId="1" shapeId="0" xr:uid="{00000000-0006-0000-0100-0000E5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98" authorId="1" shapeId="0" xr:uid="{00000000-0006-0000-0100-0000E6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899" authorId="1" shapeId="0" xr:uid="{00000000-0006-0000-0100-0000E7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899" authorId="1" shapeId="0" xr:uid="{00000000-0006-0000-0100-0000E8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00" authorId="1" shapeId="0" xr:uid="{00000000-0006-0000-0100-0000E9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00" authorId="1" shapeId="0" xr:uid="{00000000-0006-0000-0100-0000EA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01" authorId="1" shapeId="0" xr:uid="{00000000-0006-0000-0100-0000EB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01" authorId="1" shapeId="0" xr:uid="{00000000-0006-0000-0100-0000EC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02" authorId="1" shapeId="0" xr:uid="{00000000-0006-0000-0100-0000ED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02" authorId="1" shapeId="0" xr:uid="{00000000-0006-0000-0100-0000EE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03" authorId="1" shapeId="0" xr:uid="{00000000-0006-0000-0100-0000EF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03" authorId="1" shapeId="0" xr:uid="{00000000-0006-0000-0100-0000F0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04" authorId="1" shapeId="0" xr:uid="{00000000-0006-0000-0100-0000F1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04" authorId="1" shapeId="0" xr:uid="{00000000-0006-0000-0100-0000F2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05" authorId="1" shapeId="0" xr:uid="{00000000-0006-0000-0100-0000F3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05" authorId="1" shapeId="0" xr:uid="{00000000-0006-0000-0100-0000F4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06" authorId="1" shapeId="0" xr:uid="{00000000-0006-0000-0100-0000F5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06" authorId="1" shapeId="0" xr:uid="{00000000-0006-0000-0100-0000F6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07" authorId="1" shapeId="0" xr:uid="{00000000-0006-0000-0100-0000F7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07" authorId="1" shapeId="0" xr:uid="{00000000-0006-0000-0100-0000F8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08" authorId="1" shapeId="0" xr:uid="{00000000-0006-0000-0100-0000F9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08" authorId="1" shapeId="0" xr:uid="{00000000-0006-0000-0100-0000FA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09" authorId="1" shapeId="0" xr:uid="{00000000-0006-0000-0100-0000FB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09" authorId="1" shapeId="0" xr:uid="{00000000-0006-0000-0100-0000FC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10" authorId="1" shapeId="0" xr:uid="{00000000-0006-0000-0100-0000FD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10" authorId="1" shapeId="0" xr:uid="{00000000-0006-0000-0100-0000FE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11" authorId="1" shapeId="0" xr:uid="{00000000-0006-0000-0100-0000FF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11" authorId="1" shapeId="0" xr:uid="{00000000-0006-0000-0100-000000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12" authorId="1" shapeId="0" xr:uid="{00000000-0006-0000-0100-000001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12" authorId="1" shapeId="0" xr:uid="{00000000-0006-0000-0100-000002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13" authorId="1" shapeId="0" xr:uid="{00000000-0006-0000-0100-000003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13" authorId="1" shapeId="0" xr:uid="{00000000-0006-0000-0100-000004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14" authorId="1" shapeId="0" xr:uid="{00000000-0006-0000-0100-000005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14" authorId="1" shapeId="0" xr:uid="{00000000-0006-0000-0100-000006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15" authorId="1" shapeId="0" xr:uid="{00000000-0006-0000-0100-000007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15" authorId="1" shapeId="0" xr:uid="{00000000-0006-0000-0100-000008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16" authorId="1" shapeId="0" xr:uid="{00000000-0006-0000-0100-000009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16" authorId="1" shapeId="0" xr:uid="{00000000-0006-0000-0100-00000A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17" authorId="1" shapeId="0" xr:uid="{00000000-0006-0000-0100-00000B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17" authorId="1" shapeId="0" xr:uid="{00000000-0006-0000-0100-00000C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18" authorId="1" shapeId="0" xr:uid="{00000000-0006-0000-0100-00000D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18" authorId="1" shapeId="0" xr:uid="{00000000-0006-0000-0100-00000E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19" authorId="1" shapeId="0" xr:uid="{00000000-0006-0000-0100-00002B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19" authorId="1" shapeId="0" xr:uid="{00000000-0006-0000-0100-00002C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42" authorId="1" shapeId="0" xr:uid="{00000000-0006-0000-0100-00008B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42" authorId="1" shapeId="0" xr:uid="{00000000-0006-0000-0100-00008C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43" authorId="1" shapeId="0" xr:uid="{00000000-0006-0000-0100-00008D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43" authorId="1" shapeId="0" xr:uid="{00000000-0006-0000-0100-00008E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44" authorId="1" shapeId="0" xr:uid="{00000000-0006-0000-0100-00008F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44" authorId="1" shapeId="0" xr:uid="{00000000-0006-0000-0100-000090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45" authorId="1" shapeId="0" xr:uid="{00000000-0006-0000-0100-000091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45" authorId="1" shapeId="0" xr:uid="{00000000-0006-0000-0100-000092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46" authorId="1" shapeId="0" xr:uid="{00000000-0006-0000-0100-000093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46" authorId="1" shapeId="0" xr:uid="{00000000-0006-0000-0100-000094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47" authorId="1" shapeId="0" xr:uid="{00000000-0006-0000-0100-000095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47" authorId="1" shapeId="0" xr:uid="{00000000-0006-0000-0100-000096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48" authorId="1" shapeId="0" xr:uid="{00000000-0006-0000-0100-000091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48" authorId="1" shapeId="0" xr:uid="{00000000-0006-0000-0100-000092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49" authorId="1" shapeId="0" xr:uid="{00000000-0006-0000-0100-000093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49" authorId="1" shapeId="0" xr:uid="{00000000-0006-0000-0100-000094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50" authorId="1" shapeId="0" xr:uid="{00000000-0006-0000-0100-000095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50" authorId="1" shapeId="0" xr:uid="{00000000-0006-0000-0100-000096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51" authorId="1" shapeId="0" xr:uid="{00000000-0006-0000-0100-0000A5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51" authorId="1" shapeId="0" xr:uid="{00000000-0006-0000-0100-0000A6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52" authorId="1" shapeId="0" xr:uid="{00000000-0006-0000-0100-0000A7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52" authorId="1" shapeId="0" xr:uid="{00000000-0006-0000-0100-0000A8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953" authorId="0" shapeId="0" xr:uid="{74E0946E-19A2-4628-A704-D4CDBD318E44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953" authorId="0" shapeId="0" xr:uid="{16C094A9-3D74-4F76-86F3-CECF3F3B2AB4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953" authorId="0" shapeId="0" xr:uid="{A06D3754-BF51-4E26-8B9D-BE122827F0D9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953" authorId="1" shapeId="0" xr:uid="{00000000-0006-0000-0100-000053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53" authorId="1" shapeId="0" xr:uid="{00000000-0006-0000-0100-000054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954" authorId="0" shapeId="0" xr:uid="{A375715C-82FC-4745-B563-787B848FEB4F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954" authorId="0" shapeId="0" xr:uid="{01E22475-F0A2-49B8-AC57-53A0C65B80E4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954" authorId="0" shapeId="0" xr:uid="{EB437ECC-0F4C-4017-AC7F-89C990146552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954" authorId="1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54" authorId="1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955" authorId="0" shapeId="0" xr:uid="{AE5A81F0-1BED-4A1E-BC76-704E80B1B871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955" authorId="0" shapeId="0" xr:uid="{24BB511F-2804-4525-8791-A5B41C84319E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955" authorId="0" shapeId="0" xr:uid="{7D55CC7D-2B4D-435B-B876-67ABBEBFB131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955" authorId="1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55" authorId="1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56" authorId="1" shapeId="0" xr:uid="{00000000-0006-0000-0100-0000BB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56" authorId="1" shapeId="0" xr:uid="{00000000-0006-0000-0100-0000BC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57" authorId="1" shapeId="0" xr:uid="{00000000-0006-0000-0100-000011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57" authorId="1" shapeId="0" xr:uid="{00000000-0006-0000-0100-000012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58" authorId="1" shapeId="0" xr:uid="{00000000-0006-0000-0100-00009B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58" authorId="1" shapeId="0" xr:uid="{00000000-0006-0000-0100-00009C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59" authorId="1" shapeId="0" xr:uid="{00000000-0006-0000-0100-00009D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59" authorId="1" shapeId="0" xr:uid="{00000000-0006-0000-0100-00009E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60" authorId="1" shapeId="0" xr:uid="{00000000-0006-0000-0100-00003F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60" authorId="1" shapeId="0" xr:uid="{00000000-0006-0000-0100-000040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61" authorId="1" shapeId="0" xr:uid="{00000000-0006-0000-0100-000041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61" authorId="1" shapeId="0" xr:uid="{00000000-0006-0000-0100-000042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62" authorId="1" shapeId="0" xr:uid="{00000000-0006-0000-0100-0000A3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62" authorId="1" shapeId="0" xr:uid="{00000000-0006-0000-0100-0000A4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63" authorId="1" shapeId="0" xr:uid="{00000000-0006-0000-0100-0000EF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63" authorId="1" shapeId="0" xr:uid="{00000000-0006-0000-0100-0000F0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64" authorId="1" shapeId="0" xr:uid="{00000000-0006-0000-0100-000057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64" authorId="1" shapeId="0" xr:uid="{00000000-0006-0000-0100-000058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65" authorId="1" shapeId="0" xr:uid="{00000000-0006-0000-0100-000059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65" authorId="1" shapeId="0" xr:uid="{00000000-0006-0000-0100-00005A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66" authorId="1" shapeId="0" xr:uid="{00000000-0006-0000-0100-00005B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66" authorId="1" shapeId="0" xr:uid="{00000000-0006-0000-0100-00005C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67" authorId="1" shapeId="0" xr:uid="{00000000-0006-0000-0100-0000C7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67" authorId="1" shapeId="0" xr:uid="{00000000-0006-0000-0100-0000C8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68" authorId="1" shapeId="0" xr:uid="{00000000-0006-0000-0100-0000C9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68" authorId="1" shapeId="0" xr:uid="{00000000-0006-0000-0100-0000CA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69" authorId="1" shapeId="0" xr:uid="{00000000-0006-0000-0100-000011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69" authorId="1" shapeId="0" xr:uid="{00000000-0006-0000-0100-000012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70" authorId="1" shapeId="0" xr:uid="{00000000-0006-0000-0100-000013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70" authorId="1" shapeId="0" xr:uid="{00000000-0006-0000-0100-000014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71" authorId="1" shapeId="0" xr:uid="{00000000-0006-0000-0100-000015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71" authorId="1" shapeId="0" xr:uid="{00000000-0006-0000-0100-000016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972" authorId="0" shapeId="0" xr:uid="{A352C390-E426-4495-88AC-F87185F8D082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972" authorId="0" shapeId="0" xr:uid="{06FD584A-232D-4C2B-B611-B0DB78C995EB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972" authorId="0" shapeId="0" xr:uid="{C10BA630-2331-4C02-B94C-749DC3D60633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972" authorId="1" shapeId="0" xr:uid="{00000000-0006-0000-0100-000017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72" authorId="1" shapeId="0" xr:uid="{00000000-0006-0000-0100-000018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973" authorId="0" shapeId="0" xr:uid="{16E0DE60-C5ED-4D9E-BD15-5891FC2782C8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973" authorId="0" shapeId="0" xr:uid="{2E14F550-D98A-410C-BC0D-BCE57C1C058D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973" authorId="0" shapeId="0" xr:uid="{AD933A63-3407-4F0A-B39C-45B554B41472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973" authorId="1" shapeId="0" xr:uid="{00000000-0006-0000-0100-000019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73" authorId="1" shapeId="0" xr:uid="{00000000-0006-0000-0100-00001A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974" authorId="0" shapeId="0" xr:uid="{5AC8A512-C025-421C-8A11-4513057E61D1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974" authorId="0" shapeId="0" xr:uid="{2DE65151-C3C4-4747-A44F-9381893B71A1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974" authorId="0" shapeId="0" xr:uid="{C9446837-F049-403C-82C5-F074AC65F49B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974" authorId="1" shapeId="0" xr:uid="{00000000-0006-0000-0100-0000A7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74" authorId="1" shapeId="0" xr:uid="{00000000-0006-0000-0100-0000A8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975" authorId="0" shapeId="0" xr:uid="{2BECB2A4-7C6B-497B-8611-7DB1B904869E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975" authorId="0" shapeId="0" xr:uid="{779C7E35-B5EF-4467-AB8F-4C6603D591DF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975" authorId="0" shapeId="0" xr:uid="{54BB9876-54D9-4A15-872A-63B209C00E20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975" authorId="1" shapeId="0" xr:uid="{00000000-0006-0000-0100-0000A9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75" authorId="1" shapeId="0" xr:uid="{00000000-0006-0000-0100-0000AA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976" authorId="0" shapeId="0" xr:uid="{E3964A70-02CF-4F55-BB6B-2F1D83E8F7E8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976" authorId="0" shapeId="0" xr:uid="{4FCBF46D-8FD7-4D55-B678-8972E0806AF4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976" authorId="0" shapeId="0" xr:uid="{4DB8E7BF-8CE9-436A-B4DE-7EF78E08A964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976" authorId="1" shapeId="0" xr:uid="{00000000-0006-0000-0100-0000AB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76" authorId="1" shapeId="0" xr:uid="{00000000-0006-0000-0100-0000AC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977" authorId="0" shapeId="0" xr:uid="{85A7F9C3-E813-4CCD-BC16-55DD565828E3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977" authorId="0" shapeId="0" xr:uid="{B61350D1-77D9-4A83-AE96-999F483F8DB3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977" authorId="0" shapeId="0" xr:uid="{A8199E45-3CF3-4805-98CB-F03CE6C716AC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977" authorId="1" shapeId="0" xr:uid="{00000000-0006-0000-0100-0000AD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77" authorId="1" shapeId="0" xr:uid="{00000000-0006-0000-0100-0000AE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78" authorId="1" shapeId="0" xr:uid="{00000000-0006-0000-0100-000059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78" authorId="1" shapeId="0" xr:uid="{00000000-0006-0000-0100-00005A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79" authorId="1" shapeId="0" xr:uid="{00000000-0006-0000-0100-00005B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79" authorId="1" shapeId="0" xr:uid="{00000000-0006-0000-0100-00005C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80" authorId="1" shapeId="0" xr:uid="{00000000-0006-0000-0100-00005D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80" authorId="1" shapeId="0" xr:uid="{00000000-0006-0000-0100-00005E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81" authorId="1" shapeId="0" xr:uid="{00000000-0006-0000-0100-0000AF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81" authorId="1" shapeId="0" xr:uid="{00000000-0006-0000-0100-0000B0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82" authorId="1" shapeId="0" xr:uid="{00000000-0006-0000-0100-000023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82" authorId="1" shapeId="0" xr:uid="{00000000-0006-0000-0100-000024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83" authorId="1" shapeId="0" xr:uid="{00000000-0006-0000-0100-000025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83" authorId="1" shapeId="0" xr:uid="{00000000-0006-0000-0100-000026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84" authorId="1" shapeId="0" xr:uid="{00000000-0006-0000-0100-000027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84" authorId="1" shapeId="0" xr:uid="{00000000-0006-0000-0100-000028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85" authorId="1" shapeId="0" xr:uid="{00000000-0006-0000-0100-000029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85" authorId="1" shapeId="0" xr:uid="{00000000-0006-0000-0100-00002A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86" authorId="1" shapeId="0" xr:uid="{00000000-0006-0000-0100-000001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86" authorId="1" shapeId="0" xr:uid="{00000000-0006-0000-0100-000002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87" authorId="1" shapeId="0" xr:uid="{00000000-0006-0000-0100-000003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87" authorId="1" shapeId="0" xr:uid="{00000000-0006-0000-0100-000004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88" authorId="1" shapeId="0" xr:uid="{00000000-0006-0000-0100-000005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88" authorId="1" shapeId="0" xr:uid="{00000000-0006-0000-0100-000006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89" authorId="1" shapeId="0" xr:uid="{00000000-0006-0000-0100-0000A1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89" authorId="1" shapeId="0" xr:uid="{00000000-0006-0000-0100-0000A2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90" authorId="1" shapeId="0" xr:uid="{00000000-0006-0000-0100-0000A3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90" authorId="1" shapeId="0" xr:uid="{00000000-0006-0000-0100-0000A4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91" authorId="1" shapeId="0" xr:uid="{00000000-0006-0000-0100-0000A5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91" authorId="1" shapeId="0" xr:uid="{00000000-0006-0000-0100-0000A6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92" authorId="1" shapeId="0" xr:uid="{00000000-0006-0000-0100-0000A7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92" authorId="1" shapeId="0" xr:uid="{00000000-0006-0000-0100-0000A8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93" authorId="1" shapeId="0" xr:uid="{00000000-0006-0000-0100-0000A9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93" authorId="1" shapeId="0" xr:uid="{00000000-0006-0000-0100-0000AA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94" authorId="1" shapeId="0" xr:uid="{00000000-0006-0000-0100-0000AB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94" authorId="1" shapeId="0" xr:uid="{00000000-0006-0000-0100-0000AC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95" authorId="1" shapeId="0" xr:uid="{00000000-0006-0000-0100-000069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95" authorId="1" shapeId="0" xr:uid="{00000000-0006-0000-0100-00006A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96" authorId="1" shapeId="0" xr:uid="{00000000-0006-0000-0100-00006B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96" authorId="1" shapeId="0" xr:uid="{00000000-0006-0000-0100-00006C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97" authorId="1" shapeId="0" xr:uid="{00000000-0006-0000-0100-00006D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97" authorId="1" shapeId="0" xr:uid="{00000000-0006-0000-0100-00006E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98" authorId="1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98" authorId="1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999" authorId="1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999" authorId="1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00" authorId="1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00" authorId="1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01" authorId="1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01" authorId="1" shapeId="0" xr:uid="{00000000-0006-0000-0100-000052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02" authorId="1" shapeId="0" xr:uid="{00000000-0006-0000-0100-000049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02" authorId="1" shapeId="0" xr:uid="{00000000-0006-0000-0100-00004A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03" authorId="1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03" authorId="1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04" authorId="1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04" authorId="1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05" authorId="1" shapeId="0" xr:uid="{00000000-0006-0000-0100-00000F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05" authorId="1" shapeId="0" xr:uid="{00000000-0006-0000-0100-000010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1027" authorId="0" shapeId="0" xr:uid="{907749B9-25AA-4412-9549-C12668044004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027" authorId="0" shapeId="0" xr:uid="{0B16E941-8243-41B8-8476-9588D13A38D1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027" authorId="0" shapeId="0" xr:uid="{F37631F3-632A-46B2-81E8-DB46AE07898E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1027" authorId="1" shapeId="0" xr:uid="{00000000-0006-0000-0100-000043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27" authorId="1" shapeId="0" xr:uid="{00000000-0006-0000-0100-000044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1028" authorId="0" shapeId="0" xr:uid="{57F8790D-95F0-4328-A85E-55D5ABDA8BDF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028" authorId="0" shapeId="0" xr:uid="{0065711D-6C2C-40C2-B75D-BAC997B5BDC2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028" authorId="0" shapeId="0" xr:uid="{629DC317-C98A-4462-9888-0A375274A386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1028" authorId="1" shapeId="0" xr:uid="{00000000-0006-0000-0100-000045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28" authorId="1" shapeId="0" xr:uid="{00000000-0006-0000-0100-000046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1029" authorId="0" shapeId="0" xr:uid="{AE372D73-0BD7-40B4-8E70-9595693178EB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029" authorId="0" shapeId="0" xr:uid="{6F30A581-5B30-4BED-A5F8-85DCB6494B52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029" authorId="0" shapeId="0" xr:uid="{6D3FE51E-929F-48CB-92D3-B6C723E7B745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1029" authorId="1" shapeId="0" xr:uid="{00000000-0006-0000-0100-000047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29" authorId="1" shapeId="0" xr:uid="{00000000-0006-0000-0100-000048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30" authorId="1" shapeId="0" xr:uid="{00000000-0006-0000-0100-000077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30" authorId="1" shapeId="0" xr:uid="{00000000-0006-0000-0100-000078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31" authorId="1" shapeId="0" xr:uid="{00000000-0006-0000-0100-000079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31" authorId="1" shapeId="0" xr:uid="{00000000-0006-0000-0100-00007A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32" authorId="1" shapeId="0" xr:uid="{00000000-0006-0000-0100-00007B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32" authorId="1" shapeId="0" xr:uid="{00000000-0006-0000-0100-00007C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33" authorId="1" shapeId="0" xr:uid="{00000000-0006-0000-0100-00007D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33" authorId="1" shapeId="0" xr:uid="{00000000-0006-0000-0100-00007E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34" authorId="1" shapeId="0" xr:uid="{00000000-0006-0000-0100-0000DD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34" authorId="1" shapeId="0" xr:uid="{00000000-0006-0000-0100-0000DE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35" authorId="1" shapeId="0" xr:uid="{00000000-0006-0000-0100-0000DF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35" authorId="1" shapeId="0" xr:uid="{00000000-0006-0000-0100-0000E0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36" authorId="1" shapeId="0" xr:uid="{00000000-0006-0000-0100-000029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36" authorId="1" shapeId="0" xr:uid="{00000000-0006-0000-0100-00002A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37" authorId="1" shapeId="0" xr:uid="{00000000-0006-0000-0100-00002B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37" authorId="1" shapeId="0" xr:uid="{00000000-0006-0000-0100-00002C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38" authorId="1" shapeId="0" xr:uid="{00000000-0006-0000-0100-00002D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38" authorId="1" shapeId="0" xr:uid="{00000000-0006-0000-0100-00002E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39" authorId="1" shapeId="0" xr:uid="{00000000-0006-0000-0100-00002F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39" authorId="1" shapeId="0" xr:uid="{00000000-0006-0000-0100-000030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40" authorId="1" shapeId="0" xr:uid="{00000000-0006-0000-0100-000031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40" authorId="1" shapeId="0" xr:uid="{00000000-0006-0000-0100-000032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41" authorId="1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41" authorId="1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42" authorId="1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42" authorId="1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43" authorId="1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43" authorId="1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44" authorId="1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44" authorId="1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45" authorId="1" shapeId="0" xr:uid="{00000000-0006-0000-0100-0000BD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45" authorId="1" shapeId="0" xr:uid="{00000000-0006-0000-0100-0000BE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46" authorId="1" shapeId="0" xr:uid="{00000000-0006-0000-0100-0000BF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46" authorId="1" shapeId="0" xr:uid="{00000000-0006-0000-0100-0000C0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47" authorId="1" shapeId="0" xr:uid="{00000000-0006-0000-0100-0000F9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47" authorId="1" shapeId="0" xr:uid="{00000000-0006-0000-0100-0000FA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48" authorId="1" shapeId="0" xr:uid="{00000000-0006-0000-0100-0000FB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48" authorId="1" shapeId="0" xr:uid="{00000000-0006-0000-0100-0000FC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49" authorId="1" shapeId="0" xr:uid="{00000000-0006-0000-0100-0000FD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49" authorId="1" shapeId="0" xr:uid="{00000000-0006-0000-0100-0000FE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50" authorId="1" shapeId="0" xr:uid="{00000000-0006-0000-0100-0000FF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50" authorId="1" shapeId="0" xr:uid="{00000000-0006-0000-0100-000000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51" authorId="1" shapeId="0" xr:uid="{00000000-0006-0000-0100-000075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51" authorId="1" shapeId="0" xr:uid="{00000000-0006-0000-0100-000076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52" authorId="1" shapeId="0" xr:uid="{00000000-0006-0000-0100-000077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52" authorId="1" shapeId="0" xr:uid="{00000000-0006-0000-0100-000078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53" authorId="1" shapeId="0" xr:uid="{00000000-0006-0000-0100-000079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53" authorId="1" shapeId="0" xr:uid="{00000000-0006-0000-0100-00007A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54" authorId="1" shapeId="0" xr:uid="{00000000-0006-0000-0100-00007B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54" authorId="1" shapeId="0" xr:uid="{00000000-0006-0000-0100-00007C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55" authorId="1" shapeId="0" xr:uid="{00000000-0006-0000-0100-00007D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55" authorId="1" shapeId="0" xr:uid="{00000000-0006-0000-0100-00007E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56" authorId="1" shapeId="0" xr:uid="{00000000-0006-0000-0100-00007F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56" authorId="1" shapeId="0" xr:uid="{00000000-0006-0000-0100-000080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57" authorId="1" shapeId="0" xr:uid="{00000000-0006-0000-0100-000029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57" authorId="1" shapeId="0" xr:uid="{00000000-0006-0000-0100-00002A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58" authorId="1" shapeId="0" xr:uid="{00000000-0006-0000-0100-00002B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58" authorId="1" shapeId="0" xr:uid="{00000000-0006-0000-0100-00002C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59" authorId="1" shapeId="0" xr:uid="{00000000-0006-0000-0100-00002D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59" authorId="1" shapeId="0" xr:uid="{00000000-0006-0000-0100-00002E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60" authorId="1" shapeId="0" xr:uid="{00000000-0006-0000-0100-00002F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60" authorId="1" shapeId="0" xr:uid="{00000000-0006-0000-0100-000030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61" authorId="1" shapeId="0" xr:uid="{00000000-0006-0000-0100-000031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61" authorId="1" shapeId="0" xr:uid="{00000000-0006-0000-0100-000032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62" authorId="1" shapeId="0" xr:uid="{00000000-0006-0000-0100-00004F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62" authorId="1" shapeId="0" xr:uid="{00000000-0006-0000-0100-000050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63" authorId="1" shapeId="0" xr:uid="{00000000-0006-0000-0100-000051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63" authorId="1" shapeId="0" xr:uid="{00000000-0006-0000-0100-000052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64" authorId="1" shapeId="0" xr:uid="{00000000-0006-0000-0100-000053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64" authorId="1" shapeId="0" xr:uid="{00000000-0006-0000-0100-000054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65" authorId="1" shapeId="0" xr:uid="{00000000-0006-0000-0100-000055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65" authorId="1" shapeId="0" xr:uid="{00000000-0006-0000-0100-000056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66" authorId="1" shapeId="0" xr:uid="{00000000-0006-0000-0100-000057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66" authorId="1" shapeId="0" xr:uid="{00000000-0006-0000-0100-000058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67" authorId="1" shapeId="0" xr:uid="{00000000-0006-0000-0100-0000B5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67" authorId="1" shapeId="0" xr:uid="{00000000-0006-0000-0100-0000B6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68" authorId="1" shapeId="0" xr:uid="{00000000-0006-0000-0100-0000B9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68" authorId="1" shapeId="0" xr:uid="{00000000-0006-0000-0100-0000BA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69" authorId="1" shapeId="0" xr:uid="{00000000-0006-0000-0100-0000BB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69" authorId="1" shapeId="0" xr:uid="{00000000-0006-0000-0100-0000BC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70" authorId="1" shapeId="0" xr:uid="{00000000-0006-0000-0100-0000BD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70" authorId="1" shapeId="0" xr:uid="{00000000-0006-0000-0100-0000BE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71" authorId="1" shapeId="0" xr:uid="{00000000-0006-0000-0100-0000BF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71" authorId="1" shapeId="0" xr:uid="{00000000-0006-0000-0100-0000C0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72" authorId="1" shapeId="0" xr:uid="{00000000-0006-0000-0100-0000C1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72" authorId="1" shapeId="0" xr:uid="{00000000-0006-0000-0100-0000C2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73" authorId="1" shapeId="0" xr:uid="{00000000-0006-0000-0100-0000C3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73" authorId="1" shapeId="0" xr:uid="{00000000-0006-0000-0100-0000C4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74" authorId="1" shapeId="0" xr:uid="{00000000-0006-0000-0100-0000B7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74" authorId="1" shapeId="0" xr:uid="{00000000-0006-0000-0100-0000B8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75" authorId="1" shapeId="0" xr:uid="{00000000-0006-0000-0100-0000C5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75" authorId="1" shapeId="0" xr:uid="{00000000-0006-0000-0100-0000C6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76" authorId="1" shapeId="0" xr:uid="{00000000-0006-0000-0100-000005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76" authorId="1" shapeId="0" xr:uid="{00000000-0006-0000-0100-000006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77" authorId="1" shapeId="0" xr:uid="{00000000-0006-0000-0100-000007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77" authorId="1" shapeId="0" xr:uid="{00000000-0006-0000-0100-000008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78" authorId="1" shapeId="0" xr:uid="{00000000-0006-0000-0100-000009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78" authorId="1" shapeId="0" xr:uid="{00000000-0006-0000-0100-00000A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79" authorId="1" shapeId="0" xr:uid="{00000000-0006-0000-0100-00000B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79" authorId="1" shapeId="0" xr:uid="{00000000-0006-0000-0100-00000C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80" authorId="1" shapeId="0" xr:uid="{00000000-0006-0000-0100-00000D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80" authorId="1" shapeId="0" xr:uid="{00000000-0006-0000-0100-00000E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81" authorId="1" shapeId="0" xr:uid="{00000000-0006-0000-0100-000073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81" authorId="1" shapeId="0" xr:uid="{00000000-0006-0000-0100-000074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82" authorId="1" shapeId="0" xr:uid="{00000000-0006-0000-0100-000033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82" authorId="1" shapeId="0" xr:uid="{00000000-0006-0000-0100-000034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83" authorId="1" shapeId="0" xr:uid="{00000000-0006-0000-0100-000027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83" authorId="1" shapeId="0" xr:uid="{00000000-0006-0000-0100-000028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84" authorId="1" shapeId="0" xr:uid="{00000000-0006-0000-0100-0000CF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84" authorId="1" shapeId="0" xr:uid="{00000000-0006-0000-0100-0000D0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85" authorId="1" shapeId="0" xr:uid="{00000000-0006-0000-0100-0000D1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85" authorId="1" shapeId="0" xr:uid="{00000000-0006-0000-0100-0000D2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86" authorId="1" shapeId="0" xr:uid="{00000000-0006-0000-0100-0000D3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86" authorId="1" shapeId="0" xr:uid="{00000000-0006-0000-0100-0000D4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87" authorId="1" shapeId="0" xr:uid="{00000000-0006-0000-0100-0000D5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87" authorId="1" shapeId="0" xr:uid="{00000000-0006-0000-0100-0000D6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1088" authorId="0" shapeId="0" xr:uid="{E46078B7-F943-433F-AA94-5E33B9A899FB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088" authorId="0" shapeId="0" xr:uid="{0C99A3C1-DF66-4BE4-AB87-0634D0304B1A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088" authorId="0" shapeId="0" xr:uid="{C50F2F97-8C48-41BB-BF6B-B1844B1DCFD5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1088" authorId="1" shapeId="0" xr:uid="{00000000-0006-0000-0100-000097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88" authorId="1" shapeId="0" xr:uid="{00000000-0006-0000-0100-000098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1089" authorId="0" shapeId="0" xr:uid="{2C824DE9-6989-4EE8-AC14-9527E1AB6253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089" authorId="0" shapeId="0" xr:uid="{6E257465-773A-43EA-B609-14F37DE95F2E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089" authorId="0" shapeId="0" xr:uid="{100A5795-5861-4612-AA68-B3774803FDDC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1089" authorId="1" shapeId="0" xr:uid="{00000000-0006-0000-0100-000099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89" authorId="1" shapeId="0" xr:uid="{00000000-0006-0000-0100-00009A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90" authorId="1" shapeId="0" xr:uid="{00000000-0006-0000-0100-0000D3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90" authorId="1" shapeId="0" xr:uid="{00000000-0006-0000-0100-0000D4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91" authorId="1" shapeId="0" xr:uid="{00000000-0006-0000-0100-0000D5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91" authorId="1" shapeId="0" xr:uid="{00000000-0006-0000-0100-0000D6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92" authorId="1" shapeId="0" xr:uid="{00000000-0006-0000-0100-0000D7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92" authorId="1" shapeId="0" xr:uid="{00000000-0006-0000-0100-0000D8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93" authorId="1" shapeId="0" xr:uid="{00000000-0006-0000-0100-0000D9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93" authorId="1" shapeId="0" xr:uid="{00000000-0006-0000-0100-0000DA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94" authorId="1" shapeId="0" xr:uid="{00000000-0006-0000-0100-0000DB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94" authorId="1" shapeId="0" xr:uid="{00000000-0006-0000-0100-0000DC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95" authorId="1" shapeId="0" xr:uid="{00000000-0006-0000-0100-0000DD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95" authorId="1" shapeId="0" xr:uid="{00000000-0006-0000-0100-0000DE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96" authorId="1" shapeId="0" xr:uid="{00000000-0006-0000-0100-0000DF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96" authorId="1" shapeId="0" xr:uid="{00000000-0006-0000-0100-0000E0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97" authorId="1" shapeId="0" xr:uid="{00000000-0006-0000-0100-0000C3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97" authorId="1" shapeId="0" xr:uid="{00000000-0006-0000-0100-0000C4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98" authorId="1" shapeId="0" xr:uid="{00000000-0006-0000-0100-0000C5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98" authorId="1" shapeId="0" xr:uid="{00000000-0006-0000-0100-0000C6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099" authorId="1" shapeId="0" xr:uid="{00000000-0006-0000-0100-0000C7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099" authorId="1" shapeId="0" xr:uid="{00000000-0006-0000-0100-0000C8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00" authorId="1" shapeId="0" xr:uid="{00000000-0006-0000-0100-0000C9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00" authorId="1" shapeId="0" xr:uid="{00000000-0006-0000-0100-0000CA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01" authorId="1" shapeId="0" xr:uid="{00000000-0006-0000-0100-0000CB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01" authorId="1" shapeId="0" xr:uid="{00000000-0006-0000-0100-0000CC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02" authorId="1" shapeId="0" xr:uid="{00000000-0006-0000-0100-0000CD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02" authorId="1" shapeId="0" xr:uid="{00000000-0006-0000-0100-0000CE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1103" authorId="0" shapeId="0" xr:uid="{E8D0CBAA-5F4B-49C3-AAA6-6FFCCD11BF0C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103" authorId="0" shapeId="0" xr:uid="{DAC3804A-3907-4558-832F-025BE9BC3969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103" authorId="0" shapeId="0" xr:uid="{3B680636-6602-4AF3-9BA0-2622CE7AC329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1103" authorId="1" shapeId="0" xr:uid="{00000000-0006-0000-0100-0000F3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03" authorId="1" shapeId="0" xr:uid="{00000000-0006-0000-0100-0000F4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1104" authorId="0" shapeId="0" xr:uid="{8F11F4FC-2A30-4E8B-B9EF-B2616D9F170E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104" authorId="0" shapeId="0" xr:uid="{35F32C69-DE4D-48B7-B1FE-1D894EA7C175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104" authorId="0" shapeId="0" xr:uid="{582A03C0-8366-4C5B-A6A8-DD6BF52DFC0C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1104" authorId="1" shapeId="0" xr:uid="{00000000-0006-0000-0100-0000F5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04" authorId="1" shapeId="0" xr:uid="{00000000-0006-0000-0100-0000F6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1105" authorId="0" shapeId="0" xr:uid="{9E2C1064-49D2-42F2-A0E5-1BC82E44A03D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105" authorId="0" shapeId="0" xr:uid="{A7BE8BE3-5803-4ADC-BCEF-97D93DF0657C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105" authorId="0" shapeId="0" xr:uid="{96CA8EE4-071B-48E0-AEAF-9EC0CA2B764C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1105" authorId="1" shapeId="0" xr:uid="{00000000-0006-0000-0100-0000F7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05" authorId="1" shapeId="0" xr:uid="{00000000-0006-0000-0100-0000F8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06" authorId="1" shapeId="0" xr:uid="{00000000-0006-0000-0100-0000FD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06" authorId="1" shapeId="0" xr:uid="{00000000-0006-0000-0100-0000FE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07" authorId="1" shapeId="0" xr:uid="{00000000-0006-0000-0100-0000FF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07" authorId="1" shapeId="0" xr:uid="{00000000-0006-0000-0100-000000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08" authorId="1" shapeId="0" xr:uid="{00000000-0006-0000-0100-000001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08" authorId="1" shapeId="0" xr:uid="{00000000-0006-0000-0100-000002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09" authorId="1" shapeId="0" xr:uid="{00000000-0006-0000-0100-000003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09" authorId="1" shapeId="0" xr:uid="{00000000-0006-0000-0100-000004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10" authorId="1" shapeId="0" xr:uid="{00000000-0006-0000-0100-000053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10" authorId="1" shapeId="0" xr:uid="{00000000-0006-0000-0100-000054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11" authorId="1" shapeId="0" xr:uid="{00000000-0006-0000-0100-000055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11" authorId="1" shapeId="0" xr:uid="{00000000-0006-0000-0100-000056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12" authorId="1" shapeId="0" xr:uid="{00000000-0006-0000-0100-000057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12" authorId="1" shapeId="0" xr:uid="{00000000-0006-0000-0100-000058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13" authorId="1" shapeId="0" xr:uid="{00000000-0006-0000-0100-00009B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13" authorId="1" shapeId="0" xr:uid="{00000000-0006-0000-0100-00009C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14" authorId="1" shapeId="0" xr:uid="{00000000-0006-0000-0100-00009D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14" authorId="1" shapeId="0" xr:uid="{00000000-0006-0000-0100-00009E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15" authorId="1" shapeId="0" xr:uid="{00000000-0006-0000-0100-00009F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15" authorId="1" shapeId="0" xr:uid="{00000000-0006-0000-0100-0000A0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16" authorId="1" shapeId="0" xr:uid="{00000000-0006-0000-0100-0000A1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16" authorId="1" shapeId="0" xr:uid="{00000000-0006-0000-0100-0000A2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17" authorId="1" shapeId="0" xr:uid="{00000000-0006-0000-0100-000007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17" authorId="1" shapeId="0" xr:uid="{00000000-0006-0000-0100-000008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18" authorId="1" shapeId="0" xr:uid="{00000000-0006-0000-0100-000009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18" authorId="1" shapeId="0" xr:uid="{00000000-0006-0000-0100-00000A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19" authorId="1" shapeId="0" xr:uid="{00000000-0006-0000-0100-00000B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19" authorId="1" shapeId="0" xr:uid="{00000000-0006-0000-0100-00000C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20" authorId="1" shapeId="0" xr:uid="{00000000-0006-0000-0100-00000D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20" authorId="1" shapeId="0" xr:uid="{00000000-0006-0000-0100-00000E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21" authorId="1" shapeId="0" xr:uid="{00000000-0006-0000-0100-00000F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21" authorId="1" shapeId="0" xr:uid="{00000000-0006-0000-0100-000010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22" authorId="1" shapeId="0" xr:uid="{00000000-0006-0000-0100-000011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22" authorId="1" shapeId="0" xr:uid="{00000000-0006-0000-0100-000012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23" authorId="1" shapeId="0" xr:uid="{00000000-0006-0000-0100-000013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23" authorId="1" shapeId="0" xr:uid="{00000000-0006-0000-0100-000014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24" authorId="1" shapeId="0" xr:uid="{00000000-0006-0000-0100-000037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24" authorId="1" shapeId="0" xr:uid="{00000000-0006-0000-0100-000038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25" authorId="1" shapeId="0" xr:uid="{00000000-0006-0000-0100-000039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25" authorId="1" shapeId="0" xr:uid="{00000000-0006-0000-0100-00003A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26" authorId="1" shapeId="0" xr:uid="{00000000-0006-0000-0100-00003B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26" authorId="1" shapeId="0" xr:uid="{00000000-0006-0000-0100-00003C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27" authorId="1" shapeId="0" xr:uid="{00000000-0006-0000-0100-00003D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27" authorId="1" shapeId="0" xr:uid="{00000000-0006-0000-0100-00003E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28" authorId="1" shapeId="0" xr:uid="{00000000-0006-0000-0100-000065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28" authorId="1" shapeId="0" xr:uid="{00000000-0006-0000-0100-000066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29" authorId="1" shapeId="0" xr:uid="{00000000-0006-0000-0100-000067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29" authorId="1" shapeId="0" xr:uid="{00000000-0006-0000-0100-000068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30" authorId="1" shapeId="0" xr:uid="{00000000-0006-0000-0100-000015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30" authorId="1" shapeId="0" xr:uid="{00000000-0006-0000-0100-000016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31" authorId="1" shapeId="0" xr:uid="{00000000-0006-0000-0100-000017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31" authorId="1" shapeId="0" xr:uid="{00000000-0006-0000-0100-000018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32" authorId="1" shapeId="0" xr:uid="{00000000-0006-0000-0100-0000B1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32" authorId="1" shapeId="0" xr:uid="{00000000-0006-0000-0100-0000B2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33" authorId="1" shapeId="0" xr:uid="{00000000-0006-0000-0100-00007F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33" authorId="1" shapeId="0" xr:uid="{00000000-0006-0000-0100-000080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34" authorId="1" shapeId="0" xr:uid="{00000000-0006-0000-0100-000081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34" authorId="1" shapeId="0" xr:uid="{00000000-0006-0000-0100-000082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35" authorId="1" shapeId="0" xr:uid="{00000000-0006-0000-0100-000083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35" authorId="1" shapeId="0" xr:uid="{00000000-0006-0000-0100-000084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36" authorId="1" shapeId="0" xr:uid="{00000000-0006-0000-0100-000085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36" authorId="1" shapeId="0" xr:uid="{00000000-0006-0000-0100-000086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37" authorId="1" shapeId="0" xr:uid="{00000000-0006-0000-0100-000087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37" authorId="1" shapeId="0" xr:uid="{00000000-0006-0000-0100-000088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38" authorId="1" shapeId="0" xr:uid="{00000000-0006-0000-0100-0000AF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38" authorId="1" shapeId="0" xr:uid="{00000000-0006-0000-0100-0000B0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39" authorId="1" shapeId="0" xr:uid="{00000000-0006-0000-0100-0000B1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39" authorId="1" shapeId="0" xr:uid="{00000000-0006-0000-0100-0000B2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40" authorId="1" shapeId="0" xr:uid="{00000000-0006-0000-0100-0000B3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40" authorId="1" shapeId="0" xr:uid="{00000000-0006-0000-0100-0000B4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41" authorId="1" shapeId="0" xr:uid="{00000000-0006-0000-0100-0000B5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41" authorId="1" shapeId="0" xr:uid="{00000000-0006-0000-0100-0000B6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1142" authorId="0" shapeId="0" xr:uid="{EA15D9CD-7A66-49A5-B1CB-C2E9448A681C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142" authorId="0" shapeId="0" xr:uid="{8386AA92-A12D-4E40-9421-0B7F6080B94E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142" authorId="0" shapeId="0" xr:uid="{A519C7F5-BDA0-4C65-91BC-D494578CA886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1142" authorId="1" shapeId="0" xr:uid="{00000000-0006-0000-0100-000013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42" authorId="1" shapeId="0" xr:uid="{00000000-0006-0000-0100-000014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1143" authorId="0" shapeId="0" xr:uid="{FEEBA777-C0D8-4616-8393-D50C1F2A1124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143" authorId="0" shapeId="0" xr:uid="{31FDA8B2-1134-449B-8F0F-98FCACBF7797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143" authorId="0" shapeId="0" xr:uid="{ECF007DC-5FB3-4500-83E3-FE60051FDBD4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1143" authorId="1" shapeId="0" xr:uid="{00000000-0006-0000-0100-000015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43" authorId="1" shapeId="0" xr:uid="{00000000-0006-0000-0100-000016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44" authorId="1" shapeId="0" xr:uid="{00000000-0006-0000-0100-00005F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44" authorId="1" shapeId="0" xr:uid="{00000000-0006-0000-0100-000060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45" authorId="1" shapeId="0" xr:uid="{00000000-0006-0000-0100-000061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45" authorId="1" shapeId="0" xr:uid="{00000000-0006-0000-0100-000062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46" authorId="1" shapeId="0" xr:uid="{00000000-0006-0000-0100-000055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46" authorId="1" shapeId="0" xr:uid="{00000000-0006-0000-0100-000056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47" authorId="1" shapeId="0" xr:uid="{00000000-0006-0000-0100-0000D7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47" authorId="1" shapeId="0" xr:uid="{00000000-0006-0000-0100-0000D8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48" authorId="1" shapeId="0" xr:uid="{00000000-0006-0000-0100-0000D9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48" authorId="1" shapeId="0" xr:uid="{00000000-0006-0000-0100-0000DA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49" authorId="1" shapeId="0" xr:uid="{00000000-0006-0000-0100-000089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49" authorId="1" shapeId="0" xr:uid="{00000000-0006-0000-0100-00008A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50" authorId="1" shapeId="0" xr:uid="{00000000-0006-0000-0100-00008D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50" authorId="1" shapeId="0" xr:uid="{00000000-0006-0000-0100-00008E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51" authorId="1" shapeId="0" xr:uid="{00000000-0006-0000-0100-000091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51" authorId="1" shapeId="0" xr:uid="{00000000-0006-0000-0100-000092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52" authorId="1" shapeId="0" xr:uid="{00000000-0006-0000-0100-000035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52" authorId="1" shapeId="0" xr:uid="{00000000-0006-0000-0100-000036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53" authorId="1" shapeId="0" xr:uid="{00000000-0006-0000-0100-000045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53" authorId="1" shapeId="0" xr:uid="{00000000-0006-0000-0100-000046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54" authorId="1" shapeId="0" xr:uid="{00000000-0006-0000-0100-000047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54" authorId="1" shapeId="0" xr:uid="{00000000-0006-0000-0100-000048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55" authorId="1" shapeId="0" xr:uid="{00000000-0006-0000-0100-000049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55" authorId="1" shapeId="0" xr:uid="{00000000-0006-0000-0100-00004A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56" authorId="1" shapeId="0" xr:uid="{00000000-0006-0000-0100-00004B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56" authorId="1" shapeId="0" xr:uid="{00000000-0006-0000-0100-00004C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57" authorId="1" shapeId="0" xr:uid="{00000000-0006-0000-0100-00004D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57" authorId="1" shapeId="0" xr:uid="{00000000-0006-0000-0100-00004E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58" authorId="1" shapeId="0" xr:uid="{00000000-0006-0000-0100-00004F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58" authorId="1" shapeId="0" xr:uid="{00000000-0006-0000-0100-000050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59" authorId="1" shapeId="0" xr:uid="{00000000-0006-0000-0100-000051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59" authorId="1" shapeId="0" xr:uid="{00000000-0006-0000-0100-000052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60" authorId="1" shapeId="0" xr:uid="{00000000-0006-0000-0100-000019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60" authorId="1" shapeId="0" xr:uid="{00000000-0006-0000-0100-00001A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61" authorId="1" shapeId="0" xr:uid="{00000000-0006-0000-0100-0000E7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61" authorId="1" shapeId="0" xr:uid="{00000000-0006-0000-0100-0000E8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62" authorId="1" shapeId="0" xr:uid="{00000000-0006-0000-0100-0000E9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62" authorId="1" shapeId="0" xr:uid="{00000000-0006-0000-0100-0000EA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63" authorId="1" shapeId="0" xr:uid="{00000000-0006-0000-0100-0000EB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63" authorId="1" shapeId="0" xr:uid="{00000000-0006-0000-0100-0000EC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64" authorId="1" shapeId="0" xr:uid="{00000000-0006-0000-0100-0000ED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64" authorId="1" shapeId="0" xr:uid="{00000000-0006-0000-0100-0000EE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65" authorId="1" shapeId="0" xr:uid="{00000000-0006-0000-0100-0000EF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65" authorId="1" shapeId="0" xr:uid="{00000000-0006-0000-0100-0000F0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66" authorId="1" shapeId="0" xr:uid="{00000000-0006-0000-0100-0000F1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66" authorId="1" shapeId="0" xr:uid="{00000000-0006-0000-0100-0000F2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67" authorId="1" shapeId="0" xr:uid="{00000000-0006-0000-0100-0000F3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67" authorId="1" shapeId="0" xr:uid="{00000000-0006-0000-0100-0000F4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68" authorId="1" shapeId="0" xr:uid="{00000000-0006-0000-0100-0000F5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68" authorId="1" shapeId="0" xr:uid="{00000000-0006-0000-0100-0000F6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69" authorId="1" shapeId="0" xr:uid="{00000000-0006-0000-0100-000035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69" authorId="1" shapeId="0" xr:uid="{00000000-0006-0000-0100-000036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70" authorId="1" shapeId="0" xr:uid="{00000000-0006-0000-0100-0000F1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70" authorId="1" shapeId="0" xr:uid="{00000000-0006-0000-0100-0000F2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71" authorId="1" shapeId="0" xr:uid="{00000000-0006-0000-0100-00005D02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71" authorId="1" shapeId="0" xr:uid="{00000000-0006-0000-0100-00005E02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72" authorId="1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72" authorId="1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1173" authorId="0" shapeId="0" xr:uid="{1535DABB-3BD4-4260-9DAE-785AFF96666F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I1173" authorId="0" shapeId="0" xr:uid="{5FA1F792-4D7A-4D7D-80E8-99B42FF28B65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J1173" authorId="0" shapeId="0" xr:uid="{313C3D03-9BBE-4A19-8C8F-E1FF9013DEB7}">
      <text>
        <r>
          <rPr>
            <b/>
            <sz val="9"/>
            <color indexed="81"/>
            <rFont val="Tahoma"/>
            <charset val="1"/>
          </rPr>
          <t>Bongiovi, Giuseppe:</t>
        </r>
        <r>
          <rPr>
            <sz val="9"/>
            <color indexed="81"/>
            <rFont val="Tahoma"/>
            <charset val="1"/>
          </rPr>
          <t xml:space="preserve">
assumed must run for some other purpose
</t>
        </r>
      </text>
    </comment>
    <comment ref="Q1173" authorId="1" shapeId="0" xr:uid="{00000000-0006-0000-0100-00000F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73" authorId="1" shapeId="0" xr:uid="{00000000-0006-0000-0100-000010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74" authorId="1" shapeId="0" xr:uid="{00000000-0006-0000-0100-000039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74" authorId="1" shapeId="0" xr:uid="{00000000-0006-0000-0100-00003A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75" authorId="1" shapeId="0" xr:uid="{00000000-0006-0000-0100-00003B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75" authorId="1" shapeId="0" xr:uid="{00000000-0006-0000-0100-00003C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76" authorId="1" shapeId="0" xr:uid="{00000000-0006-0000-0100-00003D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76" authorId="1" shapeId="0" xr:uid="{00000000-0006-0000-0100-00003E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77" authorId="1" shapeId="0" xr:uid="{00000000-0006-0000-0100-00003F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77" authorId="1" shapeId="0" xr:uid="{00000000-0006-0000-0100-000040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78" authorId="1" shapeId="0" xr:uid="{00000000-0006-0000-0100-000041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78" authorId="1" shapeId="0" xr:uid="{00000000-0006-0000-0100-000042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179" authorId="1" shapeId="0" xr:uid="{00000000-0006-0000-0100-00004303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179" authorId="1" shapeId="0" xr:uid="{00000000-0006-0000-0100-00004403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H1180" authorId="0" shapeId="0" xr:uid="{6AEA5855-C4D0-47A0-8AD5-3A1B2001828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180" authorId="0" shapeId="0" xr:uid="{7C96EA9B-B584-4F4D-825E-867043020CB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180" authorId="0" shapeId="0" xr:uid="{2142EBD4-C307-4C41-9716-5611ED89131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181" authorId="0" shapeId="0" xr:uid="{60CE988C-EF48-4A41-BA86-069CE012A00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181" authorId="0" shapeId="0" xr:uid="{275E13E6-5E9A-49E2-A23E-BE3430E5462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181" authorId="0" shapeId="0" xr:uid="{5EEAC884-25B2-48D4-ABC4-555A85457D7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182" authorId="0" shapeId="0" xr:uid="{E25B5B5B-D016-43B5-8F78-E94D088C8B0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182" authorId="0" shapeId="0" xr:uid="{1FD25E6D-AB6A-42EF-9138-8822EAB95CB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182" authorId="0" shapeId="0" xr:uid="{ED609129-9DBD-4098-8697-442A42B14FA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A1183" authorId="0" shapeId="0" xr:uid="{AB7A2AEC-590E-4D7E-929F-32EEB066C1F2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Battery?
</t>
        </r>
      </text>
    </comment>
    <comment ref="H1183" authorId="0" shapeId="0" xr:uid="{038B42E4-5859-41EB-AD35-1F050D75C8E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183" authorId="0" shapeId="0" xr:uid="{F986A422-40FD-4901-B460-A0C4CB54870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183" authorId="0" shapeId="0" xr:uid="{42B53AF6-9983-4377-A41D-AF2AAC88281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184" authorId="0" shapeId="0" xr:uid="{B84D1F29-824D-4775-ADDA-DA5404C31B1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184" authorId="0" shapeId="0" xr:uid="{42F797D8-78CA-4539-B799-0749915C54F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184" authorId="0" shapeId="0" xr:uid="{56F77ACF-33A6-43CA-B522-DC6B6DFF085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185" authorId="0" shapeId="0" xr:uid="{66C4E6E4-CF65-4BEF-94EB-B84507F70032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185" authorId="0" shapeId="0" xr:uid="{1AB9DAAA-A229-425C-A55F-D85AEF31776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185" authorId="0" shapeId="0" xr:uid="{BB793B15-5518-4575-9C8F-7A9840CF2D5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186" authorId="0" shapeId="0" xr:uid="{E0329F71-512C-4A7B-9371-10DE1C979C0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186" authorId="0" shapeId="0" xr:uid="{656B9333-0868-49E9-B85B-8AD1B96C2C0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186" authorId="0" shapeId="0" xr:uid="{3FE441EC-1C8D-47C0-83CA-125A2E4FA36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187" authorId="0" shapeId="0" xr:uid="{DB30E7CD-F4EA-40AC-B644-AEC62437B87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187" authorId="0" shapeId="0" xr:uid="{06BD5AF0-80B4-4DD6-8923-2325210CF74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187" authorId="0" shapeId="0" xr:uid="{0F1EE315-A0AA-40C5-BFAE-9283579917D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188" authorId="0" shapeId="0" xr:uid="{8CFFBB36-C3C6-4485-B1F8-02CD8B661CD2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188" authorId="0" shapeId="0" xr:uid="{52EEA23E-A484-48C5-A860-C4FBBD2F4ED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188" authorId="0" shapeId="0" xr:uid="{B32528B6-B03C-4C94-AFCA-FFECBD703105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189" authorId="0" shapeId="0" xr:uid="{3B4B6328-1717-4761-852F-0AA1245E0B0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189" authorId="0" shapeId="0" xr:uid="{9FEEF8A7-167A-41D7-AC92-3912EC26D11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189" authorId="0" shapeId="0" xr:uid="{72C156B8-03AD-4734-AA2F-8DF6C189249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190" authorId="0" shapeId="0" xr:uid="{721007B7-4C09-4B7E-B075-20206F5EB71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190" authorId="0" shapeId="0" xr:uid="{0CE02BC8-5C0A-469F-AF30-B6E760E5451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190" authorId="0" shapeId="0" xr:uid="{1207387B-2637-4770-9CE8-A112A04D329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191" authorId="0" shapeId="0" xr:uid="{11198236-22D9-48A2-B50F-CFC746B4339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191" authorId="0" shapeId="0" xr:uid="{03FDC93A-46F2-4D1C-9B00-6B2E654D32E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191" authorId="0" shapeId="0" xr:uid="{0A82D0AA-04A9-4F25-9D1F-3FCDEFCE65C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192" authorId="0" shapeId="0" xr:uid="{67B19375-9402-41F5-943F-80D40160AD8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192" authorId="0" shapeId="0" xr:uid="{55038C1B-3AD9-44FD-B971-2A44C4D256B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192" authorId="0" shapeId="0" xr:uid="{F0D9570E-4D49-4F2A-85B8-840FD9F5D44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193" authorId="0" shapeId="0" xr:uid="{6F32F36E-D9BB-4FD8-9933-5A6BC8D8ACD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193" authorId="0" shapeId="0" xr:uid="{876F3397-F763-451A-8134-48BBD1D3E62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193" authorId="0" shapeId="0" xr:uid="{CB9C0D27-D037-4DE5-99F3-FBAB319364C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194" authorId="0" shapeId="0" xr:uid="{4C9955FB-0CE2-412D-8987-A9D9F6C49FB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194" authorId="0" shapeId="0" xr:uid="{36627B9C-CCE6-423A-99CB-DEA6250AF4E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194" authorId="0" shapeId="0" xr:uid="{09014786-7D30-4858-AADD-371C9A51449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195" authorId="0" shapeId="0" xr:uid="{66203498-F803-4551-B85E-AED0F5B026A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195" authorId="0" shapeId="0" xr:uid="{BB47A2EE-B763-4B82-A1C5-8F4F01A1B53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195" authorId="0" shapeId="0" xr:uid="{BF66FF42-9B07-4FF5-B853-92ACA15DDBF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196" authorId="0" shapeId="0" xr:uid="{FA3755F2-301F-4212-9230-7F6EA12CC72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196" authorId="0" shapeId="0" xr:uid="{1890C520-2805-41D2-A294-C4575E68A6C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196" authorId="0" shapeId="0" xr:uid="{D3409F72-C0A4-46FE-986B-4204336EC55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197" authorId="0" shapeId="0" xr:uid="{35C16D1A-437D-4129-B5F8-A6D44722354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197" authorId="0" shapeId="0" xr:uid="{4A3CA5D5-DD12-410C-BF60-6C4FF82CC57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197" authorId="0" shapeId="0" xr:uid="{8F6643F6-CF3C-418A-9905-F3D2DAC44EF5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198" authorId="0" shapeId="0" xr:uid="{CA17610D-0EAC-47B6-8CDD-BA3293CCB36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198" authorId="0" shapeId="0" xr:uid="{B9F29CA0-0934-4D90-928A-B9A460F4617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198" authorId="0" shapeId="0" xr:uid="{96033B4B-0B09-4FCF-940C-2D66F46AA5E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199" authorId="0" shapeId="0" xr:uid="{783FF367-AAC3-4CB9-9ABF-9E09E2EA230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199" authorId="0" shapeId="0" xr:uid="{5D2D2BFF-08B2-4717-8B7D-E0E4A1726A8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199" authorId="0" shapeId="0" xr:uid="{E28D375A-D233-4FE4-A5A7-E2FDC46F7CB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00" authorId="0" shapeId="0" xr:uid="{B4033305-D514-43F1-9EFE-E1A7AE6043A2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00" authorId="0" shapeId="0" xr:uid="{82417066-196E-45EA-A5D0-A3B2336CB3A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00" authorId="0" shapeId="0" xr:uid="{85D6E416-8D3B-42E7-A44F-3F08CACCD72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01" authorId="0" shapeId="0" xr:uid="{FBC9CECA-AD43-4362-9C9B-273D6E72CB1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01" authorId="0" shapeId="0" xr:uid="{990DEE03-C739-4E98-84A4-EABA8D9B657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01" authorId="0" shapeId="0" xr:uid="{CDA184B1-FF4F-4403-9E25-9E69D5F4560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02" authorId="0" shapeId="0" xr:uid="{8F52EDDD-BC0F-44A1-99B2-102F9F983C2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02" authorId="0" shapeId="0" xr:uid="{6564F2B2-18BC-4F66-AF12-BD372C74CB3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02" authorId="0" shapeId="0" xr:uid="{B790D2FA-4877-473A-A415-71B362974C3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03" authorId="0" shapeId="0" xr:uid="{831D318E-05C8-4A22-BDD4-38D3F0C2E0C2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03" authorId="0" shapeId="0" xr:uid="{AD969405-C825-4F73-8656-98F367B273D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03" authorId="0" shapeId="0" xr:uid="{78E13998-EC3F-4A83-AF2B-6CA6F095356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04" authorId="0" shapeId="0" xr:uid="{7F12C156-7625-43AC-9B9D-F98F9F5AEC4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04" authorId="0" shapeId="0" xr:uid="{E8E4AE03-BB76-4387-8377-CBAC6B417B3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04" authorId="0" shapeId="0" xr:uid="{A63740F5-D5C1-4F98-ACE5-119A47B6023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05" authorId="0" shapeId="0" xr:uid="{5CA3412A-B9F2-4F33-937D-44AE136840D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05" authorId="0" shapeId="0" xr:uid="{09857E2F-59EB-4291-93E5-735211A1C8A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05" authorId="0" shapeId="0" xr:uid="{70D49C24-A0CF-453E-8238-E2579F3D2E3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06" authorId="0" shapeId="0" xr:uid="{1A9435D8-DB94-42E6-917A-3FE4EFA3716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06" authorId="0" shapeId="0" xr:uid="{5356C6CB-3A89-43C8-8D7A-3FECE88A590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06" authorId="0" shapeId="0" xr:uid="{D6CAF15D-4968-48CC-B002-9B3308D7649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07" authorId="0" shapeId="0" xr:uid="{0050C87D-63CA-4D6A-B1C7-F926D207D7B2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07" authorId="0" shapeId="0" xr:uid="{ADD57288-1764-418F-8124-F70CB9ECA7D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07" authorId="0" shapeId="0" xr:uid="{6322006C-0910-4342-8943-9217949CBAE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08" authorId="0" shapeId="0" xr:uid="{83430686-F5E5-4C7A-8B0C-DC22BF90410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08" authorId="0" shapeId="0" xr:uid="{FEBCBB46-9F09-412B-9C9C-5B2F1118754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08" authorId="0" shapeId="0" xr:uid="{84EA0355-0ED5-4B00-B34D-E0B0C12AB832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09" authorId="0" shapeId="0" xr:uid="{4090E09A-99CC-4C54-9876-E1358D2D1C1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09" authorId="0" shapeId="0" xr:uid="{57C39AE0-8194-4200-9576-DC447ADF311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09" authorId="0" shapeId="0" xr:uid="{04BFE147-403E-410F-9F1A-82A8EB5506F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10" authorId="0" shapeId="0" xr:uid="{47BA92FA-37D0-4145-9C6D-036913DF332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10" authorId="0" shapeId="0" xr:uid="{313298E1-27C8-4D94-9979-189AA7910AF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10" authorId="0" shapeId="0" xr:uid="{7BA798AB-3B10-49F5-B6DD-994EDA092FB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11" authorId="0" shapeId="0" xr:uid="{34CF59D6-A363-4F6D-B840-D1E209D8238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11" authorId="0" shapeId="0" xr:uid="{B0CFAB04-9943-4407-86EC-7BB921F4ACE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11" authorId="0" shapeId="0" xr:uid="{1699CE85-72F2-47D5-BE19-11FBF7EA2CC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12" authorId="0" shapeId="0" xr:uid="{AC4FF2A2-4E9D-4EA0-9D6F-A544A1F777E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12" authorId="0" shapeId="0" xr:uid="{93A0D22B-09F9-48F3-AD4A-26393748B23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12" authorId="0" shapeId="0" xr:uid="{040365C5-5D25-46A2-80D8-2CBCEAB7EC3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13" authorId="0" shapeId="0" xr:uid="{6D3702D0-2427-434F-9BDD-BD8065D27A1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13" authorId="0" shapeId="0" xr:uid="{62C74461-3B3E-4828-BC1F-750D71DDC35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13" authorId="0" shapeId="0" xr:uid="{94BC04FC-7A3B-42BC-86A2-EBAF4CABDE7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14" authorId="0" shapeId="0" xr:uid="{FEE1AEFA-DD39-4B31-8A2B-25A658978C5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14" authorId="0" shapeId="0" xr:uid="{0230201E-BBED-4080-ACBD-BF286681178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14" authorId="0" shapeId="0" xr:uid="{F1E72289-7649-41EC-9E6D-FF08FB11EB0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15" authorId="0" shapeId="0" xr:uid="{6D8AE11B-8FB4-4066-A05D-CAF75D9F085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15" authorId="0" shapeId="0" xr:uid="{EA9A914E-B530-4950-8707-D241D214A0D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15" authorId="0" shapeId="0" xr:uid="{98EC741D-7406-48A5-9C87-F4EF2176703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16" authorId="0" shapeId="0" xr:uid="{42932BCC-0B9B-4611-9A67-9B1CF3BA6A0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16" authorId="0" shapeId="0" xr:uid="{254251EF-64E7-4C4F-B344-A704781F2F7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16" authorId="0" shapeId="0" xr:uid="{651E6EE1-4576-4018-B51E-38F82FEAED5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17" authorId="0" shapeId="0" xr:uid="{4E26482A-C5F2-4EA6-A2FC-6C011968E15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17" authorId="0" shapeId="0" xr:uid="{16AD54CA-E4A1-495A-81E1-69E2C47E384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17" authorId="0" shapeId="0" xr:uid="{141D1C6C-C7A1-4E5B-8F74-A77F903DC3D5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18" authorId="0" shapeId="0" xr:uid="{1071DB53-3875-4CE7-88FF-59055FA1BB3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18" authorId="0" shapeId="0" xr:uid="{B6E7157D-DE25-4F7F-A0AE-427072713D5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18" authorId="0" shapeId="0" xr:uid="{DC91D3FC-60CE-41E1-8739-AAAAA9E4AD05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19" authorId="0" shapeId="0" xr:uid="{A92E0410-380E-432D-A67B-0AACAD222AB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19" authorId="0" shapeId="0" xr:uid="{D4220D0B-FFA1-4D13-9690-CC7A009514E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19" authorId="0" shapeId="0" xr:uid="{AE35AF72-EE6D-4949-9226-88A21E29543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20" authorId="0" shapeId="0" xr:uid="{7CF7D5BD-3696-475F-A15A-723C64D5D14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20" authorId="0" shapeId="0" xr:uid="{23124A3C-BAE4-4970-9B4B-740B6A5D0A3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20" authorId="0" shapeId="0" xr:uid="{4F90D17B-E70A-4762-80A1-A4C2A07E0F3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21" authorId="0" shapeId="0" xr:uid="{287272D1-651C-41B5-9C3E-C02B4ED04AF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21" authorId="0" shapeId="0" xr:uid="{0C3E40FB-3AC0-40FD-99A1-178BE844A80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21" authorId="0" shapeId="0" xr:uid="{87D4D569-EAF9-4EE9-B755-42D92AC6698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22" authorId="0" shapeId="0" xr:uid="{941C8DF5-A234-4DCE-B772-E05C5698295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22" authorId="0" shapeId="0" xr:uid="{CBAFA2B0-17F9-4C86-81BF-54319C5CDD1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22" authorId="0" shapeId="0" xr:uid="{F1AC11A4-D3A7-472D-AD4A-48BDF710091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23" authorId="0" shapeId="0" xr:uid="{17FAAF5A-55B3-4904-A7A9-6D920B305FD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23" authorId="0" shapeId="0" xr:uid="{99BF119B-4E02-40DF-8E3B-7D9200447E2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23" authorId="0" shapeId="0" xr:uid="{7A5EE9CB-CE85-415E-94BE-D48654DA705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24" authorId="0" shapeId="0" xr:uid="{ECDEC374-49C1-4C0F-A068-FF73822A378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24" authorId="0" shapeId="0" xr:uid="{6C786D93-B114-4B98-8659-FCBF5EFDF24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24" authorId="0" shapeId="0" xr:uid="{610363A6-068F-4F80-8E6E-D2C55249309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25" authorId="0" shapeId="0" xr:uid="{C7278B92-0F3B-4F3D-BE69-C30FDFF69C82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25" authorId="0" shapeId="0" xr:uid="{7DFB1C4A-A990-4440-8544-7056110F283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25" authorId="0" shapeId="0" xr:uid="{331D6CA7-030C-45B1-B2E8-22C6CD825A6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26" authorId="0" shapeId="0" xr:uid="{E7560239-4941-40DD-A5FF-EE9D16F6543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26" authorId="0" shapeId="0" xr:uid="{110C91CC-777D-4C48-804A-6A43CBA05CE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26" authorId="0" shapeId="0" xr:uid="{2E7A75F5-89C2-44B2-B685-AD12BD89ED5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27" authorId="0" shapeId="0" xr:uid="{153463F1-01E0-47F7-BFD9-4728B0BDF6B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27" authorId="0" shapeId="0" xr:uid="{8C2B4F5A-F827-4A35-97FC-180D162D80A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27" authorId="0" shapeId="0" xr:uid="{F312C216-88DC-48E7-A9AF-9E1D3EAE48C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28" authorId="0" shapeId="0" xr:uid="{5BE1BBB6-0C9E-4BFB-950C-D0D7FCABFB6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28" authorId="0" shapeId="0" xr:uid="{27F4DDC1-F47C-4533-9F32-D579ACEE909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28" authorId="0" shapeId="0" xr:uid="{D23F7AD2-9191-4C59-BF71-CE2DC62870F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29" authorId="0" shapeId="0" xr:uid="{CA689535-BDC0-4201-9B43-81768D67669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29" authorId="0" shapeId="0" xr:uid="{B28080E1-6644-436B-BD90-8CC3974B33B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29" authorId="0" shapeId="0" xr:uid="{5EB7E1A0-16A8-47A4-822E-A80F998D88E2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30" authorId="0" shapeId="0" xr:uid="{798AABE1-7ACC-4DA8-BEC3-CF5F2691997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30" authorId="0" shapeId="0" xr:uid="{E84FE567-3660-4EAC-9FC3-5532FFE9202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30" authorId="0" shapeId="0" xr:uid="{E5A43D2A-668B-4C1B-890E-494D799E62A2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31" authorId="0" shapeId="0" xr:uid="{A7DBD83F-5EF7-42A9-B6E5-42898BD849F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31" authorId="0" shapeId="0" xr:uid="{0AEBF43F-1508-450A-8615-A8B1700F4B3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31" authorId="0" shapeId="0" xr:uid="{FE41C6F0-395A-4802-AAFE-2B03CD74AF9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32" authorId="0" shapeId="0" xr:uid="{21958570-FAE8-4B57-B6D7-E610D0F69B0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32" authorId="0" shapeId="0" xr:uid="{3A6081F2-4531-4BC1-83B4-6EEC061DEF9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32" authorId="0" shapeId="0" xr:uid="{2C4ABB16-B9EA-4426-AF50-44D856B2C79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33" authorId="0" shapeId="0" xr:uid="{41E35CF1-408C-4821-A897-E24BED44B06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33" authorId="0" shapeId="0" xr:uid="{4A945932-5CCD-482C-9E5F-B0EE75FC4B9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33" authorId="0" shapeId="0" xr:uid="{5EC68C46-4415-4BC5-B820-5B9F0A50DD52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34" authorId="0" shapeId="0" xr:uid="{E8A5C3B5-93FB-4D2C-B3D4-62D786D6B79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34" authorId="0" shapeId="0" xr:uid="{87D2796F-1018-45E2-B136-14426906F5E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34" authorId="0" shapeId="0" xr:uid="{41C10421-F7E8-4396-8E73-4AFE1ABDCA1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35" authorId="0" shapeId="0" xr:uid="{43032191-2501-4B9D-B3B9-BECEAF667DD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35" authorId="0" shapeId="0" xr:uid="{C2AC7720-33CD-4895-ACF5-3A3FC38A2BE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35" authorId="0" shapeId="0" xr:uid="{3D181D2E-09A9-426F-9FA3-B67326BE97E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36" authorId="0" shapeId="0" xr:uid="{29F8DBB6-849F-49E7-B761-F0AADABF1895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36" authorId="0" shapeId="0" xr:uid="{9945CA8D-BD25-4E1D-8E5F-AF935BE631B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36" authorId="0" shapeId="0" xr:uid="{B3E4C5EC-ECDC-433E-8CA5-576CE5F1975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37" authorId="0" shapeId="0" xr:uid="{4BB66C54-233B-48A2-ADD4-8E685BF2F63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37" authorId="0" shapeId="0" xr:uid="{F78CD0C2-B1E4-4F50-A228-75CA15602CC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37" authorId="0" shapeId="0" xr:uid="{312346C6-9D60-48DE-997C-7084C4A23ED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38" authorId="0" shapeId="0" xr:uid="{3020C371-CE33-416D-9607-DA7B67C4877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38" authorId="0" shapeId="0" xr:uid="{E71558D0-7AF1-43C9-B99A-C8CBC77D6B32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38" authorId="0" shapeId="0" xr:uid="{9874854F-5CB3-4C71-88B9-58B7FF254E5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39" authorId="0" shapeId="0" xr:uid="{65C711C2-1A5B-4603-8BB8-DF0AFF6688D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39" authorId="0" shapeId="0" xr:uid="{EDA569E8-D57E-4FC2-B7A3-2C68A722056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39" authorId="0" shapeId="0" xr:uid="{22CB1BAD-2A13-4882-B5ED-00FE8A18E9B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40" authorId="0" shapeId="0" xr:uid="{5D851416-2D8B-49F4-BC39-BA351C6F23C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40" authorId="0" shapeId="0" xr:uid="{EC7604CB-9D3F-4117-B552-ED73E365630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40" authorId="0" shapeId="0" xr:uid="{3D42D3BE-EA2D-41AE-AD46-A252C730FEE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41" authorId="0" shapeId="0" xr:uid="{9F08C5FB-4952-4479-920A-FEC2F0F5E5F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41" authorId="0" shapeId="0" xr:uid="{F90B75B7-EAFB-4FC6-9705-4DAFF323792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41" authorId="0" shapeId="0" xr:uid="{F130A262-2DFC-4ED6-BA38-FD990050325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42" authorId="0" shapeId="0" xr:uid="{28FD6641-143D-4F35-B7E1-F603C368BD0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42" authorId="0" shapeId="0" xr:uid="{F2D958E4-0AE9-417E-92E5-0D77B9E3145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42" authorId="0" shapeId="0" xr:uid="{224132B2-CD1F-44CE-B575-4ABA170804F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43" authorId="0" shapeId="0" xr:uid="{B34EEBD4-00C8-46E7-80E2-3824EB3703F5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43" authorId="0" shapeId="0" xr:uid="{3000CFF2-47BA-4423-AC52-562E7D37617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43" authorId="0" shapeId="0" xr:uid="{E8861260-A64C-4755-942E-1E24EBF5D2B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44" authorId="0" shapeId="0" xr:uid="{19465740-7F45-4D80-B6C6-D4843EB0E69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44" authorId="0" shapeId="0" xr:uid="{78BA7F26-8866-40CC-9CF5-813C7FC23F3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44" authorId="0" shapeId="0" xr:uid="{5F350F9B-F18F-4685-9B7C-75E1F916F8F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45" authorId="0" shapeId="0" xr:uid="{7E586001-84C3-4FEB-8F1A-12C373EF7BD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45" authorId="0" shapeId="0" xr:uid="{7FD857D3-4EA4-4880-8FFC-F1603C58B5D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45" authorId="0" shapeId="0" xr:uid="{68766230-820D-4CC8-A34B-97DB7F283805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46" authorId="0" shapeId="0" xr:uid="{513BC2F4-F983-4603-87E6-B56CE908DEA5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46" authorId="0" shapeId="0" xr:uid="{F63E35EC-1920-49AC-A162-AA905BBE19D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46" authorId="0" shapeId="0" xr:uid="{13D1BC58-87F5-4988-A295-1E484B07268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47" authorId="0" shapeId="0" xr:uid="{C9C57A4A-96F1-4998-912A-0351D8C72EB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47" authorId="0" shapeId="0" xr:uid="{1C61D2C0-0EEC-433E-A6F4-A752E99230B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47" authorId="0" shapeId="0" xr:uid="{8A722B3A-32AF-4638-8990-0A764378CF9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48" authorId="0" shapeId="0" xr:uid="{3614B5D7-44F5-4134-BB16-C20460001882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48" authorId="0" shapeId="0" xr:uid="{A251762D-E776-4A57-9D5F-DB7A2F88B34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48" authorId="0" shapeId="0" xr:uid="{DEEBB8FF-BDF6-4412-BF77-6A37D4AF0E5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49" authorId="0" shapeId="0" xr:uid="{8905D334-4BE5-484E-A60C-510A5EA9208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49" authorId="0" shapeId="0" xr:uid="{7EE0FFF1-B3BE-4F98-9872-104177CFDF0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49" authorId="0" shapeId="0" xr:uid="{7A4E5FA9-153F-401D-B604-AA26328E19F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50" authorId="0" shapeId="0" xr:uid="{3294EF24-83B2-4EF8-81A8-A6C312B06DA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50" authorId="0" shapeId="0" xr:uid="{C2AC07DF-1CA9-4E0D-AC97-D21E0271D3E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50" authorId="0" shapeId="0" xr:uid="{36484CEC-9059-4721-A208-4F859EDF5EF2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51" authorId="0" shapeId="0" xr:uid="{B3A752AC-624E-4039-BA6B-A5D9999AAB7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51" authorId="0" shapeId="0" xr:uid="{AD7753B9-1904-45BC-BFB2-3FB99F1A022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51" authorId="0" shapeId="0" xr:uid="{5203E859-8DED-4811-86C2-BE8FAEBA236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52" authorId="0" shapeId="0" xr:uid="{DBDDD71A-A96D-46F5-A5AC-B4C2C2B9712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52" authorId="0" shapeId="0" xr:uid="{C8005B72-72EC-4B30-AD8D-DB197D683D2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52" authorId="0" shapeId="0" xr:uid="{D58B622E-69E4-4216-B3EC-3F2D89E86AE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53" authorId="0" shapeId="0" xr:uid="{10472600-9180-466B-B723-2ED028793A5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53" authorId="0" shapeId="0" xr:uid="{D7D05818-9845-4274-AB91-DE1B62B4587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53" authorId="0" shapeId="0" xr:uid="{857BB9FC-BF52-4737-A64E-1447E0CD9C3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54" authorId="0" shapeId="0" xr:uid="{AD74E604-02C1-4856-AF79-89964ACE755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54" authorId="0" shapeId="0" xr:uid="{2AAFAC90-CE8C-48CF-8921-ECEE246DD5A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54" authorId="0" shapeId="0" xr:uid="{1F5890A1-1196-40E5-949D-214D8DC961D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55" authorId="0" shapeId="0" xr:uid="{F7F40109-FF24-4811-843F-A665CF0DD355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55" authorId="0" shapeId="0" xr:uid="{ADFD60AD-2632-4DCD-B57F-293BCB7185F5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55" authorId="0" shapeId="0" xr:uid="{5B1AD274-8B78-4EB4-9C24-0B3FC3DE6BE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56" authorId="0" shapeId="0" xr:uid="{3898B03B-D0C6-433F-86A5-62B3D0AC06B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56" authorId="0" shapeId="0" xr:uid="{88DAE20B-BB14-4065-A49B-4F20E94021C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56" authorId="0" shapeId="0" xr:uid="{BD6CAC88-1F9E-431E-AF1A-9D1A5EAF96B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57" authorId="0" shapeId="0" xr:uid="{CC9C9929-AE76-4659-A57A-ABBEB3E1E5E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57" authorId="0" shapeId="0" xr:uid="{96492237-3694-48DD-A1C9-9F2CFABC8F7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57" authorId="0" shapeId="0" xr:uid="{4B69B7D5-9811-49A8-8614-6D3CA9D9E65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58" authorId="0" shapeId="0" xr:uid="{94E51C5E-0AA1-4935-9315-0CE80521D21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58" authorId="0" shapeId="0" xr:uid="{E0CD5A3D-156B-4643-A97D-9718DA1AE18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58" authorId="0" shapeId="0" xr:uid="{B71D2711-EF6F-483A-A9F7-1A0C08DF7C0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59" authorId="0" shapeId="0" xr:uid="{EB200CEA-EA61-4A28-AF1B-67CD6CCCC59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59" authorId="0" shapeId="0" xr:uid="{93834AEE-968F-4FC3-8438-7416E96DFD7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59" authorId="0" shapeId="0" xr:uid="{5B52884E-3401-4843-A3F4-40CDAAACDEB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60" authorId="0" shapeId="0" xr:uid="{AED3FBE1-F97D-422F-9D76-DD6A98CB3EF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60" authorId="0" shapeId="0" xr:uid="{A97513B8-C65D-458B-B186-2FC3C0825785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60" authorId="0" shapeId="0" xr:uid="{0BC77350-8BAC-45ED-8D0B-FE15E9BD3B6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61" authorId="0" shapeId="0" xr:uid="{0965022B-7635-4FC6-BBE6-8324EE87C66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61" authorId="0" shapeId="0" xr:uid="{3E837660-7BD4-4B93-8952-DB82E0A033D2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61" authorId="0" shapeId="0" xr:uid="{3E1822C8-5DF1-4B99-B468-30DCFBCD782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62" authorId="0" shapeId="0" xr:uid="{16936792-9CE5-4DF9-818E-3B1401B8E08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62" authorId="0" shapeId="0" xr:uid="{098B7550-89CE-4A2F-9E8E-4925ADD0BE7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62" authorId="0" shapeId="0" xr:uid="{33CD8F44-B411-49DC-B2A1-EF31E609B8E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63" authorId="0" shapeId="0" xr:uid="{F97BE4DE-D676-47F9-96C2-502CF8BAAE81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63" authorId="0" shapeId="0" xr:uid="{9B3F2F04-93AD-4025-ACCE-6B908895073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63" authorId="0" shapeId="0" xr:uid="{6D8F8B87-AB4F-48E2-A377-6F6E429A66B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64" authorId="0" shapeId="0" xr:uid="{E03C97FB-7DE2-4307-80C5-2889B450F17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64" authorId="0" shapeId="0" xr:uid="{F1152ED4-B4C8-4D8B-866B-17AFC157A7A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64" authorId="0" shapeId="0" xr:uid="{99E7EF34-ECD8-4FE0-8DE7-42642F3DC17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65" authorId="0" shapeId="0" xr:uid="{6DB99512-760C-4806-BA4C-D187CF94CC6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65" authorId="0" shapeId="0" xr:uid="{37B629DA-7B81-46B9-A2B1-BD52ED9D801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65" authorId="0" shapeId="0" xr:uid="{BE3800DF-7277-4388-9903-2A07CF4E53B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66" authorId="0" shapeId="0" xr:uid="{873406F4-215D-456C-8C3B-638E06CD735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66" authorId="0" shapeId="0" xr:uid="{F292B79C-2890-4E9D-8001-78CF8954E1A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66" authorId="0" shapeId="0" xr:uid="{489A06B1-369E-4D5E-BD61-09848772F34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67" authorId="0" shapeId="0" xr:uid="{01E0E986-2B4A-40E6-B9E5-6FE6A221A6E5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67" authorId="0" shapeId="0" xr:uid="{AB9B8C64-FB79-4C50-BFDF-59139118975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67" authorId="0" shapeId="0" xr:uid="{6949CE6B-B10D-4D65-BD72-35156D9932C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68" authorId="0" shapeId="0" xr:uid="{60776BD6-CD46-498D-98C2-A12ED35A8D8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68" authorId="0" shapeId="0" xr:uid="{B58C7CB8-0B34-4139-9434-2CEEC6EF561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68" authorId="0" shapeId="0" xr:uid="{13C9CA4B-2AAB-4A88-B8A9-D61958AEA81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69" authorId="0" shapeId="0" xr:uid="{446F0575-3483-4F2B-951C-FC071AC273F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69" authorId="0" shapeId="0" xr:uid="{F234DCC9-A96D-42C0-AA0F-4F31A534E49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69" authorId="0" shapeId="0" xr:uid="{6F6573D0-5B51-49F0-8F95-AD1D0F2FBE5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70" authorId="0" shapeId="0" xr:uid="{E2235EAE-3E7A-4E6E-B2FF-29C8722ED62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70" authorId="0" shapeId="0" xr:uid="{8F0B9DCA-423B-43FE-9E0B-726D7FD9B30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70" authorId="0" shapeId="0" xr:uid="{DB72D8AE-44D3-4EB7-8B14-7C5B5202B3E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71" authorId="0" shapeId="0" xr:uid="{BDCBF20F-1782-493B-AE0A-AA62EF3B5FD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71" authorId="0" shapeId="0" xr:uid="{DE44C210-CB8A-49C7-ADEE-12EE9B5836F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71" authorId="0" shapeId="0" xr:uid="{051AE58C-29FA-41D4-B0A4-73524C1FB7D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72" authorId="0" shapeId="0" xr:uid="{F45EA490-43EA-4462-BC3C-40914663544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72" authorId="0" shapeId="0" xr:uid="{2EE4D25D-61AD-4836-9FE3-7B04E48BF23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72" authorId="0" shapeId="0" xr:uid="{724A8429-704F-451B-A98F-939C4909A63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73" authorId="0" shapeId="0" xr:uid="{7F723770-13ED-4201-9717-DDF56643A40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73" authorId="0" shapeId="0" xr:uid="{6DEF106F-23CE-46B2-9E96-69D60108CB3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73" authorId="0" shapeId="0" xr:uid="{C69416BF-21AC-413A-A014-969CE2CEEEA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74" authorId="0" shapeId="0" xr:uid="{56712972-83A3-4964-B3FE-4A95686620A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74" authorId="0" shapeId="0" xr:uid="{81186714-1F1B-4339-8E3C-37855F6AF1B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74" authorId="0" shapeId="0" xr:uid="{BE8F0927-F9F5-4974-A468-5FB47522DDB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75" authorId="0" shapeId="0" xr:uid="{7C0686E0-259A-45F1-80AA-6BEC5685735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75" authorId="0" shapeId="0" xr:uid="{E0450A41-C839-4407-ADE9-EC6BFB56680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75" authorId="0" shapeId="0" xr:uid="{F89F3E4E-3BF3-4823-9D87-62A0C995D2E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76" authorId="0" shapeId="0" xr:uid="{14CCA113-350F-46A2-AA9E-8CFC6FD09B3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76" authorId="0" shapeId="0" xr:uid="{8F25BC06-7C47-477D-A044-8A9F1BFDA2D5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76" authorId="0" shapeId="0" xr:uid="{6981929D-0CF5-4D43-A11A-AB96B147D34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77" authorId="0" shapeId="0" xr:uid="{CD074D94-E52F-4E4F-AF7B-D82C3712B78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77" authorId="0" shapeId="0" xr:uid="{986465DD-7B09-41A0-9479-E0B4C0F9D23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77" authorId="0" shapeId="0" xr:uid="{0B0E2088-AF46-4D9F-96D3-F8960ACC588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78" authorId="0" shapeId="0" xr:uid="{7793A522-221E-418B-854E-9BABCD0C423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78" authorId="0" shapeId="0" xr:uid="{9F765689-FEE8-4A90-B124-2DAB78D6B3B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78" authorId="0" shapeId="0" xr:uid="{965C5397-D055-4645-A9B5-A30BE6BE776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79" authorId="0" shapeId="0" xr:uid="{2AD7F1DC-ADB3-4053-8B12-DD693157041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79" authorId="0" shapeId="0" xr:uid="{9F795B18-7992-42A1-9BE4-C91379031B3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79" authorId="0" shapeId="0" xr:uid="{C1B79D05-CADF-4ACA-9708-609600DD933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80" authorId="0" shapeId="0" xr:uid="{C157055F-D7EA-4DE4-AB7D-2FE45E1E4B1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80" authorId="0" shapeId="0" xr:uid="{58CAFF63-8E78-4B7F-A7A4-6FFF4D8C53D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80" authorId="0" shapeId="0" xr:uid="{44C9B22A-5DAD-46C0-9A35-6F91956A6E8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81" authorId="0" shapeId="0" xr:uid="{47A99522-0FB1-4BA1-A8EA-C7E76CF0579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81" authorId="0" shapeId="0" xr:uid="{1958A04F-FA74-493C-AE86-1CB080204DF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81" authorId="0" shapeId="0" xr:uid="{03E2FFBF-AA25-44AA-9E47-1F4DBBCEA432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82" authorId="0" shapeId="0" xr:uid="{80DED4AC-0F2D-41B7-9A5C-4DA7A91FBF7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82" authorId="0" shapeId="0" xr:uid="{72F72079-D508-4C46-BCCA-3DB25772A31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82" authorId="0" shapeId="0" xr:uid="{993AC251-CEEA-41ED-ABDE-7D624CBF29D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83" authorId="0" shapeId="0" xr:uid="{B00B46ED-C1AD-49BE-B4E7-9CEA61858372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83" authorId="0" shapeId="0" xr:uid="{3CD1DF35-43B5-4150-BC9E-C8B641CA7C9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83" authorId="0" shapeId="0" xr:uid="{9A121181-2CFC-452F-BD5D-26703DFB588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84" authorId="0" shapeId="0" xr:uid="{243A07E6-385C-404C-A9D3-6E4629077F5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84" authorId="0" shapeId="0" xr:uid="{BFB559BF-3687-415E-B4AE-256E70D106A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84" authorId="0" shapeId="0" xr:uid="{5AA944C2-0F67-45D3-B2BE-E6497C3EA30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85" authorId="0" shapeId="0" xr:uid="{8FB16E2F-98E6-43CA-81A1-916BBB8E05A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85" authorId="0" shapeId="0" xr:uid="{28D66B97-2084-4C87-9E3B-EC2FEFCD089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85" authorId="0" shapeId="0" xr:uid="{D0769AD1-BF6A-45A0-AF3E-5E115C70019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86" authorId="0" shapeId="0" xr:uid="{D561B2BC-53F8-4D40-8ADC-E031D05A161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86" authorId="0" shapeId="0" xr:uid="{AB65CF24-7A9D-4433-9E36-7B1B873B3E0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86" authorId="0" shapeId="0" xr:uid="{34F3C8A9-EF7C-4A6B-B817-01DD5FA90C4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87" authorId="0" shapeId="0" xr:uid="{1F086CE9-1733-4DEC-9FF5-7C35951DC16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87" authorId="0" shapeId="0" xr:uid="{2059EEC4-471E-4B69-9AC7-67FA199EFF0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87" authorId="0" shapeId="0" xr:uid="{5622436B-CA1F-4C4F-9833-2A3DA12156C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88" authorId="0" shapeId="0" xr:uid="{2DDD5EFC-AC33-49A2-B0C0-B8E5D0410DD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88" authorId="0" shapeId="0" xr:uid="{BA9EBA22-F9B3-4EE4-AE7F-D2571D06BD5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88" authorId="0" shapeId="0" xr:uid="{A487EC6E-A2BA-4576-BF3C-034500E7A172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89" authorId="0" shapeId="0" xr:uid="{DA4C31E9-113A-4EC5-95A9-FB81FD66CC8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89" authorId="0" shapeId="0" xr:uid="{2284B271-FE58-4562-8C41-8467F6E246D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89" authorId="0" shapeId="0" xr:uid="{EEBA82CE-4F1D-4E72-A8AE-7A1509005EF5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90" authorId="0" shapeId="0" xr:uid="{E61832AE-7583-4D54-ABE9-8B3F5CF86FD0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90" authorId="0" shapeId="0" xr:uid="{56482EC5-9DA2-4E3B-809B-C0424B892B6D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90" authorId="0" shapeId="0" xr:uid="{04E39455-D917-4110-96EA-40E135AF7FF2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91" authorId="0" shapeId="0" xr:uid="{57D1C6C4-0E02-4A2A-90D2-FB079548E70E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91" authorId="0" shapeId="0" xr:uid="{86901484-1D20-418B-AF6D-F375E7C5232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91" authorId="0" shapeId="0" xr:uid="{B5EB1C92-1B1D-40AB-A4DF-00747593F958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92" authorId="0" shapeId="0" xr:uid="{9BD453DE-6D3E-4355-90DD-710172EF9AAC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92" authorId="0" shapeId="0" xr:uid="{62B48945-44EF-465E-BE55-D178D3B010FF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92" authorId="0" shapeId="0" xr:uid="{0C913C0C-A530-4146-8AF2-6BDC184C38A2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93" authorId="0" shapeId="0" xr:uid="{84411A32-FE4E-47F7-9806-0352AE0F56E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93" authorId="0" shapeId="0" xr:uid="{EB763BD6-AA68-4BFC-A683-5019C4F1477B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93" authorId="0" shapeId="0" xr:uid="{B82E7E16-C85F-49E6-902B-3E28F5FE263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94" authorId="0" shapeId="0" xr:uid="{D38E186E-813C-4796-8C62-356700B9B339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94" authorId="0" shapeId="0" xr:uid="{5EE4183B-7C12-4C35-B9CF-6F480C52D6C5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94" authorId="0" shapeId="0" xr:uid="{9658BC78-A2CC-4845-9BC1-21EB4F4C919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95" authorId="0" shapeId="0" xr:uid="{8B1B8798-10CA-4427-91DB-EBB7C2287FF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95" authorId="0" shapeId="0" xr:uid="{649AC7F0-7DE2-4337-819D-5CF6EEBB0B3A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95" authorId="0" shapeId="0" xr:uid="{85B5AADF-69BB-4E3F-8FBA-9CF9DA3416E3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H1296" authorId="0" shapeId="0" xr:uid="{DE05B23D-6C98-4B05-90E6-8BDD26DF1907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I1296" authorId="0" shapeId="0" xr:uid="{042BEDE2-C4D5-4E87-8832-8F7BE9430604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J1296" authorId="0" shapeId="0" xr:uid="{1864D952-5D01-4802-A7B8-928DE74520C6}">
      <text>
        <r>
          <rPr>
            <b/>
            <sz val="9"/>
            <color indexed="81"/>
            <rFont val="Tahoma"/>
            <family val="2"/>
          </rPr>
          <t>Bongiovi, Giuseppe:</t>
        </r>
        <r>
          <rPr>
            <sz val="9"/>
            <color indexed="81"/>
            <rFont val="Tahoma"/>
            <family val="2"/>
          </rPr>
          <t xml:space="preserve">
high range estimate, using rocky road as a baseline, not eia estimaates
</t>
        </r>
      </text>
    </comment>
    <comment ref="Q1297" authorId="1" shapeId="0" xr:uid="{00000000-0006-0000-0100-00009701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297" authorId="1" shapeId="0" xr:uid="{00000000-0006-0000-0100-00009801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298" authorId="1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298" authorId="1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299" authorId="1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299" authorId="1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  <comment ref="Q1300" authorId="1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Source: EIA-923 2025 Page 1, Netgen monthly summed across compatible prime mover/fuel grouping. Not PJM unit output. https://www.eia.gov/electricity/data/eia923/</t>
        </r>
      </text>
    </comment>
    <comment ref="R1300" authorId="1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Source: EIA-923 2025 Page 1, Elec_MMBtu monthly summed across compatible prime mover/fuel grouping. Not PJM unit fuel input. https://www.eia.gov/electricity/data/eia923/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<sst xmlns="http://schemas.openxmlformats.org/spreadsheetml/2006/main" count="48918" uniqueCount="5490">
  <si>
    <t>PJM 2026/27 | 2025 Reported Heat-Rate Coverage</t>
  </si>
  <si>
    <t>FINAL 2025 EIA-923 and EIA-860 | Provisional EIA plant/group matches; NOT independently verified PJM unit measurements</t>
  </si>
  <si>
    <t>COVERAGE METRIC</t>
  </si>
  <si>
    <t>RESOURCE COUNT</t>
  </si>
  <si>
    <t>All PJM resource records</t>
  </si>
  <si>
    <t>Nonthermal resources - not applicable</t>
  </si>
  <si>
    <t>High-confidence EIA reported plant/group proxies</t>
  </si>
  <si>
    <t>Medium-confidence EIA reported plant/group proxies</t>
  </si>
  <si>
    <t>Unconfirmed EIA candidate; technology estimate retained</t>
  </si>
  <si>
    <t>No usable EIA 2025 data</t>
  </si>
  <si>
    <t>No technically compatible EIA candidate</t>
  </si>
  <si>
    <t>Distinct EIA matched plant IDs</t>
  </si>
  <si>
    <t>Independent PJM unit-specific heat rates verified</t>
  </si>
  <si>
    <t>INTERPRETATION &amp; NEXT STEPS</t>
  </si>
  <si>
    <t>2025 EIA-923 reports plant x prime mover x fuel-group fuel consumption and electricity generation, which may aggregate multiple units.</t>
  </si>
  <si>
    <t>An accepted PJM-to-EIA match is proposed using names, state, fuel and EIA-860 generator technology. It is not a verified unit identity.</t>
  </si>
  <si>
    <t>The same EIA group heat rate can appear on several PJM resource rows; do NOT sum those duplicated MWh or fuel inputs.</t>
  </si>
  <si>
    <t>Workbook Resource Estimates column S divides column R by Q, and column X uses it before falling back to the technology estimate.</t>
  </si>
  <si>
    <t>For actual unit-level hourly performance, next link EPA CAMPD facility-unit identifiers to PJM/EIA generator equipment.</t>
  </si>
  <si>
    <t>2025 reported average net heat rates are not the incremental heat rates used in dispatch bids.</t>
  </si>
  <si>
    <t>Official data sources</t>
  </si>
  <si>
    <t>https://www.eia.gov/electricity/data/eia923/</t>
  </si>
  <si>
    <t>https://www.eia.gov/electricity/data/eia860/</t>
  </si>
  <si>
    <t>Resource Name</t>
  </si>
  <si>
    <t>ICAP (MW)</t>
  </si>
  <si>
    <t>Zone</t>
  </si>
  <si>
    <t>LDA</t>
  </si>
  <si>
    <t>PJM Class</t>
  </si>
  <si>
    <t>Assumed Fuel</t>
  </si>
  <si>
    <t>Technology</t>
  </si>
  <si>
    <t>Low HR (MMBtu/MWh)</t>
  </si>
  <si>
    <t>Base HR (MMBtu/MWh)</t>
  </si>
  <si>
    <t>High HR (MMBtu/MWh)</t>
  </si>
  <si>
    <t>Assessment</t>
  </si>
  <si>
    <t>Assumption Notes</t>
  </si>
  <si>
    <t>Base Thermal Input at ICAP (MMBtu/h)</t>
  </si>
  <si>
    <t>Historical Data Status</t>
  </si>
  <si>
    <t>EIA Plant ID</t>
  </si>
  <si>
    <t>EIA Plant Name</t>
  </si>
  <si>
    <t>2025 Net Generation (MWh)</t>
  </si>
  <si>
    <t>2025 Fuel for Electricity (MMBtu)</t>
  </si>
  <si>
    <t>2025 Historical Net HR (MMBtu/MWh)</t>
  </si>
  <si>
    <t>Match Scope</t>
  </si>
  <si>
    <t>Fuel / Prime Mover</t>
  </si>
  <si>
    <t>Historical Data URL</t>
  </si>
  <si>
    <t>Match / Data Quality Notes</t>
  </si>
  <si>
    <t>Selected Modeling HR (MMBtu/MWh)</t>
  </si>
  <si>
    <t>Selected HR Basis</t>
  </si>
  <si>
    <t>Review Flag</t>
  </si>
  <si>
    <t>Suggested EIA Match Score</t>
  </si>
  <si>
    <t>EIA Plant State</t>
  </si>
  <si>
    <t>EIA-860 Generator IDs</t>
  </si>
  <si>
    <t>EIA-860 Plant Operable MW</t>
  </si>
  <si>
    <t>2025 Heat Rate Coverage</t>
  </si>
  <si>
    <t>EIA Match Confidence</t>
  </si>
  <si>
    <t>Original Reported Heat Rate (MMBtu/MWh)</t>
  </si>
  <si>
    <t>ABSECON SOLAR</t>
  </si>
  <si>
    <t>AECO</t>
  </si>
  <si>
    <t>EMAAC</t>
  </si>
  <si>
    <t>Solar Fixed</t>
  </si>
  <si>
    <t>Solar</t>
  </si>
  <si>
    <t>Solar PV</t>
  </si>
  <si>
    <t>Not applicable</t>
  </si>
  <si>
    <t>Not applicable: no thermal fuel input</t>
  </si>
  <si>
    <t>Not applicable – nonthermal</t>
  </si>
  <si>
    <t>N/A (nonthermal)</t>
  </si>
  <si>
    <t>No thermal fuel input</t>
  </si>
  <si>
    <t>ACCOMACK COUNTY 1 SOLAR</t>
  </si>
  <si>
    <t>DPL</t>
  </si>
  <si>
    <t>DPL-SOUTH</t>
  </si>
  <si>
    <t>Solar Tracking</t>
  </si>
  <si>
    <t>ACCOMACK COUNTY 2 SOLAR</t>
  </si>
  <si>
    <t>ACCOMACK COUNTY 3 SOLAR</t>
  </si>
  <si>
    <t>ACCOMACK COUNTY 4 SOLAR</t>
  </si>
  <si>
    <t>ADAMS SOLAR</t>
  </si>
  <si>
    <t>METED</t>
  </si>
  <si>
    <t>MAAC</t>
  </si>
  <si>
    <t>ALBEMARLE BEACH SOLAR</t>
  </si>
  <si>
    <t>DOM</t>
  </si>
  <si>
    <t>ALLEG L/D 5-6 AGGREGATE</t>
  </si>
  <si>
    <t>APS</t>
  </si>
  <si>
    <t>RTO</t>
  </si>
  <si>
    <t>Hydro Intermittent</t>
  </si>
  <si>
    <t>Hydro</t>
  </si>
  <si>
    <t>Hydroelectric</t>
  </si>
  <si>
    <t>ALLEGHENY RIDGE WF</t>
  </si>
  <si>
    <t>PENELEC</t>
  </si>
  <si>
    <t>Onshore Wind</t>
  </si>
  <si>
    <t>Wind</t>
  </si>
  <si>
    <t>Wind turbine</t>
  </si>
  <si>
    <t>ALPHA BATTERY</t>
  </si>
  <si>
    <t>JCPL</t>
  </si>
  <si>
    <t>4-hr Storage</t>
  </si>
  <si>
    <t>Electricity</t>
  </si>
  <si>
    <t>Battery/storage</t>
  </si>
  <si>
    <t>Not applicable: use round-trip efficiency instead</t>
  </si>
  <si>
    <t>ALTA WF</t>
  </si>
  <si>
    <t>COMED</t>
  </si>
  <si>
    <t>ALTAVISTA SOLAR</t>
  </si>
  <si>
    <t>AEP</t>
  </si>
  <si>
    <t>ALTON POST SOLAR</t>
  </si>
  <si>
    <t>AMELIA LF</t>
  </si>
  <si>
    <t>Other</t>
  </si>
  <si>
    <t>Unknown</t>
  </si>
  <si>
    <t>Other / unspecified</t>
  </si>
  <si>
    <t>Needs classification</t>
  </si>
  <si>
    <t>Insufficient technology and fuel information</t>
  </si>
  <si>
    <t>No match</t>
  </si>
  <si>
    <t>AMOS 1</t>
  </si>
  <si>
    <t>Coal</t>
  </si>
  <si>
    <t>Coal steam</t>
  </si>
  <si>
    <t>Estimated</t>
  </si>
  <si>
    <t>Representative full-load net HHV</t>
  </si>
  <si>
    <t>Reported 2025 plant/group proxy – unit review required</t>
  </si>
  <si>
    <t>John E Amos</t>
  </si>
  <si>
    <t>EIA-923 plant x prime mover x fuel (2025)</t>
  </si>
  <si>
    <t>ST/BIT</t>
  </si>
  <si>
    <t>Matched to EIA-860 technology and name. EIA-923 heat rate is aggregated across reported plant/prime mover/fuel groups, not a single generating unit. Automatic high-confidence proposed mapping; confirm unit identifiers. IMPORTANT: same EIA group total is repeated for 3 PJM entries; it is NOT an independent heat-rate observation for each unit.</t>
  </si>
  <si>
    <t>WV</t>
  </si>
  <si>
    <t>1, 2, 3</t>
  </si>
  <si>
    <t>2025 reported EIA group proxy</t>
  </si>
  <si>
    <t>High – plant proxy</t>
  </si>
  <si>
    <t>AMOS 2</t>
  </si>
  <si>
    <t>AMOS 3</t>
  </si>
  <si>
    <t>ANDERSON 1</t>
  </si>
  <si>
    <t>Gas Combustion Turbine Dual</t>
  </si>
  <si>
    <t>Natural gas (assumed)</t>
  </si>
  <si>
    <t>Simple-cycle dual fuel</t>
  </si>
  <si>
    <t>Gas firing assumed; oil operation may differ</t>
  </si>
  <si>
    <t>Anderson</t>
  </si>
  <si>
    <t>GT/DFO, GT/NG</t>
  </si>
  <si>
    <t>IN</t>
  </si>
  <si>
    <t>ACT1, ACT2, ACT3</t>
  </si>
  <si>
    <t>ANDERSON 2</t>
  </si>
  <si>
    <t>ANDERSON 3</t>
  </si>
  <si>
    <t>ARCHBALD NUG 2</t>
  </si>
  <si>
    <t>PPL</t>
  </si>
  <si>
    <t>Gas Combustion Turbine</t>
  </si>
  <si>
    <t>Natural gas</t>
  </si>
  <si>
    <t>Simple-cycle turbine</t>
  </si>
  <si>
    <t>Archbald Power Station</t>
  </si>
  <si>
    <t>GT/NG</t>
  </si>
  <si>
    <t>Matched to EIA-860 technology and name. EIA-923 heat rate is aggregated across reported plant/prime mover/fuel groups, not a single generating unit. Moderate-confidence suggested mapping; manual review needed.</t>
  </si>
  <si>
    <t>PA</t>
  </si>
  <si>
    <t>Gen2</t>
  </si>
  <si>
    <t>Medium – plant proxy; confirm</t>
  </si>
  <si>
    <t>ARCHE ENERGY SOLAR</t>
  </si>
  <si>
    <t>ATSI</t>
  </si>
  <si>
    <t>ARCHIBALD NUG</t>
  </si>
  <si>
    <t>ARDEN LF</t>
  </si>
  <si>
    <t>Landfill Intermittent</t>
  </si>
  <si>
    <t>Landfill gas (assumed)</t>
  </si>
  <si>
    <t>Landfill gas</t>
  </si>
  <si>
    <t>High uncertainty; may be reciprocating engine or turbine</t>
  </si>
  <si>
    <t>Unconfirmed EIA candidate – keep technology estimate</t>
  </si>
  <si>
    <t>Candidate EIA plant 57014: Waste Management Arden LFGTE; name fit 0.438; insufficient name or inventory agreement. Do NOT treat as resource-specific data.</t>
  </si>
  <si>
    <t>GEN1, GEN2, GEN3, GEN4, GEN5, GEN6</t>
  </si>
  <si>
    <t>2025 EIA data found, match unresolved</t>
  </si>
  <si>
    <t>Unconfirmed</t>
  </si>
  <si>
    <t>ARGONNE SOLAR</t>
  </si>
  <si>
    <t>ARMENIA MOUNTAIN WF</t>
  </si>
  <si>
    <t>ASPEN ROAD SOLAR</t>
  </si>
  <si>
    <t>AULANDER HOLLOMAN SOLAR</t>
  </si>
  <si>
    <t>AURORA CT 1</t>
  </si>
  <si>
    <t>Aurora</t>
  </si>
  <si>
    <t>Matched to EIA-860 technology and name. EIA-923 heat rate is aggregated across reported plant/prime mover/fuel groups, not a single generating unit. Automatic high-confidence proposed mapping; confirm unit identifiers. IMPORTANT: same EIA group total is repeated for 10 PJM entries; it is NOT an independent heat-rate observation for each unit.</t>
  </si>
  <si>
    <t>IL</t>
  </si>
  <si>
    <t>CTG1, CTG10, CTG2, CTG3, CTG4, CTG5, CTG6, CTG7, CTG8, CTG9</t>
  </si>
  <si>
    <t>AURORA CT 10</t>
  </si>
  <si>
    <t>AURORA CT 2</t>
  </si>
  <si>
    <t>AURORA CT 3</t>
  </si>
  <si>
    <t>AURORA CT 4</t>
  </si>
  <si>
    <t>AURORA CT 5</t>
  </si>
  <si>
    <t>AURORA CT 6</t>
  </si>
  <si>
    <t>AURORA CT 7</t>
  </si>
  <si>
    <t>AURORA CT 8</t>
  </si>
  <si>
    <t>AURORA CT 9</t>
  </si>
  <si>
    <t>AXTON SOLAR</t>
  </si>
  <si>
    <t>BACKBONE MT WF</t>
  </si>
  <si>
    <t>BAKER POINT SOLAR</t>
  </si>
  <si>
    <t>BARTONSVILLE SOLAR</t>
  </si>
  <si>
    <t>BATH COUNTY 1</t>
  </si>
  <si>
    <t>8-hr Storage</t>
  </si>
  <si>
    <t>BATH COUNTY 2</t>
  </si>
  <si>
    <t>BATH COUNTY 3</t>
  </si>
  <si>
    <t>BATH COUNTY 4</t>
  </si>
  <si>
    <t>BATH COUNTY 5</t>
  </si>
  <si>
    <t>BATH COUNTY 6</t>
  </si>
  <si>
    <t>BAYSHORE 1</t>
  </si>
  <si>
    <t>Steam</t>
  </si>
  <si>
    <t>Unspecified steam</t>
  </si>
  <si>
    <t>Cannot infer fuel from class; requires plant-level mapping</t>
  </si>
  <si>
    <t>BAYSHORE CT 1</t>
  </si>
  <si>
    <t>BAYVIEW 1</t>
  </si>
  <si>
    <t>Diesel Utility</t>
  </si>
  <si>
    <t>Distillate diesel (assumed)</t>
  </si>
  <si>
    <t>Diesel engine / oil-fired</t>
  </si>
  <si>
    <t>Technology may vary; verify fuel and engine type</t>
  </si>
  <si>
    <t>Bayview</t>
  </si>
  <si>
    <t>IC/DFO</t>
  </si>
  <si>
    <t>Matched to EIA-860 technology and name. EIA-923 heat rate is aggregated across reported plant/prime mover/fuel groups, not a single generating unit. Automatic high-confidence proposed mapping; confirm unit identifiers. IMPORTANT: same EIA group total is repeated for 6 PJM entries; it is NOT an independent heat-rate observation for each unit.</t>
  </si>
  <si>
    <t>VA</t>
  </si>
  <si>
    <t>BAYV, BYV2, BYV3, BYV4, BYV5, BYV6</t>
  </si>
  <si>
    <t>BAYVIEW 2</t>
  </si>
  <si>
    <t>BAYVIEW 3</t>
  </si>
  <si>
    <t>BAYVIEW 4</t>
  </si>
  <si>
    <t>BAYVIEW 5</t>
  </si>
  <si>
    <t>BAYVIEW 6</t>
  </si>
  <si>
    <t>BE PINE SOLAR 1</t>
  </si>
  <si>
    <t>DUQ</t>
  </si>
  <si>
    <t>BE PINE SOLAR 2</t>
  </si>
  <si>
    <t>BEAR CREEK WF</t>
  </si>
  <si>
    <t>BEAR GARDEN</t>
  </si>
  <si>
    <t>Gas Combined Cycle Dual</t>
  </si>
  <si>
    <t>Combined cycle dual fuel</t>
  </si>
  <si>
    <t>Bear Garden</t>
  </si>
  <si>
    <t>CT/DFO, CT/NG</t>
  </si>
  <si>
    <t>Matched to EIA-860 technology and name. EIA-923 heat rate is aggregated across reported plant/prime mover/fuel groups, not a single generating unit. Automatic high-confidence proposed mapping; confirm unit identifiers.</t>
  </si>
  <si>
    <t>1A, 1B, 1C</t>
  </si>
  <si>
    <t>BEAR ROCK SOLAR</t>
  </si>
  <si>
    <t>BEAVER RUN SOLAR</t>
  </si>
  <si>
    <t>BEAVER VALLEY 1 INT</t>
  </si>
  <si>
    <t>Nuclear</t>
  </si>
  <si>
    <t>Nuclear heat</t>
  </si>
  <si>
    <t>Nuclear steam</t>
  </si>
  <si>
    <t>Thermal equivalent only; not a fossil-fuel cost heat rate</t>
  </si>
  <si>
    <t>BEAVER VALLEY 2 INT</t>
  </si>
  <si>
    <t>BEAVERBROOK KINSLEY SOLAR</t>
  </si>
  <si>
    <t>PSEG</t>
  </si>
  <si>
    <t>BEDFORD SOLAR</t>
  </si>
  <si>
    <t>BEECH RIDGE 2 WF</t>
  </si>
  <si>
    <t>BELCHER SOLAR</t>
  </si>
  <si>
    <t>BELLEVILLE 1</t>
  </si>
  <si>
    <t>BELLEVILLE 2</t>
  </si>
  <si>
    <t>BELLFLOWER SOLAR 1</t>
  </si>
  <si>
    <t>BELVIDERE SOLAR</t>
  </si>
  <si>
    <t>BERGEN 1 CC</t>
  </si>
  <si>
    <t>PS-NORTH</t>
  </si>
  <si>
    <t>Bergen Generating Station</t>
  </si>
  <si>
    <t>CA/DFO, CA/NG, CT/DFO, CT/NG</t>
  </si>
  <si>
    <t>Matched to EIA-860 technology and name. EIA-923 heat rate is aggregated across reported plant/prime mover/fuel groups, not a single generating unit. Automatic high-confidence proposed mapping; confirm unit identifiers. IMPORTANT: same EIA group total is repeated for 2 PJM entries; it is NOT an independent heat-rate observation for each unit.</t>
  </si>
  <si>
    <t>NJ</t>
  </si>
  <si>
    <t>1101, 1201, 1301, 1401, 1501, 2101, 2201, 2301</t>
  </si>
  <si>
    <t>BERGEN 2 CC</t>
  </si>
  <si>
    <t>Gas Combined Cycle</t>
  </si>
  <si>
    <t>Combined cycle</t>
  </si>
  <si>
    <t>BERNARDSVILLE SOLAR</t>
  </si>
  <si>
    <t>BERRIEN SPRINGS 1-12</t>
  </si>
  <si>
    <t>BERRIEN SPRINGS LF</t>
  </si>
  <si>
    <t>Candidate EIA plant 59574: Southeast Berrien Generating Facility; name fit 0.411; insufficient name or inventory agreement. Do NOT treat as resource-specific data.</t>
  </si>
  <si>
    <t>MI</t>
  </si>
  <si>
    <t>SBL</t>
  </si>
  <si>
    <t>BETH 4CC</t>
  </si>
  <si>
    <t>BETH 8CC</t>
  </si>
  <si>
    <t>BETH CT1</t>
  </si>
  <si>
    <t>BETH CT2</t>
  </si>
  <si>
    <t>BETH CT3</t>
  </si>
  <si>
    <t>BETH CT5</t>
  </si>
  <si>
    <t>BETH CT6</t>
  </si>
  <si>
    <t>BETH CT7</t>
  </si>
  <si>
    <t>BETHEL LF</t>
  </si>
  <si>
    <t>Candidate EIA plant 56531: Waste Management Bethel LFGTE; name fit 0.443; insufficient name or inventory agreement. Do NOT treat as resource-specific data.</t>
  </si>
  <si>
    <t>BIG PLAIN SOLAR</t>
  </si>
  <si>
    <t>BIG SANDY 1</t>
  </si>
  <si>
    <t>Big Sandy</t>
  </si>
  <si>
    <t>ST/NG</t>
  </si>
  <si>
    <t>KY</t>
  </si>
  <si>
    <t>1</t>
  </si>
  <si>
    <t>BIG SANDY CT1</t>
  </si>
  <si>
    <t>Big Sandy Peaker Plant</t>
  </si>
  <si>
    <t>Matched to EIA-860 technology and name. EIA-923 heat rate is aggregated across reported plant/prime mover/fuel groups, not a single generating unit. Moderate-confidence suggested mapping; manual review needed. IMPORTANT: same EIA group total is repeated for 6 PJM entries; it is NOT an independent heat-rate observation for each unit.</t>
  </si>
  <si>
    <t>BSG1, BSG2, BSG3, BSG4, BSG5, BSG6</t>
  </si>
  <si>
    <t>BIG SANDY CT2</t>
  </si>
  <si>
    <t>BIG SANDY CT3</t>
  </si>
  <si>
    <t>BIG SANDY CT4</t>
  </si>
  <si>
    <t>BIG SANDY CT5</t>
  </si>
  <si>
    <t>BIG SANDY CT6</t>
  </si>
  <si>
    <t>BIG SKY WF</t>
  </si>
  <si>
    <t>BIGGS FORD SOLAR</t>
  </si>
  <si>
    <t>BIRDSBORO CC</t>
  </si>
  <si>
    <t>Birdsboro Power</t>
  </si>
  <si>
    <t>CS/NG</t>
  </si>
  <si>
    <t>GEN1</t>
  </si>
  <si>
    <t>BISHOP HILL WF</t>
  </si>
  <si>
    <t>BITTER RIDGE WF</t>
  </si>
  <si>
    <t>BLACK ROCK WF</t>
  </si>
  <si>
    <t>BLAIRS VALLEY SOLAR</t>
  </si>
  <si>
    <t>BLAKE SOLAR</t>
  </si>
  <si>
    <t>BLOOMING GROVE WF</t>
  </si>
  <si>
    <t>BLOSSBURG 1</t>
  </si>
  <si>
    <t>Blossburg</t>
  </si>
  <si>
    <t>BLUE CREEK WF</t>
  </si>
  <si>
    <t>BLUE HARVEST SOLAR</t>
  </si>
  <si>
    <t>BLUEBIRD SOLAR</t>
  </si>
  <si>
    <t>EKPC</t>
  </si>
  <si>
    <t>BLUEGRASS CT 1</t>
  </si>
  <si>
    <t>Bluegrass Generating Station</t>
  </si>
  <si>
    <t>CT1, CT2, CT3</t>
  </si>
  <si>
    <t>BLUEGRASS CT 2</t>
  </si>
  <si>
    <t>BLUEGRASS CT 3</t>
  </si>
  <si>
    <t>BLUFF POINT WF</t>
  </si>
  <si>
    <t>BOOKER MILL SOLAR</t>
  </si>
  <si>
    <t>BRAIDWOOD NUCLEAR 1</t>
  </si>
  <si>
    <t>BRAIDWOOD NUCLEAR 2</t>
  </si>
  <si>
    <t>BRANDON SHORES 1</t>
  </si>
  <si>
    <t>BGE</t>
  </si>
  <si>
    <t>Brandon Shores</t>
  </si>
  <si>
    <t>MD</t>
  </si>
  <si>
    <t>1, 2</t>
  </si>
  <si>
    <t>BRANDON SHORES 2</t>
  </si>
  <si>
    <t>BRESCO NUG</t>
  </si>
  <si>
    <t>BRICK SOLAR</t>
  </si>
  <si>
    <t>BRIGHT STALK WF</t>
  </si>
  <si>
    <t>BRINK SOLAR</t>
  </si>
  <si>
    <t>BROAD MOUNTAIN 2 LF</t>
  </si>
  <si>
    <t>Candidate EIA plant 56687: Mountain View; name fit 0.404; insufficient name or inventory agreement. Do NOT treat as resource-specific data.</t>
  </si>
  <si>
    <t>1, 10, 11, 12, 13, 14, 15, 16, 17, 18, 19, 2, 20, 21, 22, 23, 24, 25, 26, 27, 28, 29, 3, 30, 31, 32, 33, 34, 35, 36, 37, 38, 39, 4, 40, 41, 42, 43, 44, 45, 46, 47, 48, 5, 6, 7, 8, 9</t>
  </si>
  <si>
    <t>BROOKSIDE FUEL CELL</t>
  </si>
  <si>
    <t>BROWN COUNTY LF</t>
  </si>
  <si>
    <t>DEOK</t>
  </si>
  <si>
    <t>Brown County LFGTE Power Station</t>
  </si>
  <si>
    <t>IC/LFG</t>
  </si>
  <si>
    <t>OH</t>
  </si>
  <si>
    <t>GM01, GM02, GM03</t>
  </si>
  <si>
    <t>BRUNNER ISLAND 1</t>
  </si>
  <si>
    <t>Brunner Island</t>
  </si>
  <si>
    <t>ST/BIT, ST/NG</t>
  </si>
  <si>
    <t>BRUNNER ISLAND 2</t>
  </si>
  <si>
    <t>BRUNNER ISLAND 3</t>
  </si>
  <si>
    <t>BRUNOT ISLAND CC4</t>
  </si>
  <si>
    <t>Brunot Island</t>
  </si>
  <si>
    <t>CA/NG, CT/NG</t>
  </si>
  <si>
    <t>Matched to EIA-860 technology and name. EIA-923 heat rate is aggregated across reported plant/prime mover/fuel groups, not a single generating unit. Moderate-confidence suggested mapping; manual review needed. IMPORTANT: same EIA group total is repeated for 4 PJM entries; it is NOT an independent heat-rate observation for each unit.</t>
  </si>
  <si>
    <t>2A, 2B, 3, ST4</t>
  </si>
  <si>
    <t>BRUNOT ISLAND CT1A</t>
  </si>
  <si>
    <t>BRUNOT ISLAND CT2A</t>
  </si>
  <si>
    <t>BRUNOT ISLAND CT2B</t>
  </si>
  <si>
    <t>BRUNOT ISLAND CT3</t>
  </si>
  <si>
    <t>BRUNSWICK COUNTY CC 1</t>
  </si>
  <si>
    <t>Brunswick County Power Station</t>
  </si>
  <si>
    <t>CT/NG</t>
  </si>
  <si>
    <t>CT01, CT02, CT03, ST01</t>
  </si>
  <si>
    <t>BRUNSWICK CTY LF</t>
  </si>
  <si>
    <t>BRUNSWICK SOLAR</t>
  </si>
  <si>
    <t>BUCHANAN 1-10</t>
  </si>
  <si>
    <t>BUCK-BYLLESBY</t>
  </si>
  <si>
    <t>BUCKEYE PLAINS II SOLAR</t>
  </si>
  <si>
    <t>DAY</t>
  </si>
  <si>
    <t>BUCKEYE PLAINS SOLAR</t>
  </si>
  <si>
    <t>BUCKINGHAM COUNTY SOLAR</t>
  </si>
  <si>
    <t>BURLINGTON 121</t>
  </si>
  <si>
    <t>Burlington Generating Station</t>
  </si>
  <si>
    <t>GT/KER, GT/NG</t>
  </si>
  <si>
    <t>121, 122, 123, 124</t>
  </si>
  <si>
    <t>BURLINGTON 122</t>
  </si>
  <si>
    <t>BURLINGTON 123</t>
  </si>
  <si>
    <t>BURLINGTON 124</t>
  </si>
  <si>
    <t>BYRON NUCLEAR 1</t>
  </si>
  <si>
    <t>BYRON NUCLEAR 2</t>
  </si>
  <si>
    <t>CALDWELL SOLAR</t>
  </si>
  <si>
    <t>CALVERT CLIFFS 1</t>
  </si>
  <si>
    <t>SWMAAC</t>
  </si>
  <si>
    <t>CALVERT CLIFFS 2</t>
  </si>
  <si>
    <t>CAMBRIA COUNTY CC</t>
  </si>
  <si>
    <t>Candidate EIA plant 59773: Carroll County Energy; name fit 0.539; unresolved alternatives. Do NOT treat as resource-specific data.</t>
  </si>
  <si>
    <t>CGT1, CGT2, SGT1</t>
  </si>
  <si>
    <t>CAMDEN COGEN TECH</t>
  </si>
  <si>
    <t>Candidate EIA plant 10751: Camden Plant Holding LLC; name fit 0.413; unresolved alternatives. Do NOT treat as resource-specific data.</t>
  </si>
  <si>
    <t>GEN1, GEN2</t>
  </si>
  <si>
    <t>CAMDEN COUNTY R.R. NUG</t>
  </si>
  <si>
    <t>Candidate EIA plant 10435: Camden Resource Recovery Facility; name fit 0.421; unresolved alternatives. Do NOT treat as resource-specific data.</t>
  </si>
  <si>
    <t>CAMDEN COUNTY SOLAR</t>
  </si>
  <si>
    <t>CAMP GROVE 2 WF</t>
  </si>
  <si>
    <t>CAMP GROVE WF</t>
  </si>
  <si>
    <t>CAMPUS DRIVE SOLAR</t>
  </si>
  <si>
    <t>CANTON DIESEL</t>
  </si>
  <si>
    <t>Candidate EIA plant 56181: Genoa Diesel Generating Station; name fit 0.496; unresolved alternatives. Do NOT treat as resource-specific data.</t>
  </si>
  <si>
    <t>CAPITAL AVENUE SOLAR</t>
  </si>
  <si>
    <t>CAPON BRIDGE SOLAR</t>
  </si>
  <si>
    <t>CARBON COUNTY SOLAR</t>
  </si>
  <si>
    <t>CARDINAL 1</t>
  </si>
  <si>
    <t>Cardinal</t>
  </si>
  <si>
    <t>CARDINAL 2</t>
  </si>
  <si>
    <t>CARDINAL 3</t>
  </si>
  <si>
    <t>CARDINAL SOLAR</t>
  </si>
  <si>
    <t>CARROLL COUNTY CC</t>
  </si>
  <si>
    <t>Carroll County Energy</t>
  </si>
  <si>
    <t>CARVERS CREEK SOLAR</t>
  </si>
  <si>
    <t>CASS COUNTY CC</t>
  </si>
  <si>
    <t>Candidate EIA plant 59773: Carroll County Energy; name fit 0.540; unresolved alternatives. Do NOT treat as resource-specific data.</t>
  </si>
  <si>
    <t>CASSELMAN WF</t>
  </si>
  <si>
    <t>CAVALIER SOLAR</t>
  </si>
  <si>
    <t>CAYUGA RIDGE WF</t>
  </si>
  <si>
    <t>CENTRAL LF</t>
  </si>
  <si>
    <t>Central Generating</t>
  </si>
  <si>
    <t>CENTRE COUNTY WF</t>
  </si>
  <si>
    <t>CEREDO 1</t>
  </si>
  <si>
    <t>Ceredo Generating Station</t>
  </si>
  <si>
    <t>01, 02, 03, 04, 05, 06</t>
  </si>
  <si>
    <t>CEREDO 2</t>
  </si>
  <si>
    <t>CEREDO 3</t>
  </si>
  <si>
    <t>CEREDO 4</t>
  </si>
  <si>
    <t>CEREDO 5</t>
  </si>
  <si>
    <t>CEREDO 6</t>
  </si>
  <si>
    <t>CHALK POINT 3</t>
  </si>
  <si>
    <t>PEPCO</t>
  </si>
  <si>
    <t>Chalk Point Power</t>
  </si>
  <si>
    <t>3, 4</t>
  </si>
  <si>
    <t>CHALK POINT 4</t>
  </si>
  <si>
    <t>CHALK POINT CT 1</t>
  </si>
  <si>
    <t>CHALK POINT CT 2</t>
  </si>
  <si>
    <t>CHALK POINT CT 3</t>
  </si>
  <si>
    <t>Candidate EIA plant 1571: Chalk Point Power; name fit 1.000; unresolved alternatives. Do NOT treat as resource-specific data.</t>
  </si>
  <si>
    <t>GT1, GT2, GT3, GT4, GT5, GT6</t>
  </si>
  <si>
    <t>CHALK POINT CT 4</t>
  </si>
  <si>
    <t>CHALK POINT CT 5</t>
  </si>
  <si>
    <t>CHALK POINT CT 6</t>
  </si>
  <si>
    <t>CHAMB4-7</t>
  </si>
  <si>
    <t>CHARLES CITY COUNTY SOLAR</t>
  </si>
  <si>
    <t>CHARLES CITY LF</t>
  </si>
  <si>
    <t>CHASE CITY SOLAR</t>
  </si>
  <si>
    <t>CHERRYDALE SOLAR</t>
  </si>
  <si>
    <t>CHESAPEAKE CT 1</t>
  </si>
  <si>
    <t>CHESAPEAKE CT 2</t>
  </si>
  <si>
    <t>CHESAPEAKE CT 3</t>
  </si>
  <si>
    <t>CHESAPEAKE CT 4</t>
  </si>
  <si>
    <t>CHESAPEAKE CT 5</t>
  </si>
  <si>
    <t>CHESAPEAKE CT 6</t>
  </si>
  <si>
    <t>CHESAPEAKE CT7</t>
  </si>
  <si>
    <t>CHESAPEAKE GT1 DOM</t>
  </si>
  <si>
    <t>CHESAPEAKE GTS DOM</t>
  </si>
  <si>
    <t>CHESTER 7</t>
  </si>
  <si>
    <t>PECO</t>
  </si>
  <si>
    <t>CHESTER 8</t>
  </si>
  <si>
    <t>CHESTER 9</t>
  </si>
  <si>
    <t>CHESTERFIELD CC 7</t>
  </si>
  <si>
    <t>Chesterfield</t>
  </si>
  <si>
    <t>CT7, CT8, CW7, CW8</t>
  </si>
  <si>
    <t>CHESTERFIELD CC 8</t>
  </si>
  <si>
    <t>CHESTERFIELD LF</t>
  </si>
  <si>
    <t>CHESTNUT FLATS WF</t>
  </si>
  <si>
    <t>CHMBRSBRG GUILFORD 12</t>
  </si>
  <si>
    <t>CHMBRSBRG GUILFORD 13</t>
  </si>
  <si>
    <t>CHRISTIANA 11</t>
  </si>
  <si>
    <t>CHRISTIANA 14</t>
  </si>
  <si>
    <t>CL VIADUCT SOLAR</t>
  </si>
  <si>
    <t>CLAYTOR 1</t>
  </si>
  <si>
    <t>HydroNPS</t>
  </si>
  <si>
    <t>CLAYTOR 2</t>
  </si>
  <si>
    <t>CLAYTOR 3</t>
  </si>
  <si>
    <t>CLAYTOR 4</t>
  </si>
  <si>
    <t>CLAYVILLE 1</t>
  </si>
  <si>
    <t>Clayville</t>
  </si>
  <si>
    <t>CLEARFIELD COUNTY SOLAR</t>
  </si>
  <si>
    <t>CLEARVIEW SOLAR I</t>
  </si>
  <si>
    <t>CLIFTY CREEK 1 OVEC INT</t>
  </si>
  <si>
    <t>OVEC</t>
  </si>
  <si>
    <t>Clifty Creek</t>
  </si>
  <si>
    <t>ST/BIT, ST/SUB</t>
  </si>
  <si>
    <t>1, 2, 3, 4, 5, 6</t>
  </si>
  <si>
    <t>CLIFTY CREEK 2 OVEC INT</t>
  </si>
  <si>
    <t>CLIFTY CREEK 3 OVEC INT</t>
  </si>
  <si>
    <t>CLIFTY CREEK 4 OVEC INT</t>
  </si>
  <si>
    <t>CLIFTY CREEK 5 OVEC INT</t>
  </si>
  <si>
    <t>CLIFTY CREEK 6 OVEC INT</t>
  </si>
  <si>
    <t>CLINCH RIVER 1</t>
  </si>
  <si>
    <t>Clinch River</t>
  </si>
  <si>
    <t>CLINCH RIVER 2</t>
  </si>
  <si>
    <t>CLINTON SOLAR</t>
  </si>
  <si>
    <t>CLOVER 1</t>
  </si>
  <si>
    <t>Clover</t>
  </si>
  <si>
    <t>CLOVER 2</t>
  </si>
  <si>
    <t>CLOYD MOUNTAIN LF</t>
  </si>
  <si>
    <t>COBALT SOLAR</t>
  </si>
  <si>
    <t>COCHRAN MILL</t>
  </si>
  <si>
    <t>No usable reported 2025 heat rate</t>
  </si>
  <si>
    <t>Potential EIA plant 54096 International Paper Riverdale Mill but no compatible valid reported 2025 heat rate. 2025 status and technology need review.</t>
  </si>
  <si>
    <t>AL</t>
  </si>
  <si>
    <t>GEN3, GEN4</t>
  </si>
  <si>
    <t>No usable 2025 EIA fuel/generation</t>
  </si>
  <si>
    <t>COLE FARM SOLAR</t>
  </si>
  <si>
    <t>COLICE HALL SOLAR</t>
  </si>
  <si>
    <t>COLONIAL TRAIL WEST SOLAR</t>
  </si>
  <si>
    <t>COLVER NUG</t>
  </si>
  <si>
    <t>Candidate EIA plant 10143: Colver Green Energy; name fit 0.541; insufficient name or inventory agreement. Do NOT treat as resource-specific data.</t>
  </si>
  <si>
    <t>COLV</t>
  </si>
  <si>
    <t>COMMUNITY REFUSE LF</t>
  </si>
  <si>
    <t>Candidate EIA plant 56873: SECCRA Community Landfill; name fit 0.396; insufficient name or inventory agreement. Do NOT treat as resource-specific data.</t>
  </si>
  <si>
    <t>1, 3</t>
  </si>
  <si>
    <t>CONEMAUGH 1</t>
  </si>
  <si>
    <t>Conemaugh</t>
  </si>
  <si>
    <t>CONEMAUGH 2</t>
  </si>
  <si>
    <t>CONEMAUGH DAM NUG</t>
  </si>
  <si>
    <t>CONEMAUGH DIESEL</t>
  </si>
  <si>
    <t>A, B, C, D</t>
  </si>
  <si>
    <t>CONETOE SOLAR</t>
  </si>
  <si>
    <t>CONOWINGO 1</t>
  </si>
  <si>
    <t>CONOWINGO 10</t>
  </si>
  <si>
    <t>CONOWINGO 11</t>
  </si>
  <si>
    <t>CONOWINGO 2</t>
  </si>
  <si>
    <t>CONOWINGO 3</t>
  </si>
  <si>
    <t>CONOWINGO 4</t>
  </si>
  <si>
    <t>CONOWINGO 5</t>
  </si>
  <si>
    <t>CONOWINGO 6</t>
  </si>
  <si>
    <t>CONOWINGO 7</t>
  </si>
  <si>
    <t>CONOWINGO 8</t>
  </si>
  <si>
    <t>CONOWINGO 9</t>
  </si>
  <si>
    <t>CONSTANTINE 1-4</t>
  </si>
  <si>
    <t>COOK NUCLEAR 1</t>
  </si>
  <si>
    <t>COOK NUCLEAR 2</t>
  </si>
  <si>
    <t>COOPER 1</t>
  </si>
  <si>
    <t>Cooper</t>
  </si>
  <si>
    <t>COOPER 2</t>
  </si>
  <si>
    <t>CORDOVA CC 1</t>
  </si>
  <si>
    <t>Cordova Energy</t>
  </si>
  <si>
    <t>PT11, PT21, PT31</t>
  </si>
  <si>
    <t>CORDOVA CT 1</t>
  </si>
  <si>
    <t>CORDOVA CT 2</t>
  </si>
  <si>
    <t>COTTONTAIL 1 SOLAR</t>
  </si>
  <si>
    <t>COTTONTAIL 2 SOLAR</t>
  </si>
  <si>
    <t>COTTONTAIL 4 SOLAR</t>
  </si>
  <si>
    <t>COTTONTAIL 5 SOLAR</t>
  </si>
  <si>
    <t>COTTONTAIL 6 SOLAR</t>
  </si>
  <si>
    <t>COTTONTAIL 8 SOLAR</t>
  </si>
  <si>
    <t>CRANBURY SOLAR</t>
  </si>
  <si>
    <t>CRESCENT RIDGE WF</t>
  </si>
  <si>
    <t>CRETE CT 1</t>
  </si>
  <si>
    <t>Crete Energy Venture LLC</t>
  </si>
  <si>
    <t>Matched to EIA-860 technology and name. EIA-923 heat rate is aggregated across reported plant/prime mover/fuel groups, not a single generating unit. Automatic high-confidence proposed mapping; confirm unit identifiers. IMPORTANT: same EIA group total is repeated for 4 PJM entries; it is NOT an independent heat-rate observation for each unit.</t>
  </si>
  <si>
    <t>GT1, GT2, GT3, GT4</t>
  </si>
  <si>
    <t>CRETE CT 2</t>
  </si>
  <si>
    <t>CRETE CT 3</t>
  </si>
  <si>
    <t>CRETE CT 4</t>
  </si>
  <si>
    <t>CRISFIELD 1</t>
  </si>
  <si>
    <t>Crisfield</t>
  </si>
  <si>
    <t>CRIS, CRS2, CRS3, CRS4</t>
  </si>
  <si>
    <t>CRISFIELD 2</t>
  </si>
  <si>
    <t>CRISFIELD 3</t>
  </si>
  <si>
    <t>CRISFIELD 4</t>
  </si>
  <si>
    <t>CRITERION WF</t>
  </si>
  <si>
    <t>CROWN POINT</t>
  </si>
  <si>
    <t>Candidate EIA plant 50561: Eagle Point Power Generation; name fit 0.508; unresolved alternatives. Do NOT treat as resource-specific data.</t>
  </si>
  <si>
    <t>GTG1, GTG2, STG1, STG2</t>
  </si>
  <si>
    <t>CROYDON 11</t>
  </si>
  <si>
    <t>CROYDON 12</t>
  </si>
  <si>
    <t>CROYDON 21</t>
  </si>
  <si>
    <t>CROYDON 22</t>
  </si>
  <si>
    <t>CROYDON 31</t>
  </si>
  <si>
    <t>CROYDON 32</t>
  </si>
  <si>
    <t>CROYDON 41</t>
  </si>
  <si>
    <t>CROYDON 42</t>
  </si>
  <si>
    <t>CRYSTAL HILL SOLAR</t>
  </si>
  <si>
    <t>CUMBERLAND 2</t>
  </si>
  <si>
    <t>Cumberland (NJ)</t>
  </si>
  <si>
    <t>CUMB, CUMB2</t>
  </si>
  <si>
    <t>CUMBERLAND CT</t>
  </si>
  <si>
    <t>CUSHAW</t>
  </si>
  <si>
    <t>DANS MOUNTAIN WF</t>
  </si>
  <si>
    <t>DARBY 1</t>
  </si>
  <si>
    <t>Darby Power, LLC</t>
  </si>
  <si>
    <t>DARBY 2</t>
  </si>
  <si>
    <t>DARBY 3</t>
  </si>
  <si>
    <t>DARBY 4</t>
  </si>
  <si>
    <t>DARBY 5</t>
  </si>
  <si>
    <t>DARBY 6</t>
  </si>
  <si>
    <t>DARBYTOWN GT1</t>
  </si>
  <si>
    <t>Darbytown</t>
  </si>
  <si>
    <t>1, 2, 3, 4</t>
  </si>
  <si>
    <t>DARBYTOWN GT2</t>
  </si>
  <si>
    <t>DARBYTOWN GT3</t>
  </si>
  <si>
    <t>DARBYTOWN GT4</t>
  </si>
  <si>
    <t>DAVIS BESSE 1</t>
  </si>
  <si>
    <t>DEEP CREEK 1-2</t>
  </si>
  <si>
    <t>DEER CREEK SOLAR</t>
  </si>
  <si>
    <t>DELANCY STREET</t>
  </si>
  <si>
    <t>Candidate EIA plant 3236: Manchester Street; name fit 0.526; unresolved alternatives. Do NOT treat as resource-specific data.</t>
  </si>
  <si>
    <t>RI</t>
  </si>
  <si>
    <t>G10A, G11A, GE10, GE11, GE9A, GEN9</t>
  </si>
  <si>
    <t>DELAWARE CITY 10</t>
  </si>
  <si>
    <t>DELAWARE CITY 3 NUG</t>
  </si>
  <si>
    <t>Candidate EIA plant 997: Michigan City; name fit 0.392; unresolved alternatives. Do NOT treat as resource-specific data.</t>
  </si>
  <si>
    <t>12</t>
  </si>
  <si>
    <t>DELAWARE CITY 6</t>
  </si>
  <si>
    <t>Delaware Generating Station</t>
  </si>
  <si>
    <t>GT/DFO</t>
  </si>
  <si>
    <t>Matched to EIA-860 technology and name. EIA-923 heat rate is aggregated across reported plant/prime mover/fuel groups, not a single generating unit. Moderate-confidence suggested mapping; manual review needed. IMPORTANT: same EIA group total is repeated for 2 PJM entries; it is NOT an independent heat-rate observation for each unit.</t>
  </si>
  <si>
    <t>10, 11, 12, 9</t>
  </si>
  <si>
    <t>DELAWARE CITY 7</t>
  </si>
  <si>
    <t>DELAWARE CT 10</t>
  </si>
  <si>
    <t>DELAWARE CT 11</t>
  </si>
  <si>
    <t>DELAWARE CT 12</t>
  </si>
  <si>
    <t>DELAWARE CT 9</t>
  </si>
  <si>
    <t>DELTA CT1</t>
  </si>
  <si>
    <t>Candidate EIA plant 63259: Delta Energy Park; name fit 0.505; unresolved alternatives. Do NOT treat as resource-specific data.</t>
  </si>
  <si>
    <t>DEPC2, DEPC3, DEPST</t>
  </si>
  <si>
    <t>DELTA CT2</t>
  </si>
  <si>
    <t>DELTA CT3</t>
  </si>
  <si>
    <t>DELTA ST 1</t>
  </si>
  <si>
    <t>Delta Energy Park</t>
  </si>
  <si>
    <t>DEMEC 1</t>
  </si>
  <si>
    <t>DEMEC 2</t>
  </si>
  <si>
    <t>DEPTFORD KINSLEY SOLAR</t>
  </si>
  <si>
    <t>DESERT WF</t>
  </si>
  <si>
    <t>DICKERSON HCT1</t>
  </si>
  <si>
    <t>Dickerson Power</t>
  </si>
  <si>
    <t>GT2, GT3</t>
  </si>
  <si>
    <t>DICKERSON HCT2</t>
  </si>
  <si>
    <t>DICKS CREEK 1</t>
  </si>
  <si>
    <t>Candidate EIA plant 2831: Dick's Creek; name fit 0.581; unresolved alternatives. Do NOT treat as resource-specific data.</t>
  </si>
  <si>
    <t>1, 3, 4, 5</t>
  </si>
  <si>
    <t>DICKS CREEK 3</t>
  </si>
  <si>
    <t>DICKS CREEK 4</t>
  </si>
  <si>
    <t>DICKS CREEK 5</t>
  </si>
  <si>
    <t>DODSON CREEK SOLAR</t>
  </si>
  <si>
    <t>DOMIN LANE SOLAR</t>
  </si>
  <si>
    <t>DORCHESTER COUNTY 1 SOLAR</t>
  </si>
  <si>
    <t>DORCHESTER COUNTY 2 SOLAR</t>
  </si>
  <si>
    <t>DORCHESTER SOLAR</t>
  </si>
  <si>
    <t>DOUBLE TOLLGATE SOLAR</t>
  </si>
  <si>
    <t>DRESDEN CT 1</t>
  </si>
  <si>
    <t>Dresden Energy Facility</t>
  </si>
  <si>
    <t>DRESDEN CT 2</t>
  </si>
  <si>
    <t>DRESDEN NUCLEAR 2</t>
  </si>
  <si>
    <t>DRESDEN NUCLEAR 3</t>
  </si>
  <si>
    <t>DRESDEN ST 1</t>
  </si>
  <si>
    <t>DRMI NUG</t>
  </si>
  <si>
    <t>DRY BRIDGE BATTERY</t>
  </si>
  <si>
    <t>DUNBAR SOLAR</t>
  </si>
  <si>
    <t>DURBAN AVENUE SOLAR</t>
  </si>
  <si>
    <t>EAGLE POINT 1</t>
  </si>
  <si>
    <t>Eagle Point Power Generation</t>
  </si>
  <si>
    <t>EAGLE POINT 2</t>
  </si>
  <si>
    <t>EAGLE POINT 3</t>
  </si>
  <si>
    <t>EAGLE POINT 4</t>
  </si>
  <si>
    <t>EAST AMWELL SOLAR</t>
  </si>
  <si>
    <t>EAST BEND 2</t>
  </si>
  <si>
    <t>East Bend</t>
  </si>
  <si>
    <t>2</t>
  </si>
  <si>
    <t>EAST CARBONDALE WF</t>
  </si>
  <si>
    <t>EAST FLEMINGTON SOLAR</t>
  </si>
  <si>
    <t>EASTAMPTON SOLAR</t>
  </si>
  <si>
    <t>EASTON 10</t>
  </si>
  <si>
    <t>Candidate EIA plant 4257: Easton 2; name fit 1.000; unresolved alternatives. Do NOT treat as resource-specific data.</t>
  </si>
  <si>
    <t>201, 202, 203, 204, 21, 22, 23, 24</t>
  </si>
  <si>
    <t>EASTON 101</t>
  </si>
  <si>
    <t>EASTON 102</t>
  </si>
  <si>
    <t>EASTON 11</t>
  </si>
  <si>
    <t>EASTON 12</t>
  </si>
  <si>
    <t>EASTON 13</t>
  </si>
  <si>
    <t>EASTON 14</t>
  </si>
  <si>
    <t>EASTON 201</t>
  </si>
  <si>
    <t>EASTON 202</t>
  </si>
  <si>
    <t>EASTON 203</t>
  </si>
  <si>
    <t>EASTON 204</t>
  </si>
  <si>
    <t>EASTON 21</t>
  </si>
  <si>
    <t>EASTON 22</t>
  </si>
  <si>
    <t>EASTON 23</t>
  </si>
  <si>
    <t>EASTON 24</t>
  </si>
  <si>
    <t>EASTON 7</t>
  </si>
  <si>
    <t>EASTON 9</t>
  </si>
  <si>
    <t>EBENSBURG NUG</t>
  </si>
  <si>
    <t>Ebensburg Power</t>
  </si>
  <si>
    <t>ST/WC</t>
  </si>
  <si>
    <t>ECOGROVE WF</t>
  </si>
  <si>
    <t>EDDYSTONE CT 10</t>
  </si>
  <si>
    <t>EDDYSTONE CT 20</t>
  </si>
  <si>
    <t>EDDYSTONE CT 30</t>
  </si>
  <si>
    <t>EDDYSTONE CT 40</t>
  </si>
  <si>
    <t>EDGE MOOR 10</t>
  </si>
  <si>
    <t>EDGE MOOR 3</t>
  </si>
  <si>
    <t>Edge Moor</t>
  </si>
  <si>
    <t>ST/DFO, ST/NG, ST/RFO</t>
  </si>
  <si>
    <t>DE</t>
  </si>
  <si>
    <t>3, 4, 5</t>
  </si>
  <si>
    <t>EDGE MOOR 4</t>
  </si>
  <si>
    <t>EDGE MOOR 5</t>
  </si>
  <si>
    <t>EDGEBORO LF</t>
  </si>
  <si>
    <t>ELGIN CT 1</t>
  </si>
  <si>
    <t>MRP Elgin LLC</t>
  </si>
  <si>
    <t>CT01, CT02, CT03, CT04</t>
  </si>
  <si>
    <t>ELGIN CT 2</t>
  </si>
  <si>
    <t>ELGIN CT 3</t>
  </si>
  <si>
    <t>ELGIN CT 4</t>
  </si>
  <si>
    <t>ELIZABETH CITY SOLAR</t>
  </si>
  <si>
    <t>ELIZABETH RIVER 1</t>
  </si>
  <si>
    <t>Elizabeth River Power Station</t>
  </si>
  <si>
    <t>GEN1, GEN2, GEN3</t>
  </si>
  <si>
    <t>ELIZABETH RIVER 2</t>
  </si>
  <si>
    <t>ELIZABETH RIVER 3</t>
  </si>
  <si>
    <t>ELK HILL SOLAR</t>
  </si>
  <si>
    <t>ELKHART 1-3</t>
  </si>
  <si>
    <t>ELKHART LF</t>
  </si>
  <si>
    <t>ELWOOD CT 1</t>
  </si>
  <si>
    <t>Elwood Energy LLC</t>
  </si>
  <si>
    <t>Matched to EIA-860 technology and name. EIA-923 heat rate is aggregated across reported plant/prime mover/fuel groups, not a single generating unit. Automatic high-confidence proposed mapping; confirm unit identifiers. IMPORTANT: same EIA group total is repeated for 7 PJM entries; it is NOT an independent heat-rate observation for each unit.</t>
  </si>
  <si>
    <t>GT5, GT6, GT7</t>
  </si>
  <si>
    <t>ELWOOD CT 2</t>
  </si>
  <si>
    <t>ELWOOD CT 3</t>
  </si>
  <si>
    <t>ELWOOD CT 4</t>
  </si>
  <si>
    <t>ELWOOD CT 5</t>
  </si>
  <si>
    <t>ELWOOD CT 6</t>
  </si>
  <si>
    <t>ELWOOD CT 7</t>
  </si>
  <si>
    <t>ENFIELD SOLAR</t>
  </si>
  <si>
    <t>EQUISTAR MORRIS</t>
  </si>
  <si>
    <t>Candidate EIA plant 55216: Morris Cogeneration LLC; name fit 0.505; insufficient name or inventory agreement. Do NOT treat as resource-specific data.</t>
  </si>
  <si>
    <t>STG1, UNT1, UNT2, UNT3</t>
  </si>
  <si>
    <t>ERIE COUNTY LF</t>
  </si>
  <si>
    <t>Candidate EIA plant 56962: Iredell County LFG Facility; name fit 0.408; unresolved alternatives. Do NOT treat as resource-specific data.</t>
  </si>
  <si>
    <t>NC</t>
  </si>
  <si>
    <t>ERIE SOLAR</t>
  </si>
  <si>
    <t>ESSEX CO. RES. RCRVRY 1</t>
  </si>
  <si>
    <t>ESSEX CO. RES. RCRVRY 2</t>
  </si>
  <si>
    <t>FAIRFIELD ROAD SOLAR</t>
  </si>
  <si>
    <t>FAIRFIELD TOWNSHIP SOLAR</t>
  </si>
  <si>
    <t>FAIRHAVEN BATTERY</t>
  </si>
  <si>
    <t>10-hr Storage</t>
  </si>
  <si>
    <t>FALLS CT 1</t>
  </si>
  <si>
    <t>FALLS CT 2</t>
  </si>
  <si>
    <t>FALLS CT 3</t>
  </si>
  <si>
    <t>FALLS SOLAR</t>
  </si>
  <si>
    <t>FARMVIEW FARMS SOLAR 1</t>
  </si>
  <si>
    <t>FARMVIEW FARMS SOLAR 2</t>
  </si>
  <si>
    <t>FAYETTE SOLAR</t>
  </si>
  <si>
    <t>FIELD MOUNTAIN WF</t>
  </si>
  <si>
    <t>FISHER SOLAR</t>
  </si>
  <si>
    <t>FISK CT 31</t>
  </si>
  <si>
    <t>FISK CT 32</t>
  </si>
  <si>
    <t>FISK CT 33</t>
  </si>
  <si>
    <t>FISK CT 34</t>
  </si>
  <si>
    <t>FLATLICK 1</t>
  </si>
  <si>
    <t>FLATLICK 2</t>
  </si>
  <si>
    <t>FLATLICK 3</t>
  </si>
  <si>
    <t>FLATLICK 4</t>
  </si>
  <si>
    <t>FLATLICK 5</t>
  </si>
  <si>
    <t>FLEMINGTON SOLAR</t>
  </si>
  <si>
    <t>FLORENCE TOWNSHIP SOLAR</t>
  </si>
  <si>
    <t>FLR FLORENCE LANDFILL SOLAR</t>
  </si>
  <si>
    <t>FLUVANNA GS12</t>
  </si>
  <si>
    <t>FLUVANNA GT12</t>
  </si>
  <si>
    <t>FLUVANNA GT22</t>
  </si>
  <si>
    <t>FLUVANNA GT32</t>
  </si>
  <si>
    <t>FORD MILL 1 ST</t>
  </si>
  <si>
    <t>FORD MILL 1A CT</t>
  </si>
  <si>
    <t>FORD MILL 1B CT</t>
  </si>
  <si>
    <t>FORD MILL 2 ST</t>
  </si>
  <si>
    <t>FORD MILL 2A CT</t>
  </si>
  <si>
    <t>FORD MILL 2B CT</t>
  </si>
  <si>
    <t>FORKED RIVER C-1</t>
  </si>
  <si>
    <t>Forked River</t>
  </si>
  <si>
    <t>FORKED RIVER C-2</t>
  </si>
  <si>
    <t>FORT MARTIN 1</t>
  </si>
  <si>
    <t>FirstEnergy Fort Martin Power Station</t>
  </si>
  <si>
    <t>FORT MARTIN 2</t>
  </si>
  <si>
    <t>FORT POWHATAN SOLAR</t>
  </si>
  <si>
    <t>FORWARD WF</t>
  </si>
  <si>
    <t>FOSTER WHEELER NUG</t>
  </si>
  <si>
    <t>Potential EIA plant 10343 Foster Wheeler Mt Carmel Cogen but no compatible valid reported 2025 heat rate. 2025 status and technology need review.</t>
  </si>
  <si>
    <t>TG1</t>
  </si>
  <si>
    <t>FOUL RIFT SOLAR</t>
  </si>
  <si>
    <t>FOUR MILE RIDGE WF</t>
  </si>
  <si>
    <t>FOUR RIVERS 1</t>
  </si>
  <si>
    <t>Potential EIA plant 1840 Plant Four but no compatible valid reported 2025 heat rate. 2025 status and technology need review.</t>
  </si>
  <si>
    <t>CT1</t>
  </si>
  <si>
    <t>FOUR RIVERS 5</t>
  </si>
  <si>
    <t>Candidate EIA plant 63931: CPV Three Rivers Energy Center; name fit 0.442; insufficient name or inventory agreement. Do NOT treat as resource-specific data.</t>
  </si>
  <si>
    <t>FOWLER RIDGE 2 WF</t>
  </si>
  <si>
    <t>FOWLER RIDGE 3 WF</t>
  </si>
  <si>
    <t>FOWLER RIDGE 4 WF</t>
  </si>
  <si>
    <t>FOWLER RIDGE WF</t>
  </si>
  <si>
    <t>FOX SQUIRREL SOLAR</t>
  </si>
  <si>
    <t>FOXGLOVE SOLAR</t>
  </si>
  <si>
    <t>FOXHOUND SOLAR</t>
  </si>
  <si>
    <t>FRANKLIN CC</t>
  </si>
  <si>
    <t>Candidate EIA plant 7710: H Allen Franklin Combined Cycle; name fit 0.846; insufficient name or inventory agreement. Do NOT treat as resource-specific data.</t>
  </si>
  <si>
    <t>CT1A, CT1B, CT2A, CT2B, CT3A, CT3B, ST1, ST2, ST3</t>
  </si>
  <si>
    <t>FRANKLIN TWP SOLAR</t>
  </si>
  <si>
    <t>FREMONT CT1</t>
  </si>
  <si>
    <t>Candidate EIA plant 55701: Fremont Energy Center; name fit 0.554; insufficient name or inventory agreement. Do NOT treat as resource-specific data.</t>
  </si>
  <si>
    <t>CA01, CT01, CT02</t>
  </si>
  <si>
    <t>FREMONT CT2</t>
  </si>
  <si>
    <t>FREMONT ST1</t>
  </si>
  <si>
    <t>Candidate EIA plant 55701: Fremont Energy Center; name fit 0.511; insufficient name or inventory agreement. Do NOT treat as resource-specific data.</t>
  </si>
  <si>
    <t>FRENCHTOWN I SOLAR</t>
  </si>
  <si>
    <t>FRENCHTOWN II SOLAR</t>
  </si>
  <si>
    <t>FRENCHTOWN III SOLAR</t>
  </si>
  <si>
    <t>GANS 8</t>
  </si>
  <si>
    <t>Gans</t>
  </si>
  <si>
    <t>UNT8, UNT9</t>
  </si>
  <si>
    <t>GANS 9</t>
  </si>
  <si>
    <t>GANS SOLAR</t>
  </si>
  <si>
    <t>GARDYS MILL ROAD SOLAR</t>
  </si>
  <si>
    <t>GARRISON CC</t>
  </si>
  <si>
    <t>Garrison Energy Center LLC</t>
  </si>
  <si>
    <t>CTG1, STG2</t>
  </si>
  <si>
    <t>GARYSBURG SOLAR</t>
  </si>
  <si>
    <t>GASTON 1-4</t>
  </si>
  <si>
    <t>GASTON GREEN ACRES SOLAR</t>
  </si>
  <si>
    <t>GAUCHO SOLAR</t>
  </si>
  <si>
    <t>GAVIN 1</t>
  </si>
  <si>
    <t>Gavin Power, LLC</t>
  </si>
  <si>
    <t>GAVIN 2</t>
  </si>
  <si>
    <t>GEMS LANDFILL SOLAR</t>
  </si>
  <si>
    <t>GENEVA 1-5 LF</t>
  </si>
  <si>
    <t>ATSI-CLEVELAND</t>
  </si>
  <si>
    <t>Geneva</t>
  </si>
  <si>
    <t>GEN1, GEN2, GEN3, GEN4, GEN5</t>
  </si>
  <si>
    <t>GF NORTHST IPP</t>
  </si>
  <si>
    <t>GILBERT 4</t>
  </si>
  <si>
    <t>Gilbert</t>
  </si>
  <si>
    <t>Matched to EIA-860 technology and name. EIA-923 heat rate is aggregated across reported plant/prime mover/fuel groups, not a single generating unit. Automatic high-confidence proposed mapping; confirm unit identifiers. IMPORTANT: same EIA group total is repeated for 5 PJM entries; it is NOT an independent heat-rate observation for each unit.</t>
  </si>
  <si>
    <t>4, 5, 6, 7, 8</t>
  </si>
  <si>
    <t>GILBERT 5</t>
  </si>
  <si>
    <t>GILBERT 6</t>
  </si>
  <si>
    <t>GILBERT 7</t>
  </si>
  <si>
    <t>GILBERT 8</t>
  </si>
  <si>
    <t>GILBERT 9</t>
  </si>
  <si>
    <t>9</t>
  </si>
  <si>
    <t>GILBERTON POWER CORP NUG</t>
  </si>
  <si>
    <t>GLEN FERRIS</t>
  </si>
  <si>
    <t>GLEN GARDNER SOLAR</t>
  </si>
  <si>
    <t>GLOUCESTER COUNTY NUG</t>
  </si>
  <si>
    <t>Candidate EIA plant 6071: Trimble County; name fit 0.401; insufficient name or inventory agreement. Do NOT treat as resource-specific data.</t>
  </si>
  <si>
    <t>GLOUCESTER SOLAR</t>
  </si>
  <si>
    <t>GLOVER CREEK SOLAR</t>
  </si>
  <si>
    <t>GRAND CENTRAL LF</t>
  </si>
  <si>
    <t>Candidate EIA plant 63977: Central Generating; name fit 0.523; insufficient name or inventory agreement. Do NOT treat as resource-specific data.</t>
  </si>
  <si>
    <t>GRAND RIDGE 2 WF</t>
  </si>
  <si>
    <t>GRAND RIDGE 3 WF</t>
  </si>
  <si>
    <t>GRAND RIDGE 4 WF</t>
  </si>
  <si>
    <t>GRAND RIDGE WF</t>
  </si>
  <si>
    <t>GRANT TOWN 1</t>
  </si>
  <si>
    <t>Grant Town Power Plant</t>
  </si>
  <si>
    <t>GRASSFIELD SOLAR</t>
  </si>
  <si>
    <t>GRASSHOPPER SOLAR</t>
  </si>
  <si>
    <t>GRAVEL NECK GT3</t>
  </si>
  <si>
    <t>Gravel Neck</t>
  </si>
  <si>
    <t>GRAVEL NECK GT4</t>
  </si>
  <si>
    <t>GRAVEL NECK GT5</t>
  </si>
  <si>
    <t>GRAVEL NECK GT6</t>
  </si>
  <si>
    <t>GRAVEL NECK GTS</t>
  </si>
  <si>
    <t>GRAYS FERRY 1 CT</t>
  </si>
  <si>
    <t>Candidate EIA plant 7999: Grays Harbor Energy Facility; name fit 0.488; insufficient name or inventory agreement. Do NOT treat as resource-specific data.</t>
  </si>
  <si>
    <t>WA</t>
  </si>
  <si>
    <t>CT1, CT2, ST1</t>
  </si>
  <si>
    <t>GRAYS FERRY 1 GEN</t>
  </si>
  <si>
    <t>GREAT COVE I SOLAR</t>
  </si>
  <si>
    <t>GREAT COVE II SOLAR</t>
  </si>
  <si>
    <t>GREAT FALLS HYDRO</t>
  </si>
  <si>
    <t>GREATER LEBANON LF</t>
  </si>
  <si>
    <t>GREEN RIVER WF</t>
  </si>
  <si>
    <t>GREENE COUNTY CC</t>
  </si>
  <si>
    <t>Candidate EIA plant 59913: Greensville County Power Station; name fit 0.561; unresolved alternatives. Do NOT treat as resource-specific data.</t>
  </si>
  <si>
    <t>GREENLAND GAP WF</t>
  </si>
  <si>
    <t>GREENSVILLE COUNTY CC</t>
  </si>
  <si>
    <t>Greensville County Power Station</t>
  </si>
  <si>
    <t>GREENUP</t>
  </si>
  <si>
    <t>GREENVILLE 1</t>
  </si>
  <si>
    <t>Greenville Electric Generating Station</t>
  </si>
  <si>
    <t>GREENVILLE 2</t>
  </si>
  <si>
    <t>GREENVILLE 3</t>
  </si>
  <si>
    <t>GREENVILLE 4</t>
  </si>
  <si>
    <t>GROVER DIESEL</t>
  </si>
  <si>
    <t>Candidate EIA plant 56181: Genoa Diesel Generating Station; name fit 0.540; unresolved alternatives. Do NOT treat as resource-specific data.</t>
  </si>
  <si>
    <t>GUERNSEY COUNTY CC 1</t>
  </si>
  <si>
    <t>Guernsey Power Station</t>
  </si>
  <si>
    <t>Matched to EIA-860 technology and name. EIA-923 heat rate is aggregated across reported plant/prime mover/fuel groups, not a single generating unit. Moderate-confidence suggested mapping; manual review needed. IMPORTANT: same EIA group total is repeated for 3 PJM entries; it is NOT an independent heat-rate observation for each unit.</t>
  </si>
  <si>
    <t>GPS1, GPS2, GPS3</t>
  </si>
  <si>
    <t>GUERNSEY COUNTY CC 2</t>
  </si>
  <si>
    <t>GUERNSEY COUNTY CC 3</t>
  </si>
  <si>
    <t>HALL BRANCH</t>
  </si>
  <si>
    <t>HAMILTON 1</t>
  </si>
  <si>
    <t>HAMILTON ROAD SOLAR</t>
  </si>
  <si>
    <t>HAMILTON TOWNSHIP SOLAR</t>
  </si>
  <si>
    <t>HANDSOME LAKE 1</t>
  </si>
  <si>
    <t>Handsome Lake Energy LLC</t>
  </si>
  <si>
    <t>GT01, GT02, GT03, GT04, GT05</t>
  </si>
  <si>
    <t>HANDSOME LAKE 2</t>
  </si>
  <si>
    <t>HANDSOME LAKE 3</t>
  </si>
  <si>
    <t>HANDSOME LAKE 4</t>
  </si>
  <si>
    <t>HANDSOME LAKE 5</t>
  </si>
  <si>
    <t>HANGING ROCK 1GT1</t>
  </si>
  <si>
    <t>Hanging Rock Energy Facility</t>
  </si>
  <si>
    <t>1GT1, 1GT2, 1ST, 2GT1, 2GT2, 2ST</t>
  </si>
  <si>
    <t>HANGING ROCK 1GT2</t>
  </si>
  <si>
    <t>HANGING ROCK 2GT1</t>
  </si>
  <si>
    <t>HANGING ROCK 2GT2</t>
  </si>
  <si>
    <t>HANGING ROCK CC1</t>
  </si>
  <si>
    <t>HANGING ROCK CC2</t>
  </si>
  <si>
    <t>HANNIBAL</t>
  </si>
  <si>
    <t>HANOVER COUNTY CT</t>
  </si>
  <si>
    <t>Candidate EIA plant 7763: Henry County; name fit 0.548; unresolved alternatives. Do NOT treat as resource-specific data.</t>
  </si>
  <si>
    <t>HANOVER SOLAR</t>
  </si>
  <si>
    <t>HARDIN SOLAR</t>
  </si>
  <si>
    <t>HARDIN SOLAR 2</t>
  </si>
  <si>
    <t>HARDIN SOLAR 3</t>
  </si>
  <si>
    <t>HARMONY SOLAR</t>
  </si>
  <si>
    <t>HARRISBURG STEAM NUG</t>
  </si>
  <si>
    <t>Candidate EIA plant 10118: Harrisburg Facility; name fit 0.665; insufficient name or inventory agreement. Do NOT treat as resource-specific data.</t>
  </si>
  <si>
    <t>HARRISON 1-3</t>
  </si>
  <si>
    <t>FirstEnergy Harrison Power Station</t>
  </si>
  <si>
    <t>HARTS MILL SOLAR</t>
  </si>
  <si>
    <t>HAVILAND SOLAR</t>
  </si>
  <si>
    <t>HAVILAND WF</t>
  </si>
  <si>
    <t>HAY ROAD 1</t>
  </si>
  <si>
    <t>Hay Road</t>
  </si>
  <si>
    <t>Matched to EIA-860 technology and name. EIA-923 heat rate is aggregated across reported plant/prime mover/fuel groups, not a single generating unit. Automatic high-confidence proposed mapping; confirm unit identifiers. IMPORTANT: same EIA group total is repeated for 8 PJM entries; it is NOT an independent heat-rate observation for each unit.</t>
  </si>
  <si>
    <t>HR1, HR2, HR3, HR4, HR5, HR6, HR7, HR8</t>
  </si>
  <si>
    <t>HAY ROAD 2</t>
  </si>
  <si>
    <t>HAY ROAD 3</t>
  </si>
  <si>
    <t>HAY ROAD 4</t>
  </si>
  <si>
    <t>HAY ROAD 5</t>
  </si>
  <si>
    <t>HAY ROAD 6</t>
  </si>
  <si>
    <t>HAY ROAD 7</t>
  </si>
  <si>
    <t>HAY ROAD 8</t>
  </si>
  <si>
    <t>HAZELTON CT 2</t>
  </si>
  <si>
    <t>Hazelton</t>
  </si>
  <si>
    <t>GEN1, GEN2, GEN3, GEN4</t>
  </si>
  <si>
    <t>HAZELTON CT 3</t>
  </si>
  <si>
    <t>HAZELTON CT 4</t>
  </si>
  <si>
    <t>HAZELTON NUG</t>
  </si>
  <si>
    <t>HEADWATER II WF</t>
  </si>
  <si>
    <t>HENRICO COUNTY LF</t>
  </si>
  <si>
    <t>HICKORY RUN</t>
  </si>
  <si>
    <t>Hickory Run Energy Station</t>
  </si>
  <si>
    <t>CTG1, CTG2, STG1</t>
  </si>
  <si>
    <t>HIGH POINT SOLAR</t>
  </si>
  <si>
    <t>HIGH STREET SOLAR</t>
  </si>
  <si>
    <t>HIGH TRAIL WF</t>
  </si>
  <si>
    <t>HIGHLAND COUNTY 1 SOLAR</t>
  </si>
  <si>
    <t>HIGHLAND COUNTY 2 SOLAR</t>
  </si>
  <si>
    <t>HIGHLAND COUNTY SOLAR</t>
  </si>
  <si>
    <t>HIGHLAND PARK HYBRID SOLAR</t>
  </si>
  <si>
    <t>HIGHLAND WF</t>
  </si>
  <si>
    <t>HILLCREST SOLAR</t>
  </si>
  <si>
    <t>HOGS CREEK WF</t>
  </si>
  <si>
    <t>HOLLAND SOLAR</t>
  </si>
  <si>
    <t>HOLLAND TWP SOLAR</t>
  </si>
  <si>
    <t>HOLLYFIELD SOLAR</t>
  </si>
  <si>
    <t>HOLMDEL SOLAR</t>
  </si>
  <si>
    <t>HOLTWOOD 1-19</t>
  </si>
  <si>
    <t>HONEYSUCKLE SOLAR</t>
  </si>
  <si>
    <t>HOPE CREEK 1</t>
  </si>
  <si>
    <t>HOPEWELL HCF</t>
  </si>
  <si>
    <t>Candidate EIA plant 10633: Hopewell Cogeneration; name fit 0.519; insufficient name or inventory agreement. Do NOT treat as resource-specific data.</t>
  </si>
  <si>
    <t>GT1, GT2, GT3, ST1</t>
  </si>
  <si>
    <t>HORNERSTOWN SOLAR</t>
  </si>
  <si>
    <t>HOWELL SOLAR</t>
  </si>
  <si>
    <t>HUNLOCK 3</t>
  </si>
  <si>
    <t>Hunlock Power Station</t>
  </si>
  <si>
    <t>3, 5, 6</t>
  </si>
  <si>
    <t>HUNLOCK 4</t>
  </si>
  <si>
    <t>Hunlock Unit 4</t>
  </si>
  <si>
    <t>4</t>
  </si>
  <si>
    <t>HUNLOCK 5</t>
  </si>
  <si>
    <t>HUNLOCK 6</t>
  </si>
  <si>
    <t>HUNTERDON COUNTY SOLAR</t>
  </si>
  <si>
    <t>HUNTERSTOWN 1</t>
  </si>
  <si>
    <t>Hunterstown</t>
  </si>
  <si>
    <t>HUNTERSTOWN 101</t>
  </si>
  <si>
    <t>Hunterstown Power Plant</t>
  </si>
  <si>
    <t>101, 201, 301, 401</t>
  </si>
  <si>
    <t>HUNTERSTOWN 2</t>
  </si>
  <si>
    <t>HUNTERSTOWN 201</t>
  </si>
  <si>
    <t>HUNTERSTOWN 3</t>
  </si>
  <si>
    <t>HUNTERSTOWN 301</t>
  </si>
  <si>
    <t>HUNTERSTOWN 401</t>
  </si>
  <si>
    <t>HUTCHINGS 7</t>
  </si>
  <si>
    <t>O H Hutchings</t>
  </si>
  <si>
    <t>7</t>
  </si>
  <si>
    <t>INDIAN RIVER 10</t>
  </si>
  <si>
    <t>IRONWOOD 3</t>
  </si>
  <si>
    <t>Ironwood LLC</t>
  </si>
  <si>
    <t>CT1, CT2, ST4</t>
  </si>
  <si>
    <t>IRONWOOD CT-1</t>
  </si>
  <si>
    <t>IRONWOOD CT-2</t>
  </si>
  <si>
    <t>IUP NUG</t>
  </si>
  <si>
    <t>JACKSON CC 1</t>
  </si>
  <si>
    <t>Candidate EIA plant 62926: Jackson Generation, LLC; name fit 1.000; unresolved alternatives. Do NOT treat as resource-specific data.</t>
  </si>
  <si>
    <t>01, 02</t>
  </si>
  <si>
    <t>JACKSON CC 2</t>
  </si>
  <si>
    <t>JACOBSTOWN SOLAR</t>
  </si>
  <si>
    <t>JADE MEADOW SOLAR</t>
  </si>
  <si>
    <t>JAY COUNTY LF</t>
  </si>
  <si>
    <t>Jay County LFGTE</t>
  </si>
  <si>
    <t>JERICHO CT</t>
  </si>
  <si>
    <t>JONES FARM LANE SOLAR</t>
  </si>
  <si>
    <t>KANKAKEE WF</t>
  </si>
  <si>
    <t>KEARNY 121</t>
  </si>
  <si>
    <t>Kearny Generating Station</t>
  </si>
  <si>
    <t>131, 132, 133, 134, 141, 142, N121, N122, N123, N124</t>
  </si>
  <si>
    <t>KEARNY 122</t>
  </si>
  <si>
    <t>KEARNY 123</t>
  </si>
  <si>
    <t>KEARNY 124</t>
  </si>
  <si>
    <t>KEARNY 1301</t>
  </si>
  <si>
    <t>KEARNY 14</t>
  </si>
  <si>
    <t>KELFORD SOLAR</t>
  </si>
  <si>
    <t>KELSO GAP WF</t>
  </si>
  <si>
    <t>KENDALL CC 1</t>
  </si>
  <si>
    <t>Kendall County Generation Facility</t>
  </si>
  <si>
    <t>CTG1, CTG2, CTG3, CTG4, STG1, STG2, STG3, STG4</t>
  </si>
  <si>
    <t>KENDALL CC 2</t>
  </si>
  <si>
    <t>KENDALL CC 3</t>
  </si>
  <si>
    <t>KENDALL CC 4</t>
  </si>
  <si>
    <t>KENILWORTH NUG</t>
  </si>
  <si>
    <t>Kenilworth Energy Facility</t>
  </si>
  <si>
    <t>KENT CT 1</t>
  </si>
  <si>
    <t>KENT CT 2</t>
  </si>
  <si>
    <t>KERR DAM 1-7</t>
  </si>
  <si>
    <t>KETTLE RUN SOLAR</t>
  </si>
  <si>
    <t>KEYS CC</t>
  </si>
  <si>
    <t>KEYSTONE 1</t>
  </si>
  <si>
    <t>Keystone</t>
  </si>
  <si>
    <t>KEYSTONE 2</t>
  </si>
  <si>
    <t>KEYSTONE DIESEL</t>
  </si>
  <si>
    <t>3, 4, 5, 6</t>
  </si>
  <si>
    <t>KEYSTONE SOLAR</t>
  </si>
  <si>
    <t>KINCAID COAL 1</t>
  </si>
  <si>
    <t>Kincaid Generation LLC</t>
  </si>
  <si>
    <t>ST/SUB</t>
  </si>
  <si>
    <t>KINCAID COAL 2</t>
  </si>
  <si>
    <t>KING GEORGE LF</t>
  </si>
  <si>
    <t>Candidate EIA plant 57022: Waste Management King George LFGTE; name fit 0.596; insufficient name or inventory agreement. Do NOT treat as resource-specific data.</t>
  </si>
  <si>
    <t>KING-QUEEN LF</t>
  </si>
  <si>
    <t>KINGS FORK SOLAR</t>
  </si>
  <si>
    <t>KUMQUAT SOLAR</t>
  </si>
  <si>
    <t>KYGER CREEK 1 OVEC INT</t>
  </si>
  <si>
    <t>Kyger Creek</t>
  </si>
  <si>
    <t>Matched to EIA-860 technology and name. EIA-923 heat rate is aggregated across reported plant/prime mover/fuel groups, not a single generating unit. Moderate-confidence suggested mapping; manual review needed. IMPORTANT: same EIA group total is repeated for 5 PJM entries; it is NOT an independent heat-rate observation for each unit.</t>
  </si>
  <si>
    <t>1, 2, 3, 4, 5</t>
  </si>
  <si>
    <t>KYGER CREEK 2 OVEC INT</t>
  </si>
  <si>
    <t>KYGER CREEK 3 OVEC INT</t>
  </si>
  <si>
    <t>KYGER CREEK 4 OVEC INT</t>
  </si>
  <si>
    <t>KYGER CREEK 5 OVEC INT</t>
  </si>
  <si>
    <t>LACKAWANNA COUNTY CC 1</t>
  </si>
  <si>
    <t>Candidate EIA plant 60357: Lackawanna Energy Center; name fit 0.558; unresolved alternatives. Do NOT treat as resource-specific data.</t>
  </si>
  <si>
    <t>LACKAWANNA COUNTY CC 2</t>
  </si>
  <si>
    <t>LACKAWANNA COUNTY CC 3</t>
  </si>
  <si>
    <t>LADYSMITH GT1</t>
  </si>
  <si>
    <t>Ladysmith</t>
  </si>
  <si>
    <t>LADYSMITH GT2</t>
  </si>
  <si>
    <t>LADYSMITH GT3</t>
  </si>
  <si>
    <t>LADYSMITH GT4</t>
  </si>
  <si>
    <t>LADYSMITH GT5</t>
  </si>
  <si>
    <t>LAKE LYNN 1-4</t>
  </si>
  <si>
    <t>LAKEHURST SOLAR</t>
  </si>
  <si>
    <t>LAKEVIEW LANDFILL NUG</t>
  </si>
  <si>
    <t>Candidate EIA plant 56512: GLRA Landfill; name fit 0.425; unresolved alternatives. Do NOT treat as resource-specific data.</t>
  </si>
  <si>
    <t>LAKEWOOD CT1</t>
  </si>
  <si>
    <t>LAKEWOOD CT2</t>
  </si>
  <si>
    <t>LAKEWOOD NUG</t>
  </si>
  <si>
    <t>Candidate EIA plant 54640: NAEA Lakewood LLC; name fit 0.554; insufficient name or inventory agreement. Do NOT treat as resource-specific data.</t>
  </si>
  <si>
    <t>LANCASTER COUNTY NUG</t>
  </si>
  <si>
    <t>Candidate EIA plant 6071: Trimble County; name fit 0.404; insufficient name or inventory agreement. Do NOT treat as resource-specific data.</t>
  </si>
  <si>
    <t>LASALLE NUCLEAR 1</t>
  </si>
  <si>
    <t>LASALLE NUCLEAR 2</t>
  </si>
  <si>
    <t>LAUREL HYDRO</t>
  </si>
  <si>
    <t>LAUREL MOUNTAIN WF</t>
  </si>
  <si>
    <t>LAWRENCEBURG 1</t>
  </si>
  <si>
    <t>Lawrenceburg Power, LLC</t>
  </si>
  <si>
    <t>0100, 0200, 1100, 1200, 2100, 2200</t>
  </si>
  <si>
    <t>LAWRENCEBURG 2</t>
  </si>
  <si>
    <t>LAWRENCEBURG 3</t>
  </si>
  <si>
    <t>LAWRENCEBURG 4</t>
  </si>
  <si>
    <t>LAWRENCEBURG 5</t>
  </si>
  <si>
    <t>LAWRENCEBURG 6</t>
  </si>
  <si>
    <t>LEE COUNTY CT 1</t>
  </si>
  <si>
    <t>Candidate EIA plant 55236: Lee Energy Facility; name fit 0.598; unresolved alternatives. Do NOT treat as resource-specific data.</t>
  </si>
  <si>
    <t>CT1, CT2, CT3, CT4, CT5, CT6, CT7, CT8</t>
  </si>
  <si>
    <t>LEE COUNTY CT 2</t>
  </si>
  <si>
    <t>LEE COUNTY CT 3</t>
  </si>
  <si>
    <t>LEE COUNTY CT 4</t>
  </si>
  <si>
    <t>LEE COUNTY CT 5</t>
  </si>
  <si>
    <t>LEE COUNTY CT 6</t>
  </si>
  <si>
    <t>LEE COUNTY CT 7</t>
  </si>
  <si>
    <t>LEE COUNTY CT 8</t>
  </si>
  <si>
    <t>LEE DEKALB WF</t>
  </si>
  <si>
    <t>LEESVILLE 1-2</t>
  </si>
  <si>
    <t>LETZBURG SOLAR</t>
  </si>
  <si>
    <t>LIBERTY EDDY CC 3</t>
  </si>
  <si>
    <t>Liberty Electric Power Plant</t>
  </si>
  <si>
    <t>GTG1, GTG2, STG</t>
  </si>
  <si>
    <t>LIBERTY EDDY CT 1</t>
  </si>
  <si>
    <t>LIBERTY EDDY CT 2</t>
  </si>
  <si>
    <t>LIGHTFOOT II SOLAR</t>
  </si>
  <si>
    <t>LIMERICK 1</t>
  </si>
  <si>
    <t>LIMERICK 2</t>
  </si>
  <si>
    <t>LINCOLN CT 1</t>
  </si>
  <si>
    <t>Lincoln Generating Facility</t>
  </si>
  <si>
    <t>CTG1, CTG2, CTG3, CTG4, CTG5, CTG6, CTG7, CTG8</t>
  </si>
  <si>
    <t>LINCOLN CT 2</t>
  </si>
  <si>
    <t>LINCOLN CT 3</t>
  </si>
  <si>
    <t>LINCOLN CT 4</t>
  </si>
  <si>
    <t>LINCOLN CT 5</t>
  </si>
  <si>
    <t>LINCOLN CT 6</t>
  </si>
  <si>
    <t>LINCOLN CT 7</t>
  </si>
  <si>
    <t>LINCOLN CT 8</t>
  </si>
  <si>
    <t>LINDEN 1 CC (A)</t>
  </si>
  <si>
    <t>Linden Generating Station</t>
  </si>
  <si>
    <t>1001, 1101, 1201, 2001, 2101, 2201</t>
  </si>
  <si>
    <t>LINDEN 1 CC (B)</t>
  </si>
  <si>
    <t>LINDEN 2 CC</t>
  </si>
  <si>
    <t>LINDEN 5</t>
  </si>
  <si>
    <t>5, 6, 7, 8</t>
  </si>
  <si>
    <t>LINDEN 6</t>
  </si>
  <si>
    <t>LINDEN 7</t>
  </si>
  <si>
    <t>LINDEN 8</t>
  </si>
  <si>
    <t>LISTONBURG SOLAR</t>
  </si>
  <si>
    <t>LOCUST RIDGE 2 WF</t>
  </si>
  <si>
    <t>LOCUST RIDGE WF</t>
  </si>
  <si>
    <t>LOGAN COUNTY WF</t>
  </si>
  <si>
    <t>LONDON 1-3</t>
  </si>
  <si>
    <t>LONE TREE WF</t>
  </si>
  <si>
    <t>LOOKOUT WF</t>
  </si>
  <si>
    <t>LORDSTOWN CC</t>
  </si>
  <si>
    <t>LOUISA G1</t>
  </si>
  <si>
    <t>Louisa Generation Facility</t>
  </si>
  <si>
    <t>LOUISA G2</t>
  </si>
  <si>
    <t>LOUISA G3</t>
  </si>
  <si>
    <t>LOUISA G4</t>
  </si>
  <si>
    <t>LOUISA G5</t>
  </si>
  <si>
    <t>LOWER MT BETHEL CT1</t>
  </si>
  <si>
    <t>Candidate EIA plant 55667: Lower Mount Bethel Energy; name fit 0.591; insufficient name or inventory agreement. Do NOT treat as resource-specific data.</t>
  </si>
  <si>
    <t>G1, G2, G3</t>
  </si>
  <si>
    <t>LOWER MT BETHEL CT2</t>
  </si>
  <si>
    <t>LOWER MT BETHEL ST1</t>
  </si>
  <si>
    <t>LOWMOOR GT1</t>
  </si>
  <si>
    <t>LOWMOOR GT2</t>
  </si>
  <si>
    <t>LOWMOOR GT3</t>
  </si>
  <si>
    <t>LOWMOOR GT4</t>
  </si>
  <si>
    <t>LUMBERTON SOLAR</t>
  </si>
  <si>
    <t>LYONS SOLAR</t>
  </si>
  <si>
    <t>MADISON FIELDS SOLAR</t>
  </si>
  <si>
    <t>MAHONING CREEK HYDRO</t>
  </si>
  <si>
    <t>MAHONING LF</t>
  </si>
  <si>
    <t>Mahoning</t>
  </si>
  <si>
    <t>MANALAPAN SOLAR</t>
  </si>
  <si>
    <t>MAPLEWOOD SOLAR</t>
  </si>
  <si>
    <t>MARLOWE SOLAR</t>
  </si>
  <si>
    <t>MARMET 1-3</t>
  </si>
  <si>
    <t>MARSH RUN CT1</t>
  </si>
  <si>
    <t>Marsh Run Generation Facility</t>
  </si>
  <si>
    <t>MARSH RUN CT2</t>
  </si>
  <si>
    <t>MARSH RUN CT3</t>
  </si>
  <si>
    <t>MARTIN COUNTY SOLAR</t>
  </si>
  <si>
    <t>MARTINS CREEK 3</t>
  </si>
  <si>
    <t>TalenEnergy Martins Creek</t>
  </si>
  <si>
    <t>MARTINS CREEK 4</t>
  </si>
  <si>
    <t>MCRRF</t>
  </si>
  <si>
    <t>MEADOW LAKE 2 WF</t>
  </si>
  <si>
    <t>MEADOW LAKE 3 WF</t>
  </si>
  <si>
    <t>MEADOW LAKE 4 WF</t>
  </si>
  <si>
    <t>MEADOW LAKE 5 WF</t>
  </si>
  <si>
    <t>MEADOW LAKE 6 WF</t>
  </si>
  <si>
    <t>MEADOW LAKE WF</t>
  </si>
  <si>
    <t>MEADOW ROAD SOLAR</t>
  </si>
  <si>
    <t>MECHANICSVILLE TURNPIKE SOLAR</t>
  </si>
  <si>
    <t>MEDFORD SOLAR</t>
  </si>
  <si>
    <t>MEHERRIN SOLAR</t>
  </si>
  <si>
    <t>MEHOOPANY WF</t>
  </si>
  <si>
    <t>MELDAHL 1</t>
  </si>
  <si>
    <t>MELDAHL 2</t>
  </si>
  <si>
    <t>MELDAHL 3</t>
  </si>
  <si>
    <t>MENDOTA HILLS WF</t>
  </si>
  <si>
    <t>MERCER COUNTY SOLAR</t>
  </si>
  <si>
    <t>MEYERDALE WF</t>
  </si>
  <si>
    <t>MIAMI FORT 7</t>
  </si>
  <si>
    <t>Miami Fort</t>
  </si>
  <si>
    <t>7, 8</t>
  </si>
  <si>
    <t>MIAMI FORT 8</t>
  </si>
  <si>
    <t>MIAMI FORT GT3</t>
  </si>
  <si>
    <t>MIAMI FORT GT4</t>
  </si>
  <si>
    <t>MIAMI FORT GT5</t>
  </si>
  <si>
    <t>MIAMI FORT GT6</t>
  </si>
  <si>
    <t>MIDDLE PENINSULA LF</t>
  </si>
  <si>
    <t>Candidate EIA plant 57018: Waste Management Middle Peninsula LFGTE; name fit 0.609; insufficient name or inventory agreement. Do NOT treat as resource-specific data.</t>
  </si>
  <si>
    <t>GEN1, GEN2, GEN3, GEN4, GEN5, GEN6, GEN7, GEN8</t>
  </si>
  <si>
    <t>MIDDLESEX SOLAR</t>
  </si>
  <si>
    <t>MIDDLETOWN CC</t>
  </si>
  <si>
    <t>Candidate EIA plant 60376: Middletown- Ohio; name fit 0.859; unresolved alternatives. Do NOT treat as resource-specific data.</t>
  </si>
  <si>
    <t>MIDDLETOWN COKE</t>
  </si>
  <si>
    <t>MIDLAND WF</t>
  </si>
  <si>
    <t>MILAN DIESEL</t>
  </si>
  <si>
    <t>Candidate EIA plant 60236: Onancock Diesel Generation Facility; name fit 0.530; unresolved alternatives. Do NOT treat as resource-specific data.</t>
  </si>
  <si>
    <t>ODG7, ODG8</t>
  </si>
  <si>
    <t>MILFORD SOLAR</t>
  </si>
  <si>
    <t>MILHURST SOLAR</t>
  </si>
  <si>
    <t>MILL RUN WF</t>
  </si>
  <si>
    <t>MILLERSVILLE LF</t>
  </si>
  <si>
    <t>Candidate EIA plant 58246: Millersville LFG; name fit 0.584; insufficient name or inventory agreement. Do NOT treat as resource-specific data.</t>
  </si>
  <si>
    <t>CAT1, CAT2</t>
  </si>
  <si>
    <t>MILLSTONE 2 SOLAR</t>
  </si>
  <si>
    <t>MILLSTONE SOLAR</t>
  </si>
  <si>
    <t>MILLVILLE SOLAR</t>
  </si>
  <si>
    <t>MINERAL COUNTY WF</t>
  </si>
  <si>
    <t>MINONK WF</t>
  </si>
  <si>
    <t>MINOTOLA SOLAR</t>
  </si>
  <si>
    <t>MITCHELL 1 AEP</t>
  </si>
  <si>
    <t>Candidate EIA plant 3948: Mitchell (WV); name fit 0.535; insufficient name or inventory agreement. Do NOT treat as resource-specific data.</t>
  </si>
  <si>
    <t>MITCHELL 2 AEP</t>
  </si>
  <si>
    <t>MMLP</t>
  </si>
  <si>
    <t>MONROE SOLAR</t>
  </si>
  <si>
    <t>MONTOUR 1</t>
  </si>
  <si>
    <t>TalenEnergy Montour</t>
  </si>
  <si>
    <t>ST/DFO, ST/NG</t>
  </si>
  <si>
    <t>MONTOUR 2</t>
  </si>
  <si>
    <t>MONTPELIER 1</t>
  </si>
  <si>
    <t>Montpelier Electric Generating Station</t>
  </si>
  <si>
    <t>MONTPELIER 2</t>
  </si>
  <si>
    <t>MONTPELIER 3</t>
  </si>
  <si>
    <t>MONTPELIER 4</t>
  </si>
  <si>
    <t>MONTROSS SOLAR</t>
  </si>
  <si>
    <t>MONUMENT D 1-5</t>
  </si>
  <si>
    <t>Monument</t>
  </si>
  <si>
    <t>MORGANS CORNER SOLAR</t>
  </si>
  <si>
    <t>MORGANTOWN CT 3</t>
  </si>
  <si>
    <t>MORGANTOWN CT 4</t>
  </si>
  <si>
    <t>MORGANTOWN CT 5</t>
  </si>
  <si>
    <t>Other Unlimited Resource</t>
  </si>
  <si>
    <t>MORGANTOWN CT 6</t>
  </si>
  <si>
    <t>MOSER CT 1</t>
  </si>
  <si>
    <t>MOSER CT 2</t>
  </si>
  <si>
    <t>MOSER CT 3</t>
  </si>
  <si>
    <t>MOTTVILLE 1-4</t>
  </si>
  <si>
    <t>MOUNT HOLLY SOLAR</t>
  </si>
  <si>
    <t>MOUNT LAUREL SOLAR</t>
  </si>
  <si>
    <t>MOUNT OLIVE SOLAR</t>
  </si>
  <si>
    <t>MOUNT SAINT MARY SOLAR</t>
  </si>
  <si>
    <t>MOUNTAIN 1</t>
  </si>
  <si>
    <t>MOUNTAIN 2</t>
  </si>
  <si>
    <t>MOUNTAINEER 1</t>
  </si>
  <si>
    <t>Mountaineer</t>
  </si>
  <si>
    <t>MOXIE FREEDOM CC 1</t>
  </si>
  <si>
    <t>Moxie Freedom Generation Plant</t>
  </si>
  <si>
    <t>MOXIE FREEDOM CC 2</t>
  </si>
  <si>
    <t>MOXIE LIBERTY</t>
  </si>
  <si>
    <t>MOXIE PATRIOT</t>
  </si>
  <si>
    <t>Candidate EIA plant 58426: Hamilton Patriot Generation Plant; name fit 0.534; unresolved alternatives. Do NOT treat as resource-specific data.</t>
  </si>
  <si>
    <t>MT. STORM 1</t>
  </si>
  <si>
    <t>Mt Storm</t>
  </si>
  <si>
    <t>MT. STORM 2</t>
  </si>
  <si>
    <t>MT. STORM 3</t>
  </si>
  <si>
    <t>MT. STORM GT1</t>
  </si>
  <si>
    <t>MUDDY RUN 1</t>
  </si>
  <si>
    <t>MUDDY RUN 2</t>
  </si>
  <si>
    <t>MUDDY RUN 3</t>
  </si>
  <si>
    <t>MUDDY RUN 4</t>
  </si>
  <si>
    <t>MUDDY RUN 5</t>
  </si>
  <si>
    <t>MUDDY RUN 6</t>
  </si>
  <si>
    <t>MUDDY RUN 7</t>
  </si>
  <si>
    <t>MUDDY RUN 8</t>
  </si>
  <si>
    <t>MURPHY SOLAR</t>
  </si>
  <si>
    <t>N HAVERHILL</t>
  </si>
  <si>
    <t>NELSON CC 1</t>
  </si>
  <si>
    <t>Nelson Energy Center</t>
  </si>
  <si>
    <t>CT1, CT2, ST1, ST2</t>
  </si>
  <si>
    <t>NELSON CC 2</t>
  </si>
  <si>
    <t>NELSON CT 3</t>
  </si>
  <si>
    <t>Invenergy Nelson Expansion LLC</t>
  </si>
  <si>
    <t>NELSON CT 4</t>
  </si>
  <si>
    <t>NESQUEHONING SOLAR</t>
  </si>
  <si>
    <t>NESTLEWOOD SOLAR</t>
  </si>
  <si>
    <t>NEW CASTLE 3</t>
  </si>
  <si>
    <t>New Castle Plant</t>
  </si>
  <si>
    <t>NEW CASTLE 4</t>
  </si>
  <si>
    <t>NEW CASTLE 5</t>
  </si>
  <si>
    <t>NEW CASTLE DIESEL</t>
  </si>
  <si>
    <t>EMDA, EMDB</t>
  </si>
  <si>
    <t>NEW CASTLE SOLAR</t>
  </si>
  <si>
    <t>NEW KENT COUNTY SOLAR</t>
  </si>
  <si>
    <t>NEW LISBON 1 SOLAR</t>
  </si>
  <si>
    <t>NEW LISBON 2 SOLAR</t>
  </si>
  <si>
    <t>NEWARK CT 1</t>
  </si>
  <si>
    <t>NEWLAND PARK LF</t>
  </si>
  <si>
    <t>NEWSOMS SOLAR</t>
  </si>
  <si>
    <t>NEWTON SOLAR</t>
  </si>
  <si>
    <t>NIAGARA 1-2</t>
  </si>
  <si>
    <t>NICKEL SOLAR</t>
  </si>
  <si>
    <t>NILES A CT</t>
  </si>
  <si>
    <t>NIMO PENNTECH</t>
  </si>
  <si>
    <t>NORGE SOLAR</t>
  </si>
  <si>
    <t>NORTH ALLEGHENY WF</t>
  </si>
  <si>
    <t>NORTH ANNA 1</t>
  </si>
  <si>
    <t>NORTH ANNA 2</t>
  </si>
  <si>
    <t>NORTH HIGHLAND WF</t>
  </si>
  <si>
    <t>NORTH LONGVIEW</t>
  </si>
  <si>
    <t>Longview Power Plant</t>
  </si>
  <si>
    <t>MKA01</t>
  </si>
  <si>
    <t>NORTH MESHOPPEN DIESEL</t>
  </si>
  <si>
    <t>Candidate EIA plant 60236: Onancock Diesel Generation Facility; name fit 0.415; unresolved alternatives. Do NOT treat as resource-specific data.</t>
  </si>
  <si>
    <t>NORTH RUN SOLAR</t>
  </si>
  <si>
    <t>NORTHAMPTON COUNTY SOLAR</t>
  </si>
  <si>
    <t>NORTHAMPTON NUG</t>
  </si>
  <si>
    <t>Candidate EIA plant 50888: Northampton Generating Company LP; name fit 0.547; insufficient name or inventory agreement. Do NOT treat as resource-specific data.</t>
  </si>
  <si>
    <t>NORTHEAST LF</t>
  </si>
  <si>
    <t>Candidate EIA plant 58326: PWD Northeast WPCP Biogas Cogen Plant; name fit 0.431; insufficient name or inventory agreement. Do NOT treat as resource-specific data.</t>
  </si>
  <si>
    <t>NBG1, NBG2, NBG3, NBG4</t>
  </si>
  <si>
    <t>NORTHERN NECK GT1</t>
  </si>
  <si>
    <t>NORTHERN NECK GT2</t>
  </si>
  <si>
    <t>NORTHERN NECK GT3</t>
  </si>
  <si>
    <t>NORTHERN NECK GT4</t>
  </si>
  <si>
    <t>NORTHUMBERLAND SOLAR</t>
  </si>
  <si>
    <t>OAK GROVE CT1</t>
  </si>
  <si>
    <t>OAK GROVE CT2</t>
  </si>
  <si>
    <t>OAK TRAIL SOLAR</t>
  </si>
  <si>
    <t>OCEANA SOLAR</t>
  </si>
  <si>
    <t>OGDEN MARTIN</t>
  </si>
  <si>
    <t>Candidate EIA plant 3943: FirstEnergy Fort Martin Power Station; name fit 0.437; unresolved alternatives. Do NOT treat as resource-specific data.</t>
  </si>
  <si>
    <t>OLD BRIDGE SOLAR</t>
  </si>
  <si>
    <t>OLD TRAIL 2 WF</t>
  </si>
  <si>
    <t>OLIVE WEST SOLAR</t>
  </si>
  <si>
    <t>ONTELAUNEE CC 3</t>
  </si>
  <si>
    <t>Ontelaunee Energy Center</t>
  </si>
  <si>
    <t>CTG1, CTG2, STG</t>
  </si>
  <si>
    <t>ONTELAUNEE CT 1</t>
  </si>
  <si>
    <t>ONTELAUNEE CT 2</t>
  </si>
  <si>
    <t>ORCHARD HILLS LF</t>
  </si>
  <si>
    <t>OREGON CC</t>
  </si>
  <si>
    <t>Oregon Clean Energy Center</t>
  </si>
  <si>
    <t>CTG11, CTG12, STG10</t>
  </si>
  <si>
    <t>ORMET CC</t>
  </si>
  <si>
    <t>ORRTANNA</t>
  </si>
  <si>
    <t>OTTER CREEK WF</t>
  </si>
  <si>
    <t>OUTER BANKS DIESELS</t>
  </si>
  <si>
    <t>OWENS CORNING SOLAR</t>
  </si>
  <si>
    <t>OXBOW DIESEL</t>
  </si>
  <si>
    <t>Candidate EIA plant 7941: Nottoway Diesel Generating Facility; name fit 0.543; unresolved alternatives. Do NOT treat as resource-specific data.</t>
  </si>
  <si>
    <t>P.H. GLATFELTER NUG</t>
  </si>
  <si>
    <t>PANDA</t>
  </si>
  <si>
    <t>PANTHER CREEK NUG</t>
  </si>
  <si>
    <t>Panther Creek Energy Facility</t>
  </si>
  <si>
    <t>ST/BIT, ST/WC</t>
  </si>
  <si>
    <t>PARADISE SOLAR</t>
  </si>
  <si>
    <t>PARKLAND SOLAR</t>
  </si>
  <si>
    <t>PATTON WF</t>
  </si>
  <si>
    <t>PAULDING COUNTY WF</t>
  </si>
  <si>
    <t>PAXTON CREEK</t>
  </si>
  <si>
    <t>Candidate EIA plant 50373: Paxton Creek Cogeneration; name fit 0.867; insufficient name or inventory agreement. Do NOT treat as resource-specific data.</t>
  </si>
  <si>
    <t>PE HYDRO</t>
  </si>
  <si>
    <t>PEACH BOTTOM 2</t>
  </si>
  <si>
    <t>PEACH BOTTOM 3</t>
  </si>
  <si>
    <t>PEMBERTON TOWNSHIP SOLAR</t>
  </si>
  <si>
    <t>PENN MAR WF</t>
  </si>
  <si>
    <t>PENNINGTON SOLAR</t>
  </si>
  <si>
    <t>PENNSAUKEN SOLAR</t>
  </si>
  <si>
    <t>PENNSAUKEN SOLAR II</t>
  </si>
  <si>
    <t>PERRY 1</t>
  </si>
  <si>
    <t>PERRY ROAD SOLAR</t>
  </si>
  <si>
    <t>PERRYMAN 6</t>
  </si>
  <si>
    <t>Perryman</t>
  </si>
  <si>
    <t>GT1, GT3, GT4, GT5, GT6</t>
  </si>
  <si>
    <t>PERRYMAN CT 1</t>
  </si>
  <si>
    <t>PERRYMAN CT 3</t>
  </si>
  <si>
    <t>PERRYMAN CT 4</t>
  </si>
  <si>
    <t>PERRYMAN CT 51</t>
  </si>
  <si>
    <t>PHILADELPHIA ROAD CT 1</t>
  </si>
  <si>
    <t>PHILADELPHIA ROAD CT 2</t>
  </si>
  <si>
    <t>PHILADELPHIA ROAD CT 3</t>
  </si>
  <si>
    <t>PHILADELPHIA ROAD CT 4</t>
  </si>
  <si>
    <t>PHILLIPS ISLAND CT1</t>
  </si>
  <si>
    <t>Candidate EIA plant 3096: Brunot Island; name fit 0.398; insufficient name or inventory agreement. Do NOT treat as resource-specific data.</t>
  </si>
  <si>
    <t>PHILLIPS ISLAND CT2</t>
  </si>
  <si>
    <t>PHILLIPS ISLAND CT3</t>
  </si>
  <si>
    <t>PHILLIPS ISLAND ST4</t>
  </si>
  <si>
    <t>Candidate EIA plant 7238: Cane Island; name fit 0.380; insufficient name or inventory agreement. Do NOT treat as resource-specific data.</t>
  </si>
  <si>
    <t>FL</t>
  </si>
  <si>
    <t>2, 2A, 3, 3A, 4, 4A</t>
  </si>
  <si>
    <t>PICKAWAY COUNTY II SOLAR</t>
  </si>
  <si>
    <t>PICKAWAY COUNTY SOLAR</t>
  </si>
  <si>
    <t>PILESGROVE SOLAR</t>
  </si>
  <si>
    <t>PILOT HILL WF</t>
  </si>
  <si>
    <t>PINE GLADE SOLAR</t>
  </si>
  <si>
    <t>PINE GROVE LF</t>
  </si>
  <si>
    <t>PINESBURG SOLAR</t>
  </si>
  <si>
    <t>PINEY 1-3</t>
  </si>
  <si>
    <t>PINEY CREEK SOLAR</t>
  </si>
  <si>
    <t>PINNACLE WF</t>
  </si>
  <si>
    <t>PIONEER</t>
  </si>
  <si>
    <t>Pioneer Crossing Energy, LLC</t>
  </si>
  <si>
    <t>LFG1, LFG2, LFG3, LFG4, LFG5</t>
  </si>
  <si>
    <t>PITTSBURGH INTERNATIONAL AIRPORT CT</t>
  </si>
  <si>
    <t>Candidate EIA plant 56998: Pueblo Airport Generating Station; name fit 0.387; insufficient name or inventory agreement. Do NOT treat as resource-specific data.</t>
  </si>
  <si>
    <t>CO</t>
  </si>
  <si>
    <t>CT08, GT1, GT2</t>
  </si>
  <si>
    <t>PITTSGROVE SOLAR</t>
  </si>
  <si>
    <t>PITTSYLVANIA COUNTY SOLAR</t>
  </si>
  <si>
    <t>PLEASANT HILL SOLAR</t>
  </si>
  <si>
    <t>PLEASANTS 1-2</t>
  </si>
  <si>
    <t>Pleasants Power Station</t>
  </si>
  <si>
    <t>PLUMSTED BATTERY</t>
  </si>
  <si>
    <t>POHATCONG CREEK SOLAR</t>
  </si>
  <si>
    <t>POLYESTER 1</t>
  </si>
  <si>
    <t>PONDTOWN 1 SOLAR</t>
  </si>
  <si>
    <t>PONDTOWN 2 SOLAR</t>
  </si>
  <si>
    <t>PORTLAND 3</t>
  </si>
  <si>
    <t>Portland (PA)</t>
  </si>
  <si>
    <t>PORTLAND 4</t>
  </si>
  <si>
    <t>PORTLAND 5</t>
  </si>
  <si>
    <t>POSSUM POINT G6S</t>
  </si>
  <si>
    <t>Possum Point</t>
  </si>
  <si>
    <t>6A, 6B, 6ST</t>
  </si>
  <si>
    <t>POSSUM POINT GTS</t>
  </si>
  <si>
    <t>POTTER COUNTY WF</t>
  </si>
  <si>
    <t>POWELL CREEK SOLAR</t>
  </si>
  <si>
    <t>POWELLS CREEK SOLAR</t>
  </si>
  <si>
    <t>POWERTON COAL 5</t>
  </si>
  <si>
    <t>Powerton</t>
  </si>
  <si>
    <t>5, 6</t>
  </si>
  <si>
    <t>POWERTON COAL 6</t>
  </si>
  <si>
    <t>POWHATAN COUNTY SOLAR</t>
  </si>
  <si>
    <t>PRICE SOLAR</t>
  </si>
  <si>
    <t>PRINCE GEORGE COUNTY SOLAR</t>
  </si>
  <si>
    <t>PROVIDENCE HEIGHTS WF</t>
  </si>
  <si>
    <t>PS BLACKROCK MATRIX SOLAR</t>
  </si>
  <si>
    <t>PS CENTRAL HQ SOLAR</t>
  </si>
  <si>
    <t>PS EDISON TRAINING SOLAR</t>
  </si>
  <si>
    <t>PS JESSUP ROAD THOROFARE SOLAR</t>
  </si>
  <si>
    <t>PS MATRIX BLDG SOLAR</t>
  </si>
  <si>
    <t>PS MILL CREEK SOLAR</t>
  </si>
  <si>
    <t>PS POLE TOP SOLAR</t>
  </si>
  <si>
    <t>PS RARITAN CENTER SUMMIT SOLAR</t>
  </si>
  <si>
    <t>PS RIDER UNIV SOLAR</t>
  </si>
  <si>
    <t>PS SILVER LAKE SOLAR</t>
  </si>
  <si>
    <t>PS SOUTHERN HQ SOLAR</t>
  </si>
  <si>
    <t>PS STULTS ROAD MATRIX SOLAR</t>
  </si>
  <si>
    <t>PS TRENTON SOLAR</t>
  </si>
  <si>
    <t>PS YARDVILLE SOLAR</t>
  </si>
  <si>
    <t>PSEG PS-NORTH BARRINGER SOLAR</t>
  </si>
  <si>
    <t>PSEG PS-NORTH CAMDEN SOLAR</t>
  </si>
  <si>
    <t>PSEG PS-NORTH FOOD BANK SOLAR</t>
  </si>
  <si>
    <t>PSEG PS-NORTH HACKENSACK SOLAR</t>
  </si>
  <si>
    <t>PSEG PS-NORTH LINDEN SOLAR</t>
  </si>
  <si>
    <t>PSEG PS-NORTH METRO HQ SOLAR</t>
  </si>
  <si>
    <t>PSEG PS-NORTH NEW CENTRAL SOLAR</t>
  </si>
  <si>
    <t>PSEG PS-NORTH NJMC SOLAR</t>
  </si>
  <si>
    <t>PSEG PS-NORTH PARK SOLAR</t>
  </si>
  <si>
    <t>PSEG PS-NORTH POLE TOP SOLAR</t>
  </si>
  <si>
    <t>PSEG PS-NORTH WEA TEXAS BAYONNE SOLAR</t>
  </si>
  <si>
    <t>PULLER SOLAR</t>
  </si>
  <si>
    <t>QUAD CITIES 1</t>
  </si>
  <si>
    <t>QUAD CITIES 2</t>
  </si>
  <si>
    <t>QUAKERTOWN SOLAR</t>
  </si>
  <si>
    <t>QUILLWORT SOLAR</t>
  </si>
  <si>
    <t>R.P MONE 1</t>
  </si>
  <si>
    <t>Robert P Mone Plant</t>
  </si>
  <si>
    <t>R.P MONE 2</t>
  </si>
  <si>
    <t>R.P MONE 3</t>
  </si>
  <si>
    <t>RACINE 1-2</t>
  </si>
  <si>
    <t>RADFORD RUN WF</t>
  </si>
  <si>
    <t>RALEIGH COUNTY LF</t>
  </si>
  <si>
    <t>Candidate EIA plant 57582: Lycoming County; name fit 0.421; unresolved alternatives. Do NOT treat as resource-specific data.</t>
  </si>
  <si>
    <t>RANCHLAND SOLAR</t>
  </si>
  <si>
    <t>RANDOLPH COUNTY WF</t>
  </si>
  <si>
    <t>RARITAN RIVER</t>
  </si>
  <si>
    <t>Candidate EIA plant 2723: Dan River; name fit 0.541; insufficient name or inventory agreement. Do NOT treat as resource-specific data.</t>
  </si>
  <si>
    <t>CT8, CT9, ST7</t>
  </si>
  <si>
    <t>RAYSTOWN</t>
  </si>
  <si>
    <t>RED LION FUEL CELL</t>
  </si>
  <si>
    <t>RED OAK CC 1</t>
  </si>
  <si>
    <t>Red Oak Power LLC</t>
  </si>
  <si>
    <t>0001, 0002, 0003, 0004</t>
  </si>
  <si>
    <t>RED OAK CT 1</t>
  </si>
  <si>
    <t>RED OAK CT 2</t>
  </si>
  <si>
    <t>RED OAK CT 3</t>
  </si>
  <si>
    <t>REEDY CREEK</t>
  </si>
  <si>
    <t>Candidate EIA plant 2876: Kyger Creek; name fit 0.524; unresolved alternatives. Do NOT treat as resource-specific data.</t>
  </si>
  <si>
    <t>REEVES 2 SOLAR</t>
  </si>
  <si>
    <t>REEVES SOLAR</t>
  </si>
  <si>
    <t>REMINGTON GT1</t>
  </si>
  <si>
    <t>Remington</t>
  </si>
  <si>
    <t>REMINGTON GT2</t>
  </si>
  <si>
    <t>REMINGTON GT3</t>
  </si>
  <si>
    <t>REMINGTON GT4</t>
  </si>
  <si>
    <t>REMINGTON SOLAR</t>
  </si>
  <si>
    <t>REUSENS 1-5</t>
  </si>
  <si>
    <t>REYNOLDS OLIVE SOLAR</t>
  </si>
  <si>
    <t>REYNOLDS OLIVE SOLAR 2</t>
  </si>
  <si>
    <t>RICHLAND 1</t>
  </si>
  <si>
    <t>RICHLAND 2</t>
  </si>
  <si>
    <t>Richland (OH)</t>
  </si>
  <si>
    <t>RICHLAND 3</t>
  </si>
  <si>
    <t>RICHLAND 4</t>
  </si>
  <si>
    <t>RICHLAND 5</t>
  </si>
  <si>
    <t>RICHLAND 6</t>
  </si>
  <si>
    <t>RICHMOND 1</t>
  </si>
  <si>
    <t>Candidate EIA plant 3168: Richmond Generating Station; name fit 1.000; unresolved alternatives. Do NOT treat as resource-specific data.</t>
  </si>
  <si>
    <t>91, 92</t>
  </si>
  <si>
    <t>RICHMOND 2</t>
  </si>
  <si>
    <t>RICHMOND CT 91</t>
  </si>
  <si>
    <t>RICHMOND CT 92</t>
  </si>
  <si>
    <t>RINGOES SOLAR</t>
  </si>
  <si>
    <t>RIPLEY SOLAR</t>
  </si>
  <si>
    <t>RIVER ENERGY CT 1</t>
  </si>
  <si>
    <t>Candidate EIA plant 6034: Belle River; name fit 0.828; unresolved alternatives. Do NOT treat as resource-specific data.</t>
  </si>
  <si>
    <t>12-1, 12-2, 13-1</t>
  </si>
  <si>
    <t>RIVER ENERGY CT 2</t>
  </si>
  <si>
    <t>RIVERSTART SOLAR</t>
  </si>
  <si>
    <t>RIVERSTART SOLAR III</t>
  </si>
  <si>
    <t>ROANOKE RAPIDS 1-4</t>
  </si>
  <si>
    <t>ROCK BRIDGE ROAD SOLAR</t>
  </si>
  <si>
    <t>ROCK SPRINGS CT1</t>
  </si>
  <si>
    <t>Essential Power Rock Springs LLC</t>
  </si>
  <si>
    <t>ROCK SPRINGS CT2</t>
  </si>
  <si>
    <t>ROCK SPRINGS CT3</t>
  </si>
  <si>
    <t>ROCK SPRINGS CT4</t>
  </si>
  <si>
    <t>ROCKFORD CT 11</t>
  </si>
  <si>
    <t>NRG Rockford I</t>
  </si>
  <si>
    <t>0001, 0002</t>
  </si>
  <si>
    <t>ROCKFORD CT 12</t>
  </si>
  <si>
    <t>ROCKFORD CT 21</t>
  </si>
  <si>
    <t>ROCKPORT 1</t>
  </si>
  <si>
    <t>Rockport</t>
  </si>
  <si>
    <t>ROCKPORT 2</t>
  </si>
  <si>
    <t>ROCKY ROAD CT 31</t>
  </si>
  <si>
    <t>MRP Rocky Road LLC</t>
  </si>
  <si>
    <t>T4, TG1, TG2, TG3</t>
  </si>
  <si>
    <t>ROCKY ROAD CT 32</t>
  </si>
  <si>
    <t>ROCKY ROAD CT 33</t>
  </si>
  <si>
    <t>ROCKY ROAD CT 34</t>
  </si>
  <si>
    <t>RONCO CT1</t>
  </si>
  <si>
    <t>RONCO CT2</t>
  </si>
  <si>
    <t>RONCO STG</t>
  </si>
  <si>
    <t>ROSEMARY</t>
  </si>
  <si>
    <t>ROSS COUNTY SOLAR</t>
  </si>
  <si>
    <t>ROTH ROCK WF</t>
  </si>
  <si>
    <t>ROXBURY SOLAR</t>
  </si>
  <si>
    <t>SADLER SOLAR</t>
  </si>
  <si>
    <t>SAFE HARBOR 1-12</t>
  </si>
  <si>
    <t>SAINT THOMAS 1 SOLAR</t>
  </si>
  <si>
    <t>SAINT THOMAS 2 SOLAR</t>
  </si>
  <si>
    <t>SALEM 1</t>
  </si>
  <si>
    <t>SALEM 2</t>
  </si>
  <si>
    <t>SALT CITY SOLAR</t>
  </si>
  <si>
    <t>SANDY RIDGE WF</t>
  </si>
  <si>
    <t>SAYREVILLE C-1</t>
  </si>
  <si>
    <t>Potential EIA plant 2390 Sayreville but no compatible valid reported 2025 heat rate. 2025 status and technology need review.</t>
  </si>
  <si>
    <t>SAYREVILLE C-2</t>
  </si>
  <si>
    <t>SAYREVILLE C-3</t>
  </si>
  <si>
    <t>SAYREVILLE C-4</t>
  </si>
  <si>
    <t>SCHUYKILL ENERGY NUG</t>
  </si>
  <si>
    <t>SCHUYLKILL CT 10</t>
  </si>
  <si>
    <t>SCHUYLKILL CT 11</t>
  </si>
  <si>
    <t>SCIOTO RIDGE WF</t>
  </si>
  <si>
    <t>SCOTT HYBRID SOLAR</t>
  </si>
  <si>
    <t>Hybrid CL - Solar Tracking</t>
  </si>
  <si>
    <t>Solar / hybrid</t>
  </si>
  <si>
    <t>Hybrid solar</t>
  </si>
  <si>
    <t>Not applicable to solar portion; verify hybrid components</t>
  </si>
  <si>
    <t>SCRUBGRASS NUG</t>
  </si>
  <si>
    <t>Candidate EIA plant 50974: Scrubgrass Reclamation CO. LP.; name fit 0.486; insufficient name or inventory agreement. Do NOT treat as resource-specific data.</t>
  </si>
  <si>
    <t>SEARSTOWN SOLAR</t>
  </si>
  <si>
    <t>SENECA 1</t>
  </si>
  <si>
    <t>6-hr Storage</t>
  </si>
  <si>
    <t>SENECA 2</t>
  </si>
  <si>
    <t>SENECA 3</t>
  </si>
  <si>
    <t>SEWARD 1</t>
  </si>
  <si>
    <t>Seward (PA)</t>
  </si>
  <si>
    <t>FB1</t>
  </si>
  <si>
    <t>SEWAREN 7</t>
  </si>
  <si>
    <t>Sewaren</t>
  </si>
  <si>
    <t>701, 702</t>
  </si>
  <si>
    <t>SHADY OAKS 2 WF</t>
  </si>
  <si>
    <t>SHADY OAKS WF</t>
  </si>
  <si>
    <t>SHAWNEE 1</t>
  </si>
  <si>
    <t>SHAWVILLE 1</t>
  </si>
  <si>
    <t>Shawville</t>
  </si>
  <si>
    <t>SHAWVILLE 2</t>
  </si>
  <si>
    <t>SHAWVILLE 3</t>
  </si>
  <si>
    <t>SHAWVILLE 4</t>
  </si>
  <si>
    <t>SHAWVILLE 5-7 DIESEL</t>
  </si>
  <si>
    <t>5, 6, 7</t>
  </si>
  <si>
    <t>SHERMAN AVENUE CT 1</t>
  </si>
  <si>
    <t>Sherman Avenue</t>
  </si>
  <si>
    <t>SEHR</t>
  </si>
  <si>
    <t>SHILLELAGH ROAD SOLAR</t>
  </si>
  <si>
    <t>SIDNEY D 1-5</t>
  </si>
  <si>
    <t>Sidney (OH)</t>
  </si>
  <si>
    <t>SKUDERA SOLAR</t>
  </si>
  <si>
    <t>SMECO</t>
  </si>
  <si>
    <t>SMITH CT 1</t>
  </si>
  <si>
    <t>J K Smith</t>
  </si>
  <si>
    <t>Matched to EIA-860 technology and name. EIA-923 heat rate is aggregated across reported plant/prime mover/fuel groups, not a single generating unit. Automatic high-confidence proposed mapping; confirm unit identifiers. IMPORTANT: same EIA group total is repeated for 9 PJM entries; it is NOT an independent heat-rate observation for each unit.</t>
  </si>
  <si>
    <t>GT1, GT10, GT2, GT3, GT4, GT5, GT6, GT7, GT9</t>
  </si>
  <si>
    <t>SMITH CT 10</t>
  </si>
  <si>
    <t>SMITH CT 2</t>
  </si>
  <si>
    <t>SMITH CT 3</t>
  </si>
  <si>
    <t>SMITH CT 4</t>
  </si>
  <si>
    <t>SMITH CT 5</t>
  </si>
  <si>
    <t>SMITH CT 6</t>
  </si>
  <si>
    <t>SMITH CT 7</t>
  </si>
  <si>
    <t>SMITH CT 9</t>
  </si>
  <si>
    <t>SMITH FRANCIS SOLAR</t>
  </si>
  <si>
    <t>SMITH MOUNTAIN 1</t>
  </si>
  <si>
    <t>SMITH MOUNTAIN 2</t>
  </si>
  <si>
    <t>SMITH MOUNTAIN 3</t>
  </si>
  <si>
    <t>SMITH MOUNTAIN 4</t>
  </si>
  <si>
    <t>SMITH MOUNTAIN 5</t>
  </si>
  <si>
    <t>SOLIDAGO SOLAR</t>
  </si>
  <si>
    <t>SOMERSET WF</t>
  </si>
  <si>
    <t>SOUTH ANNA 1</t>
  </si>
  <si>
    <t>Candidate EIA plant 60356: South Field Energy; name fit 0.513; insufficient name or inventory agreement. Do NOT treat as resource-specific data.</t>
  </si>
  <si>
    <t>SFCT1, SFCT2, SFST1, SFST2</t>
  </si>
  <si>
    <t>SOUTH ANNA 2</t>
  </si>
  <si>
    <t>SOUTH BEND CT1</t>
  </si>
  <si>
    <t>Candidate EIA plant 492: South Plant (CO); name fit 0.508; insufficient name or inventory agreement. Do NOT treat as resource-specific data.</t>
  </si>
  <si>
    <t>A1, A2, A3, A4, A5, A6</t>
  </si>
  <si>
    <t>SOUTH BEND CT2</t>
  </si>
  <si>
    <t>SOUTH BEND CT3</t>
  </si>
  <si>
    <t>SOUTH BEND CT4</t>
  </si>
  <si>
    <t>SOUTH CHESTNUT WF</t>
  </si>
  <si>
    <t>SOUTH RIVER NUG</t>
  </si>
  <si>
    <t>Candidate EIA plant 60356: South Field Energy; name fit 0.419; unresolved alternatives. Do NOT treat as resource-specific data.</t>
  </si>
  <si>
    <t>SOUTHERN LF</t>
  </si>
  <si>
    <t>SOUTHERN LF 5</t>
  </si>
  <si>
    <t>SOUTHFIELD ENERGY CC1</t>
  </si>
  <si>
    <t>SOUTHFIELD ENERGY CC2</t>
  </si>
  <si>
    <t>SOUTHHAMPTON 1</t>
  </si>
  <si>
    <t>SOUTHWARK CT 3</t>
  </si>
  <si>
    <t>SOUTHWARK CT 4</t>
  </si>
  <si>
    <t>SOUTHWARK CT 5</t>
  </si>
  <si>
    <t>SOUTHWARK CT 6</t>
  </si>
  <si>
    <t>SPANISH GROVE SOLAR</t>
  </si>
  <si>
    <t>SPECTRUM SOLAR</t>
  </si>
  <si>
    <t>SPOTSLYVANIA COUNTY SOLAR</t>
  </si>
  <si>
    <t>SPRING GROVE SOLAR</t>
  </si>
  <si>
    <t>SPRINGDALE 1</t>
  </si>
  <si>
    <t>Springdale 1 &amp; 2</t>
  </si>
  <si>
    <t>UNT1, UNT2</t>
  </si>
  <si>
    <t>SPRINGDALE 2</t>
  </si>
  <si>
    <t>SPRINGDALE CC 3-5</t>
  </si>
  <si>
    <t>SPRINGFIELD TWP SOLAR</t>
  </si>
  <si>
    <t>SPRUANCE 2 RICH 3-4</t>
  </si>
  <si>
    <t>Candidate EIA plant 54081: Spruance Operating Services LLC; name fit 0.483; unresolved alternatives. Do NOT treat as resource-specific data.</t>
  </si>
  <si>
    <t>SPURLOCK 1</t>
  </si>
  <si>
    <t>H L Spurlock</t>
  </si>
  <si>
    <t>SPURLOCK 2</t>
  </si>
  <si>
    <t>SPURLOCK 3</t>
  </si>
  <si>
    <t>SPURLOCK 4</t>
  </si>
  <si>
    <t>ST JOSEPH COUNTY CC</t>
  </si>
  <si>
    <t>Candidate EIA plant 57794: St Joseph Energy Center; name fit 0.548; unresolved alternatives. Do NOT treat as resource-specific data.</t>
  </si>
  <si>
    <t>STAFFORD 1</t>
  </si>
  <si>
    <t>Potential EIA plant 56894 Ameresco Stafford but no compatible valid reported 2025 heat rate. 2025 status and technology need review.</t>
  </si>
  <si>
    <t>STAGE COACH SOLAR</t>
  </si>
  <si>
    <t>STAHLSTOWN LIGONIER SOLAR</t>
  </si>
  <si>
    <t>STEWARTSVILLE SOLAR</t>
  </si>
  <si>
    <t>STONY CREEK WF</t>
  </si>
  <si>
    <t>STREATOR LF</t>
  </si>
  <si>
    <t>STRYKER CT</t>
  </si>
  <si>
    <t>SUBLETTE WF</t>
  </si>
  <si>
    <t>SUGAR RUN DIESEL</t>
  </si>
  <si>
    <t>Candidate EIA plant 56181: Genoa Diesel Generating Station; name fit 0.424; unresolved alternatives. Do NOT treat as resource-specific data.</t>
  </si>
  <si>
    <t>SUMMERSVILLE 1-2</t>
  </si>
  <si>
    <t>SUNBURY CC</t>
  </si>
  <si>
    <t>SUNBURY CT 1-2</t>
  </si>
  <si>
    <t>SUNBURY DIESELS</t>
  </si>
  <si>
    <t>Candidate EIA plant 3152: Sunbury Generation LP; name fit 0.540; insufficient name or inventory agreement. Do NOT treat as resource-specific data.</t>
  </si>
  <si>
    <t>CTG1, CTG2, DI2</t>
  </si>
  <si>
    <t>SUNNYBROOK FARM SOLAR</t>
  </si>
  <si>
    <t>SURRY 1</t>
  </si>
  <si>
    <t>SURRY 2</t>
  </si>
  <si>
    <t>SUSQUEHANNA 1</t>
  </si>
  <si>
    <t>SUSQUEHANNA 2</t>
  </si>
  <si>
    <t>SUSSEX COUNTY SOLAR</t>
  </si>
  <si>
    <t>SYCAMORE SOLAR</t>
  </si>
  <si>
    <t>SYKESVILLE ROAD SOLAR</t>
  </si>
  <si>
    <t>TAIT DIESELS 1-4</t>
  </si>
  <si>
    <t>Candidate EIA plant 2847: Tait Electric Generating Station; name fit 0.605; insufficient name or inventory agreement. Do NOT treat as resource-specific data.</t>
  </si>
  <si>
    <t>IC1, IC2, IC3, IC4</t>
  </si>
  <si>
    <t>TAIT GT 1</t>
  </si>
  <si>
    <t>Tait Electric Generating Station</t>
  </si>
  <si>
    <t>GT1, GT2, GT3, GT4, GT5, GT6, GT7</t>
  </si>
  <si>
    <t>TAIT GT 2</t>
  </si>
  <si>
    <t>TAIT GT 3</t>
  </si>
  <si>
    <t>TAIT GT 4</t>
  </si>
  <si>
    <t>TAIT GT 5</t>
  </si>
  <si>
    <t>TAIT GT 6</t>
  </si>
  <si>
    <t>TAIT GT 7</t>
  </si>
  <si>
    <t>TARBORO SOLAR</t>
  </si>
  <si>
    <t>TASLEY 10</t>
  </si>
  <si>
    <t>TAYLORS LANE SOLAR</t>
  </si>
  <si>
    <t>THREE RIVERS CC</t>
  </si>
  <si>
    <t>CPV Three Rivers Energy Center</t>
  </si>
  <si>
    <t>TIMBER ROAD II WF</t>
  </si>
  <si>
    <t>TIMBER ROAD III WF</t>
  </si>
  <si>
    <t>TIMBER ROAD IV WF</t>
  </si>
  <si>
    <t>TIMBER ROAD SOLAR</t>
  </si>
  <si>
    <t>TIMBERMILL WF</t>
  </si>
  <si>
    <t>TINTON FALLS SOLAR</t>
  </si>
  <si>
    <t>TITUS 4</t>
  </si>
  <si>
    <t>TITUS 5</t>
  </si>
  <si>
    <t>TOLNA 1</t>
  </si>
  <si>
    <t>TOLNA 2</t>
  </si>
  <si>
    <t>TOMS RIVER SOLAR</t>
  </si>
  <si>
    <t>TOP CROP 2 WF</t>
  </si>
  <si>
    <t>TOP CROP WF</t>
  </si>
  <si>
    <t>TOSCO</t>
  </si>
  <si>
    <t>TROY 1</t>
  </si>
  <si>
    <t>Troy Energy LLC</t>
  </si>
  <si>
    <t>TROY 2</t>
  </si>
  <si>
    <t>TROY 3</t>
  </si>
  <si>
    <t>TROY 4</t>
  </si>
  <si>
    <t>TURKEY CREEK SOLAR</t>
  </si>
  <si>
    <t>TWIN BRANCH 1-8</t>
  </si>
  <si>
    <t>TWIN BRANCH SOLAR</t>
  </si>
  <si>
    <t>TWIN RIDGES WF</t>
  </si>
  <si>
    <t>TWITTYS CREEK SOLAR</t>
  </si>
  <si>
    <t>UNION BRIDGE SOLAR</t>
  </si>
  <si>
    <t>UNION COUNTY RES. RCRVRY</t>
  </si>
  <si>
    <t>UNION SOLAR</t>
  </si>
  <si>
    <t>UNIVERSITY PARK CT 31-1</t>
  </si>
  <si>
    <t>University Park North</t>
  </si>
  <si>
    <t>Matched to EIA-860 technology and name. EIA-923 heat rate is aggregated across reported plant/prime mover/fuel groups, not a single generating unit. Automatic high-confidence proposed mapping; confirm unit identifiers. IMPORTANT: same EIA group total is repeated for 18 PJM entries; it is NOT an independent heat-rate observation for each unit.</t>
  </si>
  <si>
    <t>1, 10, 11, 12, 2, 3, 4, 5, 6, 7, 8, 9</t>
  </si>
  <si>
    <t>UNIVERSITY PARK CT 31-2</t>
  </si>
  <si>
    <t>UNIVERSITY PARK CT 32-1</t>
  </si>
  <si>
    <t>UNIVERSITY PARK CT 32-2</t>
  </si>
  <si>
    <t>UNIVERSITY PARK CT 33-1</t>
  </si>
  <si>
    <t>UNIVERSITY PARK CT 33-2</t>
  </si>
  <si>
    <t>UNIVERSITY PARK NORTH CT 1</t>
  </si>
  <si>
    <t>UNIVERSITY PARK NORTH CT 2</t>
  </si>
  <si>
    <t>UNIVERSITY PARK NORTH CT 3</t>
  </si>
  <si>
    <t>UNIVERSITY PARK NORTH CT 4</t>
  </si>
  <si>
    <t>UNIVERSITY PARK NORTH CT 5</t>
  </si>
  <si>
    <t>UNIVERSITY PARK NORTH CT 6</t>
  </si>
  <si>
    <t>UNIVERSITY PARK NORTH CT 7</t>
  </si>
  <si>
    <t>UNIVERSITY PARK NORTH CT 8</t>
  </si>
  <si>
    <t>UNIVERSITY PARK NORTH CT 9</t>
  </si>
  <si>
    <t>UNIVERSITY PARK NORTH CT10</t>
  </si>
  <si>
    <t>UNIVERSITY PARK NORTH CT11</t>
  </si>
  <si>
    <t>UNIVERSITY PARK NORTH CT12</t>
  </si>
  <si>
    <t>UPTON</t>
  </si>
  <si>
    <t>VANSANT NORTHST 1</t>
  </si>
  <si>
    <t>VIENNA 10</t>
  </si>
  <si>
    <t>VIENNA 8</t>
  </si>
  <si>
    <t>Vienna Operations</t>
  </si>
  <si>
    <t>ST/DFO, ST/RFO</t>
  </si>
  <si>
    <t>8</t>
  </si>
  <si>
    <t>VIRGINIA CITY</t>
  </si>
  <si>
    <t>Virginia City Hybrid Energy Center</t>
  </si>
  <si>
    <t>VIRGINIA OFFSHORE 1 WF</t>
  </si>
  <si>
    <t>Offshore Wind</t>
  </si>
  <si>
    <t>WAGNER 3</t>
  </si>
  <si>
    <t>Herbert A Wagner</t>
  </si>
  <si>
    <t>WAGNER 4</t>
  </si>
  <si>
    <t>WALDORF</t>
  </si>
  <si>
    <t>WALLENPAUPACK 1-2</t>
  </si>
  <si>
    <t>WALNUT RIDGE WF</t>
  </si>
  <si>
    <t>WAN SOLAR</t>
  </si>
  <si>
    <t>WANTAGE TOWNSHIP SOLAR</t>
  </si>
  <si>
    <t>WARREN COUNTY CC</t>
  </si>
  <si>
    <t>Warren County</t>
  </si>
  <si>
    <t>WARREN COUNTY SOLAR</t>
  </si>
  <si>
    <t>WARREN CT</t>
  </si>
  <si>
    <t>Warren</t>
  </si>
  <si>
    <t>3</t>
  </si>
  <si>
    <t>WASHINGTON 1</t>
  </si>
  <si>
    <t>Washington Energy Facility</t>
  </si>
  <si>
    <t>WASHINGTON 2</t>
  </si>
  <si>
    <t>WASHINGTON 3</t>
  </si>
  <si>
    <t>WASHINGTON TWP SOLAR</t>
  </si>
  <si>
    <t>WATERFORD 1</t>
  </si>
  <si>
    <t>Waterford Power, LLC</t>
  </si>
  <si>
    <t>CTG1, CTG2, CTG3, ST1</t>
  </si>
  <si>
    <t>WATERFORD 2</t>
  </si>
  <si>
    <t>WATERFORD 3</t>
  </si>
  <si>
    <t>WATERFORD 4</t>
  </si>
  <si>
    <t>WATERVLIET SOLAR</t>
  </si>
  <si>
    <t>WATLINGTON SOLAR</t>
  </si>
  <si>
    <t>WAUKEGAN CT 31</t>
  </si>
  <si>
    <t>WAUKEGAN CT 32</t>
  </si>
  <si>
    <t>WAVERLY SOLAR</t>
  </si>
  <si>
    <t>WEST BROOKLYN WF</t>
  </si>
  <si>
    <t>WEST LORAIN 2</t>
  </si>
  <si>
    <t>West Lorain</t>
  </si>
  <si>
    <t>1A, 1B, 2, 3, 4, 5, 6</t>
  </si>
  <si>
    <t>WEST LORAIN 3</t>
  </si>
  <si>
    <t>WEST LORAIN 4</t>
  </si>
  <si>
    <t>WEST LORAIN 5</t>
  </si>
  <si>
    <t>WEST LORAIN 6</t>
  </si>
  <si>
    <t>WEST LORAIN A</t>
  </si>
  <si>
    <t>WEST LORAIN B</t>
  </si>
  <si>
    <t>WEST PULLMAN 1 SOLAR</t>
  </si>
  <si>
    <t>WEST PULLMAN 2 SOLAR</t>
  </si>
  <si>
    <t>WEST SUB</t>
  </si>
  <si>
    <t>WESTMORELAND CC</t>
  </si>
  <si>
    <t>Tenaska Westmoreland Generating Station</t>
  </si>
  <si>
    <t>WESTWOOD NUG</t>
  </si>
  <si>
    <t>Westwood Generation LLC</t>
  </si>
  <si>
    <t>WHEELABRATOR FALLS</t>
  </si>
  <si>
    <t>Candidate EIA plant 10503: Wheelabrator Hudson Falls; name fit 0.901; insufficient name or inventory agreement. Do NOT treat as resource-specific data.</t>
  </si>
  <si>
    <t>NY</t>
  </si>
  <si>
    <t>WHITAKERS SOLAR</t>
  </si>
  <si>
    <t>WHITE MARSH SOLAR</t>
  </si>
  <si>
    <t>WHITNEY HILL WF</t>
  </si>
  <si>
    <t>WICOMICO COUNTY SOLAR</t>
  </si>
  <si>
    <t>WILDCAT 1A WF</t>
  </si>
  <si>
    <t>WILDCAT 1B WF</t>
  </si>
  <si>
    <t>WILDCAT POINT CC</t>
  </si>
  <si>
    <t>Wildcat Point Generation Facility</t>
  </si>
  <si>
    <t>WILDWOOD SOLAR</t>
  </si>
  <si>
    <t>WILKINSON SOLAR</t>
  </si>
  <si>
    <t>WILLOW ISLAND HYDRO 1</t>
  </si>
  <si>
    <t>WILLOW ISLAND HYDRO 2</t>
  </si>
  <si>
    <t>WILLOWBROOK SOLAR</t>
  </si>
  <si>
    <t>WINCHESTER CT</t>
  </si>
  <si>
    <t>Candidate EIA plant 56674: Winchester Power Park; name fit 0.859; insufficient name or inventory agreement. Do NOT treat as resource-specific data.</t>
  </si>
  <si>
    <t>TX</t>
  </si>
  <si>
    <t>CGT1, CGT2, CGT3, CGT4</t>
  </si>
  <si>
    <t>WINFIELD 1-3</t>
  </si>
  <si>
    <t>WINTERBERRY SOLAR</t>
  </si>
  <si>
    <t>WOLFHILLS CT 1</t>
  </si>
  <si>
    <t>WOLFHILLS CT 2</t>
  </si>
  <si>
    <t>WOLFHILLS CT 3</t>
  </si>
  <si>
    <t>WOLFHILLS CT 4</t>
  </si>
  <si>
    <t>WOLFHILLS CT 5</t>
  </si>
  <si>
    <t>WOODBINE LF</t>
  </si>
  <si>
    <t>Candidate EIA plant 59116: Woodbine Landfill Plant; name fit 0.551; insufficient name or inventory agreement. Do NOT treat as resource-specific data.</t>
  </si>
  <si>
    <t>V1021</t>
  </si>
  <si>
    <t>WOODBINE ROAD SOLAR</t>
  </si>
  <si>
    <t>WOODSDALE GT1</t>
  </si>
  <si>
    <t>Woodsdale</t>
  </si>
  <si>
    <t>WOODSDALE GT2</t>
  </si>
  <si>
    <t>WOODSDALE GT3</t>
  </si>
  <si>
    <t>WOODSDALE GT4</t>
  </si>
  <si>
    <t>WOODSDALE GT5</t>
  </si>
  <si>
    <t>WOODSDALE GT6</t>
  </si>
  <si>
    <t>WORCESTER NORTH SOLAR</t>
  </si>
  <si>
    <t>WORCESTER SOUTH SOLAR</t>
  </si>
  <si>
    <t>WRIGHTSTOWN SOLAR</t>
  </si>
  <si>
    <t>WYTHE COUNTY SOLAR</t>
  </si>
  <si>
    <t>YANKEE 1</t>
  </si>
  <si>
    <t>Yankee Street</t>
  </si>
  <si>
    <t>1, 2, 3, 4, 5, 6, 7</t>
  </si>
  <si>
    <t>YANKEE 2</t>
  </si>
  <si>
    <t>YANKEE 3</t>
  </si>
  <si>
    <t>YANKEE 4</t>
  </si>
  <si>
    <t>YANKEE 5</t>
  </si>
  <si>
    <t>YANKEE 6</t>
  </si>
  <si>
    <t>YANKEE 7</t>
  </si>
  <si>
    <t>YANKEE SOLAR</t>
  </si>
  <si>
    <t>YARDS CREEK 1</t>
  </si>
  <si>
    <t>YARDS CREEK 2</t>
  </si>
  <si>
    <t>YARDS CREEK 3</t>
  </si>
  <si>
    <t>YELLOWBUD SOLAR</t>
  </si>
  <si>
    <t>YORK COUNTY CC</t>
  </si>
  <si>
    <t>Candidate EIA plant 55524: York Energy Center; name fit 0.541; unresolved alternatives. Do NOT treat as resource-specific data.</t>
  </si>
  <si>
    <t>CTG1, CTG2, CTG3, CTG5, CTG6, STG1, STG2</t>
  </si>
  <si>
    <t>YORK COUNTY NUG</t>
  </si>
  <si>
    <t>Candidate EIA plant 50215: York County Resource Recovery; name fit 0.670; insufficient name or inventory agreement. Do NOT treat as resource-specific data.</t>
  </si>
  <si>
    <t>YORK HAVEN 1-20</t>
  </si>
  <si>
    <t>YOUGH HYDRO NUG</t>
  </si>
  <si>
    <t>ZELDA 1 RIVERSIDE</t>
  </si>
  <si>
    <t>Riverside Generating LLC</t>
  </si>
  <si>
    <t>GTG1, GTG2, GTG3, GTG4, GTG5</t>
  </si>
  <si>
    <t>ZELDA 2 RIVERSIDE</t>
  </si>
  <si>
    <t>ZELDA 3 RIVERSIDE</t>
  </si>
  <si>
    <t>ZELDA 4 FOOTHILLS</t>
  </si>
  <si>
    <t>ZELDA 5 FOOTHILLS</t>
  </si>
  <si>
    <t>ZION 1</t>
  </si>
  <si>
    <t>Zion Energy Center</t>
  </si>
  <si>
    <t>CTG1, CTG2, CTG3</t>
  </si>
  <si>
    <t>ZION 2</t>
  </si>
  <si>
    <t>ZION 3</t>
  </si>
  <si>
    <t>Low HR</t>
  </si>
  <si>
    <t>Base HR</t>
  </si>
  <si>
    <t>High HR</t>
  </si>
  <si>
    <t>Notes</t>
  </si>
  <si>
    <t>Purpose</t>
  </si>
  <si>
    <t>Indicative resource-level full-load heat-rate estimates, not actual unit measurements.</t>
  </si>
  <si>
    <t>Input</t>
  </si>
  <si>
    <t>PJM 2026/2027 Existing Resource List, as of 2025-10-14 (user supplied).</t>
  </si>
  <si>
    <t>Basis</t>
  </si>
  <si>
    <t>MMBtu fuel energy per MWh electric generation; representative net HHV assumptions.</t>
  </si>
  <si>
    <t>Limitation</t>
  </si>
  <si>
    <t>PJM CLASSTYPE does not identify specific turbine model, vintage, fuel or dispatch load.</t>
  </si>
  <si>
    <t>Ranges</t>
  </si>
  <si>
    <t>Illustrative engineering screening assumptions, not PJM/EIA verified plant heat rates.</t>
  </si>
  <si>
    <t>Thermal equivalent only; do not use to infer market fuel cost.</t>
  </si>
  <si>
    <t>Solar/wind/hydro/storage</t>
  </si>
  <si>
    <t>No thermal fuel heat rate. Storage should be modeled with efficiency.</t>
  </si>
  <si>
    <t>Steam/Other</t>
  </si>
  <si>
    <t>Not estimated because fuel and technology are not identifiable from source class.</t>
  </si>
  <si>
    <t>Dual fuel</t>
  </si>
  <si>
    <t>Natural-gas operation assumed; alternate fuel could have different characteristics.</t>
  </si>
  <si>
    <t>Partial load</t>
  </si>
  <si>
    <t>Heat rate often rises at low loading; base estimate represents approximate full-load performance.</t>
  </si>
  <si>
    <t>ICAP multiplication</t>
  </si>
  <si>
    <t>Thermal input at ICAP is hypothetical, not an actual output or availability forecast.</t>
  </si>
  <si>
    <t>External methodology reference</t>
  </si>
  <si>
    <t>https://www.eia.gov/electricity/annual/html/epa_08_01.html</t>
  </si>
  <si>
    <t>Source PJM</t>
  </si>
  <si>
    <t>https://www.pjm.com/markets-and-operations/rpm</t>
  </si>
  <si>
    <t>Historical year</t>
  </si>
  <si>
    <t>2025 full-year EIA-923 and EIA-860 (final publication September 2026).</t>
  </si>
  <si>
    <t>Computed HR</t>
  </si>
  <si>
    <t>Sum of reported electrical fuel heat input in MMBtu divided by net generation in MWh; net HHV when heat inputs use EIA fuel heating values.</t>
  </si>
  <si>
    <t>Reported unit caveat</t>
  </si>
  <si>
    <t>Most EIA-923 heat input is at plant × prime mover × fuel level. Do not claim generator/PJM resource-specific verification from aggregated values.</t>
  </si>
  <si>
    <t>Gross vs net</t>
  </si>
  <si>
    <t>EPA CEMS reports gross electrical output for most units; EIA-923 provides net generation. Do not confuse the two.</t>
  </si>
  <si>
    <t>Matching</t>
  </si>
  <si>
    <t>PJM resource name needs explicit mapping to EIA plant ID and generator/prime mover group; name-only matches should be reviewed.</t>
  </si>
  <si>
    <t>Sources EIA-923</t>
  </si>
  <si>
    <t>Sources EIA-860</t>
  </si>
  <si>
    <t>Sources EPA</t>
  </si>
  <si>
    <t>https://campd.epa.gov/</t>
  </si>
  <si>
    <t>Downloads 923</t>
  </si>
  <si>
    <t>https://www.eia.gov/electricity/data/eia923/xls/f923_2025.zip</t>
  </si>
  <si>
    <t>Downloads 860</t>
  </si>
  <si>
    <t>https://www.eia.gov/electricity/data/eia860/xls/eia8602025.zip</t>
  </si>
  <si>
    <t>Availability</t>
  </si>
  <si>
    <t>The EIA source ZIPs were not retrievable within the creation environment; imported source fields intentionally left blank.</t>
  </si>
  <si>
    <t>Source quality</t>
  </si>
  <si>
    <t>EIA and EPA are reported regulatory/survey datasets, not evidence of an independent witnessed performance test.</t>
  </si>
  <si>
    <t>Dispatch</t>
  </si>
  <si>
    <t>Historical fleet-average heat rates are not incremental heat rates or bid curves.</t>
  </si>
  <si>
    <t>Status legend</t>
  </si>
  <si>
    <t>Not applicable – nonthermal; Awaiting EIA source match; Group proxy – review; Ambiguous match – review; No compatible EIA data.</t>
  </si>
  <si>
    <t>2025 actual sources</t>
  </si>
  <si>
    <t>User-supplied final EIA-923 2025 ZIP and EIA-860 2025 ZIP; links below.</t>
  </si>
  <si>
    <t>EIA-923</t>
  </si>
  <si>
    <t>EIA-860</t>
  </si>
  <si>
    <t>2025 reported heat rate</t>
  </si>
  <si>
    <t>Annual summed fuel consumed for electric generation (MMBtu) divided by annual summed NET electric generation (MWh) for compatible EIA plant/prime-mover/fuel group(s).</t>
  </si>
  <si>
    <t>Scope</t>
  </si>
  <si>
    <t>Reported 2025 plant/prime-mover/fuel groups, which may include multiple machines, fuels, blocks and PJM capacity resource names. NOT unit-specific measured heat rates.</t>
  </si>
  <si>
    <t>EIA-860 validation</t>
  </si>
  <si>
    <t>Candidate plant must have operating generators compatible with class fuel and prime mover; state within PJM footprint. Automated name matches are proposed matches, not verified identity.</t>
  </si>
  <si>
    <t>2025 year</t>
  </si>
  <si>
    <t>The 2025 EIA datasets are historical; 2026/2027 PJM RPM resource configuration, available units and heat rates may differ.</t>
  </si>
  <si>
    <t>Nonthermal</t>
  </si>
  <si>
    <t>Do not infer a heat rate for solar, wind, batteries or hydro. Nuclear heat rate based on heat input is not calculable using these 923 fossil fuel records.</t>
  </si>
  <si>
    <t>Unit resolution</t>
  </si>
  <si>
    <t>For separately reported PJM thermal units, EIA-923 page 1 is not unit-resolved. EIA-923 page 4 contains some generator net generation only; EPA CAMPD/hourly heat input + unit maps are required for genuine unit-level heat rates.</t>
  </si>
  <si>
    <t>Duplicates</t>
  </si>
  <si>
    <t>Where one EIA plant/group is matched to several PJM resource entries, heat rate is repeated as a proxy; generation and fuel should NOT be summed across PJM resource rows.</t>
  </si>
  <si>
    <t>Anomalous ratios</t>
  </si>
  <si>
    <t>Reported ratios inconsistent with class-specific lower physical plausibility bounds (CC 5.5, CT/steam/diesel 6.5, coal 7.0) or &gt; 30 MMBtu/MWh are not accepted; electric fuel excludes CHP useful thermal output.</t>
  </si>
  <si>
    <t>2025 reported formula</t>
  </si>
  <si>
    <t>EIA-923 Page 1 monthly Elec_MMBtu / Netgen; in workbook cells R/Q and in EIA Group Data F/G.</t>
  </si>
  <si>
    <t>PJM Resource</t>
  </si>
  <si>
    <t>Candidate Rank</t>
  </si>
  <si>
    <t>State</t>
  </si>
  <si>
    <t>Name Fit</t>
  </si>
  <si>
    <t>Overall Score</t>
  </si>
  <si>
    <t>EIA-860 Technology Match</t>
  </si>
  <si>
    <t>2025 Data Present</t>
  </si>
  <si>
    <t>2025 Net MWh</t>
  </si>
  <si>
    <t>2025 Fuel for Electric MMBtu</t>
  </si>
  <si>
    <t>2025 Group Heat Rate</t>
  </si>
  <si>
    <t>Fuel / Prime Movers</t>
  </si>
  <si>
    <t>EIA-860 Operable MW</t>
  </si>
  <si>
    <t>Decision</t>
  </si>
  <si>
    <t>2025 EIA-923 Source</t>
  </si>
  <si>
    <t>EIA-860 Source</t>
  </si>
  <si>
    <t>Yes</t>
  </si>
  <si>
    <t>Accepted: high plant/group proxy</t>
  </si>
  <si>
    <t>Accepted: medium plant/group proxy</t>
  </si>
  <si>
    <t>Waste Management Arden LFGTE</t>
  </si>
  <si>
    <t>Candidate only – do not treat as matched</t>
  </si>
  <si>
    <t>Southeast Berrien Generating Facility</t>
  </si>
  <si>
    <t>Waste Management Bethel LFGTE</t>
  </si>
  <si>
    <t>Big Cajun 2</t>
  </si>
  <si>
    <t>LA</t>
  </si>
  <si>
    <t>ST/NG, ST/SUB</t>
  </si>
  <si>
    <t>Big Cajun 1</t>
  </si>
  <si>
    <t>Mountain View</t>
  </si>
  <si>
    <t>Short Mountain</t>
  </si>
  <si>
    <t>OR</t>
  </si>
  <si>
    <t>Ameresco Ox Mountain</t>
  </si>
  <si>
    <t>CA</t>
  </si>
  <si>
    <t>Lycoming County</t>
  </si>
  <si>
    <t>Brown Station Road Plant I</t>
  </si>
  <si>
    <t>No / invalid</t>
  </si>
  <si>
    <t>3972, 9314, 9340</t>
  </si>
  <si>
    <t>French Island</t>
  </si>
  <si>
    <t>WI</t>
  </si>
  <si>
    <t>No</t>
  </si>
  <si>
    <t>Georgia-Pacific Big Island</t>
  </si>
  <si>
    <t>Cane Island</t>
  </si>
  <si>
    <t>Burlington GT</t>
  </si>
  <si>
    <t>VT</t>
  </si>
  <si>
    <t>GT1</t>
  </si>
  <si>
    <t>Burlington (CO)</t>
  </si>
  <si>
    <t>Camden Plant Holding LLC</t>
  </si>
  <si>
    <t>Linden Cogen Plant</t>
  </si>
  <si>
    <t>CA/DFO, CA/NG, CA/OG, CT/DFO, CT/NG, CT/OG</t>
  </si>
  <si>
    <t>GTG1, GTG2, GTG3, GTG4, GTG5, GTG6, STG1, STG2, STG3</t>
  </si>
  <si>
    <t>Allegany Cogen</t>
  </si>
  <si>
    <t>Camden Resource Recovery Facility</t>
  </si>
  <si>
    <t>Trimble County</t>
  </si>
  <si>
    <t>ST/BIT, ST/NG, ST/SUB</t>
  </si>
  <si>
    <t>Greene County</t>
  </si>
  <si>
    <t>Genoa Diesel Generating Station</t>
  </si>
  <si>
    <t>Ponton Diesel Generating Facility</t>
  </si>
  <si>
    <t>Perdue Diesel Generation Facility</t>
  </si>
  <si>
    <t>PDG5, PDG6</t>
  </si>
  <si>
    <t>Ameresco Delaware Central</t>
  </si>
  <si>
    <t>1C, 2C, 3C, 4C, 5C</t>
  </si>
  <si>
    <t>Sonoma Central Landfill Phase I</t>
  </si>
  <si>
    <t>P-11, P-12, P-13, P-14</t>
  </si>
  <si>
    <t>Plum Point Energy Station</t>
  </si>
  <si>
    <t>AR</t>
  </si>
  <si>
    <t>ST/DFO, ST/SUB</t>
  </si>
  <si>
    <t>STG1</t>
  </si>
  <si>
    <t>Bowline Point</t>
  </si>
  <si>
    <t>ST/NG, ST/RFO</t>
  </si>
  <si>
    <t>NRG Chalk Point CT</t>
  </si>
  <si>
    <t>SGT1</t>
  </si>
  <si>
    <t>Belle River</t>
  </si>
  <si>
    <t>ST1, ST2</t>
  </si>
  <si>
    <t>Indian River Generating Station</t>
  </si>
  <si>
    <t>ST/BIT, ST/DFO</t>
  </si>
  <si>
    <t>International Paper Riverdale Mill</t>
  </si>
  <si>
    <t>Colver Green Energy</t>
  </si>
  <si>
    <t>SECCRA Community Landfill</t>
  </si>
  <si>
    <t>Manchester Street</t>
  </si>
  <si>
    <t>Carr Street Generating Station</t>
  </si>
  <si>
    <t>Michigan City</t>
  </si>
  <si>
    <t>Covanta Delaware Valley</t>
  </si>
  <si>
    <t>Garden City</t>
  </si>
  <si>
    <t>KS</t>
  </si>
  <si>
    <t>S2</t>
  </si>
  <si>
    <t>City of Peru Water Street Generating Sta</t>
  </si>
  <si>
    <t>GT/JF</t>
  </si>
  <si>
    <t>Gibson City Energy Center LLC</t>
  </si>
  <si>
    <t>Delta Energy Center</t>
  </si>
  <si>
    <t>CTG1, CTG2, CTG3, STG1</t>
  </si>
  <si>
    <t>Dick's Creek</t>
  </si>
  <si>
    <t>Lagoon Creek</t>
  </si>
  <si>
    <t>TN</t>
  </si>
  <si>
    <t>GT1, GT10, GT11, GT12, GT2, GT3, GT4, GT5, GT6, GT7, GT8, GT9</t>
  </si>
  <si>
    <t>Lime Creek</t>
  </si>
  <si>
    <t>IA</t>
  </si>
  <si>
    <t>Eagle Valley (IN)</t>
  </si>
  <si>
    <t>GT1, GT2, STG1</t>
  </si>
  <si>
    <t>Big Bend</t>
  </si>
  <si>
    <t>American Crystal Sugar East Grand Forks</t>
  </si>
  <si>
    <t>MN</t>
  </si>
  <si>
    <t>G1, G2</t>
  </si>
  <si>
    <t>Easton 2</t>
  </si>
  <si>
    <t>GT/DFO, IC/DFO</t>
  </si>
  <si>
    <t>Easton</t>
  </si>
  <si>
    <t>10, 101, 102, 11, 12, 13, 14, 7, 9</t>
  </si>
  <si>
    <t>10</t>
  </si>
  <si>
    <t>MPH Elwood</t>
  </si>
  <si>
    <t>GT1, GT2, GT3, GT4, GT8, GT9</t>
  </si>
  <si>
    <t>Morris Cogeneration LLC</t>
  </si>
  <si>
    <t>Iredell County LFG Facility</t>
  </si>
  <si>
    <t>Hardin County LFGTE</t>
  </si>
  <si>
    <t>Martin Lake</t>
  </si>
  <si>
    <t>Foster Wheeler Mt Carmel Cogen</t>
  </si>
  <si>
    <t>Plant Four</t>
  </si>
  <si>
    <t>H Allen Franklin Combined Cycle</t>
  </si>
  <si>
    <t>Fremont Energy Center</t>
  </si>
  <si>
    <t>Sherburne County</t>
  </si>
  <si>
    <t>Grand Blanc Generating Station</t>
  </si>
  <si>
    <t>4-1, 4-2, 4-3, 4-4, 4-5, 4-7, 4-8</t>
  </si>
  <si>
    <t>Grand River</t>
  </si>
  <si>
    <t>2-1, 2-3, 2-4, 2-5</t>
  </si>
  <si>
    <t>Grays Harbor Energy Facility</t>
  </si>
  <si>
    <t>Monterey Diesel Generation Facility</t>
  </si>
  <si>
    <t>MDG1, MDG10, MDG2, MDG3, MDG4, MDG5, MDG6, MDG7, MDG8, MDG9</t>
  </si>
  <si>
    <t>Horseshoe Lake</t>
  </si>
  <si>
    <t>OK</t>
  </si>
  <si>
    <t>10, 9</t>
  </si>
  <si>
    <t>Blue Lake</t>
  </si>
  <si>
    <t>Henry County</t>
  </si>
  <si>
    <t>Lawrence County Station</t>
  </si>
  <si>
    <t>Shelby Energy County</t>
  </si>
  <si>
    <t>Harrisburg Facility</t>
  </si>
  <si>
    <t>Lake Road Generating Plant</t>
  </si>
  <si>
    <t>CT</t>
  </si>
  <si>
    <t>U1, U2, U3</t>
  </si>
  <si>
    <t>River Road Gen Plant</t>
  </si>
  <si>
    <t>Cane Run</t>
  </si>
  <si>
    <t>7A, 7B, 7S</t>
  </si>
  <si>
    <t>Quail Run Energy Center</t>
  </si>
  <si>
    <t>CT1A, CT1B, CT2A, CT2B, ST1, ST2</t>
  </si>
  <si>
    <t>Hopewell Cogeneration</t>
  </si>
  <si>
    <t>Jackson Generation, LLC</t>
  </si>
  <si>
    <t>Jackson Generating Station</t>
  </si>
  <si>
    <t>7EA, LM1, LM2, LM3, LM4, LM5, LM6, ST1, ST2</t>
  </si>
  <si>
    <t>Kendall Square Station</t>
  </si>
  <si>
    <t>MA</t>
  </si>
  <si>
    <t>3, GEN4</t>
  </si>
  <si>
    <t>Coal Creek</t>
  </si>
  <si>
    <t>ND</t>
  </si>
  <si>
    <t>ST/RC</t>
  </si>
  <si>
    <t>Waste Management King George LFGTE</t>
  </si>
  <si>
    <t>GT/LFG</t>
  </si>
  <si>
    <t>King &amp; Queen</t>
  </si>
  <si>
    <t>1, 10, 11, 12, 13, 14, 15, 16, 17, 18, 19, 2, 20, 21, 22, 23, 24, 25, 26, 27, 28, 29, 3, 30, 31, 32, 33, 34, 35, 36, 4, 5, 6, 7, 8, 9</t>
  </si>
  <si>
    <t>Mill Creek (KY)</t>
  </si>
  <si>
    <t>2, 3, 4</t>
  </si>
  <si>
    <t>Lackawanna Energy Center</t>
  </si>
  <si>
    <t>GLRA Landfill</t>
  </si>
  <si>
    <t>Eastern Landfill Gas LLC</t>
  </si>
  <si>
    <t>Frey Farm Landfill</t>
  </si>
  <si>
    <t>NAEA Lakewood LLC</t>
  </si>
  <si>
    <t>Lee Energy Facility</t>
  </si>
  <si>
    <t>10, 5, 6, 7, 8, 9</t>
  </si>
  <si>
    <t>Hamilton Liberty</t>
  </si>
  <si>
    <t>Lincoln Combustion</t>
  </si>
  <si>
    <t>1, 10, 11, 12, 13, 14, 15, 16, 17, 2, 3, 4, 5, 6, 7, 8, 9</t>
  </si>
  <si>
    <t>Lower Mount Bethel Energy</t>
  </si>
  <si>
    <t>Paddys Run</t>
  </si>
  <si>
    <t>12, 13</t>
  </si>
  <si>
    <t>Marsh Landing Generating Station</t>
  </si>
  <si>
    <t>ST/BIT, ST/DFO, ST/WC</t>
  </si>
  <si>
    <t>ST/BIT, ST/DFO, ST/SUB</t>
  </si>
  <si>
    <t>Waste Management Middle Peninsula LFGTE</t>
  </si>
  <si>
    <t>Middletown- Ohio</t>
  </si>
  <si>
    <t>Middletown Energy Center</t>
  </si>
  <si>
    <t>MEC1, MEC2</t>
  </si>
  <si>
    <t>Onancock Diesel Generation Facility</t>
  </si>
  <si>
    <t>Millersville LFG</t>
  </si>
  <si>
    <t>Mitchell (WV)</t>
  </si>
  <si>
    <t>Hamilton Patriot Generation Plant</t>
  </si>
  <si>
    <t>New Haven Steam</t>
  </si>
  <si>
    <t>New Madrid</t>
  </si>
  <si>
    <t>MO</t>
  </si>
  <si>
    <t>ST/DFO, ST/RC, ST/SUB</t>
  </si>
  <si>
    <t>Nottoway Diesel Generating Facility</t>
  </si>
  <si>
    <t>North Valmy</t>
  </si>
  <si>
    <t>NV</t>
  </si>
  <si>
    <t>North Omaha</t>
  </si>
  <si>
    <t>NE</t>
  </si>
  <si>
    <t>4, 5</t>
  </si>
  <si>
    <t>Northampton Generating Company LP</t>
  </si>
  <si>
    <t>PWD Northeast WPCP Biogas Cogen Plant</t>
  </si>
  <si>
    <t>IC/OBG</t>
  </si>
  <si>
    <t>Univ of Oregon Central Power Station</t>
  </si>
  <si>
    <t>CTG1, STG1</t>
  </si>
  <si>
    <t>Oregon State University Energy Center</t>
  </si>
  <si>
    <t>Prairie Creek</t>
  </si>
  <si>
    <t>Paxton Creek Cogeneration</t>
  </si>
  <si>
    <t>Long Creek Waste Water Plant</t>
  </si>
  <si>
    <t>ES1, ES2, ES3</t>
  </si>
  <si>
    <t>Pueblo Airport Generating Station</t>
  </si>
  <si>
    <t>SRI International Cogen Project</t>
  </si>
  <si>
    <t>Pendleton County LFGTE</t>
  </si>
  <si>
    <t>Dan River</t>
  </si>
  <si>
    <t>Crystal River</t>
  </si>
  <si>
    <t>1GTA, 1GTB, 2GTA, 2GTB, CC1ST, CC2ST</t>
  </si>
  <si>
    <t>Fore River Generating Station</t>
  </si>
  <si>
    <t>GT11, GT12, ST15</t>
  </si>
  <si>
    <t>Central Utility Plant at White Oak</t>
  </si>
  <si>
    <t>G12, G7, G8, G9</t>
  </si>
  <si>
    <t>Red Hawk</t>
  </si>
  <si>
    <t>AZ</t>
  </si>
  <si>
    <t>Belews Creek</t>
  </si>
  <si>
    <t>ST/BIT, ST/DFO, ST/NG</t>
  </si>
  <si>
    <t>Richmond Generating Station</t>
  </si>
  <si>
    <t>Richmond</t>
  </si>
  <si>
    <t>RCT1, RCT2</t>
  </si>
  <si>
    <t>Springs Generating Station</t>
  </si>
  <si>
    <t>Nine Springs</t>
  </si>
  <si>
    <t>NRG Rockford II Energy Center</t>
  </si>
  <si>
    <t>GT3</t>
  </si>
  <si>
    <t>City of Peru Plank Road Generating Station</t>
  </si>
  <si>
    <t>Hawk Road Facility</t>
  </si>
  <si>
    <t>GA</t>
  </si>
  <si>
    <t>Sayreville</t>
  </si>
  <si>
    <t>Scrubgrass Reclamation CO. LP.</t>
  </si>
  <si>
    <t>Sherwood H Smith Jr Energy Complex</t>
  </si>
  <si>
    <t>001, 002, 003, 004, 6</t>
  </si>
  <si>
    <t>Tom G Smith</t>
  </si>
  <si>
    <t>South Field Energy</t>
  </si>
  <si>
    <t>South Point Energy Center</t>
  </si>
  <si>
    <t>A, B, ST1</t>
  </si>
  <si>
    <t>South Plant (CO)</t>
  </si>
  <si>
    <t>South Harper</t>
  </si>
  <si>
    <t>GT1, GT2, GT3</t>
  </si>
  <si>
    <t>GT4</t>
  </si>
  <si>
    <t>Spruance Operating Services LLC</t>
  </si>
  <si>
    <t>John B Rich Memorial Power Station</t>
  </si>
  <si>
    <t>ST/DFO, ST/WC</t>
  </si>
  <si>
    <t>St Joseph Energy Center</t>
  </si>
  <si>
    <t>Ameresco Stafford</t>
  </si>
  <si>
    <t>Sunbury Generation LP</t>
  </si>
  <si>
    <t>Loyola University Health Plant</t>
  </si>
  <si>
    <t>UNIT1, UNIT2</t>
  </si>
  <si>
    <t>DEPS1</t>
  </si>
  <si>
    <t>University of Florida</t>
  </si>
  <si>
    <t>P1</t>
  </si>
  <si>
    <t>University Park South</t>
  </si>
  <si>
    <t>UPG1, UPG2, UPG3, UPG4, UPG5, UPG6</t>
  </si>
  <si>
    <t>TES Filer City Station</t>
  </si>
  <si>
    <t>Warren F Sam Beasley Generation Station</t>
  </si>
  <si>
    <t>001, 002</t>
  </si>
  <si>
    <t>Port Washington Generating Station</t>
  </si>
  <si>
    <t>1CT1, 1CT2, 2CT1, 2CT2, ST1, ST2</t>
  </si>
  <si>
    <t>Washington County Cogeneration Facility</t>
  </si>
  <si>
    <t>West Station (DE)</t>
  </si>
  <si>
    <t>WEST</t>
  </si>
  <si>
    <t>West Marinette 34</t>
  </si>
  <si>
    <t>34</t>
  </si>
  <si>
    <t>Wheelabrator Hudson Falls</t>
  </si>
  <si>
    <t>Kettle Falls Generating Station</t>
  </si>
  <si>
    <t>Amalgamated Sugar Twin Falls</t>
  </si>
  <si>
    <t>ID</t>
  </si>
  <si>
    <t>1500, 2000, 2500, 4000</t>
  </si>
  <si>
    <t>Winchester Power Park</t>
  </si>
  <si>
    <t>Woodbine Landfill Plant</t>
  </si>
  <si>
    <t>York Energy Center</t>
  </si>
  <si>
    <t>York County Resource Recovery</t>
  </si>
  <si>
    <t>Riverside (OK)</t>
  </si>
  <si>
    <t>Riverside Energy Resource Center</t>
  </si>
  <si>
    <t>Prime Mover</t>
  </si>
  <si>
    <t>Fuel</t>
  </si>
  <si>
    <t>2025 Electric Fuel (MMBtu)</t>
  </si>
  <si>
    <t>Reported Group HR (MMBtu/MWh)</t>
  </si>
  <si>
    <t>Reported Records</t>
  </si>
  <si>
    <t>Data Source</t>
  </si>
  <si>
    <t>GT</t>
  </si>
  <si>
    <t>DFO</t>
  </si>
  <si>
    <t>NG</t>
  </si>
  <si>
    <t>Clinton Power Station</t>
  </si>
  <si>
    <t>ST</t>
  </si>
  <si>
    <t>NUC</t>
  </si>
  <si>
    <t>Christiana</t>
  </si>
  <si>
    <t>RFO</t>
  </si>
  <si>
    <t>BIT</t>
  </si>
  <si>
    <t>Dresden Generating Station</t>
  </si>
  <si>
    <t>SUB</t>
  </si>
  <si>
    <t>Quad Cities Generating Station</t>
  </si>
  <si>
    <t>Fisk Street</t>
  </si>
  <si>
    <t>Baldwin Energy Complex</t>
  </si>
  <si>
    <t>Moline</t>
  </si>
  <si>
    <t>HY</t>
  </si>
  <si>
    <t>WAT</t>
  </si>
  <si>
    <t>Rockton</t>
  </si>
  <si>
    <t>Venice</t>
  </si>
  <si>
    <t>Breese</t>
  </si>
  <si>
    <t>IC</t>
  </si>
  <si>
    <t>Bushnell</t>
  </si>
  <si>
    <t>Carlyle</t>
  </si>
  <si>
    <t>Carmi</t>
  </si>
  <si>
    <t>Farmer City</t>
  </si>
  <si>
    <t>Freeburg</t>
  </si>
  <si>
    <t>Geneseo</t>
  </si>
  <si>
    <t>PV</t>
  </si>
  <si>
    <t>SUN</t>
  </si>
  <si>
    <t>WT</t>
  </si>
  <si>
    <t>WND</t>
  </si>
  <si>
    <t>Highland</t>
  </si>
  <si>
    <t>McLeansboro</t>
  </si>
  <si>
    <t>Marshall (IL)</t>
  </si>
  <si>
    <t>JF</t>
  </si>
  <si>
    <t>Princeton (IL)</t>
  </si>
  <si>
    <t>Rantoul</t>
  </si>
  <si>
    <t>Red Bud</t>
  </si>
  <si>
    <t>North Ninth Street</t>
  </si>
  <si>
    <t>South Main Street</t>
  </si>
  <si>
    <t>Dallman</t>
  </si>
  <si>
    <t>Reynolds</t>
  </si>
  <si>
    <t>Sullivan (IL)</t>
  </si>
  <si>
    <t>Waterloo</t>
  </si>
  <si>
    <t>Winnetka</t>
  </si>
  <si>
    <t>Marion</t>
  </si>
  <si>
    <t>Elkhart</t>
  </si>
  <si>
    <t>Twin Branch</t>
  </si>
  <si>
    <t>Harding Street</t>
  </si>
  <si>
    <t>CC Perry K</t>
  </si>
  <si>
    <t>AES Petersburg</t>
  </si>
  <si>
    <t>Norway (IN)</t>
  </si>
  <si>
    <t>Oakdale</t>
  </si>
  <si>
    <t>Cayuga</t>
  </si>
  <si>
    <t>Edwardsport</t>
  </si>
  <si>
    <t>SGC</t>
  </si>
  <si>
    <t>Markland</t>
  </si>
  <si>
    <t>Noblesville</t>
  </si>
  <si>
    <t>F B Culley</t>
  </si>
  <si>
    <t>Butler-Warner Generation Plant</t>
  </si>
  <si>
    <t>Whitewater Valley</t>
  </si>
  <si>
    <t>Dix Dam</t>
  </si>
  <si>
    <t>E W Brown</t>
  </si>
  <si>
    <t>Ghent</t>
  </si>
  <si>
    <t>Haefling</t>
  </si>
  <si>
    <t>Mother Ann Lee</t>
  </si>
  <si>
    <t>Ohio Falls</t>
  </si>
  <si>
    <t>Barkley</t>
  </si>
  <si>
    <t>Paris (KY)</t>
  </si>
  <si>
    <t>Kentucky Dam</t>
  </si>
  <si>
    <t>Paradise</t>
  </si>
  <si>
    <t>Shawnee</t>
  </si>
  <si>
    <t>Wolf Creek</t>
  </si>
  <si>
    <t>Philadelphia</t>
  </si>
  <si>
    <t>Deep Creek</t>
  </si>
  <si>
    <t>Morgantown Generating Plant</t>
  </si>
  <si>
    <t>Conowingo</t>
  </si>
  <si>
    <t>Alcona</t>
  </si>
  <si>
    <t>Allegan Dam</t>
  </si>
  <si>
    <t>C W Tippy</t>
  </si>
  <si>
    <t>Cooke</t>
  </si>
  <si>
    <t>Croton</t>
  </si>
  <si>
    <t>Dan E Karn</t>
  </si>
  <si>
    <t>Five Channels</t>
  </si>
  <si>
    <t>Foote</t>
  </si>
  <si>
    <t>Hardy</t>
  </si>
  <si>
    <t>Hodenpyl</t>
  </si>
  <si>
    <t>J H Campbell</t>
  </si>
  <si>
    <t>Loud</t>
  </si>
  <si>
    <t>Mio</t>
  </si>
  <si>
    <t>Rogers</t>
  </si>
  <si>
    <t>Webber</t>
  </si>
  <si>
    <t>Colfax</t>
  </si>
  <si>
    <t>Delray</t>
  </si>
  <si>
    <t>Fermi</t>
  </si>
  <si>
    <t>Hancock</t>
  </si>
  <si>
    <t>Monroe (MI)</t>
  </si>
  <si>
    <t>PC</t>
  </si>
  <si>
    <t>Northeast (MI)</t>
  </si>
  <si>
    <t>Placid 12</t>
  </si>
  <si>
    <t>Putnam (MI)</t>
  </si>
  <si>
    <t>St Clair</t>
  </si>
  <si>
    <t>Superior</t>
  </si>
  <si>
    <t>Wilmot</t>
  </si>
  <si>
    <t>Manistique</t>
  </si>
  <si>
    <t>Edison Sault</t>
  </si>
  <si>
    <t>Berrien Springs</t>
  </si>
  <si>
    <t>Buchanan (MI)</t>
  </si>
  <si>
    <t>Superior Falls</t>
  </si>
  <si>
    <t>Constantine</t>
  </si>
  <si>
    <t>Mottville</t>
  </si>
  <si>
    <t>John H Warden</t>
  </si>
  <si>
    <t>TDF</t>
  </si>
  <si>
    <t>WDS</t>
  </si>
  <si>
    <t>Prickett</t>
  </si>
  <si>
    <t>Victoria Dam</t>
  </si>
  <si>
    <t>Chalk Hill</t>
  </si>
  <si>
    <t>Hemlock Falls</t>
  </si>
  <si>
    <t>Kingsford</t>
  </si>
  <si>
    <t>Michigamme Falls</t>
  </si>
  <si>
    <t>Peavy Falls</t>
  </si>
  <si>
    <t>Way Dam</t>
  </si>
  <si>
    <t>White Rapids</t>
  </si>
  <si>
    <t>Grand Rapids</t>
  </si>
  <si>
    <t>Crystal Falls</t>
  </si>
  <si>
    <t>Hillsdale</t>
  </si>
  <si>
    <t>James R Smith</t>
  </si>
  <si>
    <t>Marshall (MI)</t>
  </si>
  <si>
    <t>Norway (MI)</t>
  </si>
  <si>
    <t>Frank Jenkins</t>
  </si>
  <si>
    <t>St Louis</t>
  </si>
  <si>
    <t>Sturgis City Diesel Plant</t>
  </si>
  <si>
    <t>Hydro Plant</t>
  </si>
  <si>
    <t>Saint Marys Falls</t>
  </si>
  <si>
    <t>Wyandotte</t>
  </si>
  <si>
    <t>Zeeland</t>
  </si>
  <si>
    <t>Dafter</t>
  </si>
  <si>
    <t>Tower</t>
  </si>
  <si>
    <t>George Johnson</t>
  </si>
  <si>
    <t>Claude Vandyke</t>
  </si>
  <si>
    <t>Vestaburg</t>
  </si>
  <si>
    <t>KER</t>
  </si>
  <si>
    <t>PSEG Salem Generating Station</t>
  </si>
  <si>
    <t>Howard Down</t>
  </si>
  <si>
    <t>Asheville</t>
  </si>
  <si>
    <t>Blewett</t>
  </si>
  <si>
    <t>Roxboro</t>
  </si>
  <si>
    <t>Tillery</t>
  </si>
  <si>
    <t>Walters</t>
  </si>
  <si>
    <t>W H Weatherspoon</t>
  </si>
  <si>
    <t>Bridgewater</t>
  </si>
  <si>
    <t>Buck</t>
  </si>
  <si>
    <t>James E. Rogers Energy Complex</t>
  </si>
  <si>
    <t>Cowans Ford</t>
  </si>
  <si>
    <t>Lookout Shoals</t>
  </si>
  <si>
    <t>Marshall (NC)</t>
  </si>
  <si>
    <t>Mountain Island</t>
  </si>
  <si>
    <t>Oxford Dam</t>
  </si>
  <si>
    <t>Rhodhiss</t>
  </si>
  <si>
    <t>Cedar Cliff</t>
  </si>
  <si>
    <t>Franklin (NC)</t>
  </si>
  <si>
    <t>Mission</t>
  </si>
  <si>
    <t>Nantahala</t>
  </si>
  <si>
    <t>Tennessee Creek</t>
  </si>
  <si>
    <t>Thorpe</t>
  </si>
  <si>
    <t>Tuckasegee</t>
  </si>
  <si>
    <t>Gaston</t>
  </si>
  <si>
    <t>Roanoke Rapids</t>
  </si>
  <si>
    <t>Chatuge</t>
  </si>
  <si>
    <t>Fontana Dam</t>
  </si>
  <si>
    <t>Hiwassee Dam</t>
  </si>
  <si>
    <t>Buxton</t>
  </si>
  <si>
    <t>Niles Power Plant</t>
  </si>
  <si>
    <t>FirstEnergy Bay Shore</t>
  </si>
  <si>
    <t>Stryker</t>
  </si>
  <si>
    <t>Bryan (OH)</t>
  </si>
  <si>
    <t>Dover (OH)</t>
  </si>
  <si>
    <t>Hamilton (OH)</t>
  </si>
  <si>
    <t>Oberlin (OH)</t>
  </si>
  <si>
    <t>Orrville</t>
  </si>
  <si>
    <t>Painesville</t>
  </si>
  <si>
    <t>Piqua Power Plant</t>
  </si>
  <si>
    <t>St Marys</t>
  </si>
  <si>
    <t>Anadarko</t>
  </si>
  <si>
    <t>Hamilton (PA)</t>
  </si>
  <si>
    <t>Mountain</t>
  </si>
  <si>
    <t>Orrtanna</t>
  </si>
  <si>
    <t>Shawnee (PA)</t>
  </si>
  <si>
    <t>Tolna</t>
  </si>
  <si>
    <t>York Haven</t>
  </si>
  <si>
    <t>Piney</t>
  </si>
  <si>
    <t>WC</t>
  </si>
  <si>
    <t>Holtwood</t>
  </si>
  <si>
    <t>Wallenpaupack</t>
  </si>
  <si>
    <t>Chester Generating Station</t>
  </si>
  <si>
    <t>Eddystone Generating Station</t>
  </si>
  <si>
    <t>Falls</t>
  </si>
  <si>
    <t>Moser Generating Station</t>
  </si>
  <si>
    <t>Peach Bottom</t>
  </si>
  <si>
    <t>Schuylkill Generating Station</t>
  </si>
  <si>
    <t>Southwark</t>
  </si>
  <si>
    <t>Safe Harbor</t>
  </si>
  <si>
    <t>Allen</t>
  </si>
  <si>
    <t>Apalachia</t>
  </si>
  <si>
    <t>Boone Dam</t>
  </si>
  <si>
    <t>Cherokee Dam</t>
  </si>
  <si>
    <t>Chickamauga</t>
  </si>
  <si>
    <t>Cumberland (TN)</t>
  </si>
  <si>
    <t>RC</t>
  </si>
  <si>
    <t>Douglas Dam</t>
  </si>
  <si>
    <t>Fort Patrick Henry</t>
  </si>
  <si>
    <t>Fort Loudoun</t>
  </si>
  <si>
    <t>Gallatin (TN)</t>
  </si>
  <si>
    <t>Great Falls (TN)</t>
  </si>
  <si>
    <t>John Sevier</t>
  </si>
  <si>
    <t>Johnsonville</t>
  </si>
  <si>
    <t>Kingston</t>
  </si>
  <si>
    <t>Melton Hill</t>
  </si>
  <si>
    <t>Nickajack</t>
  </si>
  <si>
    <t>Norris Dam</t>
  </si>
  <si>
    <t>Ocoee 1</t>
  </si>
  <si>
    <t>Ocoee 2</t>
  </si>
  <si>
    <t>Ocoee 3</t>
  </si>
  <si>
    <t>Pickwick Landing Dam</t>
  </si>
  <si>
    <t>South Holston</t>
  </si>
  <si>
    <t>Tims Ford</t>
  </si>
  <si>
    <t>Watauga</t>
  </si>
  <si>
    <t>Watts Bar Hydro</t>
  </si>
  <si>
    <t>Wilbur</t>
  </si>
  <si>
    <t>Cordell Hull</t>
  </si>
  <si>
    <t>Dale Hollow</t>
  </si>
  <si>
    <t>Old Hickory</t>
  </si>
  <si>
    <t>J P Priest</t>
  </si>
  <si>
    <t>Buck Hydro</t>
  </si>
  <si>
    <t>Byllesby 2</t>
  </si>
  <si>
    <t>Claytor</t>
  </si>
  <si>
    <t>Leesville</t>
  </si>
  <si>
    <t>Niagara</t>
  </si>
  <si>
    <t>Reusens</t>
  </si>
  <si>
    <t>Smith Mountain</t>
  </si>
  <si>
    <t>Tasley</t>
  </si>
  <si>
    <t>Luray Hydro Station</t>
  </si>
  <si>
    <t>Newport Hydro Station</t>
  </si>
  <si>
    <t>Low Moor</t>
  </si>
  <si>
    <t>Northern Neck</t>
  </si>
  <si>
    <t>Chesapeake</t>
  </si>
  <si>
    <t>Surry</t>
  </si>
  <si>
    <t>Snowden</t>
  </si>
  <si>
    <t>Pinnacles</t>
  </si>
  <si>
    <t>Radford</t>
  </si>
  <si>
    <t>John H Kerr</t>
  </si>
  <si>
    <t>WO</t>
  </si>
  <si>
    <t>Greenup Hydro</t>
  </si>
  <si>
    <t>Donald C Cook</t>
  </si>
  <si>
    <t>Racine</t>
  </si>
  <si>
    <t>Calvert Cliffs Nuclear Power Plant</t>
  </si>
  <si>
    <t>Brunswick Nuclear</t>
  </si>
  <si>
    <t>Harris (NC)</t>
  </si>
  <si>
    <t>Newton</t>
  </si>
  <si>
    <t>Perry</t>
  </si>
  <si>
    <t>Braidwood Generation Station</t>
  </si>
  <si>
    <t>Byron Generating Station</t>
  </si>
  <si>
    <t>LaSalle Generating Station</t>
  </si>
  <si>
    <t>Greenwood (MI)</t>
  </si>
  <si>
    <t>McGuire</t>
  </si>
  <si>
    <t>Beaver Valley</t>
  </si>
  <si>
    <t>R M Schahfer</t>
  </si>
  <si>
    <t>TalenEnergy Susquehanna</t>
  </si>
  <si>
    <t>Limerick</t>
  </si>
  <si>
    <t>Gibson</t>
  </si>
  <si>
    <t>PSEG Hope Creek Generating Station</t>
  </si>
  <si>
    <t>A B Brown</t>
  </si>
  <si>
    <t>Davis Besse</t>
  </si>
  <si>
    <t>Sequoyah</t>
  </si>
  <si>
    <t>North Anna</t>
  </si>
  <si>
    <t>Laurel Dam</t>
  </si>
  <si>
    <t>Merom</t>
  </si>
  <si>
    <t>Pearl Station</t>
  </si>
  <si>
    <t>Mayo</t>
  </si>
  <si>
    <t>Detour</t>
  </si>
  <si>
    <t>Ocracoke Hybrid</t>
  </si>
  <si>
    <t>Tangier</t>
  </si>
  <si>
    <t>Smith Island</t>
  </si>
  <si>
    <t>Center Hill</t>
  </si>
  <si>
    <t>Cheatham</t>
  </si>
  <si>
    <t>Queens Creek</t>
  </si>
  <si>
    <t>Dam No. 4 Hydro Station</t>
  </si>
  <si>
    <t>Dam No. 5 Hydro Station</t>
  </si>
  <si>
    <t>Millville Hydro Station</t>
  </si>
  <si>
    <t>London</t>
  </si>
  <si>
    <t>Marmet</t>
  </si>
  <si>
    <t>Winfield</t>
  </si>
  <si>
    <t>Berlin</t>
  </si>
  <si>
    <t>Lake Lynn Hydro Station</t>
  </si>
  <si>
    <t>R D Green</t>
  </si>
  <si>
    <t>Warrick</t>
  </si>
  <si>
    <t>D B Wilson</t>
  </si>
  <si>
    <t>Hoist</t>
  </si>
  <si>
    <t>McClure Dam</t>
  </si>
  <si>
    <t>Cataract (MI)</t>
  </si>
  <si>
    <t>William F Matson Generating Station</t>
  </si>
  <si>
    <t>491 E 48th Street</t>
  </si>
  <si>
    <t>Van Sant Station</t>
  </si>
  <si>
    <t>Falling Spring</t>
  </si>
  <si>
    <t>Water Street Station</t>
  </si>
  <si>
    <t>Henry Station</t>
  </si>
  <si>
    <t>Interstate</t>
  </si>
  <si>
    <t>Edenton Generators</t>
  </si>
  <si>
    <t>Church Street Plant</t>
  </si>
  <si>
    <t>Godwin Drive Plant</t>
  </si>
  <si>
    <t>VMEA 1 Credit Gen</t>
  </si>
  <si>
    <t>VMEA Peaking Gen</t>
  </si>
  <si>
    <t>Upper Sterling</t>
  </si>
  <si>
    <t>Wayne County Energy Complex</t>
  </si>
  <si>
    <t>State Farm</t>
  </si>
  <si>
    <t>Belleville Dam</t>
  </si>
  <si>
    <t>Prospect Municipal</t>
  </si>
  <si>
    <t>Auglaize Hydro</t>
  </si>
  <si>
    <t>Watts Bar Nuclear Plant</t>
  </si>
  <si>
    <t>Georgetown</t>
  </si>
  <si>
    <t>Tilton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</si>
  <si>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</si>
  <si>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</si>
  <si>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</si>
  <si>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</si>
  <si>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</si>
  <si>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</si>
  <si>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</si>
  <si>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Hamilton Peaking</t>
  </si>
  <si>
    <t>Bowling Green Peaking</t>
  </si>
  <si>
    <t>Montpelier</t>
  </si>
  <si>
    <t>Dominion/Lo Mar</t>
  </si>
  <si>
    <t>Gateway Gen</t>
  </si>
  <si>
    <t>Pine Street</t>
  </si>
  <si>
    <t>Hamilton Hydro</t>
  </si>
  <si>
    <t>Alsey</t>
  </si>
  <si>
    <t>Big Quinnesec 92</t>
  </si>
  <si>
    <t>Big Quinnesec 61</t>
  </si>
  <si>
    <t>Rowan</t>
  </si>
  <si>
    <t>Shelby North</t>
  </si>
  <si>
    <t>Shelby South</t>
  </si>
  <si>
    <t>Beaver Island</t>
  </si>
  <si>
    <t>Avenue A Generator Sets</t>
  </si>
  <si>
    <t>Edgerton</t>
  </si>
  <si>
    <t>Wellington</t>
  </si>
  <si>
    <t>Powell Valley</t>
  </si>
  <si>
    <t>Galion</t>
  </si>
  <si>
    <t>Seville</t>
  </si>
  <si>
    <t>Gaylord - Wolverine</t>
  </si>
  <si>
    <t>Industrial Park</t>
  </si>
  <si>
    <t>Sumpter</t>
  </si>
  <si>
    <t>Kalkaska CT #1</t>
  </si>
  <si>
    <t>Altamont</t>
  </si>
  <si>
    <t>Croydon CT Generating Station</t>
  </si>
  <si>
    <t>Factory</t>
  </si>
  <si>
    <t>Seneca Generation LLC</t>
  </si>
  <si>
    <t>WestRock-West Point Mill</t>
  </si>
  <si>
    <t>BLQ</t>
  </si>
  <si>
    <t>SLW</t>
  </si>
  <si>
    <t>Energy Center Dover</t>
  </si>
  <si>
    <t>Wabtec U.S Rail, Grove City Engine Plant</t>
  </si>
  <si>
    <t>Mars Wrigley Confectionery US, LLC</t>
  </si>
  <si>
    <t>MSB</t>
  </si>
  <si>
    <t>MSN</t>
  </si>
  <si>
    <t>CIP II/AR Bridgewater Holdings - NJCOE</t>
  </si>
  <si>
    <t>Hoffmann LaRoche</t>
  </si>
  <si>
    <t>Indiana University of Pennsylvania</t>
  </si>
  <si>
    <t>PG</t>
  </si>
  <si>
    <t>Brasfield</t>
  </si>
  <si>
    <t>Metropolitan Sewerage District</t>
  </si>
  <si>
    <t>Escanaba Mill</t>
  </si>
  <si>
    <t>Merck Rahway Power Plant</t>
  </si>
  <si>
    <t>Pixelle Specialty Solutions LLC - Chilli</t>
  </si>
  <si>
    <t>ArcelorMittal Burns Harbor</t>
  </si>
  <si>
    <t>BFG</t>
  </si>
  <si>
    <t>OG</t>
  </si>
  <si>
    <t>Domtar Kingsport Mill</t>
  </si>
  <si>
    <t>OBS</t>
  </si>
  <si>
    <t>Haw River Hydro</t>
  </si>
  <si>
    <t>Townsend Hydro</t>
  </si>
  <si>
    <t>Sayreville Cogeneration Facility</t>
  </si>
  <si>
    <t>T B Simon Power Plant</t>
  </si>
  <si>
    <t>Indiana Harbor West</t>
  </si>
  <si>
    <t>Cleveland Works</t>
  </si>
  <si>
    <t>Expander Turbine</t>
  </si>
  <si>
    <t>OT</t>
  </si>
  <si>
    <t>Dayton Hydro</t>
  </si>
  <si>
    <t>Craven County Wood Energy LP</t>
  </si>
  <si>
    <t>LFG</t>
  </si>
  <si>
    <t>Beaver Valley Patterson Dam</t>
  </si>
  <si>
    <t>High Shoals Hydro (NC)</t>
  </si>
  <si>
    <t>Wheelabrator Baltimore Refuse</t>
  </si>
  <si>
    <t>Covanta Essex Company</t>
  </si>
  <si>
    <t>French Paper Hydro</t>
  </si>
  <si>
    <t>Eastern Correctional Institute</t>
  </si>
  <si>
    <t>Midland Cogeneration Venture</t>
  </si>
  <si>
    <t>Hopewell Power Station</t>
  </si>
  <si>
    <t>Altavista Power Station</t>
  </si>
  <si>
    <t>Southampton Power Station</t>
  </si>
  <si>
    <t>Ada Cogeneration LP</t>
  </si>
  <si>
    <t>Grayling Generating Station</t>
  </si>
  <si>
    <t>Archer Daniels Midland Decatur</t>
  </si>
  <si>
    <t>Archer Daniels Midland Peoria</t>
  </si>
  <si>
    <t>Primient Decatur Plant Cogen</t>
  </si>
  <si>
    <t>Lockport Powerhouse</t>
  </si>
  <si>
    <t>Glen Ferris Hydro</t>
  </si>
  <si>
    <t>Hawks Nest Hydro</t>
  </si>
  <si>
    <t>New Martinsville Hannibal Hydro</t>
  </si>
  <si>
    <t>Vicinity Energy Trenton, L.P.</t>
  </si>
  <si>
    <t>Emporia</t>
  </si>
  <si>
    <t>Halifax (VA)</t>
  </si>
  <si>
    <t>International Paper Co. - New Bern Mill</t>
  </si>
  <si>
    <t>Domtar Paper Co LLC Plymouth NC</t>
  </si>
  <si>
    <t>Purdue University</t>
  </si>
  <si>
    <t>Billerud Quinnesec Mill</t>
  </si>
  <si>
    <t>KapStone Kraft Paper Corp</t>
  </si>
  <si>
    <t>Corewell Health Dearborn Campus</t>
  </si>
  <si>
    <t>Park 500 Philip Morris USA</t>
  </si>
  <si>
    <t>Packaging Corp of America</t>
  </si>
  <si>
    <t>Alpena Cement Plant</t>
  </si>
  <si>
    <t>Bunge North America East LLC</t>
  </si>
  <si>
    <t>Nalco</t>
  </si>
  <si>
    <t>University of Notre Dame</t>
  </si>
  <si>
    <t>Pixelle Specialty Solutions LLC - Spring</t>
  </si>
  <si>
    <t>Menominee Mill Marinette</t>
  </si>
  <si>
    <t>Chester Operations</t>
  </si>
  <si>
    <t>Rutgers Biomedical and Health Cogen</t>
  </si>
  <si>
    <t>University of Michigan</t>
  </si>
  <si>
    <t>Ada Dam</t>
  </si>
  <si>
    <t>Cascade Dam (MI)</t>
  </si>
  <si>
    <t>French Landing Dam</t>
  </si>
  <si>
    <t>Procter &amp; Gamble Mehoopany Mill</t>
  </si>
  <si>
    <t>Tennessee Eastman Operations</t>
  </si>
  <si>
    <t>OTH</t>
  </si>
  <si>
    <t>Axiall Natrium Plant</t>
  </si>
  <si>
    <t>PCS Phosphate</t>
  </si>
  <si>
    <t>WH</t>
  </si>
  <si>
    <t>Rosemary Power Station</t>
  </si>
  <si>
    <t>Settlers Hill Gas Recovery</t>
  </si>
  <si>
    <t>Milam Gas Recovery</t>
  </si>
  <si>
    <t>Chestnut Ridge Gas Recovery</t>
  </si>
  <si>
    <t>CID Gas Recovery</t>
  </si>
  <si>
    <t>Lake Gas Recovery</t>
  </si>
  <si>
    <t>ExxonMobil Oil Joliet Refinery</t>
  </si>
  <si>
    <t>Paulsboro Refinery</t>
  </si>
  <si>
    <t>Covanta Indianapolis Energy</t>
  </si>
  <si>
    <t>Montgomery County Resource Recovery</t>
  </si>
  <si>
    <t>Covanta Fairfax Energy</t>
  </si>
  <si>
    <t>Covanta Alexandria/Arlington Energy</t>
  </si>
  <si>
    <t>Tazewell Gas Recovery</t>
  </si>
  <si>
    <t>Clairton Works</t>
  </si>
  <si>
    <t>Mon Valley Works</t>
  </si>
  <si>
    <t>Gary Works</t>
  </si>
  <si>
    <t>National Energy of McBain</t>
  </si>
  <si>
    <t>Hopewell Mill</t>
  </si>
  <si>
    <t>Lancaster County Resource Recovery</t>
  </si>
  <si>
    <t>Kent County Waste to Energy Facility</t>
  </si>
  <si>
    <t>Wheelabrator Gloucester LP</t>
  </si>
  <si>
    <t>Allegheny No. 5 Hydro Station</t>
  </si>
  <si>
    <t>Allegheny No 6 Hydro Station</t>
  </si>
  <si>
    <t>Allegheny Hydro No 8</t>
  </si>
  <si>
    <t>Allegheny Hydro No 9</t>
  </si>
  <si>
    <t>Covington Facility</t>
  </si>
  <si>
    <t>Sagamore Plant Cogeneration</t>
  </si>
  <si>
    <t>Caterpillar</t>
  </si>
  <si>
    <t>Union County Resource Recovery</t>
  </si>
  <si>
    <t>Toledo Ref Power Recovery Train</t>
  </si>
  <si>
    <t>Doswell Energy Center</t>
  </si>
  <si>
    <t>Yough Hydro Power</t>
  </si>
  <si>
    <t>Vanderbilt University Power Plant</t>
  </si>
  <si>
    <t>Great Falls Hydro Project</t>
  </si>
  <si>
    <t>Radford Army Ammunition Plant</t>
  </si>
  <si>
    <t>Celanese Acetate LLC</t>
  </si>
  <si>
    <t>Whiting Refinery</t>
  </si>
  <si>
    <t>Elkton</t>
  </si>
  <si>
    <t>West Point (PA)</t>
  </si>
  <si>
    <t>International Paper Franklin Mill</t>
  </si>
  <si>
    <t>Conemaugh Hydro Plant</t>
  </si>
  <si>
    <t>Delaware City Plant</t>
  </si>
  <si>
    <t>University of Illinois Cogen Facility</t>
  </si>
  <si>
    <t>Riverview Energy Systems</t>
  </si>
  <si>
    <t>Newman (PA)</t>
  </si>
  <si>
    <t>Univ of NC Chapel Hill Cogen Facility</t>
  </si>
  <si>
    <t>Bucknell University</t>
  </si>
  <si>
    <t>Morton Salt Rittman</t>
  </si>
  <si>
    <t>Norway Point Hydropower Project</t>
  </si>
  <si>
    <t>Four Mile Hydropower Project</t>
  </si>
  <si>
    <t>Ninth Street Hydropower Project</t>
  </si>
  <si>
    <t>Shelby, NC</t>
  </si>
  <si>
    <t>Cadillac Renewable Energy</t>
  </si>
  <si>
    <t>Hoffer Plastics</t>
  </si>
  <si>
    <t>Sumpter Energy Associates</t>
  </si>
  <si>
    <t>Venice Resources Gas Recovery</t>
  </si>
  <si>
    <t>Charter Dura-Bar</t>
  </si>
  <si>
    <t>Ingredion Incorporated</t>
  </si>
  <si>
    <t>Bayville Central Facility</t>
  </si>
  <si>
    <t>OBG</t>
  </si>
  <si>
    <t>Warner Lambert</t>
  </si>
  <si>
    <t>Ingredion Winston Salem</t>
  </si>
  <si>
    <t>Reworld Plymouth LLC</t>
  </si>
  <si>
    <t>St Nicholas Cogen Project</t>
  </si>
  <si>
    <t>Johnsonburg Mill</t>
  </si>
  <si>
    <t>Schoolfield Dam</t>
  </si>
  <si>
    <t>International Paper Riegelwood Mill</t>
  </si>
  <si>
    <t>Woodland Landfill Gas Recovery</t>
  </si>
  <si>
    <t>I 95 Landfill Phase II</t>
  </si>
  <si>
    <t>Hendricks Regional Health</t>
  </si>
  <si>
    <t>Wheelabrator Falls</t>
  </si>
  <si>
    <t>Genesee Power Station LP</t>
  </si>
  <si>
    <t>Coopersville</t>
  </si>
  <si>
    <t>University of Illinois Abbott Power Plt</t>
  </si>
  <si>
    <t>Grays Ferry Cogeneration</t>
  </si>
  <si>
    <t>CSL Behring LLC</t>
  </si>
  <si>
    <t>Domino Sugar Baltimore</t>
  </si>
  <si>
    <t>Avalon Hydropower</t>
  </si>
  <si>
    <t>Smithfield Farmland Corp Bladen</t>
  </si>
  <si>
    <t>Bristol Myers Squibb New Brunswick</t>
  </si>
  <si>
    <t>Brandywine Power Facility</t>
  </si>
  <si>
    <t>Gordonsville Energy LP</t>
  </si>
  <si>
    <t>Cox Waste to Energy</t>
  </si>
  <si>
    <t>Presence Saint Mary of Nazareth Hospital</t>
  </si>
  <si>
    <t>DSM Pharmaceuticals</t>
  </si>
  <si>
    <t>Peoples Generating Station</t>
  </si>
  <si>
    <t>Narrows (NC)</t>
  </si>
  <si>
    <t>Falls Hydro</t>
  </si>
  <si>
    <t>High Rock Hydro</t>
  </si>
  <si>
    <t>Tuckertown Hydro</t>
  </si>
  <si>
    <t>Santeetlah</t>
  </si>
  <si>
    <t>Cheoah</t>
  </si>
  <si>
    <t>Calderwood</t>
  </si>
  <si>
    <t>Chilhowee</t>
  </si>
  <si>
    <t>Adrian Energy Associates LLC</t>
  </si>
  <si>
    <t>Brent Run Generating Station</t>
  </si>
  <si>
    <t>Michigan Power LP</t>
  </si>
  <si>
    <t>Deercroft I &amp; II LFGTE</t>
  </si>
  <si>
    <t>Cargill Salt</t>
  </si>
  <si>
    <t>Dixon Hydroelectric Dam</t>
  </si>
  <si>
    <t>Sauder Power Plant</t>
  </si>
  <si>
    <t>Salem Energy Systems LLC</t>
  </si>
  <si>
    <t>Pine Tree Acres</t>
  </si>
  <si>
    <t>Indiana Harbor E 5 AC Station</t>
  </si>
  <si>
    <t>Murphy-Brown LLC</t>
  </si>
  <si>
    <t>Greene Valley Gas Recovery</t>
  </si>
  <si>
    <t>University of Tennessee Steam Plant</t>
  </si>
  <si>
    <t>Opryland USA</t>
  </si>
  <si>
    <t>Livingston Generating Facility</t>
  </si>
  <si>
    <t>Heat Recovery Coke Facility</t>
  </si>
  <si>
    <t>MPEA Energy Center</t>
  </si>
  <si>
    <t>Lakeview Gas Recovery</t>
  </si>
  <si>
    <t>Brownsville Peaking Power</t>
  </si>
  <si>
    <t>Zeeland Generating Station</t>
  </si>
  <si>
    <t>Dearborn Industrial Generation</t>
  </si>
  <si>
    <t>Portside Energy</t>
  </si>
  <si>
    <t>Kalamazoo River Generating Station</t>
  </si>
  <si>
    <t>Livingston Generating Station</t>
  </si>
  <si>
    <t>Madison</t>
  </si>
  <si>
    <t>Vermillion Energy Facility</t>
  </si>
  <si>
    <t>Rockingham County CT Station</t>
  </si>
  <si>
    <t>Worthington Generation LLC</t>
  </si>
  <si>
    <t>Pinckneyville</t>
  </si>
  <si>
    <t>Kinmundy</t>
  </si>
  <si>
    <t>Wheatland Generating Facility</t>
  </si>
  <si>
    <t>Marshall Energy Facility</t>
  </si>
  <si>
    <t>Gleason Generating Facility</t>
  </si>
  <si>
    <t>Whiting Clean Energy</t>
  </si>
  <si>
    <t>Bowling Green Generating Station</t>
  </si>
  <si>
    <t>Galion Generating Station</t>
  </si>
  <si>
    <t>Napoleon Peaking Station</t>
  </si>
  <si>
    <t>Wolf Hills Energy</t>
  </si>
  <si>
    <t>Calumet Energy Team LLC</t>
  </si>
  <si>
    <t>New Covert Generating Facility</t>
  </si>
  <si>
    <t>Fairless Energy Center</t>
  </si>
  <si>
    <t>Calvert City</t>
  </si>
  <si>
    <t>Holland Energy Facility</t>
  </si>
  <si>
    <t>Armstrong</t>
  </si>
  <si>
    <t>Pleasants Energy LLC</t>
  </si>
  <si>
    <t>Sugar Creek Power</t>
  </si>
  <si>
    <t>Commonwealth Chesapeake</t>
  </si>
  <si>
    <t>Rolling Hills Generating</t>
  </si>
  <si>
    <t>Renaissance Power Plant</t>
  </si>
  <si>
    <t>Kentucky Mills</t>
  </si>
  <si>
    <t>Tenaska Virginia Generating Station</t>
  </si>
  <si>
    <t>Indeck Niles Energy Center</t>
  </si>
  <si>
    <t>Fayette Energy Facility</t>
  </si>
  <si>
    <t>Water Filter Plant #2</t>
  </si>
  <si>
    <t>GRS Arbor Hills</t>
  </si>
  <si>
    <t>GRS C&amp;C</t>
  </si>
  <si>
    <t>GRS CMS</t>
  </si>
  <si>
    <t>Chambersburg</t>
  </si>
  <si>
    <t>Bethlehem Power Plant</t>
  </si>
  <si>
    <t>Allegheny Energy Units 3 4 &amp; 5</t>
  </si>
  <si>
    <t>Dean</t>
  </si>
  <si>
    <t>Green Knight Energy Center</t>
  </si>
  <si>
    <t>Otsego Mill Power Plant</t>
  </si>
  <si>
    <t>Marcus Hook Energy LP</t>
  </si>
  <si>
    <t>Somerset Windpower LLC</t>
  </si>
  <si>
    <t>Mill Run Windpower LLC</t>
  </si>
  <si>
    <t>Prairie State Generating Station</t>
  </si>
  <si>
    <t>McMinnville</t>
  </si>
  <si>
    <t>NAEA Ocean Peaking Power LLC</t>
  </si>
  <si>
    <t>Pretlow</t>
  </si>
  <si>
    <t>Downtown</t>
  </si>
  <si>
    <t>Brown Station Road Plant II</t>
  </si>
  <si>
    <t>Mountaineer Wind Energy Center</t>
  </si>
  <si>
    <t>Ashtabula</t>
  </si>
  <si>
    <t>Orchard Park</t>
  </si>
  <si>
    <t>Waymart Wind</t>
  </si>
  <si>
    <t>Mount Clinton</t>
  </si>
  <si>
    <t>Pleasant Valley (VA)</t>
  </si>
  <si>
    <t>Smithfield Packaged Meats Corp (Wilson)</t>
  </si>
  <si>
    <t>Meyersdale Windpower, LLC</t>
  </si>
  <si>
    <t>Casey City of</t>
  </si>
  <si>
    <t>IMEA Flora</t>
  </si>
  <si>
    <t>Flora Site A</t>
  </si>
  <si>
    <t>Flora Site B</t>
  </si>
  <si>
    <t>Middlesex County Utilities Authority</t>
  </si>
  <si>
    <t>Mendota Hills, LLC</t>
  </si>
  <si>
    <t>Central Michigan University</t>
  </si>
  <si>
    <t>Bowling Green Wind</t>
  </si>
  <si>
    <t>Anson County Generation Facility</t>
  </si>
  <si>
    <t>High Point, Pump Station Rd</t>
  </si>
  <si>
    <t>Gastonia, Tulip Drive</t>
  </si>
  <si>
    <t>Albemarle Prime Power Park</t>
  </si>
  <si>
    <t>Bavarian LFGTE</t>
  </si>
  <si>
    <t>Green Valley LFGTE</t>
  </si>
  <si>
    <t>Salem Water Plant</t>
  </si>
  <si>
    <t>Salem Street Dept</t>
  </si>
  <si>
    <t>Hamlet Generating Facility</t>
  </si>
  <si>
    <t>Bayway Refinery</t>
  </si>
  <si>
    <t>Crescent Ridge</t>
  </si>
  <si>
    <t>Wind Park Bear Creek</t>
  </si>
  <si>
    <t>Jersey-Atlantic Wind Farm</t>
  </si>
  <si>
    <t>Gauley River Power Partners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</si>
  <si>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</si>
  <si>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</si>
  <si>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</si>
  <si>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</si>
  <si>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</si>
  <si>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</si>
  <si>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Danville Kentuck Road Plant</t>
  </si>
  <si>
    <t>Electric Avenue Facility</t>
  </si>
  <si>
    <t>Water Treatment Plant Generators</t>
  </si>
  <si>
    <t>Casselman Wind Power Project</t>
  </si>
  <si>
    <t>Pike County Wind Power</t>
  </si>
  <si>
    <t>Agriwind</t>
  </si>
  <si>
    <t>Michigan Wind 1</t>
  </si>
  <si>
    <t>Beecher Gas Recovery</t>
  </si>
  <si>
    <t>Renick Run Pumping Station 03-04</t>
  </si>
  <si>
    <t>PS ST-8 Engine No 1</t>
  </si>
  <si>
    <t>ST-1/1A Engine No 1</t>
  </si>
  <si>
    <t>Dodge Park Engine No 1</t>
  </si>
  <si>
    <t>Ameresco Delaware South</t>
  </si>
  <si>
    <t>GSG LLC</t>
  </si>
  <si>
    <t>Allegheny Ridge Wind Farm</t>
  </si>
  <si>
    <t>Geneva Generation Facility</t>
  </si>
  <si>
    <t>Oak Ridge LFGTE</t>
  </si>
  <si>
    <t>Liberty I &amp; II LFGTE</t>
  </si>
  <si>
    <t>Locust Ridge</t>
  </si>
  <si>
    <t>NedPower Mount Storm</t>
  </si>
  <si>
    <t>Riley Generating Station</t>
  </si>
  <si>
    <t>Municipal Power Plant</t>
  </si>
  <si>
    <t>Pennsauken Landfill</t>
  </si>
  <si>
    <t>Salem Electric Department</t>
  </si>
  <si>
    <t>Five Oaks Gas Recovery</t>
  </si>
  <si>
    <t>Bostic Delivery No 2</t>
  </si>
  <si>
    <t>Drexel Operations Center</t>
  </si>
  <si>
    <t>Granite Falls Walmart</t>
  </si>
  <si>
    <t>Huntersville Delivery No 2</t>
  </si>
  <si>
    <t>Catawba River Pollution Control</t>
  </si>
  <si>
    <t>PPS Power Plant No 1</t>
  </si>
  <si>
    <t>Old Trail Wind Farm</t>
  </si>
  <si>
    <t>Providence Heights Wind LLC</t>
  </si>
  <si>
    <t>Harvest</t>
  </si>
  <si>
    <t>Camp Grove Wind Farm</t>
  </si>
  <si>
    <t>North Allegheny Windpower Project</t>
  </si>
  <si>
    <t>Michigan Wind 2</t>
  </si>
  <si>
    <t>NIH Cogeneration Facility</t>
  </si>
  <si>
    <t>Benton County Wind Farm</t>
  </si>
  <si>
    <t>Wicomico</t>
  </si>
  <si>
    <t>Amelia</t>
  </si>
  <si>
    <t>Brunswick Landfill Gas</t>
  </si>
  <si>
    <t>Charles City</t>
  </si>
  <si>
    <t>Chesterfield Landfill Gas</t>
  </si>
  <si>
    <t>New Bern</t>
  </si>
  <si>
    <t>Pine Grove</t>
  </si>
  <si>
    <t>Forward Windpower LLC</t>
  </si>
  <si>
    <t>Lookout Windpower LLC</t>
  </si>
  <si>
    <t>Haworth Water Treatment Plant</t>
  </si>
  <si>
    <t>Locust Ridge II LLC</t>
  </si>
  <si>
    <t>Fowler Ridge Wind Farm LLC</t>
  </si>
  <si>
    <t>Virginia Tech Power Plant</t>
  </si>
  <si>
    <t>South Chestnut LLC</t>
  </si>
  <si>
    <t>EcoGrove Wind LLC</t>
  </si>
  <si>
    <t>CPV St Charles Energy Center</t>
  </si>
  <si>
    <t>Haverhill North Cogeneration Facility</t>
  </si>
  <si>
    <t>Lanchester Generating Station</t>
  </si>
  <si>
    <t>Bryon Center</t>
  </si>
  <si>
    <t>Pinconning White Feather</t>
  </si>
  <si>
    <t>Rail Splitter Wind Farm</t>
  </si>
  <si>
    <t>Meldahl Hydroelectric Project</t>
  </si>
  <si>
    <t>Hall's Warehouse Solar Project</t>
  </si>
  <si>
    <t>Hoosier Wind Project LLC</t>
  </si>
  <si>
    <t>Pennsauken Solar</t>
  </si>
  <si>
    <t>Cumberland County Solid Waste Complex</t>
  </si>
  <si>
    <t>Cumberland County PA LFG Recovery</t>
  </si>
  <si>
    <t>Warren County Solar</t>
  </si>
  <si>
    <t>Norther Tier Landfill</t>
  </si>
  <si>
    <t>SAS Solar Farm</t>
  </si>
  <si>
    <t>SunEdison LV Sutton Plant Site</t>
  </si>
  <si>
    <t>Grand Ridge Wind Energy Center</t>
  </si>
  <si>
    <t>Gastonia Prime Power Park</t>
  </si>
  <si>
    <t>West Deptford Energy Station</t>
  </si>
  <si>
    <t>Bayonne Energy Center</t>
  </si>
  <si>
    <t>RMQ 1 and 2</t>
  </si>
  <si>
    <t>Stony Creek Wind Farm LLC</t>
  </si>
  <si>
    <t>MF Mesa Lane LLC</t>
  </si>
  <si>
    <t>Waste Management Northern Oaks LFGTE</t>
  </si>
  <si>
    <t>Cleveland Cnty Generating Facility</t>
  </si>
  <si>
    <t>Armenia Mountain Wind Farm</t>
  </si>
  <si>
    <t>Granite City Works</t>
  </si>
  <si>
    <t>PUR</t>
  </si>
  <si>
    <t>Calpine Vineland Solar LLC</t>
  </si>
  <si>
    <t>Streator Cayuga Ridge South</t>
  </si>
  <si>
    <t>Meadow Lake Wind Farm LLC</t>
  </si>
  <si>
    <t>Blackstone Wind Farm LLC</t>
  </si>
  <si>
    <t>Meadow Lake Wind Farm II LLC</t>
  </si>
  <si>
    <t>Blackstone Wind Farm II LLC</t>
  </si>
  <si>
    <t>Meadow Lake Wind Farm III LLC</t>
  </si>
  <si>
    <t>Stoney Corners Wind Farm</t>
  </si>
  <si>
    <t>Big Sky Wind LLC</t>
  </si>
  <si>
    <t>Cambria Wind LLC</t>
  </si>
  <si>
    <t>Beech Ridge Energy LLC</t>
  </si>
  <si>
    <t>Waste Management Piedmont LFGTE Project</t>
  </si>
  <si>
    <t>Suburban Landfill Gas Recovery</t>
  </si>
  <si>
    <t>University of Delaware Wind Turbine</t>
  </si>
  <si>
    <t>Meadow Lake Wind Farm IV</t>
  </si>
  <si>
    <t>PPL Frey Farm Landfill Wind</t>
  </si>
  <si>
    <t>Exelon Solar Chicago</t>
  </si>
  <si>
    <t>High Point, POLO</t>
  </si>
  <si>
    <t>Shelby Solar Energy Generation Facility</t>
  </si>
  <si>
    <t>Wyandot Solar Farm</t>
  </si>
  <si>
    <t>Crayola Solar Project</t>
  </si>
  <si>
    <t>Roth Rock Wind Farm LLC</t>
  </si>
  <si>
    <t>Roth Rock North Wind Farm, LLC</t>
  </si>
  <si>
    <t>North American - Erie Generating Station</t>
  </si>
  <si>
    <t>Earthmovers LFGTE</t>
  </si>
  <si>
    <t>PA Solar Park</t>
  </si>
  <si>
    <t>Chestnut Flats Wind Farm</t>
  </si>
  <si>
    <t>Minonk Wind Farm</t>
  </si>
  <si>
    <t>Sandy Ridge Wind Farm</t>
  </si>
  <si>
    <t>Criterion</t>
  </si>
  <si>
    <t>Mayberry Solar LLC</t>
  </si>
  <si>
    <t>FPL Energy Illinois Wind LLC Hybrid</t>
  </si>
  <si>
    <t>Kent County Wastewater Treatment Solar</t>
  </si>
  <si>
    <t>DE Solar 1725 Drywall Dr</t>
  </si>
  <si>
    <t>Dover Sun Park</t>
  </si>
  <si>
    <t>Silver Lake Solar Farm</t>
  </si>
  <si>
    <t>White Oak Energy LLC</t>
  </si>
  <si>
    <t>Trenton Solar Farm</t>
  </si>
  <si>
    <t>Henrico</t>
  </si>
  <si>
    <t>Morgantown Solar Park</t>
  </si>
  <si>
    <t>Mas Durham Power, LLC</t>
  </si>
  <si>
    <t>Pocono Solar Project</t>
  </si>
  <si>
    <t>Linden Solar Farm</t>
  </si>
  <si>
    <t>Yardville Solar Farm</t>
  </si>
  <si>
    <t>WEA Texas Bayonne</t>
  </si>
  <si>
    <t>Matrix Buildings A&amp;B (Perth Amboy) Solar</t>
  </si>
  <si>
    <t>Haleon York RDC Solar Facility</t>
  </si>
  <si>
    <t>Dow Jones South Brunswick Solar</t>
  </si>
  <si>
    <t>Cannelton Hydroelectric Plant</t>
  </si>
  <si>
    <t>Smithland Hydroelectric Plant</t>
  </si>
  <si>
    <t>Willow Island Hydroelectric Plant</t>
  </si>
  <si>
    <t>Taylorsville Solar LLC</t>
  </si>
  <si>
    <t>Eagle Valley (MI)</t>
  </si>
  <si>
    <t>West Camden</t>
  </si>
  <si>
    <t>Knouse Solar Project 1</t>
  </si>
  <si>
    <t>Gratiot Wind Park</t>
  </si>
  <si>
    <t>Solar Star North Carolina II LLC</t>
  </si>
  <si>
    <t>Davidson Gas Producers LLC</t>
  </si>
  <si>
    <t>Pine Tree Acres WM LFGTE</t>
  </si>
  <si>
    <t>Laurel Mountain Hybrid</t>
  </si>
  <si>
    <t>Pilesgrove</t>
  </si>
  <si>
    <t>Blue Creek Wind Project</t>
  </si>
  <si>
    <t>145 Talmadge Solar</t>
  </si>
  <si>
    <t>Martins Creek Solar NC, LLC</t>
  </si>
  <si>
    <t>Napoleon Solar I</t>
  </si>
  <si>
    <t>Bishop Hill Energy LLC</t>
  </si>
  <si>
    <t>Romark PA Solar</t>
  </si>
  <si>
    <t>Blue Ridge Landfill</t>
  </si>
  <si>
    <t>Murray Hill Solar</t>
  </si>
  <si>
    <t>Flemington Solar</t>
  </si>
  <si>
    <t>Frenchtown I Solar</t>
  </si>
  <si>
    <t>Frenchtown II Solar</t>
  </si>
  <si>
    <t>Lebanon Solar</t>
  </si>
  <si>
    <t>Settlers Trail Wind Farm LLC</t>
  </si>
  <si>
    <t>Masser Farms Realty Solar</t>
  </si>
  <si>
    <t>Monroe Generating Station</t>
  </si>
  <si>
    <t>ETS Ewing Solar Facility</t>
  </si>
  <si>
    <t>Allenwood</t>
  </si>
  <si>
    <t>Matrix Stults Road Solar Facility</t>
  </si>
  <si>
    <t>Pinnacle Wind Force LLC</t>
  </si>
  <si>
    <t>Eastside WWTP</t>
  </si>
  <si>
    <t>Ward WTP</t>
  </si>
  <si>
    <t>Westside WWTP</t>
  </si>
  <si>
    <t>LE Wind Turbine 1</t>
  </si>
  <si>
    <t>Paulding Wind Farm II</t>
  </si>
  <si>
    <t>Bright Stalk Wind Farm I</t>
  </si>
  <si>
    <t>Bos Dairy, LLC</t>
  </si>
  <si>
    <t>Meadow Lake Wind Farm V LLC</t>
  </si>
  <si>
    <t>Gaston Memorial Hospital</t>
  </si>
  <si>
    <t>500 Virginia Solar</t>
  </si>
  <si>
    <t>McCormick &amp; Co. Inc. at Belcamp</t>
  </si>
  <si>
    <t>Toys R Us- DE, Inc. at Mt. Olive, NJ</t>
  </si>
  <si>
    <t>Vineland Mays Landing Solar</t>
  </si>
  <si>
    <t>Manalapan Village Solar</t>
  </si>
  <si>
    <t>McGraw Hill Solar</t>
  </si>
  <si>
    <t>Seabrook Solar Plant</t>
  </si>
  <si>
    <t>Pioneer Trail Wind Farm, LLC</t>
  </si>
  <si>
    <t>Murphy Farm Power, LLC</t>
  </si>
  <si>
    <t>CS Murphy Point, LLC</t>
  </si>
  <si>
    <t>Blue Water Renewables Inc</t>
  </si>
  <si>
    <t>Johnson Matthey, Inc. Solar</t>
  </si>
  <si>
    <t>NJMC Landfill</t>
  </si>
  <si>
    <t>Summit Associates</t>
  </si>
  <si>
    <t>BlackRock-Matrix</t>
  </si>
  <si>
    <t>Mill Creek Solar</t>
  </si>
  <si>
    <t>Benjamin Moore &amp; Co. Solar</t>
  </si>
  <si>
    <t>Cherry Hill</t>
  </si>
  <si>
    <t>Vineland Headquarters</t>
  </si>
  <si>
    <t>Laurel Hill Wind</t>
  </si>
  <si>
    <t>The City of Vineland at West Vineland</t>
  </si>
  <si>
    <t>The City of Vineland at North Vineland</t>
  </si>
  <si>
    <t>Maple Solar</t>
  </si>
  <si>
    <t>Frederick County LFGTE Facility</t>
  </si>
  <si>
    <t>Mount Saint Mary's</t>
  </si>
  <si>
    <t>Brown County Wind Turbine</t>
  </si>
  <si>
    <t>Longwood Gardens</t>
  </si>
  <si>
    <t>Mehoopany Wind Energy LLC</t>
  </si>
  <si>
    <t>Perdue Bridgeville Photovoltaic</t>
  </si>
  <si>
    <t>FedEx Woodbridge</t>
  </si>
  <si>
    <t>US GSA Heating and Transmission</t>
  </si>
  <si>
    <t>DC</t>
  </si>
  <si>
    <t>ISH Solar Central, LLC</t>
  </si>
  <si>
    <t>William Paterson University</t>
  </si>
  <si>
    <t>Titusville Solar</t>
  </si>
  <si>
    <t>Middletown Coke Company, LLC</t>
  </si>
  <si>
    <t>Woodbridge Energy Center</t>
  </si>
  <si>
    <t>Wabash Valley Power IGCC</t>
  </si>
  <si>
    <t>WC Landfill Energy LLC</t>
  </si>
  <si>
    <t>Sigel Wind Park</t>
  </si>
  <si>
    <t>Minden Wind Park</t>
  </si>
  <si>
    <t>McKinley Wind Park</t>
  </si>
  <si>
    <t>Wildcat Wind Farm I, LLC</t>
  </si>
  <si>
    <t>Stockton Athletic Center</t>
  </si>
  <si>
    <t>L'Oreal Piscataway</t>
  </si>
  <si>
    <t>Heller Industrial Parks</t>
  </si>
  <si>
    <t>Perdue Salisbury Photovoltaic</t>
  </si>
  <si>
    <t>Harvest 2</t>
  </si>
  <si>
    <t>Martinsville LFG Generator</t>
  </si>
  <si>
    <t>Concord Energy</t>
  </si>
  <si>
    <t>Richmond Energy</t>
  </si>
  <si>
    <t>Central Utility Plant Cincinnati</t>
  </si>
  <si>
    <t>Grand Ridge Solar Farm</t>
  </si>
  <si>
    <t>SIUC</t>
  </si>
  <si>
    <t>East Campus Utility Plant</t>
  </si>
  <si>
    <t>NJ Oak Solar Plant</t>
  </si>
  <si>
    <t>MSC Sebewaing</t>
  </si>
  <si>
    <t>MSC Croswell</t>
  </si>
  <si>
    <t>Shore Point Solar</t>
  </si>
  <si>
    <t>Shady Oaks Wind Farm</t>
  </si>
  <si>
    <t>Lake Winds Energy Park</t>
  </si>
  <si>
    <t>Highland North Wind Farm</t>
  </si>
  <si>
    <t>Apple Data Center PV</t>
  </si>
  <si>
    <t>Twin Ridges Wind Farm</t>
  </si>
  <si>
    <t>Patton Wind Farm</t>
  </si>
  <si>
    <t>California Ridge Wind Energy LLC</t>
  </si>
  <si>
    <t>IKEA Perryville 460</t>
  </si>
  <si>
    <t>IKEA College Park 411</t>
  </si>
  <si>
    <t>Beebe 1A</t>
  </si>
  <si>
    <t>Constellation New Energy Inc</t>
  </si>
  <si>
    <t>Reeves Station Rd East</t>
  </si>
  <si>
    <t>Riverside Renewable Energy LLC</t>
  </si>
  <si>
    <t>United Stationers Supply Solar Electric</t>
  </si>
  <si>
    <t>Lilly Technical Center</t>
  </si>
  <si>
    <t>PPG Monroeville Chemicals Center</t>
  </si>
  <si>
    <t>Jordache Enterprises Solar</t>
  </si>
  <si>
    <t>Vitro Architectural Glass (PA)</t>
  </si>
  <si>
    <t>Molson Coors Shenandoah Brewery</t>
  </si>
  <si>
    <t>SABIC Innovative Plastics Mt. Vernon</t>
  </si>
  <si>
    <t>PCA, Filer City Mill</t>
  </si>
  <si>
    <t>Mercer Mall</t>
  </si>
  <si>
    <t>Newark Energy Center</t>
  </si>
  <si>
    <t>AMP Napoleon Solar Facility</t>
  </si>
  <si>
    <t>Middlesex Apple Orchard Solar</t>
  </si>
  <si>
    <t>Keystone Solar</t>
  </si>
  <si>
    <t>Christmas Tree Shops DC Burlington NJ</t>
  </si>
  <si>
    <t>Bed Bath &amp; Beyond DC Port Reading NJ</t>
  </si>
  <si>
    <t>Heritage Garden Wind Farm I LLC</t>
  </si>
  <si>
    <t>Brookside Newark</t>
  </si>
  <si>
    <t>FC</t>
  </si>
  <si>
    <t>Bishop Hill II Wind Farm</t>
  </si>
  <si>
    <t>Echo Wind Park</t>
  </si>
  <si>
    <t>Wakefern Food Corp</t>
  </si>
  <si>
    <t>Oberlin Spear Point Solar One</t>
  </si>
  <si>
    <t>Washington White Post Solar LLC</t>
  </si>
  <si>
    <t>Adkins Energy LLC</t>
  </si>
  <si>
    <t>Summit Street Power Plant</t>
  </si>
  <si>
    <t>Western Michigan University Power Plant</t>
  </si>
  <si>
    <t>College of New Jersey</t>
  </si>
  <si>
    <t>Kishwaukee CHP Plant</t>
  </si>
  <si>
    <t>MTSU Power Co-Gen Plant</t>
  </si>
  <si>
    <t>180 Raritan Solar</t>
  </si>
  <si>
    <t>West Campus Steam Plant</t>
  </si>
  <si>
    <t>East Campus Steam Plant</t>
  </si>
  <si>
    <t>Lee Combined Cycle Plant</t>
  </si>
  <si>
    <t>Milford Solar Farm</t>
  </si>
  <si>
    <t>Lincoln Financial Field</t>
  </si>
  <si>
    <t>Kent County-Kennedyville</t>
  </si>
  <si>
    <t>Rock Hall</t>
  </si>
  <si>
    <t>Kent County - Worton Complex</t>
  </si>
  <si>
    <t>Northeastern Illinois University Cogen</t>
  </si>
  <si>
    <t>Tullytown</t>
  </si>
  <si>
    <t>Alpha Ridge LFG</t>
  </si>
  <si>
    <t>Chatham</t>
  </si>
  <si>
    <t>Bay View Backup Power Facility</t>
  </si>
  <si>
    <t>South Robeson Farm</t>
  </si>
  <si>
    <t>Raeford Farm</t>
  </si>
  <si>
    <t>PCIP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</si>
  <si>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</si>
  <si>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</si>
  <si>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</si>
  <si>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</si>
  <si>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</si>
  <si>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</si>
  <si>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</si>
  <si>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</si>
  <si>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Shannon Farm</t>
  </si>
  <si>
    <t>North Chicago Energy Center</t>
  </si>
  <si>
    <t>UMMS at Pocomoke</t>
  </si>
  <si>
    <t>The Andersons Albion Ethanol LLC</t>
  </si>
  <si>
    <t>Fuquay Farm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</si>
  <si>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</si>
  <si>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</si>
  <si>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</si>
  <si>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</si>
  <si>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</si>
  <si>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</si>
  <si>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</si>
  <si>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</si>
  <si>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</si>
  <si>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</si>
  <si>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</si>
  <si>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</si>
  <si>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</si>
  <si>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</si>
  <si>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</si>
  <si>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</si>
  <si>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</si>
  <si>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</si>
  <si>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</si>
  <si>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</si>
  <si>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The Lawrenceville School Solar Facility</t>
  </si>
  <si>
    <t>Amazon</t>
  </si>
  <si>
    <t>North Jersey Media Group Solar Facility</t>
  </si>
  <si>
    <t>Corning Pharmaceutical Glass</t>
  </si>
  <si>
    <t>Atlantic Coast Freezers Solar Facility</t>
  </si>
  <si>
    <t>Williams-Sonoma Solar Facility</t>
  </si>
  <si>
    <t>Tissington Solar</t>
  </si>
  <si>
    <t>Triton East and West Cogen</t>
  </si>
  <si>
    <t>Rochelle Energy Center</t>
  </si>
  <si>
    <t>Bryan Solar Field</t>
  </si>
  <si>
    <t>CU Solar Plant</t>
  </si>
  <si>
    <t>IND Community Solar Farm 1st Phase</t>
  </si>
  <si>
    <t>Volkswagen Solar System</t>
  </si>
  <si>
    <t>Solar Star New Jersey NJ LLC</t>
  </si>
  <si>
    <t>Maryland Solar</t>
  </si>
  <si>
    <t>Headwaters Wind Farm LLC</t>
  </si>
  <si>
    <t>CS</t>
  </si>
  <si>
    <t>Lansing BWL REO Town Plant</t>
  </si>
  <si>
    <t>West Tennessee Solar Farm</t>
  </si>
  <si>
    <t>Red Lion Energy Center</t>
  </si>
  <si>
    <t>Collinwood BioEnergy Facility</t>
  </si>
  <si>
    <t>Martin Limestone Solar Array</t>
  </si>
  <si>
    <t>Dixon Dairy Road Solar</t>
  </si>
  <si>
    <t>Herbert Farm Solar</t>
  </si>
  <si>
    <t>Bruce A Henry Solar Farm</t>
  </si>
  <si>
    <t>Dart Container Corp</t>
  </si>
  <si>
    <t>Plymouth Solar LLC</t>
  </si>
  <si>
    <t>Granville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</si>
  <si>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</si>
  <si>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</si>
  <si>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</si>
  <si>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</si>
  <si>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</si>
  <si>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</si>
  <si>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L&amp;S Sweetners</t>
  </si>
  <si>
    <t>Livingston Solar Canopies</t>
  </si>
  <si>
    <t>Cornerstone Power Vineland I LLC</t>
  </si>
  <si>
    <t>Chattanooga Metropolitan Airport Solar</t>
  </si>
  <si>
    <t>Alethea I</t>
  </si>
  <si>
    <t>Neuse River Solar Farm</t>
  </si>
  <si>
    <t>Uwharrie Mountain Renewable</t>
  </si>
  <si>
    <t>Progress Manis I</t>
  </si>
  <si>
    <t>North Carolina Solar Bethea I</t>
  </si>
  <si>
    <t>Pickering Solar</t>
  </si>
  <si>
    <t>Cornerstone Power Holmdel LLC</t>
  </si>
  <si>
    <t>PCSP3 Airport</t>
  </si>
  <si>
    <t>Watervliet</t>
  </si>
  <si>
    <t>Indy Solar I, LLC</t>
  </si>
  <si>
    <t>Indy Solar III, LLC</t>
  </si>
  <si>
    <t>Indy Solar II, LLC</t>
  </si>
  <si>
    <t>Onslow Power Producers</t>
  </si>
  <si>
    <t>Bi-County Gas Producers</t>
  </si>
  <si>
    <t>Halifax County Biomass</t>
  </si>
  <si>
    <t>OBL</t>
  </si>
  <si>
    <t>Frenchtown III Solar</t>
  </si>
  <si>
    <t>Paradise Solar Energy Center</t>
  </si>
  <si>
    <t>Smithfield Packaged Meats Corp (Kinston)</t>
  </si>
  <si>
    <t>Veolia ES Blackfoot Landfill Facility</t>
  </si>
  <si>
    <t>Pheasant Run Wind LLC</t>
  </si>
  <si>
    <t>Princeton University Cogeneration</t>
  </si>
  <si>
    <t>Tuscola Wind II LLC</t>
  </si>
  <si>
    <t>Blueberry One</t>
  </si>
  <si>
    <t>Indianapolis Motor Speedway Solar PV</t>
  </si>
  <si>
    <t>Holstein Plant</t>
  </si>
  <si>
    <t>RP Wind</t>
  </si>
  <si>
    <t>Queen Anne's County</t>
  </si>
  <si>
    <t>Museum of Science and Industry</t>
  </si>
  <si>
    <t>Rockford Solar Farm</t>
  </si>
  <si>
    <t>Montgomery Solar LLC</t>
  </si>
  <si>
    <t>Jersey Gardens Phase 2</t>
  </si>
  <si>
    <t>Celina Solar Project #1,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</si>
  <si>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</si>
  <si>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</si>
  <si>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</si>
  <si>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</si>
  <si>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</si>
  <si>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</si>
  <si>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</si>
  <si>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Gratiot County Wind LLC</t>
  </si>
  <si>
    <t>Mahoning Creek Hydroelectric Project</t>
  </si>
  <si>
    <t>Apple Blossom Wind Farm</t>
  </si>
  <si>
    <t>Walnut Ridge Wind Farm</t>
  </si>
  <si>
    <t>L V Sutton Combined Cycle</t>
  </si>
  <si>
    <t>Apple Data Center - PV2</t>
  </si>
  <si>
    <t>Lenape II</t>
  </si>
  <si>
    <t>Oxbow Creek</t>
  </si>
  <si>
    <t>Roundtop</t>
  </si>
  <si>
    <t>Brookfield</t>
  </si>
  <si>
    <t>Charlotte Solar</t>
  </si>
  <si>
    <t>Elliana Solar</t>
  </si>
  <si>
    <t>Flash Solar</t>
  </si>
  <si>
    <t>Amethyst Solar</t>
  </si>
  <si>
    <t>Angel Solar</t>
  </si>
  <si>
    <t>Audrey Solar</t>
  </si>
  <si>
    <t>Buddy Solar</t>
  </si>
  <si>
    <t>Milo Solar</t>
  </si>
  <si>
    <t>Minnie Solar</t>
  </si>
  <si>
    <t>Nick Solar</t>
  </si>
  <si>
    <t>Owen Solar</t>
  </si>
  <si>
    <t>Sophie Solar</t>
  </si>
  <si>
    <t>Star Solar</t>
  </si>
  <si>
    <t>Scioto Ridge Wind Farm</t>
  </si>
  <si>
    <t>Sonne One</t>
  </si>
  <si>
    <t>Kirkwall Holdings</t>
  </si>
  <si>
    <t>Ayrshire</t>
  </si>
  <si>
    <t>JMB Mcguire-Dix-Lakehurst Solar Project</t>
  </si>
  <si>
    <t>Hobart Solar, LLC</t>
  </si>
  <si>
    <t>Waterloo Solar, LLC</t>
  </si>
  <si>
    <t>Valparaiso Solar, LLC</t>
  </si>
  <si>
    <t>AC Criminal Courts Complex SPE2, LLC</t>
  </si>
  <si>
    <t>Pamlico Partners Solar</t>
  </si>
  <si>
    <t>Kenansville Solar 2,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</si>
  <si>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</si>
  <si>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</si>
  <si>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</si>
  <si>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</si>
  <si>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</si>
  <si>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</si>
  <si>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Beaver Dam (PA)</t>
  </si>
  <si>
    <t>Upchurch Solar Center LLC</t>
  </si>
  <si>
    <t>Alpaca</t>
  </si>
  <si>
    <t>Milan</t>
  </si>
  <si>
    <t>Millville City Sewer Auth WTP</t>
  </si>
  <si>
    <t>Apple One</t>
  </si>
  <si>
    <t>Sonne Two</t>
  </si>
  <si>
    <t>Cross Winds Energy Park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</si>
  <si>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</si>
  <si>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</si>
  <si>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</si>
  <si>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</si>
  <si>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</si>
  <si>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Warsaw Farm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</si>
  <si>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</si>
  <si>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</si>
  <si>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</si>
  <si>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</si>
  <si>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</si>
  <si>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</si>
  <si>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</si>
  <si>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</si>
  <si>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</si>
  <si>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</si>
  <si>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</si>
  <si>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Reventure Park</t>
  </si>
  <si>
    <t>Garrell Solar Farm</t>
  </si>
  <si>
    <t>Angier Farm</t>
  </si>
  <si>
    <t>Bladenboro Farm</t>
  </si>
  <si>
    <t>Dement Farm LLC</t>
  </si>
  <si>
    <t>Kinsley Landfill Solar</t>
  </si>
  <si>
    <t>Duplin Solar LLC</t>
  </si>
  <si>
    <t>North Carolina Solar III LLC</t>
  </si>
  <si>
    <t>County College of Morris</t>
  </si>
  <si>
    <t>Mercer County Community College</t>
  </si>
  <si>
    <t>Com Adam 1WF-1</t>
  </si>
  <si>
    <t>Big Turtle Wind Farm, LLC</t>
  </si>
  <si>
    <t>Patriots Stadium</t>
  </si>
  <si>
    <t>Temple SEGF</t>
  </si>
  <si>
    <t>Pilot Hill Wind Farm</t>
  </si>
  <si>
    <t>Fourmile Ridge</t>
  </si>
  <si>
    <t>Beebe 1B</t>
  </si>
  <si>
    <t>Sugar Creek Wind One LLC</t>
  </si>
  <si>
    <t>Lincoln Land Wind</t>
  </si>
  <si>
    <t>Shell Chemical Appalachia LLC</t>
  </si>
  <si>
    <t>Rockville Solar I LLC</t>
  </si>
  <si>
    <t>Halifax (NC)</t>
  </si>
  <si>
    <t>Bristol Myers Squibb Lawrenceville</t>
  </si>
  <si>
    <t>Delilah Road Landfill</t>
  </si>
  <si>
    <t>Dessie Solar Center LLC</t>
  </si>
  <si>
    <t>Rockville Solar II, LLC</t>
  </si>
  <si>
    <t>BearPond Solar Center LLC</t>
  </si>
  <si>
    <t>Shankle Solar Center LLC</t>
  </si>
  <si>
    <t>Graham Solar Center LLC</t>
  </si>
  <si>
    <t>Akron WRF</t>
  </si>
  <si>
    <t>Parkland Landfill Solar</t>
  </si>
  <si>
    <t>Potomac Energy Center, LLC</t>
  </si>
  <si>
    <t>Walt Bailey Bioenergy Facility</t>
  </si>
  <si>
    <t>Carol Jean Solar</t>
  </si>
  <si>
    <t>East Chicago</t>
  </si>
  <si>
    <t>Griffith</t>
  </si>
  <si>
    <t>Hoopeston Wind LLC</t>
  </si>
  <si>
    <t>Euclid Farm, Stamco N-54</t>
  </si>
  <si>
    <t>Battleground</t>
  </si>
  <si>
    <t>Beulaville</t>
  </si>
  <si>
    <t>Ellerbe</t>
  </si>
  <si>
    <t>Wallace</t>
  </si>
  <si>
    <t>Kenansville</t>
  </si>
  <si>
    <t>Fairmont-FLS 100</t>
  </si>
  <si>
    <t>Rariton OMP</t>
  </si>
  <si>
    <t>Spring House</t>
  </si>
  <si>
    <t>Skillman</t>
  </si>
  <si>
    <t>Raritan ITS</t>
  </si>
  <si>
    <t>Radfords Run Wind Farm</t>
  </si>
  <si>
    <t>Holland Energy Park</t>
  </si>
  <si>
    <t>Berry Plastics Solar</t>
  </si>
  <si>
    <t>Chauncey Farm LLC</t>
  </si>
  <si>
    <t>Dragstrip Farm</t>
  </si>
  <si>
    <t>Fremont Farm LLC</t>
  </si>
  <si>
    <t>Market Farm</t>
  </si>
  <si>
    <t>Snow Hill Solar 2 LLC</t>
  </si>
  <si>
    <t>Mount Olive Farm</t>
  </si>
  <si>
    <t>Spicewood Solar Farm LLC</t>
  </si>
  <si>
    <t>West Salisbury Farm LLC</t>
  </si>
  <si>
    <t>West Siler</t>
  </si>
  <si>
    <t>Yanceyville Farm 2 LLC</t>
  </si>
  <si>
    <t>Redmon Solar Farm LLC</t>
  </si>
  <si>
    <t>Anderson Farm LLC</t>
  </si>
  <si>
    <t>DD Fayetteville Solar NC LLC</t>
  </si>
  <si>
    <t>Warsaw I</t>
  </si>
  <si>
    <t>Warsaw II</t>
  </si>
  <si>
    <t>Moncure Farm LLC</t>
  </si>
  <si>
    <t>Martin Creek Farm LLC</t>
  </si>
  <si>
    <t>Kinston</t>
  </si>
  <si>
    <t>Daniel Farm LLC</t>
  </si>
  <si>
    <t>Bailey Farm LLC</t>
  </si>
  <si>
    <t>XPF Solar Field</t>
  </si>
  <si>
    <t>Fair Wind</t>
  </si>
  <si>
    <t>Green Farm</t>
  </si>
  <si>
    <t>Simons Farm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</si>
  <si>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</si>
  <si>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</si>
  <si>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</si>
  <si>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</si>
  <si>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</si>
  <si>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</si>
  <si>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</si>
  <si>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Mariposa Solar Center LLC</t>
  </si>
  <si>
    <t>Highland Solar Center LLC</t>
  </si>
  <si>
    <t>Elm City Solar Facility</t>
  </si>
  <si>
    <t>Bridgeport Disposal Solar Farm</t>
  </si>
  <si>
    <t>Jakana Solar</t>
  </si>
  <si>
    <t>Windsor Solar</t>
  </si>
  <si>
    <t>Belmont</t>
  </si>
  <si>
    <t>Bethel Solar</t>
  </si>
  <si>
    <t>Lewiston Solar</t>
  </si>
  <si>
    <t>Woodland Solar</t>
  </si>
  <si>
    <t>Williamston Solar</t>
  </si>
  <si>
    <t>Winton Solar</t>
  </si>
  <si>
    <t>Marion Solar LNG</t>
  </si>
  <si>
    <t>Mulberry Farm LLC</t>
  </si>
  <si>
    <t>Jacobstown</t>
  </si>
  <si>
    <t>West Pemberton</t>
  </si>
  <si>
    <t>Selmer Farm LLC</t>
  </si>
  <si>
    <t>East Wayne Solar LLC</t>
  </si>
  <si>
    <t>Vickers</t>
  </si>
  <si>
    <t>Soluga Farms 1</t>
  </si>
  <si>
    <t>Soluga Farms 2 LLC</t>
  </si>
  <si>
    <t>Clipperton Holdings LLC</t>
  </si>
  <si>
    <t>Tiburon Holdings</t>
  </si>
  <si>
    <t>CCMUA</t>
  </si>
  <si>
    <t>Hidden View Dairy, LLC</t>
  </si>
  <si>
    <t>Medford WWTP</t>
  </si>
  <si>
    <t>Reeves South</t>
  </si>
  <si>
    <t>Northwest Ohio Wind</t>
  </si>
  <si>
    <t>Carrier Clinic</t>
  </si>
  <si>
    <t>North Run</t>
  </si>
  <si>
    <t>Rock Solid</t>
  </si>
  <si>
    <t>MCCo Solar Generating Facility</t>
  </si>
  <si>
    <t>Kings Mountain Energy Center</t>
  </si>
  <si>
    <t>Marlboro Mushrooms Solar Field</t>
  </si>
  <si>
    <t>Faison Solar</t>
  </si>
  <si>
    <t>Harrell's Hill Solar Center LLC</t>
  </si>
  <si>
    <t>Plainfield One Solar LLC</t>
  </si>
  <si>
    <t>24 Applegate Solar LLC</t>
  </si>
  <si>
    <t>G&amp;S Wantage Solar LLC</t>
  </si>
  <si>
    <t>Engelhard Solar LLC</t>
  </si>
  <si>
    <t>4 Applegate Solar LLC</t>
  </si>
  <si>
    <t>12 Applegate Solar LLC</t>
  </si>
  <si>
    <t>Broshco Fabricated Products</t>
  </si>
  <si>
    <t>Rose Hill</t>
  </si>
  <si>
    <t>Dunn</t>
  </si>
  <si>
    <t>South Cary WRF Solar Array</t>
  </si>
  <si>
    <t>Blue Ridge Generating</t>
  </si>
  <si>
    <t>Facile Solar</t>
  </si>
  <si>
    <t>IND Solar Farm (Phase IIA)</t>
  </si>
  <si>
    <t>Zimmerman Energy</t>
  </si>
  <si>
    <t>GKS Solar</t>
  </si>
  <si>
    <t>Two Mile Solar</t>
  </si>
  <si>
    <t>Downs Farm Solar</t>
  </si>
  <si>
    <t>Duke Building 87</t>
  </si>
  <si>
    <t>Duke Building 98</t>
  </si>
  <si>
    <t>Duke Building 129</t>
  </si>
  <si>
    <t>Lennon Generating</t>
  </si>
  <si>
    <t>COC Surry LFG, LLC</t>
  </si>
  <si>
    <t>Cranbury</t>
  </si>
  <si>
    <t>CBC Solar Energy Gen Fac Phase 2</t>
  </si>
  <si>
    <t>East. Michigan Univ. Heating Plant</t>
  </si>
  <si>
    <t>Coldwater Peaking Plant</t>
  </si>
  <si>
    <t>Apple Data Center PV3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</si>
  <si>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</si>
  <si>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</si>
  <si>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</si>
  <si>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</si>
  <si>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</si>
  <si>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</si>
  <si>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Lanier Solar</t>
  </si>
  <si>
    <t>Highwater Solar I</t>
  </si>
  <si>
    <t>Bearford Solar II</t>
  </si>
  <si>
    <t>Anthony Wayne Solar #1</t>
  </si>
  <si>
    <t>Andrew Solar</t>
  </si>
  <si>
    <t>Tracy Solar</t>
  </si>
  <si>
    <t>Candace Solar</t>
  </si>
  <si>
    <t>Sarah Solar</t>
  </si>
  <si>
    <t>Nitro Solar</t>
  </si>
  <si>
    <t>Melinda Solar</t>
  </si>
  <si>
    <t>Jacob Solar</t>
  </si>
  <si>
    <t>Porter Solar</t>
  </si>
  <si>
    <t>Sun Devil Solar</t>
  </si>
  <si>
    <t>Quincy Solar (NC)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</si>
  <si>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</si>
  <si>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</si>
  <si>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</si>
  <si>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</si>
  <si>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</si>
  <si>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</si>
  <si>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</si>
  <si>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</si>
  <si>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</si>
  <si>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</si>
  <si>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</si>
  <si>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Grandy PV 1</t>
  </si>
  <si>
    <t>Old Catawba PV 1</t>
  </si>
  <si>
    <t>Manning PV 1</t>
  </si>
  <si>
    <t>Little River PV 1</t>
  </si>
  <si>
    <t>Whitakers</t>
  </si>
  <si>
    <t>Kelford (Duke)</t>
  </si>
  <si>
    <t>Pasquotank</t>
  </si>
  <si>
    <t>Princeton</t>
  </si>
  <si>
    <t>4Oaks</t>
  </si>
  <si>
    <t>Innovative Solar 6</t>
  </si>
  <si>
    <t>Fowler Ridge IV Wind Farm LLC</t>
  </si>
  <si>
    <t>Creswell Alligood Solar, LLC</t>
  </si>
  <si>
    <t>Everetts Wildcat Solar, LLC</t>
  </si>
  <si>
    <t>FLS Solar 200, LLC</t>
  </si>
  <si>
    <t>FLS Solar 170, LLC</t>
  </si>
  <si>
    <t>Innovative Solar 14, LLC</t>
  </si>
  <si>
    <t>Innovative Solar 15, LLC</t>
  </si>
  <si>
    <t>Crockett Farm</t>
  </si>
  <si>
    <t>Eastover Farm</t>
  </si>
  <si>
    <t>Foxfire Solar Farm</t>
  </si>
  <si>
    <t>Hutchinson Farm</t>
  </si>
  <si>
    <t>Keen Farm</t>
  </si>
  <si>
    <t>Ashley Solar Farm</t>
  </si>
  <si>
    <t>Bearford Farm Solar Project</t>
  </si>
  <si>
    <t>Mocksville Solar</t>
  </si>
  <si>
    <t>Manway Solar Farm</t>
  </si>
  <si>
    <t>Millikan Farm</t>
  </si>
  <si>
    <t>Misenheimer Farm</t>
  </si>
  <si>
    <t>Monroe Moore Farm</t>
  </si>
  <si>
    <t>Franklin Solar 2</t>
  </si>
  <si>
    <t>Stout Farm</t>
  </si>
  <si>
    <t>Tart Farm</t>
  </si>
  <si>
    <t>Wellons Farm</t>
  </si>
  <si>
    <t>Woodland Church Farm</t>
  </si>
  <si>
    <t>Yadkin 601 Farm</t>
  </si>
  <si>
    <t>Rutherford Farm</t>
  </si>
  <si>
    <t>Schell Solar Farm</t>
  </si>
  <si>
    <t>Sedberry Farm</t>
  </si>
  <si>
    <t>Spring Valley Farm 2, LLC</t>
  </si>
  <si>
    <t>Stikeleather Farm</t>
  </si>
  <si>
    <t>L&amp;D Landfill Solar</t>
  </si>
  <si>
    <t>Walters Solar (FLS 260)</t>
  </si>
  <si>
    <t>Stagecoach Solar</t>
  </si>
  <si>
    <t>Vicksburg Solar</t>
  </si>
  <si>
    <t>Soul City Solar</t>
  </si>
  <si>
    <t>Harmony</t>
  </si>
  <si>
    <t>Hanover</t>
  </si>
  <si>
    <t>CentraState Medical Center PV Facility</t>
  </si>
  <si>
    <t>Imclone Solar Electric Facility</t>
  </si>
  <si>
    <t>Clinton LFGTE</t>
  </si>
  <si>
    <t>Garysburg Solar</t>
  </si>
  <si>
    <t>Gaston Solar</t>
  </si>
  <si>
    <t>Seaboard Solar LLC</t>
  </si>
  <si>
    <t>Mt Olive Solar 1</t>
  </si>
  <si>
    <t>FLS Solar 230 (Warren)</t>
  </si>
  <si>
    <t>Tarboro Solar</t>
  </si>
  <si>
    <t>Cornwall Solar Center, LLC</t>
  </si>
  <si>
    <t>Innovative Solar 37 LLC</t>
  </si>
  <si>
    <t>Innovative Solar 47</t>
  </si>
  <si>
    <t>Innovative Solar 48</t>
  </si>
  <si>
    <t>Innovative Solar 54</t>
  </si>
  <si>
    <t>Innovative Solar 23</t>
  </si>
  <si>
    <t>Innovative Solar 46</t>
  </si>
  <si>
    <t>Innovative Solar 44</t>
  </si>
  <si>
    <t>Innovative Solar 55</t>
  </si>
  <si>
    <t>Innovative Solar 64</t>
  </si>
  <si>
    <t>Innovative Solar 67</t>
  </si>
  <si>
    <t>Foxconn Ohio</t>
  </si>
  <si>
    <t>Remington Solar Facility</t>
  </si>
  <si>
    <t>Coastal Virginia Offshore Wind (CVOW) Pi</t>
  </si>
  <si>
    <t>WS</t>
  </si>
  <si>
    <t>Aspen Solar, LLC</t>
  </si>
  <si>
    <t>BRE</t>
  </si>
  <si>
    <t>Franklinton Solar</t>
  </si>
  <si>
    <t>CII Methane Management IV, LLC</t>
  </si>
  <si>
    <t>Chimes West Friendship (Nixon Farms)</t>
  </si>
  <si>
    <t>UMES (MD) - Princess Anne</t>
  </si>
  <si>
    <t>Wilzig Associates, LLC</t>
  </si>
  <si>
    <t>Glades Pike Generation Plant</t>
  </si>
  <si>
    <t>Red Hill Solar Center, LLC</t>
  </si>
  <si>
    <t>Van Slyke Solar Center, LLC</t>
  </si>
  <si>
    <t>Broadway Solar Center, LLC</t>
  </si>
  <si>
    <t>IMPA Pendleton Solar Park</t>
  </si>
  <si>
    <t>BioTown Ag</t>
  </si>
  <si>
    <t>Heartland Community College</t>
  </si>
  <si>
    <t>Eden Solar LLC</t>
  </si>
  <si>
    <t>Croda Atlas Point CHP</t>
  </si>
  <si>
    <t>Chicago West Side Energy Center</t>
  </si>
  <si>
    <t>Ahoskie</t>
  </si>
  <si>
    <t>Kelford (Cypress)</t>
  </si>
  <si>
    <t>Rockfish Solar LLC</t>
  </si>
  <si>
    <t>Concord Farm</t>
  </si>
  <si>
    <t>INDY III</t>
  </si>
  <si>
    <t>Sweetgum Solar</t>
  </si>
  <si>
    <t>South Louisburg Solar</t>
  </si>
  <si>
    <t>Balsam</t>
  </si>
  <si>
    <t>Hickory</t>
  </si>
  <si>
    <t>Royal Solar</t>
  </si>
  <si>
    <t>Kinston Solar</t>
  </si>
  <si>
    <t>Laurinburg Solar</t>
  </si>
  <si>
    <t>Indy Grocers</t>
  </si>
  <si>
    <t>Newton Grove</t>
  </si>
  <si>
    <t>CNE at Cambridge MD</t>
  </si>
  <si>
    <t>Munich Re Plaza</t>
  </si>
  <si>
    <t>New River</t>
  </si>
  <si>
    <t>Northwest Community Hospital</t>
  </si>
  <si>
    <t>Great Bay Solar 1</t>
  </si>
  <si>
    <t>Watervliet PV</t>
  </si>
  <si>
    <t>OlivePV</t>
  </si>
  <si>
    <t>Deer Creek PV</t>
  </si>
  <si>
    <t>SoINCPower6, LLC</t>
  </si>
  <si>
    <t>SoINCPower5, LLC</t>
  </si>
  <si>
    <t>HP Hood CT</t>
  </si>
  <si>
    <t>Twin Branch PV</t>
  </si>
  <si>
    <t>Beaufort Solar, LLC</t>
  </si>
  <si>
    <t>SunEnergy1-Scotland Neck, LLC</t>
  </si>
  <si>
    <t>Choco Solar, LLC</t>
  </si>
  <si>
    <t>Albertson Solar LLC</t>
  </si>
  <si>
    <t>Cardinal Point Wind</t>
  </si>
  <si>
    <t>Western Branch High School</t>
  </si>
  <si>
    <t>Mount Olive Solar</t>
  </si>
  <si>
    <t>KDC Solar PR1, LLC</t>
  </si>
  <si>
    <t>Freemont Solar Center LLC</t>
  </si>
  <si>
    <t>Crestwood Solar Center LLC</t>
  </si>
  <si>
    <t>Pollocksville Solar</t>
  </si>
  <si>
    <t>Lillington Solar</t>
  </si>
  <si>
    <t>South Campus Solar</t>
  </si>
  <si>
    <t>Alpine Power Plant</t>
  </si>
  <si>
    <t>Vance Solar Farm, LLC</t>
  </si>
  <si>
    <t>Cline Solar Farm, LLC</t>
  </si>
  <si>
    <t>BG Stewart Solar Farm, LLC</t>
  </si>
  <si>
    <t>Soluga Farms IV</t>
  </si>
  <si>
    <t>Meadowbrook Solar Farm</t>
  </si>
  <si>
    <t>Coats Solar Farm, LLC</t>
  </si>
  <si>
    <t>Conetoe II Solar, LLC</t>
  </si>
  <si>
    <t>Yadkinville Solar</t>
  </si>
  <si>
    <t>Five Forks Solar</t>
  </si>
  <si>
    <t>ESA Smithfield</t>
  </si>
  <si>
    <t>ESA Selma</t>
  </si>
  <si>
    <t>Camp Lejeune Solar and Energy Storage</t>
  </si>
  <si>
    <t>Desert Wind Farm, LLC</t>
  </si>
  <si>
    <t>New Castle Solar RES</t>
  </si>
  <si>
    <t>Scotland Solar RES</t>
  </si>
  <si>
    <t>New Haven Solar RES</t>
  </si>
  <si>
    <t>Lanesville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</si>
  <si>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</si>
  <si>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</si>
  <si>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</si>
  <si>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</si>
  <si>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</si>
  <si>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</si>
  <si>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Boykin PV1</t>
  </si>
  <si>
    <t>High Shoals PV1</t>
  </si>
  <si>
    <t>Ouchchy PV1</t>
  </si>
  <si>
    <t>Turkey Creek PV1</t>
  </si>
  <si>
    <t>Vaughn Creek PV1</t>
  </si>
  <si>
    <t>Domino Farms Solar</t>
  </si>
  <si>
    <t>Greenwood Solar Farm</t>
  </si>
  <si>
    <t>McLean Homestead</t>
  </si>
  <si>
    <t>CES VMT Solar</t>
  </si>
  <si>
    <t>Pecan Solar</t>
  </si>
  <si>
    <t>CCBC-Catonsville</t>
  </si>
  <si>
    <t>Owens Corning Headquarters</t>
  </si>
  <si>
    <t>Portage Solar</t>
  </si>
  <si>
    <t>Middlebury Solar</t>
  </si>
  <si>
    <t>TWE Chocowinity Solar, LLC</t>
  </si>
  <si>
    <t>Innovative Solar 10</t>
  </si>
  <si>
    <t>Innovative Solar 18, LLC</t>
  </si>
  <si>
    <t>Innovative Solar 26, LLC</t>
  </si>
  <si>
    <t>Innovative Solar 63, LLC</t>
  </si>
  <si>
    <t>Innovative Solar 16</t>
  </si>
  <si>
    <t>Neisler Street Solar</t>
  </si>
  <si>
    <t>Elkton Solar</t>
  </si>
  <si>
    <t>Town of Chestertown- Chestertown WWTP</t>
  </si>
  <si>
    <t>Shelby Randolph Road Solar 1, LLC</t>
  </si>
  <si>
    <t>Lorin Industries</t>
  </si>
  <si>
    <t>Lafayette Solar I, LLC</t>
  </si>
  <si>
    <t>Rockingham Solar, LLC</t>
  </si>
  <si>
    <t>York Road Solar I, LLC</t>
  </si>
  <si>
    <t>SID Solar I, LLC</t>
  </si>
  <si>
    <t>Jackson Board of Education-Liberty HS</t>
  </si>
  <si>
    <t>Western Michigan Solar Gardens</t>
  </si>
  <si>
    <t>Grand Valley Solar Gardens</t>
  </si>
  <si>
    <t>HCE Johnston I, LLC</t>
  </si>
  <si>
    <t>Harpster Wind</t>
  </si>
  <si>
    <t>Eastern Shore Solar, LLC</t>
  </si>
  <si>
    <t>Red Toad 1425 A Powatan Road, LLC</t>
  </si>
  <si>
    <t>Durham Solar</t>
  </si>
  <si>
    <t>New Creek Wind</t>
  </si>
  <si>
    <t>Morgan Farm, LLC</t>
  </si>
  <si>
    <t>Nashville Farms, LLC</t>
  </si>
  <si>
    <t>Cedar Solar, LLC</t>
  </si>
  <si>
    <t>Elm Solar, LLC</t>
  </si>
  <si>
    <t>Glasgow LFGTE</t>
  </si>
  <si>
    <t>Baltimore Church Solar, LLC</t>
  </si>
  <si>
    <t>Cohen Farm Solar, LLC</t>
  </si>
  <si>
    <t>Floyd Solar, LLC</t>
  </si>
  <si>
    <t>Innovative Solar 43, LLC</t>
  </si>
  <si>
    <t>Shelter Solar</t>
  </si>
  <si>
    <t>Heedeh Solar</t>
  </si>
  <si>
    <t>Tate Solar</t>
  </si>
  <si>
    <t>Eagle Solar</t>
  </si>
  <si>
    <t>Robin Solar</t>
  </si>
  <si>
    <t>Cash Solar</t>
  </si>
  <si>
    <t>Daystar Solar</t>
  </si>
  <si>
    <t>Kathleen Solar</t>
  </si>
  <si>
    <t>Grove Solar</t>
  </si>
  <si>
    <t>Conetoe Solar</t>
  </si>
  <si>
    <t>Sugar Run Solar</t>
  </si>
  <si>
    <t>HMW Minster PV I</t>
  </si>
  <si>
    <t>TWE New Bern Solar Project, LLC</t>
  </si>
  <si>
    <t>County Home Solar Center, LLC</t>
  </si>
  <si>
    <t>Laurinburg Solar, LLC (Heelstone)</t>
  </si>
  <si>
    <t>CES Cherry Hill Solar</t>
  </si>
  <si>
    <t>Hemlock Solar</t>
  </si>
  <si>
    <t>Long Farm 46 Solar, LLC</t>
  </si>
  <si>
    <t>HXNAir Solar One</t>
  </si>
  <si>
    <t>BJ's Wholesale Club Inc Dist Center</t>
  </si>
  <si>
    <t>Belle Haven Diesel Generation Facility</t>
  </si>
  <si>
    <t>McDonald Solar Farm, LLC</t>
  </si>
  <si>
    <t>Pastime Farm, LLC</t>
  </si>
  <si>
    <t>Yanceyville Farm 3, LLC</t>
  </si>
  <si>
    <t>IMPA Huntingburg Solar Park</t>
  </si>
  <si>
    <t>IMPA Washington Solar Park</t>
  </si>
  <si>
    <t>IMPA Anderson Solar Park</t>
  </si>
  <si>
    <t>Stainback Solar Farm</t>
  </si>
  <si>
    <t>Junction Road</t>
  </si>
  <si>
    <t>Cedar Branch</t>
  </si>
  <si>
    <t>Sharon Station</t>
  </si>
  <si>
    <t>Organ Church Solar</t>
  </si>
  <si>
    <t>Willard Solar</t>
  </si>
  <si>
    <t>Ajax Solar</t>
  </si>
  <si>
    <t>Jester Solar</t>
  </si>
  <si>
    <t>Trinity Solar</t>
  </si>
  <si>
    <t>Pine Valley Solar Farm, LLC</t>
  </si>
  <si>
    <t>Key</t>
  </si>
  <si>
    <t>Howell Midland Farm, LLC</t>
  </si>
  <si>
    <t>Augustus Farm, LLC</t>
  </si>
  <si>
    <t>Scott Solar Farm</t>
  </si>
  <si>
    <t>Woodland Solar Farm</t>
  </si>
  <si>
    <t>Whitehouse Solar Farm</t>
  </si>
  <si>
    <t>East Amwell</t>
  </si>
  <si>
    <t>Ringer Hill Wind Farm, LLC</t>
  </si>
  <si>
    <t>Providence Solar</t>
  </si>
  <si>
    <t>Demille Solar Farm</t>
  </si>
  <si>
    <t>Turrill Solar Farm</t>
  </si>
  <si>
    <t>O'Shea Solar Farm</t>
  </si>
  <si>
    <t>Cecil County CCVT HS</t>
  </si>
  <si>
    <t>Gastonia Solar Center</t>
  </si>
  <si>
    <t>Wortham Solar Farm</t>
  </si>
  <si>
    <t>White Farm Solar, LLC</t>
  </si>
  <si>
    <t>White Street Renewables</t>
  </si>
  <si>
    <t>Snow Camp Solar, LLC</t>
  </si>
  <si>
    <t>Hummel Station LLC</t>
  </si>
  <si>
    <t>Battleboro Farm</t>
  </si>
  <si>
    <t>Flint Hill Solar, LLC</t>
  </si>
  <si>
    <t>ILR Landfill</t>
  </si>
  <si>
    <t>NHA at Mansfield NJ</t>
  </si>
  <si>
    <t>Shoe Creek Solar, LLC</t>
  </si>
  <si>
    <t>Monroe Solar Facility</t>
  </si>
  <si>
    <t>Hertford Solar Farm</t>
  </si>
  <si>
    <t>Morgantown</t>
  </si>
  <si>
    <t>Warbler Holdings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</si>
  <si>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</si>
  <si>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</si>
  <si>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</si>
  <si>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</si>
  <si>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</si>
  <si>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</si>
  <si>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</si>
  <si>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Bizzell Church Solar 1, LLC</t>
  </si>
  <si>
    <t>CB Bladen Solar, LLC</t>
  </si>
  <si>
    <t>Currin Solar, LLC</t>
  </si>
  <si>
    <t>Nash 97 Solar, LLC</t>
  </si>
  <si>
    <t>South Winston Farm, LLC</t>
  </si>
  <si>
    <t>Sullivan Solar, LLC</t>
  </si>
  <si>
    <t>Hardison Farm Solar, LLC</t>
  </si>
  <si>
    <t>Maxton Solar, LLC</t>
  </si>
  <si>
    <t>Modlin Solar Farm</t>
  </si>
  <si>
    <t>Morgan's Corner</t>
  </si>
  <si>
    <t>Tides Lane Farm</t>
  </si>
  <si>
    <t>Crane Solar Facility</t>
  </si>
  <si>
    <t>Bernards Solar</t>
  </si>
  <si>
    <t>Whitakers Farm (Fisher Rd)</t>
  </si>
  <si>
    <t>Sellers Farm Solar</t>
  </si>
  <si>
    <t>McGrigor Farm Solar</t>
  </si>
  <si>
    <t>The Clorox Company</t>
  </si>
  <si>
    <t>Chesapeake College</t>
  </si>
  <si>
    <t>Paulding Wind Farm III</t>
  </si>
  <si>
    <t>Green River Wind Farm</t>
  </si>
  <si>
    <t>Germantown Solar, LLC</t>
  </si>
  <si>
    <t>Williamston West Farm, LLC</t>
  </si>
  <si>
    <t>River Road Solar, LLC</t>
  </si>
  <si>
    <t>Hamilton Solar-Crosswicks</t>
  </si>
  <si>
    <t>MEBA</t>
  </si>
  <si>
    <t>Westside Avenue</t>
  </si>
  <si>
    <t>Hartz Way</t>
  </si>
  <si>
    <t>Two Mile Desert Project</t>
  </si>
  <si>
    <t>Langdon Solar Farm, LLC</t>
  </si>
  <si>
    <t>Innovative Solar 42</t>
  </si>
  <si>
    <t>Innovative Solar 31</t>
  </si>
  <si>
    <t>ZV Solar 3, LLC</t>
  </si>
  <si>
    <t>Big Level Wind</t>
  </si>
  <si>
    <t>Southerland Farm Solar</t>
  </si>
  <si>
    <t>Selmer I</t>
  </si>
  <si>
    <t>Selmer II</t>
  </si>
  <si>
    <t>Marquette Energy Center</t>
  </si>
  <si>
    <t>Millington Solar Farm</t>
  </si>
  <si>
    <t>Wadesboro Farm 2</t>
  </si>
  <si>
    <t>Wadesboro Farm 3</t>
  </si>
  <si>
    <t>Hector Farm</t>
  </si>
  <si>
    <t>Kojak Farm</t>
  </si>
  <si>
    <t>Meriwether Farm</t>
  </si>
  <si>
    <t>Soluga Farms III</t>
  </si>
  <si>
    <t>Oceana Solar</t>
  </si>
  <si>
    <t>Kelly Creek Wind Project</t>
  </si>
  <si>
    <t>CPV Fairview Energy Center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</si>
  <si>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</si>
  <si>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</si>
  <si>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</si>
  <si>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</si>
  <si>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</si>
  <si>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</si>
  <si>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Wye Mills VNEM CSG</t>
  </si>
  <si>
    <t>Summit Farms Solar</t>
  </si>
  <si>
    <t>DG AMP Solar Bowling Green</t>
  </si>
  <si>
    <t>Brantley Solar</t>
  </si>
  <si>
    <t>Fox Creek Solar</t>
  </si>
  <si>
    <t>BRE NC Solar 3</t>
  </si>
  <si>
    <t>Perkins Solar, LLC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</si>
  <si>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</si>
  <si>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</si>
  <si>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</si>
  <si>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</si>
  <si>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</si>
  <si>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</si>
  <si>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North Nash Farm, LLC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</si>
  <si>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</si>
  <si>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</si>
  <si>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</si>
  <si>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</si>
  <si>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</si>
  <si>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</si>
  <si>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</si>
  <si>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</si>
  <si>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Annapolis Solar Park, LLC</t>
  </si>
  <si>
    <t>Tanager Holdings</t>
  </si>
  <si>
    <t>Havre de Grace II - E at Perryman</t>
  </si>
  <si>
    <t>IFF Hazlet</t>
  </si>
  <si>
    <t>Green Cow Power</t>
  </si>
  <si>
    <t>East Orange Solar</t>
  </si>
  <si>
    <t>Howell Solar</t>
  </si>
  <si>
    <t>Raritan Solar</t>
  </si>
  <si>
    <t>Frankford Solar</t>
  </si>
  <si>
    <t>Brickyard Solar</t>
  </si>
  <si>
    <t>Bordentown Solar</t>
  </si>
  <si>
    <t>Longview Solar</t>
  </si>
  <si>
    <t>Church Hill</t>
  </si>
  <si>
    <t>DSM Solar</t>
  </si>
  <si>
    <t>Pittsgrove Solar</t>
  </si>
  <si>
    <t>Argonne National Laboratory CHP</t>
  </si>
  <si>
    <t>Silvi Gibraltar Rock</t>
  </si>
  <si>
    <t>Seabrook Village</t>
  </si>
  <si>
    <t>Gloucester Community College Solar</t>
  </si>
  <si>
    <t>Spartan</t>
  </si>
  <si>
    <t>Freeze Solar</t>
  </si>
  <si>
    <t>Roper Farm, LLC</t>
  </si>
  <si>
    <t>Pfizer Peapack Solar</t>
  </si>
  <si>
    <t>Holland Solar</t>
  </si>
  <si>
    <t>L'Oreal Franklin</t>
  </si>
  <si>
    <t>L'Oreal Monmouth</t>
  </si>
  <si>
    <t>Lower Cape May HS</t>
  </si>
  <si>
    <t>Timber Creek HS</t>
  </si>
  <si>
    <t>Adams Ave MS and HS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</si>
  <si>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</si>
  <si>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</si>
  <si>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</si>
  <si>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</si>
  <si>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</si>
  <si>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</si>
  <si>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Williamston Speight Solar, LLC</t>
  </si>
  <si>
    <t>Lake Forest Hospital Central Energy Plan</t>
  </si>
  <si>
    <t>South Atlantic Services Solar Farm I</t>
  </si>
  <si>
    <t>Catawba Solar LLC</t>
  </si>
  <si>
    <t>ACCC Mays Landing</t>
  </si>
  <si>
    <t>Beaver Run</t>
  </si>
  <si>
    <t>North Bergen Solar</t>
  </si>
  <si>
    <t>US Foods Solar</t>
  </si>
  <si>
    <t>Summit Water Nexus Mt. Holly, LLC Solar</t>
  </si>
  <si>
    <t>Sabert Solar</t>
  </si>
  <si>
    <t>Montgomery County Correctional Facility</t>
  </si>
  <si>
    <t>Goya Foods, Inc- Jersey City Solar</t>
  </si>
  <si>
    <t>Goya Foods, Inc- Secaucus Solar</t>
  </si>
  <si>
    <t>Prudential 80 Livingston Roseland Solar</t>
  </si>
  <si>
    <t>River Terminal Development Solar</t>
  </si>
  <si>
    <t>Garrett County - DPU Treatment Plant</t>
  </si>
  <si>
    <t>Temple Solar Arrays</t>
  </si>
  <si>
    <t>Emmitsburg Solar Arrays</t>
  </si>
  <si>
    <t>Thigpen Farms Solar, LLC</t>
  </si>
  <si>
    <t>NES Rutgers Solar</t>
  </si>
  <si>
    <t>Cooperative Solar One</t>
  </si>
  <si>
    <t>Kokomo Solar 1, LLC</t>
  </si>
  <si>
    <t>Bernhardt Furniture Solar Farm</t>
  </si>
  <si>
    <t>Carl Friedrich Gauss Solar</t>
  </si>
  <si>
    <t>Deerfield Wind Energy, LLC</t>
  </si>
  <si>
    <t>Ohio Northern University Solar Site</t>
  </si>
  <si>
    <t>Correctional Solar LLC</t>
  </si>
  <si>
    <t>Sussex Drive, LLC</t>
  </si>
  <si>
    <t>Buckingham Solar LLC</t>
  </si>
  <si>
    <t>Viper Solar</t>
  </si>
  <si>
    <t>Scarlet Solar</t>
  </si>
  <si>
    <t>Ruskin Solar</t>
  </si>
  <si>
    <t>Clyde Solar Array</t>
  </si>
  <si>
    <t>Red Oak Solar Farm, LLC</t>
  </si>
  <si>
    <t>Hopewell Cogeneration NJ</t>
  </si>
  <si>
    <t>Spartan PV 1, LLC</t>
  </si>
  <si>
    <t>Washington Solar</t>
  </si>
  <si>
    <t>Violet Solar</t>
  </si>
  <si>
    <t>Cotten Farm, LLC</t>
  </si>
  <si>
    <t>Scott-II Solar LLC</t>
  </si>
  <si>
    <t>ZV Solar 1</t>
  </si>
  <si>
    <t>Atkinson Farm Solar</t>
  </si>
  <si>
    <t>Elizabethtown Solar</t>
  </si>
  <si>
    <t>Florence Solar W3-080, LLC</t>
  </si>
  <si>
    <t>Northern Cardinal Solar</t>
  </si>
  <si>
    <t>French's Landfill PV</t>
  </si>
  <si>
    <t>Everett PV1</t>
  </si>
  <si>
    <t>Underwood PV2</t>
  </si>
  <si>
    <t>Chestnut Solar</t>
  </si>
  <si>
    <t>Siler 421 Farm, LLC</t>
  </si>
  <si>
    <t>Hollyfield</t>
  </si>
  <si>
    <t>Floyd Road Solar Farm</t>
  </si>
  <si>
    <t>Greenfield Solar Park</t>
  </si>
  <si>
    <t>IMPA Anderson Solar Park 2</t>
  </si>
  <si>
    <t>DG AMP Solar Front Royal</t>
  </si>
  <si>
    <t>Pemberton Road I</t>
  </si>
  <si>
    <t>Pemberton Road II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</si>
  <si>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</si>
  <si>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</si>
  <si>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</si>
  <si>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</si>
  <si>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</si>
  <si>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</si>
  <si>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</si>
  <si>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Mills Anson Farm</t>
  </si>
  <si>
    <t>Old Wire Farm</t>
  </si>
  <si>
    <t>Railroad Farm 2</t>
  </si>
  <si>
    <t>Sampson Solar</t>
  </si>
  <si>
    <t>Pine River Wind Park</t>
  </si>
  <si>
    <t>Bedford Solar (Oppidum)</t>
  </si>
  <si>
    <t>Gamble Solar</t>
  </si>
  <si>
    <t>Salisbury Solar</t>
  </si>
  <si>
    <t>Wadesboro Solar</t>
  </si>
  <si>
    <t>Tolson Solar</t>
  </si>
  <si>
    <t>Phelps 158 Solar Farm</t>
  </si>
  <si>
    <t>St. Pauls Solar 2</t>
  </si>
  <si>
    <t>Boaz Farm Solar</t>
  </si>
  <si>
    <t>Bizzell Church Solar 2</t>
  </si>
  <si>
    <t>Harvest Ridge Wind Farm</t>
  </si>
  <si>
    <t>Pfeffers</t>
  </si>
  <si>
    <t>IKEA Joliet Rooftop PV System</t>
  </si>
  <si>
    <t>Barker Solar, LLC</t>
  </si>
  <si>
    <t>231 Dixon 74 Solar I, LLC</t>
  </si>
  <si>
    <t>Mill Pond Solar Farm, LLC</t>
  </si>
  <si>
    <t>Merck - Upper Gwynedd Solar Array</t>
  </si>
  <si>
    <t>Onyx - Allen Harim</t>
  </si>
  <si>
    <t>IKEA Memphis 508</t>
  </si>
  <si>
    <t>Broadridge Solar, LLC</t>
  </si>
  <si>
    <t>Kelly Solar, LLC</t>
  </si>
  <si>
    <t>Spencer Farm, LLC</t>
  </si>
  <si>
    <t>350 Clark Solar, NG, LLC</t>
  </si>
  <si>
    <t>Haywood Farm Solar</t>
  </si>
  <si>
    <t>Hood Farm Solar</t>
  </si>
  <si>
    <t>ZV Solar 2</t>
  </si>
  <si>
    <t>Innovative Solar 35</t>
  </si>
  <si>
    <t>Innovative Solar 59</t>
  </si>
  <si>
    <t>Innovative Solar 60</t>
  </si>
  <si>
    <t>Wolf Run Energy</t>
  </si>
  <si>
    <t>Biltmore Solar Fields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</si>
  <si>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</si>
  <si>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</si>
  <si>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</si>
  <si>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</si>
  <si>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</si>
  <si>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</si>
  <si>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</si>
  <si>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APG Combined Heat and Power Plant</t>
  </si>
  <si>
    <t>Bladenboro Solar, LLC</t>
  </si>
  <si>
    <t>Lux Solar, LLC</t>
  </si>
  <si>
    <t>Sun Farm V, LLC</t>
  </si>
  <si>
    <t>Roxboro Solar Farm, LLC</t>
  </si>
  <si>
    <t>Jackson Solar Farm</t>
  </si>
  <si>
    <t>Bluff Point Wind Facility</t>
  </si>
  <si>
    <t>Crittenden Solar Facility</t>
  </si>
  <si>
    <t>Walton 1 Solar Facility</t>
  </si>
  <si>
    <t>Walton 2 Solar Facility</t>
  </si>
  <si>
    <t>Mt. Jackson Solar</t>
  </si>
  <si>
    <t>Biggs Ford Solar Center</t>
  </si>
  <si>
    <t>Long Ridge Energy Generation</t>
  </si>
  <si>
    <t>Hog Creek Wind Project</t>
  </si>
  <si>
    <t>SR Innovation - NIKE PV</t>
  </si>
  <si>
    <t>Oak Hill Solar Array</t>
  </si>
  <si>
    <t>Volkman Road Solar Array Hybrid</t>
  </si>
  <si>
    <t>Otter Creek Wind Farm LLC</t>
  </si>
  <si>
    <t>Long Henry Solar</t>
  </si>
  <si>
    <t>Bear Creek Solar (NC)</t>
  </si>
  <si>
    <t>Bondi Solar</t>
  </si>
  <si>
    <t>Princeton Solar Project</t>
  </si>
  <si>
    <t>IGS Solar I - BWI5</t>
  </si>
  <si>
    <t>IGS Solar I - EWR5</t>
  </si>
  <si>
    <t>IGS Solar I - EWR6</t>
  </si>
  <si>
    <t>Hecate Energy Clarke County LLC</t>
  </si>
  <si>
    <t>Hecate Energy Cherrydale LLC</t>
  </si>
  <si>
    <t>A.J. Mihm Generating Station</t>
  </si>
  <si>
    <t>F.D. Kuester Generating Station</t>
  </si>
  <si>
    <t>Deep Branch Farm</t>
  </si>
  <si>
    <t>Pikeville Farm</t>
  </si>
  <si>
    <t>Moorings Farm 2, LLC</t>
  </si>
  <si>
    <t>Essex Solar Center</t>
  </si>
  <si>
    <t>Latitude Solar Center</t>
  </si>
  <si>
    <t>Southampton Solar, LLC</t>
  </si>
  <si>
    <t>DG AMP Solar Coldwater</t>
  </si>
  <si>
    <t>DG AMP Solar Orrville 3</t>
  </si>
  <si>
    <t>DG AMP Solar Versailles</t>
  </si>
  <si>
    <t>DG AMP Solar Jackson Center</t>
  </si>
  <si>
    <t>Palmer Solar Center</t>
  </si>
  <si>
    <t>Martin Solar Center</t>
  </si>
  <si>
    <t>IGS Solar I - BWI2</t>
  </si>
  <si>
    <t>IOS - ERW9</t>
  </si>
  <si>
    <t>Hopewell Valley High School Hybrid</t>
  </si>
  <si>
    <t>DG New Jersey Solar RLS Logistics</t>
  </si>
  <si>
    <t>Bullock Solar, LLC</t>
  </si>
  <si>
    <t>DG Camden LLC Holtec</t>
  </si>
  <si>
    <t>Baker Point</t>
  </si>
  <si>
    <t>Rosewood Solar</t>
  </si>
  <si>
    <t>ABD Farms</t>
  </si>
  <si>
    <t>Bakatsias Solar</t>
  </si>
  <si>
    <t>Bayboro Solar Farm</t>
  </si>
  <si>
    <t>Mustang Solar</t>
  </si>
  <si>
    <t>Old Caroleen Solar Farm</t>
  </si>
  <si>
    <t>Statesville Solar</t>
  </si>
  <si>
    <t>Wakefield Solar</t>
  </si>
  <si>
    <t>Fort Detrick Solar PV</t>
  </si>
  <si>
    <t>Bladen Solar</t>
  </si>
  <si>
    <t>Davis Lane Solar, LLC</t>
  </si>
  <si>
    <t>New Road Solar, LLC</t>
  </si>
  <si>
    <t>Old Bridge Solar Farm</t>
  </si>
  <si>
    <t>Raritan Solar - 53 Highway</t>
  </si>
  <si>
    <t>Montgomery County Solar</t>
  </si>
  <si>
    <t>NC 102 Project LLC</t>
  </si>
  <si>
    <t>William G Mennen Sports Solar</t>
  </si>
  <si>
    <t>Denison Solar Array</t>
  </si>
  <si>
    <t>Cougar Solar, LLC</t>
  </si>
  <si>
    <t>NCSU CCUP Cogeneration Plant</t>
  </si>
  <si>
    <t>NCSU Cates Cogeneration Plant</t>
  </si>
  <si>
    <t>Depot Solar Center, LLC</t>
  </si>
  <si>
    <t>Buckleberry Solar</t>
  </si>
  <si>
    <t>Richmond Solar Site 2</t>
  </si>
  <si>
    <t>Haywood Solar</t>
  </si>
  <si>
    <t>Hilltopper Wind Project</t>
  </si>
  <si>
    <t>Navy Yard Peaker Station</t>
  </si>
  <si>
    <t>GWCC PV Solar Farm</t>
  </si>
  <si>
    <t>L'Oreal Solar - Florence</t>
  </si>
  <si>
    <t>Rotor Clip</t>
  </si>
  <si>
    <t>Meadow Lake Wind Farm VI LLC</t>
  </si>
  <si>
    <t>Gaston County Renewable Energy Center</t>
  </si>
  <si>
    <t>North 301 Solar</t>
  </si>
  <si>
    <t>Edenton Solar</t>
  </si>
  <si>
    <t>Bishop Hill III</t>
  </si>
  <si>
    <t>Gateway Solar</t>
  </si>
  <si>
    <t>LeGore Bridge Solar Center</t>
  </si>
  <si>
    <t>Rensselaer Solar Site 2</t>
  </si>
  <si>
    <t>DG AMP Solar Smyrna</t>
  </si>
  <si>
    <t>DG AMP Solar Piqua Staunton</t>
  </si>
  <si>
    <t>Ranchland Solar, LLC</t>
  </si>
  <si>
    <t>DG AMP Solar Brewster</t>
  </si>
  <si>
    <t>IKEA Conshohocken Rooftop PV System</t>
  </si>
  <si>
    <t>Princeton Energy Center, LLC</t>
  </si>
  <si>
    <t>Cleveland Thermal</t>
  </si>
  <si>
    <t>Sun Farm VI, LLC</t>
  </si>
  <si>
    <t>Danville</t>
  </si>
  <si>
    <t>Dix Solar, L.L.C</t>
  </si>
  <si>
    <t>Hanover Solar, LLC</t>
  </si>
  <si>
    <t>John A Logan College Solar</t>
  </si>
  <si>
    <t>Morning View</t>
  </si>
  <si>
    <t>Copperfield</t>
  </si>
  <si>
    <t>Hopewell Friends</t>
  </si>
  <si>
    <t>Staunton</t>
  </si>
  <si>
    <t>BNB Camden Solar</t>
  </si>
  <si>
    <t>Springfield Solar Project</t>
  </si>
  <si>
    <t>Stratford Solar Center, LLC</t>
  </si>
  <si>
    <t>Susquehanna University Solar</t>
  </si>
  <si>
    <t>Bowie State Solar</t>
  </si>
  <si>
    <t>Pegasus Wind</t>
  </si>
  <si>
    <t>WHA Southbridge Solar Park CSG</t>
  </si>
  <si>
    <t>Delta Solar Power I</t>
  </si>
  <si>
    <t>Delta Solar Power II</t>
  </si>
  <si>
    <t>Quakertown Solar Farm, LLC</t>
  </si>
  <si>
    <t>Pinesage</t>
  </si>
  <si>
    <t>Colonial Trail West</t>
  </si>
  <si>
    <t>Spring Grove I</t>
  </si>
  <si>
    <t>TAC-Distributed Energy Resource Hybrid</t>
  </si>
  <si>
    <t>Richmond Spider Solar</t>
  </si>
  <si>
    <t>Pleinmont Solar 1</t>
  </si>
  <si>
    <t>Pleinmont Solar 2</t>
  </si>
  <si>
    <t>Highlander Solar Energy Station 1</t>
  </si>
  <si>
    <t>Page Solar</t>
  </si>
  <si>
    <t>Caldwell Wastewater Treatment Plant Hybr</t>
  </si>
  <si>
    <t>Cuyahoga County Landfill</t>
  </si>
  <si>
    <t>First Baptist Church of Glenarden</t>
  </si>
  <si>
    <t>Alpha Value Solar</t>
  </si>
  <si>
    <t>Bd of Educ of Queen Anne's Cnty, Cnty HS</t>
  </si>
  <si>
    <t>Panda Solar NC 1, LLC</t>
  </si>
  <si>
    <t>Quarter Horse Solar</t>
  </si>
  <si>
    <t>Atkinson Solar II</t>
  </si>
  <si>
    <t>Warrenton I Solar</t>
  </si>
  <si>
    <t>Bladenboro Solar 2</t>
  </si>
  <si>
    <t>Sadiebrook NC Solar</t>
  </si>
  <si>
    <t>Lane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</si>
  <si>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</si>
  <si>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</si>
  <si>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</si>
  <si>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</si>
  <si>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</si>
  <si>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</si>
  <si>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</si>
  <si>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</si>
  <si>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</si>
  <si>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</si>
  <si>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Red Toad 4451 Buffalo Road, LLC</t>
  </si>
  <si>
    <t>Arthur Solar, LLC</t>
  </si>
  <si>
    <t>Puller Solar</t>
  </si>
  <si>
    <t>County Home Solar LLC</t>
  </si>
  <si>
    <t>Church Road Solar LLC</t>
  </si>
  <si>
    <t>SR Jonesborough</t>
  </si>
  <si>
    <t>Blue Water Energy Center</t>
  </si>
  <si>
    <t>Hillcrest Solar</t>
  </si>
  <si>
    <t>Red Toad 5840 Buffalo Road, LLC</t>
  </si>
  <si>
    <t>Nickelson Solar, LLC</t>
  </si>
  <si>
    <t>NIST Solar</t>
  </si>
  <si>
    <t>Warren Solar Farm LLC</t>
  </si>
  <si>
    <t>Burgaw Solar, LLC</t>
  </si>
  <si>
    <t>Dearborn Energy Center</t>
  </si>
  <si>
    <t>Polaris Wind Park</t>
  </si>
  <si>
    <t>Woodleaf Solar Facility</t>
  </si>
  <si>
    <t>Tipton Solar Park</t>
  </si>
  <si>
    <t>IFF Union Beach Project</t>
  </si>
  <si>
    <t>Macy's MD Joppa Solar Project</t>
  </si>
  <si>
    <t>46 Meadowlands Parkway</t>
  </si>
  <si>
    <t>77 Metro Way</t>
  </si>
  <si>
    <t>Synergen Panorama, LLC CSG</t>
  </si>
  <si>
    <t>Mill Pond Solar, LLC</t>
  </si>
  <si>
    <t>Jamesville Road Solar, LLC</t>
  </si>
  <si>
    <t>Camden Dam Solar, LLC</t>
  </si>
  <si>
    <t>Sol Phoenix</t>
  </si>
  <si>
    <t>Blue Star</t>
  </si>
  <si>
    <t>Aulander Holloman Solar, LLC</t>
  </si>
  <si>
    <t>IKEA Norfolk Rooftop PV System</t>
  </si>
  <si>
    <t>JBAB - Washington DC</t>
  </si>
  <si>
    <t>UMCES Ground Mount</t>
  </si>
  <si>
    <t>Anne Arundel County Public Schools</t>
  </si>
  <si>
    <t>Fort Indiantown Gap</t>
  </si>
  <si>
    <t>Prairie State Solar Project</t>
  </si>
  <si>
    <t>Assembly Solar Project</t>
  </si>
  <si>
    <t>Heller 400M</t>
  </si>
  <si>
    <t>Owens Corning</t>
  </si>
  <si>
    <t>Rantoul Solar</t>
  </si>
  <si>
    <t>Lakewood Cheddar School</t>
  </si>
  <si>
    <t>Music City Community Solar</t>
  </si>
  <si>
    <t>Beech Ridge II Wind Energy Center</t>
  </si>
  <si>
    <t>Crawfordsville 2 Solar Park</t>
  </si>
  <si>
    <t>Crawfordsville 3 Solar Park</t>
  </si>
  <si>
    <t>Flowers Solar LLC</t>
  </si>
  <si>
    <t>DTE Atlantic, LLC</t>
  </si>
  <si>
    <t>HCE Moore I</t>
  </si>
  <si>
    <t>Three Bridge</t>
  </si>
  <si>
    <t>Wilkinson Solar LLC</t>
  </si>
  <si>
    <t>Hill Top Energy Center, LLC</t>
  </si>
  <si>
    <t>DG Florham Park Solar LLC</t>
  </si>
  <si>
    <t>Headwaters Wind Farm II LLC</t>
  </si>
  <si>
    <t>Ruff Solar LLC</t>
  </si>
  <si>
    <t>Wendell Solar Farm LLC</t>
  </si>
  <si>
    <t>Sabattus Solar LLC</t>
  </si>
  <si>
    <t>Connell East LLC</t>
  </si>
  <si>
    <t>Cookstown</t>
  </si>
  <si>
    <t>Changeup</t>
  </si>
  <si>
    <t>Starr</t>
  </si>
  <si>
    <t>Badger</t>
  </si>
  <si>
    <t>Whitney Hill Wind Power LLC</t>
  </si>
  <si>
    <t>USAA Black Bear Energy</t>
  </si>
  <si>
    <t>CCG Marketing</t>
  </si>
  <si>
    <t>Achilles Solar</t>
  </si>
  <si>
    <t>Overlook Medical Center</t>
  </si>
  <si>
    <t>Arborgate Solar</t>
  </si>
  <si>
    <t>Wadesboro 4</t>
  </si>
  <si>
    <t>APG Old Bayside</t>
  </si>
  <si>
    <t>APG New Chesapeake</t>
  </si>
  <si>
    <t>Milford Solar Farm (NJ) LLC</t>
  </si>
  <si>
    <t>McCullough Road Solar Farm</t>
  </si>
  <si>
    <t>Morehead Generating Facility</t>
  </si>
  <si>
    <t>Cuyahoga Falls 1</t>
  </si>
  <si>
    <t>Pecan Grove Solar, LLC</t>
  </si>
  <si>
    <t>1025 Traveller Solar, LLC</t>
  </si>
  <si>
    <t>1047 Little Mountain Solar, LLC</t>
  </si>
  <si>
    <t>Ennis Solar, LLC</t>
  </si>
  <si>
    <t>Maiden Creek Solar Power Plant</t>
  </si>
  <si>
    <t>Gaston Solar Power Plant</t>
  </si>
  <si>
    <t>Hecate Energy Highland LLC</t>
  </si>
  <si>
    <t>Skipjack Solar Center</t>
  </si>
  <si>
    <t>IKEA Canton Rooftop PV System</t>
  </si>
  <si>
    <t>Crooked Run</t>
  </si>
  <si>
    <t>Garfield Solar</t>
  </si>
  <si>
    <t>CED Champaign Solar LLC</t>
  </si>
  <si>
    <t>TPE Pennsylvania Solar 1, LLC</t>
  </si>
  <si>
    <t>Shiloh Hwy Solar</t>
  </si>
  <si>
    <t>Sandy Solar</t>
  </si>
  <si>
    <t>Chowan Jehu Solar</t>
  </si>
  <si>
    <t>Nationals</t>
  </si>
  <si>
    <t>Burlington Coat Factory Solar</t>
  </si>
  <si>
    <t>DSM Nutritional Products Solar</t>
  </si>
  <si>
    <t>Chester Woods Point Solar, LLC CSG</t>
  </si>
  <si>
    <t>Desper Solar</t>
  </si>
  <si>
    <t>Phoenix Solar South Farms LLC Solar Farm</t>
  </si>
  <si>
    <t>KDC Solar ASGM</t>
  </si>
  <si>
    <t>Mount Joy Wire</t>
  </si>
  <si>
    <t>KDC Solar CSCP LLC</t>
  </si>
  <si>
    <t>Matilda Hamilton Fee Hydroelectric Stati</t>
  </si>
  <si>
    <t>Meherrin Solar</t>
  </si>
  <si>
    <t>Scottsburg Solar Park</t>
  </si>
  <si>
    <t>Gas City Solar Park</t>
  </si>
  <si>
    <t>Piney Creek Solar</t>
  </si>
  <si>
    <t>Columbia City Solar Park</t>
  </si>
  <si>
    <t>Richmond Solar Park 3</t>
  </si>
  <si>
    <t>Wildberry</t>
  </si>
  <si>
    <t>Crawfordsville Solar Park 4</t>
  </si>
  <si>
    <t>Rappahannock Solar, LLC</t>
  </si>
  <si>
    <t>Thanksgiving Fire Solar Farm, LLC</t>
  </si>
  <si>
    <t>Tell City Solar Park</t>
  </si>
  <si>
    <t>Richmond Solar Park 4</t>
  </si>
  <si>
    <t>DG AMP Solar Piqua Manier</t>
  </si>
  <si>
    <t>Crawfordsville 5 Solar Park</t>
  </si>
  <si>
    <t>Centerville Solar Park</t>
  </si>
  <si>
    <t>Bluebird Solar LLC</t>
  </si>
  <si>
    <t>Fern Solar LLC</t>
  </si>
  <si>
    <t>Grasshopper Solar</t>
  </si>
  <si>
    <t>Sadler Solar</t>
  </si>
  <si>
    <t>Fairbanks Wind Park</t>
  </si>
  <si>
    <t>Stony Knoll Solar, LLC</t>
  </si>
  <si>
    <t>Speedway Solar NC, LLC</t>
  </si>
  <si>
    <t>Broad River Solar, LLC</t>
  </si>
  <si>
    <t>Carolina Poultry Power Farmville</t>
  </si>
  <si>
    <t>AB</t>
  </si>
  <si>
    <t>Amazon Maryland DCA1</t>
  </si>
  <si>
    <t>Rosewater Wind Farm</t>
  </si>
  <si>
    <t>Prairie Wolf Solar LLC</t>
  </si>
  <si>
    <t>Somerville Solar</t>
  </si>
  <si>
    <t>Phoenix Contact - CCHP Plant</t>
  </si>
  <si>
    <t>NorthPark Solar</t>
  </si>
  <si>
    <t>Milhurst Solar</t>
  </si>
  <si>
    <t>Day Four Solar LLC</t>
  </si>
  <si>
    <t>Augusta Solar Farm</t>
  </si>
  <si>
    <t>MNCPPC Germantown Solar</t>
  </si>
  <si>
    <t>Solar Hagerstown</t>
  </si>
  <si>
    <t>Notre Dame Hydro</t>
  </si>
  <si>
    <t>DG AMP Rittman Rd</t>
  </si>
  <si>
    <t>DG AMP 1048 Wadsworth</t>
  </si>
  <si>
    <t>Timber Road IV</t>
  </si>
  <si>
    <t>Dickinson Solar</t>
  </si>
  <si>
    <t>NASA Wallops Flight Facility Solar</t>
  </si>
  <si>
    <t>Bluestone Solar</t>
  </si>
  <si>
    <t>Hawtree Solar</t>
  </si>
  <si>
    <t>DG Iron Mountain</t>
  </si>
  <si>
    <t>DG Infineum</t>
  </si>
  <si>
    <t>Whitehorn Solar</t>
  </si>
  <si>
    <t>Whitetail Solar 1</t>
  </si>
  <si>
    <t>Whitetail Solar 2</t>
  </si>
  <si>
    <t>Whitetail Solar 3</t>
  </si>
  <si>
    <t>ESA Four Oaks 2 NC LLC</t>
  </si>
  <si>
    <t>Spring Hope Solar 3, LLC</t>
  </si>
  <si>
    <t>Midland Wind</t>
  </si>
  <si>
    <t>Plott Hound Solar</t>
  </si>
  <si>
    <t>Carolina Lily Solar</t>
  </si>
  <si>
    <t>Ray Wilson Solar</t>
  </si>
  <si>
    <t>Green Lake Solar</t>
  </si>
  <si>
    <t>TCLP Solar Phase 1</t>
  </si>
  <si>
    <t>Jefferson Torresdale Hospital</t>
  </si>
  <si>
    <t>Hertford Solar Power, LLC</t>
  </si>
  <si>
    <t>Hardin Solar Energy LLC</t>
  </si>
  <si>
    <t>Gloucester Solar</t>
  </si>
  <si>
    <t>Harmony Road Solar</t>
  </si>
  <si>
    <t>Square Barn Solar</t>
  </si>
  <si>
    <t>Reed Road Solar</t>
  </si>
  <si>
    <t>BTC2 Solar (CSG)</t>
  </si>
  <si>
    <t>Mooseheart School Solar</t>
  </si>
  <si>
    <t>Upper Marlboro 1 CSG</t>
  </si>
  <si>
    <t>Gutenberg Solar</t>
  </si>
  <si>
    <t>Twittys Creek Solar, LLC</t>
  </si>
  <si>
    <t>Caden Energix Pamplin LLC</t>
  </si>
  <si>
    <t>Caden Energix Hickory LLC</t>
  </si>
  <si>
    <t>White CSG</t>
  </si>
  <si>
    <t>Caden Energix Rives Road LLC</t>
  </si>
  <si>
    <t>Gibbons CSG</t>
  </si>
  <si>
    <t>Tippecanoe Solar Power Plant</t>
  </si>
  <si>
    <t>Franklin Solar (NJ)</t>
  </si>
  <si>
    <t>Pohatcong Solar Farm</t>
  </si>
  <si>
    <t>Orange Street G1</t>
  </si>
  <si>
    <t>Monroeville Solar</t>
  </si>
  <si>
    <t>Sayreville Solar Project</t>
  </si>
  <si>
    <t>Aero Haven Solar</t>
  </si>
  <si>
    <t>ACCP NJ 1</t>
  </si>
  <si>
    <t>Bergenmand Solar Partners, LLC Mahwah</t>
  </si>
  <si>
    <t>Sheridan School Corporation Solar</t>
  </si>
  <si>
    <t>AGA TAG Solar IV LLC</t>
  </si>
  <si>
    <t>Manheim New Jersey</t>
  </si>
  <si>
    <t>Old Court Rd Solar</t>
  </si>
  <si>
    <t>New River Clean Energy</t>
  </si>
  <si>
    <t>Lone Tree Wind, LLC</t>
  </si>
  <si>
    <t>Francis Scott Key Mall</t>
  </si>
  <si>
    <t>Short Hills Mall</t>
  </si>
  <si>
    <t>AC Power</t>
  </si>
  <si>
    <t>Penny Hill Solar</t>
  </si>
  <si>
    <t>Meeks Solar, LLC</t>
  </si>
  <si>
    <t>Strider Solar, LLC</t>
  </si>
  <si>
    <t>Woodsdale Farm, LLC</t>
  </si>
  <si>
    <t>DG Amaze ACY1</t>
  </si>
  <si>
    <t>Cottonwood Solar, LLC</t>
  </si>
  <si>
    <t>Parking Lot Array</t>
  </si>
  <si>
    <t>232 Long Branch 29 Solar I, LLC</t>
  </si>
  <si>
    <t>Barrette Outdoor Living, Inc.</t>
  </si>
  <si>
    <t>Harvest Beulaville, LLC</t>
  </si>
  <si>
    <t>Bingham Solar, LLC</t>
  </si>
  <si>
    <t>Temperance Solar, LLC</t>
  </si>
  <si>
    <t>Bluefin Origination 1</t>
  </si>
  <si>
    <t>Camp Atterbury Microgrid Hybrid</t>
  </si>
  <si>
    <t>Aulander Hwy 42 Solar, LLC</t>
  </si>
  <si>
    <t>Campus Drive Solar</t>
  </si>
  <si>
    <t>Scotch Bonnet Solar, LLC</t>
  </si>
  <si>
    <t>Cubera Solar, LLC</t>
  </si>
  <si>
    <t>AOC, Capitol Power Plant</t>
  </si>
  <si>
    <t>Allied Beverages Elizabeth</t>
  </si>
  <si>
    <t>Chanel Piscataway Rooftop</t>
  </si>
  <si>
    <t>Colonial Pipeline Allentown Chesterfield</t>
  </si>
  <si>
    <t>Colonial Pipeline Woodbury West Deptford</t>
  </si>
  <si>
    <t>435A Bergen Avenue</t>
  </si>
  <si>
    <t>ESA Hamlet NC , LLC</t>
  </si>
  <si>
    <t>Railroad Solar Farm, LLC</t>
  </si>
  <si>
    <t>ATOOD Solar IV, LLC</t>
  </si>
  <si>
    <t>Bennington Wind</t>
  </si>
  <si>
    <t>Jordan Creek Wind Farm, LLC</t>
  </si>
  <si>
    <t>Shelby Solar Array</t>
  </si>
  <si>
    <t>DEC Phase II at Georgetown</t>
  </si>
  <si>
    <t>Galesburg Solar Array</t>
  </si>
  <si>
    <t>Thermo Fisher</t>
  </si>
  <si>
    <t>LTMUA</t>
  </si>
  <si>
    <t>IGS CC, LLC</t>
  </si>
  <si>
    <t>1001 Ebenezer Church Solar</t>
  </si>
  <si>
    <t>1009 Yadkin Solar</t>
  </si>
  <si>
    <t>1073 Onslow Solar</t>
  </si>
  <si>
    <t>1008 Matthews Solar</t>
  </si>
  <si>
    <t>1045 Tomlin Mill Solar</t>
  </si>
  <si>
    <t>Lang Solar Farm</t>
  </si>
  <si>
    <t>Monroe Solar Farm, LLC</t>
  </si>
  <si>
    <t>Solvay Solar</t>
  </si>
  <si>
    <t>Progress Drive Generation Station</t>
  </si>
  <si>
    <t>Selective Insurance</t>
  </si>
  <si>
    <t>Ross Hall Central Utility Plant</t>
  </si>
  <si>
    <t>ACM - Midtown Thermal</t>
  </si>
  <si>
    <t>ECP Uptown Campus</t>
  </si>
  <si>
    <t>Frederick County - Landfill</t>
  </si>
  <si>
    <t>Montclair State University Cogen</t>
  </si>
  <si>
    <t>Lakehurst Solar</t>
  </si>
  <si>
    <t>Wor-Wic Community College - Offsite</t>
  </si>
  <si>
    <t>PA Solar Park II</t>
  </si>
  <si>
    <t>Spruce - WCMD - Rubble II</t>
  </si>
  <si>
    <t>Spruce - WCMD - Rubble I</t>
  </si>
  <si>
    <t>Spruce - WCMD - Creek</t>
  </si>
  <si>
    <t>Spruce - WCMD - Resh I</t>
  </si>
  <si>
    <t>Jersey City DWP</t>
  </si>
  <si>
    <t>Assembly Solar II LLC</t>
  </si>
  <si>
    <t>Essex County Correctional Facility Cogen</t>
  </si>
  <si>
    <t>Water Strider Solar</t>
  </si>
  <si>
    <t>HWY 158 PV</t>
  </si>
  <si>
    <t>Isabella Wind Park</t>
  </si>
  <si>
    <t>USS Solar Brick</t>
  </si>
  <si>
    <t>USS Goodrich Solar</t>
  </si>
  <si>
    <t>USS Sycamore Solar (CSG)</t>
  </si>
  <si>
    <t>IGS FE Trenton, LLC</t>
  </si>
  <si>
    <t>Primient Loudon Plant</t>
  </si>
  <si>
    <t>Sheriff Road</t>
  </si>
  <si>
    <t>CED Peoria Solar</t>
  </si>
  <si>
    <t>M72 West Solar</t>
  </si>
  <si>
    <t>Bitter Ridge Wind Farm, LLC</t>
  </si>
  <si>
    <t>Crescent Wind Park</t>
  </si>
  <si>
    <t>Gratiot Farms Wind Project</t>
  </si>
  <si>
    <t>Hunker Solar River, LLC</t>
  </si>
  <si>
    <t>PG Solar, LLC</t>
  </si>
  <si>
    <t>Freight Line Solar, LLC</t>
  </si>
  <si>
    <t>Holly Swamp Solar, LLC</t>
  </si>
  <si>
    <t>Westmoreland County Solar Project</t>
  </si>
  <si>
    <t>Galloway Landfill</t>
  </si>
  <si>
    <t>AGT001 Centerville Fuel Cell</t>
  </si>
  <si>
    <t>EQX002 Secaucus Rd Fuel Cell</t>
  </si>
  <si>
    <t>EQX003 Secaucus Rd Fuel Cell</t>
  </si>
  <si>
    <t>EQX012 Harz Fuel Cell</t>
  </si>
  <si>
    <t>IIV000 Mt Bethel Fuel Cell</t>
  </si>
  <si>
    <t>Elora Solar</t>
  </si>
  <si>
    <t>ESA Buies Creek, LLC</t>
  </si>
  <si>
    <t>Eros Solar, LLC</t>
  </si>
  <si>
    <t>Ventura Solar, LLC</t>
  </si>
  <si>
    <t>Greensville County Solar Project, LLC</t>
  </si>
  <si>
    <t>TWE Myrtle Solar Farm, LLC</t>
  </si>
  <si>
    <t>Elk Hill Solar 2</t>
  </si>
  <si>
    <t>Elk Hill Solar 1</t>
  </si>
  <si>
    <t>Ben Moreell Solar Farm</t>
  </si>
  <si>
    <t>Pleasant Hill PV1</t>
  </si>
  <si>
    <t>East Nash PV2</t>
  </si>
  <si>
    <t>Illinois PV Fulton 1 CSG</t>
  </si>
  <si>
    <t>St. Joseph Solar</t>
  </si>
  <si>
    <t>Sugar Solar, LLC</t>
  </si>
  <si>
    <t>Lick Creek Solar, LLC</t>
  </si>
  <si>
    <t>Highest Power Solar, LLC</t>
  </si>
  <si>
    <t>CED Beecher Sun Solar</t>
  </si>
  <si>
    <t>CED Hilltop Solar</t>
  </si>
  <si>
    <t>Lineage Logistics Solar</t>
  </si>
  <si>
    <t>Partin Solar</t>
  </si>
  <si>
    <t>Hardin Solar Energy II LLC</t>
  </si>
  <si>
    <t>POET Biorefining - Marion, LLC</t>
  </si>
  <si>
    <t>Conagra Foods at St. Elmo</t>
  </si>
  <si>
    <t>POET Biorefining Caro, LLC</t>
  </si>
  <si>
    <t>Pilot Mountain Solar, LLC</t>
  </si>
  <si>
    <t>Benson Solar, LLC</t>
  </si>
  <si>
    <t>Lane II Solar, LLC</t>
  </si>
  <si>
    <t>High Point Solar LLC</t>
  </si>
  <si>
    <t>Trent River Solar, LLC</t>
  </si>
  <si>
    <t>DePue Holdings, LLC</t>
  </si>
  <si>
    <t>POET Biorefining - North Manchester, LLC</t>
  </si>
  <si>
    <t>Logansport Solar</t>
  </si>
  <si>
    <t>Willowbrook Solar I, LLC</t>
  </si>
  <si>
    <t>ESIL-PFCHICAGO 3, LLC</t>
  </si>
  <si>
    <t>ESIL-PFCHICAGO 2, LLC</t>
  </si>
  <si>
    <t>Pinesburg Solar LLC</t>
  </si>
  <si>
    <t>Timonium Fairgrounds</t>
  </si>
  <si>
    <t>Panther Creek Wind Project</t>
  </si>
  <si>
    <t>Otter Creek Solar</t>
  </si>
  <si>
    <t>Bluegrass Solar</t>
  </si>
  <si>
    <t>DC Water Solar</t>
  </si>
  <si>
    <t>POET Biorefining - Fostoria</t>
  </si>
  <si>
    <t>POET Biorefining - Shelbyville</t>
  </si>
  <si>
    <t>POET Biorefining - Portland</t>
  </si>
  <si>
    <t>POET Biorefining- Alexandria, LLC</t>
  </si>
  <si>
    <t>POET Biorefining - Leipsic, LLC</t>
  </si>
  <si>
    <t>Troy Solar</t>
  </si>
  <si>
    <t>Clinton Solar 4 LLC CSG</t>
  </si>
  <si>
    <t>Vermilion Solar 1, LLC CSG</t>
  </si>
  <si>
    <t>CED Spring Creek Solar</t>
  </si>
  <si>
    <t>Cortland</t>
  </si>
  <si>
    <t>Lena</t>
  </si>
  <si>
    <t>Ridge Farm</t>
  </si>
  <si>
    <t>Mendota</t>
  </si>
  <si>
    <t>Danville Farm, LLC</t>
  </si>
  <si>
    <t>Charter Durabar at Woodstock</t>
  </si>
  <si>
    <t>The GSI Group LLC at Assumption</t>
  </si>
  <si>
    <t>CCUA Solar</t>
  </si>
  <si>
    <t>Hayes Solar, LLC</t>
  </si>
  <si>
    <t>Harrison Solar, LLC</t>
  </si>
  <si>
    <t>Bay Tree</t>
  </si>
  <si>
    <t>315 Vinson Road</t>
  </si>
  <si>
    <t>Blooming Grove Wind Energy Center</t>
  </si>
  <si>
    <t>Peterman II</t>
  </si>
  <si>
    <t>Kish CSG</t>
  </si>
  <si>
    <t>Nostrand</t>
  </si>
  <si>
    <t>Vulcan</t>
  </si>
  <si>
    <t>Buttercup Solar, LLC</t>
  </si>
  <si>
    <t>Energix Hollyfield, LLC</t>
  </si>
  <si>
    <t>Energix Nokesville, LLC</t>
  </si>
  <si>
    <t>Somonauk Road Solar 1</t>
  </si>
  <si>
    <t>Energix Buckingham, LLC</t>
  </si>
  <si>
    <t>Edwardsville Solar II</t>
  </si>
  <si>
    <t>Route 76 Boone Solar 1</t>
  </si>
  <si>
    <t>Altavista Solar</t>
  </si>
  <si>
    <t>10 Finderne Avenue Solar, LLC</t>
  </si>
  <si>
    <t>101 Carnegie Center Solar, LLC</t>
  </si>
  <si>
    <t>Powatan Road Solar</t>
  </si>
  <si>
    <t>Apple Canyon Lake Solar</t>
  </si>
  <si>
    <t>Olney Solar II CSG</t>
  </si>
  <si>
    <t>Fort Bragg - Camp Mackall PV BESS System</t>
  </si>
  <si>
    <t>2662 Freeport Solar 1 CSG</t>
  </si>
  <si>
    <t>Whiteside Solar 1 CSG</t>
  </si>
  <si>
    <t>Norge Solar Farm</t>
  </si>
  <si>
    <t>Alta Farms II Wind Project, LLC</t>
  </si>
  <si>
    <t>Montross Solar</t>
  </si>
  <si>
    <t>Samuel Mickle School</t>
  </si>
  <si>
    <t>Electric City Solar</t>
  </si>
  <si>
    <t>Morgan Solar 4, LLC CSG</t>
  </si>
  <si>
    <t>Mid-River PA, LLC (ABE4)</t>
  </si>
  <si>
    <t>Meadowlark Solar</t>
  </si>
  <si>
    <t>Nash 97 Solar 2</t>
  </si>
  <si>
    <t>Nickelson Solar 2</t>
  </si>
  <si>
    <t>Siler City Solar 2</t>
  </si>
  <si>
    <t>Marlow Solar, LLC CSG</t>
  </si>
  <si>
    <t>IGS Stockton DG CSG</t>
  </si>
  <si>
    <t>Grassfield Solar</t>
  </si>
  <si>
    <t>Sycamore Solar</t>
  </si>
  <si>
    <t>LabCorp Engine</t>
  </si>
  <si>
    <t>Harts Mill Solar, LLC</t>
  </si>
  <si>
    <t>Clyde Peaking Engine</t>
  </si>
  <si>
    <t>Mechanicsville Solar</t>
  </si>
  <si>
    <t>Morgan Solar 2, LLC CSG</t>
  </si>
  <si>
    <t>Albemarle Beach Solar</t>
  </si>
  <si>
    <t>Lotus</t>
  </si>
  <si>
    <t>Big Boy</t>
  </si>
  <si>
    <t>Beth</t>
  </si>
  <si>
    <t>Charlie</t>
  </si>
  <si>
    <t>MD - CS - Potomac Edison Co - GA29 TPE</t>
  </si>
  <si>
    <t>Bo Biggs Solar</t>
  </si>
  <si>
    <t>Moore Solar</t>
  </si>
  <si>
    <t>510 Carnegie Center</t>
  </si>
  <si>
    <t>701 Carnegie Center</t>
  </si>
  <si>
    <t>Assembly Solar III</t>
  </si>
  <si>
    <t>McDonough Solar 1, LLC CSG</t>
  </si>
  <si>
    <t>Dressor Plains Solar, LLC</t>
  </si>
  <si>
    <t>Blue Goose Solar CSG</t>
  </si>
  <si>
    <t>Iroquois Solar 1B LLC CSG</t>
  </si>
  <si>
    <t>Indiana Crossroads Wind Farm LLC</t>
  </si>
  <si>
    <t>Solar Lee, LLC</t>
  </si>
  <si>
    <t>Acme Solar, LLC</t>
  </si>
  <si>
    <t>Maryland Bioenergy Center (Jessup)</t>
  </si>
  <si>
    <t>Sullivan B Community Solar LLC</t>
  </si>
  <si>
    <t>Anderson 3</t>
  </si>
  <si>
    <t>Anderson 5</t>
  </si>
  <si>
    <t>Peru 2</t>
  </si>
  <si>
    <t>Richmond 5</t>
  </si>
  <si>
    <t>Anderson 4</t>
  </si>
  <si>
    <t>Anderson 6</t>
  </si>
  <si>
    <t>Peru 3</t>
  </si>
  <si>
    <t>Pickford Solar</t>
  </si>
  <si>
    <t>Richmond 6</t>
  </si>
  <si>
    <t>Kent School Road Solar 1</t>
  </si>
  <si>
    <t>Schulte 2 Community Solar</t>
  </si>
  <si>
    <t>Kankakee Solar 4 LLC</t>
  </si>
  <si>
    <t>1051 Lucky Solar, LLC</t>
  </si>
  <si>
    <t>Sweet Tea Solar, LLC</t>
  </si>
  <si>
    <t>Lafayette 2 - McHenry Franks 1</t>
  </si>
  <si>
    <t>Lafayette 2 - McHenry Franks 2</t>
  </si>
  <si>
    <t>Lafayette 2 - Kankakee Yonke</t>
  </si>
  <si>
    <t>Sun Farm VIII, LLC</t>
  </si>
  <si>
    <t>EDF Ph1 Toms River</t>
  </si>
  <si>
    <t>AES Griggs Solar, LLC</t>
  </si>
  <si>
    <t>IGS East Central, LLC</t>
  </si>
  <si>
    <t>SV CSG Lily Lake 2 LLC</t>
  </si>
  <si>
    <t>Cedarville Road</t>
  </si>
  <si>
    <t>6685 Santa Barbara Ct</t>
  </si>
  <si>
    <t>American Goldfinch SCS ACY2 NJ, LLC</t>
  </si>
  <si>
    <t>SCS American Bottoms 009885 Sauget, LLC</t>
  </si>
  <si>
    <t>ESA Boston Solar, LLC</t>
  </si>
  <si>
    <t>SCS Beltway 011754 Rock Falls, LLC</t>
  </si>
  <si>
    <t>Trojan Solar, LLC</t>
  </si>
  <si>
    <t>Zuma Solar, LLC</t>
  </si>
  <si>
    <t>Ridgecrest</t>
  </si>
  <si>
    <t>Cascades</t>
  </si>
  <si>
    <t>Glacier Sands Wind Power, LLC</t>
  </si>
  <si>
    <t>Gliden (Op Zone)</t>
  </si>
  <si>
    <t>Delanco</t>
  </si>
  <si>
    <t>Pontiac</t>
  </si>
  <si>
    <t>Rockford CSG</t>
  </si>
  <si>
    <t>Sandoval</t>
  </si>
  <si>
    <t>GSPP Onyx New Brunswick LLC</t>
  </si>
  <si>
    <t>American Beech Solar LLC</t>
  </si>
  <si>
    <t>Black Rock Wind</t>
  </si>
  <si>
    <t>Pine Road Solar, LLC CSG</t>
  </si>
  <si>
    <t>Wythe County Solar</t>
  </si>
  <si>
    <t>Grissom Solar, LLC</t>
  </si>
  <si>
    <t>Calhoun County Solar Project</t>
  </si>
  <si>
    <t>13 Mile Solar, LLC</t>
  </si>
  <si>
    <t>Captain Solar, LLC</t>
  </si>
  <si>
    <t>Coldwater Solar, LLC</t>
  </si>
  <si>
    <t>Geddes 1 Solar, LLC</t>
  </si>
  <si>
    <t>Jack Francis Solar, LLC</t>
  </si>
  <si>
    <t>May Shannon Solar, LLC</t>
  </si>
  <si>
    <t>Stoneheart Solar, LLC</t>
  </si>
  <si>
    <t>Workman Road Solar Farm, LLC</t>
  </si>
  <si>
    <t>Clendenin A Community Solar, LLC CSG</t>
  </si>
  <si>
    <t>Kern A Community Solar, LLC CSG</t>
  </si>
  <si>
    <t>Lukuc B Community Solar LLC CSG</t>
  </si>
  <si>
    <t>CSG Mt. Morris 2, LLC</t>
  </si>
  <si>
    <t>Tower Road Solar, LLC CSG</t>
  </si>
  <si>
    <t>Interchange Solar, LLC</t>
  </si>
  <si>
    <t>Swansboro Solar, LLC</t>
  </si>
  <si>
    <t>Suncaster, LLC</t>
  </si>
  <si>
    <t>1034 Catherine Lake Solar, LLC</t>
  </si>
  <si>
    <t>Hendershot Solar, LLC</t>
  </si>
  <si>
    <t>Hazel Solar, LLC</t>
  </si>
  <si>
    <t>Geddes 2 Solar, LLC</t>
  </si>
  <si>
    <t>Bullhead Solar, LLC</t>
  </si>
  <si>
    <t>Angola Solar, LLC</t>
  </si>
  <si>
    <t>7448 Candlewood Road</t>
  </si>
  <si>
    <t>OETN1</t>
  </si>
  <si>
    <t>Hall Solar Energy Storage</t>
  </si>
  <si>
    <t>South River H4 Solar Energy Storage</t>
  </si>
  <si>
    <t>Arba Solar Energy Storage</t>
  </si>
  <si>
    <t>Rose Acre Solar Energy Storage</t>
  </si>
  <si>
    <t>Hamlet Solar Energy Storage</t>
  </si>
  <si>
    <t>Wake RJ3 Solar Energy Storage</t>
  </si>
  <si>
    <t>Ludie Brown Solar Energy Storage</t>
  </si>
  <si>
    <t>Lowe Solar Energy Storage</t>
  </si>
  <si>
    <t>Spencer Meadow Solar Energy Storage</t>
  </si>
  <si>
    <t>Old Cedar Solar Energy Storage</t>
  </si>
  <si>
    <t>Flatwood Farm</t>
  </si>
  <si>
    <t>Camden Solar LLC</t>
  </si>
  <si>
    <t>Riverstart Solar Park LLC</t>
  </si>
  <si>
    <t>Cement City Solar, LLC</t>
  </si>
  <si>
    <t>Letts Creek Solar, LLC</t>
  </si>
  <si>
    <t>Pullman Solar, LLC</t>
  </si>
  <si>
    <t>Kirby Road Solar, LLC</t>
  </si>
  <si>
    <t>MNCPPC Randall Farm</t>
  </si>
  <si>
    <t>Burns Solar One LLC</t>
  </si>
  <si>
    <t>Hostetter Solar One, LLC</t>
  </si>
  <si>
    <t>Amazon MDW6 Solar Project</t>
  </si>
  <si>
    <t>Slidematic at Rockford</t>
  </si>
  <si>
    <t>JM Huber at Quincy</t>
  </si>
  <si>
    <t>Big Plain Solar, LLC</t>
  </si>
  <si>
    <t>Big River Solar</t>
  </si>
  <si>
    <t>Hot Springs Energy Storage &amp; Microgrid</t>
  </si>
  <si>
    <t>P52ES 1755 Henryton Rd Phase 1 LLC CSG</t>
  </si>
  <si>
    <t>P52ES 1755 Henryton Rd Phase 2 LLC</t>
  </si>
  <si>
    <t>White Marsh Solar</t>
  </si>
  <si>
    <t>Mason Solar One LLC</t>
  </si>
  <si>
    <t>Pittman Solar One LLC</t>
  </si>
  <si>
    <t>Bulldog Solar One, LLC</t>
  </si>
  <si>
    <t>AEUG Union Solar, LLC</t>
  </si>
  <si>
    <t>Van Buren</t>
  </si>
  <si>
    <t>Ryland Road Solar</t>
  </si>
  <si>
    <t>Windsor Hwy 17 Solar</t>
  </si>
  <si>
    <t>Oak Trail Solar, LLC</t>
  </si>
  <si>
    <t>MD - PR97 (CSG)</t>
  </si>
  <si>
    <t>Todd Solar</t>
  </si>
  <si>
    <t>Stanly Solar, LLC</t>
  </si>
  <si>
    <t>CL-Viaduct LLC</t>
  </si>
  <si>
    <t>UN-School House LLC</t>
  </si>
  <si>
    <t>IL17021 Brush Creek I CSG</t>
  </si>
  <si>
    <t>Segunda II (CSG)</t>
  </si>
  <si>
    <t>Woodlawn II (CSG)</t>
  </si>
  <si>
    <t>Dodds (CSG)</t>
  </si>
  <si>
    <t>Olmstead II CSG</t>
  </si>
  <si>
    <t>Wolfcastle</t>
  </si>
  <si>
    <t>Morgan Solar 1 CSG</t>
  </si>
  <si>
    <t>Morgan Solar 1b CSG</t>
  </si>
  <si>
    <t>Long John CSG</t>
  </si>
  <si>
    <t>Woodlawn CSG</t>
  </si>
  <si>
    <t>Hurricane Creek CSG</t>
  </si>
  <si>
    <t>Viking Solar CSG</t>
  </si>
  <si>
    <t>Moraine CSG</t>
  </si>
  <si>
    <t>OER Checkerspot</t>
  </si>
  <si>
    <t>Energix Leatherwood, LLC</t>
  </si>
  <si>
    <t>Broadway Road Solar, LLC</t>
  </si>
  <si>
    <t>Wyse Fork Solar Farm, LLC</t>
  </si>
  <si>
    <t>Yellowbud Solar, LLC</t>
  </si>
  <si>
    <t>SR Turkey Creek, LLC</t>
  </si>
  <si>
    <t>SR Washington I, LLC</t>
  </si>
  <si>
    <t>New Market Solar</t>
  </si>
  <si>
    <t>Primient</t>
  </si>
  <si>
    <t>Calhoun Solar</t>
  </si>
  <si>
    <t>Keeversville Solar CSG</t>
  </si>
  <si>
    <t>Pittsburgh Airport Gas Plant</t>
  </si>
  <si>
    <t>PG Solar 1</t>
  </si>
  <si>
    <t>Woodfin Solar</t>
  </si>
  <si>
    <t>Mt. Morris Solar CSG</t>
  </si>
  <si>
    <t>Brighter Future Solar</t>
  </si>
  <si>
    <t>NorthropGrummanSolar(Rolling Meadows,IL)</t>
  </si>
  <si>
    <t>FedEx Chicago Solar Facility</t>
  </si>
  <si>
    <t>SV Gardner 1 (Lutz) CSG</t>
  </si>
  <si>
    <t>Pretzel CSG</t>
  </si>
  <si>
    <t>Prophet CSG</t>
  </si>
  <si>
    <t>Gala (CSG)</t>
  </si>
  <si>
    <t>Albertsons at Melrose Park</t>
  </si>
  <si>
    <t>Marengo Solar</t>
  </si>
  <si>
    <t>Gardy's Mill Solar</t>
  </si>
  <si>
    <t>Briel Solar Farm</t>
  </si>
  <si>
    <t>Aero Solar Facility</t>
  </si>
  <si>
    <t>Bissell Solar and Battery Generator</t>
  </si>
  <si>
    <t>Bellflower Solar 1</t>
  </si>
  <si>
    <t>Walkerton</t>
  </si>
  <si>
    <t>Linton</t>
  </si>
  <si>
    <t>Cottontail Solar 1</t>
  </si>
  <si>
    <t>Cottontail Solar 2</t>
  </si>
  <si>
    <t>Cottontail Solar 4</t>
  </si>
  <si>
    <t>Cottontail Solar 5</t>
  </si>
  <si>
    <t>Cottontail Solar 6</t>
  </si>
  <si>
    <t>Cottontail Solar 8</t>
  </si>
  <si>
    <t>Bremen</t>
  </si>
  <si>
    <t>Jackson Legler Solar 1 LLC</t>
  </si>
  <si>
    <t>Mt Arlington Solar 1 LLC</t>
  </si>
  <si>
    <t>Phobos Solar, LLC</t>
  </si>
  <si>
    <t>Cabin Creek Solar, LLC</t>
  </si>
  <si>
    <t>Ridgeback</t>
  </si>
  <si>
    <t>Thunderhead</t>
  </si>
  <si>
    <t>AES Belleville Solar LLC</t>
  </si>
  <si>
    <t>City of Bowie</t>
  </si>
  <si>
    <t>Big Turtle Wind Farm 2</t>
  </si>
  <si>
    <t>Energix Aditya, LLC</t>
  </si>
  <si>
    <t>Hudson County Solar</t>
  </si>
  <si>
    <t>WW-DC Solar 1, LLC</t>
  </si>
  <si>
    <t>AT&amp;T Middletown</t>
  </si>
  <si>
    <t>Altice - Parsippany</t>
  </si>
  <si>
    <t>Gaucho Solar</t>
  </si>
  <si>
    <t>Nestlewood Solar</t>
  </si>
  <si>
    <t>Caden Energix Endless Caverns, LLC</t>
  </si>
  <si>
    <t>Pleasant Hill Solar</t>
  </si>
  <si>
    <t>Watlington Solar</t>
  </si>
  <si>
    <t>Apple Grove Solar, LLC</t>
  </si>
  <si>
    <t>Waverly Solar, LLC</t>
  </si>
  <si>
    <t>Ameresco Danville Solar, LLC</t>
  </si>
  <si>
    <t>Wapakoneta-Pratt</t>
  </si>
  <si>
    <t>601 Doremus CDG</t>
  </si>
  <si>
    <t>Bomber CSG</t>
  </si>
  <si>
    <t>5601 Westside CDG</t>
  </si>
  <si>
    <t>Salt City Solar Project - Hybrid</t>
  </si>
  <si>
    <t>ENGIE Solidago Solar Project - Hybrid</t>
  </si>
  <si>
    <t>Powells Creek Solar - Hybrid</t>
  </si>
  <si>
    <t>Sunnybrook Solar Project - Hybrid</t>
  </si>
  <si>
    <t>Caden Energix Wytheville LLC</t>
  </si>
  <si>
    <t>Gas City 2</t>
  </si>
  <si>
    <t>Sapphire Sky Wind Energy LLC</t>
  </si>
  <si>
    <t>Springfield Solar</t>
  </si>
  <si>
    <t>Quillwort Solar</t>
  </si>
  <si>
    <t>Maplewood Solar</t>
  </si>
  <si>
    <t>Sebera Solar</t>
  </si>
  <si>
    <t>Rochambeau Solar</t>
  </si>
  <si>
    <t>Fort Powhatan Solar</t>
  </si>
  <si>
    <t>Bedford Solar (Dominion)</t>
  </si>
  <si>
    <t>Hollins Ferry CSG</t>
  </si>
  <si>
    <t>Meridian Wind Park</t>
  </si>
  <si>
    <t>Mount Laurel Solar</t>
  </si>
  <si>
    <t>CPV Maple Hill Solar</t>
  </si>
  <si>
    <t>MD - CS - Potomac Edison Co - GA25 TPE (</t>
  </si>
  <si>
    <t>MD - CS - BGE - PR24 TPE</t>
  </si>
  <si>
    <t>Ross County Solar, LLC</t>
  </si>
  <si>
    <t>Macbeth Solar</t>
  </si>
  <si>
    <t>Lyons Road</t>
  </si>
  <si>
    <t>Mount Olive Solar Farm</t>
  </si>
  <si>
    <t>Mulligan Solar, LLC</t>
  </si>
  <si>
    <t>Ford County Wind Farm LLC</t>
  </si>
  <si>
    <t>OER Monarch CSG</t>
  </si>
  <si>
    <t>OER Patuxent CSG</t>
  </si>
  <si>
    <t>Shepherds Mill CSG</t>
  </si>
  <si>
    <t>Linden Hawk Rise Solar CSG</t>
  </si>
  <si>
    <t>Holland Solar Farm</t>
  </si>
  <si>
    <t>Purdue CHP</t>
  </si>
  <si>
    <t>Arche Energy Project, LLC</t>
  </si>
  <si>
    <t>Northern Cardinal Solar SCS IL 1, LLC</t>
  </si>
  <si>
    <t>SCS West Fairchild 011958 Danville, LLC</t>
  </si>
  <si>
    <t>SCS Plainfield 011755 Naperville, LLC</t>
  </si>
  <si>
    <t>SCS Galena 012589 Peoria, LLC</t>
  </si>
  <si>
    <t>SCS COUNTY 012631 Champaign, LLC</t>
  </si>
  <si>
    <t>SCS Randolph 012175 Somerset, LLC</t>
  </si>
  <si>
    <t>Perendale Holdings, LLC</t>
  </si>
  <si>
    <t>Ridgely Energy Farm</t>
  </si>
  <si>
    <t>Cinnaminson Landfill Solar</t>
  </si>
  <si>
    <t>Kinsley II Landfill Solar System</t>
  </si>
  <si>
    <t>Pennsauken Brownfield Solar</t>
  </si>
  <si>
    <t>Highland Park Borough Solar</t>
  </si>
  <si>
    <t>Love Lane Solar</t>
  </si>
  <si>
    <t>Herrema Dairy</t>
  </si>
  <si>
    <t>Garden 1 Solar Park</t>
  </si>
  <si>
    <t>Garden 2 Solar Park</t>
  </si>
  <si>
    <t>Beaker</t>
  </si>
  <si>
    <t>Belafonte</t>
  </si>
  <si>
    <t>Gilead</t>
  </si>
  <si>
    <t>Gladstone Farm</t>
  </si>
  <si>
    <t>Mendota Rich Dev CSG</t>
  </si>
  <si>
    <t>Wedge</t>
  </si>
  <si>
    <t>Truman (NC)</t>
  </si>
  <si>
    <t>Trent River Farm</t>
  </si>
  <si>
    <t>Tinker (NC)</t>
  </si>
  <si>
    <t>Sneads Grove</t>
  </si>
  <si>
    <t>Henry Farm</t>
  </si>
  <si>
    <t>Kalish Farm Solar</t>
  </si>
  <si>
    <t>Kendall Farm</t>
  </si>
  <si>
    <t>Peake Road</t>
  </si>
  <si>
    <t>Seagrove</t>
  </si>
  <si>
    <t>Robin NJ</t>
  </si>
  <si>
    <t>Smith Solar Farm</t>
  </si>
  <si>
    <t>Richlands Solar, LLC</t>
  </si>
  <si>
    <t>Cruise Solar, LLC</t>
  </si>
  <si>
    <t>MO32 (CSG)</t>
  </si>
  <si>
    <t>MO33 CSG</t>
  </si>
  <si>
    <t>Snowden River CSG</t>
  </si>
  <si>
    <t>Absegami</t>
  </si>
  <si>
    <t>Cedar Creek (NJ)</t>
  </si>
  <si>
    <t>SR McKellar</t>
  </si>
  <si>
    <t>SR Bell Buckle</t>
  </si>
  <si>
    <t>SR Greenville I</t>
  </si>
  <si>
    <t>SR Greenville II</t>
  </si>
  <si>
    <t>SR Bolivar</t>
  </si>
  <si>
    <t>SR Paris</t>
  </si>
  <si>
    <t>SR Jackson II</t>
  </si>
  <si>
    <t>DRPA Lindenwold Station Solar Project</t>
  </si>
  <si>
    <t>Cattail (CSG)</t>
  </si>
  <si>
    <t>KSU Trumbull</t>
  </si>
  <si>
    <t>Indiana Crossroads Solar Park</t>
  </si>
  <si>
    <t>Canoe Brook Solar</t>
  </si>
  <si>
    <t>Rockford CS 1</t>
  </si>
  <si>
    <t>Rockford CS 2</t>
  </si>
  <si>
    <t>Sandy Ridge Wind 2, LLC</t>
  </si>
  <si>
    <t>Deerfield Wind Energy 2</t>
  </si>
  <si>
    <t>Rockdale</t>
  </si>
  <si>
    <t>Ahern Community Solar I, LLC</t>
  </si>
  <si>
    <t>Alden Road Harvard Solar 1</t>
  </si>
  <si>
    <t>Blue Hen Solar</t>
  </si>
  <si>
    <t>SV CSG Baileyville 1 LLC</t>
  </si>
  <si>
    <t>Elba Solar LLC</t>
  </si>
  <si>
    <t>SV CSG South Dekalb 1 LLC</t>
  </si>
  <si>
    <t>SV CSG South Dekalb 2 LLC</t>
  </si>
  <si>
    <t>SV CSG Barrass Farms II LL</t>
  </si>
  <si>
    <t>Clear Solar I, LLC</t>
  </si>
  <si>
    <t>233 Randolph 74 Solar I, LLC</t>
  </si>
  <si>
    <t>SV CSG Baileyville 2 LLC</t>
  </si>
  <si>
    <t>Gallaudet Uni Community Solar</t>
  </si>
  <si>
    <t>Gans Solar</t>
  </si>
  <si>
    <t>Pechin Solar</t>
  </si>
  <si>
    <t>Listonburg Solar</t>
  </si>
  <si>
    <t>Honeysuckle Solar Farm</t>
  </si>
  <si>
    <t>Brookville Smart Bus Depot Microgrid</t>
  </si>
  <si>
    <t>Mammoth North Solar</t>
  </si>
  <si>
    <t>WMATA - Anacostia CSG</t>
  </si>
  <si>
    <t>WMATA - Cheverly Metro (CSG)</t>
  </si>
  <si>
    <t>WMATA - Naylor Rd. Metro</t>
  </si>
  <si>
    <t>WMATA - S. Ave. Carport (East) (CSG)</t>
  </si>
  <si>
    <t>Kankakee 2</t>
  </si>
  <si>
    <t>KDC Solar TC Little Patuxent WWTP LLC</t>
  </si>
  <si>
    <t>KDC Solar TC George Howard LLC</t>
  </si>
  <si>
    <t>KDC Solar TC Blandair Park LLC</t>
  </si>
  <si>
    <t>IGS AKC1</t>
  </si>
  <si>
    <t>Powell Creek Solar</t>
  </si>
  <si>
    <t>Great Cove Solar</t>
  </si>
  <si>
    <t>IGS CMH4, LLC</t>
  </si>
  <si>
    <t>Lyons Solar</t>
  </si>
  <si>
    <t>DRPA Woodcrest Station Solar Project</t>
  </si>
  <si>
    <t>DRPA Ashland Station Solar Project</t>
  </si>
  <si>
    <t>Amazon MDW7 Solar Project</t>
  </si>
  <si>
    <t>DRPA Ferry Ave Station Solar Project</t>
  </si>
  <si>
    <t>IL Sidney Project1</t>
  </si>
  <si>
    <t>Clay FC</t>
  </si>
  <si>
    <t>IL West Hallock Project1</t>
  </si>
  <si>
    <t>Glover Creek Solar, LLC</t>
  </si>
  <si>
    <t>Cathcart Solar, LLC</t>
  </si>
  <si>
    <t>IGS PCW1</t>
  </si>
  <si>
    <t>Solar Star Urbana Landfill East</t>
  </si>
  <si>
    <t>Solar Star Urbana Landfill Central</t>
  </si>
  <si>
    <t>OE IL Solar 3</t>
  </si>
  <si>
    <t>French Road Solar II</t>
  </si>
  <si>
    <t>Rockford Solar</t>
  </si>
  <si>
    <t>Canal Road Solar</t>
  </si>
  <si>
    <t>Moraine Sands Wind Power</t>
  </si>
  <si>
    <t>ER Bison Solar CSG</t>
  </si>
  <si>
    <t>Blue Elk IV Solar, LLC</t>
  </si>
  <si>
    <t>Blue Elk III Solar, LLC</t>
  </si>
  <si>
    <t>Blue Elk VII Solar, LLC</t>
  </si>
  <si>
    <t>Blue Elk II Solar, LLC</t>
  </si>
  <si>
    <t>Blue Elk I Solar, LLC</t>
  </si>
  <si>
    <t>Midcontinent Solar, LLC</t>
  </si>
  <si>
    <t>Greenstone Solar, LLC</t>
  </si>
  <si>
    <t>HCE Amelia Solar I, LLC</t>
  </si>
  <si>
    <t>HCE Amelia Solar II, LLC</t>
  </si>
  <si>
    <t>HCE Millboro Springs Solar, LLC</t>
  </si>
  <si>
    <t>HCE Moran Solar, LLC</t>
  </si>
  <si>
    <t>HCE Powhatan Solar, LLC</t>
  </si>
  <si>
    <t>HCE Reams Solar, LLC</t>
  </si>
  <si>
    <t>HCE Red House Solar, LLC</t>
  </si>
  <si>
    <t>HCE Roark Mill Solar, LLC</t>
  </si>
  <si>
    <t>Bartonsville Energy Facility, LLC</t>
  </si>
  <si>
    <t>PNA Rossford Solar Array</t>
  </si>
  <si>
    <t>Friendship I</t>
  </si>
  <si>
    <t>Friendship II</t>
  </si>
  <si>
    <t>Maple Flats</t>
  </si>
  <si>
    <t>Heartland Farms</t>
  </si>
  <si>
    <t>Madison Fields Solar Project, LLC</t>
  </si>
  <si>
    <t>Ripley</t>
  </si>
  <si>
    <t>Misenheimer Solar LLC</t>
  </si>
  <si>
    <t>Blue Harvest Solar Park</t>
  </si>
  <si>
    <t>Timber Road Solar Park</t>
  </si>
  <si>
    <t>Speedway Solar, LLC</t>
  </si>
  <si>
    <t>Riverstart Solar Park III</t>
  </si>
  <si>
    <t>Blake Solar Plant</t>
  </si>
  <si>
    <t>Bookers Mill Solar</t>
  </si>
  <si>
    <t>Madison Solar (VA)</t>
  </si>
  <si>
    <t>Elk Solar LLC</t>
  </si>
  <si>
    <t>Longleaf Pine Solar LLC</t>
  </si>
  <si>
    <t>Williams Solar LLC</t>
  </si>
  <si>
    <t>Virginia Line Solar, LLC</t>
  </si>
  <si>
    <t>Cobalt Solar, LLC</t>
  </si>
  <si>
    <t>Erie Solar, LLC</t>
  </si>
  <si>
    <t>IMPA Middletown Solar Park</t>
  </si>
  <si>
    <t>IMPA Richmond Solar Park 7</t>
  </si>
  <si>
    <t>Edison Farm</t>
  </si>
  <si>
    <t>Overhill Solar</t>
  </si>
  <si>
    <t>Polk Farm</t>
  </si>
  <si>
    <t>Selwyn Farm</t>
  </si>
  <si>
    <t>Shieldwall Solar</t>
  </si>
  <si>
    <t>Summit Solar</t>
  </si>
  <si>
    <t>Gray Fox Solar LLC</t>
  </si>
  <si>
    <t>Cereal City Solar, LLC</t>
  </si>
  <si>
    <t>Towanda Facility</t>
  </si>
  <si>
    <t>IMPA Knightstown Solar Park</t>
  </si>
  <si>
    <t>IMPA Washington Solar Park 2</t>
  </si>
  <si>
    <t>Emerald Kemble, LLC</t>
  </si>
  <si>
    <t>Monroeville RTO BTM</t>
  </si>
  <si>
    <t>Niles RTO BTM</t>
  </si>
  <si>
    <t>Perkasie PA BTM</t>
  </si>
  <si>
    <t>Weatherly(PA) RTO BTM</t>
  </si>
  <si>
    <t>Woodville RTO BTM</t>
  </si>
  <si>
    <t>Blakely (PA) RTO BTM</t>
  </si>
  <si>
    <t>Ephrata PA BTM</t>
  </si>
  <si>
    <t>Girard (PA) RTO BTM</t>
  </si>
  <si>
    <t>Quakertown PA BTM</t>
  </si>
  <si>
    <t>Schuylkill Haven PA BTM</t>
  </si>
  <si>
    <t>Mifflinburg PA BTM</t>
  </si>
  <si>
    <t>Wadsworth IPS RTO BTM</t>
  </si>
  <si>
    <t>Hatfield PA BTM</t>
  </si>
  <si>
    <t>Wadsworth HBS RTO BTM</t>
  </si>
  <si>
    <t>Spring Hope Solar 2, LLC</t>
  </si>
  <si>
    <t>Gloucester</t>
  </si>
  <si>
    <t>Ramapo</t>
  </si>
  <si>
    <t>Moyer Solar</t>
  </si>
  <si>
    <t>Federalsburg Energy Storage 1 LLC</t>
  </si>
  <si>
    <t>Briscoe 1A</t>
  </si>
  <si>
    <t>Briscoe 2A</t>
  </si>
  <si>
    <t>CPG - Duke 5300A Holabird</t>
  </si>
  <si>
    <t>CPG - Duke 5300B Holabird</t>
  </si>
  <si>
    <t>CPG - Duke 5900 Holabird</t>
  </si>
  <si>
    <t>CPG - Duke 6000 Holabird</t>
  </si>
  <si>
    <t>Chesapeake Solar Project</t>
  </si>
  <si>
    <t>Shady Oaks Wind 2</t>
  </si>
  <si>
    <t>Beckwith Solar</t>
  </si>
  <si>
    <t>Arthur 2 Solar</t>
  </si>
  <si>
    <t>Double Back Diamond</t>
  </si>
  <si>
    <t>Richland Township Solar, LLC</t>
  </si>
  <si>
    <t>Earp Solar, LLC</t>
  </si>
  <si>
    <t>Kimmel Road Solar, LLC</t>
  </si>
  <si>
    <t>Salt Creek Township Solar, LLC</t>
  </si>
  <si>
    <t>Adams Solar LLC PA</t>
  </si>
  <si>
    <t>Caden Energix Axton LLC</t>
  </si>
  <si>
    <t>Dunns Bridge I Solar</t>
  </si>
  <si>
    <t>Martin County Solar Project, LLC</t>
  </si>
  <si>
    <t>KDC Solar CV Ascend One LLC</t>
  </si>
  <si>
    <t>KDC Solar CV Cedar Lane Park LLC</t>
  </si>
  <si>
    <t>KDC Solar CV Central MD Regional Transit</t>
  </si>
  <si>
    <t>KDC Solar CV Animal Control LLC</t>
  </si>
  <si>
    <t>KDC Solar CV O'Donnell Property LLC</t>
  </si>
  <si>
    <t>Oxon Run CREF</t>
  </si>
  <si>
    <t>Banner Solar</t>
  </si>
  <si>
    <t>Brick City Solar</t>
  </si>
  <si>
    <t>Clovelly Solar</t>
  </si>
  <si>
    <t>Coogee Solar</t>
  </si>
  <si>
    <t>ESA Albemarle NC Solar</t>
  </si>
  <si>
    <t>Millers Chapel Solar</t>
  </si>
  <si>
    <t>Oakwood Solar</t>
  </si>
  <si>
    <t>Overman Solar</t>
  </si>
  <si>
    <t>Saw Solar</t>
  </si>
  <si>
    <t>Sawtell Solar</t>
  </si>
  <si>
    <t>Southwick Solar</t>
  </si>
  <si>
    <t>Whiskey Solar</t>
  </si>
  <si>
    <t>Jordan Energy-DFA Middlebury Center Plan</t>
  </si>
  <si>
    <t>IMPA Richmond 8 Solar Park</t>
  </si>
  <si>
    <t>Toms River CSG</t>
  </si>
  <si>
    <t>Genesee Solar Project</t>
  </si>
  <si>
    <t>THD Baltimore DC - 5830 Project Tiger</t>
  </si>
  <si>
    <t>Brookdale CC BTM at Lincroft</t>
  </si>
  <si>
    <t>Posey Solar</t>
  </si>
  <si>
    <t>ADP Parsippany NJ</t>
  </si>
  <si>
    <t>Bayer - Whippany, NJ</t>
  </si>
  <si>
    <t>BEMS East Solar (CSG)</t>
  </si>
  <si>
    <t>BEMS West Solar CSG</t>
  </si>
  <si>
    <t>Caesar's Atlantic City - POI 1 (Colosseu</t>
  </si>
  <si>
    <t>Dynamic Energy NJ - Ferrero</t>
  </si>
  <si>
    <t>SR Russellville</t>
  </si>
  <si>
    <t>Holly Spring Meadows</t>
  </si>
  <si>
    <t>River Ferry Solar 1</t>
  </si>
  <si>
    <t>Prairie Creek Solar</t>
  </si>
  <si>
    <t>Harrah's Atlantic City - POI 2 (Self Par</t>
  </si>
  <si>
    <t>Alton Post Office Solar</t>
  </si>
  <si>
    <t>Aspen Road Solar</t>
  </si>
  <si>
    <t>Crystal Hill Solar</t>
  </si>
  <si>
    <t>Egypt Road Solar</t>
  </si>
  <si>
    <t>Foxglove Solar</t>
  </si>
  <si>
    <t>Jones Farm Solar</t>
  </si>
  <si>
    <t>Spring Grove Solar 2</t>
  </si>
  <si>
    <t>Old Bridge Global Landfill CSG</t>
  </si>
  <si>
    <t>Indiana Crossroads Wind Farm II</t>
  </si>
  <si>
    <t>Cannonball Solar (CSG)</t>
  </si>
  <si>
    <t>Big Spring Solar (CSG)</t>
  </si>
  <si>
    <t>Solops 371 Hoes LLC</t>
  </si>
  <si>
    <t>Fort Martin Solar</t>
  </si>
  <si>
    <t>Marlowe Solar</t>
  </si>
  <si>
    <t>Rivesville Solar</t>
  </si>
  <si>
    <t>Hammonton-High School Solar</t>
  </si>
  <si>
    <t>IMPA Tipton 2 Solar Park</t>
  </si>
  <si>
    <t>IMPA Veedersburg Solar Park</t>
  </si>
  <si>
    <t>IMPA Winamac Solar Park</t>
  </si>
  <si>
    <t>Pine 1 Solar</t>
  </si>
  <si>
    <t>Pine 2 Solar</t>
  </si>
  <si>
    <t>Franklin Solar 1 LLC Community Solar</t>
  </si>
  <si>
    <t>Franklin Solar 2 LLC Community Solar</t>
  </si>
  <si>
    <t>Mayhill Solar LLC Community Solar</t>
  </si>
  <si>
    <t>Mule Farm Solar, LLC</t>
  </si>
  <si>
    <t>Ramp Solar, LLC</t>
  </si>
  <si>
    <t>Hubble Solar, LLC</t>
  </si>
  <si>
    <t>Hemings Solar</t>
  </si>
  <si>
    <t>Monroe Solar</t>
  </si>
  <si>
    <t>Solidago Solar</t>
  </si>
  <si>
    <t>Cardinal Solar, LLC</t>
  </si>
  <si>
    <t>River Fork Solar, LLC</t>
  </si>
  <si>
    <t>CPV Backbone Solar</t>
  </si>
  <si>
    <t>Energy Developments, Hancock</t>
  </si>
  <si>
    <t>Henry Gibson Solar</t>
  </si>
  <si>
    <t>Elizabeth Seaport Bldg A Solar</t>
  </si>
  <si>
    <t>Harding Solar, LLC</t>
  </si>
  <si>
    <t>C&amp;B Graham Energy, LLC</t>
  </si>
  <si>
    <t>Cranbury 0210 Solar</t>
  </si>
  <si>
    <t>Ports Newark 8201 Solar</t>
  </si>
  <si>
    <t>Ports Jersey City Solar</t>
  </si>
  <si>
    <t>Lister Avenue Solar</t>
  </si>
  <si>
    <t>Edison 7205 Solar</t>
  </si>
  <si>
    <t>Edison 0308 Solar</t>
  </si>
  <si>
    <t>Port Reading 8 Solar</t>
  </si>
  <si>
    <t>Interstate 3 Solar</t>
  </si>
  <si>
    <t>SR Clarksville, LLC</t>
  </si>
  <si>
    <t>SR Clarksville II, LLC</t>
  </si>
  <si>
    <t>SR Franklin, LLC</t>
  </si>
  <si>
    <t>Buckeye Power Inc.</t>
  </si>
  <si>
    <t>Spano Solar - Belmar Wall</t>
  </si>
  <si>
    <t>THD Quicksilver - MDC Perth Amboy</t>
  </si>
  <si>
    <t>Byrne Solar, LLC</t>
  </si>
  <si>
    <t>Lightfoot Solar, LLC</t>
  </si>
  <si>
    <t>Shipsterns Solar, LLC</t>
  </si>
  <si>
    <t>Willford Solar, LLC</t>
  </si>
  <si>
    <t>Gooseberry Solar, LLC</t>
  </si>
  <si>
    <t>Monee Solar 1, LLC</t>
  </si>
  <si>
    <t>Mulberry Solar, LLC</t>
  </si>
  <si>
    <t>Torrence Ave Solar 1 LLC</t>
  </si>
  <si>
    <t>North Cottage Grove Solar 1, LLC</t>
  </si>
  <si>
    <t>Bay Avenue CDG</t>
  </si>
  <si>
    <t>SR Blount, LLC</t>
  </si>
  <si>
    <t>SR Christiana, LLC</t>
  </si>
  <si>
    <t>SR Albany, LLC</t>
  </si>
  <si>
    <t>SR Monroe, LLC</t>
  </si>
  <si>
    <t>Great Cove Solar II</t>
  </si>
  <si>
    <t>White Stone Ocran Solar LLC Community So</t>
  </si>
  <si>
    <t>Prince Edward CSG LLC</t>
  </si>
  <si>
    <t>Union Bridge Solar</t>
  </si>
  <si>
    <t>N Baker Road 2</t>
  </si>
  <si>
    <t>N Baker Road</t>
  </si>
  <si>
    <t>SR Marion, LLC</t>
  </si>
  <si>
    <t>Oak Solar</t>
  </si>
  <si>
    <t>Auburn Renewables LLC</t>
  </si>
  <si>
    <t>SR Warren, LLC</t>
  </si>
  <si>
    <t>Unbridled Solar</t>
  </si>
  <si>
    <t>Fayette Solar</t>
  </si>
  <si>
    <t>Foxhound</t>
  </si>
  <si>
    <t>Colice Hall Solar</t>
  </si>
  <si>
    <t>Oaks Landfill - ANEM</t>
  </si>
  <si>
    <t>SR White Pine, LLC</t>
  </si>
  <si>
    <t>Surrey Road</t>
  </si>
  <si>
    <t>N Solon Road (South)</t>
  </si>
  <si>
    <t>Morey Road</t>
  </si>
  <si>
    <t>Lake City</t>
  </si>
  <si>
    <t>Jade Meadow LLC</t>
  </si>
  <si>
    <t>Shifting Sands Solar, LLC</t>
  </si>
  <si>
    <t>Sunny Rock Solar, LLC</t>
  </si>
  <si>
    <t>River Trail Solar, LLC</t>
  </si>
  <si>
    <t>Prairie Solar (VA)</t>
  </si>
  <si>
    <t>Amherst Solar Facility (VA)</t>
  </si>
  <si>
    <t>Cunningham Solar LLC</t>
  </si>
  <si>
    <t>Fox Squirrel Solar</t>
  </si>
  <si>
    <t>Tom's River (Lowes)</t>
  </si>
  <si>
    <t>Minster 3</t>
  </si>
  <si>
    <t>Foul Rift Solar Farm</t>
  </si>
  <si>
    <t>Tully 1</t>
  </si>
  <si>
    <t>Lobelia 1</t>
  </si>
  <si>
    <t>Surbrook Solar, LLC</t>
  </si>
  <si>
    <t>Spano Solar - Ocean County Landfill - CS</t>
  </si>
  <si>
    <t>THD Baltimore DCs - 5829 Project Lion</t>
  </si>
  <si>
    <t>The Village at Orchard Ridge (TVOR)</t>
  </si>
  <si>
    <t>Township of Monroe - Williamstown HS</t>
  </si>
  <si>
    <t>Township of Monroe - Williamstown MS</t>
  </si>
  <si>
    <t>Rutgers Busch Livingston Lot B &amp; C</t>
  </si>
  <si>
    <t>Rutgers Cook Douglass Lot 97 &amp; 98a</t>
  </si>
  <si>
    <t>FFP - MD Foxhall</t>
  </si>
  <si>
    <t>SR Canadaville, LLC</t>
  </si>
  <si>
    <t>Ten Oaks</t>
  </si>
  <si>
    <t>Carvers Creek Solar</t>
  </si>
  <si>
    <t>Middlesex Vo Tech Solar 1 LLC</t>
  </si>
  <si>
    <t>TPE Irish Road Solar, LLC</t>
  </si>
  <si>
    <t>TPE Whitmell Solar, LLC</t>
  </si>
  <si>
    <t>KE73 CSG</t>
  </si>
  <si>
    <t>Lion One</t>
  </si>
  <si>
    <t>Livingston Crossing (CSG)</t>
  </si>
  <si>
    <t>Meeting House</t>
  </si>
  <si>
    <t>Mustang One</t>
  </si>
  <si>
    <t>Rutgers Busch Liv (Lot 55, 58, 58A, 58B)</t>
  </si>
  <si>
    <t>Bear One</t>
  </si>
  <si>
    <t>Beech Road (CSG)</t>
  </si>
  <si>
    <t>Cavalier Solar</t>
  </si>
  <si>
    <t>Cavalier Solar A2</t>
  </si>
  <si>
    <t>Parker Place</t>
  </si>
  <si>
    <t>Boyd Soccerplex</t>
  </si>
  <si>
    <t>Sycamore</t>
  </si>
  <si>
    <t>Howell (Lowes)</t>
  </si>
  <si>
    <t>Hamilton</t>
  </si>
  <si>
    <t>Mineral Gap</t>
  </si>
  <si>
    <t>RA Jones Roof Mounted Solar System</t>
  </si>
  <si>
    <t>Hall Property</t>
  </si>
  <si>
    <t>Cavalry Solar Hybrid</t>
  </si>
  <si>
    <t>Spectrum Solar Hybrid</t>
  </si>
  <si>
    <t>Oaks Landfill CS 1</t>
  </si>
  <si>
    <t>Augusta CSG, LLC</t>
  </si>
  <si>
    <t>Waynesboro Bridge Solar, LLC Community S</t>
  </si>
  <si>
    <t>Suffolk CSG, LLC</t>
  </si>
  <si>
    <t>Fairfield Lee Solar, LLC Community Solar</t>
  </si>
  <si>
    <t>Cedarville (IL)</t>
  </si>
  <si>
    <t>Sicklerville Landfill</t>
  </si>
  <si>
    <t>Bourbonnais</t>
  </si>
  <si>
    <t>AstraZeneca Newark Solar</t>
  </si>
  <si>
    <t>DC Water</t>
  </si>
  <si>
    <t>Dakota Solar 1, LLC</t>
  </si>
  <si>
    <t>9521 US 14 SOLAR 1, LLC</t>
  </si>
  <si>
    <t>Lilly Pond Road Solar 1, LLC</t>
  </si>
  <si>
    <t>Freeport 18th Solar</t>
  </si>
  <si>
    <t>Goodenow Road West Solar 1, LLC</t>
  </si>
  <si>
    <t>Trenton East</t>
  </si>
  <si>
    <t>Trenton West</t>
  </si>
  <si>
    <t>Trinity Freeport</t>
  </si>
  <si>
    <t>Cottage Grove North Solar 1, LLC</t>
  </si>
  <si>
    <t>Cottage Grove South Solar 1, LLC</t>
  </si>
  <si>
    <t>Breezewood</t>
  </si>
  <si>
    <t>Dakota</t>
  </si>
  <si>
    <t>Galt</t>
  </si>
  <si>
    <t>Skyline</t>
  </si>
  <si>
    <t>Towanda</t>
  </si>
  <si>
    <t>Walldog</t>
  </si>
  <si>
    <t>MD JESSUP 7950 OCEANO AVE</t>
  </si>
  <si>
    <t>MD BALTIMORE 4851 HOLABIRD AVE</t>
  </si>
  <si>
    <t>Northumberland Solar</t>
  </si>
  <si>
    <t>White Tail Solar</t>
  </si>
  <si>
    <t>Lawrence Solar 1 LLC</t>
  </si>
  <si>
    <t>Lawrence Solar 2 LLC</t>
  </si>
  <si>
    <t>SV CSG Plato Solar 1 LLC</t>
  </si>
  <si>
    <t>SV CSG Bishop 1 LLC</t>
  </si>
  <si>
    <t>Schmidt CSG 1</t>
  </si>
  <si>
    <t>DeKalb Taylor LLC</t>
  </si>
  <si>
    <t>SV CSG German Valley 1 LLC</t>
  </si>
  <si>
    <t>SV CSG Wagner A LLC</t>
  </si>
  <si>
    <t>SV CSG Wagner B LLC</t>
  </si>
  <si>
    <t>Oaks Landfill CS 2</t>
  </si>
  <si>
    <t>Capon Bridge Solar LLC</t>
  </si>
  <si>
    <t>Twin Lakes Solar LLC</t>
  </si>
  <si>
    <t>Spring Lane</t>
  </si>
  <si>
    <t>CUA West Campus - South (CSG)</t>
  </si>
  <si>
    <t>EDF Saucon Valley</t>
  </si>
  <si>
    <t>CUA West Campus - North (CSG)</t>
  </si>
  <si>
    <t>IL Joliet 1101 Cherry Hl Rd</t>
  </si>
  <si>
    <t>IL Rochelle 975 S. Caron Rd</t>
  </si>
  <si>
    <t>Vermilion Solar II LLC CSG</t>
  </si>
  <si>
    <t>Vermilion Solar I LLC CSG</t>
  </si>
  <si>
    <t>Triple S Solar I LLC CSG</t>
  </si>
  <si>
    <t>AES Bend Solar II, LLC CSG</t>
  </si>
  <si>
    <t>AES Bend Solar I, LLC CSG</t>
  </si>
  <si>
    <t>Whiskey Acres</t>
  </si>
  <si>
    <t>Sebree Solar I</t>
  </si>
  <si>
    <t>DG Harlem Solar</t>
  </si>
  <si>
    <t>Plote Somonauk</t>
  </si>
  <si>
    <t>Polaris Solar Park</t>
  </si>
  <si>
    <t>All World Solar Facility</t>
  </si>
  <si>
    <t>Hickory Solar</t>
  </si>
  <si>
    <t>Abel Solar</t>
  </si>
  <si>
    <t>Bunker Hill Solar</t>
  </si>
  <si>
    <t>DPC York</t>
  </si>
  <si>
    <t>FedEx Hagerstown</t>
  </si>
  <si>
    <t>Harmony Solar Project</t>
  </si>
  <si>
    <t>Illinois PV Knox 1B</t>
  </si>
  <si>
    <t>Macomb 2A</t>
  </si>
  <si>
    <t>NJ Airport Solar Project A</t>
  </si>
  <si>
    <t>NJ Airport Solar Project B</t>
  </si>
  <si>
    <t>NJ Airport Solar Project C</t>
  </si>
  <si>
    <t>NJ Airport Solar Project D</t>
  </si>
  <si>
    <t>Rockford Plant</t>
  </si>
  <si>
    <t>Round Grove 1</t>
  </si>
  <si>
    <t>Round Grove 2</t>
  </si>
  <si>
    <t>Illinois PV Knox 1A</t>
  </si>
  <si>
    <t>Unity Solar Project (IL)</t>
  </si>
  <si>
    <t>Yorktown 1 Solar</t>
  </si>
  <si>
    <t>Yorktown 2 Solar</t>
  </si>
  <si>
    <t>Great Bend Solar Project</t>
  </si>
  <si>
    <t>Rivanna Solar</t>
  </si>
  <si>
    <t>Hardy Hills Solar Energy LLC</t>
  </si>
  <si>
    <t>RATTS 1</t>
  </si>
  <si>
    <t>Heirloom Solar</t>
  </si>
  <si>
    <t>Dunns Bridge II Solar</t>
  </si>
  <si>
    <t>Timbermill Wind, LLC</t>
  </si>
  <si>
    <t>Crossroads Solar (IN)</t>
  </si>
  <si>
    <t>Halifax CSG LLC</t>
  </si>
  <si>
    <t>Clearview Solar 1</t>
  </si>
  <si>
    <t>Pine River Solar Park</t>
  </si>
  <si>
    <t>Sauk Solar Park</t>
  </si>
  <si>
    <t>Dans Mountain</t>
  </si>
  <si>
    <t>Toledo Air National Guard</t>
  </si>
  <si>
    <t>Eldorado Solar I</t>
  </si>
  <si>
    <t>Marion Solar 4b LLC</t>
  </si>
  <si>
    <t>Putnam Solar 1</t>
  </si>
  <si>
    <t>Putnam Solar 1B</t>
  </si>
  <si>
    <t>Wolf Run Solar</t>
  </si>
  <si>
    <t>Kankakee Solar 1</t>
  </si>
  <si>
    <t>VA- US Foods- Manassas</t>
  </si>
  <si>
    <t>North Ridge Solar</t>
  </si>
  <si>
    <t>SR Brownsville</t>
  </si>
  <si>
    <t>SR Forked Deer</t>
  </si>
  <si>
    <t>SR Lexington</t>
  </si>
  <si>
    <t>SR Trenton</t>
  </si>
  <si>
    <t>SR Trezevant</t>
  </si>
  <si>
    <t>Des Plaines 7-SLCHI819</t>
  </si>
  <si>
    <t>Franklin Park 3-SLCHI803</t>
  </si>
  <si>
    <t>Coffeen Solar BESS</t>
  </si>
  <si>
    <t>Baldwin Solar BESS</t>
  </si>
  <si>
    <t>Maumee Solar</t>
  </si>
  <si>
    <t>Coldwater River Solar</t>
  </si>
  <si>
    <t>Prosperity Wind</t>
  </si>
  <si>
    <t>Wheatsborough Solar</t>
  </si>
  <si>
    <t>St. Clair Solar 3</t>
  </si>
  <si>
    <t>Kankakee Solar 3</t>
  </si>
  <si>
    <t>Romeoville 34 - SLCHI234 - BSCHI234</t>
  </si>
  <si>
    <t>Fairview Farms</t>
  </si>
  <si>
    <t>NCS FCPA LLC</t>
  </si>
  <si>
    <t>NCS Paradise LLC</t>
  </si>
  <si>
    <t>Green River Solar</t>
  </si>
  <si>
    <t>Cabin Creek MD</t>
  </si>
  <si>
    <t>Sand Prairie Solar</t>
  </si>
  <si>
    <t>3100 Valleyview Drive</t>
  </si>
  <si>
    <t>North Stafford HS</t>
  </si>
  <si>
    <t>Newark Solar 1 LLC</t>
  </si>
  <si>
    <t>Armstrong 1</t>
  </si>
  <si>
    <t>Fairbanks Solar Project</t>
  </si>
  <si>
    <t>Gibson Solar</t>
  </si>
  <si>
    <t>Machesney Park</t>
  </si>
  <si>
    <t>Pontiac 1A</t>
  </si>
  <si>
    <t>Clinton Solar (OH)</t>
  </si>
  <si>
    <t>IL BEDFORD PARK 7035 W 65TH ST</t>
  </si>
  <si>
    <t>Agrimony 2</t>
  </si>
  <si>
    <t>Agrimony 1</t>
  </si>
  <si>
    <t>IL University Park 450 Central Ave</t>
  </si>
  <si>
    <t>IL Bolingbrook 279 Marquette Dr</t>
  </si>
  <si>
    <t>IL Bedford Park 6901 W 65th St</t>
  </si>
  <si>
    <t>Lowe's - 1845 - Chicago Brickyard, IL</t>
  </si>
  <si>
    <t>Hardin Solar III</t>
  </si>
  <si>
    <t>Davidson III</t>
  </si>
  <si>
    <t>Davidson IV</t>
  </si>
  <si>
    <t>Davidson V</t>
  </si>
  <si>
    <t>Western Berks</t>
  </si>
  <si>
    <t>ADP Roseland, NJ</t>
  </si>
  <si>
    <t>Parker Road Solar</t>
  </si>
  <si>
    <t>City of Peru Hydro-Electric Generating S</t>
  </si>
  <si>
    <t>City of Peru Rail Generating Station</t>
  </si>
  <si>
    <t>USS Origami Solar</t>
  </si>
  <si>
    <t>USS Cattail Solar</t>
  </si>
  <si>
    <t>USS Ducks Solar CSG</t>
  </si>
  <si>
    <t>Boomtown Renewable Energy Center</t>
  </si>
  <si>
    <t>Cass County Renewable Energy Center</t>
  </si>
  <si>
    <t>Fountain Creek Solar</t>
  </si>
  <si>
    <t>Winterberry Solar</t>
  </si>
  <si>
    <t>MD CDG 001</t>
  </si>
  <si>
    <t>MD CDG 002</t>
  </si>
  <si>
    <t>Westtown School Solar</t>
  </si>
  <si>
    <t>Richmond Solar</t>
  </si>
  <si>
    <t>Pleasantville Solar Park</t>
  </si>
  <si>
    <t>NL IL - Kendall</t>
  </si>
  <si>
    <t>SAE Taylorville IL S1</t>
  </si>
  <si>
    <t>Elam Road Solar, LLC</t>
  </si>
  <si>
    <t>Sandale Solar, LLC</t>
  </si>
  <si>
    <t>Airport Commons 7-slbal210</t>
  </si>
  <si>
    <t>USS University Park Solar</t>
  </si>
  <si>
    <t>Riverstart Solar Park IV</t>
  </si>
  <si>
    <t>SAE Paris IL S1</t>
  </si>
  <si>
    <t>Macon County IL S1</t>
  </si>
  <si>
    <t>Peoria County IL S2</t>
  </si>
  <si>
    <t>Tazewell County IL S1</t>
  </si>
  <si>
    <t>Richland Township Solar II, LLC</t>
  </si>
  <si>
    <t>Chaberton Solar Catherine</t>
  </si>
  <si>
    <t>Illinois PV Knox 3A</t>
  </si>
  <si>
    <t>Illinois PV Knox 3B</t>
  </si>
  <si>
    <t>Clinton Solar 2</t>
  </si>
  <si>
    <t>Marion Solar 2</t>
  </si>
  <si>
    <t>Edgar Solar 1</t>
  </si>
  <si>
    <t>Kankakee Solar 5b</t>
  </si>
  <si>
    <t>LaSalle Solar 1</t>
  </si>
  <si>
    <t>Clinton Solar 4b</t>
  </si>
  <si>
    <t>Clinton Solar 2b</t>
  </si>
  <si>
    <t>Chaberton Solar Lime Kiln</t>
  </si>
  <si>
    <t>Chaberton Solar Matterhorn</t>
  </si>
  <si>
    <t>TPE MD HO93</t>
  </si>
  <si>
    <t>N Solon Road (North)</t>
  </si>
  <si>
    <t>Chaberton Solar Greyrock</t>
  </si>
  <si>
    <t>St. Clair Solar 5</t>
  </si>
  <si>
    <t>TPE MD GA137</t>
  </si>
  <si>
    <t>TPE MD GA140</t>
  </si>
  <si>
    <t>Bureau Solar 1</t>
  </si>
  <si>
    <t>Buckeye Solar</t>
  </si>
  <si>
    <t>Pickaway Solar</t>
  </si>
  <si>
    <t>Nuby Run Solar, LLC</t>
  </si>
  <si>
    <t>LaSalle Solar 6</t>
  </si>
  <si>
    <t>Peoria Solar 3</t>
  </si>
  <si>
    <t>Grant</t>
  </si>
  <si>
    <t>Yager</t>
  </si>
  <si>
    <t>MD - WL Gore - Appleton</t>
  </si>
  <si>
    <t>MD - WL Gore - Cherry Hill</t>
  </si>
  <si>
    <t>Appleseed Solar</t>
  </si>
  <si>
    <t>Goldenrod (IL)</t>
  </si>
  <si>
    <t>MD - CPG - Ten Oaks</t>
  </si>
  <si>
    <t>Anacott</t>
  </si>
  <si>
    <t>Green Acres (VA)</t>
  </si>
  <si>
    <t>Carpenter Wind Farm LLC</t>
  </si>
  <si>
    <t>Claggett Landing</t>
  </si>
  <si>
    <t>Crowne Plaza</t>
  </si>
  <si>
    <t>Orefield</t>
  </si>
  <si>
    <t>Allentown - Ruppsville</t>
  </si>
  <si>
    <t>Cromwell</t>
  </si>
  <si>
    <t>NJ - CS Energy - Berkeley 1</t>
  </si>
  <si>
    <t>NJ - CS Energy - Berkeley II</t>
  </si>
  <si>
    <t>CCBC Essex</t>
  </si>
  <si>
    <t>Deptford Solar Farm</t>
  </si>
  <si>
    <t>Uniqlo Phase 1 Solar Farm</t>
  </si>
  <si>
    <t>Lime Bluff 1</t>
  </si>
  <si>
    <t>Lime Bluff 2</t>
  </si>
  <si>
    <t>LL Scranton PA</t>
  </si>
  <si>
    <t>Reston Town Center Solar 1</t>
  </si>
  <si>
    <t>Uniqlo NJ CS Ph 2 CSG</t>
  </si>
  <si>
    <t>DE-ECA CS Hartly</t>
  </si>
  <si>
    <t>Eldorado Solar II</t>
  </si>
  <si>
    <t>Cuyahoga Generating Facility</t>
  </si>
  <si>
    <t>SV CSG Gander Farms 1 A</t>
  </si>
  <si>
    <t>SV CSG Prophetstown 1</t>
  </si>
  <si>
    <t>10601 Seymour Ave East 2 CSG</t>
  </si>
  <si>
    <t>Tilden Solar</t>
  </si>
  <si>
    <t>Red Bud Solar Plant</t>
  </si>
  <si>
    <t>SAE Ottawa IL</t>
  </si>
  <si>
    <t>10701 Seymour Ave East 1 CSG</t>
  </si>
  <si>
    <t>KaneSolar03 LLC</t>
  </si>
  <si>
    <t>Sawyer</t>
  </si>
  <si>
    <t>Edison 0203 Community Solar - SLNNJ203</t>
  </si>
  <si>
    <t>Top Hat Wind</t>
  </si>
  <si>
    <t>Mound City Solar</t>
  </si>
  <si>
    <t>Pope Creek Solar PV</t>
  </si>
  <si>
    <t>Blairs Valley Solar Project</t>
  </si>
  <si>
    <t>Rocky Mountain Elk Solar Community Solar</t>
  </si>
  <si>
    <t>Buckheart Creek Solar I Community Solar</t>
  </si>
  <si>
    <t>Prologis Meadowlands 9305 - SLNNJ305</t>
  </si>
  <si>
    <t>Costen Solar</t>
  </si>
  <si>
    <t>Cenergy IL - Zion CSG</t>
  </si>
  <si>
    <t>NL IL - 241 North CSG</t>
  </si>
  <si>
    <t>NL IL - 1875 North Road CSG</t>
  </si>
  <si>
    <t>NL IL - 2000 North Road CSG</t>
  </si>
  <si>
    <t>NL IL - Piatt 1 - East CSG</t>
  </si>
  <si>
    <t>NL IL - Piatt 2 - West CSG</t>
  </si>
  <si>
    <t>V Street Solar</t>
  </si>
  <si>
    <t>Liverpool Solar Partners</t>
  </si>
  <si>
    <t>Kelso Community Solar I</t>
  </si>
  <si>
    <t>Kelso Community Solar II</t>
  </si>
  <si>
    <t>Beecher (IL)</t>
  </si>
  <si>
    <t>Gougar</t>
  </si>
  <si>
    <t>Jeffery</t>
  </si>
  <si>
    <t>NE IL - Esmen West</t>
  </si>
  <si>
    <t>NL IL - Kiwi</t>
  </si>
  <si>
    <t>South Belleville Solar, LLC</t>
  </si>
  <si>
    <t>Medanos Solar LLC</t>
  </si>
  <si>
    <t>Drummer Creek I Solar LLC</t>
  </si>
  <si>
    <t>Water Lily Solar LLC</t>
  </si>
  <si>
    <t>Beckham Solar LLC</t>
  </si>
  <si>
    <t>Union Solar LLC</t>
  </si>
  <si>
    <t>Quakertown Solar Farm II</t>
  </si>
  <si>
    <t>Pittsylvania CSG LLC</t>
  </si>
  <si>
    <t>NL IL - Maples Road</t>
  </si>
  <si>
    <t>NL IL - McConnell Road</t>
  </si>
  <si>
    <t>DMAT Denso - SEAT Solar Holdings, LLC</t>
  </si>
  <si>
    <t>Morristown Medical Center</t>
  </si>
  <si>
    <t>Dodson Creek Solar, LLC</t>
  </si>
  <si>
    <t>Gillespie Street Solar</t>
  </si>
  <si>
    <t>Rockfish Solar</t>
  </si>
  <si>
    <t>NL VA - Dry Fork</t>
  </si>
  <si>
    <t>Geranium Solar</t>
  </si>
  <si>
    <t>Pekin Community High School</t>
  </si>
  <si>
    <t>Trenton East Phase 2</t>
  </si>
  <si>
    <t>Trenton West Phase 2</t>
  </si>
  <si>
    <t>CZ Solar Warren, LLC</t>
  </si>
  <si>
    <t>Alverno Hydro Plant</t>
  </si>
  <si>
    <t>Princeton Solar</t>
  </si>
  <si>
    <t>Marshall Solar (IL)</t>
  </si>
  <si>
    <t>S-Pulaski Solar</t>
  </si>
  <si>
    <t>Emily Solar, LLC</t>
  </si>
  <si>
    <t>BHER Ravenswood Solar 1</t>
  </si>
  <si>
    <t>Solvita</t>
  </si>
  <si>
    <t>Mount Olive Solar 3 LLC</t>
  </si>
  <si>
    <t>Martinsville BESS</t>
  </si>
  <si>
    <t>BA</t>
  </si>
  <si>
    <t>MWH</t>
  </si>
  <si>
    <t>Bystronic Manufacturing</t>
  </si>
  <si>
    <t>Marathon Petroleum - Robinson Refinery</t>
  </si>
  <si>
    <t>Toyota Boshoku</t>
  </si>
  <si>
    <t>Galva Landfill</t>
  </si>
  <si>
    <t>Sycamore Creek Solar, LLC</t>
  </si>
  <si>
    <t>Briscoe Solar 1</t>
  </si>
  <si>
    <t>Briscoe Solar 2</t>
  </si>
  <si>
    <t>Clark Solar 1</t>
  </si>
  <si>
    <t>Clark Solar 1A</t>
  </si>
  <si>
    <t>Crawford 1 Solar</t>
  </si>
  <si>
    <t>Crawford 1A Solar</t>
  </si>
  <si>
    <t>Heinsohn Solar 2</t>
  </si>
  <si>
    <t>Heinsohn Solar 2A</t>
  </si>
  <si>
    <t>Hoppe Nitzberg Solar 1</t>
  </si>
  <si>
    <t>Hoppe Nitzberg Solar 1A</t>
  </si>
  <si>
    <t>Engel Solar 1A</t>
  </si>
  <si>
    <t>Brimfield Solar</t>
  </si>
  <si>
    <t>Essex Solar</t>
  </si>
  <si>
    <t>Midwest Power Partners LLC (Pirolo)</t>
  </si>
  <si>
    <t>Rock Cut Solar</t>
  </si>
  <si>
    <t>Shissler Solar</t>
  </si>
  <si>
    <t>USS Clear Creek Solar</t>
  </si>
  <si>
    <t>USS Lowe Solar</t>
  </si>
  <si>
    <t>USS Vermilion Solar 1 LLC (Vermilion 1)</t>
  </si>
  <si>
    <t>USS Vermilion Solar 1 LLC (Vermilion 2)</t>
  </si>
  <si>
    <t>Parkton Landfill</t>
  </si>
  <si>
    <t>Bluegrass Solar 2</t>
  </si>
  <si>
    <t>Boigenzahn Solar 1A, LLC</t>
  </si>
  <si>
    <t>Engel Solar 1, LLC</t>
  </si>
  <si>
    <t>Frieders Solar 1, LLC</t>
  </si>
  <si>
    <t>Irwin Solar, LLC</t>
  </si>
  <si>
    <t>Manteno Solar 1 LLC</t>
  </si>
  <si>
    <t>Moore Solar 1, LLC</t>
  </si>
  <si>
    <t>Moore Solar 1A, LLC</t>
  </si>
  <si>
    <t>Poplar Grove Solar 2, LLC</t>
  </si>
  <si>
    <t>SV CSG Kensington 1 LLC</t>
  </si>
  <si>
    <t>SV CSG Momence 1 LLC</t>
  </si>
  <si>
    <t>SV CSG Momence 2 LLC</t>
  </si>
  <si>
    <t>4622 Mercedes Dr Solar, LLC</t>
  </si>
  <si>
    <t>East Marion IL 1, LLC</t>
  </si>
  <si>
    <t>Illinois River Solar 2, LLC</t>
  </si>
  <si>
    <t>Millstadt IL 1, LLC</t>
  </si>
  <si>
    <t>Princeville Solar, LLC</t>
  </si>
  <si>
    <t>USS St Anne Solar LLC (St. Anne 1)</t>
  </si>
  <si>
    <t>USS St Anne Solar LLC (St Anne 2)</t>
  </si>
  <si>
    <t>USS Young Solar LLC (Young 2)</t>
  </si>
  <si>
    <t>SV CSG Mt Morris 3 LLC</t>
  </si>
  <si>
    <t>SV CSG Garden Prairie 2, LLC</t>
  </si>
  <si>
    <t>SV CSG Garden Prairie 1, LLC</t>
  </si>
  <si>
    <t>Poplar Grove Solar, LLC</t>
  </si>
  <si>
    <t>7001 Quad Solar, LLC</t>
  </si>
  <si>
    <t>SV CSG Kirkland 2 LLC</t>
  </si>
  <si>
    <t>SV CSG Kirkland 1 LLC</t>
  </si>
  <si>
    <t>Heinsohn Solar 1, LLC</t>
  </si>
  <si>
    <t>Heinsohn Solar 1A, LLC</t>
  </si>
  <si>
    <t>Goodfarm Solar, LLC</t>
  </si>
  <si>
    <t>SV CSG Gardner 2 LLC</t>
  </si>
  <si>
    <t>OUTPUT</t>
  </si>
  <si>
    <t>outage adjusted gen</t>
  </si>
  <si>
    <t>forecasted 
heat rate</t>
  </si>
  <si>
    <t>HE 1</t>
  </si>
  <si>
    <t>HE 2</t>
  </si>
  <si>
    <t>HE 3</t>
  </si>
  <si>
    <t>HE 4</t>
  </si>
  <si>
    <t>HE 5</t>
  </si>
  <si>
    <t>HE 6</t>
  </si>
  <si>
    <t>HE 7</t>
  </si>
  <si>
    <t>HE 8</t>
  </si>
  <si>
    <t>HE 9</t>
  </si>
  <si>
    <t>HE 10</t>
  </si>
  <si>
    <t>HE 11</t>
  </si>
  <si>
    <t>HE 12</t>
  </si>
  <si>
    <t>HE 13</t>
  </si>
  <si>
    <t>HE 14</t>
  </si>
  <si>
    <t>HE 15</t>
  </si>
  <si>
    <t>HE 16</t>
  </si>
  <si>
    <t>HE 17</t>
  </si>
  <si>
    <t>HE 18</t>
  </si>
  <si>
    <t>HE 19</t>
  </si>
  <si>
    <t>HE 20</t>
  </si>
  <si>
    <t>HE 21</t>
  </si>
  <si>
    <t>HE 22</t>
  </si>
  <si>
    <t>HE 23</t>
  </si>
  <si>
    <t>HE 24</t>
  </si>
  <si>
    <t>Rock Springs CT1</t>
  </si>
  <si>
    <t>Lakewood NUG</t>
  </si>
  <si>
    <t>Lakewood CT1</t>
  </si>
  <si>
    <t>RS</t>
  </si>
  <si>
    <t>LKWD CT 1</t>
  </si>
  <si>
    <t>LKWD NuG</t>
  </si>
  <si>
    <t>RGGI compliance?</t>
  </si>
  <si>
    <t>RGGI Zones</t>
  </si>
  <si>
    <t>AE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</si>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</sst>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.0"/>
    <numFmt numFmtId="165" formatCode="#,##0.0;[Red]\(#,##0.0\);\–"/>
    <numFmt numFmtId="166" formatCode="#,##0.00;[Red]\(#,##0.00\);\-"/>
    <numFmt numFmtId="167" formatCode="0.000"/>
    <numFmt numFmtId="168" formatCode="0.0%"/>
    <numFmt numFmtId="169" formatCode="_(* #,##0_);_(* \(#,##0\);_(* &quot;-&quot;??_);_(@_)"/>
    <numFmt numFmtId="170" formatCode="0.0000"/>
  </numFmts>
  <fonts count="2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8050"/>
      <name val="Calibri"/>
      <family val="2"/>
    </font>
    <font>
      <sz val="10"/>
      <color rgb="FF555555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156A45"/>
      <name val="Aptos"/>
      <family val="2"/>
    </font>
    <font>
      <sz val="10"/>
      <color rgb="FF111827"/>
      <name val="Aptos"/>
      <family val="2"/>
    </font>
    <font>
      <sz val="10"/>
      <color rgb="FF607282"/>
      <name val="Aptos"/>
      <family val="2"/>
    </font>
    <font>
      <sz val="10"/>
      <color rgb="FFB76515"/>
      <name val="Aptos"/>
      <family val="2"/>
    </font>
    <font>
      <b/>
      <sz val="10"/>
      <color rgb="FF17324D"/>
      <name val="Calibri"/>
      <family val="2"/>
    </font>
    <font>
      <b/>
      <sz val="18"/>
      <color rgb="FFFFFFFF"/>
      <name val="Calibri"/>
      <family val="2"/>
    </font>
    <font>
      <i/>
      <sz val="11"/>
      <color rgb="FF63758A"/>
      <name val="Calibri"/>
      <family val="2"/>
    </font>
    <font>
      <b/>
      <sz val="11"/>
      <color rgb="FF19324D"/>
      <name val="Calibri"/>
      <family val="2"/>
    </font>
    <font>
      <sz val="10"/>
      <color rgb="FF117657"/>
      <name val="Aptos"/>
      <family val="2"/>
    </font>
    <font>
      <b/>
      <sz val="10"/>
      <color rgb="FFFFFFFF"/>
      <name val="Aptos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183153"/>
      </patternFill>
    </fill>
    <fill>
      <patternFill patternType="solid">
        <fgColor rgb="FF087E8B"/>
      </patternFill>
    </fill>
    <fill>
      <patternFill patternType="solid">
        <fgColor rgb="FF19324D"/>
      </patternFill>
    </fill>
    <fill>
      <patternFill patternType="solid">
        <fgColor rgb="FFEDF3F8"/>
      </patternFill>
    </fill>
    <fill>
      <patternFill patternType="solid">
        <fgColor rgb="FFE6F4ED"/>
      </patternFill>
    </fill>
    <fill>
      <patternFill patternType="solid">
        <fgColor rgb="FFFFF4DD"/>
      </patternFill>
    </fill>
    <fill>
      <patternFill patternType="solid">
        <fgColor rgb="FFFCEAE8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165" fontId="4" fillId="0" borderId="0" xfId="0" applyNumberFormat="1" applyFont="1"/>
    <xf numFmtId="0" fontId="5" fillId="3" borderId="0" xfId="0" applyFont="1" applyFill="1" applyAlignment="1">
      <alignment vertical="center" wrapText="1"/>
    </xf>
    <xf numFmtId="0" fontId="8" fillId="0" borderId="0" xfId="0" applyFont="1"/>
    <xf numFmtId="0" fontId="6" fillId="0" borderId="0" xfId="0" applyFont="1"/>
    <xf numFmtId="0" fontId="9" fillId="0" borderId="0" xfId="0" applyFont="1"/>
    <xf numFmtId="0" fontId="10" fillId="2" borderId="0" xfId="0" applyFont="1" applyFill="1" applyAlignment="1">
      <alignment wrapText="1"/>
    </xf>
    <xf numFmtId="0" fontId="1" fillId="2" borderId="0" xfId="0" applyFont="1" applyFill="1" applyAlignment="1">
      <alignment vertical="top" wrapText="1"/>
    </xf>
    <xf numFmtId="0" fontId="10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4" borderId="0" xfId="0" applyFont="1" applyFill="1"/>
    <xf numFmtId="0" fontId="0" fillId="5" borderId="0" xfId="0" applyFill="1"/>
    <xf numFmtId="3" fontId="0" fillId="5" borderId="0" xfId="0" applyNumberFormat="1" applyFill="1"/>
    <xf numFmtId="3" fontId="0" fillId="0" borderId="0" xfId="0" applyNumberFormat="1"/>
    <xf numFmtId="0" fontId="13" fillId="0" borderId="0" xfId="0" applyFont="1"/>
    <xf numFmtId="0" fontId="1" fillId="4" borderId="0" xfId="0" applyFont="1" applyFill="1" applyAlignment="1">
      <alignment vertical="center" wrapText="1"/>
    </xf>
    <xf numFmtId="166" fontId="6" fillId="0" borderId="0" xfId="0" applyNumberFormat="1" applyFont="1"/>
    <xf numFmtId="167" fontId="7" fillId="0" borderId="0" xfId="0" applyNumberFormat="1" applyFont="1"/>
    <xf numFmtId="166" fontId="0" fillId="0" borderId="0" xfId="0" applyNumberFormat="1"/>
    <xf numFmtId="0" fontId="9" fillId="6" borderId="0" xfId="0" applyFont="1" applyFill="1"/>
    <xf numFmtId="0" fontId="14" fillId="0" borderId="0" xfId="0" applyFont="1"/>
    <xf numFmtId="166" fontId="14" fillId="0" borderId="0" xfId="0" applyNumberFormat="1" applyFont="1"/>
    <xf numFmtId="0" fontId="9" fillId="7" borderId="0" xfId="0" applyFont="1" applyFill="1"/>
    <xf numFmtId="0" fontId="9" fillId="8" borderId="0" xfId="0" applyFont="1" applyFill="1"/>
    <xf numFmtId="0" fontId="15" fillId="4" borderId="0" xfId="0" applyFont="1" applyFill="1" applyAlignment="1">
      <alignment vertical="center" wrapText="1"/>
    </xf>
    <xf numFmtId="168" fontId="0" fillId="0" borderId="0" xfId="0" applyNumberFormat="1"/>
    <xf numFmtId="167" fontId="0" fillId="0" borderId="0" xfId="0" applyNumberFormat="1"/>
    <xf numFmtId="0" fontId="0" fillId="6" borderId="0" xfId="0" applyFill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wrapText="1"/>
    </xf>
    <xf numFmtId="169" fontId="0" fillId="0" borderId="0" xfId="1" applyNumberFormat="1" applyFont="1"/>
    <xf numFmtId="0" fontId="0" fillId="0" borderId="0" xfId="0" applyAlignment="1">
      <alignment horizontal="left" vertical="center"/>
    </xf>
    <xf numFmtId="170" fontId="0" fillId="0" borderId="0" xfId="0" applyNumberFormat="1" applyAlignment="1">
      <alignment horizontal="center"/>
    </xf>
    <xf numFmtId="16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quotePrefix="1"/>
    <xf numFmtId="0" fontId="0" fillId="0" borderId="0" xfId="0" applyAlignment="1">
      <alignment vertical="center" wrapText="1"/>
    </xf>
    <xf numFmtId="0" fontId="0" fillId="0" borderId="0" xfId="0"/>
    <xf numFmtId="0" fontId="11" fillId="4" borderId="0" xfId="0" applyFont="1" applyFill="1" applyAlignment="1">
      <alignment vertical="center"/>
    </xf>
    <xf numFmtId="0" fontId="1" fillId="4" borderId="0" xfId="0" applyFont="1" applyFill="1"/>
    <xf numFmtId="0" fontId="12" fillId="0" borderId="0" xfId="0" applyFont="1"/>
  </cellXfs>
  <cellStyles count="2">
    <cellStyle name="Comma" xfId="1" builtinId="3"/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 patternType="solid">
          <fgColor rgb="FFFCE9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Heat rate vs outage adjusted gen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'Resource Estimates'!$AI$2:$AI$1300</c:f>
              <c:numCache>
                <c:formatCode>General</c:formatCode>
                <c:ptCount val="1299"/>
                <c:pt idx="0">
                  <c:v>0.9367237357128273</c:v>
                </c:pt>
                <c:pt idx="1">
                  <c:v>7.8684793799877495</c:v>
                </c:pt>
                <c:pt idx="2">
                  <c:v>66.569833484658261</c:v>
                </c:pt>
                <c:pt idx="3">
                  <c:v>75.5623813475014</c:v>
                </c:pt>
                <c:pt idx="4">
                  <c:v>80.558241271303146</c:v>
                </c:pt>
                <c:pt idx="5">
                  <c:v>82.61903348987137</c:v>
                </c:pt>
                <c:pt idx="6">
                  <c:v>87.177755670340474</c:v>
                </c:pt>
                <c:pt idx="7">
                  <c:v>106.1620233807871</c:v>
                </c:pt>
                <c:pt idx="8">
                  <c:v>131.14132299979585</c:v>
                </c:pt>
                <c:pt idx="9">
                  <c:v>141.69507708882702</c:v>
                </c:pt>
                <c:pt idx="10">
                  <c:v>173.9808218463958</c:v>
                </c:pt>
                <c:pt idx="11">
                  <c:v>247.35751447723393</c:v>
                </c:pt>
                <c:pt idx="12">
                  <c:v>278.14450125766223</c:v>
                </c:pt>
                <c:pt idx="13">
                  <c:v>293.13208102906742</c:v>
                </c:pt>
                <c:pt idx="14">
                  <c:v>351.83343513373796</c:v>
                </c:pt>
                <c:pt idx="15">
                  <c:v>359.95170750991582</c:v>
                </c:pt>
                <c:pt idx="16">
                  <c:v>368.06997988609368</c:v>
                </c:pt>
                <c:pt idx="17">
                  <c:v>371.62953008180244</c:v>
                </c:pt>
                <c:pt idx="18">
                  <c:v>399.73124215318728</c:v>
                </c:pt>
                <c:pt idx="19">
                  <c:v>410.53478923840851</c:v>
                </c:pt>
                <c:pt idx="20">
                  <c:v>418.59061336553879</c:v>
                </c:pt>
                <c:pt idx="21">
                  <c:v>424.64809352314842</c:v>
                </c:pt>
                <c:pt idx="22">
                  <c:v>431.57984916742339</c:v>
                </c:pt>
                <c:pt idx="23">
                  <c:v>447.69149742168401</c:v>
                </c:pt>
                <c:pt idx="24">
                  <c:v>464.55252466451486</c:v>
                </c:pt>
                <c:pt idx="25">
                  <c:v>469.73572933545915</c:v>
                </c:pt>
                <c:pt idx="26">
                  <c:v>481.85068965067836</c:v>
                </c:pt>
                <c:pt idx="27">
                  <c:v>490.65589276637894</c:v>
                </c:pt>
                <c:pt idx="28">
                  <c:v>496.90071767113113</c:v>
                </c:pt>
                <c:pt idx="29">
                  <c:v>500.1480266216023</c:v>
                </c:pt>
                <c:pt idx="30">
                  <c:v>516.38457137395801</c:v>
                </c:pt>
                <c:pt idx="31">
                  <c:v>524.19060250489827</c:v>
                </c:pt>
                <c:pt idx="32">
                  <c:v>540.92673324963403</c:v>
                </c:pt>
                <c:pt idx="33">
                  <c:v>564.03258539721708</c:v>
                </c:pt>
                <c:pt idx="34">
                  <c:v>576.3348904595789</c:v>
                </c:pt>
                <c:pt idx="35">
                  <c:v>584.64050758289932</c:v>
                </c:pt>
                <c:pt idx="36">
                  <c:v>586.38905855622988</c:v>
                </c:pt>
                <c:pt idx="37">
                  <c:v>610.24428969238329</c:v>
                </c:pt>
                <c:pt idx="38">
                  <c:v>663.32530138277684</c:v>
                </c:pt>
                <c:pt idx="39">
                  <c:v>751.37733253978251</c:v>
                </c:pt>
                <c:pt idx="40">
                  <c:v>759.49560491596037</c:v>
                </c:pt>
                <c:pt idx="41">
                  <c:v>818.19695902063086</c:v>
                </c:pt>
                <c:pt idx="42">
                  <c:v>876.33627888387366</c:v>
                </c:pt>
                <c:pt idx="43">
                  <c:v>881.39458705672291</c:v>
                </c:pt>
                <c:pt idx="44">
                  <c:v>900.9408890085972</c:v>
                </c:pt>
                <c:pt idx="45">
                  <c:v>952.27334972566018</c:v>
                </c:pt>
                <c:pt idx="46">
                  <c:v>956.02024466851151</c:v>
                </c:pt>
                <c:pt idx="47">
                  <c:v>1001.2327769789173</c:v>
                </c:pt>
                <c:pt idx="48">
                  <c:v>1027.5859380769716</c:v>
                </c:pt>
                <c:pt idx="49">
                  <c:v>1034.0181077288662</c:v>
                </c:pt>
                <c:pt idx="50">
                  <c:v>1035.891555200292</c:v>
                </c:pt>
                <c:pt idx="51">
                  <c:v>1090.1590836225885</c:v>
                </c:pt>
                <c:pt idx="52">
                  <c:v>1102.0242509416175</c:v>
                </c:pt>
                <c:pt idx="53">
                  <c:v>1110.0800750687479</c:v>
                </c:pt>
                <c:pt idx="54">
                  <c:v>1138.8687178796554</c:v>
                </c:pt>
                <c:pt idx="55">
                  <c:v>1168.7814291734185</c:v>
                </c:pt>
                <c:pt idx="56">
                  <c:v>1197.8198649805161</c:v>
                </c:pt>
                <c:pt idx="57">
                  <c:v>1227.4827832780891</c:v>
                </c:pt>
                <c:pt idx="58">
                  <c:v>1286.1841373827597</c:v>
                </c:pt>
                <c:pt idx="59">
                  <c:v>1344.88549148743</c:v>
                </c:pt>
                <c:pt idx="60">
                  <c:v>1358.5616580288374</c:v>
                </c:pt>
                <c:pt idx="61">
                  <c:v>1380.9181311878503</c:v>
                </c:pt>
                <c:pt idx="62">
                  <c:v>1383.7907506440363</c:v>
                </c:pt>
                <c:pt idx="63">
                  <c:v>1391.9714712692617</c:v>
                </c:pt>
                <c:pt idx="64">
                  <c:v>1392.7208502578319</c:v>
                </c:pt>
                <c:pt idx="65">
                  <c:v>1405.5227413125738</c:v>
                </c:pt>
                <c:pt idx="66">
                  <c:v>1429.5653171958697</c:v>
                </c:pt>
                <c:pt idx="67">
                  <c:v>1435.2481078591941</c:v>
                </c:pt>
                <c:pt idx="68">
                  <c:v>1442.9292424920393</c:v>
                </c:pt>
                <c:pt idx="69">
                  <c:v>1463.1624751834365</c:v>
                </c:pt>
                <c:pt idx="70">
                  <c:v>1475.3398837477032</c:v>
                </c:pt>
                <c:pt idx="71">
                  <c:v>1478.649640947222</c:v>
                </c:pt>
                <c:pt idx="72">
                  <c:v>1500.9436658571872</c:v>
                </c:pt>
                <c:pt idx="73">
                  <c:v>1504.0660783095634</c:v>
                </c:pt>
                <c:pt idx="74">
                  <c:v>1555.3985390266262</c:v>
                </c:pt>
                <c:pt idx="75">
                  <c:v>1574.1954619899302</c:v>
                </c:pt>
                <c:pt idx="76">
                  <c:v>1593.3046261984719</c:v>
                </c:pt>
                <c:pt idx="77">
                  <c:v>1599.7367958503667</c:v>
                </c:pt>
                <c:pt idx="78">
                  <c:v>1689.537377980703</c:v>
                </c:pt>
                <c:pt idx="79">
                  <c:v>1748.2387320853736</c:v>
                </c:pt>
                <c:pt idx="80">
                  <c:v>1752.2978682734627</c:v>
                </c:pt>
                <c:pt idx="81">
                  <c:v>1770.7201017424816</c:v>
                </c:pt>
                <c:pt idx="82">
                  <c:v>1844.0967943733197</c:v>
                </c:pt>
                <c:pt idx="83">
                  <c:v>1875.5082636442232</c:v>
                </c:pt>
                <c:pt idx="84">
                  <c:v>1907.3568706584595</c:v>
                </c:pt>
                <c:pt idx="85">
                  <c:v>1907.6691119036971</c:v>
                </c:pt>
                <c:pt idx="86">
                  <c:v>1911.1037656013107</c:v>
                </c:pt>
                <c:pt idx="87">
                  <c:v>1922.2195539317697</c:v>
                </c:pt>
                <c:pt idx="88">
                  <c:v>1924.2178979012901</c:v>
                </c:pt>
                <c:pt idx="89">
                  <c:v>1953.256333708388</c:v>
                </c:pt>
                <c:pt idx="90">
                  <c:v>1982.8568037569132</c:v>
                </c:pt>
                <c:pt idx="91">
                  <c:v>1997.2823492868908</c:v>
                </c:pt>
                <c:pt idx="92">
                  <c:v>2012.5821703035335</c:v>
                </c:pt>
                <c:pt idx="93">
                  <c:v>2034.5015057192138</c:v>
                </c:pt>
                <c:pt idx="94">
                  <c:v>2045.9919835439578</c:v>
                </c:pt>
                <c:pt idx="95">
                  <c:v>2062.166080047266</c:v>
                </c:pt>
                <c:pt idx="96">
                  <c:v>2088.6441376434154</c:v>
                </c:pt>
                <c:pt idx="97">
                  <c:v>2093.0779633257894</c:v>
                </c:pt>
                <c:pt idx="98">
                  <c:v>2112.187127534331</c:v>
                </c:pt>
                <c:pt idx="99">
                  <c:v>2141.9749423299986</c:v>
                </c:pt>
                <c:pt idx="100">
                  <c:v>2170.8884816390014</c:v>
                </c:pt>
                <c:pt idx="101">
                  <c:v>2204.6105361246632</c:v>
                </c:pt>
                <c:pt idx="102">
                  <c:v>2230.9636972227172</c:v>
                </c:pt>
                <c:pt idx="103">
                  <c:v>2327.5711384992333</c:v>
                </c:pt>
                <c:pt idx="104">
                  <c:v>2412.500757203863</c:v>
                </c:pt>
                <c:pt idx="105">
                  <c:v>2443.9122264747666</c:v>
                </c:pt>
                <c:pt idx="106">
                  <c:v>2458.2753237556967</c:v>
                </c:pt>
                <c:pt idx="107">
                  <c:v>2502.80092532658</c:v>
                </c:pt>
                <c:pt idx="108">
                  <c:v>2549.6371121122211</c:v>
                </c:pt>
                <c:pt idx="109">
                  <c:v>2567.3724148417177</c:v>
                </c:pt>
                <c:pt idx="110">
                  <c:v>2586.6689237974015</c:v>
                </c:pt>
                <c:pt idx="111">
                  <c:v>2593.6006794416767</c:v>
                </c:pt>
                <c:pt idx="112">
                  <c:v>2625.4492864559129</c:v>
                </c:pt>
                <c:pt idx="113">
                  <c:v>2631.0696288701897</c:v>
                </c:pt>
                <c:pt idx="114">
                  <c:v>2639.1879012463678</c:v>
                </c:pt>
                <c:pt idx="115">
                  <c:v>2654.7999635082479</c:v>
                </c:pt>
                <c:pt idx="116">
                  <c:v>2687.2730530129593</c:v>
                </c:pt>
                <c:pt idx="117">
                  <c:v>2704.7585627462654</c:v>
                </c:pt>
                <c:pt idx="118">
                  <c:v>2754.0302312447602</c:v>
                </c:pt>
                <c:pt idx="119">
                  <c:v>2775.8871184113927</c:v>
                </c:pt>
                <c:pt idx="120">
                  <c:v>2807.735725425629</c:v>
                </c:pt>
                <c:pt idx="121">
                  <c:v>2836.0872304932036</c:v>
                </c:pt>
                <c:pt idx="122">
                  <c:v>2867.9358375074394</c:v>
                </c:pt>
                <c:pt idx="123">
                  <c:v>2874.8051449026671</c:v>
                </c:pt>
                <c:pt idx="124">
                  <c:v>2898.1607900464401</c:v>
                </c:pt>
                <c:pt idx="125">
                  <c:v>2925.0135371368742</c:v>
                </c:pt>
                <c:pt idx="126">
                  <c:v>2943.7480118511307</c:v>
                </c:pt>
                <c:pt idx="127">
                  <c:v>2949.9928367558832</c:v>
                </c:pt>
                <c:pt idx="128">
                  <c:v>2950.5548709973104</c:v>
                </c:pt>
                <c:pt idx="129">
                  <c:v>2953.6148352006389</c:v>
                </c:pt>
                <c:pt idx="130">
                  <c:v>2979.7806515515504</c:v>
                </c:pt>
                <c:pt idx="131">
                  <c:v>2982.5283745096408</c:v>
                </c:pt>
                <c:pt idx="132">
                  <c:v>2988.8980959124883</c:v>
                </c:pt>
                <c:pt idx="133">
                  <c:v>2995.2678173153354</c:v>
                </c:pt>
                <c:pt idx="134">
                  <c:v>2997.2661612848556</c:v>
                </c:pt>
                <c:pt idx="135">
                  <c:v>2998.1404367715209</c:v>
                </c:pt>
                <c:pt idx="136">
                  <c:v>2998.640022763901</c:v>
                </c:pt>
                <c:pt idx="137">
                  <c:v>2999.3269535034242</c:v>
                </c:pt>
                <c:pt idx="138">
                  <c:v>3002.8865036991328</c:v>
                </c:pt>
                <c:pt idx="139">
                  <c:v>3056.5919978800016</c:v>
                </c:pt>
                <c:pt idx="140">
                  <c:v>3057.778514611904</c:v>
                </c:pt>
                <c:pt idx="141">
                  <c:v>3060.1515480757103</c:v>
                </c:pt>
                <c:pt idx="142">
                  <c:v>3060.3388928228528</c:v>
                </c:pt>
                <c:pt idx="143">
                  <c:v>3061.2131683095181</c:v>
                </c:pt>
                <c:pt idx="144">
                  <c:v>3066.6461659766524</c:v>
                </c:pt>
                <c:pt idx="145">
                  <c:v>3069.2689924366482</c:v>
                </c:pt>
                <c:pt idx="146">
                  <c:v>3076.7003340733027</c:v>
                </c:pt>
                <c:pt idx="147">
                  <c:v>3077.8868508052055</c:v>
                </c:pt>
                <c:pt idx="148">
                  <c:v>3078.6986780428233</c:v>
                </c:pt>
                <c:pt idx="149">
                  <c:v>3080.3223325180593</c:v>
                </c:pt>
                <c:pt idx="150">
                  <c:v>3081.8210904951993</c:v>
                </c:pt>
                <c:pt idx="151">
                  <c:v>3086.5671574228113</c:v>
                </c:pt>
                <c:pt idx="152">
                  <c:v>3087.3789846604295</c:v>
                </c:pt>
                <c:pt idx="153">
                  <c:v>3092.6246375804208</c:v>
                </c:pt>
                <c:pt idx="154">
                  <c:v>3092.9368788256584</c:v>
                </c:pt>
                <c:pt idx="155">
                  <c:v>3093.4989130670861</c:v>
                </c:pt>
                <c:pt idx="156">
                  <c:v>3094.935222795179</c:v>
                </c:pt>
                <c:pt idx="157">
                  <c:v>3095.6221535347022</c:v>
                </c:pt>
                <c:pt idx="158">
                  <c:v>3098.057635247555</c:v>
                </c:pt>
                <c:pt idx="159">
                  <c:v>3100.4306687113612</c:v>
                </c:pt>
                <c:pt idx="160">
                  <c:v>3101.0551512018365</c:v>
                </c:pt>
                <c:pt idx="161">
                  <c:v>3101.5547371942166</c:v>
                </c:pt>
                <c:pt idx="162">
                  <c:v>3103.4281846656422</c:v>
                </c:pt>
                <c:pt idx="163">
                  <c:v>3105.6138733823054</c:v>
                </c:pt>
                <c:pt idx="164">
                  <c:v>3106.9252866123038</c:v>
                </c:pt>
                <c:pt idx="165">
                  <c:v>3109.173423578015</c:v>
                </c:pt>
                <c:pt idx="166">
                  <c:v>3109.8603543175377</c:v>
                </c:pt>
                <c:pt idx="167">
                  <c:v>3110.5472850570609</c:v>
                </c:pt>
                <c:pt idx="168">
                  <c:v>3112.4207325284865</c:v>
                </c:pt>
                <c:pt idx="169">
                  <c:v>3117.6663854484782</c:v>
                </c:pt>
                <c:pt idx="170">
                  <c:v>3170.1229146483961</c:v>
                </c:pt>
                <c:pt idx="171">
                  <c:v>3174.8689815760081</c:v>
                </c:pt>
                <c:pt idx="172">
                  <c:v>3175.5559123155313</c:v>
                </c:pt>
                <c:pt idx="173">
                  <c:v>3176.0554983079114</c:v>
                </c:pt>
                <c:pt idx="174">
                  <c:v>3181.3011512279031</c:v>
                </c:pt>
                <c:pt idx="175">
                  <c:v>3183.1121504502808</c:v>
                </c:pt>
                <c:pt idx="176">
                  <c:v>3184.2986671821836</c:v>
                </c:pt>
                <c:pt idx="177">
                  <c:v>3184.9855979217068</c:v>
                </c:pt>
                <c:pt idx="178">
                  <c:v>3185.7974251593246</c:v>
                </c:pt>
                <c:pt idx="179">
                  <c:v>3187.6708726307502</c:v>
                </c:pt>
                <c:pt idx="180">
                  <c:v>3187.7957691288452</c:v>
                </c:pt>
                <c:pt idx="181">
                  <c:v>3190.1063543436035</c:v>
                </c:pt>
                <c:pt idx="182">
                  <c:v>3190.9181815812212</c:v>
                </c:pt>
                <c:pt idx="183">
                  <c:v>3191.5426640716964</c:v>
                </c:pt>
                <c:pt idx="184">
                  <c:v>3192.4169395583613</c:v>
                </c:pt>
                <c:pt idx="185">
                  <c:v>3194.6650765240724</c:v>
                </c:pt>
                <c:pt idx="186">
                  <c:v>3197.0381099878782</c:v>
                </c:pt>
                <c:pt idx="187">
                  <c:v>3198.2246267197811</c:v>
                </c:pt>
                <c:pt idx="188">
                  <c:v>3205.655968356436</c:v>
                </c:pt>
                <c:pt idx="189">
                  <c:v>3206.3428990959592</c:v>
                </c:pt>
                <c:pt idx="190">
                  <c:v>3208.5910360616699</c:v>
                </c:pt>
                <c:pt idx="191">
                  <c:v>3214.2113784759467</c:v>
                </c:pt>
                <c:pt idx="192">
                  <c:v>3215.8350329511827</c:v>
                </c:pt>
                <c:pt idx="193">
                  <c:v>3216.6468601888005</c:v>
                </c:pt>
                <c:pt idx="194">
                  <c:v>3221.3929271164125</c:v>
                </c:pt>
                <c:pt idx="195">
                  <c:v>3221.6427201126025</c:v>
                </c:pt>
                <c:pt idx="196">
                  <c:v>3221.7051683616501</c:v>
                </c:pt>
                <c:pt idx="197">
                  <c:v>3223.2663745878381</c:v>
                </c:pt>
                <c:pt idx="198">
                  <c:v>3225.2647185573587</c:v>
                </c:pt>
                <c:pt idx="199">
                  <c:v>3225.6394080516443</c:v>
                </c:pt>
                <c:pt idx="200">
                  <c:v>3227.0757177797373</c:v>
                </c:pt>
                <c:pt idx="201">
                  <c:v>3228.7618205040203</c:v>
                </c:pt>
                <c:pt idx="202">
                  <c:v>3230.6352679754459</c:v>
                </c:pt>
                <c:pt idx="203">
                  <c:v>3233.6952321787744</c:v>
                </c:pt>
                <c:pt idx="204">
                  <c:v>3238.4412991063859</c:v>
                </c:pt>
                <c:pt idx="205">
                  <c:v>3240.8143325701922</c:v>
                </c:pt>
                <c:pt idx="206">
                  <c:v>3241.4388150606674</c:v>
                </c:pt>
                <c:pt idx="207">
                  <c:v>3246.6220197316115</c:v>
                </c:pt>
                <c:pt idx="208">
                  <c:v>3249.9317769311306</c:v>
                </c:pt>
                <c:pt idx="209">
                  <c:v>3252.5546033911264</c:v>
                </c:pt>
                <c:pt idx="210">
                  <c:v>3254.6153956096946</c:v>
                </c:pt>
                <c:pt idx="211">
                  <c:v>3256.6761878282628</c:v>
                </c:pt>
                <c:pt idx="212">
                  <c:v>3257.3631185677859</c:v>
                </c:pt>
                <c:pt idx="213">
                  <c:v>3258.9243247939739</c:v>
                </c:pt>
                <c:pt idx="214">
                  <c:v>3260.9226687634946</c:v>
                </c:pt>
                <c:pt idx="215">
                  <c:v>3262.4838749896826</c:v>
                </c:pt>
                <c:pt idx="216">
                  <c:v>3263.2957022273004</c:v>
                </c:pt>
                <c:pt idx="217">
                  <c:v>3264.4822189592032</c:v>
                </c:pt>
                <c:pt idx="218">
                  <c:v>3266.3556664306288</c:v>
                </c:pt>
                <c:pt idx="219">
                  <c:v>3268.0417691549119</c:v>
                </c:pt>
                <c:pt idx="220">
                  <c:v>3268.2291139020545</c:v>
                </c:pt>
                <c:pt idx="221">
                  <c:v>3268.8535963925297</c:v>
                </c:pt>
                <c:pt idx="222">
                  <c:v>3269.4780788830049</c:v>
                </c:pt>
                <c:pt idx="223">
                  <c:v>3297.4548944562948</c:v>
                </c:pt>
                <c:pt idx="224">
                  <c:v>3302.3258578820014</c:v>
                </c:pt>
                <c:pt idx="225">
                  <c:v>3302.8878921234291</c:v>
                </c:pt>
                <c:pt idx="226">
                  <c:v>3304.8862360929497</c:v>
                </c:pt>
                <c:pt idx="227">
                  <c:v>3306.8221318134229</c:v>
                </c:pt>
                <c:pt idx="228">
                  <c:v>3307.3217178058035</c:v>
                </c:pt>
                <c:pt idx="229">
                  <c:v>3307.8837520472307</c:v>
                </c:pt>
                <c:pt idx="230">
                  <c:v>3308.0710967943733</c:v>
                </c:pt>
                <c:pt idx="231">
                  <c:v>3308.1959932924683</c:v>
                </c:pt>
                <c:pt idx="232">
                  <c:v>3308.3208897905633</c:v>
                </c:pt>
                <c:pt idx="233">
                  <c:v>3308.882924031991</c:v>
                </c:pt>
                <c:pt idx="234">
                  <c:v>3309.6323030205608</c:v>
                </c:pt>
                <c:pt idx="235">
                  <c:v>3313.7538874576976</c:v>
                </c:pt>
                <c:pt idx="236">
                  <c:v>3314.1910252010302</c:v>
                </c:pt>
                <c:pt idx="237">
                  <c:v>3314.3159216991253</c:v>
                </c:pt>
                <c:pt idx="238">
                  <c:v>3314.6906111934104</c:v>
                </c:pt>
                <c:pt idx="239">
                  <c:v>3314.877955940553</c:v>
                </c:pt>
                <c:pt idx="240">
                  <c:v>3315.5024384310282</c:v>
                </c:pt>
                <c:pt idx="241">
                  <c:v>3315.7522314272182</c:v>
                </c:pt>
                <c:pt idx="242">
                  <c:v>3316.564058664836</c:v>
                </c:pt>
                <c:pt idx="243">
                  <c:v>3316.6889551629311</c:v>
                </c:pt>
                <c:pt idx="244">
                  <c:v>3316.8762999100736</c:v>
                </c:pt>
                <c:pt idx="245">
                  <c:v>3317.0636446572162</c:v>
                </c:pt>
                <c:pt idx="246">
                  <c:v>3317.2509894043592</c:v>
                </c:pt>
                <c:pt idx="247">
                  <c:v>3317.8754718948344</c:v>
                </c:pt>
                <c:pt idx="248">
                  <c:v>3318.0003683929294</c:v>
                </c:pt>
                <c:pt idx="249">
                  <c:v>3318.125264891024</c:v>
                </c:pt>
                <c:pt idx="250">
                  <c:v>3318.6872991324517</c:v>
                </c:pt>
                <c:pt idx="251">
                  <c:v>3318.8121956305467</c:v>
                </c:pt>
                <c:pt idx="252">
                  <c:v>3321.1227808453045</c:v>
                </c:pt>
                <c:pt idx="253">
                  <c:v>3321.4350220905421</c:v>
                </c:pt>
                <c:pt idx="254">
                  <c:v>3323.9954003014909</c:v>
                </c:pt>
                <c:pt idx="255">
                  <c:v>3325.3692617805364</c:v>
                </c:pt>
                <c:pt idx="256">
                  <c:v>3326.5557785124392</c:v>
                </c:pt>
                <c:pt idx="257">
                  <c:v>3331.3018454400508</c:v>
                </c:pt>
                <c:pt idx="258">
                  <c:v>3333.3001894095714</c:v>
                </c:pt>
                <c:pt idx="259">
                  <c:v>3335.6107746243297</c:v>
                </c:pt>
                <c:pt idx="260">
                  <c:v>3336.0479123676623</c:v>
                </c:pt>
                <c:pt idx="261">
                  <c:v>3337.5466703448024</c:v>
                </c:pt>
                <c:pt idx="262">
                  <c:v>3339.7948073105135</c:v>
                </c:pt>
                <c:pt idx="263">
                  <c:v>3341.9804960271767</c:v>
                </c:pt>
                <c:pt idx="264">
                  <c:v>3343.8539434986023</c:v>
                </c:pt>
                <c:pt idx="265">
                  <c:v>3346.2269769624086</c:v>
                </c:pt>
                <c:pt idx="266">
                  <c:v>3350.2236649014494</c:v>
                </c:pt>
                <c:pt idx="267">
                  <c:v>3355.3444213233461</c:v>
                </c:pt>
                <c:pt idx="268">
                  <c:v>3356.1562485609643</c:v>
                </c:pt>
                <c:pt idx="269">
                  <c:v>3358.0921442814374</c:v>
                </c:pt>
                <c:pt idx="270">
                  <c:v>3359.9031435038155</c:v>
                </c:pt>
                <c:pt idx="271">
                  <c:v>3361.9639357223837</c:v>
                </c:pt>
                <c:pt idx="272">
                  <c:v>3363.3377972014291</c:v>
                </c:pt>
                <c:pt idx="273">
                  <c:v>3402.2430563580356</c:v>
                </c:pt>
                <c:pt idx="274">
                  <c:v>3470.6238890650716</c:v>
                </c:pt>
                <c:pt idx="275">
                  <c:v>3471.7479575479274</c:v>
                </c:pt>
                <c:pt idx="276">
                  <c:v>3472.060198793165</c:v>
                </c:pt>
                <c:pt idx="277">
                  <c:v>3480.1160229202951</c:v>
                </c:pt>
                <c:pt idx="278">
                  <c:v>3488.1718470474252</c:v>
                </c:pt>
                <c:pt idx="279">
                  <c:v>3496.2276711745553</c:v>
                </c:pt>
                <c:pt idx="280">
                  <c:v>3504.2834953016854</c:v>
                </c:pt>
                <c:pt idx="281">
                  <c:v>3537.7557567911572</c:v>
                </c:pt>
                <c:pt idx="282">
                  <c:v>3598.9550408577284</c:v>
                </c:pt>
                <c:pt idx="283">
                  <c:v>3641.9194362024236</c:v>
                </c:pt>
                <c:pt idx="284">
                  <c:v>3673.8929397147549</c:v>
                </c:pt>
                <c:pt idx="285">
                  <c:v>3717.9189552932576</c:v>
                </c:pt>
                <c:pt idx="286">
                  <c:v>3756.699317951769</c:v>
                </c:pt>
                <c:pt idx="287">
                  <c:v>3798.5396448136084</c:v>
                </c:pt>
                <c:pt idx="288">
                  <c:v>3847.2492790706756</c:v>
                </c:pt>
                <c:pt idx="289">
                  <c:v>3884.7182284991886</c:v>
                </c:pt>
                <c:pt idx="290">
                  <c:v>3910.9464930991476</c:v>
                </c:pt>
                <c:pt idx="291">
                  <c:v>3949.0399250181363</c:v>
                </c:pt>
                <c:pt idx="292">
                  <c:v>4012.7995872956562</c:v>
                </c:pt>
                <c:pt idx="293">
                  <c:v>4082.0546954893575</c:v>
                </c:pt>
                <c:pt idx="294">
                  <c:v>4089.54848537506</c:v>
                </c:pt>
                <c:pt idx="295">
                  <c:v>4114.7775779902586</c:v>
                </c:pt>
                <c:pt idx="296">
                  <c:v>4134.761017685466</c:v>
                </c:pt>
                <c:pt idx="297">
                  <c:v>4182.3465834596773</c:v>
                </c:pt>
                <c:pt idx="298">
                  <c:v>4209.8238130405871</c:v>
                </c:pt>
                <c:pt idx="299">
                  <c:v>4230.8064247205548</c:v>
                </c:pt>
                <c:pt idx="300">
                  <c:v>4251.7890364005216</c:v>
                </c:pt>
                <c:pt idx="301">
                  <c:v>4258.9081367919389</c:v>
                </c:pt>
                <c:pt idx="302">
                  <c:v>4267.0264091681174</c:v>
                </c:pt>
                <c:pt idx="303">
                  <c:v>4274.5201990538199</c:v>
                </c:pt>
                <c:pt idx="304">
                  <c:v>4281.5768511961896</c:v>
                </c:pt>
                <c:pt idx="305">
                  <c:v>4327.1640730008803</c:v>
                </c:pt>
                <c:pt idx="306">
                  <c:v>4432.202027898812</c:v>
                </c:pt>
                <c:pt idx="307">
                  <c:v>4529.1841586696137</c:v>
                </c:pt>
                <c:pt idx="308">
                  <c:v>4540.986877739595</c:v>
                </c:pt>
                <c:pt idx="309">
                  <c:v>4545.7329446672074</c:v>
                </c:pt>
                <c:pt idx="310">
                  <c:v>4556.4740435033809</c:v>
                </c:pt>
                <c:pt idx="311">
                  <c:v>4567.2151423395544</c:v>
                </c:pt>
                <c:pt idx="312">
                  <c:v>4604.996333013305</c:v>
                </c:pt>
                <c:pt idx="313">
                  <c:v>4623.6683594785136</c:v>
                </c:pt>
                <c:pt idx="314">
                  <c:v>4630.7250116208843</c:v>
                </c:pt>
                <c:pt idx="315">
                  <c:v>4658.5144824470308</c:v>
                </c:pt>
                <c:pt idx="316">
                  <c:v>4703.3523252631521</c:v>
                </c:pt>
                <c:pt idx="317">
                  <c:v>4733.8270707983429</c:v>
                </c:pt>
                <c:pt idx="318">
                  <c:v>4741.6955501783304</c:v>
                </c:pt>
                <c:pt idx="319">
                  <c:v>4749.8138225545081</c:v>
                </c:pt>
                <c:pt idx="320">
                  <c:v>4757.619853685449</c:v>
                </c:pt>
                <c:pt idx="321">
                  <c:v>4765.7381260616266</c:v>
                </c:pt>
                <c:pt idx="322">
                  <c:v>4773.5441571925667</c:v>
                </c:pt>
                <c:pt idx="323">
                  <c:v>4781.4126365725551</c:v>
                </c:pt>
                <c:pt idx="324">
                  <c:v>4805.642557202993</c:v>
                </c:pt>
                <c:pt idx="325">
                  <c:v>4854.4146397091081</c:v>
                </c:pt>
                <c:pt idx="326">
                  <c:v>4866.2798070281369</c:v>
                </c:pt>
                <c:pt idx="327">
                  <c:v>4868.6528404919436</c:v>
                </c:pt>
                <c:pt idx="328">
                  <c:v>4876.5213198719312</c:v>
                </c:pt>
                <c:pt idx="329">
                  <c:v>4884.8893852442989</c:v>
                </c:pt>
                <c:pt idx="330">
                  <c:v>4914.926993036157</c:v>
                </c:pt>
                <c:pt idx="331">
                  <c:v>4922.9203689142396</c:v>
                </c:pt>
                <c:pt idx="332">
                  <c:v>4928.5407113285173</c:v>
                </c:pt>
                <c:pt idx="333">
                  <c:v>4934.1610537427941</c:v>
                </c:pt>
                <c:pt idx="334">
                  <c:v>4959.9521805994209</c:v>
                </c:pt>
                <c:pt idx="335">
                  <c:v>5025.522842099318</c:v>
                </c:pt>
                <c:pt idx="336">
                  <c:v>5030.7060467702631</c:v>
                </c:pt>
                <c:pt idx="337">
                  <c:v>5333.3927099036009</c:v>
                </c:pt>
                <c:pt idx="338">
                  <c:v>5356.6234585492793</c:v>
                </c:pt>
                <c:pt idx="339">
                  <c:v>5391.9067192611292</c:v>
                </c:pt>
                <c:pt idx="340">
                  <c:v>5397.1523721811209</c:v>
                </c:pt>
                <c:pt idx="341">
                  <c:v>5430.0001511801174</c:v>
                </c:pt>
                <c:pt idx="342">
                  <c:v>5438.1808718053435</c:v>
                </c:pt>
                <c:pt idx="343">
                  <c:v>5467.7188936048206</c:v>
                </c:pt>
                <c:pt idx="344">
                  <c:v>5475.587372984809</c:v>
                </c:pt>
                <c:pt idx="345">
                  <c:v>5508.7473932290432</c:v>
                </c:pt>
                <c:pt idx="346">
                  <c:v>5546.3412391556512</c:v>
                </c:pt>
                <c:pt idx="347">
                  <c:v>5626.8994804269551</c:v>
                </c:pt>
                <c:pt idx="348">
                  <c:v>5690.5966944554266</c:v>
                </c:pt>
                <c:pt idx="349">
                  <c:v>5771.1549357267304</c:v>
                </c:pt>
                <c:pt idx="350">
                  <c:v>5864.8273092980126</c:v>
                </c:pt>
                <c:pt idx="351">
                  <c:v>5899.7983287646248</c:v>
                </c:pt>
                <c:pt idx="352">
                  <c:v>5926.0265933645842</c:v>
                </c:pt>
                <c:pt idx="353">
                  <c:v>5934.3322104879044</c:v>
                </c:pt>
                <c:pt idx="354">
                  <c:v>5949.7569280026428</c:v>
                </c:pt>
                <c:pt idx="355">
                  <c:v>6020.9479319168177</c:v>
                </c:pt>
                <c:pt idx="356">
                  <c:v>6095.8858307738437</c:v>
                </c:pt>
                <c:pt idx="357">
                  <c:v>6102.6926899200234</c:v>
                </c:pt>
                <c:pt idx="358">
                  <c:v>6165.4531802127831</c:v>
                </c:pt>
                <c:pt idx="359">
                  <c:v>6184.1252066779916</c:v>
                </c:pt>
                <c:pt idx="360">
                  <c:v>6191.8687895598841</c:v>
                </c:pt>
                <c:pt idx="361">
                  <c:v>6193.055306291787</c:v>
                </c:pt>
                <c:pt idx="362">
                  <c:v>6199.1127864493965</c:v>
                </c:pt>
                <c:pt idx="363">
                  <c:v>6199.7997171889201</c:v>
                </c:pt>
                <c:pt idx="364">
                  <c:v>6206.1069903427197</c:v>
                </c:pt>
                <c:pt idx="365">
                  <c:v>6214.4126074660398</c:v>
                </c:pt>
                <c:pt idx="366">
                  <c:v>6222.5308798422175</c:v>
                </c:pt>
                <c:pt idx="367">
                  <c:v>6316.6403911568332</c:v>
                </c:pt>
                <c:pt idx="368">
                  <c:v>6354.1093405853462</c:v>
                </c:pt>
                <c:pt idx="369">
                  <c:v>6418.3685888552463</c:v>
                </c:pt>
                <c:pt idx="370">
                  <c:v>6426.2995164842814</c:v>
                </c:pt>
                <c:pt idx="371">
                  <c:v>6437.2279600675984</c:v>
                </c:pt>
                <c:pt idx="372">
                  <c:v>6462.4570526827965</c:v>
                </c:pt>
                <c:pt idx="373">
                  <c:v>6463.3937764185093</c:v>
                </c:pt>
                <c:pt idx="374">
                  <c:v>6471.6369452927829</c:v>
                </c:pt>
                <c:pt idx="375">
                  <c:v>6473.447944515161</c:v>
                </c:pt>
                <c:pt idx="376">
                  <c:v>6500.8002775979749</c:v>
                </c:pt>
                <c:pt idx="377">
                  <c:v>6524.2808192398434</c:v>
                </c:pt>
                <c:pt idx="378">
                  <c:v>6530.5256441445954</c:v>
                </c:pt>
                <c:pt idx="379">
                  <c:v>6554.255978782654</c:v>
                </c:pt>
                <c:pt idx="380">
                  <c:v>6562.9987336493068</c:v>
                </c:pt>
                <c:pt idx="381">
                  <c:v>6570.4925235350092</c:v>
                </c:pt>
                <c:pt idx="382">
                  <c:v>6600.9048208211534</c:v>
                </c:pt>
                <c:pt idx="383">
                  <c:v>6628.0698091568247</c:v>
                </c:pt>
                <c:pt idx="384">
                  <c:v>6670.0974807658067</c:v>
                </c:pt>
                <c:pt idx="385">
                  <c:v>6676.5920986667488</c:v>
                </c:pt>
                <c:pt idx="386">
                  <c:v>6697.8245033429066</c:v>
                </c:pt>
                <c:pt idx="387">
                  <c:v>6719.0569080190635</c:v>
                </c:pt>
                <c:pt idx="388">
                  <c:v>6744.2235523852141</c:v>
                </c:pt>
                <c:pt idx="389">
                  <c:v>6745.7847586114021</c:v>
                </c:pt>
                <c:pt idx="390">
                  <c:v>6775.7599181542128</c:v>
                </c:pt>
                <c:pt idx="391">
                  <c:v>6787.6250854732425</c:v>
                </c:pt>
                <c:pt idx="392">
                  <c:v>6795.1188753589449</c:v>
                </c:pt>
                <c:pt idx="393">
                  <c:v>6811.9799026017754</c:v>
                </c:pt>
                <c:pt idx="394">
                  <c:v>6825.2189313998506</c:v>
                </c:pt>
                <c:pt idx="395">
                  <c:v>6905.7771726711535</c:v>
                </c:pt>
                <c:pt idx="396">
                  <c:v>6934.2535742368236</c:v>
                </c:pt>
                <c:pt idx="397">
                  <c:v>6942.4342948620497</c:v>
                </c:pt>
                <c:pt idx="398">
                  <c:v>6948.0546372763265</c:v>
                </c:pt>
                <c:pt idx="399">
                  <c:v>6955.5484271620289</c:v>
                </c:pt>
                <c:pt idx="400">
                  <c:v>6979.1538653019916</c:v>
                </c:pt>
                <c:pt idx="401">
                  <c:v>7140.2703478445983</c:v>
                </c:pt>
                <c:pt idx="402">
                  <c:v>7193.9758420254666</c:v>
                </c:pt>
                <c:pt idx="403">
                  <c:v>7200.4704599264087</c:v>
                </c:pt>
                <c:pt idx="404">
                  <c:v>7305.3835183262454</c:v>
                </c:pt>
                <c:pt idx="405">
                  <c:v>7350.970740130937</c:v>
                </c:pt>
                <c:pt idx="406">
                  <c:v>7377.1990047308955</c:v>
                </c:pt>
                <c:pt idx="407">
                  <c:v>7431.6538779003349</c:v>
                </c:pt>
                <c:pt idx="408">
                  <c:v>7437.2742203146126</c:v>
                </c:pt>
                <c:pt idx="409">
                  <c:v>7479.1145471764521</c:v>
                </c:pt>
                <c:pt idx="410">
                  <c:v>7487.4826125488198</c:v>
                </c:pt>
                <c:pt idx="411">
                  <c:v>7495.8506779211875</c:v>
                </c:pt>
                <c:pt idx="412">
                  <c:v>7517.0206343482969</c:v>
                </c:pt>
                <c:pt idx="413">
                  <c:v>7544.9974499215859</c:v>
                </c:pt>
                <c:pt idx="414">
                  <c:v>7554.6144802749041</c:v>
                </c:pt>
                <c:pt idx="415">
                  <c:v>7562.1082701606074</c:v>
                </c:pt>
                <c:pt idx="416">
                  <c:v>7584.5896398177147</c:v>
                </c:pt>
                <c:pt idx="417">
                  <c:v>7795.0402391078633</c:v>
                </c:pt>
                <c:pt idx="418">
                  <c:v>7829.2618795859053</c:v>
                </c:pt>
                <c:pt idx="419">
                  <c:v>7861.172934849189</c:v>
                </c:pt>
                <c:pt idx="420">
                  <c:v>7866.3561395201323</c:v>
                </c:pt>
                <c:pt idx="421">
                  <c:v>7887.9007854415277</c:v>
                </c:pt>
                <c:pt idx="422">
                  <c:v>7896.2064025648478</c:v>
                </c:pt>
                <c:pt idx="423">
                  <c:v>7909.3205348648271</c:v>
                </c:pt>
                <c:pt idx="424">
                  <c:v>7950.5363792361914</c:v>
                </c:pt>
                <c:pt idx="425">
                  <c:v>7970.5198189313987</c:v>
                </c:pt>
                <c:pt idx="426">
                  <c:v>7989.2542936456548</c:v>
                </c:pt>
                <c:pt idx="427">
                  <c:v>7994.6248430637424</c:v>
                </c:pt>
                <c:pt idx="428">
                  <c:v>8116.3989287064096</c:v>
                </c:pt>
                <c:pt idx="429">
                  <c:v>8123.8302703430645</c:v>
                </c:pt>
                <c:pt idx="430">
                  <c:v>8124.0176150902071</c:v>
                </c:pt>
                <c:pt idx="431">
                  <c:v>8131.5114049759095</c:v>
                </c:pt>
                <c:pt idx="432">
                  <c:v>8132.6979217078124</c:v>
                </c:pt>
                <c:pt idx="433">
                  <c:v>8133.6346454435252</c:v>
                </c:pt>
                <c:pt idx="434">
                  <c:v>8138.3182641220892</c:v>
                </c:pt>
                <c:pt idx="435">
                  <c:v>8144.4381925287462</c:v>
                </c:pt>
                <c:pt idx="436">
                  <c:v>8149.9960866939746</c:v>
                </c:pt>
                <c:pt idx="437">
                  <c:v>8172.8521458453679</c:v>
                </c:pt>
                <c:pt idx="438">
                  <c:v>8197.2069629739017</c:v>
                </c:pt>
                <c:pt idx="439">
                  <c:v>8204.7007528596041</c:v>
                </c:pt>
                <c:pt idx="440">
                  <c:v>8213.0063699829243</c:v>
                </c:pt>
                <c:pt idx="441">
                  <c:v>8215.0671622014925</c:v>
                </c:pt>
                <c:pt idx="442">
                  <c:v>8216.1912306843478</c:v>
                </c:pt>
                <c:pt idx="443">
                  <c:v>8244.0431497595418</c:v>
                </c:pt>
                <c:pt idx="444">
                  <c:v>8355.6381708074641</c:v>
                </c:pt>
                <c:pt idx="445">
                  <c:v>8916.7356884994479</c:v>
                </c:pt>
                <c:pt idx="446">
                  <c:v>9473.7740700033428</c:v>
                </c:pt>
                <c:pt idx="447">
                  <c:v>10212.536856235525</c:v>
                </c:pt>
                <c:pt idx="448">
                  <c:v>10930.254582538693</c:v>
                </c:pt>
                <c:pt idx="449">
                  <c:v>11657.152201451847</c:v>
                </c:pt>
                <c:pt idx="450">
                  <c:v>12366.564310631695</c:v>
                </c:pt>
                <c:pt idx="451">
                  <c:v>12918.731728709883</c:v>
                </c:pt>
                <c:pt idx="452">
                  <c:v>13456.411153009047</c:v>
                </c:pt>
                <c:pt idx="453">
                  <c:v>14089.636398350918</c:v>
                </c:pt>
                <c:pt idx="454">
                  <c:v>14818.407464735497</c:v>
                </c:pt>
                <c:pt idx="455">
                  <c:v>15377.943776201293</c:v>
                </c:pt>
                <c:pt idx="456">
                  <c:v>15941.22698260994</c:v>
                </c:pt>
                <c:pt idx="457">
                  <c:v>16500.138811585261</c:v>
                </c:pt>
                <c:pt idx="458">
                  <c:v>17235.966530112208</c:v>
                </c:pt>
                <c:pt idx="459">
                  <c:v>17941.943985594444</c:v>
                </c:pt>
                <c:pt idx="460">
                  <c:v>18650.044681544292</c:v>
                </c:pt>
                <c:pt idx="461">
                  <c:v>19349.277726129396</c:v>
                </c:pt>
                <c:pt idx="462">
                  <c:v>20050.009528691637</c:v>
                </c:pt>
                <c:pt idx="463">
                  <c:v>20641.831584915002</c:v>
                </c:pt>
                <c:pt idx="464">
                  <c:v>21231.343055923608</c:v>
                </c:pt>
                <c:pt idx="465">
                  <c:v>22021.126061627616</c:v>
                </c:pt>
                <c:pt idx="466">
                  <c:v>22823.398717141125</c:v>
                </c:pt>
                <c:pt idx="467">
                  <c:v>23598.881073813252</c:v>
                </c:pt>
                <c:pt idx="468">
                  <c:v>24165.911175164751</c:v>
                </c:pt>
                <c:pt idx="469">
                  <c:v>24734.814723987674</c:v>
                </c:pt>
                <c:pt idx="470">
                  <c:v>25450.346761574183</c:v>
                </c:pt>
                <c:pt idx="471">
                  <c:v>26158.75969876927</c:v>
                </c:pt>
                <c:pt idx="472">
                  <c:v>26682.513163530835</c:v>
                </c:pt>
                <c:pt idx="473">
                  <c:v>27208.327420510966</c:v>
                </c:pt>
                <c:pt idx="474">
                  <c:v>27894.633677543232</c:v>
                </c:pt>
                <c:pt idx="475">
                  <c:v>28673.175998418687</c:v>
                </c:pt>
                <c:pt idx="476">
                  <c:v>28680.79468480248</c:v>
                </c:pt>
                <c:pt idx="477">
                  <c:v>28695.282678581505</c:v>
                </c:pt>
                <c:pt idx="478">
                  <c:v>28709.45843111529</c:v>
                </c:pt>
                <c:pt idx="479">
                  <c:v>28711.581671582906</c:v>
                </c:pt>
                <c:pt idx="480">
                  <c:v>28712.830636563856</c:v>
                </c:pt>
                <c:pt idx="481">
                  <c:v>28716.202842012426</c:v>
                </c:pt>
                <c:pt idx="482">
                  <c:v>28718.700771974327</c:v>
                </c:pt>
                <c:pt idx="483">
                  <c:v>28718.950564970517</c:v>
                </c:pt>
                <c:pt idx="484">
                  <c:v>28721.510943181464</c:v>
                </c:pt>
                <c:pt idx="485">
                  <c:v>28722.385218668129</c:v>
                </c:pt>
                <c:pt idx="486">
                  <c:v>28724.758252131938</c:v>
                </c:pt>
                <c:pt idx="487">
                  <c:v>28727.131285595744</c:v>
                </c:pt>
                <c:pt idx="488">
                  <c:v>28765.911648254256</c:v>
                </c:pt>
                <c:pt idx="489">
                  <c:v>28777.776815573285</c:v>
                </c:pt>
                <c:pt idx="490">
                  <c:v>28786.019984447557</c:v>
                </c:pt>
                <c:pt idx="491">
                  <c:v>28790.079120635644</c:v>
                </c:pt>
                <c:pt idx="492">
                  <c:v>28790.95339612231</c:v>
                </c:pt>
                <c:pt idx="493">
                  <c:v>28794.887635812305</c:v>
                </c:pt>
                <c:pt idx="494">
                  <c:v>28816.244936986557</c:v>
                </c:pt>
                <c:pt idx="495">
                  <c:v>28837.914479406045</c:v>
                </c:pt>
                <c:pt idx="496">
                  <c:v>28859.396677078395</c:v>
                </c:pt>
                <c:pt idx="497">
                  <c:v>28859.771366572677</c:v>
                </c:pt>
                <c:pt idx="498">
                  <c:v>28860.146056066962</c:v>
                </c:pt>
                <c:pt idx="499">
                  <c:v>28864.579881749334</c:v>
                </c:pt>
                <c:pt idx="500">
                  <c:v>28891.307732341676</c:v>
                </c:pt>
                <c:pt idx="501">
                  <c:v>28899.176211721664</c:v>
                </c:pt>
                <c:pt idx="502">
                  <c:v>28947.88584597873</c:v>
                </c:pt>
                <c:pt idx="503">
                  <c:v>28949.571948703011</c:v>
                </c:pt>
                <c:pt idx="504">
                  <c:v>28962.810977501085</c:v>
                </c:pt>
                <c:pt idx="505">
                  <c:v>28976.050006299156</c:v>
                </c:pt>
                <c:pt idx="506">
                  <c:v>28982.357279452957</c:v>
                </c:pt>
                <c:pt idx="507">
                  <c:v>28993.285723036272</c:v>
                </c:pt>
                <c:pt idx="508">
                  <c:v>28997.032617979123</c:v>
                </c:pt>
                <c:pt idx="509">
                  <c:v>29008.585544052916</c:v>
                </c:pt>
                <c:pt idx="510">
                  <c:v>29020.32581487385</c:v>
                </c:pt>
                <c:pt idx="511">
                  <c:v>29031.254258457167</c:v>
                </c:pt>
                <c:pt idx="512">
                  <c:v>29041.995357293341</c:v>
                </c:pt>
                <c:pt idx="513">
                  <c:v>29070.097069364725</c:v>
                </c:pt>
                <c:pt idx="514">
                  <c:v>29108.190501283712</c:v>
                </c:pt>
                <c:pt idx="515">
                  <c:v>29147.53289818365</c:v>
                </c:pt>
                <c:pt idx="516">
                  <c:v>29170.014267840761</c:v>
                </c:pt>
                <c:pt idx="517">
                  <c:v>29197.49149742167</c:v>
                </c:pt>
                <c:pt idx="518">
                  <c:v>29224.968727002579</c:v>
                </c:pt>
                <c:pt idx="519">
                  <c:v>29247.450096659686</c:v>
                </c:pt>
                <c:pt idx="520">
                  <c:v>29274.927326240595</c:v>
                </c:pt>
                <c:pt idx="521">
                  <c:v>29302.404555821504</c:v>
                </c:pt>
                <c:pt idx="522">
                  <c:v>29339.87350525002</c:v>
                </c:pt>
                <c:pt idx="523">
                  <c:v>29378.591419659482</c:v>
                </c:pt>
                <c:pt idx="524">
                  <c:v>29390.831276472796</c:v>
                </c:pt>
                <c:pt idx="525">
                  <c:v>29528.217424377344</c:v>
                </c:pt>
                <c:pt idx="526">
                  <c:v>29663.417883565227</c:v>
                </c:pt>
                <c:pt idx="527">
                  <c:v>29830.15470852211</c:v>
                </c:pt>
                <c:pt idx="528">
                  <c:v>29862.003315536349</c:v>
                </c:pt>
                <c:pt idx="529">
                  <c:v>29905.717089869613</c:v>
                </c:pt>
                <c:pt idx="530">
                  <c:v>29924.576461081964</c:v>
                </c:pt>
                <c:pt idx="531">
                  <c:v>29927.074391043865</c:v>
                </c:pt>
                <c:pt idx="532">
                  <c:v>29988.023882114245</c:v>
                </c:pt>
                <c:pt idx="533">
                  <c:v>30215.397956896271</c:v>
                </c:pt>
                <c:pt idx="534">
                  <c:v>30240.751946009565</c:v>
                </c:pt>
                <c:pt idx="535">
                  <c:v>30241.189083752895</c:v>
                </c:pt>
                <c:pt idx="536">
                  <c:v>30324.869737476572</c:v>
                </c:pt>
                <c:pt idx="537">
                  <c:v>30407.925908709778</c:v>
                </c:pt>
                <c:pt idx="538">
                  <c:v>30491.606562433455</c:v>
                </c:pt>
                <c:pt idx="539">
                  <c:v>30575.287216157136</c:v>
                </c:pt>
                <c:pt idx="540">
                  <c:v>30658.967869880817</c:v>
                </c:pt>
                <c:pt idx="541">
                  <c:v>30742.024041114018</c:v>
                </c:pt>
                <c:pt idx="542">
                  <c:v>30825.704694837699</c:v>
                </c:pt>
                <c:pt idx="543">
                  <c:v>30909.385348561376</c:v>
                </c:pt>
                <c:pt idx="544">
                  <c:v>30910.634313542327</c:v>
                </c:pt>
                <c:pt idx="545">
                  <c:v>30923.123963351831</c:v>
                </c:pt>
                <c:pt idx="546">
                  <c:v>30924.372928332781</c:v>
                </c:pt>
                <c:pt idx="547">
                  <c:v>31070.501831103982</c:v>
                </c:pt>
                <c:pt idx="548">
                  <c:v>31205.077807801394</c:v>
                </c:pt>
                <c:pt idx="549">
                  <c:v>31223.81228251565</c:v>
                </c:pt>
                <c:pt idx="550">
                  <c:v>31311.239831182182</c:v>
                </c:pt>
                <c:pt idx="551">
                  <c:v>31398.66737984871</c:v>
                </c:pt>
                <c:pt idx="552">
                  <c:v>31486.094928515242</c:v>
                </c:pt>
                <c:pt idx="553">
                  <c:v>31791.154625112384</c:v>
                </c:pt>
                <c:pt idx="554">
                  <c:v>32096.214321709529</c:v>
                </c:pt>
                <c:pt idx="555">
                  <c:v>32401.274018306674</c:v>
                </c:pt>
                <c:pt idx="556">
                  <c:v>32706.333714903816</c:v>
                </c:pt>
                <c:pt idx="557">
                  <c:v>33011.393411500962</c:v>
                </c:pt>
                <c:pt idx="558">
                  <c:v>33316.453108098103</c:v>
                </c:pt>
                <c:pt idx="559">
                  <c:v>33356.419987488516</c:v>
                </c:pt>
                <c:pt idx="560">
                  <c:v>33465.70442332168</c:v>
                </c:pt>
                <c:pt idx="561">
                  <c:v>33532.52404980253</c:v>
                </c:pt>
                <c:pt idx="562">
                  <c:v>33642.432968126173</c:v>
                </c:pt>
                <c:pt idx="563">
                  <c:v>33684.897777478487</c:v>
                </c:pt>
                <c:pt idx="564">
                  <c:v>33987.771785358964</c:v>
                </c:pt>
                <c:pt idx="565">
                  <c:v>34574.785326405668</c:v>
                </c:pt>
                <c:pt idx="566">
                  <c:v>35577.142171867439</c:v>
                </c:pt>
                <c:pt idx="567">
                  <c:v>35903.434273140745</c:v>
                </c:pt>
                <c:pt idx="568">
                  <c:v>36229.726374414044</c:v>
                </c:pt>
                <c:pt idx="569">
                  <c:v>36829.229565270252</c:v>
                </c:pt>
                <c:pt idx="570">
                  <c:v>37202.420301578248</c:v>
                </c:pt>
                <c:pt idx="571">
                  <c:v>37574.611865901476</c:v>
                </c:pt>
                <c:pt idx="572">
                  <c:v>37946.116499485186</c:v>
                </c:pt>
                <c:pt idx="573">
                  <c:v>38664.271363531683</c:v>
                </c:pt>
                <c:pt idx="574">
                  <c:v>38768.559939441046</c:v>
                </c:pt>
                <c:pt idx="575">
                  <c:v>38872.848515350408</c:v>
                </c:pt>
                <c:pt idx="576">
                  <c:v>39020.226383102556</c:v>
                </c:pt>
                <c:pt idx="577">
                  <c:v>39534.425265759855</c:v>
                </c:pt>
                <c:pt idx="578">
                  <c:v>40389.966277710904</c:v>
                </c:pt>
                <c:pt idx="579">
                  <c:v>40617.777490236265</c:v>
                </c:pt>
                <c:pt idx="580">
                  <c:v>40722.690548636099</c:v>
                </c:pt>
                <c:pt idx="581">
                  <c:v>40827.603607035941</c:v>
                </c:pt>
                <c:pt idx="582">
                  <c:v>40932.516665435767</c:v>
                </c:pt>
                <c:pt idx="583">
                  <c:v>41791.804572329667</c:v>
                </c:pt>
                <c:pt idx="584">
                  <c:v>42405.983101712045</c:v>
                </c:pt>
                <c:pt idx="585">
                  <c:v>42798.220553979532</c:v>
                </c:pt>
                <c:pt idx="586">
                  <c:v>42902.571578137948</c:v>
                </c:pt>
                <c:pt idx="587">
                  <c:v>43006.922602296363</c:v>
                </c:pt>
                <c:pt idx="588">
                  <c:v>43111.273626454771</c:v>
                </c:pt>
                <c:pt idx="589">
                  <c:v>43310.421092667319</c:v>
                </c:pt>
                <c:pt idx="590">
                  <c:v>43648.266120014407</c:v>
                </c:pt>
                <c:pt idx="591">
                  <c:v>44080.408003423261</c:v>
                </c:pt>
                <c:pt idx="592">
                  <c:v>44244.022415927764</c:v>
                </c:pt>
                <c:pt idx="593">
                  <c:v>44350.121991059503</c:v>
                </c:pt>
                <c:pt idx="594">
                  <c:v>44459.219082145522</c:v>
                </c:pt>
                <c:pt idx="595">
                  <c:v>44623.083287646215</c:v>
                </c:pt>
                <c:pt idx="596">
                  <c:v>44732.367723479379</c:v>
                </c:pt>
                <c:pt idx="597">
                  <c:v>44841.090125071118</c:v>
                </c:pt>
                <c:pt idx="598">
                  <c:v>44957.868350789984</c:v>
                </c:pt>
                <c:pt idx="599">
                  <c:v>45072.773129037421</c:v>
                </c:pt>
                <c:pt idx="600">
                  <c:v>45186.491390552961</c:v>
                </c:pt>
                <c:pt idx="601">
                  <c:v>45854.687655361449</c:v>
                </c:pt>
                <c:pt idx="602">
                  <c:v>45945.237616480357</c:v>
                </c:pt>
                <c:pt idx="603">
                  <c:v>46622.80111864597</c:v>
                </c:pt>
                <c:pt idx="604">
                  <c:v>47086.416919574767</c:v>
                </c:pt>
                <c:pt idx="605">
                  <c:v>47544.787067583573</c:v>
                </c:pt>
                <c:pt idx="606">
                  <c:v>47985.047223368601</c:v>
                </c:pt>
                <c:pt idx="607">
                  <c:v>48060.609604716105</c:v>
                </c:pt>
                <c:pt idx="608">
                  <c:v>48139.918881006459</c:v>
                </c:pt>
                <c:pt idx="609">
                  <c:v>48219.228157296813</c:v>
                </c:pt>
                <c:pt idx="610">
                  <c:v>48300.410881058589</c:v>
                </c:pt>
                <c:pt idx="611">
                  <c:v>48472.768048429753</c:v>
                </c:pt>
                <c:pt idx="612">
                  <c:v>48580.179036791487</c:v>
                </c:pt>
                <c:pt idx="613">
                  <c:v>48687.590025153222</c:v>
                </c:pt>
                <c:pt idx="614">
                  <c:v>48859.947192524385</c:v>
                </c:pt>
                <c:pt idx="615">
                  <c:v>48967.35818088612</c:v>
                </c:pt>
                <c:pt idx="616">
                  <c:v>49074.769169247862</c:v>
                </c:pt>
                <c:pt idx="617">
                  <c:v>49509.40898261861</c:v>
                </c:pt>
                <c:pt idx="618">
                  <c:v>49564.987924270907</c:v>
                </c:pt>
                <c:pt idx="619">
                  <c:v>49671.149947651691</c:v>
                </c:pt>
                <c:pt idx="620">
                  <c:v>49777.311971032483</c:v>
                </c:pt>
                <c:pt idx="621">
                  <c:v>49992.820878495484</c:v>
                </c:pt>
                <c:pt idx="622">
                  <c:v>50002.188115852608</c:v>
                </c:pt>
                <c:pt idx="623">
                  <c:v>50075.877049728682</c:v>
                </c:pt>
                <c:pt idx="624">
                  <c:v>50103.97876180007</c:v>
                </c:pt>
                <c:pt idx="625">
                  <c:v>50493.281146362315</c:v>
                </c:pt>
                <c:pt idx="626">
                  <c:v>50841.679927798439</c:v>
                </c:pt>
                <c:pt idx="627">
                  <c:v>51190.078709234556</c:v>
                </c:pt>
                <c:pt idx="628">
                  <c:v>51217.555938815465</c:v>
                </c:pt>
                <c:pt idx="629">
                  <c:v>51695.971974768538</c:v>
                </c:pt>
                <c:pt idx="630">
                  <c:v>51983.233920387138</c:v>
                </c:pt>
                <c:pt idx="631">
                  <c:v>52275.49172592954</c:v>
                </c:pt>
                <c:pt idx="632">
                  <c:v>52572.745391395743</c:v>
                </c:pt>
                <c:pt idx="633">
                  <c:v>53107.67709273682</c:v>
                </c:pt>
                <c:pt idx="634">
                  <c:v>53229.638523126632</c:v>
                </c:pt>
                <c:pt idx="635">
                  <c:v>53349.102023554544</c:v>
                </c:pt>
                <c:pt idx="636">
                  <c:v>53483.365759006716</c:v>
                </c:pt>
                <c:pt idx="637">
                  <c:v>53772.938289840073</c:v>
                </c:pt>
                <c:pt idx="638">
                  <c:v>54269.401869767869</c:v>
                </c:pt>
                <c:pt idx="639">
                  <c:v>54572.275877648353</c:v>
                </c:pt>
                <c:pt idx="640">
                  <c:v>54715.90685045765</c:v>
                </c:pt>
                <c:pt idx="641">
                  <c:v>54827.876560999859</c:v>
                </c:pt>
                <c:pt idx="642">
                  <c:v>54939.846271542068</c:v>
                </c:pt>
                <c:pt idx="643">
                  <c:v>55051.753533835225</c:v>
                </c:pt>
                <c:pt idx="644">
                  <c:v>55245.343105882544</c:v>
                </c:pt>
                <c:pt idx="645">
                  <c:v>55698.092911477077</c:v>
                </c:pt>
                <c:pt idx="646">
                  <c:v>55806.940209566907</c:v>
                </c:pt>
                <c:pt idx="647">
                  <c:v>55915.787507656736</c:v>
                </c:pt>
                <c:pt idx="648">
                  <c:v>56113.373767643097</c:v>
                </c:pt>
                <c:pt idx="649">
                  <c:v>56299.344653306616</c:v>
                </c:pt>
                <c:pt idx="650">
                  <c:v>56644.371229294178</c:v>
                </c:pt>
                <c:pt idx="651">
                  <c:v>56989.397805281733</c:v>
                </c:pt>
                <c:pt idx="652">
                  <c:v>57342.230412400233</c:v>
                </c:pt>
                <c:pt idx="653">
                  <c:v>57788.735393090014</c:v>
                </c:pt>
                <c:pt idx="654">
                  <c:v>58465.674412765147</c:v>
                </c:pt>
                <c:pt idx="655">
                  <c:v>58922.982940540154</c:v>
                </c:pt>
                <c:pt idx="656">
                  <c:v>59437.993650435063</c:v>
                </c:pt>
                <c:pt idx="657">
                  <c:v>59574.005936860565</c:v>
                </c:pt>
                <c:pt idx="658">
                  <c:v>59710.018223286075</c:v>
                </c:pt>
                <c:pt idx="659">
                  <c:v>59845.343578972053</c:v>
                </c:pt>
                <c:pt idx="660">
                  <c:v>59981.355865397556</c:v>
                </c:pt>
                <c:pt idx="661">
                  <c:v>60123.987666222092</c:v>
                </c:pt>
                <c:pt idx="662">
                  <c:v>60266.619467046628</c:v>
                </c:pt>
                <c:pt idx="663">
                  <c:v>60421.11643519019</c:v>
                </c:pt>
                <c:pt idx="664">
                  <c:v>60531.150250011924</c:v>
                </c:pt>
                <c:pt idx="665">
                  <c:v>60641.184064833658</c:v>
                </c:pt>
                <c:pt idx="666">
                  <c:v>60751.217879655385</c:v>
                </c:pt>
                <c:pt idx="667">
                  <c:v>60897.971264917061</c:v>
                </c:pt>
                <c:pt idx="668">
                  <c:v>61064.957882870134</c:v>
                </c:pt>
                <c:pt idx="669">
                  <c:v>61230.945328838447</c:v>
                </c:pt>
                <c:pt idx="670">
                  <c:v>61423.910418395288</c:v>
                </c:pt>
                <c:pt idx="671">
                  <c:v>61563.29491026936</c:v>
                </c:pt>
                <c:pt idx="672">
                  <c:v>61664.336177228251</c:v>
                </c:pt>
                <c:pt idx="673">
                  <c:v>61765.377444187143</c:v>
                </c:pt>
                <c:pt idx="674">
                  <c:v>62243.106549400683</c:v>
                </c:pt>
                <c:pt idx="675">
                  <c:v>62390.484417152838</c:v>
                </c:pt>
                <c:pt idx="676">
                  <c:v>62524.435911359767</c:v>
                </c:pt>
                <c:pt idx="677">
                  <c:v>62658.387405566704</c:v>
                </c:pt>
                <c:pt idx="678">
                  <c:v>63014.779562880911</c:v>
                </c:pt>
                <c:pt idx="679">
                  <c:v>63136.553648523579</c:v>
                </c:pt>
                <c:pt idx="680">
                  <c:v>63258.327734166247</c:v>
                </c:pt>
                <c:pt idx="681">
                  <c:v>63332.016668042321</c:v>
                </c:pt>
                <c:pt idx="682">
                  <c:v>63411.325944332675</c:v>
                </c:pt>
                <c:pt idx="683">
                  <c:v>63490.635220623022</c:v>
                </c:pt>
                <c:pt idx="684">
                  <c:v>63564.324154499103</c:v>
                </c:pt>
                <c:pt idx="685">
                  <c:v>63643.63343078945</c:v>
                </c:pt>
                <c:pt idx="686">
                  <c:v>63722.942707079805</c:v>
                </c:pt>
                <c:pt idx="687">
                  <c:v>63974.671598990368</c:v>
                </c:pt>
                <c:pt idx="688">
                  <c:v>64082.58217334449</c:v>
                </c:pt>
                <c:pt idx="689">
                  <c:v>64190.992333690992</c:v>
                </c:pt>
                <c:pt idx="690">
                  <c:v>64305.397525946049</c:v>
                </c:pt>
                <c:pt idx="691">
                  <c:v>64537.517667655688</c:v>
                </c:pt>
                <c:pt idx="692">
                  <c:v>64703.00552763162</c:v>
                </c:pt>
                <c:pt idx="693">
                  <c:v>64771.07411909342</c:v>
                </c:pt>
                <c:pt idx="694">
                  <c:v>64839.142710555214</c:v>
                </c:pt>
                <c:pt idx="695">
                  <c:v>65137.083306760949</c:v>
                </c:pt>
                <c:pt idx="696">
                  <c:v>65245.05632936411</c:v>
                </c:pt>
                <c:pt idx="697">
                  <c:v>65650.969948173006</c:v>
                </c:pt>
                <c:pt idx="698">
                  <c:v>65744.642321744279</c:v>
                </c:pt>
                <c:pt idx="699">
                  <c:v>65853.926757577443</c:v>
                </c:pt>
                <c:pt idx="700">
                  <c:v>65963.211193410607</c:v>
                </c:pt>
                <c:pt idx="701">
                  <c:v>66083.736314072332</c:v>
                </c:pt>
                <c:pt idx="702">
                  <c:v>66202.825125005955</c:v>
                </c:pt>
                <c:pt idx="703">
                  <c:v>66324.474314150517</c:v>
                </c:pt>
                <c:pt idx="704">
                  <c:v>66514.441887753084</c:v>
                </c:pt>
                <c:pt idx="705">
                  <c:v>66704.409461355637</c:v>
                </c:pt>
                <c:pt idx="706">
                  <c:v>66895.501103441056</c:v>
                </c:pt>
                <c:pt idx="707">
                  <c:v>67085.468677043624</c:v>
                </c:pt>
                <c:pt idx="708">
                  <c:v>67275.623595393321</c:v>
                </c:pt>
                <c:pt idx="709">
                  <c:v>67465.778513743033</c:v>
                </c:pt>
                <c:pt idx="710">
                  <c:v>67881.371611154289</c:v>
                </c:pt>
                <c:pt idx="711">
                  <c:v>68250.565659523229</c:v>
                </c:pt>
                <c:pt idx="712">
                  <c:v>68254.687243960376</c:v>
                </c:pt>
                <c:pt idx="713">
                  <c:v>68272.797236184153</c:v>
                </c:pt>
                <c:pt idx="714">
                  <c:v>68302.772395726963</c:v>
                </c:pt>
                <c:pt idx="715">
                  <c:v>68332.747555269772</c:v>
                </c:pt>
                <c:pt idx="716">
                  <c:v>68411.432349069655</c:v>
                </c:pt>
                <c:pt idx="717">
                  <c:v>68490.117142869523</c:v>
                </c:pt>
                <c:pt idx="718">
                  <c:v>68568.801936669406</c:v>
                </c:pt>
                <c:pt idx="719">
                  <c:v>68682.645094683045</c:v>
                </c:pt>
                <c:pt idx="720">
                  <c:v>68761.329888482913</c:v>
                </c:pt>
                <c:pt idx="721">
                  <c:v>68840.014682282796</c:v>
                </c:pt>
                <c:pt idx="722">
                  <c:v>68918.699476082678</c:v>
                </c:pt>
                <c:pt idx="723">
                  <c:v>69035.477701801545</c:v>
                </c:pt>
                <c:pt idx="724">
                  <c:v>69478.860270038946</c:v>
                </c:pt>
                <c:pt idx="725">
                  <c:v>69530.067834257905</c:v>
                </c:pt>
                <c:pt idx="726">
                  <c:v>69581.275398476879</c:v>
                </c:pt>
                <c:pt idx="727">
                  <c:v>69610.001593038745</c:v>
                </c:pt>
                <c:pt idx="728">
                  <c:v>69626.862620281565</c:v>
                </c:pt>
                <c:pt idx="729">
                  <c:v>69639.851856083464</c:v>
                </c:pt>
                <c:pt idx="730">
                  <c:v>69653.840263870094</c:v>
                </c:pt>
                <c:pt idx="731">
                  <c:v>69656.025952586759</c:v>
                </c:pt>
                <c:pt idx="732">
                  <c:v>69656.962676322481</c:v>
                </c:pt>
                <c:pt idx="733">
                  <c:v>69657.899400058188</c:v>
                </c:pt>
                <c:pt idx="734">
                  <c:v>69660.147537023906</c:v>
                </c:pt>
                <c:pt idx="735">
                  <c:v>69662.70791523486</c:v>
                </c:pt>
                <c:pt idx="736">
                  <c:v>69666.205017181521</c:v>
                </c:pt>
                <c:pt idx="737">
                  <c:v>69669.702119128182</c:v>
                </c:pt>
                <c:pt idx="738">
                  <c:v>69670.638842863889</c:v>
                </c:pt>
                <c:pt idx="739">
                  <c:v>69671.575566599611</c:v>
                </c:pt>
                <c:pt idx="740">
                  <c:v>69675.5098062896</c:v>
                </c:pt>
                <c:pt idx="741">
                  <c:v>69679.381597730549</c:v>
                </c:pt>
                <c:pt idx="742">
                  <c:v>69683.315837420538</c:v>
                </c:pt>
                <c:pt idx="743">
                  <c:v>69687.250077110541</c:v>
                </c:pt>
                <c:pt idx="744">
                  <c:v>69688.499042091484</c:v>
                </c:pt>
                <c:pt idx="745">
                  <c:v>69690.060248317677</c:v>
                </c:pt>
                <c:pt idx="746">
                  <c:v>69703.42417361385</c:v>
                </c:pt>
                <c:pt idx="747">
                  <c:v>69716.413409415734</c:v>
                </c:pt>
                <c:pt idx="748">
                  <c:v>69729.777334711893</c:v>
                </c:pt>
                <c:pt idx="749">
                  <c:v>69740.455985299021</c:v>
                </c:pt>
                <c:pt idx="750">
                  <c:v>69753.819910595194</c:v>
                </c:pt>
                <c:pt idx="751">
                  <c:v>69761.313700480896</c:v>
                </c:pt>
                <c:pt idx="752">
                  <c:v>69774.677625777069</c:v>
                </c:pt>
                <c:pt idx="753">
                  <c:v>69777.800038229441</c:v>
                </c:pt>
                <c:pt idx="754">
                  <c:v>69784.044863134186</c:v>
                </c:pt>
                <c:pt idx="755">
                  <c:v>69811.709437462239</c:v>
                </c:pt>
                <c:pt idx="756">
                  <c:v>69813.02085069225</c:v>
                </c:pt>
                <c:pt idx="757">
                  <c:v>69814.332263922246</c:v>
                </c:pt>
                <c:pt idx="758">
                  <c:v>69815.643677152242</c:v>
                </c:pt>
                <c:pt idx="759">
                  <c:v>69816.955090382253</c:v>
                </c:pt>
                <c:pt idx="760">
                  <c:v>69818.266503612249</c:v>
                </c:pt>
                <c:pt idx="761">
                  <c:v>69819.515468593207</c:v>
                </c:pt>
                <c:pt idx="762">
                  <c:v>70634.465118663356</c:v>
                </c:pt>
                <c:pt idx="763">
                  <c:v>71457.220799864459</c:v>
                </c:pt>
                <c:pt idx="764">
                  <c:v>72269.048037482251</c:v>
                </c:pt>
                <c:pt idx="765">
                  <c:v>72295.838336323635</c:v>
                </c:pt>
                <c:pt idx="766">
                  <c:v>72322.628635165005</c:v>
                </c:pt>
                <c:pt idx="767">
                  <c:v>72349.23158925926</c:v>
                </c:pt>
                <c:pt idx="768">
                  <c:v>72375.834543353514</c:v>
                </c:pt>
                <c:pt idx="769">
                  <c:v>72377.395749579693</c:v>
                </c:pt>
                <c:pt idx="770">
                  <c:v>72378.956955805887</c:v>
                </c:pt>
                <c:pt idx="771">
                  <c:v>72380.518162032065</c:v>
                </c:pt>
                <c:pt idx="772">
                  <c:v>72382.079368258259</c:v>
                </c:pt>
                <c:pt idx="773">
                  <c:v>72415.176940253441</c:v>
                </c:pt>
                <c:pt idx="774">
                  <c:v>72448.274512248638</c:v>
                </c:pt>
                <c:pt idx="775">
                  <c:v>72481.37208424382</c:v>
                </c:pt>
                <c:pt idx="776">
                  <c:v>72514.469656239002</c:v>
                </c:pt>
                <c:pt idx="777">
                  <c:v>72547.567228234198</c:v>
                </c:pt>
                <c:pt idx="778">
                  <c:v>72580.66480022938</c:v>
                </c:pt>
                <c:pt idx="779">
                  <c:v>73411.850995051893</c:v>
                </c:pt>
                <c:pt idx="780">
                  <c:v>74254.902357193438</c:v>
                </c:pt>
                <c:pt idx="781">
                  <c:v>74442.247104335998</c:v>
                </c:pt>
                <c:pt idx="782">
                  <c:v>74760.733174478373</c:v>
                </c:pt>
                <c:pt idx="783">
                  <c:v>74928.094481925727</c:v>
                </c:pt>
                <c:pt idx="784">
                  <c:v>75095.455789373082</c:v>
                </c:pt>
                <c:pt idx="785">
                  <c:v>75188.940818197225</c:v>
                </c:pt>
                <c:pt idx="786">
                  <c:v>75283.05032951184</c:v>
                </c:pt>
                <c:pt idx="787">
                  <c:v>75383.966699972632</c:v>
                </c:pt>
                <c:pt idx="788">
                  <c:v>75478.700693777719</c:v>
                </c:pt>
                <c:pt idx="789">
                  <c:v>75844.022950705723</c:v>
                </c:pt>
                <c:pt idx="790">
                  <c:v>76209.345207633727</c:v>
                </c:pt>
                <c:pt idx="791">
                  <c:v>76596.524351728367</c:v>
                </c:pt>
                <c:pt idx="792">
                  <c:v>77066.135184565734</c:v>
                </c:pt>
                <c:pt idx="793">
                  <c:v>77535.746017403086</c:v>
                </c:pt>
                <c:pt idx="794">
                  <c:v>77880.460352145412</c:v>
                </c:pt>
                <c:pt idx="795">
                  <c:v>78221.115550699644</c:v>
                </c:pt>
                <c:pt idx="796">
                  <c:v>78255.462087675784</c:v>
                </c:pt>
                <c:pt idx="797">
                  <c:v>78785.897515085424</c:v>
                </c:pt>
                <c:pt idx="798">
                  <c:v>79316.95742498555</c:v>
                </c:pt>
                <c:pt idx="799">
                  <c:v>79501.429552671922</c:v>
                </c:pt>
                <c:pt idx="800">
                  <c:v>80721.668339060503</c:v>
                </c:pt>
                <c:pt idx="801">
                  <c:v>80790.361413012783</c:v>
                </c:pt>
                <c:pt idx="802">
                  <c:v>80814.403988896069</c:v>
                </c:pt>
                <c:pt idx="803">
                  <c:v>80865.611553115043</c:v>
                </c:pt>
                <c:pt idx="804">
                  <c:v>80889.341887753093</c:v>
                </c:pt>
                <c:pt idx="805">
                  <c:v>81370.255853668074</c:v>
                </c:pt>
                <c:pt idx="806">
                  <c:v>81863.721917641597</c:v>
                </c:pt>
                <c:pt idx="807">
                  <c:v>81884.954322317746</c:v>
                </c:pt>
                <c:pt idx="808">
                  <c:v>81954.52167175668</c:v>
                </c:pt>
                <c:pt idx="809">
                  <c:v>82008.227165937555</c:v>
                </c:pt>
                <c:pt idx="810">
                  <c:v>82059.934316148894</c:v>
                </c:pt>
                <c:pt idx="811">
                  <c:v>82087.224200982673</c:v>
                </c:pt>
                <c:pt idx="812">
                  <c:v>82618.284110882785</c:v>
                </c:pt>
                <c:pt idx="813">
                  <c:v>83148.657090043387</c:v>
                </c:pt>
                <c:pt idx="814">
                  <c:v>83648.243082423563</c:v>
                </c:pt>
                <c:pt idx="815">
                  <c:v>84147.82907480374</c:v>
                </c:pt>
                <c:pt idx="816">
                  <c:v>84970.210066510539</c:v>
                </c:pt>
                <c:pt idx="817">
                  <c:v>85308.617128099067</c:v>
                </c:pt>
                <c:pt idx="818">
                  <c:v>85653.081669845196</c:v>
                </c:pt>
                <c:pt idx="819">
                  <c:v>85977.812564892316</c:v>
                </c:pt>
                <c:pt idx="820">
                  <c:v>86032.829472303187</c:v>
                </c:pt>
                <c:pt idx="821">
                  <c:v>86081.851347805481</c:v>
                </c:pt>
                <c:pt idx="822">
                  <c:v>86111.826507348291</c:v>
                </c:pt>
                <c:pt idx="823">
                  <c:v>86141.8016668911</c:v>
                </c:pt>
                <c:pt idx="824">
                  <c:v>86172.900894916762</c:v>
                </c:pt>
                <c:pt idx="825">
                  <c:v>86203.625433448149</c:v>
                </c:pt>
                <c:pt idx="826">
                  <c:v>86246.714725290949</c:v>
                </c:pt>
                <c:pt idx="827">
                  <c:v>86254.77054941807</c:v>
                </c:pt>
                <c:pt idx="828">
                  <c:v>86264.137786775202</c:v>
                </c:pt>
                <c:pt idx="829">
                  <c:v>86273.505024132333</c:v>
                </c:pt>
                <c:pt idx="830">
                  <c:v>86389.034284870242</c:v>
                </c:pt>
                <c:pt idx="831">
                  <c:v>86504.563545608151</c:v>
                </c:pt>
                <c:pt idx="832">
                  <c:v>86620.092806346074</c:v>
                </c:pt>
                <c:pt idx="833">
                  <c:v>86735.622067083983</c:v>
                </c:pt>
                <c:pt idx="834">
                  <c:v>86851.151327821906</c:v>
                </c:pt>
                <c:pt idx="835">
                  <c:v>87055.169757460171</c:v>
                </c:pt>
                <c:pt idx="836">
                  <c:v>87057.043204931586</c:v>
                </c:pt>
                <c:pt idx="837">
                  <c:v>87159.645678116663</c:v>
                </c:pt>
                <c:pt idx="838">
                  <c:v>87263.434668033646</c:v>
                </c:pt>
                <c:pt idx="839">
                  <c:v>87316.453231474996</c:v>
                </c:pt>
                <c:pt idx="840">
                  <c:v>87369.471794916331</c:v>
                </c:pt>
                <c:pt idx="841">
                  <c:v>87422.490358357682</c:v>
                </c:pt>
                <c:pt idx="842">
                  <c:v>87475.009335806652</c:v>
                </c:pt>
                <c:pt idx="843">
                  <c:v>87528.152795746093</c:v>
                </c:pt>
                <c:pt idx="844">
                  <c:v>87581.296255685535</c:v>
                </c:pt>
                <c:pt idx="845">
                  <c:v>87633.690336636399</c:v>
                </c:pt>
                <c:pt idx="846">
                  <c:v>87686.084417587277</c:v>
                </c:pt>
                <c:pt idx="847">
                  <c:v>87687.33338256822</c:v>
                </c:pt>
                <c:pt idx="848">
                  <c:v>87690.018657277251</c:v>
                </c:pt>
                <c:pt idx="849">
                  <c:v>87790.935027738058</c:v>
                </c:pt>
                <c:pt idx="850">
                  <c:v>87893.037914930756</c:v>
                </c:pt>
                <c:pt idx="851">
                  <c:v>87905.52756474026</c:v>
                </c:pt>
                <c:pt idx="852">
                  <c:v>87907.401012211689</c:v>
                </c:pt>
                <c:pt idx="853">
                  <c:v>87940.248791210688</c:v>
                </c:pt>
                <c:pt idx="854">
                  <c:v>87973.15901845874</c:v>
                </c:pt>
                <c:pt idx="855">
                  <c:v>88005.507211465345</c:v>
                </c:pt>
                <c:pt idx="856">
                  <c:v>88038.729679958633</c:v>
                </c:pt>
                <c:pt idx="857">
                  <c:v>88071.577458957632</c:v>
                </c:pt>
                <c:pt idx="858">
                  <c:v>88180.05006755318</c:v>
                </c:pt>
                <c:pt idx="859">
                  <c:v>88288.522676148743</c:v>
                </c:pt>
                <c:pt idx="860">
                  <c:v>88289.896537627792</c:v>
                </c:pt>
                <c:pt idx="861">
                  <c:v>88386.503978904308</c:v>
                </c:pt>
                <c:pt idx="862">
                  <c:v>88482.486937690366</c:v>
                </c:pt>
                <c:pt idx="863">
                  <c:v>88582.279239668293</c:v>
                </c:pt>
                <c:pt idx="864">
                  <c:v>88682.258886393378</c:v>
                </c:pt>
                <c:pt idx="865">
                  <c:v>88782.550774363699</c:v>
                </c:pt>
                <c:pt idx="866">
                  <c:v>89101.036844506074</c:v>
                </c:pt>
                <c:pt idx="867">
                  <c:v>89419.522914648434</c:v>
                </c:pt>
                <c:pt idx="868">
                  <c:v>89523.998835304927</c:v>
                </c:pt>
                <c:pt idx="869">
                  <c:v>89626.476411991913</c:v>
                </c:pt>
                <c:pt idx="870">
                  <c:v>89732.013952882218</c:v>
                </c:pt>
                <c:pt idx="871">
                  <c:v>89835.865391048239</c:v>
                </c:pt>
                <c:pt idx="872">
                  <c:v>89866.465033081535</c:v>
                </c:pt>
                <c:pt idx="873">
                  <c:v>89897.064675114816</c:v>
                </c:pt>
                <c:pt idx="874">
                  <c:v>89927.664317148097</c:v>
                </c:pt>
                <c:pt idx="875">
                  <c:v>89958.263959181393</c:v>
                </c:pt>
                <c:pt idx="876">
                  <c:v>90329.831041014142</c:v>
                </c:pt>
                <c:pt idx="877">
                  <c:v>90695.340642689276</c:v>
                </c:pt>
                <c:pt idx="878">
                  <c:v>90799.629218598639</c:v>
                </c:pt>
                <c:pt idx="879">
                  <c:v>90831.477825612877</c:v>
                </c:pt>
                <c:pt idx="880">
                  <c:v>90935.76640152224</c:v>
                </c:pt>
                <c:pt idx="881">
                  <c:v>91040.054977431602</c:v>
                </c:pt>
                <c:pt idx="882">
                  <c:v>91144.343553340965</c:v>
                </c:pt>
                <c:pt idx="883">
                  <c:v>91176.192160355204</c:v>
                </c:pt>
                <c:pt idx="884">
                  <c:v>91208.040767369428</c:v>
                </c:pt>
                <c:pt idx="885">
                  <c:v>91239.889374383667</c:v>
                </c:pt>
                <c:pt idx="886">
                  <c:v>91271.737981397906</c:v>
                </c:pt>
                <c:pt idx="887">
                  <c:v>91303.586588412145</c:v>
                </c:pt>
                <c:pt idx="888">
                  <c:v>91310.455895807376</c:v>
                </c:pt>
                <c:pt idx="889">
                  <c:v>91430.356533978615</c:v>
                </c:pt>
                <c:pt idx="890">
                  <c:v>91549.632689659382</c:v>
                </c:pt>
                <c:pt idx="891">
                  <c:v>91668.908845340149</c:v>
                </c:pt>
                <c:pt idx="892">
                  <c:v>91788.185001020916</c:v>
                </c:pt>
                <c:pt idx="893">
                  <c:v>91907.461156701684</c:v>
                </c:pt>
                <c:pt idx="894">
                  <c:v>91914.954946587386</c:v>
                </c:pt>
                <c:pt idx="895">
                  <c:v>92024.23938242055</c:v>
                </c:pt>
                <c:pt idx="896">
                  <c:v>92133.523818253714</c:v>
                </c:pt>
                <c:pt idx="897">
                  <c:v>92242.808254086878</c:v>
                </c:pt>
                <c:pt idx="898">
                  <c:v>92352.092689920028</c:v>
                </c:pt>
                <c:pt idx="899">
                  <c:v>92385.31515841333</c:v>
                </c:pt>
                <c:pt idx="900">
                  <c:v>92418.537626906618</c:v>
                </c:pt>
                <c:pt idx="901">
                  <c:v>92451.82254364893</c:v>
                </c:pt>
                <c:pt idx="902">
                  <c:v>92485.107460391257</c:v>
                </c:pt>
                <c:pt idx="903">
                  <c:v>92518.392377133583</c:v>
                </c:pt>
                <c:pt idx="904">
                  <c:v>92551.677293875895</c:v>
                </c:pt>
                <c:pt idx="905">
                  <c:v>92580.091247192526</c:v>
                </c:pt>
                <c:pt idx="906">
                  <c:v>92608.192959263906</c:v>
                </c:pt>
                <c:pt idx="907">
                  <c:v>92636.794257327667</c:v>
                </c:pt>
                <c:pt idx="908">
                  <c:v>92665.208210644283</c:v>
                </c:pt>
                <c:pt idx="909">
                  <c:v>92693.372370964717</c:v>
                </c:pt>
                <c:pt idx="910">
                  <c:v>92721.8487725304</c:v>
                </c:pt>
                <c:pt idx="911">
                  <c:v>92750.387622345123</c:v>
                </c:pt>
                <c:pt idx="912">
                  <c:v>92778.739127412686</c:v>
                </c:pt>
                <c:pt idx="913">
                  <c:v>92807.090632480264</c:v>
                </c:pt>
                <c:pt idx="914">
                  <c:v>92835.254792800697</c:v>
                </c:pt>
                <c:pt idx="915">
                  <c:v>92863.668746117328</c:v>
                </c:pt>
                <c:pt idx="916">
                  <c:v>92892.270044181074</c:v>
                </c:pt>
                <c:pt idx="917">
                  <c:v>92899.763834066776</c:v>
                </c:pt>
                <c:pt idx="918">
                  <c:v>92953.469328247651</c:v>
                </c:pt>
                <c:pt idx="919">
                  <c:v>93007.174822428526</c:v>
                </c:pt>
                <c:pt idx="920">
                  <c:v>93075.243413890319</c:v>
                </c:pt>
                <c:pt idx="921">
                  <c:v>93143.312005352112</c:v>
                </c:pt>
                <c:pt idx="922">
                  <c:v>93172.412889408268</c:v>
                </c:pt>
                <c:pt idx="923">
                  <c:v>93203.012531441549</c:v>
                </c:pt>
                <c:pt idx="924">
                  <c:v>93309.174554822341</c:v>
                </c:pt>
                <c:pt idx="925">
                  <c:v>93336.65178440325</c:v>
                </c:pt>
                <c:pt idx="926">
                  <c:v>93443.063600780224</c:v>
                </c:pt>
                <c:pt idx="927">
                  <c:v>93548.788486417674</c:v>
                </c:pt>
                <c:pt idx="928">
                  <c:v>93570.333132339059</c:v>
                </c:pt>
                <c:pt idx="929">
                  <c:v>93591.877778260459</c:v>
                </c:pt>
                <c:pt idx="930">
                  <c:v>93626.911245976124</c:v>
                </c:pt>
                <c:pt idx="931">
                  <c:v>93660.633300461792</c:v>
                </c:pt>
                <c:pt idx="932">
                  <c:v>93692.919045219358</c:v>
                </c:pt>
                <c:pt idx="933">
                  <c:v>93723.206446007403</c:v>
                </c:pt>
                <c:pt idx="934">
                  <c:v>93773.289941743526</c:v>
                </c:pt>
                <c:pt idx="935">
                  <c:v>93893.502821160015</c:v>
                </c:pt>
                <c:pt idx="936">
                  <c:v>94013.715700576489</c:v>
                </c:pt>
                <c:pt idx="937">
                  <c:v>94133.928579992964</c:v>
                </c:pt>
                <c:pt idx="938">
                  <c:v>94254.141459409453</c:v>
                </c:pt>
                <c:pt idx="939">
                  <c:v>94280.369724009404</c:v>
                </c:pt>
                <c:pt idx="940">
                  <c:v>94401.519327161601</c:v>
                </c:pt>
                <c:pt idx="941">
                  <c:v>94522.668930313797</c:v>
                </c:pt>
                <c:pt idx="942">
                  <c:v>94643.818533465979</c:v>
                </c:pt>
                <c:pt idx="943">
                  <c:v>94764.968136618176</c:v>
                </c:pt>
                <c:pt idx="944">
                  <c:v>94886.117739770372</c:v>
                </c:pt>
                <c:pt idx="945">
                  <c:v>95007.267342922554</c:v>
                </c:pt>
                <c:pt idx="946">
                  <c:v>95119.112156966672</c:v>
                </c:pt>
                <c:pt idx="947">
                  <c:v>95230.145143773159</c:v>
                </c:pt>
                <c:pt idx="948">
                  <c:v>95342.551992058696</c:v>
                </c:pt>
                <c:pt idx="949">
                  <c:v>95414.991960953819</c:v>
                </c:pt>
                <c:pt idx="950">
                  <c:v>95555.500521310751</c:v>
                </c:pt>
                <c:pt idx="951">
                  <c:v>95746.59216339617</c:v>
                </c:pt>
                <c:pt idx="952">
                  <c:v>95973.279307438672</c:v>
                </c:pt>
                <c:pt idx="953">
                  <c:v>96436.645315371279</c:v>
                </c:pt>
                <c:pt idx="954">
                  <c:v>96443.51462276651</c:v>
                </c:pt>
                <c:pt idx="955">
                  <c:v>96824.448941956391</c:v>
                </c:pt>
                <c:pt idx="956">
                  <c:v>97099.221237765494</c:v>
                </c:pt>
                <c:pt idx="957">
                  <c:v>97372.182534352207</c:v>
                </c:pt>
                <c:pt idx="958">
                  <c:v>97470.226285356825</c:v>
                </c:pt>
                <c:pt idx="959">
                  <c:v>97568.270036361428</c:v>
                </c:pt>
                <c:pt idx="960">
                  <c:v>97896.12334386092</c:v>
                </c:pt>
                <c:pt idx="961">
                  <c:v>98270.812838146056</c:v>
                </c:pt>
                <c:pt idx="962">
                  <c:v>98339.381015600229</c:v>
                </c:pt>
                <c:pt idx="963">
                  <c:v>98426.184081776271</c:v>
                </c:pt>
                <c:pt idx="964">
                  <c:v>98429.119149481514</c:v>
                </c:pt>
                <c:pt idx="965">
                  <c:v>98459.094309024324</c:v>
                </c:pt>
                <c:pt idx="966">
                  <c:v>98489.007020318095</c:v>
                </c:pt>
                <c:pt idx="967">
                  <c:v>98590.048287276964</c:v>
                </c:pt>
                <c:pt idx="968">
                  <c:v>98690.277726998247</c:v>
                </c:pt>
                <c:pt idx="969">
                  <c:v>98791.256545708093</c:v>
                </c:pt>
                <c:pt idx="970">
                  <c:v>99322.066662612022</c:v>
                </c:pt>
                <c:pt idx="971">
                  <c:v>99852.876779515966</c:v>
                </c:pt>
                <c:pt idx="972">
                  <c:v>99929.188539852039</c:v>
                </c:pt>
                <c:pt idx="973">
                  <c:v>100007.06150641431</c:v>
                </c:pt>
                <c:pt idx="974">
                  <c:v>100115.34677026271</c:v>
                </c:pt>
                <c:pt idx="975">
                  <c:v>100224.25651660158</c:v>
                </c:pt>
                <c:pt idx="976">
                  <c:v>100325.8598178019</c:v>
                </c:pt>
                <c:pt idx="977">
                  <c:v>100425.09008553842</c:v>
                </c:pt>
                <c:pt idx="978">
                  <c:v>100522.07221630921</c:v>
                </c:pt>
                <c:pt idx="979">
                  <c:v>100525.81911125206</c:v>
                </c:pt>
                <c:pt idx="980">
                  <c:v>100561.91419920152</c:v>
                </c:pt>
                <c:pt idx="981">
                  <c:v>100598.19663189814</c:v>
                </c:pt>
                <c:pt idx="982">
                  <c:v>100635.04109883617</c:v>
                </c:pt>
                <c:pt idx="983">
                  <c:v>100671.88556577421</c:v>
                </c:pt>
                <c:pt idx="984">
                  <c:v>100739.95415723602</c:v>
                </c:pt>
                <c:pt idx="985">
                  <c:v>100806.77378371685</c:v>
                </c:pt>
                <c:pt idx="986">
                  <c:v>100874.84237517866</c:v>
                </c:pt>
                <c:pt idx="987">
                  <c:v>100902.81919075194</c:v>
                </c:pt>
                <c:pt idx="988">
                  <c:v>100930.29642033284</c:v>
                </c:pt>
                <c:pt idx="989">
                  <c:v>100957.52385691757</c:v>
                </c:pt>
                <c:pt idx="990">
                  <c:v>100984.93863824943</c:v>
                </c:pt>
                <c:pt idx="991">
                  <c:v>101102.21644996067</c:v>
                </c:pt>
                <c:pt idx="992">
                  <c:v>101160.6055628201</c:v>
                </c:pt>
                <c:pt idx="993">
                  <c:v>101252.40448891996</c:v>
                </c:pt>
                <c:pt idx="994">
                  <c:v>101344.20341501982</c:v>
                </c:pt>
                <c:pt idx="995">
                  <c:v>101436.00234111967</c:v>
                </c:pt>
                <c:pt idx="996">
                  <c:v>101539.04195204809</c:v>
                </c:pt>
                <c:pt idx="997">
                  <c:v>101642.0815629765</c:v>
                </c:pt>
                <c:pt idx="998">
                  <c:v>101745.1211739049</c:v>
                </c:pt>
                <c:pt idx="999">
                  <c:v>101747.80644861395</c:v>
                </c:pt>
                <c:pt idx="1000">
                  <c:v>101749.36765484013</c:v>
                </c:pt>
                <c:pt idx="1001">
                  <c:v>102145.9140362919</c:v>
                </c:pt>
                <c:pt idx="1002">
                  <c:v>102544.33386521509</c:v>
                </c:pt>
                <c:pt idx="1003">
                  <c:v>102546.39465743364</c:v>
                </c:pt>
                <c:pt idx="1004">
                  <c:v>102548.89258739554</c:v>
                </c:pt>
                <c:pt idx="1005">
                  <c:v>102551.89010334983</c:v>
                </c:pt>
                <c:pt idx="1006">
                  <c:v>102554.70027455696</c:v>
                </c:pt>
                <c:pt idx="1007">
                  <c:v>102559.07165199029</c:v>
                </c:pt>
                <c:pt idx="1008">
                  <c:v>102562.56875393695</c:v>
                </c:pt>
                <c:pt idx="1009">
                  <c:v>102564.75444265362</c:v>
                </c:pt>
                <c:pt idx="1010">
                  <c:v>102566.00340763456</c:v>
                </c:pt>
                <c:pt idx="1011">
                  <c:v>102568.37644109836</c:v>
                </c:pt>
                <c:pt idx="1012">
                  <c:v>102569.56295783026</c:v>
                </c:pt>
                <c:pt idx="1013">
                  <c:v>102574.93350724835</c:v>
                </c:pt>
                <c:pt idx="1014">
                  <c:v>102577.86857495359</c:v>
                </c:pt>
                <c:pt idx="1015">
                  <c:v>102581.61546989644</c:v>
                </c:pt>
                <c:pt idx="1016">
                  <c:v>102583.55136561692</c:v>
                </c:pt>
                <c:pt idx="1017">
                  <c:v>102585.98684732977</c:v>
                </c:pt>
                <c:pt idx="1018">
                  <c:v>102587.9851912993</c:v>
                </c:pt>
                <c:pt idx="1019">
                  <c:v>102588.67212203883</c:v>
                </c:pt>
                <c:pt idx="1020">
                  <c:v>102590.4831212612</c:v>
                </c:pt>
                <c:pt idx="1021">
                  <c:v>102591.04515550262</c:v>
                </c:pt>
                <c:pt idx="1022">
                  <c:v>102591.91943098929</c:v>
                </c:pt>
                <c:pt idx="1023">
                  <c:v>102597.53977340357</c:v>
                </c:pt>
                <c:pt idx="1024">
                  <c:v>102598.10180764498</c:v>
                </c:pt>
                <c:pt idx="1025">
                  <c:v>102655.74154151585</c:v>
                </c:pt>
                <c:pt idx="1026">
                  <c:v>102713.81841313004</c:v>
                </c:pt>
                <c:pt idx="1027">
                  <c:v>102801.87044428704</c:v>
                </c:pt>
                <c:pt idx="1028">
                  <c:v>102819.54329876749</c:v>
                </c:pt>
                <c:pt idx="1029">
                  <c:v>102837.84063573841</c:v>
                </c:pt>
                <c:pt idx="1030">
                  <c:v>102856.01307621124</c:v>
                </c:pt>
                <c:pt idx="1031">
                  <c:v>102892.79509490023</c:v>
                </c:pt>
                <c:pt idx="1032">
                  <c:v>102984.59402100008</c:v>
                </c:pt>
                <c:pt idx="1033">
                  <c:v>103079.51535955232</c:v>
                </c:pt>
                <c:pt idx="1034">
                  <c:v>103110.1150015856</c:v>
                </c:pt>
                <c:pt idx="1035">
                  <c:v>103143.21257358078</c:v>
                </c:pt>
                <c:pt idx="1036">
                  <c:v>103177.55911055692</c:v>
                </c:pt>
                <c:pt idx="1037">
                  <c:v>103212.21788877829</c:v>
                </c:pt>
                <c:pt idx="1038">
                  <c:v>103268.42131292107</c:v>
                </c:pt>
                <c:pt idx="1039">
                  <c:v>103331.86873395335</c:v>
                </c:pt>
                <c:pt idx="1040">
                  <c:v>103361.46920400187</c:v>
                </c:pt>
                <c:pt idx="1041">
                  <c:v>103390.81988105421</c:v>
                </c:pt>
                <c:pt idx="1042">
                  <c:v>103420.48279935178</c:v>
                </c:pt>
                <c:pt idx="1043">
                  <c:v>103767.695064056</c:v>
                </c:pt>
                <c:pt idx="1044">
                  <c:v>104114.90732876022</c:v>
                </c:pt>
                <c:pt idx="1045">
                  <c:v>104190.46971010772</c:v>
                </c:pt>
                <c:pt idx="1046">
                  <c:v>104266.03209145523</c:v>
                </c:pt>
                <c:pt idx="1047">
                  <c:v>104341.03243856131</c:v>
                </c:pt>
                <c:pt idx="1048">
                  <c:v>104416.5948199088</c:v>
                </c:pt>
                <c:pt idx="1049">
                  <c:v>104463.74324793968</c:v>
                </c:pt>
                <c:pt idx="1050">
                  <c:v>104510.89167597056</c:v>
                </c:pt>
                <c:pt idx="1051">
                  <c:v>104558.04010400144</c:v>
                </c:pt>
                <c:pt idx="1052">
                  <c:v>104605.18853203232</c:v>
                </c:pt>
                <c:pt idx="1053">
                  <c:v>104652.27451181415</c:v>
                </c:pt>
                <c:pt idx="1054">
                  <c:v>104699.42293984503</c:v>
                </c:pt>
                <c:pt idx="1055">
                  <c:v>104746.32157487972</c:v>
                </c:pt>
                <c:pt idx="1056">
                  <c:v>104794.71896789155</c:v>
                </c:pt>
                <c:pt idx="1057">
                  <c:v>104842.05474066957</c:v>
                </c:pt>
                <c:pt idx="1058">
                  <c:v>104889.64030644378</c:v>
                </c:pt>
                <c:pt idx="1059">
                  <c:v>104937.225872218</c:v>
                </c:pt>
                <c:pt idx="1060">
                  <c:v>104970.63568545843</c:v>
                </c:pt>
                <c:pt idx="1061">
                  <c:v>105004.04549869885</c:v>
                </c:pt>
                <c:pt idx="1062">
                  <c:v>105037.45531193928</c:v>
                </c:pt>
                <c:pt idx="1063">
                  <c:v>105070.8651251797</c:v>
                </c:pt>
                <c:pt idx="1064">
                  <c:v>105104.27493842012</c:v>
                </c:pt>
                <c:pt idx="1065">
                  <c:v>105172.9680123724</c:v>
                </c:pt>
                <c:pt idx="1066">
                  <c:v>105238.53867387229</c:v>
                </c:pt>
                <c:pt idx="1067">
                  <c:v>105304.73381786267</c:v>
                </c:pt>
                <c:pt idx="1068">
                  <c:v>105349.07207468641</c:v>
                </c:pt>
                <c:pt idx="1069">
                  <c:v>105393.16053851396</c:v>
                </c:pt>
                <c:pt idx="1070">
                  <c:v>105436.24983035676</c:v>
                </c:pt>
                <c:pt idx="1071">
                  <c:v>105479.33912219954</c:v>
                </c:pt>
                <c:pt idx="1072">
                  <c:v>105526.79979147566</c:v>
                </c:pt>
                <c:pt idx="1073">
                  <c:v>105574.26046075177</c:v>
                </c:pt>
                <c:pt idx="1074">
                  <c:v>105622.03337127312</c:v>
                </c:pt>
                <c:pt idx="1075">
                  <c:v>105670.11852303972</c:v>
                </c:pt>
                <c:pt idx="1076">
                  <c:v>105718.39101955344</c:v>
                </c:pt>
                <c:pt idx="1077">
                  <c:v>105766.60106781815</c:v>
                </c:pt>
                <c:pt idx="1078">
                  <c:v>105865.26930131322</c:v>
                </c:pt>
                <c:pt idx="1079">
                  <c:v>105867.01785228655</c:v>
                </c:pt>
                <c:pt idx="1080">
                  <c:v>105960.87757060496</c:v>
                </c:pt>
                <c:pt idx="1081">
                  <c:v>105962.31388033305</c:v>
                </c:pt>
                <c:pt idx="1082">
                  <c:v>106015.39489202345</c:v>
                </c:pt>
                <c:pt idx="1083">
                  <c:v>106068.47590371384</c:v>
                </c:pt>
                <c:pt idx="1084">
                  <c:v>106121.55691540423</c:v>
                </c:pt>
                <c:pt idx="1085">
                  <c:v>106174.63792709463</c:v>
                </c:pt>
                <c:pt idx="1086">
                  <c:v>106315.14648745155</c:v>
                </c:pt>
                <c:pt idx="1087">
                  <c:v>106459.71418399656</c:v>
                </c:pt>
                <c:pt idx="1088">
                  <c:v>106514.66864315838</c:v>
                </c:pt>
                <c:pt idx="1089">
                  <c:v>106570.24758481068</c:v>
                </c:pt>
                <c:pt idx="1090">
                  <c:v>106619.58170155821</c:v>
                </c:pt>
                <c:pt idx="1091">
                  <c:v>106669.54030079624</c:v>
                </c:pt>
                <c:pt idx="1092">
                  <c:v>106719.49890003426</c:v>
                </c:pt>
                <c:pt idx="1093">
                  <c:v>106769.45749927228</c:v>
                </c:pt>
                <c:pt idx="1094">
                  <c:v>106819.41609851029</c:v>
                </c:pt>
                <c:pt idx="1095">
                  <c:v>106869.37469774831</c:v>
                </c:pt>
                <c:pt idx="1096">
                  <c:v>106919.9577794768</c:v>
                </c:pt>
                <c:pt idx="1097">
                  <c:v>106969.91637871481</c:v>
                </c:pt>
                <c:pt idx="1098">
                  <c:v>107019.87497795283</c:v>
                </c:pt>
                <c:pt idx="1099">
                  <c:v>107069.83357719085</c:v>
                </c:pt>
                <c:pt idx="1100">
                  <c:v>107119.10524568934</c:v>
                </c:pt>
                <c:pt idx="1101">
                  <c:v>107172.81073987021</c:v>
                </c:pt>
                <c:pt idx="1102">
                  <c:v>107281.4706932129</c:v>
                </c:pt>
                <c:pt idx="1103">
                  <c:v>107552.49609407915</c:v>
                </c:pt>
                <c:pt idx="1104">
                  <c:v>107606.20158826001</c:v>
                </c:pt>
                <c:pt idx="1105">
                  <c:v>107659.90708244088</c:v>
                </c:pt>
                <c:pt idx="1106">
                  <c:v>107712.42605988985</c:v>
                </c:pt>
                <c:pt idx="1107">
                  <c:v>107764.19565835025</c:v>
                </c:pt>
                <c:pt idx="1108">
                  <c:v>107871.29440546675</c:v>
                </c:pt>
                <c:pt idx="1109">
                  <c:v>107978.39315258324</c:v>
                </c:pt>
                <c:pt idx="1110">
                  <c:v>108085.49189969974</c:v>
                </c:pt>
                <c:pt idx="1111">
                  <c:v>108148.31483824155</c:v>
                </c:pt>
                <c:pt idx="1112">
                  <c:v>108211.76225927385</c:v>
                </c:pt>
                <c:pt idx="1113">
                  <c:v>108228.99797601096</c:v>
                </c:pt>
                <c:pt idx="1114">
                  <c:v>108293.94415502038</c:v>
                </c:pt>
                <c:pt idx="1115">
                  <c:v>108387.61652859166</c:v>
                </c:pt>
                <c:pt idx="1116">
                  <c:v>108481.28890216295</c:v>
                </c:pt>
                <c:pt idx="1117">
                  <c:v>108574.96127573423</c:v>
                </c:pt>
                <c:pt idx="1118">
                  <c:v>108668.63364930551</c:v>
                </c:pt>
                <c:pt idx="1119">
                  <c:v>108762.3060228768</c:v>
                </c:pt>
                <c:pt idx="1120">
                  <c:v>108855.97839644807</c:v>
                </c:pt>
                <c:pt idx="1121">
                  <c:v>108949.65077001936</c:v>
                </c:pt>
                <c:pt idx="1122">
                  <c:v>109002.73178170975</c:v>
                </c:pt>
                <c:pt idx="1123">
                  <c:v>109055.81279340015</c:v>
                </c:pt>
                <c:pt idx="1124">
                  <c:v>109108.89380509054</c:v>
                </c:pt>
                <c:pt idx="1125">
                  <c:v>109161.97481678093</c:v>
                </c:pt>
                <c:pt idx="1126">
                  <c:v>109642.20185195639</c:v>
                </c:pt>
                <c:pt idx="1127">
                  <c:v>110122.42888713183</c:v>
                </c:pt>
                <c:pt idx="1128">
                  <c:v>110143.66129180798</c:v>
                </c:pt>
                <c:pt idx="1129">
                  <c:v>110163.02024901271</c:v>
                </c:pt>
                <c:pt idx="1130">
                  <c:v>110212.22946926215</c:v>
                </c:pt>
                <c:pt idx="1131">
                  <c:v>110219.09877665738</c:v>
                </c:pt>
                <c:pt idx="1132">
                  <c:v>110225.96808405261</c:v>
                </c:pt>
                <c:pt idx="1133">
                  <c:v>110299.65701792868</c:v>
                </c:pt>
                <c:pt idx="1134">
                  <c:v>110373.34595180476</c:v>
                </c:pt>
                <c:pt idx="1135">
                  <c:v>110447.03488568083</c:v>
                </c:pt>
                <c:pt idx="1136">
                  <c:v>110493.99596896458</c:v>
                </c:pt>
                <c:pt idx="1137">
                  <c:v>110540.95705224833</c:v>
                </c:pt>
                <c:pt idx="1138">
                  <c:v>110587.91813553206</c:v>
                </c:pt>
                <c:pt idx="1139">
                  <c:v>110634.87921881581</c:v>
                </c:pt>
                <c:pt idx="1140">
                  <c:v>110825.34637841074</c:v>
                </c:pt>
                <c:pt idx="1141">
                  <c:v>111073.26592712941</c:v>
                </c:pt>
                <c:pt idx="1142">
                  <c:v>111083.25764697701</c:v>
                </c:pt>
                <c:pt idx="1143">
                  <c:v>111096.37177927699</c:v>
                </c:pt>
                <c:pt idx="1144">
                  <c:v>111146.33037851501</c:v>
                </c:pt>
                <c:pt idx="1145">
                  <c:v>111180.67691549115</c:v>
                </c:pt>
                <c:pt idx="1146">
                  <c:v>111216.27241744824</c:v>
                </c:pt>
                <c:pt idx="1147">
                  <c:v>111229.38654974822</c:v>
                </c:pt>
                <c:pt idx="1148">
                  <c:v>111242.81292329343</c:v>
                </c:pt>
                <c:pt idx="1149">
                  <c:v>111256.23929683866</c:v>
                </c:pt>
                <c:pt idx="1150">
                  <c:v>111306.19789607667</c:v>
                </c:pt>
                <c:pt idx="1151">
                  <c:v>111318.68754588618</c:v>
                </c:pt>
                <c:pt idx="1152">
                  <c:v>111331.17719569568</c:v>
                </c:pt>
                <c:pt idx="1153">
                  <c:v>111343.66684550518</c:v>
                </c:pt>
                <c:pt idx="1154">
                  <c:v>111353.65856535279</c:v>
                </c:pt>
                <c:pt idx="1155">
                  <c:v>111363.65028520039</c:v>
                </c:pt>
                <c:pt idx="1156">
                  <c:v>111373.64200504799</c:v>
                </c:pt>
                <c:pt idx="1157">
                  <c:v>111383.6337248956</c:v>
                </c:pt>
                <c:pt idx="1158">
                  <c:v>111419.66636459602</c:v>
                </c:pt>
                <c:pt idx="1159">
                  <c:v>111467.75151636261</c:v>
                </c:pt>
                <c:pt idx="1160">
                  <c:v>111515.83666812921</c:v>
                </c:pt>
                <c:pt idx="1161">
                  <c:v>111563.9218198958</c:v>
                </c:pt>
                <c:pt idx="1162">
                  <c:v>111612.00697166238</c:v>
                </c:pt>
                <c:pt idx="1163">
                  <c:v>111660.09212342899</c:v>
                </c:pt>
                <c:pt idx="1164">
                  <c:v>111708.17727519557</c:v>
                </c:pt>
                <c:pt idx="1165">
                  <c:v>111756.26242696216</c:v>
                </c:pt>
                <c:pt idx="1166">
                  <c:v>111804.34757872876</c:v>
                </c:pt>
                <c:pt idx="1167">
                  <c:v>111822.52001920159</c:v>
                </c:pt>
                <c:pt idx="1168">
                  <c:v>111853.74414372534</c:v>
                </c:pt>
                <c:pt idx="1169">
                  <c:v>112651.83276655267</c:v>
                </c:pt>
                <c:pt idx="1170">
                  <c:v>112664.88445060361</c:v>
                </c:pt>
                <c:pt idx="1171">
                  <c:v>112760.43027164631</c:v>
                </c:pt>
                <c:pt idx="1172">
                  <c:v>112808.5154234129</c:v>
                </c:pt>
                <c:pt idx="1173">
                  <c:v>112856.6005751795</c:v>
                </c:pt>
                <c:pt idx="1174">
                  <c:v>112904.68572694609</c:v>
                </c:pt>
                <c:pt idx="1175">
                  <c:v>112952.77087871268</c:v>
                </c:pt>
                <c:pt idx="1176">
                  <c:v>113000.85603047928</c:v>
                </c:pt>
                <c:pt idx="1177">
                  <c:v>113048.94118224586</c:v>
                </c:pt>
                <c:pt idx="1178">
                  <c:v>113055.68559314299</c:v>
                </c:pt>
                <c:pt idx="1179">
                  <c:v>113071.73479314821</c:v>
                </c:pt>
                <c:pt idx="1180">
                  <c:v>113079.91551377343</c:v>
                </c:pt>
                <c:pt idx="1181">
                  <c:v>113081.35182350152</c:v>
                </c:pt>
                <c:pt idx="1182">
                  <c:v>113092.65495657914</c:v>
                </c:pt>
                <c:pt idx="1183">
                  <c:v>113099.39936747626</c:v>
                </c:pt>
                <c:pt idx="1184">
                  <c:v>113110.64005230481</c:v>
                </c:pt>
                <c:pt idx="1185">
                  <c:v>113126.87659705717</c:v>
                </c:pt>
                <c:pt idx="1186">
                  <c:v>113135.55690367476</c:v>
                </c:pt>
                <c:pt idx="1187">
                  <c:v>113163.65861574616</c:v>
                </c:pt>
                <c:pt idx="1188">
                  <c:v>113191.38563832325</c:v>
                </c:pt>
                <c:pt idx="1189">
                  <c:v>113219.73714339083</c:v>
                </c:pt>
                <c:pt idx="1190">
                  <c:v>113247.40171771887</c:v>
                </c:pt>
                <c:pt idx="1191">
                  <c:v>113275.50342979025</c:v>
                </c:pt>
                <c:pt idx="1192">
                  <c:v>113303.48024536353</c:v>
                </c:pt>
                <c:pt idx="1193">
                  <c:v>113331.39461268779</c:v>
                </c:pt>
                <c:pt idx="1194">
                  <c:v>113340.69940179586</c:v>
                </c:pt>
                <c:pt idx="1195">
                  <c:v>113355.68698156727</c:v>
                </c:pt>
                <c:pt idx="1196">
                  <c:v>113363.80525394344</c:v>
                </c:pt>
                <c:pt idx="1197">
                  <c:v>113371.92352631962</c:v>
                </c:pt>
                <c:pt idx="1198">
                  <c:v>113380.04179869579</c:v>
                </c:pt>
                <c:pt idx="1199">
                  <c:v>113389.34658780387</c:v>
                </c:pt>
                <c:pt idx="1200">
                  <c:v>113403.39744383957</c:v>
                </c:pt>
                <c:pt idx="1201">
                  <c:v>113417.07361038098</c:v>
                </c:pt>
                <c:pt idx="1202">
                  <c:v>113419.50909209382</c:v>
                </c:pt>
                <c:pt idx="1203">
                  <c:v>113450.1087341271</c:v>
                </c:pt>
                <c:pt idx="1204">
                  <c:v>113480.70837616039</c:v>
                </c:pt>
                <c:pt idx="1205">
                  <c:v>113511.30801819368</c:v>
                </c:pt>
                <c:pt idx="1206">
                  <c:v>113541.90766022696</c:v>
                </c:pt>
                <c:pt idx="1207">
                  <c:v>113572.50730226024</c:v>
                </c:pt>
                <c:pt idx="1208">
                  <c:v>113602.48246180305</c:v>
                </c:pt>
                <c:pt idx="1209">
                  <c:v>113633.08210383635</c:v>
                </c:pt>
                <c:pt idx="1210">
                  <c:v>113663.68174586963</c:v>
                </c:pt>
                <c:pt idx="1211">
                  <c:v>113674.79753420009</c:v>
                </c:pt>
                <c:pt idx="1212">
                  <c:v>113682.91580657626</c:v>
                </c:pt>
                <c:pt idx="1213">
                  <c:v>113691.03407895243</c:v>
                </c:pt>
                <c:pt idx="1214">
                  <c:v>113699.15235132862</c:v>
                </c:pt>
                <c:pt idx="1215">
                  <c:v>113709.7685536667</c:v>
                </c:pt>
                <c:pt idx="1216">
                  <c:v>113712.3913801267</c:v>
                </c:pt>
                <c:pt idx="1217">
                  <c:v>113715.0142065867</c:v>
                </c:pt>
                <c:pt idx="1218">
                  <c:v>113722.5079964724</c:v>
                </c:pt>
                <c:pt idx="1219">
                  <c:v>113726.12999491715</c:v>
                </c:pt>
                <c:pt idx="1220">
                  <c:v>113736.74619725523</c:v>
                </c:pt>
                <c:pt idx="1221">
                  <c:v>113747.36239959332</c:v>
                </c:pt>
                <c:pt idx="1222">
                  <c:v>113757.97860193139</c:v>
                </c:pt>
                <c:pt idx="1223">
                  <c:v>113788.64069221372</c:v>
                </c:pt>
                <c:pt idx="1224">
                  <c:v>113820.36440272986</c:v>
                </c:pt>
                <c:pt idx="1225">
                  <c:v>113850.27711402361</c:v>
                </c:pt>
                <c:pt idx="1226">
                  <c:v>113864.57776305549</c:v>
                </c:pt>
                <c:pt idx="1227">
                  <c:v>113882.0632727888</c:v>
                </c:pt>
                <c:pt idx="1228">
                  <c:v>113894.5529225983</c:v>
                </c:pt>
                <c:pt idx="1229">
                  <c:v>113896.92595606211</c:v>
                </c:pt>
                <c:pt idx="1230">
                  <c:v>113906.98012415876</c:v>
                </c:pt>
                <c:pt idx="1231">
                  <c:v>113914.34901754637</c:v>
                </c:pt>
                <c:pt idx="1232">
                  <c:v>113921.84280743207</c:v>
                </c:pt>
                <c:pt idx="1233">
                  <c:v>113929.33659731777</c:v>
                </c:pt>
                <c:pt idx="1234">
                  <c:v>113936.83038720347</c:v>
                </c:pt>
                <c:pt idx="1235">
                  <c:v>113944.32417708918</c:v>
                </c:pt>
                <c:pt idx="1236">
                  <c:v>113952.25510471822</c:v>
                </c:pt>
                <c:pt idx="1237">
                  <c:v>113959.93623935105</c:v>
                </c:pt>
                <c:pt idx="1238">
                  <c:v>113968.05451172723</c:v>
                </c:pt>
                <c:pt idx="1239">
                  <c:v>113976.79726659389</c:v>
                </c:pt>
                <c:pt idx="1240">
                  <c:v>114010.51932107954</c:v>
                </c:pt>
                <c:pt idx="1241">
                  <c:v>114044.24137556521</c:v>
                </c:pt>
                <c:pt idx="1242">
                  <c:v>114054.85757790328</c:v>
                </c:pt>
                <c:pt idx="1243">
                  <c:v>114065.47378024136</c:v>
                </c:pt>
                <c:pt idx="1244">
                  <c:v>114076.08998257945</c:v>
                </c:pt>
                <c:pt idx="1245">
                  <c:v>114088.26739114372</c:v>
                </c:pt>
                <c:pt idx="1246">
                  <c:v>114100.94438570035</c:v>
                </c:pt>
                <c:pt idx="1247">
                  <c:v>114107.81369309558</c:v>
                </c:pt>
                <c:pt idx="1248">
                  <c:v>114111.56058803842</c:v>
                </c:pt>
                <c:pt idx="1249">
                  <c:v>114127.85958103984</c:v>
                </c:pt>
                <c:pt idx="1250">
                  <c:v>114154.08784563979</c:v>
                </c:pt>
                <c:pt idx="1251">
                  <c:v>114161.58163552549</c:v>
                </c:pt>
                <c:pt idx="1252">
                  <c:v>114169.0754254112</c:v>
                </c:pt>
                <c:pt idx="1253">
                  <c:v>114176.5692152969</c:v>
                </c:pt>
                <c:pt idx="1254">
                  <c:v>114183.43852269213</c:v>
                </c:pt>
                <c:pt idx="1255">
                  <c:v>114195.55348300734</c:v>
                </c:pt>
                <c:pt idx="1256">
                  <c:v>114228.02657251206</c:v>
                </c:pt>
                <c:pt idx="1257">
                  <c:v>114259.87517952629</c:v>
                </c:pt>
                <c:pt idx="1258">
                  <c:v>114292.348269031</c:v>
                </c:pt>
                <c:pt idx="1259">
                  <c:v>114301.90285113527</c:v>
                </c:pt>
                <c:pt idx="1260">
                  <c:v>114311.14519199429</c:v>
                </c:pt>
                <c:pt idx="1261">
                  <c:v>114320.38753285332</c:v>
                </c:pt>
                <c:pt idx="1262">
                  <c:v>114329.62987371234</c:v>
                </c:pt>
                <c:pt idx="1263">
                  <c:v>114333.3767686552</c:v>
                </c:pt>
                <c:pt idx="1264">
                  <c:v>114421.11655856697</c:v>
                </c:pt>
                <c:pt idx="1265">
                  <c:v>114465.76705663594</c:v>
                </c:pt>
                <c:pt idx="1266">
                  <c:v>114479.6305679245</c:v>
                </c:pt>
                <c:pt idx="1267">
                  <c:v>114486.49987531973</c:v>
                </c:pt>
                <c:pt idx="1268">
                  <c:v>114517.09951735301</c:v>
                </c:pt>
                <c:pt idx="1269">
                  <c:v>114547.69915938631</c:v>
                </c:pt>
                <c:pt idx="1270">
                  <c:v>114555.81743176248</c:v>
                </c:pt>
                <c:pt idx="1271">
                  <c:v>114566.43363410055</c:v>
                </c:pt>
                <c:pt idx="1272">
                  <c:v>114579.29797340435</c:v>
                </c:pt>
                <c:pt idx="1273">
                  <c:v>114587.41624578052</c:v>
                </c:pt>
                <c:pt idx="1274">
                  <c:v>114595.53451815671</c:v>
                </c:pt>
                <c:pt idx="1275">
                  <c:v>114603.65279053288</c:v>
                </c:pt>
                <c:pt idx="1276">
                  <c:v>114611.77106290906</c:v>
                </c:pt>
                <c:pt idx="1277">
                  <c:v>114619.7019905381</c:v>
                </c:pt>
                <c:pt idx="1278">
                  <c:v>114642.18336019521</c:v>
                </c:pt>
                <c:pt idx="1279">
                  <c:v>114658.6072496947</c:v>
                </c:pt>
                <c:pt idx="1280">
                  <c:v>114667.91203880278</c:v>
                </c:pt>
                <c:pt idx="1281">
                  <c:v>114677.52906915609</c:v>
                </c:pt>
                <c:pt idx="1282">
                  <c:v>114690.64320145607</c:v>
                </c:pt>
                <c:pt idx="1283">
                  <c:v>114703.25774776368</c:v>
                </c:pt>
                <c:pt idx="1284">
                  <c:v>114712.62498512081</c:v>
                </c:pt>
                <c:pt idx="1285">
                  <c:v>114721.5550847346</c:v>
                </c:pt>
                <c:pt idx="1286">
                  <c:v>114754.34041548455</c:v>
                </c:pt>
                <c:pt idx="1287">
                  <c:v>114784.50291977449</c:v>
                </c:pt>
                <c:pt idx="1288">
                  <c:v>114815.47725130206</c:v>
                </c:pt>
                <c:pt idx="1289">
                  <c:v>114847.38830656535</c:v>
                </c:pt>
                <c:pt idx="1290">
                  <c:v>114858.06695715248</c:v>
                </c:pt>
                <c:pt idx="1291">
                  <c:v>114866.18522952867</c:v>
                </c:pt>
                <c:pt idx="1292">
                  <c:v>114874.30350190484</c:v>
                </c:pt>
                <c:pt idx="1293">
                  <c:v>114884.91970424292</c:v>
                </c:pt>
                <c:pt idx="1294">
                  <c:v>114895.53590658099</c:v>
                </c:pt>
                <c:pt idx="1295">
                  <c:v>114911.14796884288</c:v>
                </c:pt>
                <c:pt idx="1296">
                  <c:v>114932.69261476427</c:v>
                </c:pt>
                <c:pt idx="1297">
                  <c:v>114954.23726068567</c:v>
                </c:pt>
                <c:pt idx="1298">
                  <c:v>114999.19999999988</c:v>
                </c:pt>
              </c:numCache>
            </c:numRef>
          </c:xVal>
          <c:yVal>
            <c:numRef>
              <c:f>'Resource Estimates'!$AG$2:$AG$1300</c:f>
              <c:numCache>
                <c:formatCode>#,##0.00;[Red]\(#,##0.00\);\-</c:formatCode>
                <c:ptCount val="12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6.4757999999999996</c:v>
                </c:pt>
                <c:pt idx="565">
                  <c:v>6.4968000000000004</c:v>
                </c:pt>
                <c:pt idx="566">
                  <c:v>6.5156000000000001</c:v>
                </c:pt>
                <c:pt idx="567">
                  <c:v>6.5179999999999998</c:v>
                </c:pt>
                <c:pt idx="568">
                  <c:v>6.5179999999999998</c:v>
                </c:pt>
                <c:pt idx="569">
                  <c:v>6.6243999999999996</c:v>
                </c:pt>
                <c:pt idx="570">
                  <c:v>6.6409000000000002</c:v>
                </c:pt>
                <c:pt idx="571">
                  <c:v>6.6409000000000002</c:v>
                </c:pt>
                <c:pt idx="572">
                  <c:v>6.6409000000000002</c:v>
                </c:pt>
                <c:pt idx="573">
                  <c:v>6.718</c:v>
                </c:pt>
                <c:pt idx="574">
                  <c:v>6.7798999999999996</c:v>
                </c:pt>
                <c:pt idx="575">
                  <c:v>6.7798999999999996</c:v>
                </c:pt>
                <c:pt idx="576">
                  <c:v>6.7798999999999996</c:v>
                </c:pt>
                <c:pt idx="577">
                  <c:v>6.8724999999999996</c:v>
                </c:pt>
                <c:pt idx="578">
                  <c:v>6.9118000000000004</c:v>
                </c:pt>
                <c:pt idx="579">
                  <c:v>7.0082000000000004</c:v>
                </c:pt>
                <c:pt idx="580">
                  <c:v>7.0082000000000004</c:v>
                </c:pt>
                <c:pt idx="581">
                  <c:v>7.0082000000000004</c:v>
                </c:pt>
                <c:pt idx="582">
                  <c:v>7.0082000000000004</c:v>
                </c:pt>
                <c:pt idx="583">
                  <c:v>7.0243000000000002</c:v>
                </c:pt>
                <c:pt idx="584">
                  <c:v>7.0270000000000001</c:v>
                </c:pt>
                <c:pt idx="585">
                  <c:v>7.0621999999999998</c:v>
                </c:pt>
                <c:pt idx="586">
                  <c:v>7.0667</c:v>
                </c:pt>
                <c:pt idx="587">
                  <c:v>7.0667</c:v>
                </c:pt>
                <c:pt idx="588">
                  <c:v>7.0667</c:v>
                </c:pt>
                <c:pt idx="589">
                  <c:v>7.0667</c:v>
                </c:pt>
                <c:pt idx="590">
                  <c:v>7.0907999999999998</c:v>
                </c:pt>
                <c:pt idx="591">
                  <c:v>7.1371000000000002</c:v>
                </c:pt>
                <c:pt idx="592">
                  <c:v>7.1627000000000001</c:v>
                </c:pt>
                <c:pt idx="593">
                  <c:v>7.1627000000000001</c:v>
                </c:pt>
                <c:pt idx="594">
                  <c:v>7.1627000000000001</c:v>
                </c:pt>
                <c:pt idx="595">
                  <c:v>7.1627000000000001</c:v>
                </c:pt>
                <c:pt idx="596">
                  <c:v>7.1627000000000001</c:v>
                </c:pt>
                <c:pt idx="597">
                  <c:v>7.1627000000000001</c:v>
                </c:pt>
                <c:pt idx="598">
                  <c:v>7.1897000000000002</c:v>
                </c:pt>
                <c:pt idx="599">
                  <c:v>7.1897000000000002</c:v>
                </c:pt>
                <c:pt idx="600">
                  <c:v>7.1897000000000002</c:v>
                </c:pt>
                <c:pt idx="601">
                  <c:v>7.2</c:v>
                </c:pt>
                <c:pt idx="602">
                  <c:v>7.2</c:v>
                </c:pt>
                <c:pt idx="603">
                  <c:v>7.2</c:v>
                </c:pt>
                <c:pt idx="604">
                  <c:v>7.2</c:v>
                </c:pt>
                <c:pt idx="605">
                  <c:v>7.2</c:v>
                </c:pt>
                <c:pt idx="606">
                  <c:v>7.2</c:v>
                </c:pt>
                <c:pt idx="607">
                  <c:v>7.2</c:v>
                </c:pt>
                <c:pt idx="608">
                  <c:v>7.2</c:v>
                </c:pt>
                <c:pt idx="609">
                  <c:v>7.2</c:v>
                </c:pt>
                <c:pt idx="610">
                  <c:v>7.2</c:v>
                </c:pt>
                <c:pt idx="611">
                  <c:v>7.2</c:v>
                </c:pt>
                <c:pt idx="612">
                  <c:v>7.2</c:v>
                </c:pt>
                <c:pt idx="613">
                  <c:v>7.2</c:v>
                </c:pt>
                <c:pt idx="614">
                  <c:v>7.2</c:v>
                </c:pt>
                <c:pt idx="615">
                  <c:v>7.2</c:v>
                </c:pt>
                <c:pt idx="616">
                  <c:v>7.2</c:v>
                </c:pt>
                <c:pt idx="617">
                  <c:v>7.2</c:v>
                </c:pt>
                <c:pt idx="618">
                  <c:v>7.2</c:v>
                </c:pt>
                <c:pt idx="619">
                  <c:v>7.2</c:v>
                </c:pt>
                <c:pt idx="620">
                  <c:v>7.2</c:v>
                </c:pt>
                <c:pt idx="621">
                  <c:v>7.2</c:v>
                </c:pt>
                <c:pt idx="622">
                  <c:v>7.2</c:v>
                </c:pt>
                <c:pt idx="623">
                  <c:v>7.2</c:v>
                </c:pt>
                <c:pt idx="624">
                  <c:v>7.2</c:v>
                </c:pt>
                <c:pt idx="625">
                  <c:v>7.2</c:v>
                </c:pt>
                <c:pt idx="626">
                  <c:v>7.2</c:v>
                </c:pt>
                <c:pt idx="627">
                  <c:v>7.2</c:v>
                </c:pt>
                <c:pt idx="628">
                  <c:v>7.2</c:v>
                </c:pt>
                <c:pt idx="629">
                  <c:v>7.2</c:v>
                </c:pt>
                <c:pt idx="630">
                  <c:v>7.2</c:v>
                </c:pt>
                <c:pt idx="631">
                  <c:v>7.2</c:v>
                </c:pt>
                <c:pt idx="632">
                  <c:v>7.2</c:v>
                </c:pt>
                <c:pt idx="633">
                  <c:v>7.2</c:v>
                </c:pt>
                <c:pt idx="634">
                  <c:v>7.2</c:v>
                </c:pt>
                <c:pt idx="635">
                  <c:v>7.2</c:v>
                </c:pt>
                <c:pt idx="636">
                  <c:v>7.2</c:v>
                </c:pt>
                <c:pt idx="637">
                  <c:v>7.2</c:v>
                </c:pt>
                <c:pt idx="638">
                  <c:v>7.2</c:v>
                </c:pt>
                <c:pt idx="639">
                  <c:v>7.2</c:v>
                </c:pt>
                <c:pt idx="640">
                  <c:v>7.2</c:v>
                </c:pt>
                <c:pt idx="641">
                  <c:v>7.2</c:v>
                </c:pt>
                <c:pt idx="642">
                  <c:v>7.2</c:v>
                </c:pt>
                <c:pt idx="643">
                  <c:v>7.2</c:v>
                </c:pt>
                <c:pt idx="644">
                  <c:v>7.2</c:v>
                </c:pt>
                <c:pt idx="645">
                  <c:v>7.2</c:v>
                </c:pt>
                <c:pt idx="646">
                  <c:v>7.2</c:v>
                </c:pt>
                <c:pt idx="647">
                  <c:v>7.2</c:v>
                </c:pt>
                <c:pt idx="648">
                  <c:v>7.2</c:v>
                </c:pt>
                <c:pt idx="649">
                  <c:v>7.2</c:v>
                </c:pt>
                <c:pt idx="650">
                  <c:v>7.2</c:v>
                </c:pt>
                <c:pt idx="651">
                  <c:v>7.2</c:v>
                </c:pt>
                <c:pt idx="652">
                  <c:v>7.2</c:v>
                </c:pt>
                <c:pt idx="653">
                  <c:v>7.2</c:v>
                </c:pt>
                <c:pt idx="654">
                  <c:v>7.2</c:v>
                </c:pt>
                <c:pt idx="655">
                  <c:v>7.2</c:v>
                </c:pt>
                <c:pt idx="656">
                  <c:v>7.2</c:v>
                </c:pt>
                <c:pt idx="657">
                  <c:v>7.2492999999999999</c:v>
                </c:pt>
                <c:pt idx="658">
                  <c:v>7.2492999999999999</c:v>
                </c:pt>
                <c:pt idx="659">
                  <c:v>7.2492999999999999</c:v>
                </c:pt>
                <c:pt idx="660">
                  <c:v>7.2492999999999999</c:v>
                </c:pt>
                <c:pt idx="661">
                  <c:v>7.2492999999999999</c:v>
                </c:pt>
                <c:pt idx="662">
                  <c:v>7.2492999999999999</c:v>
                </c:pt>
                <c:pt idx="663">
                  <c:v>7.2519999999999998</c:v>
                </c:pt>
                <c:pt idx="664">
                  <c:v>7.2519999999999998</c:v>
                </c:pt>
                <c:pt idx="665">
                  <c:v>7.2519999999999998</c:v>
                </c:pt>
                <c:pt idx="666">
                  <c:v>7.2519999999999998</c:v>
                </c:pt>
                <c:pt idx="667">
                  <c:v>7.2683999999999997</c:v>
                </c:pt>
                <c:pt idx="668">
                  <c:v>7.2683999999999997</c:v>
                </c:pt>
                <c:pt idx="669">
                  <c:v>7.2683999999999997</c:v>
                </c:pt>
                <c:pt idx="670">
                  <c:v>7.3053999999999997</c:v>
                </c:pt>
                <c:pt idx="671">
                  <c:v>7.3055000000000003</c:v>
                </c:pt>
                <c:pt idx="672">
                  <c:v>7.3055000000000003</c:v>
                </c:pt>
                <c:pt idx="673">
                  <c:v>7.3055000000000003</c:v>
                </c:pt>
                <c:pt idx="674">
                  <c:v>7.3055000000000003</c:v>
                </c:pt>
                <c:pt idx="675">
                  <c:v>7.3266</c:v>
                </c:pt>
                <c:pt idx="676">
                  <c:v>7.3266</c:v>
                </c:pt>
                <c:pt idx="677">
                  <c:v>7.3266</c:v>
                </c:pt>
                <c:pt idx="678">
                  <c:v>7.3281000000000001</c:v>
                </c:pt>
                <c:pt idx="679">
                  <c:v>7.4</c:v>
                </c:pt>
                <c:pt idx="680">
                  <c:v>7.4</c:v>
                </c:pt>
                <c:pt idx="681">
                  <c:v>7.4</c:v>
                </c:pt>
                <c:pt idx="682">
                  <c:v>7.4</c:v>
                </c:pt>
                <c:pt idx="683">
                  <c:v>7.4</c:v>
                </c:pt>
                <c:pt idx="684">
                  <c:v>7.4</c:v>
                </c:pt>
                <c:pt idx="685">
                  <c:v>7.4</c:v>
                </c:pt>
                <c:pt idx="686">
                  <c:v>7.4</c:v>
                </c:pt>
                <c:pt idx="687">
                  <c:v>7.4</c:v>
                </c:pt>
                <c:pt idx="688">
                  <c:v>7.4</c:v>
                </c:pt>
                <c:pt idx="689">
                  <c:v>7.4</c:v>
                </c:pt>
                <c:pt idx="690">
                  <c:v>7.4</c:v>
                </c:pt>
                <c:pt idx="691">
                  <c:v>7.4</c:v>
                </c:pt>
                <c:pt idx="692">
                  <c:v>7.4</c:v>
                </c:pt>
                <c:pt idx="693">
                  <c:v>7.4</c:v>
                </c:pt>
                <c:pt idx="694">
                  <c:v>7.4</c:v>
                </c:pt>
                <c:pt idx="695">
                  <c:v>7.5152000000000001</c:v>
                </c:pt>
                <c:pt idx="696">
                  <c:v>7.5152000000000001</c:v>
                </c:pt>
                <c:pt idx="697">
                  <c:v>7.5152000000000001</c:v>
                </c:pt>
                <c:pt idx="698">
                  <c:v>7.5495000000000001</c:v>
                </c:pt>
                <c:pt idx="699">
                  <c:v>7.5495000000000001</c:v>
                </c:pt>
                <c:pt idx="700">
                  <c:v>7.5495000000000001</c:v>
                </c:pt>
                <c:pt idx="701">
                  <c:v>7.5824999999999996</c:v>
                </c:pt>
                <c:pt idx="702">
                  <c:v>7.7477999999999998</c:v>
                </c:pt>
                <c:pt idx="703">
                  <c:v>7.7477999999999998</c:v>
                </c:pt>
                <c:pt idx="704">
                  <c:v>7.7523999999999997</c:v>
                </c:pt>
                <c:pt idx="705">
                  <c:v>7.7523999999999997</c:v>
                </c:pt>
                <c:pt idx="706">
                  <c:v>7.7523999999999997</c:v>
                </c:pt>
                <c:pt idx="707">
                  <c:v>7.7523999999999997</c:v>
                </c:pt>
                <c:pt idx="708">
                  <c:v>7.8573000000000004</c:v>
                </c:pt>
                <c:pt idx="709">
                  <c:v>7.8573000000000004</c:v>
                </c:pt>
                <c:pt idx="710">
                  <c:v>7.9802</c:v>
                </c:pt>
                <c:pt idx="711">
                  <c:v>7.9802</c:v>
                </c:pt>
                <c:pt idx="712">
                  <c:v>8.1803000000000008</c:v>
                </c:pt>
                <c:pt idx="713">
                  <c:v>8.4847000000000001</c:v>
                </c:pt>
                <c:pt idx="714">
                  <c:v>8.4847000000000001</c:v>
                </c:pt>
                <c:pt idx="715">
                  <c:v>8.4847000000000001</c:v>
                </c:pt>
                <c:pt idx="716">
                  <c:v>8.4911999999999992</c:v>
                </c:pt>
                <c:pt idx="717">
                  <c:v>8.4911999999999992</c:v>
                </c:pt>
                <c:pt idx="718">
                  <c:v>8.4911999999999992</c:v>
                </c:pt>
                <c:pt idx="719">
                  <c:v>8.4911999999999992</c:v>
                </c:pt>
                <c:pt idx="720">
                  <c:v>8.4911999999999992</c:v>
                </c:pt>
                <c:pt idx="721">
                  <c:v>8.4911999999999992</c:v>
                </c:pt>
                <c:pt idx="722">
                  <c:v>8.4911999999999992</c:v>
                </c:pt>
                <c:pt idx="723">
                  <c:v>8.4911999999999992</c:v>
                </c:pt>
                <c:pt idx="724">
                  <c:v>8.766</c:v>
                </c:pt>
                <c:pt idx="725">
                  <c:v>9.2544000000000004</c:v>
                </c:pt>
                <c:pt idx="726">
                  <c:v>9.2544000000000004</c:v>
                </c:pt>
                <c:pt idx="727">
                  <c:v>9.2544000000000004</c:v>
                </c:pt>
                <c:pt idx="728">
                  <c:v>9.2544000000000004</c:v>
                </c:pt>
                <c:pt idx="729">
                  <c:v>9.5</c:v>
                </c:pt>
                <c:pt idx="730">
                  <c:v>9.5</c:v>
                </c:pt>
                <c:pt idx="731">
                  <c:v>9.5</c:v>
                </c:pt>
                <c:pt idx="732">
                  <c:v>9.5</c:v>
                </c:pt>
                <c:pt idx="733">
                  <c:v>9.5</c:v>
                </c:pt>
                <c:pt idx="734">
                  <c:v>9.5</c:v>
                </c:pt>
                <c:pt idx="735">
                  <c:v>9.5</c:v>
                </c:pt>
                <c:pt idx="736">
                  <c:v>9.5</c:v>
                </c:pt>
                <c:pt idx="737">
                  <c:v>9.5</c:v>
                </c:pt>
                <c:pt idx="738">
                  <c:v>9.5</c:v>
                </c:pt>
                <c:pt idx="739">
                  <c:v>9.5</c:v>
                </c:pt>
                <c:pt idx="740">
                  <c:v>9.5</c:v>
                </c:pt>
                <c:pt idx="741">
                  <c:v>9.5</c:v>
                </c:pt>
                <c:pt idx="742">
                  <c:v>9.5</c:v>
                </c:pt>
                <c:pt idx="743">
                  <c:v>9.5</c:v>
                </c:pt>
                <c:pt idx="744">
                  <c:v>9.5</c:v>
                </c:pt>
                <c:pt idx="745">
                  <c:v>9.5</c:v>
                </c:pt>
                <c:pt idx="746">
                  <c:v>9.5</c:v>
                </c:pt>
                <c:pt idx="747">
                  <c:v>9.5</c:v>
                </c:pt>
                <c:pt idx="748">
                  <c:v>9.5</c:v>
                </c:pt>
                <c:pt idx="749">
                  <c:v>9.5</c:v>
                </c:pt>
                <c:pt idx="750">
                  <c:v>9.5</c:v>
                </c:pt>
                <c:pt idx="751">
                  <c:v>9.5</c:v>
                </c:pt>
                <c:pt idx="752">
                  <c:v>9.5</c:v>
                </c:pt>
                <c:pt idx="753">
                  <c:v>9.5</c:v>
                </c:pt>
                <c:pt idx="754">
                  <c:v>9.5</c:v>
                </c:pt>
                <c:pt idx="755">
                  <c:v>9.7294999999999998</c:v>
                </c:pt>
                <c:pt idx="756">
                  <c:v>9.7895000000000003</c:v>
                </c:pt>
                <c:pt idx="757">
                  <c:v>9.7895000000000003</c:v>
                </c:pt>
                <c:pt idx="758">
                  <c:v>9.7895000000000003</c:v>
                </c:pt>
                <c:pt idx="759">
                  <c:v>9.7895000000000003</c:v>
                </c:pt>
                <c:pt idx="760">
                  <c:v>9.7895000000000003</c:v>
                </c:pt>
                <c:pt idx="761">
                  <c:v>9.7895000000000003</c:v>
                </c:pt>
                <c:pt idx="762">
                  <c:v>9.8667999999999996</c:v>
                </c:pt>
                <c:pt idx="763">
                  <c:v>9.8780999999999999</c:v>
                </c:pt>
                <c:pt idx="764">
                  <c:v>9.8780999999999999</c:v>
                </c:pt>
                <c:pt idx="765">
                  <c:v>9.8986999999999998</c:v>
                </c:pt>
                <c:pt idx="766">
                  <c:v>9.8986999999999998</c:v>
                </c:pt>
                <c:pt idx="767">
                  <c:v>9.8986999999999998</c:v>
                </c:pt>
                <c:pt idx="768">
                  <c:v>9.8986999999999998</c:v>
                </c:pt>
                <c:pt idx="769">
                  <c:v>9.9525000000000006</c:v>
                </c:pt>
                <c:pt idx="770">
                  <c:v>9.9525000000000006</c:v>
                </c:pt>
                <c:pt idx="771">
                  <c:v>9.9525000000000006</c:v>
                </c:pt>
                <c:pt idx="772">
                  <c:v>9.9525000000000006</c:v>
                </c:pt>
                <c:pt idx="773">
                  <c:v>9.9558999999999997</c:v>
                </c:pt>
                <c:pt idx="774">
                  <c:v>9.9558999999999997</c:v>
                </c:pt>
                <c:pt idx="775">
                  <c:v>9.9558999999999997</c:v>
                </c:pt>
                <c:pt idx="776">
                  <c:v>9.9558999999999997</c:v>
                </c:pt>
                <c:pt idx="777">
                  <c:v>9.9558999999999997</c:v>
                </c:pt>
                <c:pt idx="778">
                  <c:v>9.9558999999999997</c:v>
                </c:pt>
                <c:pt idx="779">
                  <c:v>9.9620999999999995</c:v>
                </c:pt>
                <c:pt idx="780">
                  <c:v>9.9620999999999995</c:v>
                </c:pt>
                <c:pt idx="781">
                  <c:v>9.9708000000000006</c:v>
                </c:pt>
                <c:pt idx="782">
                  <c:v>9.9708000000000006</c:v>
                </c:pt>
                <c:pt idx="783">
                  <c:v>9.9708000000000006</c:v>
                </c:pt>
                <c:pt idx="784">
                  <c:v>9.9708000000000006</c:v>
                </c:pt>
                <c:pt idx="785">
                  <c:v>9.9859000000000009</c:v>
                </c:pt>
                <c:pt idx="786">
                  <c:v>9.9859000000000009</c:v>
                </c:pt>
                <c:pt idx="787">
                  <c:v>9.9859000000000009</c:v>
                </c:pt>
                <c:pt idx="788">
                  <c:v>9.9859000000000009</c:v>
                </c:pt>
                <c:pt idx="789">
                  <c:v>10.070499999999999</c:v>
                </c:pt>
                <c:pt idx="790">
                  <c:v>10.070499999999999</c:v>
                </c:pt>
                <c:pt idx="791">
                  <c:v>10.070499999999999</c:v>
                </c:pt>
                <c:pt idx="792">
                  <c:v>10.162699999999999</c:v>
                </c:pt>
                <c:pt idx="793">
                  <c:v>10.162699999999999</c:v>
                </c:pt>
                <c:pt idx="794">
                  <c:v>10.2155</c:v>
                </c:pt>
                <c:pt idx="795">
                  <c:v>10.2155</c:v>
                </c:pt>
                <c:pt idx="796">
                  <c:v>10.230499999999999</c:v>
                </c:pt>
                <c:pt idx="797">
                  <c:v>10.25</c:v>
                </c:pt>
                <c:pt idx="798">
                  <c:v>10.25</c:v>
                </c:pt>
                <c:pt idx="799">
                  <c:v>10.255100000000001</c:v>
                </c:pt>
                <c:pt idx="800">
                  <c:v>10.2729</c:v>
                </c:pt>
                <c:pt idx="801">
                  <c:v>10.3</c:v>
                </c:pt>
                <c:pt idx="802">
                  <c:v>10.3</c:v>
                </c:pt>
                <c:pt idx="803">
                  <c:v>10.3</c:v>
                </c:pt>
                <c:pt idx="804">
                  <c:v>10.3</c:v>
                </c:pt>
                <c:pt idx="805">
                  <c:v>10.3</c:v>
                </c:pt>
                <c:pt idx="806">
                  <c:v>10.3</c:v>
                </c:pt>
                <c:pt idx="807">
                  <c:v>10.3</c:v>
                </c:pt>
                <c:pt idx="808">
                  <c:v>10.3</c:v>
                </c:pt>
                <c:pt idx="809">
                  <c:v>10.3</c:v>
                </c:pt>
                <c:pt idx="810">
                  <c:v>10.3</c:v>
                </c:pt>
                <c:pt idx="811">
                  <c:v>10.347</c:v>
                </c:pt>
                <c:pt idx="812">
                  <c:v>10.3613</c:v>
                </c:pt>
                <c:pt idx="813">
                  <c:v>10.3613</c:v>
                </c:pt>
                <c:pt idx="814">
                  <c:v>10.3833</c:v>
                </c:pt>
                <c:pt idx="815">
                  <c:v>10.3833</c:v>
                </c:pt>
                <c:pt idx="816">
                  <c:v>10.3833</c:v>
                </c:pt>
                <c:pt idx="817">
                  <c:v>10.4275</c:v>
                </c:pt>
                <c:pt idx="818">
                  <c:v>10.4275</c:v>
                </c:pt>
                <c:pt idx="819">
                  <c:v>10.4275</c:v>
                </c:pt>
                <c:pt idx="820">
                  <c:v>10.4823</c:v>
                </c:pt>
                <c:pt idx="821">
                  <c:v>10.4823</c:v>
                </c:pt>
                <c:pt idx="822">
                  <c:v>10.492699999999999</c:v>
                </c:pt>
                <c:pt idx="823">
                  <c:v>10.492699999999999</c:v>
                </c:pt>
                <c:pt idx="824">
                  <c:v>10.5</c:v>
                </c:pt>
                <c:pt idx="825">
                  <c:v>10.5</c:v>
                </c:pt>
                <c:pt idx="826">
                  <c:v>10.5</c:v>
                </c:pt>
                <c:pt idx="827">
                  <c:v>10.5</c:v>
                </c:pt>
                <c:pt idx="828">
                  <c:v>10.5</c:v>
                </c:pt>
                <c:pt idx="829">
                  <c:v>10.5</c:v>
                </c:pt>
                <c:pt idx="830">
                  <c:v>10.5</c:v>
                </c:pt>
                <c:pt idx="831">
                  <c:v>10.5</c:v>
                </c:pt>
                <c:pt idx="832">
                  <c:v>10.5</c:v>
                </c:pt>
                <c:pt idx="833">
                  <c:v>10.5</c:v>
                </c:pt>
                <c:pt idx="834">
                  <c:v>10.5</c:v>
                </c:pt>
                <c:pt idx="835">
                  <c:v>10.5</c:v>
                </c:pt>
                <c:pt idx="836">
                  <c:v>10.5</c:v>
                </c:pt>
                <c:pt idx="837">
                  <c:v>10.5</c:v>
                </c:pt>
                <c:pt idx="838">
                  <c:v>10.5</c:v>
                </c:pt>
                <c:pt idx="839">
                  <c:v>10.5</c:v>
                </c:pt>
                <c:pt idx="840">
                  <c:v>10.5</c:v>
                </c:pt>
                <c:pt idx="841">
                  <c:v>10.5</c:v>
                </c:pt>
                <c:pt idx="842">
                  <c:v>10.5</c:v>
                </c:pt>
                <c:pt idx="843">
                  <c:v>10.5</c:v>
                </c:pt>
                <c:pt idx="844">
                  <c:v>10.5</c:v>
                </c:pt>
                <c:pt idx="845">
                  <c:v>10.5</c:v>
                </c:pt>
                <c:pt idx="846">
                  <c:v>10.5</c:v>
                </c:pt>
                <c:pt idx="847">
                  <c:v>10.5</c:v>
                </c:pt>
                <c:pt idx="848">
                  <c:v>10.5</c:v>
                </c:pt>
                <c:pt idx="849">
                  <c:v>10.5</c:v>
                </c:pt>
                <c:pt idx="850">
                  <c:v>10.5</c:v>
                </c:pt>
                <c:pt idx="851">
                  <c:v>10.5</c:v>
                </c:pt>
                <c:pt idx="852">
                  <c:v>10.5</c:v>
                </c:pt>
                <c:pt idx="853">
                  <c:v>10.5</c:v>
                </c:pt>
                <c:pt idx="854">
                  <c:v>10.5</c:v>
                </c:pt>
                <c:pt idx="855">
                  <c:v>10.5</c:v>
                </c:pt>
                <c:pt idx="856">
                  <c:v>10.5</c:v>
                </c:pt>
                <c:pt idx="857">
                  <c:v>10.5</c:v>
                </c:pt>
                <c:pt idx="858">
                  <c:v>10.5</c:v>
                </c:pt>
                <c:pt idx="859">
                  <c:v>10.5</c:v>
                </c:pt>
                <c:pt idx="860">
                  <c:v>10.5001</c:v>
                </c:pt>
                <c:pt idx="861">
                  <c:v>10.527799999999999</c:v>
                </c:pt>
                <c:pt idx="862">
                  <c:v>10.527799999999999</c:v>
                </c:pt>
                <c:pt idx="863">
                  <c:v>10.527799999999999</c:v>
                </c:pt>
                <c:pt idx="864">
                  <c:v>10.527799999999999</c:v>
                </c:pt>
                <c:pt idx="865">
                  <c:v>10.527799999999999</c:v>
                </c:pt>
                <c:pt idx="866">
                  <c:v>10.5291</c:v>
                </c:pt>
                <c:pt idx="867">
                  <c:v>10.5291</c:v>
                </c:pt>
                <c:pt idx="868">
                  <c:v>10.562799999999999</c:v>
                </c:pt>
                <c:pt idx="869">
                  <c:v>10.562799999999999</c:v>
                </c:pt>
                <c:pt idx="870">
                  <c:v>10.562799999999999</c:v>
                </c:pt>
                <c:pt idx="871">
                  <c:v>10.562799999999999</c:v>
                </c:pt>
                <c:pt idx="872">
                  <c:v>10.603199999999999</c:v>
                </c:pt>
                <c:pt idx="873">
                  <c:v>10.603199999999999</c:v>
                </c:pt>
                <c:pt idx="874">
                  <c:v>10.603199999999999</c:v>
                </c:pt>
                <c:pt idx="875">
                  <c:v>10.603199999999999</c:v>
                </c:pt>
                <c:pt idx="876">
                  <c:v>10.6381</c:v>
                </c:pt>
                <c:pt idx="877">
                  <c:v>10.6381</c:v>
                </c:pt>
                <c:pt idx="878">
                  <c:v>10.687900000000001</c:v>
                </c:pt>
                <c:pt idx="879">
                  <c:v>10.687900000000001</c:v>
                </c:pt>
                <c:pt idx="880">
                  <c:v>10.687900000000001</c:v>
                </c:pt>
                <c:pt idx="881">
                  <c:v>10.687900000000001</c:v>
                </c:pt>
                <c:pt idx="882">
                  <c:v>10.687900000000001</c:v>
                </c:pt>
                <c:pt idx="883">
                  <c:v>10.687900000000001</c:v>
                </c:pt>
                <c:pt idx="884">
                  <c:v>10.687900000000001</c:v>
                </c:pt>
                <c:pt idx="885">
                  <c:v>10.687900000000001</c:v>
                </c:pt>
                <c:pt idx="886">
                  <c:v>10.687900000000001</c:v>
                </c:pt>
                <c:pt idx="887">
                  <c:v>10.687900000000001</c:v>
                </c:pt>
                <c:pt idx="888">
                  <c:v>10.7097</c:v>
                </c:pt>
                <c:pt idx="889">
                  <c:v>10.7563</c:v>
                </c:pt>
                <c:pt idx="890">
                  <c:v>10.7563</c:v>
                </c:pt>
                <c:pt idx="891">
                  <c:v>10.7563</c:v>
                </c:pt>
                <c:pt idx="892">
                  <c:v>10.7563</c:v>
                </c:pt>
                <c:pt idx="893">
                  <c:v>10.7563</c:v>
                </c:pt>
                <c:pt idx="894">
                  <c:v>10.768599999999999</c:v>
                </c:pt>
                <c:pt idx="895">
                  <c:v>10.768800000000001</c:v>
                </c:pt>
                <c:pt idx="896">
                  <c:v>10.768800000000001</c:v>
                </c:pt>
                <c:pt idx="897">
                  <c:v>10.768800000000001</c:v>
                </c:pt>
                <c:pt idx="898">
                  <c:v>10.768800000000001</c:v>
                </c:pt>
                <c:pt idx="899">
                  <c:v>10.776199999999999</c:v>
                </c:pt>
                <c:pt idx="900">
                  <c:v>10.776199999999999</c:v>
                </c:pt>
                <c:pt idx="901">
                  <c:v>10.776199999999999</c:v>
                </c:pt>
                <c:pt idx="902">
                  <c:v>10.776199999999999</c:v>
                </c:pt>
                <c:pt idx="903">
                  <c:v>10.776199999999999</c:v>
                </c:pt>
                <c:pt idx="904">
                  <c:v>10.776199999999999</c:v>
                </c:pt>
                <c:pt idx="905">
                  <c:v>10.776199999999999</c:v>
                </c:pt>
                <c:pt idx="906">
                  <c:v>10.776199999999999</c:v>
                </c:pt>
                <c:pt idx="907">
                  <c:v>10.776199999999999</c:v>
                </c:pt>
                <c:pt idx="908">
                  <c:v>10.776199999999999</c:v>
                </c:pt>
                <c:pt idx="909">
                  <c:v>10.776199999999999</c:v>
                </c:pt>
                <c:pt idx="910">
                  <c:v>10.776199999999999</c:v>
                </c:pt>
                <c:pt idx="911">
                  <c:v>10.776199999999999</c:v>
                </c:pt>
                <c:pt idx="912">
                  <c:v>10.776199999999999</c:v>
                </c:pt>
                <c:pt idx="913">
                  <c:v>10.776199999999999</c:v>
                </c:pt>
                <c:pt idx="914">
                  <c:v>10.776199999999999</c:v>
                </c:pt>
                <c:pt idx="915">
                  <c:v>10.776199999999999</c:v>
                </c:pt>
                <c:pt idx="916">
                  <c:v>10.776199999999999</c:v>
                </c:pt>
                <c:pt idx="917">
                  <c:v>10.777799999999999</c:v>
                </c:pt>
                <c:pt idx="918">
                  <c:v>10.8</c:v>
                </c:pt>
                <c:pt idx="919">
                  <c:v>10.8</c:v>
                </c:pt>
                <c:pt idx="920">
                  <c:v>10.8</c:v>
                </c:pt>
                <c:pt idx="921">
                  <c:v>10.8</c:v>
                </c:pt>
                <c:pt idx="922">
                  <c:v>10.8</c:v>
                </c:pt>
                <c:pt idx="923">
                  <c:v>10.8</c:v>
                </c:pt>
                <c:pt idx="924">
                  <c:v>10.8</c:v>
                </c:pt>
                <c:pt idx="925">
                  <c:v>10.8</c:v>
                </c:pt>
                <c:pt idx="926">
                  <c:v>10.8</c:v>
                </c:pt>
                <c:pt idx="927">
                  <c:v>10.8</c:v>
                </c:pt>
                <c:pt idx="928">
                  <c:v>10.8</c:v>
                </c:pt>
                <c:pt idx="929">
                  <c:v>10.8</c:v>
                </c:pt>
                <c:pt idx="930">
                  <c:v>10.8</c:v>
                </c:pt>
                <c:pt idx="931">
                  <c:v>10.8</c:v>
                </c:pt>
                <c:pt idx="932">
                  <c:v>10.8</c:v>
                </c:pt>
                <c:pt idx="933">
                  <c:v>10.8</c:v>
                </c:pt>
                <c:pt idx="934">
                  <c:v>10.8</c:v>
                </c:pt>
                <c:pt idx="935">
                  <c:v>10.8</c:v>
                </c:pt>
                <c:pt idx="936">
                  <c:v>10.8</c:v>
                </c:pt>
                <c:pt idx="937">
                  <c:v>10.8</c:v>
                </c:pt>
                <c:pt idx="938">
                  <c:v>10.8</c:v>
                </c:pt>
                <c:pt idx="939">
                  <c:v>10.8</c:v>
                </c:pt>
                <c:pt idx="940">
                  <c:v>10.8429</c:v>
                </c:pt>
                <c:pt idx="941">
                  <c:v>10.8429</c:v>
                </c:pt>
                <c:pt idx="942">
                  <c:v>10.8429</c:v>
                </c:pt>
                <c:pt idx="943">
                  <c:v>10.8429</c:v>
                </c:pt>
                <c:pt idx="944">
                  <c:v>10.8429</c:v>
                </c:pt>
                <c:pt idx="945">
                  <c:v>10.8429</c:v>
                </c:pt>
                <c:pt idx="946">
                  <c:v>10.858499999999999</c:v>
                </c:pt>
                <c:pt idx="947">
                  <c:v>10.858499999999999</c:v>
                </c:pt>
                <c:pt idx="948">
                  <c:v>10.858499999999999</c:v>
                </c:pt>
                <c:pt idx="949">
                  <c:v>10.9216</c:v>
                </c:pt>
                <c:pt idx="950">
                  <c:v>10.9216</c:v>
                </c:pt>
                <c:pt idx="951">
                  <c:v>10.9655</c:v>
                </c:pt>
                <c:pt idx="952">
                  <c:v>10.9655</c:v>
                </c:pt>
                <c:pt idx="953">
                  <c:v>10.9655</c:v>
                </c:pt>
                <c:pt idx="954">
                  <c:v>10.973000000000001</c:v>
                </c:pt>
                <c:pt idx="955">
                  <c:v>10.9795</c:v>
                </c:pt>
                <c:pt idx="956">
                  <c:v>11.0497</c:v>
                </c:pt>
                <c:pt idx="957">
                  <c:v>11.0497</c:v>
                </c:pt>
                <c:pt idx="958">
                  <c:v>11.050700000000001</c:v>
                </c:pt>
                <c:pt idx="959">
                  <c:v>11.050700000000001</c:v>
                </c:pt>
                <c:pt idx="960">
                  <c:v>11.094799999999999</c:v>
                </c:pt>
                <c:pt idx="961">
                  <c:v>11.179399999999999</c:v>
                </c:pt>
                <c:pt idx="962">
                  <c:v>11.2866</c:v>
                </c:pt>
                <c:pt idx="963">
                  <c:v>11.2866</c:v>
                </c:pt>
                <c:pt idx="964">
                  <c:v>11.286899999999999</c:v>
                </c:pt>
                <c:pt idx="965">
                  <c:v>11.2906</c:v>
                </c:pt>
                <c:pt idx="966">
                  <c:v>11.2906</c:v>
                </c:pt>
                <c:pt idx="967">
                  <c:v>11.3085</c:v>
                </c:pt>
                <c:pt idx="968">
                  <c:v>11.3085</c:v>
                </c:pt>
                <c:pt idx="969">
                  <c:v>11.3085</c:v>
                </c:pt>
                <c:pt idx="970">
                  <c:v>11.3253</c:v>
                </c:pt>
                <c:pt idx="971">
                  <c:v>11.3253</c:v>
                </c:pt>
                <c:pt idx="972">
                  <c:v>11.3337</c:v>
                </c:pt>
                <c:pt idx="973">
                  <c:v>11.3337</c:v>
                </c:pt>
                <c:pt idx="974">
                  <c:v>11.3337</c:v>
                </c:pt>
                <c:pt idx="975">
                  <c:v>11.3337</c:v>
                </c:pt>
                <c:pt idx="976">
                  <c:v>11.3529</c:v>
                </c:pt>
                <c:pt idx="977">
                  <c:v>11.3529</c:v>
                </c:pt>
                <c:pt idx="978">
                  <c:v>11.3529</c:v>
                </c:pt>
                <c:pt idx="979">
                  <c:v>11.4565</c:v>
                </c:pt>
                <c:pt idx="980">
                  <c:v>11.555300000000001</c:v>
                </c:pt>
                <c:pt idx="981">
                  <c:v>11.555300000000001</c:v>
                </c:pt>
                <c:pt idx="982">
                  <c:v>11.555300000000001</c:v>
                </c:pt>
                <c:pt idx="983">
                  <c:v>11.555300000000001</c:v>
                </c:pt>
                <c:pt idx="984">
                  <c:v>11.590400000000001</c:v>
                </c:pt>
                <c:pt idx="985">
                  <c:v>11.590400000000001</c:v>
                </c:pt>
                <c:pt idx="986">
                  <c:v>11.590400000000001</c:v>
                </c:pt>
                <c:pt idx="987">
                  <c:v>11.6233</c:v>
                </c:pt>
                <c:pt idx="988">
                  <c:v>11.6233</c:v>
                </c:pt>
                <c:pt idx="989">
                  <c:v>11.6233</c:v>
                </c:pt>
                <c:pt idx="990">
                  <c:v>11.6233</c:v>
                </c:pt>
                <c:pt idx="991">
                  <c:v>11.6233</c:v>
                </c:pt>
                <c:pt idx="992">
                  <c:v>11.6233</c:v>
                </c:pt>
                <c:pt idx="993">
                  <c:v>11.625299999999999</c:v>
                </c:pt>
                <c:pt idx="994">
                  <c:v>11.625299999999999</c:v>
                </c:pt>
                <c:pt idx="995">
                  <c:v>11.625299999999999</c:v>
                </c:pt>
                <c:pt idx="996">
                  <c:v>11.651</c:v>
                </c:pt>
                <c:pt idx="997">
                  <c:v>11.651</c:v>
                </c:pt>
                <c:pt idx="998">
                  <c:v>11.651</c:v>
                </c:pt>
                <c:pt idx="999">
                  <c:v>11.734500000000001</c:v>
                </c:pt>
                <c:pt idx="1000">
                  <c:v>11.8065</c:v>
                </c:pt>
                <c:pt idx="1001">
                  <c:v>11.8834</c:v>
                </c:pt>
                <c:pt idx="1002">
                  <c:v>11.8834</c:v>
                </c:pt>
                <c:pt idx="1003">
                  <c:v>11.9579</c:v>
                </c:pt>
                <c:pt idx="1004">
                  <c:v>12</c:v>
                </c:pt>
                <c:pt idx="1005">
                  <c:v>12</c:v>
                </c:pt>
                <c:pt idx="1006">
                  <c:v>12</c:v>
                </c:pt>
                <c:pt idx="1007">
                  <c:v>12</c:v>
                </c:pt>
                <c:pt idx="1008">
                  <c:v>12</c:v>
                </c:pt>
                <c:pt idx="1009">
                  <c:v>12</c:v>
                </c:pt>
                <c:pt idx="1010">
                  <c:v>12</c:v>
                </c:pt>
                <c:pt idx="1011">
                  <c:v>12</c:v>
                </c:pt>
                <c:pt idx="1012">
                  <c:v>12</c:v>
                </c:pt>
                <c:pt idx="1013">
                  <c:v>12</c:v>
                </c:pt>
                <c:pt idx="1014">
                  <c:v>12</c:v>
                </c:pt>
                <c:pt idx="1015">
                  <c:v>12</c:v>
                </c:pt>
                <c:pt idx="1016">
                  <c:v>12</c:v>
                </c:pt>
                <c:pt idx="1017">
                  <c:v>12</c:v>
                </c:pt>
                <c:pt idx="1018">
                  <c:v>12</c:v>
                </c:pt>
                <c:pt idx="1019">
                  <c:v>12</c:v>
                </c:pt>
                <c:pt idx="1020">
                  <c:v>12</c:v>
                </c:pt>
                <c:pt idx="1021">
                  <c:v>12</c:v>
                </c:pt>
                <c:pt idx="1022">
                  <c:v>12</c:v>
                </c:pt>
                <c:pt idx="1023">
                  <c:v>12</c:v>
                </c:pt>
                <c:pt idx="1024">
                  <c:v>12</c:v>
                </c:pt>
                <c:pt idx="1025">
                  <c:v>12.0123</c:v>
                </c:pt>
                <c:pt idx="1026">
                  <c:v>12.0123</c:v>
                </c:pt>
                <c:pt idx="1027">
                  <c:v>12.0123</c:v>
                </c:pt>
                <c:pt idx="1028">
                  <c:v>12.014900000000001</c:v>
                </c:pt>
                <c:pt idx="1029">
                  <c:v>12.014900000000001</c:v>
                </c:pt>
                <c:pt idx="1030">
                  <c:v>12.014900000000001</c:v>
                </c:pt>
                <c:pt idx="1031">
                  <c:v>12.014900000000001</c:v>
                </c:pt>
                <c:pt idx="1032">
                  <c:v>12.0206</c:v>
                </c:pt>
                <c:pt idx="1033">
                  <c:v>12.0206</c:v>
                </c:pt>
                <c:pt idx="1034">
                  <c:v>12.0303</c:v>
                </c:pt>
                <c:pt idx="1035">
                  <c:v>12.0303</c:v>
                </c:pt>
                <c:pt idx="1036">
                  <c:v>12.0303</c:v>
                </c:pt>
                <c:pt idx="1037">
                  <c:v>12.0303</c:v>
                </c:pt>
                <c:pt idx="1038">
                  <c:v>12.0303</c:v>
                </c:pt>
                <c:pt idx="1039">
                  <c:v>12.064</c:v>
                </c:pt>
                <c:pt idx="1040">
                  <c:v>12.064</c:v>
                </c:pt>
                <c:pt idx="1041">
                  <c:v>12.064</c:v>
                </c:pt>
                <c:pt idx="1042">
                  <c:v>12.064</c:v>
                </c:pt>
                <c:pt idx="1043">
                  <c:v>12.1153</c:v>
                </c:pt>
                <c:pt idx="1044">
                  <c:v>12.1153</c:v>
                </c:pt>
                <c:pt idx="1045">
                  <c:v>12.138500000000001</c:v>
                </c:pt>
                <c:pt idx="1046">
                  <c:v>12.138500000000001</c:v>
                </c:pt>
                <c:pt idx="1047">
                  <c:v>12.138500000000001</c:v>
                </c:pt>
                <c:pt idx="1048">
                  <c:v>12.138500000000001</c:v>
                </c:pt>
                <c:pt idx="1049">
                  <c:v>12.1716</c:v>
                </c:pt>
                <c:pt idx="1050">
                  <c:v>12.1716</c:v>
                </c:pt>
                <c:pt idx="1051">
                  <c:v>12.1716</c:v>
                </c:pt>
                <c:pt idx="1052">
                  <c:v>12.1716</c:v>
                </c:pt>
                <c:pt idx="1053">
                  <c:v>12.1716</c:v>
                </c:pt>
                <c:pt idx="1054">
                  <c:v>12.1716</c:v>
                </c:pt>
                <c:pt idx="1055">
                  <c:v>12.210599999999999</c:v>
                </c:pt>
                <c:pt idx="1056">
                  <c:v>12.210599999999999</c:v>
                </c:pt>
                <c:pt idx="1057">
                  <c:v>12.210599999999999</c:v>
                </c:pt>
                <c:pt idx="1058">
                  <c:v>12.210599999999999</c:v>
                </c:pt>
                <c:pt idx="1059">
                  <c:v>12.210599999999999</c:v>
                </c:pt>
                <c:pt idx="1060">
                  <c:v>12.308999999999999</c:v>
                </c:pt>
                <c:pt idx="1061">
                  <c:v>12.308999999999999</c:v>
                </c:pt>
                <c:pt idx="1062">
                  <c:v>12.308999999999999</c:v>
                </c:pt>
                <c:pt idx="1063">
                  <c:v>12.308999999999999</c:v>
                </c:pt>
                <c:pt idx="1064">
                  <c:v>12.308999999999999</c:v>
                </c:pt>
                <c:pt idx="1065">
                  <c:v>12.489800000000001</c:v>
                </c:pt>
                <c:pt idx="1066">
                  <c:v>12.489800000000001</c:v>
                </c:pt>
                <c:pt idx="1067">
                  <c:v>12.489800000000001</c:v>
                </c:pt>
                <c:pt idx="1068">
                  <c:v>12.489800000000001</c:v>
                </c:pt>
                <c:pt idx="1069">
                  <c:v>12.489800000000001</c:v>
                </c:pt>
                <c:pt idx="1070">
                  <c:v>12.489800000000001</c:v>
                </c:pt>
                <c:pt idx="1071">
                  <c:v>12.489800000000001</c:v>
                </c:pt>
                <c:pt idx="1072">
                  <c:v>12.489800000000001</c:v>
                </c:pt>
                <c:pt idx="1073">
                  <c:v>12.489800000000001</c:v>
                </c:pt>
                <c:pt idx="1074">
                  <c:v>12.491899999999999</c:v>
                </c:pt>
                <c:pt idx="1075">
                  <c:v>12.491899999999999</c:v>
                </c:pt>
                <c:pt idx="1076">
                  <c:v>12.491899999999999</c:v>
                </c:pt>
                <c:pt idx="1077">
                  <c:v>12.491899999999999</c:v>
                </c:pt>
                <c:pt idx="1078">
                  <c:v>12.491899999999999</c:v>
                </c:pt>
                <c:pt idx="1079">
                  <c:v>12.498200000000001</c:v>
                </c:pt>
                <c:pt idx="1080">
                  <c:v>12.537699999999999</c:v>
                </c:pt>
                <c:pt idx="1081">
                  <c:v>12.5617</c:v>
                </c:pt>
                <c:pt idx="1082">
                  <c:v>12.776999999999999</c:v>
                </c:pt>
                <c:pt idx="1083">
                  <c:v>12.776999999999999</c:v>
                </c:pt>
                <c:pt idx="1084">
                  <c:v>12.776999999999999</c:v>
                </c:pt>
                <c:pt idx="1085">
                  <c:v>12.776999999999999</c:v>
                </c:pt>
                <c:pt idx="1086">
                  <c:v>12.804</c:v>
                </c:pt>
                <c:pt idx="1087">
                  <c:v>12.804</c:v>
                </c:pt>
                <c:pt idx="1088">
                  <c:v>12.8322</c:v>
                </c:pt>
                <c:pt idx="1089">
                  <c:v>12.8322</c:v>
                </c:pt>
                <c:pt idx="1090">
                  <c:v>12.8322</c:v>
                </c:pt>
                <c:pt idx="1091">
                  <c:v>12.8322</c:v>
                </c:pt>
                <c:pt idx="1092">
                  <c:v>12.8322</c:v>
                </c:pt>
                <c:pt idx="1093">
                  <c:v>12.8322</c:v>
                </c:pt>
                <c:pt idx="1094">
                  <c:v>12.8322</c:v>
                </c:pt>
                <c:pt idx="1095">
                  <c:v>12.8749</c:v>
                </c:pt>
                <c:pt idx="1096">
                  <c:v>12.8749</c:v>
                </c:pt>
                <c:pt idx="1097">
                  <c:v>12.8749</c:v>
                </c:pt>
                <c:pt idx="1098">
                  <c:v>12.8749</c:v>
                </c:pt>
                <c:pt idx="1099">
                  <c:v>12.8749</c:v>
                </c:pt>
                <c:pt idx="1100">
                  <c:v>12.8749</c:v>
                </c:pt>
                <c:pt idx="1101">
                  <c:v>12.8978</c:v>
                </c:pt>
                <c:pt idx="1102">
                  <c:v>12.8978</c:v>
                </c:pt>
                <c:pt idx="1103">
                  <c:v>12.8978</c:v>
                </c:pt>
                <c:pt idx="1104">
                  <c:v>13.007400000000001</c:v>
                </c:pt>
                <c:pt idx="1105">
                  <c:v>13.007400000000001</c:v>
                </c:pt>
                <c:pt idx="1106">
                  <c:v>13.007400000000001</c:v>
                </c:pt>
                <c:pt idx="1107">
                  <c:v>13.007400000000001</c:v>
                </c:pt>
                <c:pt idx="1108">
                  <c:v>13.1248</c:v>
                </c:pt>
                <c:pt idx="1109">
                  <c:v>13.1248</c:v>
                </c:pt>
                <c:pt idx="1110">
                  <c:v>13.1248</c:v>
                </c:pt>
                <c:pt idx="1111">
                  <c:v>13.230499999999999</c:v>
                </c:pt>
                <c:pt idx="1112">
                  <c:v>13.230499999999999</c:v>
                </c:pt>
                <c:pt idx="1113">
                  <c:v>13.230499999999999</c:v>
                </c:pt>
                <c:pt idx="1114">
                  <c:v>13.230499999999999</c:v>
                </c:pt>
                <c:pt idx="1115">
                  <c:v>13.262499999999999</c:v>
                </c:pt>
                <c:pt idx="1116">
                  <c:v>13.262499999999999</c:v>
                </c:pt>
                <c:pt idx="1117">
                  <c:v>13.262499999999999</c:v>
                </c:pt>
                <c:pt idx="1118">
                  <c:v>13.262499999999999</c:v>
                </c:pt>
                <c:pt idx="1119">
                  <c:v>13.262499999999999</c:v>
                </c:pt>
                <c:pt idx="1120">
                  <c:v>13.262499999999999</c:v>
                </c:pt>
                <c:pt idx="1121">
                  <c:v>13.262499999999999</c:v>
                </c:pt>
                <c:pt idx="1122">
                  <c:v>13.320600000000001</c:v>
                </c:pt>
                <c:pt idx="1123">
                  <c:v>13.320600000000001</c:v>
                </c:pt>
                <c:pt idx="1124">
                  <c:v>13.320600000000001</c:v>
                </c:pt>
                <c:pt idx="1125">
                  <c:v>13.320600000000001</c:v>
                </c:pt>
                <c:pt idx="1126">
                  <c:v>13.457700000000001</c:v>
                </c:pt>
                <c:pt idx="1127">
                  <c:v>13.457700000000001</c:v>
                </c:pt>
                <c:pt idx="1128">
                  <c:v>13.6546</c:v>
                </c:pt>
                <c:pt idx="1129">
                  <c:v>13.6546</c:v>
                </c:pt>
                <c:pt idx="1130">
                  <c:v>13.6624</c:v>
                </c:pt>
                <c:pt idx="1131">
                  <c:v>13.916600000000001</c:v>
                </c:pt>
                <c:pt idx="1132">
                  <c:v>13.916600000000001</c:v>
                </c:pt>
                <c:pt idx="1133">
                  <c:v>13.916600000000001</c:v>
                </c:pt>
                <c:pt idx="1134">
                  <c:v>13.916600000000001</c:v>
                </c:pt>
                <c:pt idx="1135">
                  <c:v>13.916600000000001</c:v>
                </c:pt>
                <c:pt idx="1136">
                  <c:v>14.1454</c:v>
                </c:pt>
                <c:pt idx="1137">
                  <c:v>14.1454</c:v>
                </c:pt>
                <c:pt idx="1138">
                  <c:v>14.1454</c:v>
                </c:pt>
                <c:pt idx="1139">
                  <c:v>14.1454</c:v>
                </c:pt>
                <c:pt idx="1140">
                  <c:v>14.165900000000001</c:v>
                </c:pt>
                <c:pt idx="1141">
                  <c:v>14.165900000000001</c:v>
                </c:pt>
                <c:pt idx="1142">
                  <c:v>14.183199999999999</c:v>
                </c:pt>
                <c:pt idx="1143">
                  <c:v>14.183199999999999</c:v>
                </c:pt>
                <c:pt idx="1144">
                  <c:v>14.5695</c:v>
                </c:pt>
                <c:pt idx="1145">
                  <c:v>14.574</c:v>
                </c:pt>
                <c:pt idx="1146">
                  <c:v>14.574</c:v>
                </c:pt>
                <c:pt idx="1147">
                  <c:v>14.854100000000001</c:v>
                </c:pt>
                <c:pt idx="1148">
                  <c:v>14.854100000000001</c:v>
                </c:pt>
                <c:pt idx="1149">
                  <c:v>14.854100000000001</c:v>
                </c:pt>
                <c:pt idx="1150">
                  <c:v>15.025600000000001</c:v>
                </c:pt>
                <c:pt idx="1151">
                  <c:v>15.0373</c:v>
                </c:pt>
                <c:pt idx="1152">
                  <c:v>15.0373</c:v>
                </c:pt>
                <c:pt idx="1153">
                  <c:v>15.0373</c:v>
                </c:pt>
                <c:pt idx="1154">
                  <c:v>15.0373</c:v>
                </c:pt>
                <c:pt idx="1155">
                  <c:v>15.0373</c:v>
                </c:pt>
                <c:pt idx="1156">
                  <c:v>15.0373</c:v>
                </c:pt>
                <c:pt idx="1157">
                  <c:v>15.0373</c:v>
                </c:pt>
                <c:pt idx="1158">
                  <c:v>15.0768</c:v>
                </c:pt>
                <c:pt idx="1159">
                  <c:v>15.157500000000001</c:v>
                </c:pt>
                <c:pt idx="1160">
                  <c:v>15.157500000000001</c:v>
                </c:pt>
                <c:pt idx="1161">
                  <c:v>15.157500000000001</c:v>
                </c:pt>
                <c:pt idx="1162">
                  <c:v>15.157500000000001</c:v>
                </c:pt>
                <c:pt idx="1163">
                  <c:v>15.157500000000001</c:v>
                </c:pt>
                <c:pt idx="1164">
                  <c:v>15.157500000000001</c:v>
                </c:pt>
                <c:pt idx="1165">
                  <c:v>15.157500000000001</c:v>
                </c:pt>
                <c:pt idx="1166">
                  <c:v>15.157500000000001</c:v>
                </c:pt>
                <c:pt idx="1167">
                  <c:v>15.373200000000001</c:v>
                </c:pt>
                <c:pt idx="1168">
                  <c:v>15.3886</c:v>
                </c:pt>
                <c:pt idx="1169">
                  <c:v>16.641500000000001</c:v>
                </c:pt>
                <c:pt idx="1170">
                  <c:v>16.839300000000001</c:v>
                </c:pt>
                <c:pt idx="1171">
                  <c:v>16.9404</c:v>
                </c:pt>
                <c:pt idx="1172">
                  <c:v>17.7972</c:v>
                </c:pt>
                <c:pt idx="1173">
                  <c:v>17.7972</c:v>
                </c:pt>
                <c:pt idx="1174">
                  <c:v>17.7972</c:v>
                </c:pt>
                <c:pt idx="1175">
                  <c:v>17.7972</c:v>
                </c:pt>
                <c:pt idx="1176">
                  <c:v>17.7972</c:v>
                </c:pt>
                <c:pt idx="1177">
                  <c:v>17.7972</c:v>
                </c:pt>
                <c:pt idx="1178">
                  <c:v>20</c:v>
                </c:pt>
                <c:pt idx="1179">
                  <c:v>20</c:v>
                </c:pt>
                <c:pt idx="1180">
                  <c:v>20</c:v>
                </c:pt>
                <c:pt idx="1181">
                  <c:v>20</c:v>
                </c:pt>
                <c:pt idx="1182">
                  <c:v>20</c:v>
                </c:pt>
                <c:pt idx="1183">
                  <c:v>20</c:v>
                </c:pt>
                <c:pt idx="1184">
                  <c:v>20</c:v>
                </c:pt>
                <c:pt idx="1185">
                  <c:v>20</c:v>
                </c:pt>
                <c:pt idx="1186">
                  <c:v>20</c:v>
                </c:pt>
                <c:pt idx="1187">
                  <c:v>20</c:v>
                </c:pt>
                <c:pt idx="1188">
                  <c:v>20</c:v>
                </c:pt>
                <c:pt idx="1189">
                  <c:v>20</c:v>
                </c:pt>
                <c:pt idx="1190">
                  <c:v>20</c:v>
                </c:pt>
                <c:pt idx="1191">
                  <c:v>20</c:v>
                </c:pt>
                <c:pt idx="1192">
                  <c:v>20</c:v>
                </c:pt>
                <c:pt idx="1193">
                  <c:v>20</c:v>
                </c:pt>
                <c:pt idx="1194">
                  <c:v>20</c:v>
                </c:pt>
                <c:pt idx="1195">
                  <c:v>20</c:v>
                </c:pt>
                <c:pt idx="1196">
                  <c:v>20</c:v>
                </c:pt>
                <c:pt idx="1197">
                  <c:v>20</c:v>
                </c:pt>
                <c:pt idx="1198">
                  <c:v>20</c:v>
                </c:pt>
                <c:pt idx="1199">
                  <c:v>20</c:v>
                </c:pt>
                <c:pt idx="1200">
                  <c:v>20</c:v>
                </c:pt>
                <c:pt idx="1201">
                  <c:v>20</c:v>
                </c:pt>
                <c:pt idx="1202">
                  <c:v>20</c:v>
                </c:pt>
                <c:pt idx="1203">
                  <c:v>20</c:v>
                </c:pt>
                <c:pt idx="1204">
                  <c:v>20</c:v>
                </c:pt>
                <c:pt idx="1205">
                  <c:v>20</c:v>
                </c:pt>
                <c:pt idx="1206">
                  <c:v>20</c:v>
                </c:pt>
                <c:pt idx="1207">
                  <c:v>20</c:v>
                </c:pt>
                <c:pt idx="1208">
                  <c:v>20</c:v>
                </c:pt>
                <c:pt idx="1209">
                  <c:v>20</c:v>
                </c:pt>
                <c:pt idx="1210">
                  <c:v>20</c:v>
                </c:pt>
                <c:pt idx="1211">
                  <c:v>20</c:v>
                </c:pt>
                <c:pt idx="1212">
                  <c:v>20</c:v>
                </c:pt>
                <c:pt idx="1213">
                  <c:v>20</c:v>
                </c:pt>
                <c:pt idx="1214">
                  <c:v>20</c:v>
                </c:pt>
                <c:pt idx="1215">
                  <c:v>20</c:v>
                </c:pt>
                <c:pt idx="1216">
                  <c:v>20</c:v>
                </c:pt>
                <c:pt idx="1217">
                  <c:v>20</c:v>
                </c:pt>
                <c:pt idx="1218">
                  <c:v>20</c:v>
                </c:pt>
                <c:pt idx="1219">
                  <c:v>20</c:v>
                </c:pt>
                <c:pt idx="1220">
                  <c:v>20</c:v>
                </c:pt>
                <c:pt idx="1221">
                  <c:v>20</c:v>
                </c:pt>
                <c:pt idx="1222">
                  <c:v>20</c:v>
                </c:pt>
                <c:pt idx="1223">
                  <c:v>20</c:v>
                </c:pt>
                <c:pt idx="1224">
                  <c:v>20</c:v>
                </c:pt>
                <c:pt idx="1225">
                  <c:v>20</c:v>
                </c:pt>
                <c:pt idx="1226">
                  <c:v>20</c:v>
                </c:pt>
                <c:pt idx="1227">
                  <c:v>20</c:v>
                </c:pt>
                <c:pt idx="1228">
                  <c:v>20</c:v>
                </c:pt>
                <c:pt idx="1229">
                  <c:v>20</c:v>
                </c:pt>
                <c:pt idx="1230">
                  <c:v>20</c:v>
                </c:pt>
                <c:pt idx="1231">
                  <c:v>20</c:v>
                </c:pt>
                <c:pt idx="1232">
                  <c:v>20</c:v>
                </c:pt>
                <c:pt idx="1233">
                  <c:v>20</c:v>
                </c:pt>
                <c:pt idx="1234">
                  <c:v>20</c:v>
                </c:pt>
                <c:pt idx="1235">
                  <c:v>20</c:v>
                </c:pt>
                <c:pt idx="1236">
                  <c:v>20</c:v>
                </c:pt>
                <c:pt idx="1237">
                  <c:v>20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20</c:v>
                </c:pt>
                <c:pt idx="1244">
                  <c:v>20</c:v>
                </c:pt>
                <c:pt idx="1245">
                  <c:v>20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20</c:v>
                </c:pt>
                <c:pt idx="1256">
                  <c:v>20</c:v>
                </c:pt>
                <c:pt idx="1257">
                  <c:v>20</c:v>
                </c:pt>
                <c:pt idx="1258">
                  <c:v>20</c:v>
                </c:pt>
                <c:pt idx="1259">
                  <c:v>20</c:v>
                </c:pt>
                <c:pt idx="1260">
                  <c:v>20</c:v>
                </c:pt>
                <c:pt idx="1261">
                  <c:v>20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20</c:v>
                </c:pt>
                <c:pt idx="1268">
                  <c:v>20</c:v>
                </c:pt>
                <c:pt idx="1269">
                  <c:v>20</c:v>
                </c:pt>
                <c:pt idx="1270">
                  <c:v>20</c:v>
                </c:pt>
                <c:pt idx="1271">
                  <c:v>20</c:v>
                </c:pt>
                <c:pt idx="1272">
                  <c:v>20</c:v>
                </c:pt>
                <c:pt idx="1273">
                  <c:v>20</c:v>
                </c:pt>
                <c:pt idx="1274">
                  <c:v>20</c:v>
                </c:pt>
                <c:pt idx="1275">
                  <c:v>20</c:v>
                </c:pt>
                <c:pt idx="1276">
                  <c:v>20</c:v>
                </c:pt>
                <c:pt idx="1277">
                  <c:v>20</c:v>
                </c:pt>
                <c:pt idx="1278">
                  <c:v>20</c:v>
                </c:pt>
                <c:pt idx="1279">
                  <c:v>20</c:v>
                </c:pt>
                <c:pt idx="1280">
                  <c:v>20</c:v>
                </c:pt>
                <c:pt idx="1281">
                  <c:v>20</c:v>
                </c:pt>
                <c:pt idx="1282">
                  <c:v>20</c:v>
                </c:pt>
                <c:pt idx="1283">
                  <c:v>20</c:v>
                </c:pt>
                <c:pt idx="1284">
                  <c:v>20</c:v>
                </c:pt>
                <c:pt idx="1285">
                  <c:v>20</c:v>
                </c:pt>
                <c:pt idx="1286">
                  <c:v>20</c:v>
                </c:pt>
                <c:pt idx="1287">
                  <c:v>20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22.480499999999999</c:v>
                </c:pt>
                <c:pt idx="1296">
                  <c:v>22.9131</c:v>
                </c:pt>
                <c:pt idx="1297">
                  <c:v>22.9131</c:v>
                </c:pt>
                <c:pt idx="1298">
                  <c:v>22.9131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60-4649-AEDC-BEFD2C337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159360"/>
        <c:axId val="240455664"/>
      </c:scatterChart>
      <c:scatterChart>
        <c:scatterStyle val="smoothMarker"/>
        <c:varyColors val="0"/>
        <c:ser>
          <c:idx val="1"/>
          <c:order val="1"/>
          <c:tx>
            <c:v>load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'Resource Estimates'!$AM$26:$AM$27</c:f>
              <c:numCache>
                <c:formatCode>General</c:formatCode>
                <c:ptCount val="2"/>
                <c:pt idx="0">
                  <c:v>91962</c:v>
                </c:pt>
                <c:pt idx="1">
                  <c:v>91962</c:v>
                </c:pt>
              </c:numCache>
            </c:numRef>
          </c:xVal>
          <c:yVal>
            <c:numRef>
              <c:f>'Resource Estimates'!$AL$26:$AL$27</c:f>
              <c:numCache>
                <c:formatCode>General</c:formatCode>
                <c:ptCount val="2"/>
                <c:pt idx="0">
                  <c:v>23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60-4649-AEDC-BEFD2C337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159360"/>
        <c:axId val="240455664"/>
      </c:scatterChart>
      <c:valAx>
        <c:axId val="48115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55664"/>
        <c:crosses val="autoZero"/>
        <c:crossBetween val="midCat"/>
      </c:valAx>
      <c:valAx>
        <c:axId val="24045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[Red]\(#,##0.0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15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'EIA Matching Review'!$T$1</c:f>
              <c:strCache>
                <c:ptCount val="1"/>
                <c:pt idx="0">
                  <c:v>OUTPUT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'EIA Matching Review'!$T$2:$T$1009</c:f>
              <c:numCache>
                <c:formatCode>General</c:formatCode>
                <c:ptCount val="1008"/>
                <c:pt idx="0">
                  <c:v>300</c:v>
                </c:pt>
                <c:pt idx="1">
                  <c:v>600</c:v>
                </c:pt>
                <c:pt idx="2">
                  <c:v>900</c:v>
                </c:pt>
                <c:pt idx="3">
                  <c:v>955.2</c:v>
                </c:pt>
                <c:pt idx="4">
                  <c:v>1010.4000000000001</c:v>
                </c:pt>
                <c:pt idx="5">
                  <c:v>1065.6000000000001</c:v>
                </c:pt>
                <c:pt idx="6">
                  <c:v>1065.6000000000001</c:v>
                </c:pt>
                <c:pt idx="7">
                  <c:v>1165.6000000000001</c:v>
                </c:pt>
                <c:pt idx="8">
                  <c:v>1265.6000000000001</c:v>
                </c:pt>
                <c:pt idx="9">
                  <c:v>1365.6000000000001</c:v>
                </c:pt>
                <c:pt idx="10">
                  <c:v>1372.6000000000001</c:v>
                </c:pt>
                <c:pt idx="11">
                  <c:v>1379.6000000000001</c:v>
                </c:pt>
                <c:pt idx="12">
                  <c:v>1386.6000000000001</c:v>
                </c:pt>
                <c:pt idx="13">
                  <c:v>1397.1000000000001</c:v>
                </c:pt>
                <c:pt idx="14">
                  <c:v>1404.6000000000001</c:v>
                </c:pt>
                <c:pt idx="15">
                  <c:v>1610.6000000000001</c:v>
                </c:pt>
                <c:pt idx="16">
                  <c:v>1816.6000000000001</c:v>
                </c:pt>
                <c:pt idx="17">
                  <c:v>2022.6000000000001</c:v>
                </c:pt>
                <c:pt idx="18">
                  <c:v>2228.6000000000004</c:v>
                </c:pt>
                <c:pt idx="19">
                  <c:v>3143.9000000000005</c:v>
                </c:pt>
                <c:pt idx="20">
                  <c:v>4059.2000000000007</c:v>
                </c:pt>
                <c:pt idx="21">
                  <c:v>4974.5000000000009</c:v>
                </c:pt>
                <c:pt idx="22">
                  <c:v>5889.8000000000011</c:v>
                </c:pt>
                <c:pt idx="23">
                  <c:v>7251.8000000000011</c:v>
                </c:pt>
                <c:pt idx="24">
                  <c:v>8613.8000000000011</c:v>
                </c:pt>
                <c:pt idx="25">
                  <c:v>9975.8000000000011</c:v>
                </c:pt>
                <c:pt idx="26">
                  <c:v>11186.2</c:v>
                </c:pt>
                <c:pt idx="27">
                  <c:v>12396.6</c:v>
                </c:pt>
                <c:pt idx="28">
                  <c:v>13607</c:v>
                </c:pt>
                <c:pt idx="29">
                  <c:v>14792.5</c:v>
                </c:pt>
                <c:pt idx="30">
                  <c:v>15978</c:v>
                </c:pt>
                <c:pt idx="31">
                  <c:v>16463</c:v>
                </c:pt>
                <c:pt idx="32">
                  <c:v>16468.599999999999</c:v>
                </c:pt>
                <c:pt idx="33">
                  <c:v>17415.599999999999</c:v>
                </c:pt>
                <c:pt idx="34">
                  <c:v>19020.699999999997</c:v>
                </c:pt>
                <c:pt idx="35">
                  <c:v>20625.799999999996</c:v>
                </c:pt>
                <c:pt idx="36">
                  <c:v>22230.899999999994</c:v>
                </c:pt>
                <c:pt idx="37">
                  <c:v>23835.999999999993</c:v>
                </c:pt>
                <c:pt idx="38">
                  <c:v>25441.099999999991</c:v>
                </c:pt>
                <c:pt idx="39">
                  <c:v>27046.19999999999</c:v>
                </c:pt>
                <c:pt idx="40">
                  <c:v>28091.19999999999</c:v>
                </c:pt>
                <c:pt idx="41">
                  <c:v>29136.19999999999</c:v>
                </c:pt>
                <c:pt idx="42">
                  <c:v>30181.19999999999</c:v>
                </c:pt>
                <c:pt idx="43">
                  <c:v>31226.19999999999</c:v>
                </c:pt>
                <c:pt idx="44">
                  <c:v>32082.69999999999</c:v>
                </c:pt>
                <c:pt idx="45">
                  <c:v>32082.69999999999</c:v>
                </c:pt>
                <c:pt idx="46">
                  <c:v>33044.999999999993</c:v>
                </c:pt>
                <c:pt idx="47">
                  <c:v>34833.499999999993</c:v>
                </c:pt>
                <c:pt idx="48">
                  <c:v>36621.999999999993</c:v>
                </c:pt>
                <c:pt idx="49">
                  <c:v>38410.499999999993</c:v>
                </c:pt>
                <c:pt idx="50">
                  <c:v>39205.499999999993</c:v>
                </c:pt>
                <c:pt idx="51">
                  <c:v>40426.399999999994</c:v>
                </c:pt>
                <c:pt idx="52">
                  <c:v>41647.299999999996</c:v>
                </c:pt>
                <c:pt idx="53">
                  <c:v>42338.299999999996</c:v>
                </c:pt>
                <c:pt idx="54">
                  <c:v>43053.299999999996</c:v>
                </c:pt>
                <c:pt idx="55">
                  <c:v>43593.299999999996</c:v>
                </c:pt>
                <c:pt idx="56">
                  <c:v>44133.299999999996</c:v>
                </c:pt>
                <c:pt idx="57">
                  <c:v>44673.299999999996</c:v>
                </c:pt>
                <c:pt idx="58">
                  <c:v>45503.299999999996</c:v>
                </c:pt>
                <c:pt idx="59">
                  <c:v>46333.299999999996</c:v>
                </c:pt>
                <c:pt idx="60">
                  <c:v>47163.299999999996</c:v>
                </c:pt>
                <c:pt idx="61">
                  <c:v>47993.299999999996</c:v>
                </c:pt>
                <c:pt idx="62">
                  <c:v>49610.299999999996</c:v>
                </c:pt>
                <c:pt idx="63">
                  <c:v>50283.299999999996</c:v>
                </c:pt>
                <c:pt idx="64">
                  <c:v>50956.299999999996</c:v>
                </c:pt>
                <c:pt idx="65">
                  <c:v>51629.299999999996</c:v>
                </c:pt>
                <c:pt idx="66">
                  <c:v>52302.299999999996</c:v>
                </c:pt>
                <c:pt idx="67">
                  <c:v>53119.199999999997</c:v>
                </c:pt>
                <c:pt idx="68">
                  <c:v>54355.7</c:v>
                </c:pt>
                <c:pt idx="69">
                  <c:v>55592.2</c:v>
                </c:pt>
                <c:pt idx="70">
                  <c:v>56828.7</c:v>
                </c:pt>
                <c:pt idx="71">
                  <c:v>58198.6</c:v>
                </c:pt>
                <c:pt idx="72">
                  <c:v>59568.5</c:v>
                </c:pt>
                <c:pt idx="73">
                  <c:v>60938.400000000001</c:v>
                </c:pt>
                <c:pt idx="74">
                  <c:v>62308.3</c:v>
                </c:pt>
                <c:pt idx="75">
                  <c:v>63678.200000000004</c:v>
                </c:pt>
                <c:pt idx="76">
                  <c:v>65048.100000000006</c:v>
                </c:pt>
                <c:pt idx="77">
                  <c:v>66418</c:v>
                </c:pt>
                <c:pt idx="78">
                  <c:v>67787.899999999994</c:v>
                </c:pt>
                <c:pt idx="79">
                  <c:v>69157.799999999988</c:v>
                </c:pt>
                <c:pt idx="80">
                  <c:v>70527.699999999983</c:v>
                </c:pt>
                <c:pt idx="81">
                  <c:v>71897.599999999977</c:v>
                </c:pt>
                <c:pt idx="82">
                  <c:v>73267.499999999971</c:v>
                </c:pt>
                <c:pt idx="83">
                  <c:v>74637.399999999965</c:v>
                </c:pt>
                <c:pt idx="84">
                  <c:v>76007.299999999959</c:v>
                </c:pt>
                <c:pt idx="85">
                  <c:v>77377.199999999953</c:v>
                </c:pt>
                <c:pt idx="86">
                  <c:v>77839.699999999953</c:v>
                </c:pt>
                <c:pt idx="87">
                  <c:v>79741.499999999956</c:v>
                </c:pt>
                <c:pt idx="88">
                  <c:v>80616.099999999962</c:v>
                </c:pt>
                <c:pt idx="89">
                  <c:v>81490.699999999968</c:v>
                </c:pt>
                <c:pt idx="90">
                  <c:v>82365.299999999974</c:v>
                </c:pt>
                <c:pt idx="91">
                  <c:v>83239.89999999998</c:v>
                </c:pt>
                <c:pt idx="92">
                  <c:v>84615.89999999998</c:v>
                </c:pt>
                <c:pt idx="93">
                  <c:v>85991.89999999998</c:v>
                </c:pt>
                <c:pt idx="94">
                  <c:v>87367.89999999998</c:v>
                </c:pt>
                <c:pt idx="95">
                  <c:v>88743.89999999998</c:v>
                </c:pt>
                <c:pt idx="96">
                  <c:v>89735.199999999983</c:v>
                </c:pt>
                <c:pt idx="97">
                  <c:v>90726.499999999985</c:v>
                </c:pt>
                <c:pt idx="98">
                  <c:v>91717.799999999988</c:v>
                </c:pt>
                <c:pt idx="99">
                  <c:v>92345.999999999985</c:v>
                </c:pt>
                <c:pt idx="100">
                  <c:v>93155.999999999985</c:v>
                </c:pt>
                <c:pt idx="101">
                  <c:v>93965.999999999985</c:v>
                </c:pt>
                <c:pt idx="102">
                  <c:v>94775.999999999985</c:v>
                </c:pt>
                <c:pt idx="103">
                  <c:v>95585.999999999985</c:v>
                </c:pt>
                <c:pt idx="104">
                  <c:v>96611.999999999985</c:v>
                </c:pt>
                <c:pt idx="105">
                  <c:v>97637.999999999985</c:v>
                </c:pt>
                <c:pt idx="106">
                  <c:v>98663.999999999985</c:v>
                </c:pt>
                <c:pt idx="107">
                  <c:v>99689.999999999985</c:v>
                </c:pt>
                <c:pt idx="108">
                  <c:v>100230.99999999999</c:v>
                </c:pt>
                <c:pt idx="109">
                  <c:v>100424.99999999999</c:v>
                </c:pt>
                <c:pt idx="110">
                  <c:v>101139.59999999999</c:v>
                </c:pt>
                <c:pt idx="111">
                  <c:v>101854.2</c:v>
                </c:pt>
                <c:pt idx="112">
                  <c:v>102568.8</c:v>
                </c:pt>
                <c:pt idx="113">
                  <c:v>103283.40000000001</c:v>
                </c:pt>
                <c:pt idx="114">
                  <c:v>104490.1</c:v>
                </c:pt>
                <c:pt idx="115">
                  <c:v>105696.8</c:v>
                </c:pt>
                <c:pt idx="116">
                  <c:v>106903.5</c:v>
                </c:pt>
                <c:pt idx="117">
                  <c:v>108110.2</c:v>
                </c:pt>
                <c:pt idx="118">
                  <c:v>109316.9</c:v>
                </c:pt>
                <c:pt idx="119">
                  <c:v>110523.59999999999</c:v>
                </c:pt>
                <c:pt idx="120">
                  <c:v>111069.49999999999</c:v>
                </c:pt>
                <c:pt idx="121">
                  <c:v>111615.39999999998</c:v>
                </c:pt>
                <c:pt idx="122">
                  <c:v>112161.29999999997</c:v>
                </c:pt>
                <c:pt idx="123">
                  <c:v>112827.29999999997</c:v>
                </c:pt>
                <c:pt idx="124">
                  <c:v>113493.29999999997</c:v>
                </c:pt>
                <c:pt idx="125">
                  <c:v>114335.29999999997</c:v>
                </c:pt>
                <c:pt idx="126">
                  <c:v>115177.29999999997</c:v>
                </c:pt>
                <c:pt idx="127">
                  <c:v>116019.29999999997</c:v>
                </c:pt>
                <c:pt idx="128">
                  <c:v>116861.29999999997</c:v>
                </c:pt>
                <c:pt idx="129">
                  <c:v>117462.89999999998</c:v>
                </c:pt>
                <c:pt idx="130">
                  <c:v>118064.49999999999</c:v>
                </c:pt>
                <c:pt idx="131">
                  <c:v>118666.09999999999</c:v>
                </c:pt>
                <c:pt idx="132">
                  <c:v>120031.09999999999</c:v>
                </c:pt>
                <c:pt idx="133">
                  <c:v>121396.09999999999</c:v>
                </c:pt>
                <c:pt idx="134">
                  <c:v>122761.09999999999</c:v>
                </c:pt>
                <c:pt idx="135">
                  <c:v>124126.09999999999</c:v>
                </c:pt>
                <c:pt idx="136">
                  <c:v>125491.09999999999</c:v>
                </c:pt>
                <c:pt idx="137">
                  <c:v>126856.09999999999</c:v>
                </c:pt>
                <c:pt idx="138">
                  <c:v>127503.09999999999</c:v>
                </c:pt>
                <c:pt idx="139">
                  <c:v>128150.09999999999</c:v>
                </c:pt>
                <c:pt idx="140">
                  <c:v>128797.09999999999</c:v>
                </c:pt>
                <c:pt idx="141">
                  <c:v>129444.09999999999</c:v>
                </c:pt>
                <c:pt idx="142">
                  <c:v>130091.09999999999</c:v>
                </c:pt>
                <c:pt idx="143">
                  <c:v>130738.09999999999</c:v>
                </c:pt>
                <c:pt idx="144">
                  <c:v>131385.09999999998</c:v>
                </c:pt>
                <c:pt idx="145">
                  <c:v>132032.09999999998</c:v>
                </c:pt>
                <c:pt idx="146">
                  <c:v>132807.99999999997</c:v>
                </c:pt>
                <c:pt idx="147">
                  <c:v>133583.89999999997</c:v>
                </c:pt>
                <c:pt idx="148">
                  <c:v>134359.79999999996</c:v>
                </c:pt>
                <c:pt idx="149">
                  <c:v>135135.69999999995</c:v>
                </c:pt>
                <c:pt idx="150">
                  <c:v>135895.69999999995</c:v>
                </c:pt>
                <c:pt idx="151">
                  <c:v>136655.69999999995</c:v>
                </c:pt>
                <c:pt idx="152">
                  <c:v>137415.69999999995</c:v>
                </c:pt>
                <c:pt idx="153">
                  <c:v>137724.69999999995</c:v>
                </c:pt>
                <c:pt idx="154">
                  <c:v>138286.69999999995</c:v>
                </c:pt>
                <c:pt idx="155">
                  <c:v>138848.69999999995</c:v>
                </c:pt>
                <c:pt idx="156">
                  <c:v>139410.69999999995</c:v>
                </c:pt>
                <c:pt idx="157">
                  <c:v>139972.69999999995</c:v>
                </c:pt>
                <c:pt idx="158">
                  <c:v>140633.69999999995</c:v>
                </c:pt>
                <c:pt idx="159">
                  <c:v>141294.69999999995</c:v>
                </c:pt>
                <c:pt idx="160">
                  <c:v>141955.69999999995</c:v>
                </c:pt>
                <c:pt idx="161">
                  <c:v>142526.39999999997</c:v>
                </c:pt>
                <c:pt idx="162">
                  <c:v>143097.09999999998</c:v>
                </c:pt>
                <c:pt idx="163">
                  <c:v>143667.79999999999</c:v>
                </c:pt>
                <c:pt idx="164">
                  <c:v>144238.5</c:v>
                </c:pt>
                <c:pt idx="165">
                  <c:v>144809.20000000001</c:v>
                </c:pt>
                <c:pt idx="166">
                  <c:v>145379.90000000002</c:v>
                </c:pt>
                <c:pt idx="167">
                  <c:v>145950.60000000003</c:v>
                </c:pt>
                <c:pt idx="168">
                  <c:v>147354.60000000003</c:v>
                </c:pt>
                <c:pt idx="169">
                  <c:v>148039.70000000004</c:v>
                </c:pt>
                <c:pt idx="170">
                  <c:v>148724.80000000005</c:v>
                </c:pt>
                <c:pt idx="171">
                  <c:v>149409.90000000005</c:v>
                </c:pt>
                <c:pt idx="172">
                  <c:v>149639.90000000005</c:v>
                </c:pt>
                <c:pt idx="173">
                  <c:v>149869.90000000005</c:v>
                </c:pt>
                <c:pt idx="174">
                  <c:v>150099.90000000005</c:v>
                </c:pt>
                <c:pt idx="175">
                  <c:v>150329.90000000005</c:v>
                </c:pt>
                <c:pt idx="176">
                  <c:v>150559.90000000005</c:v>
                </c:pt>
                <c:pt idx="177">
                  <c:v>150789.90000000005</c:v>
                </c:pt>
                <c:pt idx="178">
                  <c:v>151019.90000000005</c:v>
                </c:pt>
                <c:pt idx="179">
                  <c:v>151249.90000000005</c:v>
                </c:pt>
                <c:pt idx="180">
                  <c:v>151479.90000000005</c:v>
                </c:pt>
                <c:pt idx="181">
                  <c:v>152203.90000000005</c:v>
                </c:pt>
                <c:pt idx="182">
                  <c:v>153032.70000000004</c:v>
                </c:pt>
                <c:pt idx="183">
                  <c:v>153861.50000000003</c:v>
                </c:pt>
                <c:pt idx="184">
                  <c:v>154690.30000000002</c:v>
                </c:pt>
                <c:pt idx="185">
                  <c:v>155519.1</c:v>
                </c:pt>
                <c:pt idx="186">
                  <c:v>156347.9</c:v>
                </c:pt>
                <c:pt idx="187">
                  <c:v>157176.69999999998</c:v>
                </c:pt>
                <c:pt idx="188">
                  <c:v>158005.49999999997</c:v>
                </c:pt>
                <c:pt idx="189">
                  <c:v>158834.29999999996</c:v>
                </c:pt>
                <c:pt idx="190">
                  <c:v>160134.29999999996</c:v>
                </c:pt>
                <c:pt idx="191">
                  <c:v>161434.29999999996</c:v>
                </c:pt>
                <c:pt idx="192">
                  <c:v>162734.29999999996</c:v>
                </c:pt>
                <c:pt idx="193">
                  <c:v>163250.89999999997</c:v>
                </c:pt>
                <c:pt idx="194">
                  <c:v>163767.49999999997</c:v>
                </c:pt>
                <c:pt idx="195">
                  <c:v>164288.69999999998</c:v>
                </c:pt>
                <c:pt idx="196">
                  <c:v>164809.9</c:v>
                </c:pt>
                <c:pt idx="197">
                  <c:v>165331.1</c:v>
                </c:pt>
                <c:pt idx="198">
                  <c:v>165508.70000000001</c:v>
                </c:pt>
                <c:pt idx="199">
                  <c:v>165686.30000000002</c:v>
                </c:pt>
                <c:pt idx="200">
                  <c:v>165863.90000000002</c:v>
                </c:pt>
                <c:pt idx="201">
                  <c:v>166041.50000000003</c:v>
                </c:pt>
                <c:pt idx="202">
                  <c:v>166427.50000000003</c:v>
                </c:pt>
                <c:pt idx="203">
                  <c:v>166813.50000000003</c:v>
                </c:pt>
                <c:pt idx="204">
                  <c:v>167953.50000000003</c:v>
                </c:pt>
                <c:pt idx="205">
                  <c:v>169093.50000000003</c:v>
                </c:pt>
                <c:pt idx="206">
                  <c:v>170233.50000000003</c:v>
                </c:pt>
                <c:pt idx="207">
                  <c:v>171373.50000000003</c:v>
                </c:pt>
                <c:pt idx="208">
                  <c:v>172513.50000000003</c:v>
                </c:pt>
                <c:pt idx="209">
                  <c:v>173653.50000000003</c:v>
                </c:pt>
                <c:pt idx="210">
                  <c:v>174793.50000000003</c:v>
                </c:pt>
                <c:pt idx="211">
                  <c:v>175933.50000000003</c:v>
                </c:pt>
                <c:pt idx="212">
                  <c:v>177073.50000000003</c:v>
                </c:pt>
                <c:pt idx="213">
                  <c:v>178213.50000000003</c:v>
                </c:pt>
                <c:pt idx="214">
                  <c:v>179353.50000000003</c:v>
                </c:pt>
                <c:pt idx="215">
                  <c:v>180493.50000000003</c:v>
                </c:pt>
                <c:pt idx="216">
                  <c:v>181088.50000000003</c:v>
                </c:pt>
                <c:pt idx="217">
                  <c:v>181683.50000000003</c:v>
                </c:pt>
                <c:pt idx="218">
                  <c:v>182269.50000000003</c:v>
                </c:pt>
                <c:pt idx="219">
                  <c:v>182855.50000000003</c:v>
                </c:pt>
                <c:pt idx="220">
                  <c:v>183326.50000000003</c:v>
                </c:pt>
                <c:pt idx="221">
                  <c:v>184581.50000000003</c:v>
                </c:pt>
                <c:pt idx="222">
                  <c:v>185836.50000000003</c:v>
                </c:pt>
                <c:pt idx="223">
                  <c:v>185861.00000000003</c:v>
                </c:pt>
                <c:pt idx="224">
                  <c:v>186126.00000000003</c:v>
                </c:pt>
                <c:pt idx="225">
                  <c:v>186598.20000000004</c:v>
                </c:pt>
                <c:pt idx="226">
                  <c:v>186642.20000000004</c:v>
                </c:pt>
                <c:pt idx="227">
                  <c:v>186686.20000000004</c:v>
                </c:pt>
                <c:pt idx="228">
                  <c:v>186730.20000000004</c:v>
                </c:pt>
                <c:pt idx="229">
                  <c:v>186774.20000000004</c:v>
                </c:pt>
                <c:pt idx="230">
                  <c:v>186818.20000000004</c:v>
                </c:pt>
                <c:pt idx="231">
                  <c:v>186862.20000000004</c:v>
                </c:pt>
                <c:pt idx="232">
                  <c:v>186906.20000000004</c:v>
                </c:pt>
                <c:pt idx="233">
                  <c:v>186950.20000000004</c:v>
                </c:pt>
                <c:pt idx="234">
                  <c:v>186994.20000000004</c:v>
                </c:pt>
                <c:pt idx="235">
                  <c:v>187054.20000000004</c:v>
                </c:pt>
                <c:pt idx="236">
                  <c:v>187179.40000000005</c:v>
                </c:pt>
                <c:pt idx="237">
                  <c:v>187304.60000000006</c:v>
                </c:pt>
                <c:pt idx="238">
                  <c:v>187429.80000000008</c:v>
                </c:pt>
                <c:pt idx="239">
                  <c:v>188557.80000000008</c:v>
                </c:pt>
                <c:pt idx="240">
                  <c:v>189685.80000000008</c:v>
                </c:pt>
                <c:pt idx="241">
                  <c:v>190813.80000000008</c:v>
                </c:pt>
                <c:pt idx="242">
                  <c:v>191941.80000000008</c:v>
                </c:pt>
                <c:pt idx="243">
                  <c:v>193069.80000000008</c:v>
                </c:pt>
                <c:pt idx="244">
                  <c:v>194197.80000000008</c:v>
                </c:pt>
                <c:pt idx="245">
                  <c:v>195325.80000000008</c:v>
                </c:pt>
                <c:pt idx="246">
                  <c:v>196453.80000000008</c:v>
                </c:pt>
                <c:pt idx="247">
                  <c:v>196988.20000000007</c:v>
                </c:pt>
                <c:pt idx="248">
                  <c:v>197522.60000000006</c:v>
                </c:pt>
                <c:pt idx="249">
                  <c:v>197615.60000000006</c:v>
                </c:pt>
                <c:pt idx="250">
                  <c:v>198325.60000000006</c:v>
                </c:pt>
                <c:pt idx="251">
                  <c:v>198325.60000000006</c:v>
                </c:pt>
                <c:pt idx="252">
                  <c:v>198703.90000000005</c:v>
                </c:pt>
                <c:pt idx="253">
                  <c:v>198706.30000000005</c:v>
                </c:pt>
                <c:pt idx="254">
                  <c:v>198708.70000000004</c:v>
                </c:pt>
                <c:pt idx="255">
                  <c:v>198853.70000000004</c:v>
                </c:pt>
                <c:pt idx="256">
                  <c:v>199097.70000000004</c:v>
                </c:pt>
                <c:pt idx="257">
                  <c:v>199341.70000000004</c:v>
                </c:pt>
                <c:pt idx="258">
                  <c:v>199585.70000000004</c:v>
                </c:pt>
                <c:pt idx="259">
                  <c:v>199829.70000000004</c:v>
                </c:pt>
                <c:pt idx="260">
                  <c:v>200073.70000000004</c:v>
                </c:pt>
                <c:pt idx="261">
                  <c:v>200317.70000000004</c:v>
                </c:pt>
                <c:pt idx="262">
                  <c:v>200561.70000000004</c:v>
                </c:pt>
                <c:pt idx="263">
                  <c:v>200565.70000000004</c:v>
                </c:pt>
                <c:pt idx="264">
                  <c:v>200569.70000000004</c:v>
                </c:pt>
                <c:pt idx="265">
                  <c:v>200573.70000000004</c:v>
                </c:pt>
                <c:pt idx="266">
                  <c:v>200577.70000000004</c:v>
                </c:pt>
                <c:pt idx="267">
                  <c:v>200581.70000000004</c:v>
                </c:pt>
                <c:pt idx="268">
                  <c:v>200585.70000000004</c:v>
                </c:pt>
                <c:pt idx="269">
                  <c:v>200589.70000000004</c:v>
                </c:pt>
                <c:pt idx="270">
                  <c:v>200593.70000000004</c:v>
                </c:pt>
                <c:pt idx="271">
                  <c:v>200597.70000000004</c:v>
                </c:pt>
                <c:pt idx="272">
                  <c:v>200601.70000000004</c:v>
                </c:pt>
                <c:pt idx="273">
                  <c:v>202086.70000000004</c:v>
                </c:pt>
                <c:pt idx="274">
                  <c:v>203571.70000000004</c:v>
                </c:pt>
                <c:pt idx="275">
                  <c:v>205056.70000000004</c:v>
                </c:pt>
                <c:pt idx="276">
                  <c:v>206541.70000000004</c:v>
                </c:pt>
                <c:pt idx="277">
                  <c:v>208026.70000000004</c:v>
                </c:pt>
                <c:pt idx="278">
                  <c:v>209511.70000000004</c:v>
                </c:pt>
                <c:pt idx="279">
                  <c:v>210996.70000000004</c:v>
                </c:pt>
                <c:pt idx="280">
                  <c:v>212481.70000000004</c:v>
                </c:pt>
                <c:pt idx="281">
                  <c:v>212485.70000000004</c:v>
                </c:pt>
                <c:pt idx="282">
                  <c:v>212489.70000000004</c:v>
                </c:pt>
                <c:pt idx="283">
                  <c:v>212493.70000000004</c:v>
                </c:pt>
                <c:pt idx="284">
                  <c:v>212497.70000000004</c:v>
                </c:pt>
                <c:pt idx="285">
                  <c:v>212501.70000000004</c:v>
                </c:pt>
                <c:pt idx="286">
                  <c:v>214721.70000000004</c:v>
                </c:pt>
                <c:pt idx="287">
                  <c:v>214766.50000000003</c:v>
                </c:pt>
                <c:pt idx="288">
                  <c:v>214779.10000000003</c:v>
                </c:pt>
                <c:pt idx="289">
                  <c:v>214791.70000000004</c:v>
                </c:pt>
                <c:pt idx="290">
                  <c:v>214804.30000000005</c:v>
                </c:pt>
                <c:pt idx="291">
                  <c:v>214816.90000000005</c:v>
                </c:pt>
                <c:pt idx="292">
                  <c:v>214829.50000000006</c:v>
                </c:pt>
                <c:pt idx="293">
                  <c:v>214842.10000000006</c:v>
                </c:pt>
                <c:pt idx="294">
                  <c:v>214847.70000000007</c:v>
                </c:pt>
                <c:pt idx="295">
                  <c:v>216146.70000000007</c:v>
                </c:pt>
                <c:pt idx="296">
                  <c:v>218746.70000000007</c:v>
                </c:pt>
                <c:pt idx="297">
                  <c:v>221346.70000000007</c:v>
                </c:pt>
                <c:pt idx="298">
                  <c:v>222902.70000000007</c:v>
                </c:pt>
                <c:pt idx="299">
                  <c:v>224458.70000000007</c:v>
                </c:pt>
                <c:pt idx="300">
                  <c:v>225138.70000000007</c:v>
                </c:pt>
                <c:pt idx="301">
                  <c:v>225818.70000000007</c:v>
                </c:pt>
                <c:pt idx="302">
                  <c:v>225990.30000000008</c:v>
                </c:pt>
                <c:pt idx="303">
                  <c:v>226161.90000000008</c:v>
                </c:pt>
                <c:pt idx="304">
                  <c:v>226333.50000000009</c:v>
                </c:pt>
                <c:pt idx="305">
                  <c:v>226505.10000000009</c:v>
                </c:pt>
                <c:pt idx="306">
                  <c:v>226515.90000000008</c:v>
                </c:pt>
                <c:pt idx="307">
                  <c:v>226521.90000000008</c:v>
                </c:pt>
                <c:pt idx="308">
                  <c:v>226527.90000000008</c:v>
                </c:pt>
                <c:pt idx="309">
                  <c:v>226533.90000000008</c:v>
                </c:pt>
                <c:pt idx="310">
                  <c:v>226544.30000000008</c:v>
                </c:pt>
                <c:pt idx="311">
                  <c:v>226554.70000000007</c:v>
                </c:pt>
                <c:pt idx="312">
                  <c:v>226565.10000000006</c:v>
                </c:pt>
                <c:pt idx="313">
                  <c:v>226575.50000000006</c:v>
                </c:pt>
                <c:pt idx="314">
                  <c:v>226875.50000000006</c:v>
                </c:pt>
                <c:pt idx="315">
                  <c:v>227175.50000000006</c:v>
                </c:pt>
                <c:pt idx="316">
                  <c:v>227475.50000000006</c:v>
                </c:pt>
                <c:pt idx="317">
                  <c:v>227775.50000000006</c:v>
                </c:pt>
                <c:pt idx="318">
                  <c:v>228075.50000000006</c:v>
                </c:pt>
                <c:pt idx="319">
                  <c:v>228375.50000000006</c:v>
                </c:pt>
                <c:pt idx="320">
                  <c:v>231097.50000000006</c:v>
                </c:pt>
                <c:pt idx="321">
                  <c:v>233819.50000000006</c:v>
                </c:pt>
                <c:pt idx="322">
                  <c:v>235165.50000000006</c:v>
                </c:pt>
                <c:pt idx="323">
                  <c:v>236511.50000000006</c:v>
                </c:pt>
                <c:pt idx="324">
                  <c:v>237857.50000000006</c:v>
                </c:pt>
                <c:pt idx="325">
                  <c:v>239203.50000000006</c:v>
                </c:pt>
                <c:pt idx="326">
                  <c:v>240345.70000000007</c:v>
                </c:pt>
                <c:pt idx="327">
                  <c:v>241487.90000000008</c:v>
                </c:pt>
                <c:pt idx="328">
                  <c:v>242630.10000000009</c:v>
                </c:pt>
                <c:pt idx="329">
                  <c:v>243772.3000000001</c:v>
                </c:pt>
                <c:pt idx="330">
                  <c:v>244972.3000000001</c:v>
                </c:pt>
                <c:pt idx="331">
                  <c:v>246172.3000000001</c:v>
                </c:pt>
                <c:pt idx="332">
                  <c:v>247372.3000000001</c:v>
                </c:pt>
                <c:pt idx="333">
                  <c:v>247986.00000000012</c:v>
                </c:pt>
                <c:pt idx="334">
                  <c:v>248599.70000000013</c:v>
                </c:pt>
                <c:pt idx="335">
                  <c:v>249213.40000000014</c:v>
                </c:pt>
                <c:pt idx="336">
                  <c:v>249827.10000000015</c:v>
                </c:pt>
                <c:pt idx="337">
                  <c:v>249917.86000000016</c:v>
                </c:pt>
                <c:pt idx="338">
                  <c:v>250008.62000000017</c:v>
                </c:pt>
                <c:pt idx="339">
                  <c:v>250099.38000000018</c:v>
                </c:pt>
                <c:pt idx="340">
                  <c:v>250190.14000000019</c:v>
                </c:pt>
                <c:pt idx="341">
                  <c:v>250280.9000000002</c:v>
                </c:pt>
                <c:pt idx="342">
                  <c:v>250327.20000000019</c:v>
                </c:pt>
                <c:pt idx="343">
                  <c:v>250373.50000000017</c:v>
                </c:pt>
                <c:pt idx="344">
                  <c:v>250419.80000000016</c:v>
                </c:pt>
                <c:pt idx="345">
                  <c:v>250466.10000000015</c:v>
                </c:pt>
                <c:pt idx="346">
                  <c:v>250512.40000000014</c:v>
                </c:pt>
                <c:pt idx="347">
                  <c:v>250558.70000000013</c:v>
                </c:pt>
                <c:pt idx="348">
                  <c:v>250739.40000000014</c:v>
                </c:pt>
                <c:pt idx="349">
                  <c:v>250920.10000000015</c:v>
                </c:pt>
                <c:pt idx="350">
                  <c:v>251100.80000000016</c:v>
                </c:pt>
                <c:pt idx="351">
                  <c:v>251130.10000000015</c:v>
                </c:pt>
                <c:pt idx="352">
                  <c:v>252920.10000000015</c:v>
                </c:pt>
                <c:pt idx="353">
                  <c:v>254710.10000000015</c:v>
                </c:pt>
                <c:pt idx="354">
                  <c:v>256500.10000000015</c:v>
                </c:pt>
                <c:pt idx="355">
                  <c:v>257725.10000000015</c:v>
                </c:pt>
                <c:pt idx="356">
                  <c:v>258950.10000000015</c:v>
                </c:pt>
                <c:pt idx="357">
                  <c:v>260175.10000000015</c:v>
                </c:pt>
                <c:pt idx="358">
                  <c:v>261400.10000000015</c:v>
                </c:pt>
                <c:pt idx="359">
                  <c:v>261455.10000000015</c:v>
                </c:pt>
                <c:pt idx="360">
                  <c:v>262959.10000000015</c:v>
                </c:pt>
                <c:pt idx="361">
                  <c:v>264463.10000000015</c:v>
                </c:pt>
                <c:pt idx="362">
                  <c:v>265561.10000000015</c:v>
                </c:pt>
                <c:pt idx="363">
                  <c:v>266659.10000000015</c:v>
                </c:pt>
                <c:pt idx="364">
                  <c:v>267757.10000000015</c:v>
                </c:pt>
                <c:pt idx="365">
                  <c:v>268855.10000000015</c:v>
                </c:pt>
                <c:pt idx="366">
                  <c:v>269953.10000000015</c:v>
                </c:pt>
                <c:pt idx="367">
                  <c:v>270008.10000000015</c:v>
                </c:pt>
                <c:pt idx="368">
                  <c:v>270204.10000000015</c:v>
                </c:pt>
                <c:pt idx="369">
                  <c:v>270400.10000000015</c:v>
                </c:pt>
                <c:pt idx="370">
                  <c:v>270596.10000000015</c:v>
                </c:pt>
                <c:pt idx="371">
                  <c:v>271755.70000000013</c:v>
                </c:pt>
                <c:pt idx="372">
                  <c:v>272915.3000000001</c:v>
                </c:pt>
                <c:pt idx="373">
                  <c:v>273251.3000000001</c:v>
                </c:pt>
                <c:pt idx="374">
                  <c:v>274951.3000000001</c:v>
                </c:pt>
                <c:pt idx="375">
                  <c:v>276651.3000000001</c:v>
                </c:pt>
                <c:pt idx="376">
                  <c:v>276911.3000000001</c:v>
                </c:pt>
                <c:pt idx="377">
                  <c:v>278865.3000000001</c:v>
                </c:pt>
                <c:pt idx="378">
                  <c:v>278876.10000000009</c:v>
                </c:pt>
                <c:pt idx="379">
                  <c:v>278885.10000000009</c:v>
                </c:pt>
                <c:pt idx="380">
                  <c:v>278928.8000000001</c:v>
                </c:pt>
                <c:pt idx="381">
                  <c:v>280628.8000000001</c:v>
                </c:pt>
                <c:pt idx="382">
                  <c:v>282328.8000000001</c:v>
                </c:pt>
                <c:pt idx="383">
                  <c:v>282332.00000000012</c:v>
                </c:pt>
                <c:pt idx="384">
                  <c:v>285232.00000000012</c:v>
                </c:pt>
                <c:pt idx="385">
                  <c:v>288132.00000000012</c:v>
                </c:pt>
                <c:pt idx="386">
                  <c:v>291032.00000000012</c:v>
                </c:pt>
                <c:pt idx="387">
                  <c:v>292645.50000000012</c:v>
                </c:pt>
                <c:pt idx="388">
                  <c:v>294259.00000000012</c:v>
                </c:pt>
                <c:pt idx="389">
                  <c:v>295872.50000000012</c:v>
                </c:pt>
                <c:pt idx="390">
                  <c:v>297037.50000000012</c:v>
                </c:pt>
                <c:pt idx="391">
                  <c:v>298202.50000000012</c:v>
                </c:pt>
                <c:pt idx="392">
                  <c:v>299367.50000000012</c:v>
                </c:pt>
                <c:pt idx="393">
                  <c:v>300532.50000000012</c:v>
                </c:pt>
                <c:pt idx="394">
                  <c:v>301697.50000000012</c:v>
                </c:pt>
                <c:pt idx="395">
                  <c:v>301884.40000000014</c:v>
                </c:pt>
                <c:pt idx="396">
                  <c:v>302071.30000000016</c:v>
                </c:pt>
                <c:pt idx="397">
                  <c:v>302168.70000000019</c:v>
                </c:pt>
                <c:pt idx="398">
                  <c:v>302266.10000000021</c:v>
                </c:pt>
                <c:pt idx="399">
                  <c:v>302269.30000000022</c:v>
                </c:pt>
                <c:pt idx="400">
                  <c:v>302272.50000000023</c:v>
                </c:pt>
                <c:pt idx="401">
                  <c:v>302448.50000000023</c:v>
                </c:pt>
                <c:pt idx="402">
                  <c:v>303237.40000000026</c:v>
                </c:pt>
                <c:pt idx="403">
                  <c:v>304026.30000000028</c:v>
                </c:pt>
                <c:pt idx="404">
                  <c:v>304815.2000000003</c:v>
                </c:pt>
                <c:pt idx="405">
                  <c:v>305604.10000000033</c:v>
                </c:pt>
                <c:pt idx="406">
                  <c:v>306393.00000000035</c:v>
                </c:pt>
                <c:pt idx="407">
                  <c:v>307413.00000000035</c:v>
                </c:pt>
                <c:pt idx="408">
                  <c:v>308433.00000000035</c:v>
                </c:pt>
                <c:pt idx="409">
                  <c:v>309453.00000000035</c:v>
                </c:pt>
                <c:pt idx="410">
                  <c:v>310473.00000000035</c:v>
                </c:pt>
                <c:pt idx="411">
                  <c:v>311139.70000000036</c:v>
                </c:pt>
                <c:pt idx="412">
                  <c:v>311806.40000000037</c:v>
                </c:pt>
                <c:pt idx="413">
                  <c:v>312473.10000000038</c:v>
                </c:pt>
                <c:pt idx="414">
                  <c:v>313139.8000000004</c:v>
                </c:pt>
                <c:pt idx="415">
                  <c:v>313142.8000000004</c:v>
                </c:pt>
                <c:pt idx="416">
                  <c:v>313338.8000000004</c:v>
                </c:pt>
                <c:pt idx="417">
                  <c:v>313534.8000000004</c:v>
                </c:pt>
                <c:pt idx="418">
                  <c:v>313730.8000000004</c:v>
                </c:pt>
                <c:pt idx="419">
                  <c:v>313926.8000000004</c:v>
                </c:pt>
                <c:pt idx="420">
                  <c:v>315486.8000000004</c:v>
                </c:pt>
                <c:pt idx="421">
                  <c:v>317046.8000000004</c:v>
                </c:pt>
                <c:pt idx="422">
                  <c:v>318227.10000000038</c:v>
                </c:pt>
                <c:pt idx="423">
                  <c:v>319407.40000000037</c:v>
                </c:pt>
                <c:pt idx="424">
                  <c:v>320677.40000000037</c:v>
                </c:pt>
                <c:pt idx="425">
                  <c:v>321947.40000000037</c:v>
                </c:pt>
                <c:pt idx="426">
                  <c:v>322937.60000000038</c:v>
                </c:pt>
                <c:pt idx="427">
                  <c:v>323927.8000000004</c:v>
                </c:pt>
                <c:pt idx="428">
                  <c:v>324918.00000000041</c:v>
                </c:pt>
                <c:pt idx="429">
                  <c:v>325908.20000000042</c:v>
                </c:pt>
                <c:pt idx="430">
                  <c:v>326898.40000000043</c:v>
                </c:pt>
                <c:pt idx="431">
                  <c:v>327888.60000000044</c:v>
                </c:pt>
                <c:pt idx="432">
                  <c:v>328878.80000000045</c:v>
                </c:pt>
                <c:pt idx="433">
                  <c:v>329869.00000000047</c:v>
                </c:pt>
                <c:pt idx="434">
                  <c:v>330859.20000000048</c:v>
                </c:pt>
                <c:pt idx="435">
                  <c:v>331849.40000000049</c:v>
                </c:pt>
                <c:pt idx="436">
                  <c:v>332304.40000000049</c:v>
                </c:pt>
                <c:pt idx="437">
                  <c:v>332315.6000000005</c:v>
                </c:pt>
                <c:pt idx="438">
                  <c:v>332770.6000000005</c:v>
                </c:pt>
                <c:pt idx="439">
                  <c:v>333286.70000000048</c:v>
                </c:pt>
                <c:pt idx="440">
                  <c:v>333802.80000000045</c:v>
                </c:pt>
                <c:pt idx="441">
                  <c:v>334318.90000000043</c:v>
                </c:pt>
                <c:pt idx="442">
                  <c:v>334835.00000000041</c:v>
                </c:pt>
                <c:pt idx="443">
                  <c:v>335797.8000000004</c:v>
                </c:pt>
                <c:pt idx="444">
                  <c:v>336760.60000000038</c:v>
                </c:pt>
                <c:pt idx="445">
                  <c:v>337723.40000000037</c:v>
                </c:pt>
                <c:pt idx="446">
                  <c:v>338686.20000000036</c:v>
                </c:pt>
                <c:pt idx="447">
                  <c:v>339649.00000000035</c:v>
                </c:pt>
                <c:pt idx="448">
                  <c:v>340611.80000000034</c:v>
                </c:pt>
                <c:pt idx="449">
                  <c:v>341574.60000000033</c:v>
                </c:pt>
                <c:pt idx="450">
                  <c:v>342537.40000000031</c:v>
                </c:pt>
                <c:pt idx="451">
                  <c:v>343500.2000000003</c:v>
                </c:pt>
                <c:pt idx="452">
                  <c:v>344463.00000000029</c:v>
                </c:pt>
                <c:pt idx="453">
                  <c:v>345425.80000000028</c:v>
                </c:pt>
                <c:pt idx="454">
                  <c:v>346388.60000000027</c:v>
                </c:pt>
                <c:pt idx="455">
                  <c:v>347351.40000000026</c:v>
                </c:pt>
                <c:pt idx="456">
                  <c:v>348314.20000000024</c:v>
                </c:pt>
                <c:pt idx="457">
                  <c:v>349277.00000000023</c:v>
                </c:pt>
                <c:pt idx="458">
                  <c:v>349290.50000000023</c:v>
                </c:pt>
                <c:pt idx="459">
                  <c:v>349994.91000000021</c:v>
                </c:pt>
                <c:pt idx="460">
                  <c:v>350699.32000000018</c:v>
                </c:pt>
                <c:pt idx="461">
                  <c:v>351403.73000000016</c:v>
                </c:pt>
                <c:pt idx="462">
                  <c:v>352108.14000000013</c:v>
                </c:pt>
                <c:pt idx="463">
                  <c:v>352648.14000000013</c:v>
                </c:pt>
                <c:pt idx="464">
                  <c:v>353188.14000000013</c:v>
                </c:pt>
                <c:pt idx="465">
                  <c:v>353728.14000000013</c:v>
                </c:pt>
                <c:pt idx="466">
                  <c:v>354268.14000000013</c:v>
                </c:pt>
                <c:pt idx="467">
                  <c:v>354808.14000000013</c:v>
                </c:pt>
                <c:pt idx="468">
                  <c:v>355348.14000000013</c:v>
                </c:pt>
                <c:pt idx="469">
                  <c:v>355888.14000000013</c:v>
                </c:pt>
                <c:pt idx="470">
                  <c:v>356428.14000000013</c:v>
                </c:pt>
                <c:pt idx="471">
                  <c:v>356968.14000000013</c:v>
                </c:pt>
                <c:pt idx="472">
                  <c:v>357508.14000000013</c:v>
                </c:pt>
                <c:pt idx="473">
                  <c:v>358048.14000000013</c:v>
                </c:pt>
                <c:pt idx="474">
                  <c:v>358588.14000000013</c:v>
                </c:pt>
                <c:pt idx="475">
                  <c:v>359128.14000000013</c:v>
                </c:pt>
                <c:pt idx="476">
                  <c:v>359668.14000000013</c:v>
                </c:pt>
                <c:pt idx="477">
                  <c:v>360208.14000000013</c:v>
                </c:pt>
                <c:pt idx="478">
                  <c:v>360748.14000000013</c:v>
                </c:pt>
                <c:pt idx="479">
                  <c:v>361288.14000000013</c:v>
                </c:pt>
                <c:pt idx="480">
                  <c:v>361828.14000000013</c:v>
                </c:pt>
                <c:pt idx="481">
                  <c:v>361840.64000000013</c:v>
                </c:pt>
                <c:pt idx="482">
                  <c:v>363013.64000000013</c:v>
                </c:pt>
                <c:pt idx="483">
                  <c:v>364186.64000000013</c:v>
                </c:pt>
                <c:pt idx="484">
                  <c:v>365359.64000000013</c:v>
                </c:pt>
                <c:pt idx="485">
                  <c:v>366532.64000000013</c:v>
                </c:pt>
                <c:pt idx="486">
                  <c:v>367705.64000000013</c:v>
                </c:pt>
                <c:pt idx="487">
                  <c:v>368878.64000000013</c:v>
                </c:pt>
                <c:pt idx="488">
                  <c:v>369240.84000000014</c:v>
                </c:pt>
                <c:pt idx="489">
                  <c:v>369603.04000000015</c:v>
                </c:pt>
                <c:pt idx="490">
                  <c:v>369965.24000000017</c:v>
                </c:pt>
                <c:pt idx="491">
                  <c:v>370115.24000000017</c:v>
                </c:pt>
                <c:pt idx="492">
                  <c:v>370265.24000000017</c:v>
                </c:pt>
                <c:pt idx="493">
                  <c:v>370415.24000000017</c:v>
                </c:pt>
                <c:pt idx="494">
                  <c:v>370565.24000000017</c:v>
                </c:pt>
                <c:pt idx="495">
                  <c:v>370785.24000000017</c:v>
                </c:pt>
                <c:pt idx="496">
                  <c:v>371126.24000000017</c:v>
                </c:pt>
                <c:pt idx="497">
                  <c:v>371467.24000000017</c:v>
                </c:pt>
                <c:pt idx="498">
                  <c:v>371527.24000000017</c:v>
                </c:pt>
                <c:pt idx="499">
                  <c:v>372938.24000000017</c:v>
                </c:pt>
                <c:pt idx="500">
                  <c:v>374349.24000000017</c:v>
                </c:pt>
                <c:pt idx="501">
                  <c:v>375760.24000000017</c:v>
                </c:pt>
                <c:pt idx="502">
                  <c:v>376560.24000000017</c:v>
                </c:pt>
                <c:pt idx="503">
                  <c:v>377360.24000000017</c:v>
                </c:pt>
                <c:pt idx="504">
                  <c:v>378160.24000000017</c:v>
                </c:pt>
                <c:pt idx="505">
                  <c:v>378960.24000000017</c:v>
                </c:pt>
                <c:pt idx="506">
                  <c:v>379760.24000000017</c:v>
                </c:pt>
                <c:pt idx="507">
                  <c:v>380560.24000000017</c:v>
                </c:pt>
                <c:pt idx="508">
                  <c:v>381360.24000000017</c:v>
                </c:pt>
                <c:pt idx="509">
                  <c:v>382160.24000000017</c:v>
                </c:pt>
                <c:pt idx="510">
                  <c:v>382960.24000000017</c:v>
                </c:pt>
                <c:pt idx="511">
                  <c:v>382971.44000000018</c:v>
                </c:pt>
                <c:pt idx="512">
                  <c:v>383581.44000000018</c:v>
                </c:pt>
                <c:pt idx="513">
                  <c:v>383679.44000000018</c:v>
                </c:pt>
                <c:pt idx="514">
                  <c:v>384556.54000000015</c:v>
                </c:pt>
                <c:pt idx="515">
                  <c:v>385433.64000000013</c:v>
                </c:pt>
                <c:pt idx="516">
                  <c:v>385747.64000000013</c:v>
                </c:pt>
                <c:pt idx="517">
                  <c:v>386061.64000000013</c:v>
                </c:pt>
                <c:pt idx="518">
                  <c:v>386187.64000000013</c:v>
                </c:pt>
                <c:pt idx="519">
                  <c:v>386708.64000000013</c:v>
                </c:pt>
                <c:pt idx="520">
                  <c:v>386945.14000000013</c:v>
                </c:pt>
                <c:pt idx="521">
                  <c:v>387181.64000000013</c:v>
                </c:pt>
                <c:pt idx="522">
                  <c:v>387418.14000000013</c:v>
                </c:pt>
                <c:pt idx="523">
                  <c:v>387654.64000000013</c:v>
                </c:pt>
                <c:pt idx="524">
                  <c:v>387891.14000000013</c:v>
                </c:pt>
                <c:pt idx="525">
                  <c:v>388127.64000000013</c:v>
                </c:pt>
                <c:pt idx="526">
                  <c:v>388364.14000000013</c:v>
                </c:pt>
                <c:pt idx="527">
                  <c:v>388600.64000000013</c:v>
                </c:pt>
                <c:pt idx="528">
                  <c:v>388837.14000000013</c:v>
                </c:pt>
                <c:pt idx="529">
                  <c:v>389437.14000000013</c:v>
                </c:pt>
                <c:pt idx="530">
                  <c:v>389884.74000000011</c:v>
                </c:pt>
                <c:pt idx="531">
                  <c:v>390332.34000000008</c:v>
                </c:pt>
                <c:pt idx="532">
                  <c:v>390779.94000000006</c:v>
                </c:pt>
                <c:pt idx="533">
                  <c:v>391227.54000000004</c:v>
                </c:pt>
                <c:pt idx="534">
                  <c:v>391631.34</c:v>
                </c:pt>
                <c:pt idx="535">
                  <c:v>392035.14</c:v>
                </c:pt>
                <c:pt idx="536">
                  <c:v>392043.14</c:v>
                </c:pt>
                <c:pt idx="537">
                  <c:v>392139.94</c:v>
                </c:pt>
                <c:pt idx="538">
                  <c:v>392236.74</c:v>
                </c:pt>
                <c:pt idx="539">
                  <c:v>392239.94</c:v>
                </c:pt>
                <c:pt idx="540">
                  <c:v>392723.94</c:v>
                </c:pt>
                <c:pt idx="541">
                  <c:v>393207.94</c:v>
                </c:pt>
                <c:pt idx="542">
                  <c:v>393691.94</c:v>
                </c:pt>
                <c:pt idx="543">
                  <c:v>395391.94</c:v>
                </c:pt>
                <c:pt idx="544">
                  <c:v>397091.94</c:v>
                </c:pt>
                <c:pt idx="545">
                  <c:v>397687.94</c:v>
                </c:pt>
                <c:pt idx="546">
                  <c:v>398283.94</c:v>
                </c:pt>
                <c:pt idx="547">
                  <c:v>398879.94</c:v>
                </c:pt>
                <c:pt idx="548">
                  <c:v>399475.94</c:v>
                </c:pt>
                <c:pt idx="549">
                  <c:v>399953.94</c:v>
                </c:pt>
                <c:pt idx="550">
                  <c:v>400431.94</c:v>
                </c:pt>
                <c:pt idx="551">
                  <c:v>400909.94</c:v>
                </c:pt>
                <c:pt idx="552">
                  <c:v>400916.34</c:v>
                </c:pt>
                <c:pt idx="553">
                  <c:v>400924.14</c:v>
                </c:pt>
                <c:pt idx="554">
                  <c:v>400931.94</c:v>
                </c:pt>
                <c:pt idx="555">
                  <c:v>400939.74</c:v>
                </c:pt>
                <c:pt idx="556">
                  <c:v>400947.54</c:v>
                </c:pt>
                <c:pt idx="557">
                  <c:v>400955.33999999997</c:v>
                </c:pt>
                <c:pt idx="558">
                  <c:v>400963.13999999996</c:v>
                </c:pt>
                <c:pt idx="559">
                  <c:v>400970.93999999994</c:v>
                </c:pt>
                <c:pt idx="560">
                  <c:v>400978.73999999993</c:v>
                </c:pt>
                <c:pt idx="561">
                  <c:v>400986.53999999992</c:v>
                </c:pt>
                <c:pt idx="562">
                  <c:v>400994.33999999991</c:v>
                </c:pt>
                <c:pt idx="563">
                  <c:v>401002.1399999999</c:v>
                </c:pt>
                <c:pt idx="564">
                  <c:v>401009.93999999989</c:v>
                </c:pt>
                <c:pt idx="565">
                  <c:v>401017.73999999987</c:v>
                </c:pt>
                <c:pt idx="566">
                  <c:v>401025.53999999986</c:v>
                </c:pt>
                <c:pt idx="567">
                  <c:v>401033.33999999985</c:v>
                </c:pt>
                <c:pt idx="568">
                  <c:v>401333.33999999985</c:v>
                </c:pt>
                <c:pt idx="569">
                  <c:v>401633.33999999985</c:v>
                </c:pt>
                <c:pt idx="570">
                  <c:v>401933.33999999985</c:v>
                </c:pt>
                <c:pt idx="571">
                  <c:v>402233.33999999985</c:v>
                </c:pt>
                <c:pt idx="572">
                  <c:v>402533.33999999985</c:v>
                </c:pt>
                <c:pt idx="573">
                  <c:v>402539.33999999985</c:v>
                </c:pt>
                <c:pt idx="574">
                  <c:v>402545.33999999985</c:v>
                </c:pt>
                <c:pt idx="575">
                  <c:v>402551.33999999985</c:v>
                </c:pt>
                <c:pt idx="576">
                  <c:v>402557.33999999985</c:v>
                </c:pt>
                <c:pt idx="577">
                  <c:v>402563.33999999985</c:v>
                </c:pt>
                <c:pt idx="578">
                  <c:v>402569.33999999985</c:v>
                </c:pt>
                <c:pt idx="579">
                  <c:v>402575.33999999985</c:v>
                </c:pt>
                <c:pt idx="580">
                  <c:v>402581.33999999985</c:v>
                </c:pt>
                <c:pt idx="581">
                  <c:v>402581.33999999985</c:v>
                </c:pt>
                <c:pt idx="582">
                  <c:v>402587.33999999985</c:v>
                </c:pt>
                <c:pt idx="583">
                  <c:v>405042.33999999985</c:v>
                </c:pt>
                <c:pt idx="584">
                  <c:v>407497.33999999985</c:v>
                </c:pt>
                <c:pt idx="585">
                  <c:v>409952.33999999985</c:v>
                </c:pt>
                <c:pt idx="586">
                  <c:v>410276.23999999987</c:v>
                </c:pt>
                <c:pt idx="587">
                  <c:v>410508.23999999987</c:v>
                </c:pt>
                <c:pt idx="588">
                  <c:v>410740.23999999987</c:v>
                </c:pt>
                <c:pt idx="589">
                  <c:v>410973.33999999985</c:v>
                </c:pt>
                <c:pt idx="590">
                  <c:v>411206.43999999983</c:v>
                </c:pt>
                <c:pt idx="591">
                  <c:v>411439.5399999998</c:v>
                </c:pt>
                <c:pt idx="592">
                  <c:v>411672.63999999978</c:v>
                </c:pt>
                <c:pt idx="593">
                  <c:v>413287.33999999979</c:v>
                </c:pt>
                <c:pt idx="594">
                  <c:v>413292.43999999977</c:v>
                </c:pt>
                <c:pt idx="595">
                  <c:v>413617.43999999977</c:v>
                </c:pt>
                <c:pt idx="596">
                  <c:v>413942.43999999977</c:v>
                </c:pt>
                <c:pt idx="597">
                  <c:v>414267.43999999977</c:v>
                </c:pt>
                <c:pt idx="598">
                  <c:v>414272.43999999977</c:v>
                </c:pt>
                <c:pt idx="599">
                  <c:v>414593.63999999978</c:v>
                </c:pt>
                <c:pt idx="600">
                  <c:v>414914.83999999979</c:v>
                </c:pt>
                <c:pt idx="601">
                  <c:v>415236.0399999998</c:v>
                </c:pt>
                <c:pt idx="602">
                  <c:v>415557.23999999982</c:v>
                </c:pt>
                <c:pt idx="603">
                  <c:v>416015.13999999984</c:v>
                </c:pt>
                <c:pt idx="604">
                  <c:v>416473.03999999986</c:v>
                </c:pt>
                <c:pt idx="605">
                  <c:v>416930.93999999989</c:v>
                </c:pt>
                <c:pt idx="606">
                  <c:v>417388.83999999991</c:v>
                </c:pt>
                <c:pt idx="607">
                  <c:v>417846.73999999993</c:v>
                </c:pt>
                <c:pt idx="608">
                  <c:v>418304.63999999996</c:v>
                </c:pt>
                <c:pt idx="609">
                  <c:v>418745.63999999996</c:v>
                </c:pt>
                <c:pt idx="610">
                  <c:v>419186.63999999996</c:v>
                </c:pt>
                <c:pt idx="611">
                  <c:v>419627.63999999996</c:v>
                </c:pt>
                <c:pt idx="612">
                  <c:v>420122.63999999996</c:v>
                </c:pt>
                <c:pt idx="613">
                  <c:v>420617.63999999996</c:v>
                </c:pt>
                <c:pt idx="614">
                  <c:v>421112.63999999996</c:v>
                </c:pt>
                <c:pt idx="615">
                  <c:v>421270.63999999996</c:v>
                </c:pt>
                <c:pt idx="616">
                  <c:v>421428.63999999996</c:v>
                </c:pt>
                <c:pt idx="617">
                  <c:v>421586.63999999996</c:v>
                </c:pt>
                <c:pt idx="618">
                  <c:v>421591.43999999994</c:v>
                </c:pt>
                <c:pt idx="619">
                  <c:v>421595.93999999994</c:v>
                </c:pt>
                <c:pt idx="620">
                  <c:v>421599.13999999996</c:v>
                </c:pt>
                <c:pt idx="621">
                  <c:v>422481.13999999996</c:v>
                </c:pt>
                <c:pt idx="622">
                  <c:v>423363.13999999996</c:v>
                </c:pt>
                <c:pt idx="623">
                  <c:v>424245.13999999996</c:v>
                </c:pt>
                <c:pt idx="624">
                  <c:v>425127.13999999996</c:v>
                </c:pt>
                <c:pt idx="625">
                  <c:v>425130.13999999996</c:v>
                </c:pt>
                <c:pt idx="626">
                  <c:v>425133.13999999996</c:v>
                </c:pt>
                <c:pt idx="627">
                  <c:v>425136.13999999996</c:v>
                </c:pt>
                <c:pt idx="628">
                  <c:v>425139.13999999996</c:v>
                </c:pt>
                <c:pt idx="629">
                  <c:v>425144.13999999996</c:v>
                </c:pt>
                <c:pt idx="630">
                  <c:v>426098.13999999996</c:v>
                </c:pt>
                <c:pt idx="631">
                  <c:v>427052.13999999996</c:v>
                </c:pt>
                <c:pt idx="632">
                  <c:v>428006.13999999996</c:v>
                </c:pt>
                <c:pt idx="633">
                  <c:v>428960.13999999996</c:v>
                </c:pt>
                <c:pt idx="634">
                  <c:v>429914.13999999996</c:v>
                </c:pt>
                <c:pt idx="635">
                  <c:v>430868.13999999996</c:v>
                </c:pt>
                <c:pt idx="636">
                  <c:v>431822.13999999996</c:v>
                </c:pt>
                <c:pt idx="637">
                  <c:v>432776.13999999996</c:v>
                </c:pt>
                <c:pt idx="638">
                  <c:v>434049.13999999996</c:v>
                </c:pt>
                <c:pt idx="639">
                  <c:v>435322.13999999996</c:v>
                </c:pt>
                <c:pt idx="640">
                  <c:v>435322.13999999996</c:v>
                </c:pt>
                <c:pt idx="641">
                  <c:v>435432.13999999996</c:v>
                </c:pt>
                <c:pt idx="642">
                  <c:v>435436.13999999996</c:v>
                </c:pt>
                <c:pt idx="643">
                  <c:v>435440.93999999994</c:v>
                </c:pt>
                <c:pt idx="644">
                  <c:v>435767.23999999993</c:v>
                </c:pt>
                <c:pt idx="645">
                  <c:v>436093.53999999992</c:v>
                </c:pt>
                <c:pt idx="646">
                  <c:v>436419.83999999991</c:v>
                </c:pt>
                <c:pt idx="647">
                  <c:v>436852.43999999989</c:v>
                </c:pt>
                <c:pt idx="648">
                  <c:v>437285.03999999986</c:v>
                </c:pt>
                <c:pt idx="649">
                  <c:v>437717.63999999984</c:v>
                </c:pt>
                <c:pt idx="650">
                  <c:v>437863.23999999982</c:v>
                </c:pt>
                <c:pt idx="651">
                  <c:v>438008.83999999979</c:v>
                </c:pt>
                <c:pt idx="652">
                  <c:v>438154.43999999977</c:v>
                </c:pt>
                <c:pt idx="653">
                  <c:v>438300.03999999975</c:v>
                </c:pt>
                <c:pt idx="654">
                  <c:v>438599.03999999975</c:v>
                </c:pt>
                <c:pt idx="655">
                  <c:v>438898.03999999975</c:v>
                </c:pt>
                <c:pt idx="656">
                  <c:v>439200.53999999975</c:v>
                </c:pt>
                <c:pt idx="657">
                  <c:v>439503.03999999975</c:v>
                </c:pt>
                <c:pt idx="658">
                  <c:v>439805.53999999975</c:v>
                </c:pt>
                <c:pt idx="659">
                  <c:v>440108.03999999975</c:v>
                </c:pt>
                <c:pt idx="660">
                  <c:v>440410.53999999975</c:v>
                </c:pt>
                <c:pt idx="661">
                  <c:v>440654.03999999975</c:v>
                </c:pt>
                <c:pt idx="662">
                  <c:v>440897.53999999975</c:v>
                </c:pt>
                <c:pt idx="663">
                  <c:v>441141.03999999975</c:v>
                </c:pt>
                <c:pt idx="664">
                  <c:v>441384.53999999975</c:v>
                </c:pt>
                <c:pt idx="665">
                  <c:v>441628.03999999975</c:v>
                </c:pt>
                <c:pt idx="666">
                  <c:v>441871.53999999975</c:v>
                </c:pt>
                <c:pt idx="667">
                  <c:v>442115.03999999975</c:v>
                </c:pt>
                <c:pt idx="668">
                  <c:v>443227.03999999975</c:v>
                </c:pt>
                <c:pt idx="669">
                  <c:v>444339.03999999975</c:v>
                </c:pt>
                <c:pt idx="670">
                  <c:v>444363.53999999975</c:v>
                </c:pt>
                <c:pt idx="671">
                  <c:v>444388.03999999975</c:v>
                </c:pt>
                <c:pt idx="672">
                  <c:v>444412.53999999975</c:v>
                </c:pt>
                <c:pt idx="673">
                  <c:v>444437.03999999975</c:v>
                </c:pt>
                <c:pt idx="674">
                  <c:v>444924.93999999977</c:v>
                </c:pt>
                <c:pt idx="675">
                  <c:v>445412.83999999979</c:v>
                </c:pt>
                <c:pt idx="676">
                  <c:v>445900.73999999982</c:v>
                </c:pt>
                <c:pt idx="677">
                  <c:v>446388.63999999984</c:v>
                </c:pt>
                <c:pt idx="678">
                  <c:v>446838.63999999984</c:v>
                </c:pt>
                <c:pt idx="679">
                  <c:v>447288.63999999984</c:v>
                </c:pt>
                <c:pt idx="680">
                  <c:v>447738.63999999984</c:v>
                </c:pt>
                <c:pt idx="681">
                  <c:v>448188.63999999984</c:v>
                </c:pt>
                <c:pt idx="682">
                  <c:v>448638.63999999984</c:v>
                </c:pt>
                <c:pt idx="683">
                  <c:v>449088.63999999984</c:v>
                </c:pt>
                <c:pt idx="684">
                  <c:v>449088.63999999984</c:v>
                </c:pt>
                <c:pt idx="685">
                  <c:v>449088.63999999984</c:v>
                </c:pt>
                <c:pt idx="686">
                  <c:v>449589.13999999984</c:v>
                </c:pt>
                <c:pt idx="687">
                  <c:v>450089.63999999984</c:v>
                </c:pt>
                <c:pt idx="688">
                  <c:v>450590.13999999984</c:v>
                </c:pt>
                <c:pt idx="689">
                  <c:v>451090.63999999984</c:v>
                </c:pt>
                <c:pt idx="690">
                  <c:v>451591.13999999984</c:v>
                </c:pt>
                <c:pt idx="691">
                  <c:v>451598.33999999985</c:v>
                </c:pt>
                <c:pt idx="692">
                  <c:v>451865.83999999985</c:v>
                </c:pt>
                <c:pt idx="693">
                  <c:v>452133.33999999985</c:v>
                </c:pt>
                <c:pt idx="694">
                  <c:v>452400.83999999985</c:v>
                </c:pt>
                <c:pt idx="695">
                  <c:v>452668.33999999985</c:v>
                </c:pt>
                <c:pt idx="696">
                  <c:v>452935.83999999985</c:v>
                </c:pt>
                <c:pt idx="697">
                  <c:v>453047.83999999985</c:v>
                </c:pt>
                <c:pt idx="698">
                  <c:v>453062.23999999987</c:v>
                </c:pt>
                <c:pt idx="699">
                  <c:v>453066.83999999985</c:v>
                </c:pt>
                <c:pt idx="700">
                  <c:v>453076.83999999985</c:v>
                </c:pt>
                <c:pt idx="701">
                  <c:v>453832.43999999983</c:v>
                </c:pt>
                <c:pt idx="702">
                  <c:v>454588.0399999998</c:v>
                </c:pt>
                <c:pt idx="703">
                  <c:v>455343.63999999978</c:v>
                </c:pt>
                <c:pt idx="704">
                  <c:v>456099.23999999976</c:v>
                </c:pt>
                <c:pt idx="705">
                  <c:v>456854.83999999973</c:v>
                </c:pt>
                <c:pt idx="706">
                  <c:v>457610.43999999971</c:v>
                </c:pt>
                <c:pt idx="707">
                  <c:v>458366.03999999969</c:v>
                </c:pt>
                <c:pt idx="708">
                  <c:v>459121.63999999966</c:v>
                </c:pt>
                <c:pt idx="709">
                  <c:v>459877.23999999964</c:v>
                </c:pt>
                <c:pt idx="710">
                  <c:v>460343.23999999964</c:v>
                </c:pt>
                <c:pt idx="711">
                  <c:v>460809.23999999964</c:v>
                </c:pt>
                <c:pt idx="712">
                  <c:v>461275.23999999964</c:v>
                </c:pt>
                <c:pt idx="713">
                  <c:v>461741.23999999964</c:v>
                </c:pt>
                <c:pt idx="714">
                  <c:v>462207.23999999964</c:v>
                </c:pt>
                <c:pt idx="715">
                  <c:v>462211.23999999964</c:v>
                </c:pt>
                <c:pt idx="716">
                  <c:v>462215.23999999964</c:v>
                </c:pt>
                <c:pt idx="717">
                  <c:v>462385.23999999964</c:v>
                </c:pt>
                <c:pt idx="718">
                  <c:v>462555.23999999964</c:v>
                </c:pt>
                <c:pt idx="719">
                  <c:v>462725.23999999964</c:v>
                </c:pt>
                <c:pt idx="720">
                  <c:v>462877.93999999965</c:v>
                </c:pt>
                <c:pt idx="721">
                  <c:v>462881.93999999965</c:v>
                </c:pt>
                <c:pt idx="722">
                  <c:v>462884.43999999965</c:v>
                </c:pt>
                <c:pt idx="723">
                  <c:v>463152.43999999965</c:v>
                </c:pt>
                <c:pt idx="724">
                  <c:v>463252.43999999965</c:v>
                </c:pt>
                <c:pt idx="725">
                  <c:v>463352.43999999965</c:v>
                </c:pt>
                <c:pt idx="726">
                  <c:v>463452.43999999965</c:v>
                </c:pt>
                <c:pt idx="727">
                  <c:v>463552.43999999965</c:v>
                </c:pt>
                <c:pt idx="728">
                  <c:v>463593.43999999965</c:v>
                </c:pt>
                <c:pt idx="729">
                  <c:v>463596.63999999966</c:v>
                </c:pt>
                <c:pt idx="730">
                  <c:v>463936.63999999966</c:v>
                </c:pt>
                <c:pt idx="731">
                  <c:v>464276.63999999966</c:v>
                </c:pt>
                <c:pt idx="732">
                  <c:v>464616.63999999966</c:v>
                </c:pt>
                <c:pt idx="733">
                  <c:v>464956.63999999966</c:v>
                </c:pt>
                <c:pt idx="734">
                  <c:v>465416.63999999966</c:v>
                </c:pt>
                <c:pt idx="735">
                  <c:v>465876.63999999966</c:v>
                </c:pt>
                <c:pt idx="736">
                  <c:v>466473.73999999964</c:v>
                </c:pt>
                <c:pt idx="737">
                  <c:v>467070.83999999962</c:v>
                </c:pt>
                <c:pt idx="738">
                  <c:v>467667.93999999959</c:v>
                </c:pt>
                <c:pt idx="739">
                  <c:v>468265.03999999957</c:v>
                </c:pt>
                <c:pt idx="740">
                  <c:v>468862.13999999955</c:v>
                </c:pt>
                <c:pt idx="741">
                  <c:v>469459.23999999953</c:v>
                </c:pt>
                <c:pt idx="742">
                  <c:v>470056.3399999995</c:v>
                </c:pt>
                <c:pt idx="743">
                  <c:v>470280.3399999995</c:v>
                </c:pt>
                <c:pt idx="744">
                  <c:v>470504.3399999995</c:v>
                </c:pt>
                <c:pt idx="745">
                  <c:v>470728.3399999995</c:v>
                </c:pt>
                <c:pt idx="746">
                  <c:v>470952.3399999995</c:v>
                </c:pt>
                <c:pt idx="747">
                  <c:v>471176.3399999995</c:v>
                </c:pt>
                <c:pt idx="748">
                  <c:v>471400.3399999995</c:v>
                </c:pt>
                <c:pt idx="749">
                  <c:v>471624.3399999995</c:v>
                </c:pt>
                <c:pt idx="750">
                  <c:v>472104.3399999995</c:v>
                </c:pt>
                <c:pt idx="751">
                  <c:v>472584.3399999995</c:v>
                </c:pt>
                <c:pt idx="752">
                  <c:v>473064.3399999995</c:v>
                </c:pt>
                <c:pt idx="753">
                  <c:v>473544.3399999995</c:v>
                </c:pt>
                <c:pt idx="754">
                  <c:v>474024.3399999995</c:v>
                </c:pt>
                <c:pt idx="755">
                  <c:v>474504.3399999995</c:v>
                </c:pt>
                <c:pt idx="756">
                  <c:v>474541.3399999995</c:v>
                </c:pt>
                <c:pt idx="757">
                  <c:v>474578.3399999995</c:v>
                </c:pt>
                <c:pt idx="758">
                  <c:v>474615.3399999995</c:v>
                </c:pt>
                <c:pt idx="759">
                  <c:v>474652.3399999995</c:v>
                </c:pt>
                <c:pt idx="760">
                  <c:v>474689.3399999995</c:v>
                </c:pt>
                <c:pt idx="761">
                  <c:v>474726.3399999995</c:v>
                </c:pt>
                <c:pt idx="762">
                  <c:v>474763.3399999995</c:v>
                </c:pt>
                <c:pt idx="763">
                  <c:v>474800.3399999995</c:v>
                </c:pt>
                <c:pt idx="764">
                  <c:v>474837.3399999995</c:v>
                </c:pt>
                <c:pt idx="765">
                  <c:v>474874.3399999995</c:v>
                </c:pt>
                <c:pt idx="766">
                  <c:v>474911.3399999995</c:v>
                </c:pt>
                <c:pt idx="767">
                  <c:v>474948.3399999995</c:v>
                </c:pt>
                <c:pt idx="768">
                  <c:v>474985.3399999995</c:v>
                </c:pt>
                <c:pt idx="769">
                  <c:v>475022.3399999995</c:v>
                </c:pt>
                <c:pt idx="770">
                  <c:v>475059.3399999995</c:v>
                </c:pt>
                <c:pt idx="771">
                  <c:v>475754.3399999995</c:v>
                </c:pt>
                <c:pt idx="772">
                  <c:v>476449.3399999995</c:v>
                </c:pt>
                <c:pt idx="773">
                  <c:v>477144.3399999995</c:v>
                </c:pt>
                <c:pt idx="774">
                  <c:v>477242.3399999995</c:v>
                </c:pt>
                <c:pt idx="775">
                  <c:v>477340.3399999995</c:v>
                </c:pt>
                <c:pt idx="776">
                  <c:v>477676.53999999951</c:v>
                </c:pt>
                <c:pt idx="777">
                  <c:v>478012.73999999953</c:v>
                </c:pt>
                <c:pt idx="778">
                  <c:v>478348.93999999954</c:v>
                </c:pt>
                <c:pt idx="779">
                  <c:v>478685.13999999955</c:v>
                </c:pt>
                <c:pt idx="780">
                  <c:v>478859.63999999955</c:v>
                </c:pt>
                <c:pt idx="781">
                  <c:v>479684.63999999955</c:v>
                </c:pt>
                <c:pt idx="782">
                  <c:v>480509.63999999955</c:v>
                </c:pt>
                <c:pt idx="783">
                  <c:v>481334.63999999955</c:v>
                </c:pt>
                <c:pt idx="784">
                  <c:v>481337.83999999956</c:v>
                </c:pt>
                <c:pt idx="785">
                  <c:v>481408.43999999954</c:v>
                </c:pt>
                <c:pt idx="786">
                  <c:v>481479.03999999951</c:v>
                </c:pt>
                <c:pt idx="787">
                  <c:v>481549.63999999949</c:v>
                </c:pt>
                <c:pt idx="788">
                  <c:v>481620.23999999947</c:v>
                </c:pt>
                <c:pt idx="789">
                  <c:v>481690.83999999944</c:v>
                </c:pt>
                <c:pt idx="790">
                  <c:v>481788.13999999943</c:v>
                </c:pt>
                <c:pt idx="791">
                  <c:v>482128.93999999942</c:v>
                </c:pt>
                <c:pt idx="792">
                  <c:v>482469.73999999941</c:v>
                </c:pt>
                <c:pt idx="793">
                  <c:v>482810.5399999994</c:v>
                </c:pt>
                <c:pt idx="794">
                  <c:v>483151.33999999939</c:v>
                </c:pt>
                <c:pt idx="795">
                  <c:v>483601.33999999939</c:v>
                </c:pt>
                <c:pt idx="796">
                  <c:v>484051.33999999939</c:v>
                </c:pt>
                <c:pt idx="797">
                  <c:v>484501.33999999939</c:v>
                </c:pt>
                <c:pt idx="798">
                  <c:v>484951.33999999939</c:v>
                </c:pt>
                <c:pt idx="799">
                  <c:v>485401.33999999939</c:v>
                </c:pt>
                <c:pt idx="800">
                  <c:v>485851.33999999939</c:v>
                </c:pt>
                <c:pt idx="801">
                  <c:v>486301.33999999939</c:v>
                </c:pt>
                <c:pt idx="802">
                  <c:v>486306.5399999994</c:v>
                </c:pt>
                <c:pt idx="803">
                  <c:v>486374.5399999994</c:v>
                </c:pt>
                <c:pt idx="804">
                  <c:v>486442.5399999994</c:v>
                </c:pt>
                <c:pt idx="805">
                  <c:v>486810.5399999994</c:v>
                </c:pt>
                <c:pt idx="806">
                  <c:v>487178.5399999994</c:v>
                </c:pt>
                <c:pt idx="807">
                  <c:v>487546.5399999994</c:v>
                </c:pt>
                <c:pt idx="808">
                  <c:v>487914.5399999994</c:v>
                </c:pt>
                <c:pt idx="809">
                  <c:v>489452.5399999994</c:v>
                </c:pt>
                <c:pt idx="810">
                  <c:v>490990.5399999994</c:v>
                </c:pt>
                <c:pt idx="811">
                  <c:v>491190.0399999994</c:v>
                </c:pt>
                <c:pt idx="812">
                  <c:v>491389.5399999994</c:v>
                </c:pt>
                <c:pt idx="813">
                  <c:v>491589.0399999994</c:v>
                </c:pt>
                <c:pt idx="814">
                  <c:v>491788.5399999994</c:v>
                </c:pt>
                <c:pt idx="815">
                  <c:v>491988.0399999994</c:v>
                </c:pt>
                <c:pt idx="816">
                  <c:v>492187.5399999994</c:v>
                </c:pt>
                <c:pt idx="817">
                  <c:v>492252.5399999994</c:v>
                </c:pt>
                <c:pt idx="818">
                  <c:v>492317.5399999994</c:v>
                </c:pt>
                <c:pt idx="819">
                  <c:v>492382.5399999994</c:v>
                </c:pt>
                <c:pt idx="820">
                  <c:v>492447.5399999994</c:v>
                </c:pt>
                <c:pt idx="821">
                  <c:v>492881.5399999994</c:v>
                </c:pt>
                <c:pt idx="822">
                  <c:v>493315.5399999994</c:v>
                </c:pt>
                <c:pt idx="823">
                  <c:v>493749.5399999994</c:v>
                </c:pt>
                <c:pt idx="824">
                  <c:v>494183.5399999994</c:v>
                </c:pt>
                <c:pt idx="825">
                  <c:v>494270.43999999942</c:v>
                </c:pt>
                <c:pt idx="826">
                  <c:v>494350.43999999942</c:v>
                </c:pt>
                <c:pt idx="827">
                  <c:v>494719.43999999942</c:v>
                </c:pt>
                <c:pt idx="828">
                  <c:v>495088.43999999942</c:v>
                </c:pt>
                <c:pt idx="829">
                  <c:v>495457.43999999942</c:v>
                </c:pt>
                <c:pt idx="830">
                  <c:v>495826.43999999942</c:v>
                </c:pt>
                <c:pt idx="831">
                  <c:v>496195.43999999942</c:v>
                </c:pt>
                <c:pt idx="832">
                  <c:v>496235.43999999942</c:v>
                </c:pt>
                <c:pt idx="833">
                  <c:v>496275.43999999942</c:v>
                </c:pt>
                <c:pt idx="834">
                  <c:v>496315.43999999942</c:v>
                </c:pt>
                <c:pt idx="835">
                  <c:v>496355.43999999942</c:v>
                </c:pt>
                <c:pt idx="836">
                  <c:v>496358.63999999943</c:v>
                </c:pt>
                <c:pt idx="837">
                  <c:v>496658.63999999943</c:v>
                </c:pt>
                <c:pt idx="838">
                  <c:v>496958.63999999943</c:v>
                </c:pt>
                <c:pt idx="839">
                  <c:v>497258.63999999943</c:v>
                </c:pt>
                <c:pt idx="840">
                  <c:v>497558.63999999943</c:v>
                </c:pt>
                <c:pt idx="841">
                  <c:v>498260.63999999943</c:v>
                </c:pt>
                <c:pt idx="842">
                  <c:v>498962.63999999943</c:v>
                </c:pt>
                <c:pt idx="843">
                  <c:v>499140.13999999943</c:v>
                </c:pt>
                <c:pt idx="844">
                  <c:v>499317.63999999943</c:v>
                </c:pt>
                <c:pt idx="845">
                  <c:v>499397.63999999943</c:v>
                </c:pt>
                <c:pt idx="846">
                  <c:v>499477.63999999943</c:v>
                </c:pt>
                <c:pt idx="847">
                  <c:v>499557.63999999943</c:v>
                </c:pt>
                <c:pt idx="848">
                  <c:v>499637.63999999943</c:v>
                </c:pt>
                <c:pt idx="849">
                  <c:v>499717.63999999943</c:v>
                </c:pt>
                <c:pt idx="850">
                  <c:v>499797.63999999943</c:v>
                </c:pt>
                <c:pt idx="851">
                  <c:v>499877.63999999943</c:v>
                </c:pt>
                <c:pt idx="852">
                  <c:v>499957.63999999943</c:v>
                </c:pt>
                <c:pt idx="853">
                  <c:v>500037.63999999943</c:v>
                </c:pt>
                <c:pt idx="854">
                  <c:v>500117.63999999943</c:v>
                </c:pt>
                <c:pt idx="855">
                  <c:v>500197.63999999943</c:v>
                </c:pt>
                <c:pt idx="856">
                  <c:v>500277.63999999943</c:v>
                </c:pt>
                <c:pt idx="857">
                  <c:v>500357.63999999943</c:v>
                </c:pt>
                <c:pt idx="858">
                  <c:v>500437.63999999943</c:v>
                </c:pt>
                <c:pt idx="859">
                  <c:v>500517.63999999943</c:v>
                </c:pt>
                <c:pt idx="860">
                  <c:v>500573.63999999943</c:v>
                </c:pt>
                <c:pt idx="861">
                  <c:v>500629.63999999943</c:v>
                </c:pt>
                <c:pt idx="862">
                  <c:v>500713.45999999944</c:v>
                </c:pt>
                <c:pt idx="863">
                  <c:v>500769.45999999944</c:v>
                </c:pt>
                <c:pt idx="864">
                  <c:v>500825.45999999944</c:v>
                </c:pt>
                <c:pt idx="865">
                  <c:v>500881.45999999944</c:v>
                </c:pt>
                <c:pt idx="866">
                  <c:v>500937.45999999944</c:v>
                </c:pt>
                <c:pt idx="867">
                  <c:v>500967.35999999946</c:v>
                </c:pt>
                <c:pt idx="868">
                  <c:v>500997.25999999949</c:v>
                </c:pt>
                <c:pt idx="869">
                  <c:v>501027.15999999951</c:v>
                </c:pt>
                <c:pt idx="870">
                  <c:v>501057.05999999953</c:v>
                </c:pt>
                <c:pt idx="871">
                  <c:v>501086.95999999956</c:v>
                </c:pt>
                <c:pt idx="872">
                  <c:v>501116.85999999958</c:v>
                </c:pt>
                <c:pt idx="873">
                  <c:v>501146.7599999996</c:v>
                </c:pt>
                <c:pt idx="874">
                  <c:v>501176.65999999963</c:v>
                </c:pt>
                <c:pt idx="875">
                  <c:v>501206.55999999965</c:v>
                </c:pt>
                <c:pt idx="876">
                  <c:v>501236.45999999967</c:v>
                </c:pt>
                <c:pt idx="877">
                  <c:v>501266.35999999969</c:v>
                </c:pt>
                <c:pt idx="878">
                  <c:v>501296.25999999972</c:v>
                </c:pt>
                <c:pt idx="879">
                  <c:v>501326.15999999974</c:v>
                </c:pt>
                <c:pt idx="880">
                  <c:v>501356.05999999976</c:v>
                </c:pt>
                <c:pt idx="881">
                  <c:v>501385.95999999979</c:v>
                </c:pt>
                <c:pt idx="882">
                  <c:v>501449.95999999979</c:v>
                </c:pt>
                <c:pt idx="883">
                  <c:v>501513.95999999979</c:v>
                </c:pt>
                <c:pt idx="884">
                  <c:v>501577.95999999979</c:v>
                </c:pt>
                <c:pt idx="885">
                  <c:v>501658.1599999998</c:v>
                </c:pt>
                <c:pt idx="886">
                  <c:v>501738.35999999981</c:v>
                </c:pt>
                <c:pt idx="887">
                  <c:v>501818.55999999982</c:v>
                </c:pt>
                <c:pt idx="888">
                  <c:v>501898.75999999983</c:v>
                </c:pt>
                <c:pt idx="889">
                  <c:v>501898.75999999983</c:v>
                </c:pt>
                <c:pt idx="890">
                  <c:v>501978.75999999983</c:v>
                </c:pt>
                <c:pt idx="891">
                  <c:v>502105.45999999985</c:v>
                </c:pt>
                <c:pt idx="892">
                  <c:v>502232.15999999986</c:v>
                </c:pt>
                <c:pt idx="893">
                  <c:v>502358.85999999987</c:v>
                </c:pt>
                <c:pt idx="894">
                  <c:v>502485.55999999988</c:v>
                </c:pt>
                <c:pt idx="895">
                  <c:v>502612.25999999989</c:v>
                </c:pt>
                <c:pt idx="896">
                  <c:v>502738.9599999999</c:v>
                </c:pt>
                <c:pt idx="897">
                  <c:v>502865.65999999992</c:v>
                </c:pt>
                <c:pt idx="898">
                  <c:v>502927.65999999992</c:v>
                </c:pt>
                <c:pt idx="899">
                  <c:v>502947.35999999993</c:v>
                </c:pt>
                <c:pt idx="900">
                  <c:v>502967.05999999994</c:v>
                </c:pt>
                <c:pt idx="901">
                  <c:v>502986.75999999995</c:v>
                </c:pt>
                <c:pt idx="902">
                  <c:v>503006.45999999996</c:v>
                </c:pt>
                <c:pt idx="903">
                  <c:v>503629.36</c:v>
                </c:pt>
                <c:pt idx="904">
                  <c:v>504252.26</c:v>
                </c:pt>
                <c:pt idx="905">
                  <c:v>504875.16000000003</c:v>
                </c:pt>
                <c:pt idx="906">
                  <c:v>505498.06000000006</c:v>
                </c:pt>
                <c:pt idx="907">
                  <c:v>506120.96000000008</c:v>
                </c:pt>
                <c:pt idx="908">
                  <c:v>506743.8600000001</c:v>
                </c:pt>
                <c:pt idx="909">
                  <c:v>507366.76000000013</c:v>
                </c:pt>
                <c:pt idx="910">
                  <c:v>507989.66000000015</c:v>
                </c:pt>
                <c:pt idx="911">
                  <c:v>508019.66000000015</c:v>
                </c:pt>
                <c:pt idx="912">
                  <c:v>508069.66000000015</c:v>
                </c:pt>
                <c:pt idx="913">
                  <c:v>508070.66000000015</c:v>
                </c:pt>
                <c:pt idx="914">
                  <c:v>508141.46000000014</c:v>
                </c:pt>
                <c:pt idx="915">
                  <c:v>508212.26000000013</c:v>
                </c:pt>
                <c:pt idx="916">
                  <c:v>508283.06000000011</c:v>
                </c:pt>
                <c:pt idx="917">
                  <c:v>508353.8600000001</c:v>
                </c:pt>
                <c:pt idx="918">
                  <c:v>509631.8600000001</c:v>
                </c:pt>
                <c:pt idx="919">
                  <c:v>509645.76000000013</c:v>
                </c:pt>
                <c:pt idx="920">
                  <c:v>509659.66000000015</c:v>
                </c:pt>
                <c:pt idx="921">
                  <c:v>509673.56000000017</c:v>
                </c:pt>
                <c:pt idx="922">
                  <c:v>509687.4600000002</c:v>
                </c:pt>
                <c:pt idx="923">
                  <c:v>509708.36000000022</c:v>
                </c:pt>
                <c:pt idx="924">
                  <c:v>509861.36000000022</c:v>
                </c:pt>
                <c:pt idx="925">
                  <c:v>510538.16000000021</c:v>
                </c:pt>
                <c:pt idx="926">
                  <c:v>511214.9600000002</c:v>
                </c:pt>
                <c:pt idx="927">
                  <c:v>511891.76000000018</c:v>
                </c:pt>
                <c:pt idx="928">
                  <c:v>512568.56000000017</c:v>
                </c:pt>
                <c:pt idx="929">
                  <c:v>513245.36000000016</c:v>
                </c:pt>
                <c:pt idx="930">
                  <c:v>513922.16000000015</c:v>
                </c:pt>
                <c:pt idx="931">
                  <c:v>514598.96000000014</c:v>
                </c:pt>
                <c:pt idx="932">
                  <c:v>515275.76000000013</c:v>
                </c:pt>
                <c:pt idx="933">
                  <c:v>515275.76000000013</c:v>
                </c:pt>
                <c:pt idx="934">
                  <c:v>516040.96000000014</c:v>
                </c:pt>
                <c:pt idx="935">
                  <c:v>516806.16000000015</c:v>
                </c:pt>
                <c:pt idx="936">
                  <c:v>517571.36000000016</c:v>
                </c:pt>
                <c:pt idx="937">
                  <c:v>517642.86000000016</c:v>
                </c:pt>
                <c:pt idx="938">
                  <c:v>517714.36000000016</c:v>
                </c:pt>
                <c:pt idx="939">
                  <c:v>517785.86000000016</c:v>
                </c:pt>
                <c:pt idx="940">
                  <c:v>517857.36000000016</c:v>
                </c:pt>
                <c:pt idx="941">
                  <c:v>518333.36000000016</c:v>
                </c:pt>
                <c:pt idx="942">
                  <c:v>518809.36000000016</c:v>
                </c:pt>
                <c:pt idx="943">
                  <c:v>519285.36000000016</c:v>
                </c:pt>
                <c:pt idx="944">
                  <c:v>519761.36000000016</c:v>
                </c:pt>
                <c:pt idx="945">
                  <c:v>520237.36000000016</c:v>
                </c:pt>
                <c:pt idx="946">
                  <c:v>520713.36000000016</c:v>
                </c:pt>
                <c:pt idx="947">
                  <c:v>520724.66000000015</c:v>
                </c:pt>
                <c:pt idx="948">
                  <c:v>520727.46000000014</c:v>
                </c:pt>
                <c:pt idx="949">
                  <c:v>520743.56000000011</c:v>
                </c:pt>
                <c:pt idx="950">
                  <c:v>520759.66000000009</c:v>
                </c:pt>
                <c:pt idx="951">
                  <c:v>520775.76000000007</c:v>
                </c:pt>
                <c:pt idx="952">
                  <c:v>520791.86000000004</c:v>
                </c:pt>
                <c:pt idx="953">
                  <c:v>520807.96</c:v>
                </c:pt>
                <c:pt idx="954">
                  <c:v>520824.06</c:v>
                </c:pt>
                <c:pt idx="955">
                  <c:v>520840.16</c:v>
                </c:pt>
                <c:pt idx="956">
                  <c:v>520848.75999999995</c:v>
                </c:pt>
                <c:pt idx="957">
                  <c:v>520857.35999999993</c:v>
                </c:pt>
                <c:pt idx="958">
                  <c:v>520857.35999999993</c:v>
                </c:pt>
                <c:pt idx="959">
                  <c:v>520857.35999999993</c:v>
                </c:pt>
                <c:pt idx="960">
                  <c:v>520857.35999999993</c:v>
                </c:pt>
                <c:pt idx="961">
                  <c:v>520857.35999999993</c:v>
                </c:pt>
                <c:pt idx="962">
                  <c:v>520857.35999999993</c:v>
                </c:pt>
                <c:pt idx="963">
                  <c:v>520857.35999999993</c:v>
                </c:pt>
                <c:pt idx="964">
                  <c:v>520857.35999999993</c:v>
                </c:pt>
                <c:pt idx="965">
                  <c:v>520857.35999999993</c:v>
                </c:pt>
                <c:pt idx="966">
                  <c:v>520882.55999999994</c:v>
                </c:pt>
                <c:pt idx="967">
                  <c:v>521022.55999999994</c:v>
                </c:pt>
                <c:pt idx="968">
                  <c:v>521162.55999999994</c:v>
                </c:pt>
                <c:pt idx="969">
                  <c:v>521302.55999999994</c:v>
                </c:pt>
                <c:pt idx="970">
                  <c:v>521302.55999999994</c:v>
                </c:pt>
                <c:pt idx="971">
                  <c:v>521438.75999999995</c:v>
                </c:pt>
                <c:pt idx="972">
                  <c:v>521574.95999999996</c:v>
                </c:pt>
                <c:pt idx="973">
                  <c:v>521711.16</c:v>
                </c:pt>
                <c:pt idx="974">
                  <c:v>521847.36</c:v>
                </c:pt>
                <c:pt idx="975">
                  <c:v>521862.36</c:v>
                </c:pt>
                <c:pt idx="976">
                  <c:v>521877.36</c:v>
                </c:pt>
                <c:pt idx="977">
                  <c:v>521892.36</c:v>
                </c:pt>
                <c:pt idx="978">
                  <c:v>521907.36</c:v>
                </c:pt>
                <c:pt idx="979">
                  <c:v>521922.36</c:v>
                </c:pt>
                <c:pt idx="980">
                  <c:v>521922.36</c:v>
                </c:pt>
                <c:pt idx="981">
                  <c:v>522125.16</c:v>
                </c:pt>
                <c:pt idx="982">
                  <c:v>522327.95999999996</c:v>
                </c:pt>
                <c:pt idx="983">
                  <c:v>522530.75999999995</c:v>
                </c:pt>
                <c:pt idx="984">
                  <c:v>522733.55999999994</c:v>
                </c:pt>
                <c:pt idx="985">
                  <c:v>522735.95999999996</c:v>
                </c:pt>
                <c:pt idx="986">
                  <c:v>523635.95999999996</c:v>
                </c:pt>
                <c:pt idx="987">
                  <c:v>524535.96</c:v>
                </c:pt>
                <c:pt idx="988">
                  <c:v>525435.96</c:v>
                </c:pt>
                <c:pt idx="989">
                  <c:v>526335.96</c:v>
                </c:pt>
                <c:pt idx="990">
                  <c:v>527235.96</c:v>
                </c:pt>
                <c:pt idx="991">
                  <c:v>528135.96</c:v>
                </c:pt>
                <c:pt idx="992">
                  <c:v>529035.96</c:v>
                </c:pt>
                <c:pt idx="993">
                  <c:v>529078.96</c:v>
                </c:pt>
                <c:pt idx="994">
                  <c:v>529098.96</c:v>
                </c:pt>
                <c:pt idx="995">
                  <c:v>529141.96</c:v>
                </c:pt>
                <c:pt idx="996">
                  <c:v>529184.96</c:v>
                </c:pt>
                <c:pt idx="997">
                  <c:v>529227.96</c:v>
                </c:pt>
                <c:pt idx="998">
                  <c:v>529253.96</c:v>
                </c:pt>
                <c:pt idx="999">
                  <c:v>529279.96</c:v>
                </c:pt>
                <c:pt idx="1000">
                  <c:v>529305.96</c:v>
                </c:pt>
                <c:pt idx="1001">
                  <c:v>529331.96</c:v>
                </c:pt>
                <c:pt idx="1002">
                  <c:v>529357.96</c:v>
                </c:pt>
                <c:pt idx="1003">
                  <c:v>529383.96</c:v>
                </c:pt>
                <c:pt idx="1004">
                  <c:v>529409.96</c:v>
                </c:pt>
                <c:pt idx="1005">
                  <c:v>529435.96</c:v>
                </c:pt>
                <c:pt idx="1006">
                  <c:v>529461.96</c:v>
                </c:pt>
                <c:pt idx="1007">
                  <c:v>529463.96</c:v>
                </c:pt>
              </c:numCache>
            </c:numRef>
          </c:xVal>
          <c:yVal>
            <c:numRef>
              <c:f>'EIA Matching Review'!$M$2:$M$986</c:f>
              <c:numCache>
                <c:formatCode>0.000</c:formatCode>
                <c:ptCount val="985"/>
                <c:pt idx="0">
                  <c:v>1.14E-2</c:v>
                </c:pt>
                <c:pt idx="1">
                  <c:v>1.14E-2</c:v>
                </c:pt>
                <c:pt idx="2">
                  <c:v>1.14E-2</c:v>
                </c:pt>
                <c:pt idx="3">
                  <c:v>3.3860000000000001</c:v>
                </c:pt>
                <c:pt idx="4">
                  <c:v>3.3860000000000001</c:v>
                </c:pt>
                <c:pt idx="5">
                  <c:v>3.3860000000000001</c:v>
                </c:pt>
                <c:pt idx="6">
                  <c:v>4.3878000000000004</c:v>
                </c:pt>
                <c:pt idx="7">
                  <c:v>4.4306999999999999</c:v>
                </c:pt>
                <c:pt idx="8">
                  <c:v>4.4306999999999999</c:v>
                </c:pt>
                <c:pt idx="9">
                  <c:v>4.4306999999999999</c:v>
                </c:pt>
                <c:pt idx="10">
                  <c:v>4.6037999999999997</c:v>
                </c:pt>
                <c:pt idx="11">
                  <c:v>4.6037999999999997</c:v>
                </c:pt>
                <c:pt idx="12">
                  <c:v>4.6037999999999997</c:v>
                </c:pt>
                <c:pt idx="13">
                  <c:v>4.9348000000000001</c:v>
                </c:pt>
                <c:pt idx="14">
                  <c:v>5.6867000000000001</c:v>
                </c:pt>
                <c:pt idx="15">
                  <c:v>5.8442999999999996</c:v>
                </c:pt>
                <c:pt idx="16">
                  <c:v>5.8442999999999996</c:v>
                </c:pt>
                <c:pt idx="17">
                  <c:v>5.8442999999999996</c:v>
                </c:pt>
                <c:pt idx="18">
                  <c:v>5.8442999999999996</c:v>
                </c:pt>
                <c:pt idx="19">
                  <c:v>6.0724</c:v>
                </c:pt>
                <c:pt idx="20">
                  <c:v>6.0724</c:v>
                </c:pt>
                <c:pt idx="21">
                  <c:v>6.0724</c:v>
                </c:pt>
                <c:pt idx="22">
                  <c:v>6.0724</c:v>
                </c:pt>
                <c:pt idx="23">
                  <c:v>6.3140000000000001</c:v>
                </c:pt>
                <c:pt idx="24">
                  <c:v>6.3140000000000001</c:v>
                </c:pt>
                <c:pt idx="25">
                  <c:v>6.3140000000000001</c:v>
                </c:pt>
                <c:pt idx="26">
                  <c:v>6.3403999999999998</c:v>
                </c:pt>
                <c:pt idx="27">
                  <c:v>6.3403999999999998</c:v>
                </c:pt>
                <c:pt idx="28">
                  <c:v>6.3403999999999998</c:v>
                </c:pt>
                <c:pt idx="29">
                  <c:v>6.4573999999999998</c:v>
                </c:pt>
                <c:pt idx="30">
                  <c:v>6.4573999999999998</c:v>
                </c:pt>
                <c:pt idx="31">
                  <c:v>6.4757999999999996</c:v>
                </c:pt>
                <c:pt idx="32">
                  <c:v>6.4890999999999996</c:v>
                </c:pt>
                <c:pt idx="33">
                  <c:v>6.4968000000000004</c:v>
                </c:pt>
                <c:pt idx="34">
                  <c:v>6.5156000000000001</c:v>
                </c:pt>
                <c:pt idx="35">
                  <c:v>6.5156000000000001</c:v>
                </c:pt>
                <c:pt idx="36">
                  <c:v>6.5156000000000001</c:v>
                </c:pt>
                <c:pt idx="37">
                  <c:v>6.5156000000000001</c:v>
                </c:pt>
                <c:pt idx="38">
                  <c:v>6.5156000000000001</c:v>
                </c:pt>
                <c:pt idx="39">
                  <c:v>6.5156000000000001</c:v>
                </c:pt>
                <c:pt idx="40">
                  <c:v>6.5179999999999998</c:v>
                </c:pt>
                <c:pt idx="41">
                  <c:v>6.5179999999999998</c:v>
                </c:pt>
                <c:pt idx="42">
                  <c:v>6.5179999999999998</c:v>
                </c:pt>
                <c:pt idx="43">
                  <c:v>6.5179999999999998</c:v>
                </c:pt>
                <c:pt idx="44">
                  <c:v>6.6086</c:v>
                </c:pt>
                <c:pt idx="45">
                  <c:v>6.6117999999999997</c:v>
                </c:pt>
                <c:pt idx="46">
                  <c:v>6.6243999999999996</c:v>
                </c:pt>
                <c:pt idx="47">
                  <c:v>6.6409000000000002</c:v>
                </c:pt>
                <c:pt idx="48">
                  <c:v>6.6409000000000002</c:v>
                </c:pt>
                <c:pt idx="49">
                  <c:v>6.6409000000000002</c:v>
                </c:pt>
                <c:pt idx="50">
                  <c:v>6.6806000000000001</c:v>
                </c:pt>
                <c:pt idx="51">
                  <c:v>6.718</c:v>
                </c:pt>
                <c:pt idx="52">
                  <c:v>6.718</c:v>
                </c:pt>
                <c:pt idx="53">
                  <c:v>6.7385999999999999</c:v>
                </c:pt>
                <c:pt idx="54">
                  <c:v>6.7789999999999999</c:v>
                </c:pt>
                <c:pt idx="55">
                  <c:v>6.7798999999999996</c:v>
                </c:pt>
                <c:pt idx="56">
                  <c:v>6.7798999999999996</c:v>
                </c:pt>
                <c:pt idx="57">
                  <c:v>6.7798999999999996</c:v>
                </c:pt>
                <c:pt idx="58">
                  <c:v>6.8006000000000002</c:v>
                </c:pt>
                <c:pt idx="59">
                  <c:v>6.8006000000000002</c:v>
                </c:pt>
                <c:pt idx="60">
                  <c:v>6.8006000000000002</c:v>
                </c:pt>
                <c:pt idx="61">
                  <c:v>6.8006000000000002</c:v>
                </c:pt>
                <c:pt idx="62">
                  <c:v>6.8179999999999996</c:v>
                </c:pt>
                <c:pt idx="63">
                  <c:v>6.8491</c:v>
                </c:pt>
                <c:pt idx="64">
                  <c:v>6.8491</c:v>
                </c:pt>
                <c:pt idx="65">
                  <c:v>6.8491</c:v>
                </c:pt>
                <c:pt idx="66">
                  <c:v>6.8491</c:v>
                </c:pt>
                <c:pt idx="67">
                  <c:v>6.8724999999999996</c:v>
                </c:pt>
                <c:pt idx="68">
                  <c:v>6.8741000000000003</c:v>
                </c:pt>
                <c:pt idx="69">
                  <c:v>6.8741000000000003</c:v>
                </c:pt>
                <c:pt idx="70">
                  <c:v>6.8741000000000003</c:v>
                </c:pt>
                <c:pt idx="71">
                  <c:v>6.9118000000000004</c:v>
                </c:pt>
                <c:pt idx="72">
                  <c:v>6.9118000000000004</c:v>
                </c:pt>
                <c:pt idx="73">
                  <c:v>6.9118000000000004</c:v>
                </c:pt>
                <c:pt idx="74">
                  <c:v>6.9118000000000004</c:v>
                </c:pt>
                <c:pt idx="75">
                  <c:v>6.9118000000000004</c:v>
                </c:pt>
                <c:pt idx="76">
                  <c:v>6.9118000000000004</c:v>
                </c:pt>
                <c:pt idx="77">
                  <c:v>6.9118000000000004</c:v>
                </c:pt>
                <c:pt idx="78">
                  <c:v>6.9118000000000004</c:v>
                </c:pt>
                <c:pt idx="79">
                  <c:v>6.9118000000000004</c:v>
                </c:pt>
                <c:pt idx="80">
                  <c:v>6.9118000000000004</c:v>
                </c:pt>
                <c:pt idx="81">
                  <c:v>6.9118000000000004</c:v>
                </c:pt>
                <c:pt idx="82">
                  <c:v>6.9118000000000004</c:v>
                </c:pt>
                <c:pt idx="83">
                  <c:v>6.9118000000000004</c:v>
                </c:pt>
                <c:pt idx="84">
                  <c:v>6.9118000000000004</c:v>
                </c:pt>
                <c:pt idx="85">
                  <c:v>6.9118000000000004</c:v>
                </c:pt>
                <c:pt idx="86">
                  <c:v>6.9352</c:v>
                </c:pt>
                <c:pt idx="87">
                  <c:v>7.0065</c:v>
                </c:pt>
                <c:pt idx="88">
                  <c:v>7.0082000000000004</c:v>
                </c:pt>
                <c:pt idx="89">
                  <c:v>7.0082000000000004</c:v>
                </c:pt>
                <c:pt idx="90">
                  <c:v>7.0082000000000004</c:v>
                </c:pt>
                <c:pt idx="91">
                  <c:v>7.0082000000000004</c:v>
                </c:pt>
                <c:pt idx="92">
                  <c:v>7.0243000000000002</c:v>
                </c:pt>
                <c:pt idx="93">
                  <c:v>7.0243000000000002</c:v>
                </c:pt>
                <c:pt idx="94">
                  <c:v>7.0243000000000002</c:v>
                </c:pt>
                <c:pt idx="95">
                  <c:v>7.0243000000000002</c:v>
                </c:pt>
                <c:pt idx="96">
                  <c:v>7.0270000000000001</c:v>
                </c:pt>
                <c:pt idx="97">
                  <c:v>7.0270000000000001</c:v>
                </c:pt>
                <c:pt idx="98">
                  <c:v>7.0270000000000001</c:v>
                </c:pt>
                <c:pt idx="99">
                  <c:v>7.0621999999999998</c:v>
                </c:pt>
                <c:pt idx="100">
                  <c:v>7.0667</c:v>
                </c:pt>
                <c:pt idx="101">
                  <c:v>7.0667</c:v>
                </c:pt>
                <c:pt idx="102">
                  <c:v>7.0667</c:v>
                </c:pt>
                <c:pt idx="103">
                  <c:v>7.0667</c:v>
                </c:pt>
                <c:pt idx="104">
                  <c:v>7.0750000000000002</c:v>
                </c:pt>
                <c:pt idx="105">
                  <c:v>7.0750000000000002</c:v>
                </c:pt>
                <c:pt idx="106">
                  <c:v>7.0750000000000002</c:v>
                </c:pt>
                <c:pt idx="107">
                  <c:v>7.0750000000000002</c:v>
                </c:pt>
                <c:pt idx="108">
                  <c:v>7.0907999999999998</c:v>
                </c:pt>
                <c:pt idx="109">
                  <c:v>7.1066000000000003</c:v>
                </c:pt>
                <c:pt idx="110">
                  <c:v>7.1371000000000002</c:v>
                </c:pt>
                <c:pt idx="111">
                  <c:v>7.1371000000000002</c:v>
                </c:pt>
                <c:pt idx="112">
                  <c:v>7.1371000000000002</c:v>
                </c:pt>
                <c:pt idx="113">
                  <c:v>7.1371000000000002</c:v>
                </c:pt>
                <c:pt idx="114">
                  <c:v>7.1627000000000001</c:v>
                </c:pt>
                <c:pt idx="115">
                  <c:v>7.1627000000000001</c:v>
                </c:pt>
                <c:pt idx="116">
                  <c:v>7.1627000000000001</c:v>
                </c:pt>
                <c:pt idx="117">
                  <c:v>7.1627000000000001</c:v>
                </c:pt>
                <c:pt idx="118">
                  <c:v>7.1627000000000001</c:v>
                </c:pt>
                <c:pt idx="119">
                  <c:v>7.1627000000000001</c:v>
                </c:pt>
                <c:pt idx="120">
                  <c:v>7.1897000000000002</c:v>
                </c:pt>
                <c:pt idx="121">
                  <c:v>7.1897000000000002</c:v>
                </c:pt>
                <c:pt idx="122">
                  <c:v>7.1897000000000002</c:v>
                </c:pt>
                <c:pt idx="123">
                  <c:v>7.1901000000000002</c:v>
                </c:pt>
                <c:pt idx="124">
                  <c:v>7.1901000000000002</c:v>
                </c:pt>
                <c:pt idx="125">
                  <c:v>7.2012999999999998</c:v>
                </c:pt>
                <c:pt idx="126">
                  <c:v>7.2012999999999998</c:v>
                </c:pt>
                <c:pt idx="127">
                  <c:v>7.2012999999999998</c:v>
                </c:pt>
                <c:pt idx="128">
                  <c:v>7.2012999999999998</c:v>
                </c:pt>
                <c:pt idx="129">
                  <c:v>7.2038000000000002</c:v>
                </c:pt>
                <c:pt idx="130">
                  <c:v>7.2038000000000002</c:v>
                </c:pt>
                <c:pt idx="131">
                  <c:v>7.2038000000000002</c:v>
                </c:pt>
                <c:pt idx="132">
                  <c:v>7.2492999999999999</c:v>
                </c:pt>
                <c:pt idx="133">
                  <c:v>7.2492999999999999</c:v>
                </c:pt>
                <c:pt idx="134">
                  <c:v>7.2492999999999999</c:v>
                </c:pt>
                <c:pt idx="135">
                  <c:v>7.2492999999999999</c:v>
                </c:pt>
                <c:pt idx="136">
                  <c:v>7.2492999999999999</c:v>
                </c:pt>
                <c:pt idx="137">
                  <c:v>7.2492999999999999</c:v>
                </c:pt>
                <c:pt idx="138">
                  <c:v>7.2504999999999997</c:v>
                </c:pt>
                <c:pt idx="139">
                  <c:v>7.2504999999999997</c:v>
                </c:pt>
                <c:pt idx="140">
                  <c:v>7.2504999999999997</c:v>
                </c:pt>
                <c:pt idx="141">
                  <c:v>7.2504999999999997</c:v>
                </c:pt>
                <c:pt idx="142">
                  <c:v>7.2504999999999997</c:v>
                </c:pt>
                <c:pt idx="143">
                  <c:v>7.2504999999999997</c:v>
                </c:pt>
                <c:pt idx="144">
                  <c:v>7.2504999999999997</c:v>
                </c:pt>
                <c:pt idx="145">
                  <c:v>7.2504999999999997</c:v>
                </c:pt>
                <c:pt idx="146">
                  <c:v>7.2519999999999998</c:v>
                </c:pt>
                <c:pt idx="147">
                  <c:v>7.2519999999999998</c:v>
                </c:pt>
                <c:pt idx="148">
                  <c:v>7.2519999999999998</c:v>
                </c:pt>
                <c:pt idx="149">
                  <c:v>7.2519999999999998</c:v>
                </c:pt>
                <c:pt idx="150">
                  <c:v>7.2683999999999997</c:v>
                </c:pt>
                <c:pt idx="151">
                  <c:v>7.2683999999999997</c:v>
                </c:pt>
                <c:pt idx="152">
                  <c:v>7.2683999999999997</c:v>
                </c:pt>
                <c:pt idx="153">
                  <c:v>7.3053999999999997</c:v>
                </c:pt>
                <c:pt idx="154">
                  <c:v>7.3055000000000003</c:v>
                </c:pt>
                <c:pt idx="155">
                  <c:v>7.3055000000000003</c:v>
                </c:pt>
                <c:pt idx="156">
                  <c:v>7.3055000000000003</c:v>
                </c:pt>
                <c:pt idx="157">
                  <c:v>7.3055000000000003</c:v>
                </c:pt>
                <c:pt idx="158">
                  <c:v>7.3266</c:v>
                </c:pt>
                <c:pt idx="159">
                  <c:v>7.3266</c:v>
                </c:pt>
                <c:pt idx="160">
                  <c:v>7.3266</c:v>
                </c:pt>
                <c:pt idx="161">
                  <c:v>7.3281000000000001</c:v>
                </c:pt>
                <c:pt idx="162">
                  <c:v>7.3281000000000001</c:v>
                </c:pt>
                <c:pt idx="163">
                  <c:v>7.3281000000000001</c:v>
                </c:pt>
                <c:pt idx="164">
                  <c:v>7.3281000000000001</c:v>
                </c:pt>
                <c:pt idx="165">
                  <c:v>7.3281000000000001</c:v>
                </c:pt>
                <c:pt idx="166">
                  <c:v>7.3281000000000001</c:v>
                </c:pt>
                <c:pt idx="167">
                  <c:v>7.3281000000000001</c:v>
                </c:pt>
                <c:pt idx="168">
                  <c:v>7.3624999999999998</c:v>
                </c:pt>
                <c:pt idx="169">
                  <c:v>7.3827999999999996</c:v>
                </c:pt>
                <c:pt idx="170">
                  <c:v>7.3827999999999996</c:v>
                </c:pt>
                <c:pt idx="171">
                  <c:v>7.3827999999999996</c:v>
                </c:pt>
                <c:pt idx="172">
                  <c:v>7.3981000000000003</c:v>
                </c:pt>
                <c:pt idx="173">
                  <c:v>7.3981000000000003</c:v>
                </c:pt>
                <c:pt idx="174">
                  <c:v>7.3981000000000003</c:v>
                </c:pt>
                <c:pt idx="175">
                  <c:v>7.3981000000000003</c:v>
                </c:pt>
                <c:pt idx="176">
                  <c:v>7.3981000000000003</c:v>
                </c:pt>
                <c:pt idx="177">
                  <c:v>7.3981000000000003</c:v>
                </c:pt>
                <c:pt idx="178">
                  <c:v>7.3981000000000003</c:v>
                </c:pt>
                <c:pt idx="179">
                  <c:v>7.3981000000000003</c:v>
                </c:pt>
                <c:pt idx="180">
                  <c:v>7.3981000000000003</c:v>
                </c:pt>
                <c:pt idx="181">
                  <c:v>7.4219999999999997</c:v>
                </c:pt>
                <c:pt idx="182">
                  <c:v>7.4512999999999998</c:v>
                </c:pt>
                <c:pt idx="183">
                  <c:v>7.4512999999999998</c:v>
                </c:pt>
                <c:pt idx="184">
                  <c:v>7.4512999999999998</c:v>
                </c:pt>
                <c:pt idx="185">
                  <c:v>7.4512999999999998</c:v>
                </c:pt>
                <c:pt idx="186">
                  <c:v>7.4512999999999998</c:v>
                </c:pt>
                <c:pt idx="187">
                  <c:v>7.4512999999999998</c:v>
                </c:pt>
                <c:pt idx="188">
                  <c:v>7.4512999999999998</c:v>
                </c:pt>
                <c:pt idx="189">
                  <c:v>7.4512999999999998</c:v>
                </c:pt>
                <c:pt idx="190">
                  <c:v>7.5152000000000001</c:v>
                </c:pt>
                <c:pt idx="191">
                  <c:v>7.5152000000000001</c:v>
                </c:pt>
                <c:pt idx="192">
                  <c:v>7.5152000000000001</c:v>
                </c:pt>
                <c:pt idx="193">
                  <c:v>7.5321999999999996</c:v>
                </c:pt>
                <c:pt idx="194">
                  <c:v>7.5321999999999996</c:v>
                </c:pt>
                <c:pt idx="195">
                  <c:v>7.5495000000000001</c:v>
                </c:pt>
                <c:pt idx="196">
                  <c:v>7.5495000000000001</c:v>
                </c:pt>
                <c:pt idx="197">
                  <c:v>7.5495000000000001</c:v>
                </c:pt>
                <c:pt idx="198">
                  <c:v>7.5824999999999996</c:v>
                </c:pt>
                <c:pt idx="199">
                  <c:v>7.5824999999999996</c:v>
                </c:pt>
                <c:pt idx="200">
                  <c:v>7.5824999999999996</c:v>
                </c:pt>
                <c:pt idx="201">
                  <c:v>7.5824999999999996</c:v>
                </c:pt>
                <c:pt idx="202">
                  <c:v>7.7477999999999998</c:v>
                </c:pt>
                <c:pt idx="203">
                  <c:v>7.7477999999999998</c:v>
                </c:pt>
                <c:pt idx="204">
                  <c:v>7.7523999999999997</c:v>
                </c:pt>
                <c:pt idx="205">
                  <c:v>7.7523999999999997</c:v>
                </c:pt>
                <c:pt idx="206">
                  <c:v>7.7523999999999997</c:v>
                </c:pt>
                <c:pt idx="207">
                  <c:v>7.7523999999999997</c:v>
                </c:pt>
                <c:pt idx="208">
                  <c:v>7.7523999999999997</c:v>
                </c:pt>
                <c:pt idx="209">
                  <c:v>7.7523999999999997</c:v>
                </c:pt>
                <c:pt idx="210">
                  <c:v>7.7523999999999997</c:v>
                </c:pt>
                <c:pt idx="211">
                  <c:v>7.7523999999999997</c:v>
                </c:pt>
                <c:pt idx="212">
                  <c:v>7.7523999999999997</c:v>
                </c:pt>
                <c:pt idx="213">
                  <c:v>7.7523999999999997</c:v>
                </c:pt>
                <c:pt idx="214">
                  <c:v>7.7523999999999997</c:v>
                </c:pt>
                <c:pt idx="215">
                  <c:v>7.7523999999999997</c:v>
                </c:pt>
                <c:pt idx="216">
                  <c:v>7.8224999999999998</c:v>
                </c:pt>
                <c:pt idx="217">
                  <c:v>7.8224999999999998</c:v>
                </c:pt>
                <c:pt idx="218">
                  <c:v>7.8573000000000004</c:v>
                </c:pt>
                <c:pt idx="219">
                  <c:v>7.8573000000000004</c:v>
                </c:pt>
                <c:pt idx="220">
                  <c:v>7.8936000000000002</c:v>
                </c:pt>
                <c:pt idx="221">
                  <c:v>7.9802</c:v>
                </c:pt>
                <c:pt idx="222">
                  <c:v>7.9802</c:v>
                </c:pt>
                <c:pt idx="223">
                  <c:v>8.1803000000000008</c:v>
                </c:pt>
                <c:pt idx="224">
                  <c:v>8.3028999999999993</c:v>
                </c:pt>
                <c:pt idx="225">
                  <c:v>8.3351000000000006</c:v>
                </c:pt>
                <c:pt idx="226">
                  <c:v>8.3356999999999992</c:v>
                </c:pt>
                <c:pt idx="227">
                  <c:v>8.3356999999999992</c:v>
                </c:pt>
                <c:pt idx="228">
                  <c:v>8.3356999999999992</c:v>
                </c:pt>
                <c:pt idx="229">
                  <c:v>8.3356999999999992</c:v>
                </c:pt>
                <c:pt idx="230">
                  <c:v>8.3356999999999992</c:v>
                </c:pt>
                <c:pt idx="231">
                  <c:v>8.3356999999999992</c:v>
                </c:pt>
                <c:pt idx="232">
                  <c:v>8.3356999999999992</c:v>
                </c:pt>
                <c:pt idx="233">
                  <c:v>8.3356999999999992</c:v>
                </c:pt>
                <c:pt idx="234">
                  <c:v>8.3356999999999992</c:v>
                </c:pt>
                <c:pt idx="235">
                  <c:v>8.4100999999999999</c:v>
                </c:pt>
                <c:pt idx="236">
                  <c:v>8.4847000000000001</c:v>
                </c:pt>
                <c:pt idx="237">
                  <c:v>8.4847000000000001</c:v>
                </c:pt>
                <c:pt idx="238">
                  <c:v>8.4847000000000001</c:v>
                </c:pt>
                <c:pt idx="239">
                  <c:v>8.4911999999999992</c:v>
                </c:pt>
                <c:pt idx="240">
                  <c:v>8.4911999999999992</c:v>
                </c:pt>
                <c:pt idx="241">
                  <c:v>8.4911999999999992</c:v>
                </c:pt>
                <c:pt idx="242">
                  <c:v>8.4911999999999992</c:v>
                </c:pt>
                <c:pt idx="243">
                  <c:v>8.4911999999999992</c:v>
                </c:pt>
                <c:pt idx="244">
                  <c:v>8.4911999999999992</c:v>
                </c:pt>
                <c:pt idx="245">
                  <c:v>8.4911999999999992</c:v>
                </c:pt>
                <c:pt idx="246">
                  <c:v>8.4911999999999992</c:v>
                </c:pt>
                <c:pt idx="247">
                  <c:v>8.5297000000000001</c:v>
                </c:pt>
                <c:pt idx="248">
                  <c:v>8.5297000000000001</c:v>
                </c:pt>
                <c:pt idx="249">
                  <c:v>8.5477000000000007</c:v>
                </c:pt>
                <c:pt idx="250">
                  <c:v>8.766</c:v>
                </c:pt>
                <c:pt idx="251">
                  <c:v>8.8968000000000007</c:v>
                </c:pt>
                <c:pt idx="252">
                  <c:v>8.9048999999999996</c:v>
                </c:pt>
                <c:pt idx="253">
                  <c:v>9.1723999999999997</c:v>
                </c:pt>
                <c:pt idx="254">
                  <c:v>9.1723999999999997</c:v>
                </c:pt>
                <c:pt idx="255">
                  <c:v>9.1934000000000005</c:v>
                </c:pt>
                <c:pt idx="256">
                  <c:v>9.2544000000000004</c:v>
                </c:pt>
                <c:pt idx="257">
                  <c:v>9.2544000000000004</c:v>
                </c:pt>
                <c:pt idx="258">
                  <c:v>9.2544000000000004</c:v>
                </c:pt>
                <c:pt idx="259">
                  <c:v>9.2544000000000004</c:v>
                </c:pt>
                <c:pt idx="260">
                  <c:v>9.2544000000000004</c:v>
                </c:pt>
                <c:pt idx="261">
                  <c:v>9.2544000000000004</c:v>
                </c:pt>
                <c:pt idx="262">
                  <c:v>9.2544000000000004</c:v>
                </c:pt>
                <c:pt idx="263">
                  <c:v>9.2616999999999994</c:v>
                </c:pt>
                <c:pt idx="264">
                  <c:v>9.2616999999999994</c:v>
                </c:pt>
                <c:pt idx="265">
                  <c:v>9.2616999999999994</c:v>
                </c:pt>
                <c:pt idx="266">
                  <c:v>9.2616999999999994</c:v>
                </c:pt>
                <c:pt idx="267">
                  <c:v>9.4049999999999994</c:v>
                </c:pt>
                <c:pt idx="268">
                  <c:v>9.4049999999999994</c:v>
                </c:pt>
                <c:pt idx="269">
                  <c:v>9.4049999999999994</c:v>
                </c:pt>
                <c:pt idx="270">
                  <c:v>9.4619</c:v>
                </c:pt>
                <c:pt idx="271">
                  <c:v>9.4619</c:v>
                </c:pt>
                <c:pt idx="272">
                  <c:v>9.4619</c:v>
                </c:pt>
                <c:pt idx="273">
                  <c:v>9.4731000000000005</c:v>
                </c:pt>
                <c:pt idx="274">
                  <c:v>9.4731000000000005</c:v>
                </c:pt>
                <c:pt idx="275">
                  <c:v>9.4731000000000005</c:v>
                </c:pt>
                <c:pt idx="276">
                  <c:v>9.4731000000000005</c:v>
                </c:pt>
                <c:pt idx="277">
                  <c:v>9.4731000000000005</c:v>
                </c:pt>
                <c:pt idx="278">
                  <c:v>9.4731000000000005</c:v>
                </c:pt>
                <c:pt idx="279">
                  <c:v>9.4731000000000005</c:v>
                </c:pt>
                <c:pt idx="280">
                  <c:v>9.4731000000000005</c:v>
                </c:pt>
                <c:pt idx="281">
                  <c:v>9.4802999999999997</c:v>
                </c:pt>
                <c:pt idx="282">
                  <c:v>9.4802999999999997</c:v>
                </c:pt>
                <c:pt idx="283">
                  <c:v>9.4802999999999997</c:v>
                </c:pt>
                <c:pt idx="284">
                  <c:v>9.4802999999999997</c:v>
                </c:pt>
                <c:pt idx="285">
                  <c:v>9.4802999999999997</c:v>
                </c:pt>
                <c:pt idx="286">
                  <c:v>9.5742999999999991</c:v>
                </c:pt>
                <c:pt idx="287">
                  <c:v>9.7294999999999998</c:v>
                </c:pt>
                <c:pt idx="288">
                  <c:v>9.7895000000000003</c:v>
                </c:pt>
                <c:pt idx="289">
                  <c:v>9.7895000000000003</c:v>
                </c:pt>
                <c:pt idx="290">
                  <c:v>9.7895000000000003</c:v>
                </c:pt>
                <c:pt idx="291">
                  <c:v>9.7895000000000003</c:v>
                </c:pt>
                <c:pt idx="292">
                  <c:v>9.7895000000000003</c:v>
                </c:pt>
                <c:pt idx="293">
                  <c:v>9.7895000000000003</c:v>
                </c:pt>
                <c:pt idx="294">
                  <c:v>9.8264999999999993</c:v>
                </c:pt>
                <c:pt idx="295">
                  <c:v>9.8667999999999996</c:v>
                </c:pt>
                <c:pt idx="296">
                  <c:v>9.8780999999999999</c:v>
                </c:pt>
                <c:pt idx="297">
                  <c:v>9.8780999999999999</c:v>
                </c:pt>
                <c:pt idx="298">
                  <c:v>9.8834</c:v>
                </c:pt>
                <c:pt idx="299">
                  <c:v>9.8834</c:v>
                </c:pt>
                <c:pt idx="300">
                  <c:v>9.8864999999999998</c:v>
                </c:pt>
                <c:pt idx="301">
                  <c:v>9.8864999999999998</c:v>
                </c:pt>
                <c:pt idx="302">
                  <c:v>9.8986999999999998</c:v>
                </c:pt>
                <c:pt idx="303">
                  <c:v>9.8986999999999998</c:v>
                </c:pt>
                <c:pt idx="304">
                  <c:v>9.8986999999999998</c:v>
                </c:pt>
                <c:pt idx="305">
                  <c:v>9.8986999999999998</c:v>
                </c:pt>
                <c:pt idx="306">
                  <c:v>9.9147999999999996</c:v>
                </c:pt>
                <c:pt idx="307">
                  <c:v>9.9163999999999994</c:v>
                </c:pt>
                <c:pt idx="308">
                  <c:v>9.9163999999999994</c:v>
                </c:pt>
                <c:pt idx="309">
                  <c:v>9.9163999999999994</c:v>
                </c:pt>
                <c:pt idx="310">
                  <c:v>9.9525000000000006</c:v>
                </c:pt>
                <c:pt idx="311">
                  <c:v>9.9525000000000006</c:v>
                </c:pt>
                <c:pt idx="312">
                  <c:v>9.9525000000000006</c:v>
                </c:pt>
                <c:pt idx="313">
                  <c:v>9.9525000000000006</c:v>
                </c:pt>
                <c:pt idx="314">
                  <c:v>9.9558999999999997</c:v>
                </c:pt>
                <c:pt idx="315">
                  <c:v>9.9558999999999997</c:v>
                </c:pt>
                <c:pt idx="316">
                  <c:v>9.9558999999999997</c:v>
                </c:pt>
                <c:pt idx="317">
                  <c:v>9.9558999999999997</c:v>
                </c:pt>
                <c:pt idx="318">
                  <c:v>9.9558999999999997</c:v>
                </c:pt>
                <c:pt idx="319">
                  <c:v>9.9558999999999997</c:v>
                </c:pt>
                <c:pt idx="320">
                  <c:v>9.9620999999999995</c:v>
                </c:pt>
                <c:pt idx="321">
                  <c:v>9.9620999999999995</c:v>
                </c:pt>
                <c:pt idx="322">
                  <c:v>9.9708000000000006</c:v>
                </c:pt>
                <c:pt idx="323">
                  <c:v>9.9708000000000006</c:v>
                </c:pt>
                <c:pt idx="324">
                  <c:v>9.9708000000000006</c:v>
                </c:pt>
                <c:pt idx="325">
                  <c:v>9.9708000000000006</c:v>
                </c:pt>
                <c:pt idx="326">
                  <c:v>9.9717000000000002</c:v>
                </c:pt>
                <c:pt idx="327">
                  <c:v>9.9717000000000002</c:v>
                </c:pt>
                <c:pt idx="328">
                  <c:v>9.9717000000000002</c:v>
                </c:pt>
                <c:pt idx="329">
                  <c:v>9.9717000000000002</c:v>
                </c:pt>
                <c:pt idx="330">
                  <c:v>9.9852000000000007</c:v>
                </c:pt>
                <c:pt idx="331">
                  <c:v>9.9852000000000007</c:v>
                </c:pt>
                <c:pt idx="332">
                  <c:v>9.9852000000000007</c:v>
                </c:pt>
                <c:pt idx="333">
                  <c:v>9.9859000000000009</c:v>
                </c:pt>
                <c:pt idx="334">
                  <c:v>9.9859000000000009</c:v>
                </c:pt>
                <c:pt idx="335">
                  <c:v>9.9859000000000009</c:v>
                </c:pt>
                <c:pt idx="336">
                  <c:v>9.9859000000000009</c:v>
                </c:pt>
                <c:pt idx="337">
                  <c:v>9.9896999999999991</c:v>
                </c:pt>
                <c:pt idx="338">
                  <c:v>9.9896999999999991</c:v>
                </c:pt>
                <c:pt idx="339">
                  <c:v>9.9896999999999991</c:v>
                </c:pt>
                <c:pt idx="340">
                  <c:v>9.9896999999999991</c:v>
                </c:pt>
                <c:pt idx="341">
                  <c:v>9.9896999999999991</c:v>
                </c:pt>
                <c:pt idx="342">
                  <c:v>10.0137</c:v>
                </c:pt>
                <c:pt idx="343">
                  <c:v>10.0137</c:v>
                </c:pt>
                <c:pt idx="344">
                  <c:v>10.0137</c:v>
                </c:pt>
                <c:pt idx="345">
                  <c:v>10.0137</c:v>
                </c:pt>
                <c:pt idx="346">
                  <c:v>10.0137</c:v>
                </c:pt>
                <c:pt idx="347">
                  <c:v>10.0137</c:v>
                </c:pt>
                <c:pt idx="348">
                  <c:v>10.0242</c:v>
                </c:pt>
                <c:pt idx="349">
                  <c:v>10.0242</c:v>
                </c:pt>
                <c:pt idx="350">
                  <c:v>10.0242</c:v>
                </c:pt>
                <c:pt idx="351">
                  <c:v>10.037699999999999</c:v>
                </c:pt>
                <c:pt idx="352">
                  <c:v>10.070499999999999</c:v>
                </c:pt>
                <c:pt idx="353">
                  <c:v>10.070499999999999</c:v>
                </c:pt>
                <c:pt idx="354">
                  <c:v>10.070499999999999</c:v>
                </c:pt>
                <c:pt idx="355">
                  <c:v>10.133599999999999</c:v>
                </c:pt>
                <c:pt idx="356">
                  <c:v>10.133599999999999</c:v>
                </c:pt>
                <c:pt idx="357">
                  <c:v>10.133599999999999</c:v>
                </c:pt>
                <c:pt idx="358">
                  <c:v>10.133599999999999</c:v>
                </c:pt>
                <c:pt idx="359">
                  <c:v>10.1411</c:v>
                </c:pt>
                <c:pt idx="360">
                  <c:v>10.162699999999999</c:v>
                </c:pt>
                <c:pt idx="361">
                  <c:v>10.162699999999999</c:v>
                </c:pt>
                <c:pt idx="362">
                  <c:v>10.2155</c:v>
                </c:pt>
                <c:pt idx="363">
                  <c:v>10.2155</c:v>
                </c:pt>
                <c:pt idx="364">
                  <c:v>10.2155</c:v>
                </c:pt>
                <c:pt idx="365">
                  <c:v>10.2155</c:v>
                </c:pt>
                <c:pt idx="366">
                  <c:v>10.2159</c:v>
                </c:pt>
                <c:pt idx="367">
                  <c:v>10.230499999999999</c:v>
                </c:pt>
                <c:pt idx="368">
                  <c:v>10.230600000000001</c:v>
                </c:pt>
                <c:pt idx="369">
                  <c:v>10.230600000000001</c:v>
                </c:pt>
                <c:pt idx="370">
                  <c:v>10.230600000000001</c:v>
                </c:pt>
                <c:pt idx="371">
                  <c:v>10.2387</c:v>
                </c:pt>
                <c:pt idx="372">
                  <c:v>10.2387</c:v>
                </c:pt>
                <c:pt idx="373">
                  <c:v>10.2463</c:v>
                </c:pt>
                <c:pt idx="374">
                  <c:v>10.25</c:v>
                </c:pt>
                <c:pt idx="375">
                  <c:v>10.25</c:v>
                </c:pt>
                <c:pt idx="376">
                  <c:v>10.255100000000001</c:v>
                </c:pt>
                <c:pt idx="377">
                  <c:v>10.2729</c:v>
                </c:pt>
                <c:pt idx="378">
                  <c:v>10.2967</c:v>
                </c:pt>
                <c:pt idx="379">
                  <c:v>10.3117</c:v>
                </c:pt>
                <c:pt idx="380">
                  <c:v>10.347</c:v>
                </c:pt>
                <c:pt idx="381">
                  <c:v>10.3613</c:v>
                </c:pt>
                <c:pt idx="382">
                  <c:v>10.3613</c:v>
                </c:pt>
                <c:pt idx="383">
                  <c:v>10.3795</c:v>
                </c:pt>
                <c:pt idx="384">
                  <c:v>10.3833</c:v>
                </c:pt>
                <c:pt idx="385">
                  <c:v>10.3833</c:v>
                </c:pt>
                <c:pt idx="386">
                  <c:v>10.3833</c:v>
                </c:pt>
                <c:pt idx="387">
                  <c:v>10.4275</c:v>
                </c:pt>
                <c:pt idx="388">
                  <c:v>10.4275</c:v>
                </c:pt>
                <c:pt idx="389">
                  <c:v>10.4275</c:v>
                </c:pt>
                <c:pt idx="390">
                  <c:v>10.4772</c:v>
                </c:pt>
                <c:pt idx="391">
                  <c:v>10.4772</c:v>
                </c:pt>
                <c:pt idx="392">
                  <c:v>10.4772</c:v>
                </c:pt>
                <c:pt idx="393">
                  <c:v>10.4772</c:v>
                </c:pt>
                <c:pt idx="394">
                  <c:v>10.4772</c:v>
                </c:pt>
                <c:pt idx="395">
                  <c:v>10.4823</c:v>
                </c:pt>
                <c:pt idx="396">
                  <c:v>10.4823</c:v>
                </c:pt>
                <c:pt idx="397">
                  <c:v>10.492699999999999</c:v>
                </c:pt>
                <c:pt idx="398">
                  <c:v>10.492699999999999</c:v>
                </c:pt>
                <c:pt idx="399">
                  <c:v>10.5001</c:v>
                </c:pt>
                <c:pt idx="400">
                  <c:v>10.5001</c:v>
                </c:pt>
                <c:pt idx="401">
                  <c:v>10.501799999999999</c:v>
                </c:pt>
                <c:pt idx="402">
                  <c:v>10.527799999999999</c:v>
                </c:pt>
                <c:pt idx="403">
                  <c:v>10.527799999999999</c:v>
                </c:pt>
                <c:pt idx="404">
                  <c:v>10.527799999999999</c:v>
                </c:pt>
                <c:pt idx="405">
                  <c:v>10.527799999999999</c:v>
                </c:pt>
                <c:pt idx="406">
                  <c:v>10.527799999999999</c:v>
                </c:pt>
                <c:pt idx="407">
                  <c:v>10.5291</c:v>
                </c:pt>
                <c:pt idx="408">
                  <c:v>10.5291</c:v>
                </c:pt>
                <c:pt idx="409">
                  <c:v>10.5291</c:v>
                </c:pt>
                <c:pt idx="410">
                  <c:v>10.5291</c:v>
                </c:pt>
                <c:pt idx="411">
                  <c:v>10.562799999999999</c:v>
                </c:pt>
                <c:pt idx="412">
                  <c:v>10.562799999999999</c:v>
                </c:pt>
                <c:pt idx="413">
                  <c:v>10.562799999999999</c:v>
                </c:pt>
                <c:pt idx="414">
                  <c:v>10.562799999999999</c:v>
                </c:pt>
                <c:pt idx="415">
                  <c:v>10.571</c:v>
                </c:pt>
                <c:pt idx="416">
                  <c:v>10.603199999999999</c:v>
                </c:pt>
                <c:pt idx="417">
                  <c:v>10.603199999999999</c:v>
                </c:pt>
                <c:pt idx="418">
                  <c:v>10.603199999999999</c:v>
                </c:pt>
                <c:pt idx="419">
                  <c:v>10.603199999999999</c:v>
                </c:pt>
                <c:pt idx="420">
                  <c:v>10.6379</c:v>
                </c:pt>
                <c:pt idx="421">
                  <c:v>10.6379</c:v>
                </c:pt>
                <c:pt idx="422">
                  <c:v>10.6381</c:v>
                </c:pt>
                <c:pt idx="423">
                  <c:v>10.6381</c:v>
                </c:pt>
                <c:pt idx="424">
                  <c:v>10.6465</c:v>
                </c:pt>
                <c:pt idx="425">
                  <c:v>10.6465</c:v>
                </c:pt>
                <c:pt idx="426">
                  <c:v>10.687900000000001</c:v>
                </c:pt>
                <c:pt idx="427">
                  <c:v>10.687900000000001</c:v>
                </c:pt>
                <c:pt idx="428">
                  <c:v>10.687900000000001</c:v>
                </c:pt>
                <c:pt idx="429">
                  <c:v>10.687900000000001</c:v>
                </c:pt>
                <c:pt idx="430">
                  <c:v>10.687900000000001</c:v>
                </c:pt>
                <c:pt idx="431">
                  <c:v>10.687900000000001</c:v>
                </c:pt>
                <c:pt idx="432">
                  <c:v>10.687900000000001</c:v>
                </c:pt>
                <c:pt idx="433">
                  <c:v>10.687900000000001</c:v>
                </c:pt>
                <c:pt idx="434">
                  <c:v>10.687900000000001</c:v>
                </c:pt>
                <c:pt idx="435">
                  <c:v>10.687900000000001</c:v>
                </c:pt>
                <c:pt idx="436">
                  <c:v>10.694800000000001</c:v>
                </c:pt>
                <c:pt idx="437">
                  <c:v>10.7097</c:v>
                </c:pt>
                <c:pt idx="438">
                  <c:v>10.723800000000001</c:v>
                </c:pt>
                <c:pt idx="439">
                  <c:v>10.7302</c:v>
                </c:pt>
                <c:pt idx="440">
                  <c:v>10.7302</c:v>
                </c:pt>
                <c:pt idx="441">
                  <c:v>10.7302</c:v>
                </c:pt>
                <c:pt idx="442">
                  <c:v>10.7302</c:v>
                </c:pt>
                <c:pt idx="443">
                  <c:v>10.7563</c:v>
                </c:pt>
                <c:pt idx="444">
                  <c:v>10.7563</c:v>
                </c:pt>
                <c:pt idx="445">
                  <c:v>10.7563</c:v>
                </c:pt>
                <c:pt idx="446">
                  <c:v>10.7563</c:v>
                </c:pt>
                <c:pt idx="447">
                  <c:v>10.7563</c:v>
                </c:pt>
                <c:pt idx="448">
                  <c:v>10.7563</c:v>
                </c:pt>
                <c:pt idx="449">
                  <c:v>10.7563</c:v>
                </c:pt>
                <c:pt idx="450">
                  <c:v>10.7563</c:v>
                </c:pt>
                <c:pt idx="451">
                  <c:v>10.7563</c:v>
                </c:pt>
                <c:pt idx="452">
                  <c:v>10.7563</c:v>
                </c:pt>
                <c:pt idx="453">
                  <c:v>10.7563</c:v>
                </c:pt>
                <c:pt idx="454">
                  <c:v>10.7563</c:v>
                </c:pt>
                <c:pt idx="455">
                  <c:v>10.757</c:v>
                </c:pt>
                <c:pt idx="456">
                  <c:v>10.757</c:v>
                </c:pt>
                <c:pt idx="457">
                  <c:v>10.757</c:v>
                </c:pt>
                <c:pt idx="458">
                  <c:v>10.768599999999999</c:v>
                </c:pt>
                <c:pt idx="459">
                  <c:v>10.768800000000001</c:v>
                </c:pt>
                <c:pt idx="460">
                  <c:v>10.768800000000001</c:v>
                </c:pt>
                <c:pt idx="461">
                  <c:v>10.768800000000001</c:v>
                </c:pt>
                <c:pt idx="462">
                  <c:v>10.768800000000001</c:v>
                </c:pt>
                <c:pt idx="463">
                  <c:v>10.776199999999999</c:v>
                </c:pt>
                <c:pt idx="464">
                  <c:v>10.776199999999999</c:v>
                </c:pt>
                <c:pt idx="465">
                  <c:v>10.776199999999999</c:v>
                </c:pt>
                <c:pt idx="466">
                  <c:v>10.776199999999999</c:v>
                </c:pt>
                <c:pt idx="467">
                  <c:v>10.776199999999999</c:v>
                </c:pt>
                <c:pt idx="468">
                  <c:v>10.776199999999999</c:v>
                </c:pt>
                <c:pt idx="469">
                  <c:v>10.776199999999999</c:v>
                </c:pt>
                <c:pt idx="470">
                  <c:v>10.776199999999999</c:v>
                </c:pt>
                <c:pt idx="471">
                  <c:v>10.776199999999999</c:v>
                </c:pt>
                <c:pt idx="472">
                  <c:v>10.776199999999999</c:v>
                </c:pt>
                <c:pt idx="473">
                  <c:v>10.776199999999999</c:v>
                </c:pt>
                <c:pt idx="474">
                  <c:v>10.776199999999999</c:v>
                </c:pt>
                <c:pt idx="475">
                  <c:v>10.776199999999999</c:v>
                </c:pt>
                <c:pt idx="476">
                  <c:v>10.776199999999999</c:v>
                </c:pt>
                <c:pt idx="477">
                  <c:v>10.776199999999999</c:v>
                </c:pt>
                <c:pt idx="478">
                  <c:v>10.776199999999999</c:v>
                </c:pt>
                <c:pt idx="479">
                  <c:v>10.776199999999999</c:v>
                </c:pt>
                <c:pt idx="480">
                  <c:v>10.776199999999999</c:v>
                </c:pt>
                <c:pt idx="481">
                  <c:v>10.777799999999999</c:v>
                </c:pt>
                <c:pt idx="482">
                  <c:v>10.8429</c:v>
                </c:pt>
                <c:pt idx="483">
                  <c:v>10.8429</c:v>
                </c:pt>
                <c:pt idx="484">
                  <c:v>10.8429</c:v>
                </c:pt>
                <c:pt idx="485">
                  <c:v>10.8429</c:v>
                </c:pt>
                <c:pt idx="486">
                  <c:v>10.8429</c:v>
                </c:pt>
                <c:pt idx="487">
                  <c:v>10.8429</c:v>
                </c:pt>
                <c:pt idx="488">
                  <c:v>10.858499999999999</c:v>
                </c:pt>
                <c:pt idx="489">
                  <c:v>10.858499999999999</c:v>
                </c:pt>
                <c:pt idx="490">
                  <c:v>10.858499999999999</c:v>
                </c:pt>
                <c:pt idx="491">
                  <c:v>10.8786</c:v>
                </c:pt>
                <c:pt idx="492">
                  <c:v>10.8786</c:v>
                </c:pt>
                <c:pt idx="493">
                  <c:v>10.8786</c:v>
                </c:pt>
                <c:pt idx="494">
                  <c:v>10.8786</c:v>
                </c:pt>
                <c:pt idx="495">
                  <c:v>10.9178</c:v>
                </c:pt>
                <c:pt idx="496">
                  <c:v>10.9216</c:v>
                </c:pt>
                <c:pt idx="497">
                  <c:v>10.9216</c:v>
                </c:pt>
                <c:pt idx="498">
                  <c:v>10.942500000000001</c:v>
                </c:pt>
                <c:pt idx="499">
                  <c:v>10.9655</c:v>
                </c:pt>
                <c:pt idx="500">
                  <c:v>10.9655</c:v>
                </c:pt>
                <c:pt idx="501">
                  <c:v>10.9655</c:v>
                </c:pt>
                <c:pt idx="502">
                  <c:v>10.9704</c:v>
                </c:pt>
                <c:pt idx="503">
                  <c:v>10.9704</c:v>
                </c:pt>
                <c:pt idx="504">
                  <c:v>10.9704</c:v>
                </c:pt>
                <c:pt idx="505">
                  <c:v>10.9704</c:v>
                </c:pt>
                <c:pt idx="506">
                  <c:v>10.9704</c:v>
                </c:pt>
                <c:pt idx="507">
                  <c:v>10.9704</c:v>
                </c:pt>
                <c:pt idx="508">
                  <c:v>10.9704</c:v>
                </c:pt>
                <c:pt idx="509">
                  <c:v>10.9704</c:v>
                </c:pt>
                <c:pt idx="510">
                  <c:v>10.9704</c:v>
                </c:pt>
                <c:pt idx="511">
                  <c:v>10.973000000000001</c:v>
                </c:pt>
                <c:pt idx="512">
                  <c:v>10.9795</c:v>
                </c:pt>
                <c:pt idx="513">
                  <c:v>11.0467</c:v>
                </c:pt>
                <c:pt idx="514">
                  <c:v>11.0497</c:v>
                </c:pt>
                <c:pt idx="515">
                  <c:v>11.0497</c:v>
                </c:pt>
                <c:pt idx="516">
                  <c:v>11.050700000000001</c:v>
                </c:pt>
                <c:pt idx="517">
                  <c:v>11.050700000000001</c:v>
                </c:pt>
                <c:pt idx="518">
                  <c:v>11.069900000000001</c:v>
                </c:pt>
                <c:pt idx="519">
                  <c:v>11.094799999999999</c:v>
                </c:pt>
                <c:pt idx="520">
                  <c:v>11.1494</c:v>
                </c:pt>
                <c:pt idx="521">
                  <c:v>11.1494</c:v>
                </c:pt>
                <c:pt idx="522">
                  <c:v>11.1494</c:v>
                </c:pt>
                <c:pt idx="523">
                  <c:v>11.1494</c:v>
                </c:pt>
                <c:pt idx="524">
                  <c:v>11.1494</c:v>
                </c:pt>
                <c:pt idx="525">
                  <c:v>11.1494</c:v>
                </c:pt>
                <c:pt idx="526">
                  <c:v>11.1494</c:v>
                </c:pt>
                <c:pt idx="527">
                  <c:v>11.1494</c:v>
                </c:pt>
                <c:pt idx="528">
                  <c:v>11.1494</c:v>
                </c:pt>
                <c:pt idx="529">
                  <c:v>11.179399999999999</c:v>
                </c:pt>
                <c:pt idx="530">
                  <c:v>11.1869</c:v>
                </c:pt>
                <c:pt idx="531">
                  <c:v>11.1869</c:v>
                </c:pt>
                <c:pt idx="532">
                  <c:v>11.1869</c:v>
                </c:pt>
                <c:pt idx="533">
                  <c:v>11.1869</c:v>
                </c:pt>
                <c:pt idx="534">
                  <c:v>11.2866</c:v>
                </c:pt>
                <c:pt idx="535">
                  <c:v>11.2866</c:v>
                </c:pt>
                <c:pt idx="536">
                  <c:v>11.286899999999999</c:v>
                </c:pt>
                <c:pt idx="537">
                  <c:v>11.2906</c:v>
                </c:pt>
                <c:pt idx="538">
                  <c:v>11.2906</c:v>
                </c:pt>
                <c:pt idx="539">
                  <c:v>11.295199999999999</c:v>
                </c:pt>
                <c:pt idx="540">
                  <c:v>11.3085</c:v>
                </c:pt>
                <c:pt idx="541">
                  <c:v>11.3085</c:v>
                </c:pt>
                <c:pt idx="542">
                  <c:v>11.3085</c:v>
                </c:pt>
                <c:pt idx="543">
                  <c:v>11.3253</c:v>
                </c:pt>
                <c:pt idx="544">
                  <c:v>11.3253</c:v>
                </c:pt>
                <c:pt idx="545">
                  <c:v>11.3337</c:v>
                </c:pt>
                <c:pt idx="546">
                  <c:v>11.3337</c:v>
                </c:pt>
                <c:pt idx="547">
                  <c:v>11.3337</c:v>
                </c:pt>
                <c:pt idx="548">
                  <c:v>11.3337</c:v>
                </c:pt>
                <c:pt idx="549">
                  <c:v>11.3529</c:v>
                </c:pt>
                <c:pt idx="550">
                  <c:v>11.3529</c:v>
                </c:pt>
                <c:pt idx="551">
                  <c:v>11.3529</c:v>
                </c:pt>
                <c:pt idx="552">
                  <c:v>11.362399999999999</c:v>
                </c:pt>
                <c:pt idx="553">
                  <c:v>11.3734</c:v>
                </c:pt>
                <c:pt idx="554">
                  <c:v>11.3734</c:v>
                </c:pt>
                <c:pt idx="555">
                  <c:v>11.3734</c:v>
                </c:pt>
                <c:pt idx="556">
                  <c:v>11.3734</c:v>
                </c:pt>
                <c:pt idx="557">
                  <c:v>11.3734</c:v>
                </c:pt>
                <c:pt idx="558">
                  <c:v>11.3734</c:v>
                </c:pt>
                <c:pt idx="559">
                  <c:v>11.3734</c:v>
                </c:pt>
                <c:pt idx="560">
                  <c:v>11.3734</c:v>
                </c:pt>
                <c:pt idx="561">
                  <c:v>11.3734</c:v>
                </c:pt>
                <c:pt idx="562">
                  <c:v>11.3734</c:v>
                </c:pt>
                <c:pt idx="563">
                  <c:v>11.3734</c:v>
                </c:pt>
                <c:pt idx="564">
                  <c:v>11.3734</c:v>
                </c:pt>
                <c:pt idx="565">
                  <c:v>11.3734</c:v>
                </c:pt>
                <c:pt idx="566">
                  <c:v>11.3734</c:v>
                </c:pt>
                <c:pt idx="567">
                  <c:v>11.3734</c:v>
                </c:pt>
                <c:pt idx="568">
                  <c:v>11.374000000000001</c:v>
                </c:pt>
                <c:pt idx="569">
                  <c:v>11.374000000000001</c:v>
                </c:pt>
                <c:pt idx="570">
                  <c:v>11.374000000000001</c:v>
                </c:pt>
                <c:pt idx="571">
                  <c:v>11.374000000000001</c:v>
                </c:pt>
                <c:pt idx="572">
                  <c:v>11.374000000000001</c:v>
                </c:pt>
                <c:pt idx="573">
                  <c:v>11.3766</c:v>
                </c:pt>
                <c:pt idx="574">
                  <c:v>11.3766</c:v>
                </c:pt>
                <c:pt idx="575">
                  <c:v>11.3766</c:v>
                </c:pt>
                <c:pt idx="576">
                  <c:v>11.3766</c:v>
                </c:pt>
                <c:pt idx="577">
                  <c:v>11.3766</c:v>
                </c:pt>
                <c:pt idx="578">
                  <c:v>11.3766</c:v>
                </c:pt>
                <c:pt idx="579">
                  <c:v>11.3766</c:v>
                </c:pt>
                <c:pt idx="580">
                  <c:v>11.3766</c:v>
                </c:pt>
                <c:pt idx="581">
                  <c:v>11.439299999999999</c:v>
                </c:pt>
                <c:pt idx="582">
                  <c:v>11.4565</c:v>
                </c:pt>
                <c:pt idx="583">
                  <c:v>11.4717</c:v>
                </c:pt>
                <c:pt idx="584">
                  <c:v>11.4719</c:v>
                </c:pt>
                <c:pt idx="585">
                  <c:v>11.4719</c:v>
                </c:pt>
                <c:pt idx="586">
                  <c:v>11.4879</c:v>
                </c:pt>
                <c:pt idx="587">
                  <c:v>11.5541</c:v>
                </c:pt>
                <c:pt idx="588">
                  <c:v>11.5541</c:v>
                </c:pt>
                <c:pt idx="589">
                  <c:v>11.555300000000001</c:v>
                </c:pt>
                <c:pt idx="590">
                  <c:v>11.555300000000001</c:v>
                </c:pt>
                <c:pt idx="591">
                  <c:v>11.555300000000001</c:v>
                </c:pt>
                <c:pt idx="592">
                  <c:v>11.555300000000001</c:v>
                </c:pt>
                <c:pt idx="593">
                  <c:v>11.5646</c:v>
                </c:pt>
                <c:pt idx="594">
                  <c:v>11.571099999999999</c:v>
                </c:pt>
                <c:pt idx="595">
                  <c:v>11.590400000000001</c:v>
                </c:pt>
                <c:pt idx="596">
                  <c:v>11.590400000000001</c:v>
                </c:pt>
                <c:pt idx="597">
                  <c:v>11.590400000000001</c:v>
                </c:pt>
                <c:pt idx="598">
                  <c:v>11.595599999999999</c:v>
                </c:pt>
                <c:pt idx="599">
                  <c:v>11.6098</c:v>
                </c:pt>
                <c:pt idx="600">
                  <c:v>11.6098</c:v>
                </c:pt>
                <c:pt idx="601">
                  <c:v>11.6098</c:v>
                </c:pt>
                <c:pt idx="602">
                  <c:v>11.6098</c:v>
                </c:pt>
                <c:pt idx="603">
                  <c:v>11.6233</c:v>
                </c:pt>
                <c:pt idx="604">
                  <c:v>11.6233</c:v>
                </c:pt>
                <c:pt idx="605">
                  <c:v>11.6233</c:v>
                </c:pt>
                <c:pt idx="606">
                  <c:v>11.6233</c:v>
                </c:pt>
                <c:pt idx="607">
                  <c:v>11.6233</c:v>
                </c:pt>
                <c:pt idx="608">
                  <c:v>11.6233</c:v>
                </c:pt>
                <c:pt idx="609">
                  <c:v>11.625299999999999</c:v>
                </c:pt>
                <c:pt idx="610">
                  <c:v>11.625299999999999</c:v>
                </c:pt>
                <c:pt idx="611">
                  <c:v>11.625299999999999</c:v>
                </c:pt>
                <c:pt idx="612">
                  <c:v>11.651</c:v>
                </c:pt>
                <c:pt idx="613">
                  <c:v>11.651</c:v>
                </c:pt>
                <c:pt idx="614">
                  <c:v>11.651</c:v>
                </c:pt>
                <c:pt idx="615">
                  <c:v>11.661</c:v>
                </c:pt>
                <c:pt idx="616">
                  <c:v>11.661</c:v>
                </c:pt>
                <c:pt idx="617">
                  <c:v>11.661</c:v>
                </c:pt>
                <c:pt idx="618">
                  <c:v>11.6928</c:v>
                </c:pt>
                <c:pt idx="619">
                  <c:v>11.734500000000001</c:v>
                </c:pt>
                <c:pt idx="620">
                  <c:v>11.7425</c:v>
                </c:pt>
                <c:pt idx="621">
                  <c:v>11.7464</c:v>
                </c:pt>
                <c:pt idx="622">
                  <c:v>11.7464</c:v>
                </c:pt>
                <c:pt idx="623">
                  <c:v>11.7464</c:v>
                </c:pt>
                <c:pt idx="624">
                  <c:v>11.7464</c:v>
                </c:pt>
                <c:pt idx="625">
                  <c:v>11.7591</c:v>
                </c:pt>
                <c:pt idx="626">
                  <c:v>11.7591</c:v>
                </c:pt>
                <c:pt idx="627">
                  <c:v>11.7591</c:v>
                </c:pt>
                <c:pt idx="628">
                  <c:v>11.7591</c:v>
                </c:pt>
                <c:pt idx="629">
                  <c:v>11.8065</c:v>
                </c:pt>
                <c:pt idx="630">
                  <c:v>11.846399999999999</c:v>
                </c:pt>
                <c:pt idx="631">
                  <c:v>11.846399999999999</c:v>
                </c:pt>
                <c:pt idx="632">
                  <c:v>11.846399999999999</c:v>
                </c:pt>
                <c:pt idx="633">
                  <c:v>11.846399999999999</c:v>
                </c:pt>
                <c:pt idx="634">
                  <c:v>11.846399999999999</c:v>
                </c:pt>
                <c:pt idx="635">
                  <c:v>11.846399999999999</c:v>
                </c:pt>
                <c:pt idx="636">
                  <c:v>11.846399999999999</c:v>
                </c:pt>
                <c:pt idx="637">
                  <c:v>11.846399999999999</c:v>
                </c:pt>
                <c:pt idx="638">
                  <c:v>11.8834</c:v>
                </c:pt>
                <c:pt idx="639">
                  <c:v>11.8834</c:v>
                </c:pt>
                <c:pt idx="640">
                  <c:v>11.8988</c:v>
                </c:pt>
                <c:pt idx="641">
                  <c:v>11.909700000000001</c:v>
                </c:pt>
                <c:pt idx="642">
                  <c:v>11.9579</c:v>
                </c:pt>
                <c:pt idx="643">
                  <c:v>11.974500000000001</c:v>
                </c:pt>
                <c:pt idx="644">
                  <c:v>12.0123</c:v>
                </c:pt>
                <c:pt idx="645">
                  <c:v>12.0123</c:v>
                </c:pt>
                <c:pt idx="646">
                  <c:v>12.0123</c:v>
                </c:pt>
                <c:pt idx="647">
                  <c:v>12.0136</c:v>
                </c:pt>
                <c:pt idx="648">
                  <c:v>12.0136</c:v>
                </c:pt>
                <c:pt idx="649">
                  <c:v>12.0136</c:v>
                </c:pt>
                <c:pt idx="650">
                  <c:v>12.014900000000001</c:v>
                </c:pt>
                <c:pt idx="651">
                  <c:v>12.014900000000001</c:v>
                </c:pt>
                <c:pt idx="652">
                  <c:v>12.014900000000001</c:v>
                </c:pt>
                <c:pt idx="653">
                  <c:v>12.014900000000001</c:v>
                </c:pt>
                <c:pt idx="654">
                  <c:v>12.0206</c:v>
                </c:pt>
                <c:pt idx="655">
                  <c:v>12.0206</c:v>
                </c:pt>
                <c:pt idx="656">
                  <c:v>12.0303</c:v>
                </c:pt>
                <c:pt idx="657">
                  <c:v>12.0303</c:v>
                </c:pt>
                <c:pt idx="658">
                  <c:v>12.0303</c:v>
                </c:pt>
                <c:pt idx="659">
                  <c:v>12.0303</c:v>
                </c:pt>
                <c:pt idx="660">
                  <c:v>12.0303</c:v>
                </c:pt>
                <c:pt idx="661">
                  <c:v>12.064</c:v>
                </c:pt>
                <c:pt idx="662">
                  <c:v>12.064</c:v>
                </c:pt>
                <c:pt idx="663">
                  <c:v>12.064</c:v>
                </c:pt>
                <c:pt idx="664">
                  <c:v>12.064</c:v>
                </c:pt>
                <c:pt idx="665">
                  <c:v>12.064</c:v>
                </c:pt>
                <c:pt idx="666">
                  <c:v>12.064</c:v>
                </c:pt>
                <c:pt idx="667">
                  <c:v>12.064</c:v>
                </c:pt>
                <c:pt idx="668">
                  <c:v>12.1153</c:v>
                </c:pt>
                <c:pt idx="669">
                  <c:v>12.1153</c:v>
                </c:pt>
                <c:pt idx="670">
                  <c:v>12.1294</c:v>
                </c:pt>
                <c:pt idx="671">
                  <c:v>12.1294</c:v>
                </c:pt>
                <c:pt idx="672">
                  <c:v>12.1294</c:v>
                </c:pt>
                <c:pt idx="673">
                  <c:v>12.1294</c:v>
                </c:pt>
                <c:pt idx="674">
                  <c:v>12.138500000000001</c:v>
                </c:pt>
                <c:pt idx="675">
                  <c:v>12.138500000000001</c:v>
                </c:pt>
                <c:pt idx="676">
                  <c:v>12.138500000000001</c:v>
                </c:pt>
                <c:pt idx="677">
                  <c:v>12.138500000000001</c:v>
                </c:pt>
                <c:pt idx="678">
                  <c:v>12.1716</c:v>
                </c:pt>
                <c:pt idx="679">
                  <c:v>12.1716</c:v>
                </c:pt>
                <c:pt idx="680">
                  <c:v>12.1716</c:v>
                </c:pt>
                <c:pt idx="681">
                  <c:v>12.1716</c:v>
                </c:pt>
                <c:pt idx="682">
                  <c:v>12.1716</c:v>
                </c:pt>
                <c:pt idx="683">
                  <c:v>12.1716</c:v>
                </c:pt>
                <c:pt idx="684">
                  <c:v>12.1717</c:v>
                </c:pt>
                <c:pt idx="685">
                  <c:v>12.1717</c:v>
                </c:pt>
                <c:pt idx="686">
                  <c:v>12.210599999999999</c:v>
                </c:pt>
                <c:pt idx="687">
                  <c:v>12.210599999999999</c:v>
                </c:pt>
                <c:pt idx="688">
                  <c:v>12.210599999999999</c:v>
                </c:pt>
                <c:pt idx="689">
                  <c:v>12.210599999999999</c:v>
                </c:pt>
                <c:pt idx="690">
                  <c:v>12.210599999999999</c:v>
                </c:pt>
                <c:pt idx="691">
                  <c:v>12.215</c:v>
                </c:pt>
                <c:pt idx="692">
                  <c:v>12.308999999999999</c:v>
                </c:pt>
                <c:pt idx="693">
                  <c:v>12.308999999999999</c:v>
                </c:pt>
                <c:pt idx="694">
                  <c:v>12.308999999999999</c:v>
                </c:pt>
                <c:pt idx="695">
                  <c:v>12.308999999999999</c:v>
                </c:pt>
                <c:pt idx="696">
                  <c:v>12.308999999999999</c:v>
                </c:pt>
                <c:pt idx="697">
                  <c:v>12.321099999999999</c:v>
                </c:pt>
                <c:pt idx="698">
                  <c:v>12.3232</c:v>
                </c:pt>
                <c:pt idx="699">
                  <c:v>12.393700000000001</c:v>
                </c:pt>
                <c:pt idx="700">
                  <c:v>12.4666</c:v>
                </c:pt>
                <c:pt idx="701">
                  <c:v>12.489800000000001</c:v>
                </c:pt>
                <c:pt idx="702">
                  <c:v>12.489800000000001</c:v>
                </c:pt>
                <c:pt idx="703">
                  <c:v>12.489800000000001</c:v>
                </c:pt>
                <c:pt idx="704">
                  <c:v>12.489800000000001</c:v>
                </c:pt>
                <c:pt idx="705">
                  <c:v>12.489800000000001</c:v>
                </c:pt>
                <c:pt idx="706">
                  <c:v>12.489800000000001</c:v>
                </c:pt>
                <c:pt idx="707">
                  <c:v>12.489800000000001</c:v>
                </c:pt>
                <c:pt idx="708">
                  <c:v>12.489800000000001</c:v>
                </c:pt>
                <c:pt idx="709">
                  <c:v>12.489800000000001</c:v>
                </c:pt>
                <c:pt idx="710">
                  <c:v>12.491899999999999</c:v>
                </c:pt>
                <c:pt idx="711">
                  <c:v>12.491899999999999</c:v>
                </c:pt>
                <c:pt idx="712">
                  <c:v>12.491899999999999</c:v>
                </c:pt>
                <c:pt idx="713">
                  <c:v>12.491899999999999</c:v>
                </c:pt>
                <c:pt idx="714">
                  <c:v>12.491899999999999</c:v>
                </c:pt>
                <c:pt idx="715">
                  <c:v>12.498200000000001</c:v>
                </c:pt>
                <c:pt idx="716">
                  <c:v>12.498200000000001</c:v>
                </c:pt>
                <c:pt idx="717">
                  <c:v>12.4983</c:v>
                </c:pt>
                <c:pt idx="718">
                  <c:v>12.4983</c:v>
                </c:pt>
                <c:pt idx="719">
                  <c:v>12.4983</c:v>
                </c:pt>
                <c:pt idx="720">
                  <c:v>12.537699999999999</c:v>
                </c:pt>
                <c:pt idx="721">
                  <c:v>12.5617</c:v>
                </c:pt>
                <c:pt idx="722">
                  <c:v>12.5626</c:v>
                </c:pt>
                <c:pt idx="723">
                  <c:v>12.5824</c:v>
                </c:pt>
                <c:pt idx="724">
                  <c:v>12.6091</c:v>
                </c:pt>
                <c:pt idx="725">
                  <c:v>12.6091</c:v>
                </c:pt>
                <c:pt idx="726">
                  <c:v>12.6091</c:v>
                </c:pt>
                <c:pt idx="727">
                  <c:v>12.6091</c:v>
                </c:pt>
                <c:pt idx="728">
                  <c:v>12.6129</c:v>
                </c:pt>
                <c:pt idx="729">
                  <c:v>12.657299999999999</c:v>
                </c:pt>
                <c:pt idx="730">
                  <c:v>12.776999999999999</c:v>
                </c:pt>
                <c:pt idx="731">
                  <c:v>12.776999999999999</c:v>
                </c:pt>
                <c:pt idx="732">
                  <c:v>12.776999999999999</c:v>
                </c:pt>
                <c:pt idx="733">
                  <c:v>12.776999999999999</c:v>
                </c:pt>
                <c:pt idx="734">
                  <c:v>12.804</c:v>
                </c:pt>
                <c:pt idx="735">
                  <c:v>12.804</c:v>
                </c:pt>
                <c:pt idx="736">
                  <c:v>12.8322</c:v>
                </c:pt>
                <c:pt idx="737">
                  <c:v>12.8322</c:v>
                </c:pt>
                <c:pt idx="738">
                  <c:v>12.8322</c:v>
                </c:pt>
                <c:pt idx="739">
                  <c:v>12.8322</c:v>
                </c:pt>
                <c:pt idx="740">
                  <c:v>12.8322</c:v>
                </c:pt>
                <c:pt idx="741">
                  <c:v>12.8322</c:v>
                </c:pt>
                <c:pt idx="742">
                  <c:v>12.8322</c:v>
                </c:pt>
                <c:pt idx="743">
                  <c:v>12.866400000000001</c:v>
                </c:pt>
                <c:pt idx="744">
                  <c:v>12.866400000000001</c:v>
                </c:pt>
                <c:pt idx="745">
                  <c:v>12.866400000000001</c:v>
                </c:pt>
                <c:pt idx="746">
                  <c:v>12.866400000000001</c:v>
                </c:pt>
                <c:pt idx="747">
                  <c:v>12.866400000000001</c:v>
                </c:pt>
                <c:pt idx="748">
                  <c:v>12.866400000000001</c:v>
                </c:pt>
                <c:pt idx="749">
                  <c:v>12.866400000000001</c:v>
                </c:pt>
                <c:pt idx="750">
                  <c:v>12.8749</c:v>
                </c:pt>
                <c:pt idx="751">
                  <c:v>12.8749</c:v>
                </c:pt>
                <c:pt idx="752">
                  <c:v>12.8749</c:v>
                </c:pt>
                <c:pt idx="753">
                  <c:v>12.8749</c:v>
                </c:pt>
                <c:pt idx="754">
                  <c:v>12.8749</c:v>
                </c:pt>
                <c:pt idx="755">
                  <c:v>12.8749</c:v>
                </c:pt>
                <c:pt idx="756">
                  <c:v>12.8775</c:v>
                </c:pt>
                <c:pt idx="757">
                  <c:v>12.8775</c:v>
                </c:pt>
                <c:pt idx="758">
                  <c:v>12.8775</c:v>
                </c:pt>
                <c:pt idx="759">
                  <c:v>12.8775</c:v>
                </c:pt>
                <c:pt idx="760">
                  <c:v>12.8775</c:v>
                </c:pt>
                <c:pt idx="761">
                  <c:v>12.8775</c:v>
                </c:pt>
                <c:pt idx="762">
                  <c:v>12.8775</c:v>
                </c:pt>
                <c:pt idx="763">
                  <c:v>12.8775</c:v>
                </c:pt>
                <c:pt idx="764">
                  <c:v>12.8775</c:v>
                </c:pt>
                <c:pt idx="765">
                  <c:v>12.8775</c:v>
                </c:pt>
                <c:pt idx="766">
                  <c:v>12.8775</c:v>
                </c:pt>
                <c:pt idx="767">
                  <c:v>12.8775</c:v>
                </c:pt>
                <c:pt idx="768">
                  <c:v>12.8775</c:v>
                </c:pt>
                <c:pt idx="769">
                  <c:v>12.8775</c:v>
                </c:pt>
                <c:pt idx="770">
                  <c:v>12.8775</c:v>
                </c:pt>
                <c:pt idx="771">
                  <c:v>12.8978</c:v>
                </c:pt>
                <c:pt idx="772">
                  <c:v>12.8978</c:v>
                </c:pt>
                <c:pt idx="773">
                  <c:v>12.8978</c:v>
                </c:pt>
                <c:pt idx="774">
                  <c:v>12.981199999999999</c:v>
                </c:pt>
                <c:pt idx="775">
                  <c:v>12.981199999999999</c:v>
                </c:pt>
                <c:pt idx="776">
                  <c:v>13.007400000000001</c:v>
                </c:pt>
                <c:pt idx="777">
                  <c:v>13.007400000000001</c:v>
                </c:pt>
                <c:pt idx="778">
                  <c:v>13.007400000000001</c:v>
                </c:pt>
                <c:pt idx="779">
                  <c:v>13.007400000000001</c:v>
                </c:pt>
                <c:pt idx="780">
                  <c:v>13.0884</c:v>
                </c:pt>
                <c:pt idx="781">
                  <c:v>13.1248</c:v>
                </c:pt>
                <c:pt idx="782">
                  <c:v>13.1248</c:v>
                </c:pt>
                <c:pt idx="783">
                  <c:v>13.1248</c:v>
                </c:pt>
                <c:pt idx="784">
                  <c:v>13.1577</c:v>
                </c:pt>
                <c:pt idx="785">
                  <c:v>13.178800000000001</c:v>
                </c:pt>
                <c:pt idx="786">
                  <c:v>13.178800000000001</c:v>
                </c:pt>
                <c:pt idx="787">
                  <c:v>13.178800000000001</c:v>
                </c:pt>
                <c:pt idx="788">
                  <c:v>13.178800000000001</c:v>
                </c:pt>
                <c:pt idx="789">
                  <c:v>13.178800000000001</c:v>
                </c:pt>
                <c:pt idx="790">
                  <c:v>13.192</c:v>
                </c:pt>
                <c:pt idx="791">
                  <c:v>13.230499999999999</c:v>
                </c:pt>
                <c:pt idx="792">
                  <c:v>13.230499999999999</c:v>
                </c:pt>
                <c:pt idx="793">
                  <c:v>13.230499999999999</c:v>
                </c:pt>
                <c:pt idx="794">
                  <c:v>13.230499999999999</c:v>
                </c:pt>
                <c:pt idx="795">
                  <c:v>13.262499999999999</c:v>
                </c:pt>
                <c:pt idx="796">
                  <c:v>13.262499999999999</c:v>
                </c:pt>
                <c:pt idx="797">
                  <c:v>13.262499999999999</c:v>
                </c:pt>
                <c:pt idx="798">
                  <c:v>13.262499999999999</c:v>
                </c:pt>
                <c:pt idx="799">
                  <c:v>13.262499999999999</c:v>
                </c:pt>
                <c:pt idx="800">
                  <c:v>13.262499999999999</c:v>
                </c:pt>
                <c:pt idx="801">
                  <c:v>13.262499999999999</c:v>
                </c:pt>
                <c:pt idx="802">
                  <c:v>13.267200000000001</c:v>
                </c:pt>
                <c:pt idx="803">
                  <c:v>13.292999999999999</c:v>
                </c:pt>
                <c:pt idx="804">
                  <c:v>13.292999999999999</c:v>
                </c:pt>
                <c:pt idx="805">
                  <c:v>13.320600000000001</c:v>
                </c:pt>
                <c:pt idx="806">
                  <c:v>13.320600000000001</c:v>
                </c:pt>
                <c:pt idx="807">
                  <c:v>13.320600000000001</c:v>
                </c:pt>
                <c:pt idx="808">
                  <c:v>13.320600000000001</c:v>
                </c:pt>
                <c:pt idx="809">
                  <c:v>13.457700000000001</c:v>
                </c:pt>
                <c:pt idx="810">
                  <c:v>13.457700000000001</c:v>
                </c:pt>
                <c:pt idx="811">
                  <c:v>13.4811</c:v>
                </c:pt>
                <c:pt idx="812">
                  <c:v>13.4811</c:v>
                </c:pt>
                <c:pt idx="813">
                  <c:v>13.4811</c:v>
                </c:pt>
                <c:pt idx="814">
                  <c:v>13.4811</c:v>
                </c:pt>
                <c:pt idx="815">
                  <c:v>13.4811</c:v>
                </c:pt>
                <c:pt idx="816">
                  <c:v>13.4811</c:v>
                </c:pt>
                <c:pt idx="817">
                  <c:v>13.6546</c:v>
                </c:pt>
                <c:pt idx="818">
                  <c:v>13.6546</c:v>
                </c:pt>
                <c:pt idx="819">
                  <c:v>13.6546</c:v>
                </c:pt>
                <c:pt idx="820">
                  <c:v>13.6546</c:v>
                </c:pt>
                <c:pt idx="821">
                  <c:v>13.6587</c:v>
                </c:pt>
                <c:pt idx="822">
                  <c:v>13.6587</c:v>
                </c:pt>
                <c:pt idx="823">
                  <c:v>13.6587</c:v>
                </c:pt>
                <c:pt idx="824">
                  <c:v>13.6587</c:v>
                </c:pt>
                <c:pt idx="825">
                  <c:v>13.6624</c:v>
                </c:pt>
                <c:pt idx="826">
                  <c:v>13.71</c:v>
                </c:pt>
                <c:pt idx="827">
                  <c:v>13.916600000000001</c:v>
                </c:pt>
                <c:pt idx="828">
                  <c:v>13.916600000000001</c:v>
                </c:pt>
                <c:pt idx="829">
                  <c:v>13.916600000000001</c:v>
                </c:pt>
                <c:pt idx="830">
                  <c:v>13.916600000000001</c:v>
                </c:pt>
                <c:pt idx="831">
                  <c:v>13.916600000000001</c:v>
                </c:pt>
                <c:pt idx="832">
                  <c:v>13.9339</c:v>
                </c:pt>
                <c:pt idx="833">
                  <c:v>13.9339</c:v>
                </c:pt>
                <c:pt idx="834">
                  <c:v>13.9339</c:v>
                </c:pt>
                <c:pt idx="835">
                  <c:v>13.9339</c:v>
                </c:pt>
                <c:pt idx="836">
                  <c:v>13.9361</c:v>
                </c:pt>
                <c:pt idx="837">
                  <c:v>14.1454</c:v>
                </c:pt>
                <c:pt idx="838">
                  <c:v>14.1454</c:v>
                </c:pt>
                <c:pt idx="839">
                  <c:v>14.1454</c:v>
                </c:pt>
                <c:pt idx="840">
                  <c:v>14.1454</c:v>
                </c:pt>
                <c:pt idx="841">
                  <c:v>14.165900000000001</c:v>
                </c:pt>
                <c:pt idx="842">
                  <c:v>14.165900000000001</c:v>
                </c:pt>
                <c:pt idx="843">
                  <c:v>14.183199999999999</c:v>
                </c:pt>
                <c:pt idx="844">
                  <c:v>14.183199999999999</c:v>
                </c:pt>
                <c:pt idx="845">
                  <c:v>14.5695</c:v>
                </c:pt>
                <c:pt idx="846">
                  <c:v>14.5695</c:v>
                </c:pt>
                <c:pt idx="847">
                  <c:v>14.5695</c:v>
                </c:pt>
                <c:pt idx="848">
                  <c:v>14.5695</c:v>
                </c:pt>
                <c:pt idx="849">
                  <c:v>14.5695</c:v>
                </c:pt>
                <c:pt idx="850">
                  <c:v>14.5695</c:v>
                </c:pt>
                <c:pt idx="851">
                  <c:v>14.5695</c:v>
                </c:pt>
                <c:pt idx="852">
                  <c:v>14.5695</c:v>
                </c:pt>
                <c:pt idx="853">
                  <c:v>14.5695</c:v>
                </c:pt>
                <c:pt idx="854">
                  <c:v>14.5695</c:v>
                </c:pt>
                <c:pt idx="855">
                  <c:v>14.5695</c:v>
                </c:pt>
                <c:pt idx="856">
                  <c:v>14.5695</c:v>
                </c:pt>
                <c:pt idx="857">
                  <c:v>14.572100000000001</c:v>
                </c:pt>
                <c:pt idx="858">
                  <c:v>14.572100000000001</c:v>
                </c:pt>
                <c:pt idx="859">
                  <c:v>14.572100000000001</c:v>
                </c:pt>
                <c:pt idx="860">
                  <c:v>14.574</c:v>
                </c:pt>
                <c:pt idx="861">
                  <c:v>14.574</c:v>
                </c:pt>
                <c:pt idx="862">
                  <c:v>14.5786</c:v>
                </c:pt>
                <c:pt idx="863">
                  <c:v>14.5915</c:v>
                </c:pt>
                <c:pt idx="864">
                  <c:v>14.5915</c:v>
                </c:pt>
                <c:pt idx="865">
                  <c:v>14.5915</c:v>
                </c:pt>
                <c:pt idx="866">
                  <c:v>14.5915</c:v>
                </c:pt>
                <c:pt idx="867">
                  <c:v>14.615</c:v>
                </c:pt>
                <c:pt idx="868">
                  <c:v>14.615</c:v>
                </c:pt>
                <c:pt idx="869">
                  <c:v>14.615</c:v>
                </c:pt>
                <c:pt idx="870">
                  <c:v>14.615</c:v>
                </c:pt>
                <c:pt idx="871">
                  <c:v>14.615</c:v>
                </c:pt>
                <c:pt idx="872">
                  <c:v>14.615</c:v>
                </c:pt>
                <c:pt idx="873">
                  <c:v>14.615</c:v>
                </c:pt>
                <c:pt idx="874">
                  <c:v>14.615</c:v>
                </c:pt>
                <c:pt idx="875">
                  <c:v>14.615</c:v>
                </c:pt>
                <c:pt idx="876">
                  <c:v>14.615</c:v>
                </c:pt>
                <c:pt idx="877">
                  <c:v>14.615</c:v>
                </c:pt>
                <c:pt idx="878">
                  <c:v>14.615</c:v>
                </c:pt>
                <c:pt idx="879">
                  <c:v>14.615</c:v>
                </c:pt>
                <c:pt idx="880">
                  <c:v>14.615</c:v>
                </c:pt>
                <c:pt idx="881">
                  <c:v>14.615</c:v>
                </c:pt>
                <c:pt idx="882">
                  <c:v>14.854100000000001</c:v>
                </c:pt>
                <c:pt idx="883">
                  <c:v>14.854100000000001</c:v>
                </c:pt>
                <c:pt idx="884">
                  <c:v>14.854100000000001</c:v>
                </c:pt>
                <c:pt idx="885">
                  <c:v>14.905900000000001</c:v>
                </c:pt>
                <c:pt idx="886">
                  <c:v>14.905900000000001</c:v>
                </c:pt>
                <c:pt idx="887">
                  <c:v>14.905900000000001</c:v>
                </c:pt>
                <c:pt idx="888">
                  <c:v>14.905900000000001</c:v>
                </c:pt>
                <c:pt idx="889">
                  <c:v>14.9191</c:v>
                </c:pt>
                <c:pt idx="890">
                  <c:v>15.025600000000001</c:v>
                </c:pt>
                <c:pt idx="891">
                  <c:v>15.0373</c:v>
                </c:pt>
                <c:pt idx="892">
                  <c:v>15.0373</c:v>
                </c:pt>
                <c:pt idx="893">
                  <c:v>15.0373</c:v>
                </c:pt>
                <c:pt idx="894">
                  <c:v>15.0373</c:v>
                </c:pt>
                <c:pt idx="895">
                  <c:v>15.0373</c:v>
                </c:pt>
                <c:pt idx="896">
                  <c:v>15.0373</c:v>
                </c:pt>
                <c:pt idx="897">
                  <c:v>15.0373</c:v>
                </c:pt>
                <c:pt idx="898">
                  <c:v>15.0768</c:v>
                </c:pt>
                <c:pt idx="899">
                  <c:v>15.0921</c:v>
                </c:pt>
                <c:pt idx="900">
                  <c:v>15.0921</c:v>
                </c:pt>
                <c:pt idx="901">
                  <c:v>15.0921</c:v>
                </c:pt>
                <c:pt idx="902">
                  <c:v>15.0921</c:v>
                </c:pt>
                <c:pt idx="903">
                  <c:v>15.157500000000001</c:v>
                </c:pt>
                <c:pt idx="904">
                  <c:v>15.157500000000001</c:v>
                </c:pt>
                <c:pt idx="905">
                  <c:v>15.157500000000001</c:v>
                </c:pt>
                <c:pt idx="906">
                  <c:v>15.157500000000001</c:v>
                </c:pt>
                <c:pt idx="907">
                  <c:v>15.157500000000001</c:v>
                </c:pt>
                <c:pt idx="908">
                  <c:v>15.157500000000001</c:v>
                </c:pt>
                <c:pt idx="909">
                  <c:v>15.157500000000001</c:v>
                </c:pt>
                <c:pt idx="910">
                  <c:v>15.157500000000001</c:v>
                </c:pt>
                <c:pt idx="911">
                  <c:v>15.373200000000001</c:v>
                </c:pt>
                <c:pt idx="912">
                  <c:v>15.3886</c:v>
                </c:pt>
                <c:pt idx="913">
                  <c:v>15.463699999999999</c:v>
                </c:pt>
                <c:pt idx="914">
                  <c:v>16.093599999999999</c:v>
                </c:pt>
                <c:pt idx="915">
                  <c:v>16.093599999999999</c:v>
                </c:pt>
                <c:pt idx="916">
                  <c:v>16.093599999999999</c:v>
                </c:pt>
                <c:pt idx="917">
                  <c:v>16.093599999999999</c:v>
                </c:pt>
                <c:pt idx="918">
                  <c:v>16.641500000000001</c:v>
                </c:pt>
                <c:pt idx="919">
                  <c:v>16.8202</c:v>
                </c:pt>
                <c:pt idx="920">
                  <c:v>16.8202</c:v>
                </c:pt>
                <c:pt idx="921">
                  <c:v>16.8202</c:v>
                </c:pt>
                <c:pt idx="922">
                  <c:v>16.8202</c:v>
                </c:pt>
                <c:pt idx="923">
                  <c:v>16.839300000000001</c:v>
                </c:pt>
                <c:pt idx="924">
                  <c:v>16.9404</c:v>
                </c:pt>
                <c:pt idx="925">
                  <c:v>16.9664</c:v>
                </c:pt>
                <c:pt idx="926">
                  <c:v>16.9664</c:v>
                </c:pt>
                <c:pt idx="927">
                  <c:v>16.9664</c:v>
                </c:pt>
                <c:pt idx="928">
                  <c:v>16.9664</c:v>
                </c:pt>
                <c:pt idx="929">
                  <c:v>16.9664</c:v>
                </c:pt>
                <c:pt idx="930">
                  <c:v>16.9664</c:v>
                </c:pt>
                <c:pt idx="931">
                  <c:v>16.9664</c:v>
                </c:pt>
                <c:pt idx="932">
                  <c:v>16.9664</c:v>
                </c:pt>
                <c:pt idx="933">
                  <c:v>17.371500000000001</c:v>
                </c:pt>
                <c:pt idx="934">
                  <c:v>17.645199999999999</c:v>
                </c:pt>
                <c:pt idx="935">
                  <c:v>17.645199999999999</c:v>
                </c:pt>
                <c:pt idx="936">
                  <c:v>17.645199999999999</c:v>
                </c:pt>
                <c:pt idx="937">
                  <c:v>17.776700000000002</c:v>
                </c:pt>
                <c:pt idx="938">
                  <c:v>17.776700000000002</c:v>
                </c:pt>
                <c:pt idx="939">
                  <c:v>17.776700000000002</c:v>
                </c:pt>
                <c:pt idx="940">
                  <c:v>17.776700000000002</c:v>
                </c:pt>
                <c:pt idx="941">
                  <c:v>17.7972</c:v>
                </c:pt>
                <c:pt idx="942">
                  <c:v>17.7972</c:v>
                </c:pt>
                <c:pt idx="943">
                  <c:v>17.7972</c:v>
                </c:pt>
                <c:pt idx="944">
                  <c:v>17.7972</c:v>
                </c:pt>
                <c:pt idx="945">
                  <c:v>17.7972</c:v>
                </c:pt>
                <c:pt idx="946">
                  <c:v>17.7972</c:v>
                </c:pt>
                <c:pt idx="947">
                  <c:v>17.974799999999998</c:v>
                </c:pt>
                <c:pt idx="948">
                  <c:v>18.284700000000001</c:v>
                </c:pt>
                <c:pt idx="949">
                  <c:v>18.871099999999998</c:v>
                </c:pt>
                <c:pt idx="950">
                  <c:v>18.871099999999998</c:v>
                </c:pt>
                <c:pt idx="951">
                  <c:v>18.871099999999998</c:v>
                </c:pt>
                <c:pt idx="952">
                  <c:v>18.871099999999998</c:v>
                </c:pt>
                <c:pt idx="953">
                  <c:v>18.871099999999998</c:v>
                </c:pt>
                <c:pt idx="954">
                  <c:v>18.871099999999998</c:v>
                </c:pt>
                <c:pt idx="955">
                  <c:v>18.871099999999998</c:v>
                </c:pt>
                <c:pt idx="956">
                  <c:v>18.878799999999998</c:v>
                </c:pt>
                <c:pt idx="957">
                  <c:v>18.878799999999998</c:v>
                </c:pt>
                <c:pt idx="958">
                  <c:v>19.564800000000002</c:v>
                </c:pt>
                <c:pt idx="959">
                  <c:v>20.798200000000001</c:v>
                </c:pt>
                <c:pt idx="960">
                  <c:v>20.798200000000001</c:v>
                </c:pt>
                <c:pt idx="961">
                  <c:v>20.798200000000001</c:v>
                </c:pt>
                <c:pt idx="962">
                  <c:v>22.071400000000001</c:v>
                </c:pt>
                <c:pt idx="963">
                  <c:v>22.071400000000001</c:v>
                </c:pt>
                <c:pt idx="964">
                  <c:v>22.071400000000001</c:v>
                </c:pt>
                <c:pt idx="965">
                  <c:v>22.071400000000001</c:v>
                </c:pt>
                <c:pt idx="966">
                  <c:v>22.480499999999999</c:v>
                </c:pt>
                <c:pt idx="967">
                  <c:v>22.9131</c:v>
                </c:pt>
                <c:pt idx="968">
                  <c:v>22.9131</c:v>
                </c:pt>
                <c:pt idx="969">
                  <c:v>22.9131</c:v>
                </c:pt>
                <c:pt idx="970">
                  <c:v>24.087700000000002</c:v>
                </c:pt>
                <c:pt idx="971">
                  <c:v>24.134499999999999</c:v>
                </c:pt>
                <c:pt idx="972">
                  <c:v>24.134499999999999</c:v>
                </c:pt>
                <c:pt idx="973">
                  <c:v>24.134499999999999</c:v>
                </c:pt>
                <c:pt idx="974">
                  <c:v>24.134499999999999</c:v>
                </c:pt>
                <c:pt idx="975">
                  <c:v>26.099399999999999</c:v>
                </c:pt>
                <c:pt idx="976">
                  <c:v>26.099399999999999</c:v>
                </c:pt>
                <c:pt idx="977">
                  <c:v>26.099399999999999</c:v>
                </c:pt>
                <c:pt idx="978">
                  <c:v>26.099399999999999</c:v>
                </c:pt>
                <c:pt idx="979">
                  <c:v>26.099399999999999</c:v>
                </c:pt>
                <c:pt idx="980">
                  <c:v>26.353100000000001</c:v>
                </c:pt>
                <c:pt idx="981">
                  <c:v>63.177100000000003</c:v>
                </c:pt>
                <c:pt idx="982">
                  <c:v>63.177100000000003</c:v>
                </c:pt>
                <c:pt idx="983">
                  <c:v>63.177100000000003</c:v>
                </c:pt>
                <c:pt idx="984">
                  <c:v>63.177100000000003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1B-4CC5-AE45-8D5C61A12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76448"/>
        <c:axId val="497869104"/>
      </c:scatterChart>
      <c:valAx>
        <c:axId val="49907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869104"/>
        <c:crosses val="autoZero"/>
        <c:crossBetween val="midCat"/>
      </c:valAx>
      <c:valAx>
        <c:axId val="49786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07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42862</xdr:colOff>
      <xdr:row>1</xdr:row>
      <xdr:rowOff>4761</xdr:rowOff>
    </xdr:from>
    <xdr:to>
      <xdr:col>44</xdr:col>
      <xdr:colOff>476250</xdr:colOff>
      <xdr:row>23</xdr:row>
      <xdr:rowOff>104774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DFCCBF-4CC1-4C9D-1920-AEF478E20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1138237</xdr:colOff>
      <xdr:row>1</xdr:row>
      <xdr:rowOff>19050</xdr:rowOff>
    </xdr:from>
    <xdr:to>
      <xdr:col>14</xdr:col>
      <xdr:colOff>1019175</xdr:colOff>
      <xdr:row>25</xdr:row>
      <xdr:rowOff>109537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31C4C6-A248-D0C9-42A3-343F1CFCB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958CF8-B440-44E5-A4B9-8FFBB1298ABC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4317b14d-e991-4f3b-a155-5ec450a70cc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data/eia860/" TargetMode="External"/><Relationship Id="rId1" Type="http://schemas.openxmlformats.org/officeDocument/2006/relationships/hyperlink" Target="https://www.eia.gov/electricity/data/eia923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ia.gov/electricity/data/eia923/" TargetMode="External"/><Relationship Id="rId299" Type="http://schemas.openxmlformats.org/officeDocument/2006/relationships/hyperlink" Target="https://www.eia.gov/electricity/data/eia923/" TargetMode="External"/><Relationship Id="rId21" Type="http://schemas.openxmlformats.org/officeDocument/2006/relationships/hyperlink" Target="https://www.eia.gov/electricity/data/eia923/" TargetMode="External"/><Relationship Id="rId63" Type="http://schemas.openxmlformats.org/officeDocument/2006/relationships/hyperlink" Target="https://www.eia.gov/electricity/data/eia923/" TargetMode="External"/><Relationship Id="rId159" Type="http://schemas.openxmlformats.org/officeDocument/2006/relationships/hyperlink" Target="https://www.eia.gov/electricity/data/eia923/" TargetMode="External"/><Relationship Id="rId324" Type="http://schemas.openxmlformats.org/officeDocument/2006/relationships/hyperlink" Target="https://www.eia.gov/electricity/data/eia923/" TargetMode="External"/><Relationship Id="rId366" Type="http://schemas.openxmlformats.org/officeDocument/2006/relationships/hyperlink" Target="https://www.eia.gov/electricity/data/eia923/" TargetMode="External"/><Relationship Id="rId170" Type="http://schemas.openxmlformats.org/officeDocument/2006/relationships/hyperlink" Target="https://www.eia.gov/electricity/data/eia923/" TargetMode="External"/><Relationship Id="rId226" Type="http://schemas.openxmlformats.org/officeDocument/2006/relationships/hyperlink" Target="https://www.eia.gov/electricity/data/eia923/" TargetMode="External"/><Relationship Id="rId433" Type="http://schemas.openxmlformats.org/officeDocument/2006/relationships/vmlDrawing" Target="../drawings/vmlDrawing1.vml"/><Relationship Id="rId268" Type="http://schemas.openxmlformats.org/officeDocument/2006/relationships/hyperlink" Target="https://www.eia.gov/electricity/data/eia923/" TargetMode="External"/><Relationship Id="rId32" Type="http://schemas.openxmlformats.org/officeDocument/2006/relationships/hyperlink" Target="https://www.eia.gov/electricity/data/eia923/" TargetMode="External"/><Relationship Id="rId74" Type="http://schemas.openxmlformats.org/officeDocument/2006/relationships/hyperlink" Target="https://www.eia.gov/electricity/data/eia923/" TargetMode="External"/><Relationship Id="rId128" Type="http://schemas.openxmlformats.org/officeDocument/2006/relationships/hyperlink" Target="https://www.eia.gov/electricity/data/eia923/" TargetMode="External"/><Relationship Id="rId335" Type="http://schemas.openxmlformats.org/officeDocument/2006/relationships/hyperlink" Target="https://www.eia.gov/electricity/data/eia923/" TargetMode="External"/><Relationship Id="rId377" Type="http://schemas.openxmlformats.org/officeDocument/2006/relationships/hyperlink" Target="https://www.eia.gov/electricity/data/eia923/" TargetMode="External"/><Relationship Id="rId5" Type="http://schemas.openxmlformats.org/officeDocument/2006/relationships/hyperlink" Target="https://www.eia.gov/electricity/data/eia923/" TargetMode="External"/><Relationship Id="rId181" Type="http://schemas.openxmlformats.org/officeDocument/2006/relationships/hyperlink" Target="https://www.eia.gov/electricity/data/eia923/" TargetMode="External"/><Relationship Id="rId237" Type="http://schemas.openxmlformats.org/officeDocument/2006/relationships/hyperlink" Target="https://www.eia.gov/electricity/data/eia923/" TargetMode="External"/><Relationship Id="rId402" Type="http://schemas.openxmlformats.org/officeDocument/2006/relationships/hyperlink" Target="https://www.eia.gov/electricity/data/eia923/" TargetMode="External"/><Relationship Id="rId279" Type="http://schemas.openxmlformats.org/officeDocument/2006/relationships/hyperlink" Target="https://www.eia.gov/electricity/data/eia923/" TargetMode="External"/><Relationship Id="rId43" Type="http://schemas.openxmlformats.org/officeDocument/2006/relationships/hyperlink" Target="https://www.eia.gov/electricity/data/eia923/" TargetMode="External"/><Relationship Id="rId139" Type="http://schemas.openxmlformats.org/officeDocument/2006/relationships/hyperlink" Target="https://www.eia.gov/electricity/data/eia923/" TargetMode="External"/><Relationship Id="rId290" Type="http://schemas.openxmlformats.org/officeDocument/2006/relationships/hyperlink" Target="https://www.eia.gov/electricity/data/eia923/" TargetMode="External"/><Relationship Id="rId304" Type="http://schemas.openxmlformats.org/officeDocument/2006/relationships/hyperlink" Target="https://www.eia.gov/electricity/data/eia923/" TargetMode="External"/><Relationship Id="rId346" Type="http://schemas.openxmlformats.org/officeDocument/2006/relationships/hyperlink" Target="https://www.eia.gov/electricity/data/eia923/" TargetMode="External"/><Relationship Id="rId388" Type="http://schemas.openxmlformats.org/officeDocument/2006/relationships/hyperlink" Target="https://www.eia.gov/electricity/data/eia923/" TargetMode="External"/><Relationship Id="rId85" Type="http://schemas.openxmlformats.org/officeDocument/2006/relationships/hyperlink" Target="https://www.eia.gov/electricity/data/eia923/" TargetMode="External"/><Relationship Id="rId150" Type="http://schemas.openxmlformats.org/officeDocument/2006/relationships/hyperlink" Target="https://www.eia.gov/electricity/data/eia923/" TargetMode="External"/><Relationship Id="rId192" Type="http://schemas.openxmlformats.org/officeDocument/2006/relationships/hyperlink" Target="https://www.eia.gov/electricity/data/eia923/" TargetMode="External"/><Relationship Id="rId206" Type="http://schemas.openxmlformats.org/officeDocument/2006/relationships/hyperlink" Target="https://www.eia.gov/electricity/data/eia923/" TargetMode="External"/><Relationship Id="rId413" Type="http://schemas.openxmlformats.org/officeDocument/2006/relationships/hyperlink" Target="https://www.eia.gov/electricity/data/eia923/" TargetMode="External"/><Relationship Id="rId248" Type="http://schemas.openxmlformats.org/officeDocument/2006/relationships/hyperlink" Target="https://www.eia.gov/electricity/data/eia923/" TargetMode="External"/><Relationship Id="rId12" Type="http://schemas.openxmlformats.org/officeDocument/2006/relationships/hyperlink" Target="https://www.eia.gov/electricity/data/eia923/" TargetMode="External"/><Relationship Id="rId108" Type="http://schemas.openxmlformats.org/officeDocument/2006/relationships/hyperlink" Target="https://www.eia.gov/electricity/data/eia923/" TargetMode="External"/><Relationship Id="rId315" Type="http://schemas.openxmlformats.org/officeDocument/2006/relationships/hyperlink" Target="https://www.eia.gov/electricity/data/eia923/" TargetMode="External"/><Relationship Id="rId357" Type="http://schemas.openxmlformats.org/officeDocument/2006/relationships/hyperlink" Target="https://www.eia.gov/electricity/data/eia923/" TargetMode="External"/><Relationship Id="rId54" Type="http://schemas.openxmlformats.org/officeDocument/2006/relationships/hyperlink" Target="https://www.eia.gov/electricity/data/eia923/" TargetMode="External"/><Relationship Id="rId96" Type="http://schemas.openxmlformats.org/officeDocument/2006/relationships/hyperlink" Target="https://www.eia.gov/electricity/data/eia923/" TargetMode="External"/><Relationship Id="rId161" Type="http://schemas.openxmlformats.org/officeDocument/2006/relationships/hyperlink" Target="https://www.eia.gov/electricity/data/eia923/" TargetMode="External"/><Relationship Id="rId217" Type="http://schemas.openxmlformats.org/officeDocument/2006/relationships/hyperlink" Target="https://www.eia.gov/electricity/data/eia923/" TargetMode="External"/><Relationship Id="rId399" Type="http://schemas.openxmlformats.org/officeDocument/2006/relationships/hyperlink" Target="https://www.eia.gov/electricity/data/eia923/" TargetMode="External"/><Relationship Id="rId259" Type="http://schemas.openxmlformats.org/officeDocument/2006/relationships/hyperlink" Target="https://www.eia.gov/electricity/data/eia923/" TargetMode="External"/><Relationship Id="rId424" Type="http://schemas.openxmlformats.org/officeDocument/2006/relationships/hyperlink" Target="https://www.eia.gov/electricity/data/eia923/" TargetMode="External"/><Relationship Id="rId23" Type="http://schemas.openxmlformats.org/officeDocument/2006/relationships/hyperlink" Target="https://www.eia.gov/electricity/data/eia923/" TargetMode="External"/><Relationship Id="rId119" Type="http://schemas.openxmlformats.org/officeDocument/2006/relationships/hyperlink" Target="https://www.eia.gov/electricity/data/eia923/" TargetMode="External"/><Relationship Id="rId270" Type="http://schemas.openxmlformats.org/officeDocument/2006/relationships/hyperlink" Target="https://www.eia.gov/electricity/data/eia923/" TargetMode="External"/><Relationship Id="rId326" Type="http://schemas.openxmlformats.org/officeDocument/2006/relationships/hyperlink" Target="https://www.eia.gov/electricity/data/eia923/" TargetMode="External"/><Relationship Id="rId65" Type="http://schemas.openxmlformats.org/officeDocument/2006/relationships/hyperlink" Target="https://www.eia.gov/electricity/data/eia923/" TargetMode="External"/><Relationship Id="rId130" Type="http://schemas.openxmlformats.org/officeDocument/2006/relationships/hyperlink" Target="https://www.eia.gov/electricity/data/eia923/" TargetMode="External"/><Relationship Id="rId368" Type="http://schemas.openxmlformats.org/officeDocument/2006/relationships/hyperlink" Target="https://www.eia.gov/electricity/data/eia923/" TargetMode="External"/><Relationship Id="rId172" Type="http://schemas.openxmlformats.org/officeDocument/2006/relationships/hyperlink" Target="https://www.eia.gov/electricity/data/eia923/" TargetMode="External"/><Relationship Id="rId228" Type="http://schemas.openxmlformats.org/officeDocument/2006/relationships/hyperlink" Target="https://www.eia.gov/electricity/data/eia923/" TargetMode="External"/><Relationship Id="rId281" Type="http://schemas.openxmlformats.org/officeDocument/2006/relationships/hyperlink" Target="https://www.eia.gov/electricity/data/eia923/" TargetMode="External"/><Relationship Id="rId337" Type="http://schemas.openxmlformats.org/officeDocument/2006/relationships/hyperlink" Target="https://www.eia.gov/electricity/data/eia923/" TargetMode="External"/><Relationship Id="rId34" Type="http://schemas.openxmlformats.org/officeDocument/2006/relationships/hyperlink" Target="https://www.eia.gov/electricity/data/eia923/" TargetMode="External"/><Relationship Id="rId76" Type="http://schemas.openxmlformats.org/officeDocument/2006/relationships/hyperlink" Target="https://www.eia.gov/electricity/data/eia923/" TargetMode="External"/><Relationship Id="rId141" Type="http://schemas.openxmlformats.org/officeDocument/2006/relationships/hyperlink" Target="https://www.eia.gov/electricity/data/eia923/" TargetMode="External"/><Relationship Id="rId379" Type="http://schemas.openxmlformats.org/officeDocument/2006/relationships/hyperlink" Target="https://www.eia.gov/electricity/data/eia923/" TargetMode="External"/><Relationship Id="rId7" Type="http://schemas.openxmlformats.org/officeDocument/2006/relationships/hyperlink" Target="https://www.eia.gov/electricity/data/eia923/" TargetMode="External"/><Relationship Id="rId183" Type="http://schemas.openxmlformats.org/officeDocument/2006/relationships/hyperlink" Target="https://www.eia.gov/electricity/data/eia923/" TargetMode="External"/><Relationship Id="rId239" Type="http://schemas.openxmlformats.org/officeDocument/2006/relationships/hyperlink" Target="https://www.eia.gov/electricity/data/eia923/" TargetMode="External"/><Relationship Id="rId390" Type="http://schemas.openxmlformats.org/officeDocument/2006/relationships/hyperlink" Target="https://www.eia.gov/electricity/data/eia923/" TargetMode="External"/><Relationship Id="rId404" Type="http://schemas.openxmlformats.org/officeDocument/2006/relationships/hyperlink" Target="https://www.eia.gov/electricity/data/eia923/" TargetMode="External"/><Relationship Id="rId250" Type="http://schemas.openxmlformats.org/officeDocument/2006/relationships/hyperlink" Target="https://www.eia.gov/electricity/data/eia923/" TargetMode="External"/><Relationship Id="rId292" Type="http://schemas.openxmlformats.org/officeDocument/2006/relationships/hyperlink" Target="https://www.eia.gov/electricity/data/eia923/" TargetMode="External"/><Relationship Id="rId306" Type="http://schemas.openxmlformats.org/officeDocument/2006/relationships/hyperlink" Target="https://www.eia.gov/electricity/data/eia923/" TargetMode="External"/><Relationship Id="rId45" Type="http://schemas.openxmlformats.org/officeDocument/2006/relationships/hyperlink" Target="https://www.eia.gov/electricity/data/eia923/" TargetMode="External"/><Relationship Id="rId87" Type="http://schemas.openxmlformats.org/officeDocument/2006/relationships/hyperlink" Target="https://www.eia.gov/electricity/data/eia923/" TargetMode="External"/><Relationship Id="rId110" Type="http://schemas.openxmlformats.org/officeDocument/2006/relationships/hyperlink" Target="https://www.eia.gov/electricity/data/eia923/" TargetMode="External"/><Relationship Id="rId348" Type="http://schemas.openxmlformats.org/officeDocument/2006/relationships/hyperlink" Target="https://www.eia.gov/electricity/data/eia923/" TargetMode="External"/><Relationship Id="rId152" Type="http://schemas.openxmlformats.org/officeDocument/2006/relationships/hyperlink" Target="https://www.eia.gov/electricity/data/eia923/" TargetMode="External"/><Relationship Id="rId194" Type="http://schemas.openxmlformats.org/officeDocument/2006/relationships/hyperlink" Target="https://www.eia.gov/electricity/data/eia923/" TargetMode="External"/><Relationship Id="rId208" Type="http://schemas.openxmlformats.org/officeDocument/2006/relationships/hyperlink" Target="https://www.eia.gov/electricity/data/eia923/" TargetMode="External"/><Relationship Id="rId415" Type="http://schemas.openxmlformats.org/officeDocument/2006/relationships/hyperlink" Target="https://www.eia.gov/electricity/data/eia923/" TargetMode="External"/><Relationship Id="rId261" Type="http://schemas.openxmlformats.org/officeDocument/2006/relationships/hyperlink" Target="https://www.eia.gov/electricity/data/eia923/" TargetMode="External"/><Relationship Id="rId14" Type="http://schemas.openxmlformats.org/officeDocument/2006/relationships/hyperlink" Target="https://www.eia.gov/electricity/data/eia923/" TargetMode="External"/><Relationship Id="rId56" Type="http://schemas.openxmlformats.org/officeDocument/2006/relationships/hyperlink" Target="https://www.eia.gov/electricity/data/eia923/" TargetMode="External"/><Relationship Id="rId317" Type="http://schemas.openxmlformats.org/officeDocument/2006/relationships/hyperlink" Target="https://www.eia.gov/electricity/data/eia923/" TargetMode="External"/><Relationship Id="rId359" Type="http://schemas.openxmlformats.org/officeDocument/2006/relationships/hyperlink" Target="https://www.eia.gov/electricity/data/eia923/" TargetMode="External"/><Relationship Id="rId98" Type="http://schemas.openxmlformats.org/officeDocument/2006/relationships/hyperlink" Target="https://www.eia.gov/electricity/data/eia923/" TargetMode="External"/><Relationship Id="rId121" Type="http://schemas.openxmlformats.org/officeDocument/2006/relationships/hyperlink" Target="https://www.eia.gov/electricity/data/eia923/" TargetMode="External"/><Relationship Id="rId163" Type="http://schemas.openxmlformats.org/officeDocument/2006/relationships/hyperlink" Target="https://www.eia.gov/electricity/data/eia923/" TargetMode="External"/><Relationship Id="rId219" Type="http://schemas.openxmlformats.org/officeDocument/2006/relationships/hyperlink" Target="https://www.eia.gov/electricity/data/eia923/" TargetMode="External"/><Relationship Id="rId370" Type="http://schemas.openxmlformats.org/officeDocument/2006/relationships/hyperlink" Target="https://www.eia.gov/electricity/data/eia923/" TargetMode="External"/><Relationship Id="rId426" Type="http://schemas.openxmlformats.org/officeDocument/2006/relationships/hyperlink" Target="https://www.eia.gov/electricity/data/eia923/" TargetMode="External"/><Relationship Id="rId230" Type="http://schemas.openxmlformats.org/officeDocument/2006/relationships/hyperlink" Target="https://www.eia.gov/electricity/data/eia923/" TargetMode="External"/><Relationship Id="rId25" Type="http://schemas.openxmlformats.org/officeDocument/2006/relationships/hyperlink" Target="https://www.eia.gov/electricity/data/eia923/" TargetMode="External"/><Relationship Id="rId67" Type="http://schemas.openxmlformats.org/officeDocument/2006/relationships/hyperlink" Target="https://www.eia.gov/electricity/data/eia923/" TargetMode="External"/><Relationship Id="rId272" Type="http://schemas.openxmlformats.org/officeDocument/2006/relationships/hyperlink" Target="https://www.eia.gov/electricity/data/eia923/" TargetMode="External"/><Relationship Id="rId328" Type="http://schemas.openxmlformats.org/officeDocument/2006/relationships/hyperlink" Target="https://www.eia.gov/electricity/data/eia923/" TargetMode="External"/><Relationship Id="rId132" Type="http://schemas.openxmlformats.org/officeDocument/2006/relationships/hyperlink" Target="https://www.eia.gov/electricity/data/eia923/" TargetMode="External"/><Relationship Id="rId174" Type="http://schemas.openxmlformats.org/officeDocument/2006/relationships/hyperlink" Target="https://www.eia.gov/electricity/data/eia923/" TargetMode="External"/><Relationship Id="rId381" Type="http://schemas.openxmlformats.org/officeDocument/2006/relationships/hyperlink" Target="https://www.eia.gov/electricity/data/eia923/" TargetMode="External"/><Relationship Id="rId241" Type="http://schemas.openxmlformats.org/officeDocument/2006/relationships/hyperlink" Target="https://www.eia.gov/electricity/data/eia923/" TargetMode="External"/><Relationship Id="rId36" Type="http://schemas.openxmlformats.org/officeDocument/2006/relationships/hyperlink" Target="https://www.eia.gov/electricity/data/eia923/" TargetMode="External"/><Relationship Id="rId283" Type="http://schemas.openxmlformats.org/officeDocument/2006/relationships/hyperlink" Target="https://www.eia.gov/electricity/data/eia923/" TargetMode="External"/><Relationship Id="rId339" Type="http://schemas.openxmlformats.org/officeDocument/2006/relationships/hyperlink" Target="https://www.eia.gov/electricity/data/eia923/" TargetMode="External"/><Relationship Id="rId78" Type="http://schemas.openxmlformats.org/officeDocument/2006/relationships/hyperlink" Target="https://www.eia.gov/electricity/data/eia923/" TargetMode="External"/><Relationship Id="rId101" Type="http://schemas.openxmlformats.org/officeDocument/2006/relationships/hyperlink" Target="https://www.eia.gov/electricity/data/eia923/" TargetMode="External"/><Relationship Id="rId143" Type="http://schemas.openxmlformats.org/officeDocument/2006/relationships/hyperlink" Target="https://www.eia.gov/electricity/data/eia923/" TargetMode="External"/><Relationship Id="rId185" Type="http://schemas.openxmlformats.org/officeDocument/2006/relationships/hyperlink" Target="https://www.eia.gov/electricity/data/eia923/" TargetMode="External"/><Relationship Id="rId350" Type="http://schemas.openxmlformats.org/officeDocument/2006/relationships/hyperlink" Target="https://www.eia.gov/electricity/data/eia923/" TargetMode="External"/><Relationship Id="rId406" Type="http://schemas.openxmlformats.org/officeDocument/2006/relationships/hyperlink" Target="https://www.eia.gov/electricity/data/eia923/" TargetMode="External"/><Relationship Id="rId9" Type="http://schemas.openxmlformats.org/officeDocument/2006/relationships/hyperlink" Target="https://www.eia.gov/electricity/data/eia923/" TargetMode="External"/><Relationship Id="rId210" Type="http://schemas.openxmlformats.org/officeDocument/2006/relationships/hyperlink" Target="https://www.eia.gov/electricity/data/eia923/" TargetMode="External"/><Relationship Id="rId392" Type="http://schemas.openxmlformats.org/officeDocument/2006/relationships/hyperlink" Target="https://www.eia.gov/electricity/data/eia923/" TargetMode="External"/><Relationship Id="rId252" Type="http://schemas.openxmlformats.org/officeDocument/2006/relationships/hyperlink" Target="https://www.eia.gov/electricity/data/eia923/" TargetMode="External"/><Relationship Id="rId294" Type="http://schemas.openxmlformats.org/officeDocument/2006/relationships/hyperlink" Target="https://www.eia.gov/electricity/data/eia923/" TargetMode="External"/><Relationship Id="rId308" Type="http://schemas.openxmlformats.org/officeDocument/2006/relationships/hyperlink" Target="https://www.eia.gov/electricity/data/eia923/" TargetMode="External"/><Relationship Id="rId47" Type="http://schemas.openxmlformats.org/officeDocument/2006/relationships/hyperlink" Target="https://www.eia.gov/electricity/data/eia923/" TargetMode="External"/><Relationship Id="rId89" Type="http://schemas.openxmlformats.org/officeDocument/2006/relationships/hyperlink" Target="https://www.eia.gov/electricity/data/eia923/" TargetMode="External"/><Relationship Id="rId112" Type="http://schemas.openxmlformats.org/officeDocument/2006/relationships/hyperlink" Target="https://www.eia.gov/electricity/data/eia923/" TargetMode="External"/><Relationship Id="rId154" Type="http://schemas.openxmlformats.org/officeDocument/2006/relationships/hyperlink" Target="https://www.eia.gov/electricity/data/eia923/" TargetMode="External"/><Relationship Id="rId361" Type="http://schemas.openxmlformats.org/officeDocument/2006/relationships/hyperlink" Target="https://www.eia.gov/electricity/data/eia923/" TargetMode="External"/><Relationship Id="rId196" Type="http://schemas.openxmlformats.org/officeDocument/2006/relationships/hyperlink" Target="https://www.eia.gov/electricity/data/eia923/" TargetMode="External"/><Relationship Id="rId417" Type="http://schemas.openxmlformats.org/officeDocument/2006/relationships/hyperlink" Target="https://www.eia.gov/electricity/data/eia923/" TargetMode="External"/><Relationship Id="rId16" Type="http://schemas.openxmlformats.org/officeDocument/2006/relationships/hyperlink" Target="https://www.eia.gov/electricity/data/eia923/" TargetMode="External"/><Relationship Id="rId221" Type="http://schemas.openxmlformats.org/officeDocument/2006/relationships/hyperlink" Target="https://www.eia.gov/electricity/data/eia923/" TargetMode="External"/><Relationship Id="rId263" Type="http://schemas.openxmlformats.org/officeDocument/2006/relationships/hyperlink" Target="https://www.eia.gov/electricity/data/eia923/" TargetMode="External"/><Relationship Id="rId319" Type="http://schemas.openxmlformats.org/officeDocument/2006/relationships/hyperlink" Target="https://www.eia.gov/electricity/data/eia923/" TargetMode="External"/><Relationship Id="rId58" Type="http://schemas.openxmlformats.org/officeDocument/2006/relationships/hyperlink" Target="https://www.eia.gov/electricity/data/eia923/" TargetMode="External"/><Relationship Id="rId123" Type="http://schemas.openxmlformats.org/officeDocument/2006/relationships/hyperlink" Target="https://www.eia.gov/electricity/data/eia923/" TargetMode="External"/><Relationship Id="rId330" Type="http://schemas.openxmlformats.org/officeDocument/2006/relationships/hyperlink" Target="https://www.eia.gov/electricity/data/eia923/" TargetMode="External"/><Relationship Id="rId165" Type="http://schemas.openxmlformats.org/officeDocument/2006/relationships/hyperlink" Target="https://www.eia.gov/electricity/data/eia923/" TargetMode="External"/><Relationship Id="rId372" Type="http://schemas.openxmlformats.org/officeDocument/2006/relationships/hyperlink" Target="https://www.eia.gov/electricity/data/eia923/" TargetMode="External"/><Relationship Id="rId428" Type="http://schemas.openxmlformats.org/officeDocument/2006/relationships/hyperlink" Target="https://www.eia.gov/electricity/data/eia923/" TargetMode="External"/><Relationship Id="rId232" Type="http://schemas.openxmlformats.org/officeDocument/2006/relationships/hyperlink" Target="https://www.eia.gov/electricity/data/eia923/" TargetMode="External"/><Relationship Id="rId274" Type="http://schemas.openxmlformats.org/officeDocument/2006/relationships/hyperlink" Target="https://www.eia.gov/electricity/data/eia923/" TargetMode="External"/><Relationship Id="rId27" Type="http://schemas.openxmlformats.org/officeDocument/2006/relationships/hyperlink" Target="https://www.eia.gov/electricity/data/eia923/" TargetMode="External"/><Relationship Id="rId69" Type="http://schemas.openxmlformats.org/officeDocument/2006/relationships/hyperlink" Target="https://www.eia.gov/electricity/data/eia923/" TargetMode="External"/><Relationship Id="rId134" Type="http://schemas.openxmlformats.org/officeDocument/2006/relationships/hyperlink" Target="https://www.eia.gov/electricity/data/eia923/" TargetMode="External"/><Relationship Id="rId80" Type="http://schemas.openxmlformats.org/officeDocument/2006/relationships/hyperlink" Target="https://www.eia.gov/electricity/data/eia923/" TargetMode="External"/><Relationship Id="rId176" Type="http://schemas.openxmlformats.org/officeDocument/2006/relationships/hyperlink" Target="https://www.eia.gov/electricity/data/eia923/" TargetMode="External"/><Relationship Id="rId341" Type="http://schemas.openxmlformats.org/officeDocument/2006/relationships/hyperlink" Target="https://www.eia.gov/electricity/data/eia923/" TargetMode="External"/><Relationship Id="rId383" Type="http://schemas.openxmlformats.org/officeDocument/2006/relationships/hyperlink" Target="https://www.eia.gov/electricity/data/eia923/" TargetMode="External"/><Relationship Id="rId201" Type="http://schemas.openxmlformats.org/officeDocument/2006/relationships/hyperlink" Target="https://www.eia.gov/electricity/data/eia923/" TargetMode="External"/><Relationship Id="rId243" Type="http://schemas.openxmlformats.org/officeDocument/2006/relationships/hyperlink" Target="https://www.eia.gov/electricity/data/eia923/" TargetMode="External"/><Relationship Id="rId285" Type="http://schemas.openxmlformats.org/officeDocument/2006/relationships/hyperlink" Target="https://www.eia.gov/electricity/data/eia923/" TargetMode="External"/><Relationship Id="rId38" Type="http://schemas.openxmlformats.org/officeDocument/2006/relationships/hyperlink" Target="https://www.eia.gov/electricity/data/eia923/" TargetMode="External"/><Relationship Id="rId103" Type="http://schemas.openxmlformats.org/officeDocument/2006/relationships/hyperlink" Target="https://www.eia.gov/electricity/data/eia923/" TargetMode="External"/><Relationship Id="rId310" Type="http://schemas.openxmlformats.org/officeDocument/2006/relationships/hyperlink" Target="https://www.eia.gov/electricity/data/eia923/" TargetMode="External"/><Relationship Id="rId91" Type="http://schemas.openxmlformats.org/officeDocument/2006/relationships/hyperlink" Target="https://www.eia.gov/electricity/data/eia923/" TargetMode="External"/><Relationship Id="rId145" Type="http://schemas.openxmlformats.org/officeDocument/2006/relationships/hyperlink" Target="https://www.eia.gov/electricity/data/eia923/" TargetMode="External"/><Relationship Id="rId187" Type="http://schemas.openxmlformats.org/officeDocument/2006/relationships/hyperlink" Target="https://www.eia.gov/electricity/data/eia923/" TargetMode="External"/><Relationship Id="rId352" Type="http://schemas.openxmlformats.org/officeDocument/2006/relationships/hyperlink" Target="https://www.eia.gov/electricity/data/eia923/" TargetMode="External"/><Relationship Id="rId394" Type="http://schemas.openxmlformats.org/officeDocument/2006/relationships/hyperlink" Target="https://www.eia.gov/electricity/data/eia923/" TargetMode="External"/><Relationship Id="rId408" Type="http://schemas.openxmlformats.org/officeDocument/2006/relationships/hyperlink" Target="https://www.eia.gov/electricity/data/eia923/" TargetMode="External"/><Relationship Id="rId212" Type="http://schemas.openxmlformats.org/officeDocument/2006/relationships/hyperlink" Target="https://www.eia.gov/electricity/data/eia923/" TargetMode="External"/><Relationship Id="rId254" Type="http://schemas.openxmlformats.org/officeDocument/2006/relationships/hyperlink" Target="https://www.eia.gov/electricity/data/eia923/" TargetMode="External"/><Relationship Id="rId28" Type="http://schemas.openxmlformats.org/officeDocument/2006/relationships/hyperlink" Target="https://www.eia.gov/electricity/data/eia923/" TargetMode="External"/><Relationship Id="rId49" Type="http://schemas.openxmlformats.org/officeDocument/2006/relationships/hyperlink" Target="https://www.eia.gov/electricity/data/eia923/" TargetMode="External"/><Relationship Id="rId114" Type="http://schemas.openxmlformats.org/officeDocument/2006/relationships/hyperlink" Target="https://www.eia.gov/electricity/data/eia923/" TargetMode="External"/><Relationship Id="rId275" Type="http://schemas.openxmlformats.org/officeDocument/2006/relationships/hyperlink" Target="https://www.eia.gov/electricity/data/eia923/" TargetMode="External"/><Relationship Id="rId296" Type="http://schemas.openxmlformats.org/officeDocument/2006/relationships/hyperlink" Target="https://www.eia.gov/electricity/data/eia923/" TargetMode="External"/><Relationship Id="rId300" Type="http://schemas.openxmlformats.org/officeDocument/2006/relationships/hyperlink" Target="https://www.eia.gov/electricity/data/eia923/" TargetMode="External"/><Relationship Id="rId60" Type="http://schemas.openxmlformats.org/officeDocument/2006/relationships/hyperlink" Target="https://www.eia.gov/electricity/data/eia923/" TargetMode="External"/><Relationship Id="rId81" Type="http://schemas.openxmlformats.org/officeDocument/2006/relationships/hyperlink" Target="https://www.eia.gov/electricity/data/eia923/" TargetMode="External"/><Relationship Id="rId135" Type="http://schemas.openxmlformats.org/officeDocument/2006/relationships/hyperlink" Target="https://www.eia.gov/electricity/data/eia923/" TargetMode="External"/><Relationship Id="rId156" Type="http://schemas.openxmlformats.org/officeDocument/2006/relationships/hyperlink" Target="https://www.eia.gov/electricity/data/eia923/" TargetMode="External"/><Relationship Id="rId177" Type="http://schemas.openxmlformats.org/officeDocument/2006/relationships/hyperlink" Target="https://www.eia.gov/electricity/data/eia923/" TargetMode="External"/><Relationship Id="rId198" Type="http://schemas.openxmlformats.org/officeDocument/2006/relationships/hyperlink" Target="https://www.eia.gov/electricity/data/eia923/" TargetMode="External"/><Relationship Id="rId321" Type="http://schemas.openxmlformats.org/officeDocument/2006/relationships/hyperlink" Target="https://www.eia.gov/electricity/data/eia923/" TargetMode="External"/><Relationship Id="rId342" Type="http://schemas.openxmlformats.org/officeDocument/2006/relationships/hyperlink" Target="https://www.eia.gov/electricity/data/eia923/" TargetMode="External"/><Relationship Id="rId363" Type="http://schemas.openxmlformats.org/officeDocument/2006/relationships/hyperlink" Target="https://www.eia.gov/electricity/data/eia923/" TargetMode="External"/><Relationship Id="rId384" Type="http://schemas.openxmlformats.org/officeDocument/2006/relationships/hyperlink" Target="https://www.eia.gov/electricity/data/eia923/" TargetMode="External"/><Relationship Id="rId419" Type="http://schemas.openxmlformats.org/officeDocument/2006/relationships/hyperlink" Target="https://www.eia.gov/electricity/data/eia923/" TargetMode="External"/><Relationship Id="rId202" Type="http://schemas.openxmlformats.org/officeDocument/2006/relationships/hyperlink" Target="https://www.eia.gov/electricity/data/eia923/" TargetMode="External"/><Relationship Id="rId223" Type="http://schemas.openxmlformats.org/officeDocument/2006/relationships/hyperlink" Target="https://www.eia.gov/electricity/data/eia923/" TargetMode="External"/><Relationship Id="rId244" Type="http://schemas.openxmlformats.org/officeDocument/2006/relationships/hyperlink" Target="https://www.eia.gov/electricity/data/eia923/" TargetMode="External"/><Relationship Id="rId430" Type="http://schemas.openxmlformats.org/officeDocument/2006/relationships/hyperlink" Target="https://www.eia.gov/electricity/data/eia923/" TargetMode="External"/><Relationship Id="rId18" Type="http://schemas.openxmlformats.org/officeDocument/2006/relationships/hyperlink" Target="https://www.eia.gov/electricity/data/eia923/" TargetMode="External"/><Relationship Id="rId39" Type="http://schemas.openxmlformats.org/officeDocument/2006/relationships/hyperlink" Target="https://www.eia.gov/electricity/data/eia923/" TargetMode="External"/><Relationship Id="rId265" Type="http://schemas.openxmlformats.org/officeDocument/2006/relationships/hyperlink" Target="https://www.eia.gov/electricity/data/eia923/" TargetMode="External"/><Relationship Id="rId286" Type="http://schemas.openxmlformats.org/officeDocument/2006/relationships/hyperlink" Target="https://www.eia.gov/electricity/data/eia923/" TargetMode="External"/><Relationship Id="rId50" Type="http://schemas.openxmlformats.org/officeDocument/2006/relationships/hyperlink" Target="https://www.eia.gov/electricity/data/eia923/" TargetMode="External"/><Relationship Id="rId104" Type="http://schemas.openxmlformats.org/officeDocument/2006/relationships/hyperlink" Target="https://www.eia.gov/electricity/data/eia923/" TargetMode="External"/><Relationship Id="rId125" Type="http://schemas.openxmlformats.org/officeDocument/2006/relationships/hyperlink" Target="https://www.eia.gov/electricity/data/eia923/" TargetMode="External"/><Relationship Id="rId146" Type="http://schemas.openxmlformats.org/officeDocument/2006/relationships/hyperlink" Target="https://www.eia.gov/electricity/data/eia923/" TargetMode="External"/><Relationship Id="rId167" Type="http://schemas.openxmlformats.org/officeDocument/2006/relationships/hyperlink" Target="https://www.eia.gov/electricity/data/eia923/" TargetMode="External"/><Relationship Id="rId188" Type="http://schemas.openxmlformats.org/officeDocument/2006/relationships/hyperlink" Target="https://www.eia.gov/electricity/data/eia923/" TargetMode="External"/><Relationship Id="rId311" Type="http://schemas.openxmlformats.org/officeDocument/2006/relationships/hyperlink" Target="https://www.eia.gov/electricity/data/eia923/" TargetMode="External"/><Relationship Id="rId332" Type="http://schemas.openxmlformats.org/officeDocument/2006/relationships/hyperlink" Target="https://www.eia.gov/electricity/data/eia923/" TargetMode="External"/><Relationship Id="rId353" Type="http://schemas.openxmlformats.org/officeDocument/2006/relationships/hyperlink" Target="https://www.eia.gov/electricity/data/eia923/" TargetMode="External"/><Relationship Id="rId374" Type="http://schemas.openxmlformats.org/officeDocument/2006/relationships/hyperlink" Target="https://www.eia.gov/electricity/data/eia923/" TargetMode="External"/><Relationship Id="rId395" Type="http://schemas.openxmlformats.org/officeDocument/2006/relationships/hyperlink" Target="https://www.eia.gov/electricity/data/eia923/" TargetMode="External"/><Relationship Id="rId409" Type="http://schemas.openxmlformats.org/officeDocument/2006/relationships/hyperlink" Target="https://www.eia.gov/electricity/data/eia923/" TargetMode="External"/><Relationship Id="rId71" Type="http://schemas.openxmlformats.org/officeDocument/2006/relationships/hyperlink" Target="https://www.eia.gov/electricity/data/eia923/" TargetMode="External"/><Relationship Id="rId92" Type="http://schemas.openxmlformats.org/officeDocument/2006/relationships/hyperlink" Target="https://www.eia.gov/electricity/data/eia923/" TargetMode="External"/><Relationship Id="rId213" Type="http://schemas.openxmlformats.org/officeDocument/2006/relationships/hyperlink" Target="https://www.eia.gov/electricity/data/eia923/" TargetMode="External"/><Relationship Id="rId234" Type="http://schemas.openxmlformats.org/officeDocument/2006/relationships/hyperlink" Target="https://www.eia.gov/electricity/data/eia923/" TargetMode="External"/><Relationship Id="rId420" Type="http://schemas.openxmlformats.org/officeDocument/2006/relationships/hyperlink" Target="https://www.eia.gov/electricity/data/eia923/" TargetMode="External"/><Relationship Id="rId2" Type="http://schemas.openxmlformats.org/officeDocument/2006/relationships/hyperlink" Target="https://www.eia.gov/electricity/data/eia923/" TargetMode="External"/><Relationship Id="rId29" Type="http://schemas.openxmlformats.org/officeDocument/2006/relationships/hyperlink" Target="https://www.eia.gov/electricity/data/eia923/" TargetMode="External"/><Relationship Id="rId255" Type="http://schemas.openxmlformats.org/officeDocument/2006/relationships/hyperlink" Target="https://www.eia.gov/electricity/data/eia923/" TargetMode="External"/><Relationship Id="rId276" Type="http://schemas.openxmlformats.org/officeDocument/2006/relationships/hyperlink" Target="https://www.eia.gov/electricity/data/eia923/" TargetMode="External"/><Relationship Id="rId297" Type="http://schemas.openxmlformats.org/officeDocument/2006/relationships/hyperlink" Target="https://www.eia.gov/electricity/data/eia923/" TargetMode="External"/><Relationship Id="rId40" Type="http://schemas.openxmlformats.org/officeDocument/2006/relationships/hyperlink" Target="https://www.eia.gov/electricity/data/eia923/" TargetMode="External"/><Relationship Id="rId115" Type="http://schemas.openxmlformats.org/officeDocument/2006/relationships/hyperlink" Target="https://www.eia.gov/electricity/data/eia923/" TargetMode="External"/><Relationship Id="rId136" Type="http://schemas.openxmlformats.org/officeDocument/2006/relationships/hyperlink" Target="https://www.eia.gov/electricity/data/eia923/" TargetMode="External"/><Relationship Id="rId157" Type="http://schemas.openxmlformats.org/officeDocument/2006/relationships/hyperlink" Target="https://www.eia.gov/electricity/data/eia923/" TargetMode="External"/><Relationship Id="rId178" Type="http://schemas.openxmlformats.org/officeDocument/2006/relationships/hyperlink" Target="https://www.eia.gov/electricity/data/eia923/" TargetMode="External"/><Relationship Id="rId301" Type="http://schemas.openxmlformats.org/officeDocument/2006/relationships/hyperlink" Target="https://www.eia.gov/electricity/data/eia923/" TargetMode="External"/><Relationship Id="rId322" Type="http://schemas.openxmlformats.org/officeDocument/2006/relationships/hyperlink" Target="https://www.eia.gov/electricity/data/eia923/" TargetMode="External"/><Relationship Id="rId343" Type="http://schemas.openxmlformats.org/officeDocument/2006/relationships/hyperlink" Target="https://www.eia.gov/electricity/data/eia923/" TargetMode="External"/><Relationship Id="rId364" Type="http://schemas.openxmlformats.org/officeDocument/2006/relationships/hyperlink" Target="https://www.eia.gov/electricity/data/eia923/" TargetMode="External"/><Relationship Id="rId61" Type="http://schemas.openxmlformats.org/officeDocument/2006/relationships/hyperlink" Target="https://www.eia.gov/electricity/data/eia923/" TargetMode="External"/><Relationship Id="rId82" Type="http://schemas.openxmlformats.org/officeDocument/2006/relationships/hyperlink" Target="https://www.eia.gov/electricity/data/eia923/" TargetMode="External"/><Relationship Id="rId199" Type="http://schemas.openxmlformats.org/officeDocument/2006/relationships/hyperlink" Target="https://www.eia.gov/electricity/data/eia923/" TargetMode="External"/><Relationship Id="rId203" Type="http://schemas.openxmlformats.org/officeDocument/2006/relationships/hyperlink" Target="https://www.eia.gov/electricity/data/eia923/" TargetMode="External"/><Relationship Id="rId385" Type="http://schemas.openxmlformats.org/officeDocument/2006/relationships/hyperlink" Target="https://www.eia.gov/electricity/data/eia923/" TargetMode="External"/><Relationship Id="rId19" Type="http://schemas.openxmlformats.org/officeDocument/2006/relationships/hyperlink" Target="https://www.eia.gov/electricity/data/eia923/" TargetMode="External"/><Relationship Id="rId224" Type="http://schemas.openxmlformats.org/officeDocument/2006/relationships/hyperlink" Target="https://www.eia.gov/electricity/data/eia923/" TargetMode="External"/><Relationship Id="rId245" Type="http://schemas.openxmlformats.org/officeDocument/2006/relationships/hyperlink" Target="https://www.eia.gov/electricity/data/eia923/" TargetMode="External"/><Relationship Id="rId266" Type="http://schemas.openxmlformats.org/officeDocument/2006/relationships/hyperlink" Target="https://www.eia.gov/electricity/data/eia923/" TargetMode="External"/><Relationship Id="rId287" Type="http://schemas.openxmlformats.org/officeDocument/2006/relationships/hyperlink" Target="https://www.eia.gov/electricity/data/eia923/" TargetMode="External"/><Relationship Id="rId410" Type="http://schemas.openxmlformats.org/officeDocument/2006/relationships/hyperlink" Target="https://www.eia.gov/electricity/data/eia923/" TargetMode="External"/><Relationship Id="rId431" Type="http://schemas.openxmlformats.org/officeDocument/2006/relationships/hyperlink" Target="https://www.eia.gov/electricity/data/eia923/" TargetMode="External"/><Relationship Id="rId30" Type="http://schemas.openxmlformats.org/officeDocument/2006/relationships/hyperlink" Target="https://www.eia.gov/electricity/data/eia923/" TargetMode="External"/><Relationship Id="rId105" Type="http://schemas.openxmlformats.org/officeDocument/2006/relationships/hyperlink" Target="https://www.eia.gov/electricity/data/eia923/" TargetMode="External"/><Relationship Id="rId126" Type="http://schemas.openxmlformats.org/officeDocument/2006/relationships/hyperlink" Target="https://www.eia.gov/electricity/data/eia923/" TargetMode="External"/><Relationship Id="rId147" Type="http://schemas.openxmlformats.org/officeDocument/2006/relationships/hyperlink" Target="https://www.eia.gov/electricity/data/eia923/" TargetMode="External"/><Relationship Id="rId168" Type="http://schemas.openxmlformats.org/officeDocument/2006/relationships/hyperlink" Target="https://www.eia.gov/electricity/data/eia923/" TargetMode="External"/><Relationship Id="rId312" Type="http://schemas.openxmlformats.org/officeDocument/2006/relationships/hyperlink" Target="https://www.eia.gov/electricity/data/eia923/" TargetMode="External"/><Relationship Id="rId333" Type="http://schemas.openxmlformats.org/officeDocument/2006/relationships/hyperlink" Target="https://www.eia.gov/electricity/data/eia923/" TargetMode="External"/><Relationship Id="rId354" Type="http://schemas.openxmlformats.org/officeDocument/2006/relationships/hyperlink" Target="https://www.eia.gov/electricity/data/eia923/" TargetMode="External"/><Relationship Id="rId51" Type="http://schemas.openxmlformats.org/officeDocument/2006/relationships/hyperlink" Target="https://www.eia.gov/electricity/data/eia923/" TargetMode="External"/><Relationship Id="rId72" Type="http://schemas.openxmlformats.org/officeDocument/2006/relationships/hyperlink" Target="https://www.eia.gov/electricity/data/eia923/" TargetMode="External"/><Relationship Id="rId93" Type="http://schemas.openxmlformats.org/officeDocument/2006/relationships/hyperlink" Target="https://www.eia.gov/electricity/data/eia923/" TargetMode="External"/><Relationship Id="rId189" Type="http://schemas.openxmlformats.org/officeDocument/2006/relationships/hyperlink" Target="https://www.eia.gov/electricity/data/eia923/" TargetMode="External"/><Relationship Id="rId375" Type="http://schemas.openxmlformats.org/officeDocument/2006/relationships/hyperlink" Target="https://www.eia.gov/electricity/data/eia923/" TargetMode="External"/><Relationship Id="rId396" Type="http://schemas.openxmlformats.org/officeDocument/2006/relationships/hyperlink" Target="https://www.eia.gov/electricity/data/eia923/" TargetMode="External"/><Relationship Id="rId3" Type="http://schemas.openxmlformats.org/officeDocument/2006/relationships/hyperlink" Target="https://www.eia.gov/electricity/data/eia923/" TargetMode="External"/><Relationship Id="rId214" Type="http://schemas.openxmlformats.org/officeDocument/2006/relationships/hyperlink" Target="https://www.eia.gov/electricity/data/eia923/" TargetMode="External"/><Relationship Id="rId235" Type="http://schemas.openxmlformats.org/officeDocument/2006/relationships/hyperlink" Target="https://www.eia.gov/electricity/data/eia923/" TargetMode="External"/><Relationship Id="rId256" Type="http://schemas.openxmlformats.org/officeDocument/2006/relationships/hyperlink" Target="https://www.eia.gov/electricity/data/eia923/" TargetMode="External"/><Relationship Id="rId277" Type="http://schemas.openxmlformats.org/officeDocument/2006/relationships/hyperlink" Target="https://www.eia.gov/electricity/data/eia923/" TargetMode="External"/><Relationship Id="rId298" Type="http://schemas.openxmlformats.org/officeDocument/2006/relationships/hyperlink" Target="https://www.eia.gov/electricity/data/eia923/" TargetMode="External"/><Relationship Id="rId400" Type="http://schemas.openxmlformats.org/officeDocument/2006/relationships/hyperlink" Target="https://www.eia.gov/electricity/data/eia923/" TargetMode="External"/><Relationship Id="rId421" Type="http://schemas.openxmlformats.org/officeDocument/2006/relationships/hyperlink" Target="https://www.eia.gov/electricity/data/eia923/" TargetMode="External"/><Relationship Id="rId116" Type="http://schemas.openxmlformats.org/officeDocument/2006/relationships/hyperlink" Target="https://www.eia.gov/electricity/data/eia923/" TargetMode="External"/><Relationship Id="rId137" Type="http://schemas.openxmlformats.org/officeDocument/2006/relationships/hyperlink" Target="https://www.eia.gov/electricity/data/eia923/" TargetMode="External"/><Relationship Id="rId158" Type="http://schemas.openxmlformats.org/officeDocument/2006/relationships/hyperlink" Target="https://www.eia.gov/electricity/data/eia923/" TargetMode="External"/><Relationship Id="rId302" Type="http://schemas.openxmlformats.org/officeDocument/2006/relationships/hyperlink" Target="https://www.eia.gov/electricity/data/eia923/" TargetMode="External"/><Relationship Id="rId323" Type="http://schemas.openxmlformats.org/officeDocument/2006/relationships/hyperlink" Target="https://www.eia.gov/electricity/data/eia923/" TargetMode="External"/><Relationship Id="rId344" Type="http://schemas.openxmlformats.org/officeDocument/2006/relationships/hyperlink" Target="https://www.eia.gov/electricity/data/eia923/" TargetMode="External"/><Relationship Id="rId20" Type="http://schemas.openxmlformats.org/officeDocument/2006/relationships/hyperlink" Target="https://www.eia.gov/electricity/data/eia923/" TargetMode="External"/><Relationship Id="rId41" Type="http://schemas.openxmlformats.org/officeDocument/2006/relationships/hyperlink" Target="https://www.eia.gov/electricity/data/eia923/" TargetMode="External"/><Relationship Id="rId62" Type="http://schemas.openxmlformats.org/officeDocument/2006/relationships/hyperlink" Target="https://www.eia.gov/electricity/data/eia923/" TargetMode="External"/><Relationship Id="rId83" Type="http://schemas.openxmlformats.org/officeDocument/2006/relationships/hyperlink" Target="https://www.eia.gov/electricity/data/eia923/" TargetMode="External"/><Relationship Id="rId179" Type="http://schemas.openxmlformats.org/officeDocument/2006/relationships/hyperlink" Target="https://www.eia.gov/electricity/data/eia923/" TargetMode="External"/><Relationship Id="rId365" Type="http://schemas.openxmlformats.org/officeDocument/2006/relationships/hyperlink" Target="https://www.eia.gov/electricity/data/eia923/" TargetMode="External"/><Relationship Id="rId386" Type="http://schemas.openxmlformats.org/officeDocument/2006/relationships/hyperlink" Target="https://www.eia.gov/electricity/data/eia923/" TargetMode="External"/><Relationship Id="rId190" Type="http://schemas.openxmlformats.org/officeDocument/2006/relationships/hyperlink" Target="https://www.eia.gov/electricity/data/eia923/" TargetMode="External"/><Relationship Id="rId204" Type="http://schemas.openxmlformats.org/officeDocument/2006/relationships/hyperlink" Target="https://www.eia.gov/electricity/data/eia923/" TargetMode="External"/><Relationship Id="rId225" Type="http://schemas.openxmlformats.org/officeDocument/2006/relationships/hyperlink" Target="https://www.eia.gov/electricity/data/eia923/" TargetMode="External"/><Relationship Id="rId246" Type="http://schemas.openxmlformats.org/officeDocument/2006/relationships/hyperlink" Target="https://www.eia.gov/electricity/data/eia923/" TargetMode="External"/><Relationship Id="rId267" Type="http://schemas.openxmlformats.org/officeDocument/2006/relationships/hyperlink" Target="https://www.eia.gov/electricity/data/eia923/" TargetMode="External"/><Relationship Id="rId288" Type="http://schemas.openxmlformats.org/officeDocument/2006/relationships/hyperlink" Target="https://www.eia.gov/electricity/data/eia923/" TargetMode="External"/><Relationship Id="rId411" Type="http://schemas.openxmlformats.org/officeDocument/2006/relationships/hyperlink" Target="https://www.eia.gov/electricity/data/eia923/" TargetMode="External"/><Relationship Id="rId432" Type="http://schemas.openxmlformats.org/officeDocument/2006/relationships/drawing" Target="../drawings/drawing1.xml"/><Relationship Id="rId106" Type="http://schemas.openxmlformats.org/officeDocument/2006/relationships/hyperlink" Target="https://www.eia.gov/electricity/data/eia923/" TargetMode="External"/><Relationship Id="rId127" Type="http://schemas.openxmlformats.org/officeDocument/2006/relationships/hyperlink" Target="https://www.eia.gov/electricity/data/eia923/" TargetMode="External"/><Relationship Id="rId313" Type="http://schemas.openxmlformats.org/officeDocument/2006/relationships/hyperlink" Target="https://www.eia.gov/electricity/data/eia923/" TargetMode="External"/><Relationship Id="rId10" Type="http://schemas.openxmlformats.org/officeDocument/2006/relationships/hyperlink" Target="https://www.eia.gov/electricity/data/eia923/" TargetMode="External"/><Relationship Id="rId31" Type="http://schemas.openxmlformats.org/officeDocument/2006/relationships/hyperlink" Target="https://www.eia.gov/electricity/data/eia923/" TargetMode="External"/><Relationship Id="rId52" Type="http://schemas.openxmlformats.org/officeDocument/2006/relationships/hyperlink" Target="https://www.eia.gov/electricity/data/eia923/" TargetMode="External"/><Relationship Id="rId73" Type="http://schemas.openxmlformats.org/officeDocument/2006/relationships/hyperlink" Target="https://www.eia.gov/electricity/data/eia923/" TargetMode="External"/><Relationship Id="rId94" Type="http://schemas.openxmlformats.org/officeDocument/2006/relationships/hyperlink" Target="https://www.eia.gov/electricity/data/eia923/" TargetMode="External"/><Relationship Id="rId148" Type="http://schemas.openxmlformats.org/officeDocument/2006/relationships/hyperlink" Target="https://www.eia.gov/electricity/data/eia923/" TargetMode="External"/><Relationship Id="rId169" Type="http://schemas.openxmlformats.org/officeDocument/2006/relationships/hyperlink" Target="https://www.eia.gov/electricity/data/eia923/" TargetMode="External"/><Relationship Id="rId334" Type="http://schemas.openxmlformats.org/officeDocument/2006/relationships/hyperlink" Target="https://www.eia.gov/electricity/data/eia923/" TargetMode="External"/><Relationship Id="rId355" Type="http://schemas.openxmlformats.org/officeDocument/2006/relationships/hyperlink" Target="https://www.eia.gov/electricity/data/eia923/" TargetMode="External"/><Relationship Id="rId376" Type="http://schemas.openxmlformats.org/officeDocument/2006/relationships/hyperlink" Target="https://www.eia.gov/electricity/data/eia923/" TargetMode="External"/><Relationship Id="rId397" Type="http://schemas.openxmlformats.org/officeDocument/2006/relationships/hyperlink" Target="https://www.eia.gov/electricity/data/eia923/" TargetMode="External"/><Relationship Id="rId4" Type="http://schemas.openxmlformats.org/officeDocument/2006/relationships/hyperlink" Target="https://www.eia.gov/electricity/data/eia923/" TargetMode="External"/><Relationship Id="rId180" Type="http://schemas.openxmlformats.org/officeDocument/2006/relationships/hyperlink" Target="https://www.eia.gov/electricity/data/eia923/" TargetMode="External"/><Relationship Id="rId215" Type="http://schemas.openxmlformats.org/officeDocument/2006/relationships/hyperlink" Target="https://www.eia.gov/electricity/data/eia923/" TargetMode="External"/><Relationship Id="rId236" Type="http://schemas.openxmlformats.org/officeDocument/2006/relationships/hyperlink" Target="https://www.eia.gov/electricity/data/eia923/" TargetMode="External"/><Relationship Id="rId257" Type="http://schemas.openxmlformats.org/officeDocument/2006/relationships/hyperlink" Target="https://www.eia.gov/electricity/data/eia923/" TargetMode="External"/><Relationship Id="rId278" Type="http://schemas.openxmlformats.org/officeDocument/2006/relationships/hyperlink" Target="https://www.eia.gov/electricity/data/eia923/" TargetMode="External"/><Relationship Id="rId401" Type="http://schemas.openxmlformats.org/officeDocument/2006/relationships/hyperlink" Target="https://www.eia.gov/electricity/data/eia923/" TargetMode="External"/><Relationship Id="rId422" Type="http://schemas.openxmlformats.org/officeDocument/2006/relationships/hyperlink" Target="https://www.eia.gov/electricity/data/eia923/" TargetMode="External"/><Relationship Id="rId303" Type="http://schemas.openxmlformats.org/officeDocument/2006/relationships/hyperlink" Target="https://www.eia.gov/electricity/data/eia923/" TargetMode="External"/><Relationship Id="rId42" Type="http://schemas.openxmlformats.org/officeDocument/2006/relationships/hyperlink" Target="https://www.eia.gov/electricity/data/eia923/" TargetMode="External"/><Relationship Id="rId84" Type="http://schemas.openxmlformats.org/officeDocument/2006/relationships/hyperlink" Target="https://www.eia.gov/electricity/data/eia923/" TargetMode="External"/><Relationship Id="rId138" Type="http://schemas.openxmlformats.org/officeDocument/2006/relationships/hyperlink" Target="https://www.eia.gov/electricity/data/eia923/" TargetMode="External"/><Relationship Id="rId345" Type="http://schemas.openxmlformats.org/officeDocument/2006/relationships/hyperlink" Target="https://www.eia.gov/electricity/data/eia923/" TargetMode="External"/><Relationship Id="rId387" Type="http://schemas.openxmlformats.org/officeDocument/2006/relationships/hyperlink" Target="https://www.eia.gov/electricity/data/eia923/" TargetMode="External"/><Relationship Id="rId191" Type="http://schemas.openxmlformats.org/officeDocument/2006/relationships/hyperlink" Target="https://www.eia.gov/electricity/data/eia923/" TargetMode="External"/><Relationship Id="rId205" Type="http://schemas.openxmlformats.org/officeDocument/2006/relationships/hyperlink" Target="https://www.eia.gov/electricity/data/eia923/" TargetMode="External"/><Relationship Id="rId247" Type="http://schemas.openxmlformats.org/officeDocument/2006/relationships/hyperlink" Target="https://www.eia.gov/electricity/data/eia923/" TargetMode="External"/><Relationship Id="rId412" Type="http://schemas.openxmlformats.org/officeDocument/2006/relationships/hyperlink" Target="https://www.eia.gov/electricity/data/eia923/" TargetMode="External"/><Relationship Id="rId107" Type="http://schemas.openxmlformats.org/officeDocument/2006/relationships/hyperlink" Target="https://www.eia.gov/electricity/data/eia923/" TargetMode="External"/><Relationship Id="rId289" Type="http://schemas.openxmlformats.org/officeDocument/2006/relationships/hyperlink" Target="https://www.eia.gov/electricity/data/eia923/" TargetMode="External"/><Relationship Id="rId11" Type="http://schemas.openxmlformats.org/officeDocument/2006/relationships/hyperlink" Target="https://www.eia.gov/electricity/data/eia923/" TargetMode="External"/><Relationship Id="rId53" Type="http://schemas.openxmlformats.org/officeDocument/2006/relationships/hyperlink" Target="https://www.eia.gov/electricity/data/eia923/" TargetMode="External"/><Relationship Id="rId149" Type="http://schemas.openxmlformats.org/officeDocument/2006/relationships/hyperlink" Target="https://www.eia.gov/electricity/data/eia923/" TargetMode="External"/><Relationship Id="rId314" Type="http://schemas.openxmlformats.org/officeDocument/2006/relationships/hyperlink" Target="https://www.eia.gov/electricity/data/eia923/" TargetMode="External"/><Relationship Id="rId356" Type="http://schemas.openxmlformats.org/officeDocument/2006/relationships/hyperlink" Target="https://www.eia.gov/electricity/data/eia923/" TargetMode="External"/><Relationship Id="rId398" Type="http://schemas.openxmlformats.org/officeDocument/2006/relationships/hyperlink" Target="https://www.eia.gov/electricity/data/eia923/" TargetMode="External"/><Relationship Id="rId95" Type="http://schemas.openxmlformats.org/officeDocument/2006/relationships/hyperlink" Target="https://www.eia.gov/electricity/data/eia923/" TargetMode="External"/><Relationship Id="rId160" Type="http://schemas.openxmlformats.org/officeDocument/2006/relationships/hyperlink" Target="https://www.eia.gov/electricity/data/eia923/" TargetMode="External"/><Relationship Id="rId216" Type="http://schemas.openxmlformats.org/officeDocument/2006/relationships/hyperlink" Target="https://www.eia.gov/electricity/data/eia923/" TargetMode="External"/><Relationship Id="rId423" Type="http://schemas.openxmlformats.org/officeDocument/2006/relationships/hyperlink" Target="https://www.eia.gov/electricity/data/eia923/" TargetMode="External"/><Relationship Id="rId258" Type="http://schemas.openxmlformats.org/officeDocument/2006/relationships/hyperlink" Target="https://www.eia.gov/electricity/data/eia923/" TargetMode="External"/><Relationship Id="rId22" Type="http://schemas.openxmlformats.org/officeDocument/2006/relationships/hyperlink" Target="https://www.eia.gov/electricity/data/eia923/" TargetMode="External"/><Relationship Id="rId64" Type="http://schemas.openxmlformats.org/officeDocument/2006/relationships/hyperlink" Target="https://www.eia.gov/electricity/data/eia923/" TargetMode="External"/><Relationship Id="rId118" Type="http://schemas.openxmlformats.org/officeDocument/2006/relationships/hyperlink" Target="https://www.eia.gov/electricity/data/eia923/" TargetMode="External"/><Relationship Id="rId325" Type="http://schemas.openxmlformats.org/officeDocument/2006/relationships/hyperlink" Target="https://www.eia.gov/electricity/data/eia923/" TargetMode="External"/><Relationship Id="rId367" Type="http://schemas.openxmlformats.org/officeDocument/2006/relationships/hyperlink" Target="https://www.eia.gov/electricity/data/eia923/" TargetMode="External"/><Relationship Id="rId171" Type="http://schemas.openxmlformats.org/officeDocument/2006/relationships/hyperlink" Target="https://www.eia.gov/electricity/data/eia923/" TargetMode="External"/><Relationship Id="rId227" Type="http://schemas.openxmlformats.org/officeDocument/2006/relationships/hyperlink" Target="https://www.eia.gov/electricity/data/eia923/" TargetMode="External"/><Relationship Id="rId269" Type="http://schemas.openxmlformats.org/officeDocument/2006/relationships/hyperlink" Target="https://www.eia.gov/electricity/data/eia923/" TargetMode="External"/><Relationship Id="rId434" Type="http://schemas.openxmlformats.org/officeDocument/2006/relationships/comments" Target="../comments1.xml"/><Relationship Id="rId33" Type="http://schemas.openxmlformats.org/officeDocument/2006/relationships/hyperlink" Target="https://www.eia.gov/electricity/data/eia923/" TargetMode="External"/><Relationship Id="rId129" Type="http://schemas.openxmlformats.org/officeDocument/2006/relationships/hyperlink" Target="https://www.eia.gov/electricity/data/eia923/" TargetMode="External"/><Relationship Id="rId280" Type="http://schemas.openxmlformats.org/officeDocument/2006/relationships/hyperlink" Target="https://www.eia.gov/electricity/data/eia923/" TargetMode="External"/><Relationship Id="rId336" Type="http://schemas.openxmlformats.org/officeDocument/2006/relationships/hyperlink" Target="https://www.eia.gov/electricity/data/eia923/" TargetMode="External"/><Relationship Id="rId75" Type="http://schemas.openxmlformats.org/officeDocument/2006/relationships/hyperlink" Target="https://www.eia.gov/electricity/data/eia923/" TargetMode="External"/><Relationship Id="rId140" Type="http://schemas.openxmlformats.org/officeDocument/2006/relationships/hyperlink" Target="https://www.eia.gov/electricity/data/eia923/" TargetMode="External"/><Relationship Id="rId182" Type="http://schemas.openxmlformats.org/officeDocument/2006/relationships/hyperlink" Target="https://www.eia.gov/electricity/data/eia923/" TargetMode="External"/><Relationship Id="rId378" Type="http://schemas.openxmlformats.org/officeDocument/2006/relationships/hyperlink" Target="https://www.eia.gov/electricity/data/eia923/" TargetMode="External"/><Relationship Id="rId403" Type="http://schemas.openxmlformats.org/officeDocument/2006/relationships/hyperlink" Target="https://www.eia.gov/electricity/data/eia923/" TargetMode="External"/><Relationship Id="rId6" Type="http://schemas.openxmlformats.org/officeDocument/2006/relationships/hyperlink" Target="https://www.eia.gov/electricity/data/eia923/" TargetMode="External"/><Relationship Id="rId238" Type="http://schemas.openxmlformats.org/officeDocument/2006/relationships/hyperlink" Target="https://www.eia.gov/electricity/data/eia923/" TargetMode="External"/><Relationship Id="rId291" Type="http://schemas.openxmlformats.org/officeDocument/2006/relationships/hyperlink" Target="https://www.eia.gov/electricity/data/eia923/" TargetMode="External"/><Relationship Id="rId305" Type="http://schemas.openxmlformats.org/officeDocument/2006/relationships/hyperlink" Target="https://www.eia.gov/electricity/data/eia923/" TargetMode="External"/><Relationship Id="rId347" Type="http://schemas.openxmlformats.org/officeDocument/2006/relationships/hyperlink" Target="https://www.eia.gov/electricity/data/eia923/" TargetMode="External"/><Relationship Id="rId44" Type="http://schemas.openxmlformats.org/officeDocument/2006/relationships/hyperlink" Target="https://www.eia.gov/electricity/data/eia923/" TargetMode="External"/><Relationship Id="rId86" Type="http://schemas.openxmlformats.org/officeDocument/2006/relationships/hyperlink" Target="https://www.eia.gov/electricity/data/eia923/" TargetMode="External"/><Relationship Id="rId151" Type="http://schemas.openxmlformats.org/officeDocument/2006/relationships/hyperlink" Target="https://www.eia.gov/electricity/data/eia923/" TargetMode="External"/><Relationship Id="rId389" Type="http://schemas.openxmlformats.org/officeDocument/2006/relationships/hyperlink" Target="https://www.eia.gov/electricity/data/eia923/" TargetMode="External"/><Relationship Id="rId193" Type="http://schemas.openxmlformats.org/officeDocument/2006/relationships/hyperlink" Target="https://www.eia.gov/electricity/data/eia923/" TargetMode="External"/><Relationship Id="rId207" Type="http://schemas.openxmlformats.org/officeDocument/2006/relationships/hyperlink" Target="https://www.eia.gov/electricity/data/eia923/" TargetMode="External"/><Relationship Id="rId249" Type="http://schemas.openxmlformats.org/officeDocument/2006/relationships/hyperlink" Target="https://www.eia.gov/electricity/data/eia923/" TargetMode="External"/><Relationship Id="rId414" Type="http://schemas.openxmlformats.org/officeDocument/2006/relationships/hyperlink" Target="https://www.eia.gov/electricity/data/eia923/" TargetMode="External"/><Relationship Id="rId13" Type="http://schemas.openxmlformats.org/officeDocument/2006/relationships/hyperlink" Target="https://www.eia.gov/electricity/data/eia923/" TargetMode="External"/><Relationship Id="rId109" Type="http://schemas.openxmlformats.org/officeDocument/2006/relationships/hyperlink" Target="https://www.eia.gov/electricity/data/eia923/" TargetMode="External"/><Relationship Id="rId260" Type="http://schemas.openxmlformats.org/officeDocument/2006/relationships/hyperlink" Target="https://www.eia.gov/electricity/data/eia923/" TargetMode="External"/><Relationship Id="rId316" Type="http://schemas.openxmlformats.org/officeDocument/2006/relationships/hyperlink" Target="https://www.eia.gov/electricity/data/eia923/" TargetMode="External"/><Relationship Id="rId55" Type="http://schemas.openxmlformats.org/officeDocument/2006/relationships/hyperlink" Target="https://www.eia.gov/electricity/data/eia923/" TargetMode="External"/><Relationship Id="rId97" Type="http://schemas.openxmlformats.org/officeDocument/2006/relationships/hyperlink" Target="https://www.eia.gov/electricity/data/eia923/" TargetMode="External"/><Relationship Id="rId120" Type="http://schemas.openxmlformats.org/officeDocument/2006/relationships/hyperlink" Target="https://www.eia.gov/electricity/data/eia923/" TargetMode="External"/><Relationship Id="rId358" Type="http://schemas.openxmlformats.org/officeDocument/2006/relationships/hyperlink" Target="https://www.eia.gov/electricity/data/eia923/" TargetMode="External"/><Relationship Id="rId162" Type="http://schemas.openxmlformats.org/officeDocument/2006/relationships/hyperlink" Target="https://www.eia.gov/electricity/data/eia923/" TargetMode="External"/><Relationship Id="rId218" Type="http://schemas.openxmlformats.org/officeDocument/2006/relationships/hyperlink" Target="https://www.eia.gov/electricity/data/eia923/" TargetMode="External"/><Relationship Id="rId425" Type="http://schemas.openxmlformats.org/officeDocument/2006/relationships/hyperlink" Target="https://www.eia.gov/electricity/data/eia923/" TargetMode="External"/><Relationship Id="rId271" Type="http://schemas.openxmlformats.org/officeDocument/2006/relationships/hyperlink" Target="https://www.eia.gov/electricity/data/eia923/" TargetMode="External"/><Relationship Id="rId24" Type="http://schemas.openxmlformats.org/officeDocument/2006/relationships/hyperlink" Target="https://www.eia.gov/electricity/data/eia923/" TargetMode="External"/><Relationship Id="rId66" Type="http://schemas.openxmlformats.org/officeDocument/2006/relationships/hyperlink" Target="https://www.eia.gov/electricity/data/eia923/" TargetMode="External"/><Relationship Id="rId131" Type="http://schemas.openxmlformats.org/officeDocument/2006/relationships/hyperlink" Target="https://www.eia.gov/electricity/data/eia923/" TargetMode="External"/><Relationship Id="rId327" Type="http://schemas.openxmlformats.org/officeDocument/2006/relationships/hyperlink" Target="https://www.eia.gov/electricity/data/eia923/" TargetMode="External"/><Relationship Id="rId369" Type="http://schemas.openxmlformats.org/officeDocument/2006/relationships/hyperlink" Target="https://www.eia.gov/electricity/data/eia923/" TargetMode="External"/><Relationship Id="rId173" Type="http://schemas.openxmlformats.org/officeDocument/2006/relationships/hyperlink" Target="https://www.eia.gov/electricity/data/eia923/" TargetMode="External"/><Relationship Id="rId229" Type="http://schemas.openxmlformats.org/officeDocument/2006/relationships/hyperlink" Target="https://www.eia.gov/electricity/data/eia923/" TargetMode="External"/><Relationship Id="rId380" Type="http://schemas.openxmlformats.org/officeDocument/2006/relationships/hyperlink" Target="https://www.eia.gov/electricity/data/eia923/" TargetMode="External"/><Relationship Id="rId240" Type="http://schemas.openxmlformats.org/officeDocument/2006/relationships/hyperlink" Target="https://www.eia.gov/electricity/data/eia923/" TargetMode="External"/><Relationship Id="rId35" Type="http://schemas.openxmlformats.org/officeDocument/2006/relationships/hyperlink" Target="https://www.eia.gov/electricity/data/eia923/" TargetMode="External"/><Relationship Id="rId77" Type="http://schemas.openxmlformats.org/officeDocument/2006/relationships/hyperlink" Target="https://www.eia.gov/electricity/data/eia923/" TargetMode="External"/><Relationship Id="rId100" Type="http://schemas.openxmlformats.org/officeDocument/2006/relationships/hyperlink" Target="https://www.eia.gov/electricity/data/eia923/" TargetMode="External"/><Relationship Id="rId282" Type="http://schemas.openxmlformats.org/officeDocument/2006/relationships/hyperlink" Target="https://www.eia.gov/electricity/data/eia923/" TargetMode="External"/><Relationship Id="rId338" Type="http://schemas.openxmlformats.org/officeDocument/2006/relationships/hyperlink" Target="https://www.eia.gov/electricity/data/eia923/" TargetMode="External"/><Relationship Id="rId8" Type="http://schemas.openxmlformats.org/officeDocument/2006/relationships/hyperlink" Target="https://www.eia.gov/electricity/data/eia923/" TargetMode="External"/><Relationship Id="rId142" Type="http://schemas.openxmlformats.org/officeDocument/2006/relationships/hyperlink" Target="https://www.eia.gov/electricity/data/eia923/" TargetMode="External"/><Relationship Id="rId184" Type="http://schemas.openxmlformats.org/officeDocument/2006/relationships/hyperlink" Target="https://www.eia.gov/electricity/data/eia923/" TargetMode="External"/><Relationship Id="rId391" Type="http://schemas.openxmlformats.org/officeDocument/2006/relationships/hyperlink" Target="https://www.eia.gov/electricity/data/eia923/" TargetMode="External"/><Relationship Id="rId405" Type="http://schemas.openxmlformats.org/officeDocument/2006/relationships/hyperlink" Target="https://www.eia.gov/electricity/data/eia923/" TargetMode="External"/><Relationship Id="rId251" Type="http://schemas.openxmlformats.org/officeDocument/2006/relationships/hyperlink" Target="https://www.eia.gov/electricity/data/eia923/" TargetMode="External"/><Relationship Id="rId46" Type="http://schemas.openxmlformats.org/officeDocument/2006/relationships/hyperlink" Target="https://www.eia.gov/electricity/data/eia923/" TargetMode="External"/><Relationship Id="rId293" Type="http://schemas.openxmlformats.org/officeDocument/2006/relationships/hyperlink" Target="https://www.eia.gov/electricity/data/eia923/" TargetMode="External"/><Relationship Id="rId307" Type="http://schemas.openxmlformats.org/officeDocument/2006/relationships/hyperlink" Target="https://www.eia.gov/electricity/data/eia923/" TargetMode="External"/><Relationship Id="rId349" Type="http://schemas.openxmlformats.org/officeDocument/2006/relationships/hyperlink" Target="https://www.eia.gov/electricity/data/eia923/" TargetMode="External"/><Relationship Id="rId88" Type="http://schemas.openxmlformats.org/officeDocument/2006/relationships/hyperlink" Target="https://www.eia.gov/electricity/data/eia923/" TargetMode="External"/><Relationship Id="rId111" Type="http://schemas.openxmlformats.org/officeDocument/2006/relationships/hyperlink" Target="https://www.eia.gov/electricity/data/eia923/" TargetMode="External"/><Relationship Id="rId153" Type="http://schemas.openxmlformats.org/officeDocument/2006/relationships/hyperlink" Target="https://www.eia.gov/electricity/data/eia923/" TargetMode="External"/><Relationship Id="rId195" Type="http://schemas.openxmlformats.org/officeDocument/2006/relationships/hyperlink" Target="https://www.eia.gov/electricity/data/eia923/" TargetMode="External"/><Relationship Id="rId209" Type="http://schemas.openxmlformats.org/officeDocument/2006/relationships/hyperlink" Target="https://www.eia.gov/electricity/data/eia923/" TargetMode="External"/><Relationship Id="rId360" Type="http://schemas.openxmlformats.org/officeDocument/2006/relationships/hyperlink" Target="https://www.eia.gov/electricity/data/eia923/" TargetMode="External"/><Relationship Id="rId416" Type="http://schemas.openxmlformats.org/officeDocument/2006/relationships/hyperlink" Target="https://www.eia.gov/electricity/data/eia923/" TargetMode="External"/><Relationship Id="rId220" Type="http://schemas.openxmlformats.org/officeDocument/2006/relationships/hyperlink" Target="https://www.eia.gov/electricity/data/eia923/" TargetMode="External"/><Relationship Id="rId15" Type="http://schemas.openxmlformats.org/officeDocument/2006/relationships/hyperlink" Target="https://www.eia.gov/electricity/data/eia923/" TargetMode="External"/><Relationship Id="rId57" Type="http://schemas.openxmlformats.org/officeDocument/2006/relationships/hyperlink" Target="https://www.eia.gov/electricity/data/eia923/" TargetMode="External"/><Relationship Id="rId262" Type="http://schemas.openxmlformats.org/officeDocument/2006/relationships/hyperlink" Target="https://www.eia.gov/electricity/data/eia923/" TargetMode="External"/><Relationship Id="rId318" Type="http://schemas.openxmlformats.org/officeDocument/2006/relationships/hyperlink" Target="https://www.eia.gov/electricity/data/eia923/" TargetMode="External"/><Relationship Id="rId99" Type="http://schemas.openxmlformats.org/officeDocument/2006/relationships/hyperlink" Target="https://www.eia.gov/electricity/data/eia923/" TargetMode="External"/><Relationship Id="rId122" Type="http://schemas.openxmlformats.org/officeDocument/2006/relationships/hyperlink" Target="https://www.eia.gov/electricity/data/eia923/" TargetMode="External"/><Relationship Id="rId164" Type="http://schemas.openxmlformats.org/officeDocument/2006/relationships/hyperlink" Target="https://www.eia.gov/electricity/data/eia923/" TargetMode="External"/><Relationship Id="rId371" Type="http://schemas.openxmlformats.org/officeDocument/2006/relationships/hyperlink" Target="https://www.eia.gov/electricity/data/eia923/" TargetMode="External"/><Relationship Id="rId427" Type="http://schemas.openxmlformats.org/officeDocument/2006/relationships/hyperlink" Target="https://www.eia.gov/electricity/data/eia923/" TargetMode="External"/><Relationship Id="rId26" Type="http://schemas.openxmlformats.org/officeDocument/2006/relationships/hyperlink" Target="https://www.eia.gov/electricity/data/eia923/" TargetMode="External"/><Relationship Id="rId231" Type="http://schemas.openxmlformats.org/officeDocument/2006/relationships/hyperlink" Target="https://www.eia.gov/electricity/data/eia923/" TargetMode="External"/><Relationship Id="rId273" Type="http://schemas.openxmlformats.org/officeDocument/2006/relationships/hyperlink" Target="https://www.eia.gov/electricity/data/eia923/" TargetMode="External"/><Relationship Id="rId329" Type="http://schemas.openxmlformats.org/officeDocument/2006/relationships/hyperlink" Target="https://www.eia.gov/electricity/data/eia923/" TargetMode="External"/><Relationship Id="rId68" Type="http://schemas.openxmlformats.org/officeDocument/2006/relationships/hyperlink" Target="https://www.eia.gov/electricity/data/eia923/" TargetMode="External"/><Relationship Id="rId133" Type="http://schemas.openxmlformats.org/officeDocument/2006/relationships/hyperlink" Target="https://www.eia.gov/electricity/data/eia923/" TargetMode="External"/><Relationship Id="rId175" Type="http://schemas.openxmlformats.org/officeDocument/2006/relationships/hyperlink" Target="https://www.eia.gov/electricity/data/eia923/" TargetMode="External"/><Relationship Id="rId340" Type="http://schemas.openxmlformats.org/officeDocument/2006/relationships/hyperlink" Target="https://www.eia.gov/electricity/data/eia923/" TargetMode="External"/><Relationship Id="rId200" Type="http://schemas.openxmlformats.org/officeDocument/2006/relationships/hyperlink" Target="https://www.eia.gov/electricity/data/eia923/" TargetMode="External"/><Relationship Id="rId382" Type="http://schemas.openxmlformats.org/officeDocument/2006/relationships/hyperlink" Target="https://www.eia.gov/electricity/data/eia923/" TargetMode="External"/><Relationship Id="rId242" Type="http://schemas.openxmlformats.org/officeDocument/2006/relationships/hyperlink" Target="https://www.eia.gov/electricity/data/eia923/" TargetMode="External"/><Relationship Id="rId284" Type="http://schemas.openxmlformats.org/officeDocument/2006/relationships/hyperlink" Target="https://www.eia.gov/electricity/data/eia923/" TargetMode="External"/><Relationship Id="rId37" Type="http://schemas.openxmlformats.org/officeDocument/2006/relationships/hyperlink" Target="https://www.eia.gov/electricity/data/eia923/" TargetMode="External"/><Relationship Id="rId79" Type="http://schemas.openxmlformats.org/officeDocument/2006/relationships/hyperlink" Target="https://www.eia.gov/electricity/data/eia923/" TargetMode="External"/><Relationship Id="rId102" Type="http://schemas.openxmlformats.org/officeDocument/2006/relationships/hyperlink" Target="https://www.eia.gov/electricity/data/eia923/" TargetMode="External"/><Relationship Id="rId144" Type="http://schemas.openxmlformats.org/officeDocument/2006/relationships/hyperlink" Target="https://www.eia.gov/electricity/data/eia923/" TargetMode="External"/><Relationship Id="rId90" Type="http://schemas.openxmlformats.org/officeDocument/2006/relationships/hyperlink" Target="https://www.eia.gov/electricity/data/eia923/" TargetMode="External"/><Relationship Id="rId186" Type="http://schemas.openxmlformats.org/officeDocument/2006/relationships/hyperlink" Target="https://www.eia.gov/electricity/data/eia923/" TargetMode="External"/><Relationship Id="rId351" Type="http://schemas.openxmlformats.org/officeDocument/2006/relationships/hyperlink" Target="https://www.eia.gov/electricity/data/eia923/" TargetMode="External"/><Relationship Id="rId393" Type="http://schemas.openxmlformats.org/officeDocument/2006/relationships/hyperlink" Target="https://www.eia.gov/electricity/data/eia923/" TargetMode="External"/><Relationship Id="rId407" Type="http://schemas.openxmlformats.org/officeDocument/2006/relationships/hyperlink" Target="https://www.eia.gov/electricity/data/eia923/" TargetMode="External"/><Relationship Id="rId211" Type="http://schemas.openxmlformats.org/officeDocument/2006/relationships/hyperlink" Target="https://www.eia.gov/electricity/data/eia923/" TargetMode="External"/><Relationship Id="rId253" Type="http://schemas.openxmlformats.org/officeDocument/2006/relationships/hyperlink" Target="https://www.eia.gov/electricity/data/eia923/" TargetMode="External"/><Relationship Id="rId295" Type="http://schemas.openxmlformats.org/officeDocument/2006/relationships/hyperlink" Target="https://www.eia.gov/electricity/data/eia923/" TargetMode="External"/><Relationship Id="rId309" Type="http://schemas.openxmlformats.org/officeDocument/2006/relationships/hyperlink" Target="https://www.eia.gov/electricity/data/eia923/" TargetMode="External"/><Relationship Id="rId48" Type="http://schemas.openxmlformats.org/officeDocument/2006/relationships/hyperlink" Target="https://www.eia.gov/electricity/data/eia923/" TargetMode="External"/><Relationship Id="rId113" Type="http://schemas.openxmlformats.org/officeDocument/2006/relationships/hyperlink" Target="https://www.eia.gov/electricity/data/eia923/" TargetMode="External"/><Relationship Id="rId320" Type="http://schemas.openxmlformats.org/officeDocument/2006/relationships/hyperlink" Target="https://www.eia.gov/electricity/data/eia923/" TargetMode="External"/><Relationship Id="rId155" Type="http://schemas.openxmlformats.org/officeDocument/2006/relationships/hyperlink" Target="https://www.eia.gov/electricity/data/eia923/" TargetMode="External"/><Relationship Id="rId197" Type="http://schemas.openxmlformats.org/officeDocument/2006/relationships/hyperlink" Target="https://www.eia.gov/electricity/data/eia923/" TargetMode="External"/><Relationship Id="rId362" Type="http://schemas.openxmlformats.org/officeDocument/2006/relationships/hyperlink" Target="https://www.eia.gov/electricity/data/eia923/" TargetMode="External"/><Relationship Id="rId418" Type="http://schemas.openxmlformats.org/officeDocument/2006/relationships/hyperlink" Target="https://www.eia.gov/electricity/data/eia923/" TargetMode="External"/><Relationship Id="rId222" Type="http://schemas.openxmlformats.org/officeDocument/2006/relationships/hyperlink" Target="https://www.eia.gov/electricity/data/eia923/" TargetMode="External"/><Relationship Id="rId264" Type="http://schemas.openxmlformats.org/officeDocument/2006/relationships/hyperlink" Target="https://www.eia.gov/electricity/data/eia923/" TargetMode="External"/><Relationship Id="rId17" Type="http://schemas.openxmlformats.org/officeDocument/2006/relationships/hyperlink" Target="https://www.eia.gov/electricity/data/eia923/" TargetMode="External"/><Relationship Id="rId59" Type="http://schemas.openxmlformats.org/officeDocument/2006/relationships/hyperlink" Target="https://www.eia.gov/electricity/data/eia923/" TargetMode="External"/><Relationship Id="rId124" Type="http://schemas.openxmlformats.org/officeDocument/2006/relationships/hyperlink" Target="https://www.eia.gov/electricity/data/eia923/" TargetMode="External"/><Relationship Id="rId70" Type="http://schemas.openxmlformats.org/officeDocument/2006/relationships/hyperlink" Target="https://www.eia.gov/electricity/data/eia923/" TargetMode="External"/><Relationship Id="rId166" Type="http://schemas.openxmlformats.org/officeDocument/2006/relationships/hyperlink" Target="https://www.eia.gov/electricity/data/eia923/" TargetMode="External"/><Relationship Id="rId331" Type="http://schemas.openxmlformats.org/officeDocument/2006/relationships/hyperlink" Target="https://www.eia.gov/electricity/data/eia923/" TargetMode="External"/><Relationship Id="rId373" Type="http://schemas.openxmlformats.org/officeDocument/2006/relationships/hyperlink" Target="https://www.eia.gov/electricity/data/eia923/" TargetMode="External"/><Relationship Id="rId429" Type="http://schemas.openxmlformats.org/officeDocument/2006/relationships/hyperlink" Target="https://www.eia.gov/electricity/data/eia923/" TargetMode="External"/><Relationship Id="rId1" Type="http://schemas.openxmlformats.org/officeDocument/2006/relationships/hyperlink" Target="https://www.eia.gov/electricity/data/eia923/" TargetMode="External"/><Relationship Id="rId233" Type="http://schemas.openxmlformats.org/officeDocument/2006/relationships/hyperlink" Target="https://www.eia.gov/electricity/data/eia923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showGridLines="0" workbookViewId="0">
      <selection activeCell="A22" sqref="A22:F22"/>
    </sheetView>
  </sheetViews>
  <sheetFormatPr defaultRowHeight="15" x14ac:dyDescent="0.25"/>
  <cols>
    <col min="1" max="1" width="48" customWidth="1"/>
    <col min="2" max="6" width="19" customWidth="1"/>
  </cols>
  <sheetData>
    <row r="1" spans="1:6" ht="24" customHeight="1" x14ac:dyDescent="0.25">
      <c r="A1" s="54" t="s">
        <v>0</v>
      </c>
      <c r="B1" s="53"/>
      <c r="C1" s="53"/>
      <c r="D1" s="53"/>
      <c r="E1" s="53"/>
      <c r="F1" s="53"/>
    </row>
    <row r="2" spans="1:6" ht="24" customHeight="1" x14ac:dyDescent="0.25">
      <c r="A2" s="53"/>
      <c r="B2" s="53"/>
      <c r="C2" s="53"/>
      <c r="D2" s="53"/>
      <c r="E2" s="53"/>
      <c r="F2" s="53"/>
    </row>
    <row r="3" spans="1:6" ht="27" customHeight="1" x14ac:dyDescent="0.25">
      <c r="A3" s="56" t="s">
        <v>1</v>
      </c>
      <c r="B3" s="53"/>
      <c r="C3" s="53"/>
      <c r="D3" s="53"/>
      <c r="E3" s="53"/>
      <c r="F3" s="53"/>
    </row>
    <row r="5" spans="1:6" x14ac:dyDescent="0.25">
      <c r="A5" s="16" t="s">
        <v>2</v>
      </c>
      <c r="B5" s="16" t="s">
        <v>3</v>
      </c>
    </row>
    <row r="6" spans="1:6" x14ac:dyDescent="0.25">
      <c r="A6" s="17" t="s">
        <v>4</v>
      </c>
      <c r="B6" s="18">
        <f>COUNTA('Resource Estimates'!A2:A1300)</f>
        <v>1299</v>
      </c>
    </row>
    <row r="7" spans="1:6" x14ac:dyDescent="0.25">
      <c r="A7" t="s">
        <v>5</v>
      </c>
      <c r="B7" s="19">
        <f>COUNTIF('Resource Estimates'!AE2:AE1300,"N/A (nonthermal)")</f>
        <v>507</v>
      </c>
    </row>
    <row r="8" spans="1:6" x14ac:dyDescent="0.25">
      <c r="A8" s="17" t="s">
        <v>6</v>
      </c>
      <c r="B8" s="18">
        <f>COUNTIF('Resource Estimates'!AF2:AF1300,"High – plant proxy")</f>
        <v>327</v>
      </c>
    </row>
    <row r="9" spans="1:6" x14ac:dyDescent="0.25">
      <c r="A9" t="s">
        <v>7</v>
      </c>
      <c r="B9" s="19">
        <f>COUNTIF('Resource Estimates'!AF2:AF1300,"Medium – plant proxy; confirm")</f>
        <v>104</v>
      </c>
    </row>
    <row r="10" spans="1:6" x14ac:dyDescent="0.25">
      <c r="A10" s="17" t="s">
        <v>8</v>
      </c>
      <c r="B10" s="18">
        <f>COUNTIF('Resource Estimates'!AF2:AF1300,"Unconfirmed")</f>
        <v>119</v>
      </c>
    </row>
    <row r="11" spans="1:6" x14ac:dyDescent="0.25">
      <c r="A11" t="s">
        <v>9</v>
      </c>
      <c r="B11" s="19">
        <f>COUNTIF('Resource Estimates'!AE2:AE1300,"No usable 2025 EIA fuel/generation")</f>
        <v>10</v>
      </c>
    </row>
    <row r="12" spans="1:6" x14ac:dyDescent="0.25">
      <c r="A12" s="17" t="s">
        <v>10</v>
      </c>
      <c r="B12" s="18">
        <f>COUNTIF('Resource Estimates'!AE2:AE1300,"No match")</f>
        <v>232</v>
      </c>
    </row>
    <row r="13" spans="1:6" x14ac:dyDescent="0.25">
      <c r="A13" t="s">
        <v>11</v>
      </c>
      <c r="B13" s="19">
        <v>142</v>
      </c>
    </row>
    <row r="14" spans="1:6" x14ac:dyDescent="0.25">
      <c r="A14" s="17" t="s">
        <v>12</v>
      </c>
      <c r="B14" s="18">
        <v>0</v>
      </c>
    </row>
    <row r="17" spans="1:6" x14ac:dyDescent="0.25">
      <c r="A17" s="55" t="s">
        <v>13</v>
      </c>
      <c r="B17" s="53"/>
      <c r="C17" s="53"/>
      <c r="D17" s="53"/>
      <c r="E17" s="53"/>
      <c r="F17" s="53"/>
    </row>
    <row r="18" spans="1:6" ht="27.95" customHeight="1" x14ac:dyDescent="0.25">
      <c r="A18" s="52" t="s">
        <v>14</v>
      </c>
      <c r="B18" s="53"/>
      <c r="C18" s="53"/>
      <c r="D18" s="53"/>
      <c r="E18" s="53"/>
      <c r="F18" s="53"/>
    </row>
    <row r="19" spans="1:6" ht="27.95" customHeight="1" x14ac:dyDescent="0.25">
      <c r="A19" s="52" t="s">
        <v>15</v>
      </c>
      <c r="B19" s="53"/>
      <c r="C19" s="53"/>
      <c r="D19" s="53"/>
      <c r="E19" s="53"/>
      <c r="F19" s="53"/>
    </row>
    <row r="20" spans="1:6" ht="27.95" customHeight="1" x14ac:dyDescent="0.25">
      <c r="A20" s="52" t="s">
        <v>16</v>
      </c>
      <c r="B20" s="53"/>
      <c r="C20" s="53"/>
      <c r="D20" s="53"/>
      <c r="E20" s="53"/>
      <c r="F20" s="53"/>
    </row>
    <row r="21" spans="1:6" ht="27.95" customHeight="1" x14ac:dyDescent="0.25">
      <c r="A21" s="52" t="s">
        <v>17</v>
      </c>
      <c r="B21" s="53"/>
      <c r="C21" s="53"/>
      <c r="D21" s="53"/>
      <c r="E21" s="53"/>
      <c r="F21" s="53"/>
    </row>
    <row r="22" spans="1:6" ht="27.95" customHeight="1" x14ac:dyDescent="0.25">
      <c r="A22" s="52" t="s">
        <v>18</v>
      </c>
      <c r="B22" s="53"/>
      <c r="C22" s="53"/>
      <c r="D22" s="53"/>
      <c r="E22" s="53"/>
      <c r="F22" s="53"/>
    </row>
    <row r="23" spans="1:6" ht="27.95" customHeight="1" x14ac:dyDescent="0.25">
      <c r="A23" s="52" t="s">
        <v>19</v>
      </c>
      <c r="B23" s="53"/>
      <c r="C23" s="53"/>
      <c r="D23" s="53"/>
      <c r="E23" s="53"/>
      <c r="F23" s="53"/>
    </row>
    <row r="25" spans="1:6" x14ac:dyDescent="0.25">
      <c r="A25" s="20" t="s">
        <v>20</v>
      </c>
    </row>
    <row r="26" spans="1:6" x14ac:dyDescent="0.25">
      <c r="A26" t="s">
        <v>21</v>
      </c>
    </row>
    <row r="27" spans="1:6" x14ac:dyDescent="0.25">
      <c r="A27" t="s">
        <v>22</v>
      </c>
    </row>
  </sheetData>
  <mergeCells count="9">
    <mergeCell ref="A19:F19"/>
    <mergeCell ref="A23:F23"/>
    <mergeCell ref="A1:F2"/>
    <mergeCell ref="A22:F22"/>
    <mergeCell ref="A17:F17"/>
    <mergeCell ref="A18:F18"/>
    <mergeCell ref="A3:F3"/>
    <mergeCell ref="A21:F21"/>
    <mergeCell ref="A20:F20"/>
  </mergeCells>
  <hyperlinks>
    <hyperlink ref="A26" r:id="rId1" xr:uid="{00000000-0004-0000-0000-000000000000}"/>
    <hyperlink ref="A27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300"/>
  <sheetViews>
    <sheetView showGridLines="0" tabSelected="1" zoomScale="80" zoomScaleNormal="80" workbookViewId="0">
      <pane xSplit="5" ySplit="1" topLeftCell="AD11" activePane="bottomRight" state="frozen"/>
      <selection pane="topRight"/>
      <selection pane="bottomLeft"/>
      <selection pane="bottomRight" activeCell="AS38" sqref="AS38"/>
    </sheetView>
  </sheetViews>
  <sheetFormatPr defaultRowHeight="15" x14ac:dyDescent="0.25"/>
  <cols>
    <col min="1" max="1" width="34" customWidth="1"/>
    <col min="2" max="2" width="14" customWidth="1"/>
    <col min="3" max="3" width="12" customWidth="1"/>
    <col min="4" max="4" width="16" customWidth="1"/>
    <col min="5" max="5" width="25" customWidth="1"/>
    <col min="6" max="6" width="16" customWidth="1"/>
    <col min="7" max="7" width="26" customWidth="1"/>
    <col min="8" max="10" width="15" customWidth="1"/>
    <col min="11" max="11" width="23" customWidth="1"/>
    <col min="12" max="12" width="50" customWidth="1"/>
    <col min="13" max="13" width="19" customWidth="1"/>
    <col min="14" max="14" width="48" customWidth="1"/>
    <col min="15" max="15" width="16" customWidth="1"/>
    <col min="16" max="16" width="35" customWidth="1"/>
    <col min="17" max="19" width="20" customWidth="1"/>
    <col min="20" max="20" width="40" customWidth="1"/>
    <col min="21" max="21" width="27" customWidth="1"/>
    <col min="22" max="22" width="36" customWidth="1"/>
    <col min="23" max="23" width="92" customWidth="1"/>
    <col min="24" max="24" width="20" customWidth="1"/>
    <col min="25" max="25" width="27" customWidth="1"/>
    <col min="26" max="26" width="30" customWidth="1"/>
    <col min="27" max="27" width="18" customWidth="1"/>
    <col min="28" max="28" width="14" customWidth="1"/>
    <col min="29" max="29" width="33" customWidth="1"/>
    <col min="30" max="30" width="20" customWidth="1"/>
    <col min="31" max="31" width="34" customWidth="1"/>
    <col min="32" max="32" width="29" customWidth="1"/>
    <col min="33" max="33" width="22" customWidth="1"/>
    <col min="34" max="34" width="13.140625" customWidth="1"/>
    <col min="40" max="40" width="11" customWidth="1"/>
  </cols>
  <sheetData>
    <row r="1" spans="1:46" ht="42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7" t="s">
        <v>36</v>
      </c>
      <c r="O1" s="7" t="s">
        <v>37</v>
      </c>
      <c r="P1" s="7" t="s">
        <v>38</v>
      </c>
      <c r="Q1" s="7" t="s">
        <v>39</v>
      </c>
      <c r="R1" s="7" t="s">
        <v>40</v>
      </c>
      <c r="S1" s="7" t="s">
        <v>41</v>
      </c>
      <c r="T1" s="7" t="s">
        <v>42</v>
      </c>
      <c r="U1" s="7" t="s">
        <v>43</v>
      </c>
      <c r="V1" s="7" t="s">
        <v>44</v>
      </c>
      <c r="W1" s="7" t="s">
        <v>45</v>
      </c>
      <c r="X1" s="7" t="s">
        <v>46</v>
      </c>
      <c r="Y1" s="7" t="s">
        <v>47</v>
      </c>
      <c r="Z1" s="7" t="s">
        <v>48</v>
      </c>
      <c r="AA1" s="21" t="s">
        <v>49</v>
      </c>
      <c r="AB1" s="21" t="s">
        <v>50</v>
      </c>
      <c r="AC1" s="21" t="s">
        <v>51</v>
      </c>
      <c r="AD1" s="21" t="s">
        <v>52</v>
      </c>
      <c r="AE1" s="21" t="s">
        <v>53</v>
      </c>
      <c r="AF1" s="21" t="s">
        <v>54</v>
      </c>
      <c r="AG1" s="21" t="s">
        <v>55</v>
      </c>
      <c r="AH1" s="21" t="s">
        <v>5453</v>
      </c>
      <c r="AI1" s="21" t="s">
        <v>5454</v>
      </c>
      <c r="AJ1" s="21" t="s">
        <v>5486</v>
      </c>
      <c r="AK1">
        <f>1-$AL$1</f>
        <v>0.6244824904752182</v>
      </c>
      <c r="AL1" s="41">
        <v>0.37551750952478175</v>
      </c>
      <c r="AT1" t="s">
        <v>5487</v>
      </c>
    </row>
    <row r="2" spans="1:46" x14ac:dyDescent="0.25">
      <c r="A2" s="2" t="s">
        <v>1738</v>
      </c>
      <c r="B2" s="3">
        <v>1.5</v>
      </c>
      <c r="C2" s="2" t="s">
        <v>78</v>
      </c>
      <c r="D2" s="2" t="s">
        <v>78</v>
      </c>
      <c r="E2" s="2" t="s">
        <v>1739</v>
      </c>
      <c r="F2" s="4" t="s">
        <v>88</v>
      </c>
      <c r="G2" s="4" t="s">
        <v>89</v>
      </c>
      <c r="H2" s="5"/>
      <c r="I2" s="5"/>
      <c r="J2" s="5"/>
      <c r="K2" s="4" t="s">
        <v>62</v>
      </c>
      <c r="L2" s="4" t="s">
        <v>63</v>
      </c>
      <c r="M2" s="6" t="str">
        <f>IF(OR(B2="",I2=""),"",B2*I2)</f>
        <v/>
      </c>
      <c r="N2" s="8" t="s">
        <v>64</v>
      </c>
      <c r="O2" s="9"/>
      <c r="P2" s="9"/>
      <c r="Q2" s="22"/>
      <c r="R2" s="22"/>
      <c r="S2" s="23" t="str">
        <f>IF(AND(ISNUMBER(Q2),Q2&gt;0,ISNUMBER(R2),R2&gt;0),R2/Q2,"")</f>
        <v/>
      </c>
      <c r="T2" s="9"/>
      <c r="U2" s="9"/>
      <c r="V2" s="9"/>
      <c r="W2" s="9"/>
      <c r="X2" s="23" t="str">
        <f>IF(ISNUMBER(S2),S2,IF(ISNUMBER(I2),I2,""))</f>
        <v/>
      </c>
      <c r="Y2" t="str">
        <f>IF(ISNUMBER(S2),"2025 EIA-923 plant/group proxy",IF(ISNUMBER(I2),"Technology estimate","No thermal heat rate"))</f>
        <v>No thermal heat rate</v>
      </c>
      <c r="Z2" t="str">
        <f>IF(ISNUMBER(S2),"Review: NOT unit verified",IF(AE2="No match","No EIA match",IF(AF2="Unconfirmed","Unconfirmed EIA candidate","")))</f>
        <v/>
      </c>
      <c r="AE2" t="s">
        <v>65</v>
      </c>
      <c r="AF2" t="s">
        <v>66</v>
      </c>
      <c r="AG2" s="24">
        <f>IF(ISBLANK(S2),S2,I2)</f>
        <v>0</v>
      </c>
      <c r="AH2" s="34">
        <f>B2</f>
        <v>1.5</v>
      </c>
      <c r="AI2">
        <f>AH2*$AK$1</f>
        <v>0.9367237357128273</v>
      </c>
      <c r="AJ2" t="b" cm="1">
        <f t="array" ref="AJ2">OR(D2=$AT$2:$AT$8)</f>
        <v>1</v>
      </c>
      <c r="AT2" s="51" t="s">
        <v>91</v>
      </c>
    </row>
    <row r="3" spans="1:46" x14ac:dyDescent="0.25">
      <c r="A3" s="2" t="s">
        <v>85</v>
      </c>
      <c r="B3" s="3">
        <v>11.1</v>
      </c>
      <c r="C3" s="2" t="s">
        <v>86</v>
      </c>
      <c r="D3" s="2" t="s">
        <v>76</v>
      </c>
      <c r="E3" s="2" t="s">
        <v>87</v>
      </c>
      <c r="F3" s="4" t="s">
        <v>88</v>
      </c>
      <c r="G3" s="4" t="s">
        <v>89</v>
      </c>
      <c r="H3" s="5"/>
      <c r="I3" s="5"/>
      <c r="J3" s="5"/>
      <c r="K3" s="4" t="s">
        <v>62</v>
      </c>
      <c r="L3" s="4" t="s">
        <v>63</v>
      </c>
      <c r="M3" s="6" t="str">
        <f>IF(OR(B3="",I3=""),"",B3*I3)</f>
        <v/>
      </c>
      <c r="N3" s="8" t="s">
        <v>64</v>
      </c>
      <c r="O3" s="9"/>
      <c r="P3" s="9"/>
      <c r="Q3" s="22"/>
      <c r="R3" s="22"/>
      <c r="S3" s="23" t="str">
        <f>IF(AND(ISNUMBER(Q3),Q3&gt;0,ISNUMBER(R3),R3&gt;0),R3/Q3,"")</f>
        <v/>
      </c>
      <c r="T3" s="9"/>
      <c r="U3" s="9"/>
      <c r="V3" s="9"/>
      <c r="W3" s="9"/>
      <c r="X3" s="23" t="str">
        <f>IF(ISNUMBER(S3),S3,IF(ISNUMBER(I3),I3,""))</f>
        <v/>
      </c>
      <c r="Y3" t="str">
        <f>IF(ISNUMBER(S3),"2025 EIA-923 plant/group proxy",IF(ISNUMBER(I3),"Technology estimate","No thermal heat rate"))</f>
        <v>No thermal heat rate</v>
      </c>
      <c r="Z3" t="str">
        <f>IF(ISNUMBER(S3),"Review: NOT unit verified",IF(AE3="No match","No EIA match",IF(AF3="Unconfirmed","Unconfirmed EIA candidate","")))</f>
        <v/>
      </c>
      <c r="AE3" t="s">
        <v>65</v>
      </c>
      <c r="AF3" t="s">
        <v>66</v>
      </c>
      <c r="AG3" s="24">
        <f>IF(ISBLANK(S3),S3,I3)</f>
        <v>0</v>
      </c>
      <c r="AH3" s="34">
        <f>AH2+B3</f>
        <v>12.6</v>
      </c>
      <c r="AI3">
        <f t="shared" ref="AI3:AI66" si="0">AH3*$AK$1</f>
        <v>7.8684793799877495</v>
      </c>
      <c r="AJ3" t="b" cm="1">
        <f t="array" ref="AJ3">OR(D3=$AT$2:$AT$8)</f>
        <v>0</v>
      </c>
      <c r="AT3" t="s">
        <v>305</v>
      </c>
    </row>
    <row r="4" spans="1:46" x14ac:dyDescent="0.25">
      <c r="A4" s="2" t="s">
        <v>96</v>
      </c>
      <c r="B4" s="3">
        <v>94</v>
      </c>
      <c r="C4" s="2" t="s">
        <v>97</v>
      </c>
      <c r="D4" s="2" t="s">
        <v>97</v>
      </c>
      <c r="E4" s="2" t="s">
        <v>87</v>
      </c>
      <c r="F4" s="4" t="s">
        <v>88</v>
      </c>
      <c r="G4" s="4" t="s">
        <v>89</v>
      </c>
      <c r="H4" s="5"/>
      <c r="I4" s="5"/>
      <c r="J4" s="5"/>
      <c r="K4" s="4" t="s">
        <v>62</v>
      </c>
      <c r="L4" s="4" t="s">
        <v>63</v>
      </c>
      <c r="M4" s="6" t="str">
        <f>IF(OR(B4="",I4=""),"",B4*I4)</f>
        <v/>
      </c>
      <c r="N4" s="8" t="s">
        <v>64</v>
      </c>
      <c r="O4" s="9"/>
      <c r="P4" s="9"/>
      <c r="Q4" s="22"/>
      <c r="R4" s="22"/>
      <c r="S4" s="23" t="str">
        <f>IF(AND(ISNUMBER(Q4),Q4&gt;0,ISNUMBER(R4),R4&gt;0),R4/Q4,"")</f>
        <v/>
      </c>
      <c r="T4" s="9"/>
      <c r="U4" s="9"/>
      <c r="V4" s="9"/>
      <c r="W4" s="9"/>
      <c r="X4" s="23" t="str">
        <f>IF(ISNUMBER(S4),S4,IF(ISNUMBER(I4),I4,""))</f>
        <v/>
      </c>
      <c r="Y4" t="str">
        <f>IF(ISNUMBER(S4),"2025 EIA-923 plant/group proxy",IF(ISNUMBER(I4),"Technology estimate","No thermal heat rate"))</f>
        <v>No thermal heat rate</v>
      </c>
      <c r="Z4" t="str">
        <f>IF(ISNUMBER(S4),"Review: NOT unit verified",IF(AE4="No match","No EIA match",IF(AF4="Unconfirmed","Unconfirmed EIA candidate","")))</f>
        <v/>
      </c>
      <c r="AE4" t="s">
        <v>65</v>
      </c>
      <c r="AF4" t="s">
        <v>66</v>
      </c>
      <c r="AG4" s="24">
        <f>IF(ISBLANK(S4),S4,I4)</f>
        <v>0</v>
      </c>
      <c r="AH4" s="34">
        <f t="shared" ref="AH4:AH67" si="1">AH3+B4</f>
        <v>106.6</v>
      </c>
      <c r="AI4">
        <f t="shared" si="0"/>
        <v>66.569833484658261</v>
      </c>
      <c r="AJ4" t="b" cm="1">
        <f t="array" ref="AJ4">OR(D4=$AT$2:$AT$8)</f>
        <v>0</v>
      </c>
      <c r="AT4" t="s">
        <v>78</v>
      </c>
    </row>
    <row r="5" spans="1:46" x14ac:dyDescent="0.25">
      <c r="A5" s="2" t="s">
        <v>160</v>
      </c>
      <c r="B5" s="3">
        <v>14.4</v>
      </c>
      <c r="C5" s="2" t="s">
        <v>86</v>
      </c>
      <c r="D5" s="2" t="s">
        <v>76</v>
      </c>
      <c r="E5" s="2" t="s">
        <v>87</v>
      </c>
      <c r="F5" s="4" t="s">
        <v>88</v>
      </c>
      <c r="G5" s="4" t="s">
        <v>89</v>
      </c>
      <c r="H5" s="5"/>
      <c r="I5" s="5"/>
      <c r="J5" s="5"/>
      <c r="K5" s="4" t="s">
        <v>62</v>
      </c>
      <c r="L5" s="4" t="s">
        <v>63</v>
      </c>
      <c r="M5" s="6" t="str">
        <f>IF(OR(B5="",I5=""),"",B5*I5)</f>
        <v/>
      </c>
      <c r="N5" s="8" t="s">
        <v>64</v>
      </c>
      <c r="O5" s="9"/>
      <c r="P5" s="9"/>
      <c r="Q5" s="22"/>
      <c r="R5" s="22"/>
      <c r="S5" s="23" t="str">
        <f>IF(AND(ISNUMBER(Q5),Q5&gt;0,ISNUMBER(R5),R5&gt;0),R5/Q5,"")</f>
        <v/>
      </c>
      <c r="T5" s="9"/>
      <c r="U5" s="9"/>
      <c r="V5" s="9"/>
      <c r="W5" s="9"/>
      <c r="X5" s="23" t="str">
        <f>IF(ISNUMBER(S5),S5,IF(ISNUMBER(I5),I5,""))</f>
        <v/>
      </c>
      <c r="Y5" t="str">
        <f>IF(ISNUMBER(S5),"2025 EIA-923 plant/group proxy",IF(ISNUMBER(I5),"Technology estimate","No thermal heat rate"))</f>
        <v>No thermal heat rate</v>
      </c>
      <c r="Z5" t="str">
        <f>IF(ISNUMBER(S5),"Review: NOT unit verified",IF(AE5="No match","No EIA match",IF(AF5="Unconfirmed","Unconfirmed EIA candidate","")))</f>
        <v/>
      </c>
      <c r="AE5" t="s">
        <v>65</v>
      </c>
      <c r="AF5" t="s">
        <v>66</v>
      </c>
      <c r="AG5" s="24">
        <f>IF(ISBLANK(S5),S5,I5)</f>
        <v>0</v>
      </c>
      <c r="AH5" s="34">
        <f t="shared" si="1"/>
        <v>121</v>
      </c>
      <c r="AI5">
        <f t="shared" si="0"/>
        <v>75.5623813475014</v>
      </c>
      <c r="AJ5" t="b" cm="1">
        <f t="array" ref="AJ5">OR(D5=$AT$2:$AT$8)</f>
        <v>0</v>
      </c>
      <c r="AT5" t="s">
        <v>405</v>
      </c>
    </row>
    <row r="6" spans="1:46" x14ac:dyDescent="0.25">
      <c r="A6" s="2" t="s">
        <v>178</v>
      </c>
      <c r="B6" s="3">
        <v>8</v>
      </c>
      <c r="C6" s="2" t="s">
        <v>80</v>
      </c>
      <c r="D6" s="2" t="s">
        <v>81</v>
      </c>
      <c r="E6" s="2" t="s">
        <v>87</v>
      </c>
      <c r="F6" s="4" t="s">
        <v>88</v>
      </c>
      <c r="G6" s="4" t="s">
        <v>89</v>
      </c>
      <c r="H6" s="5"/>
      <c r="I6" s="5"/>
      <c r="J6" s="5"/>
      <c r="K6" s="4" t="s">
        <v>62</v>
      </c>
      <c r="L6" s="4" t="s">
        <v>63</v>
      </c>
      <c r="M6" s="6" t="str">
        <f>IF(OR(B6="",I6=""),"",B6*I6)</f>
        <v/>
      </c>
      <c r="N6" s="8" t="s">
        <v>64</v>
      </c>
      <c r="O6" s="9"/>
      <c r="P6" s="9"/>
      <c r="Q6" s="22"/>
      <c r="R6" s="22"/>
      <c r="S6" s="23" t="str">
        <f>IF(AND(ISNUMBER(Q6),Q6&gt;0,ISNUMBER(R6),R6&gt;0),R6/Q6,"")</f>
        <v/>
      </c>
      <c r="T6" s="9"/>
      <c r="U6" s="9"/>
      <c r="V6" s="9"/>
      <c r="W6" s="9"/>
      <c r="X6" s="23" t="str">
        <f>IF(ISNUMBER(S6),S6,IF(ISNUMBER(I6),I6,""))</f>
        <v/>
      </c>
      <c r="Y6" t="str">
        <f>IF(ISNUMBER(S6),"2025 EIA-923 plant/group proxy",IF(ISNUMBER(I6),"Technology estimate","No thermal heat rate"))</f>
        <v>No thermal heat rate</v>
      </c>
      <c r="Z6" t="str">
        <f>IF(ISNUMBER(S6),"Review: NOT unit verified",IF(AE6="No match","No EIA match",IF(AF6="Unconfirmed","Unconfirmed EIA candidate","")))</f>
        <v/>
      </c>
      <c r="AE6" t="s">
        <v>65</v>
      </c>
      <c r="AF6" t="s">
        <v>66</v>
      </c>
      <c r="AG6" s="24">
        <f>IF(ISBLANK(S6),S6,I6)</f>
        <v>0</v>
      </c>
      <c r="AH6" s="34">
        <f t="shared" si="1"/>
        <v>129</v>
      </c>
      <c r="AI6">
        <f t="shared" si="0"/>
        <v>80.558241271303146</v>
      </c>
      <c r="AJ6" t="b" cm="1">
        <f t="array" ref="AJ6">OR(D6=$AT$2:$AT$8)</f>
        <v>0</v>
      </c>
      <c r="AT6" t="s">
        <v>228</v>
      </c>
    </row>
    <row r="7" spans="1:46" x14ac:dyDescent="0.25">
      <c r="A7" s="2" t="s">
        <v>211</v>
      </c>
      <c r="B7" s="3">
        <v>3.3</v>
      </c>
      <c r="C7" s="2" t="s">
        <v>136</v>
      </c>
      <c r="D7" s="2" t="s">
        <v>136</v>
      </c>
      <c r="E7" s="2" t="s">
        <v>87</v>
      </c>
      <c r="F7" s="4" t="s">
        <v>88</v>
      </c>
      <c r="G7" s="4" t="s">
        <v>89</v>
      </c>
      <c r="H7" s="5"/>
      <c r="I7" s="5"/>
      <c r="J7" s="5"/>
      <c r="K7" s="4" t="s">
        <v>62</v>
      </c>
      <c r="L7" s="4" t="s">
        <v>63</v>
      </c>
      <c r="M7" s="6" t="str">
        <f>IF(OR(B7="",I7=""),"",B7*I7)</f>
        <v/>
      </c>
      <c r="N7" s="8" t="s">
        <v>64</v>
      </c>
      <c r="O7" s="9"/>
      <c r="P7" s="9"/>
      <c r="Q7" s="22"/>
      <c r="R7" s="22"/>
      <c r="S7" s="23" t="str">
        <f>IF(AND(ISNUMBER(Q7),Q7&gt;0,ISNUMBER(R7),R7&gt;0),R7/Q7,"")</f>
        <v/>
      </c>
      <c r="T7" s="9"/>
      <c r="U7" s="9"/>
      <c r="V7" s="9"/>
      <c r="W7" s="9"/>
      <c r="X7" s="23" t="str">
        <f>IF(ISNUMBER(S7),S7,IF(ISNUMBER(I7),I7,""))</f>
        <v/>
      </c>
      <c r="Y7" t="str">
        <f>IF(ISNUMBER(S7),"2025 EIA-923 plant/group proxy",IF(ISNUMBER(I7),"Technology estimate","No thermal heat rate"))</f>
        <v>No thermal heat rate</v>
      </c>
      <c r="Z7" t="str">
        <f>IF(ISNUMBER(S7),"Review: NOT unit verified",IF(AE7="No match","No EIA match",IF(AF7="Unconfirmed","Unconfirmed EIA candidate","")))</f>
        <v/>
      </c>
      <c r="AE7" t="s">
        <v>65</v>
      </c>
      <c r="AF7" t="s">
        <v>66</v>
      </c>
      <c r="AG7" s="24">
        <f>IF(ISBLANK(S7),S7,I7)</f>
        <v>0</v>
      </c>
      <c r="AH7" s="34">
        <f t="shared" si="1"/>
        <v>132.30000000000001</v>
      </c>
      <c r="AI7">
        <f t="shared" si="0"/>
        <v>82.61903348987137</v>
      </c>
      <c r="AJ7" t="b" cm="1">
        <f t="array" ref="AJ7">OR(D7=$AT$2:$AT$8)</f>
        <v>0</v>
      </c>
      <c r="AT7" t="s">
        <v>68</v>
      </c>
    </row>
    <row r="8" spans="1:46" x14ac:dyDescent="0.25">
      <c r="A8" s="2" t="s">
        <v>230</v>
      </c>
      <c r="B8" s="3">
        <v>7.3</v>
      </c>
      <c r="C8" s="2" t="s">
        <v>80</v>
      </c>
      <c r="D8" s="2" t="s">
        <v>81</v>
      </c>
      <c r="E8" s="2" t="s">
        <v>87</v>
      </c>
      <c r="F8" s="4" t="s">
        <v>88</v>
      </c>
      <c r="G8" s="4" t="s">
        <v>89</v>
      </c>
      <c r="H8" s="5"/>
      <c r="I8" s="5"/>
      <c r="J8" s="5"/>
      <c r="K8" s="4" t="s">
        <v>62</v>
      </c>
      <c r="L8" s="4" t="s">
        <v>63</v>
      </c>
      <c r="M8" s="6" t="str">
        <f>IF(OR(B8="",I8=""),"",B8*I8)</f>
        <v/>
      </c>
      <c r="N8" s="8" t="s">
        <v>64</v>
      </c>
      <c r="O8" s="9"/>
      <c r="P8" s="9"/>
      <c r="Q8" s="22"/>
      <c r="R8" s="22"/>
      <c r="S8" s="23" t="str">
        <f>IF(AND(ISNUMBER(Q8),Q8&gt;0,ISNUMBER(R8),R8&gt;0),R8/Q8,"")</f>
        <v/>
      </c>
      <c r="T8" s="9"/>
      <c r="U8" s="9"/>
      <c r="V8" s="9"/>
      <c r="W8" s="9"/>
      <c r="X8" s="23" t="str">
        <f>IF(ISNUMBER(S8),S8,IF(ISNUMBER(I8),I8,""))</f>
        <v/>
      </c>
      <c r="Y8" t="str">
        <f>IF(ISNUMBER(S8),"2025 EIA-923 plant/group proxy",IF(ISNUMBER(I8),"Technology estimate","No thermal heat rate"))</f>
        <v>No thermal heat rate</v>
      </c>
      <c r="Z8" t="str">
        <f>IF(ISNUMBER(S8),"Review: NOT unit verified",IF(AE8="No match","No EIA match",IF(AF8="Unconfirmed","Unconfirmed EIA candidate","")))</f>
        <v/>
      </c>
      <c r="AE8" t="s">
        <v>65</v>
      </c>
      <c r="AF8" t="s">
        <v>66</v>
      </c>
      <c r="AG8" s="24">
        <f>IF(ISBLANK(S8),S8,I8)</f>
        <v>0</v>
      </c>
      <c r="AH8" s="34">
        <f t="shared" si="1"/>
        <v>139.60000000000002</v>
      </c>
      <c r="AI8">
        <f t="shared" si="0"/>
        <v>87.177755670340474</v>
      </c>
      <c r="AJ8" t="b" cm="1">
        <f t="array" ref="AJ8">OR(D8=$AT$2:$AT$8)</f>
        <v>0</v>
      </c>
      <c r="AT8" t="s">
        <v>5488</v>
      </c>
    </row>
    <row r="9" spans="1:46" x14ac:dyDescent="0.25">
      <c r="A9" s="2" t="s">
        <v>277</v>
      </c>
      <c r="B9" s="3">
        <v>30.4</v>
      </c>
      <c r="C9" s="2" t="s">
        <v>97</v>
      </c>
      <c r="D9" s="2" t="s">
        <v>97</v>
      </c>
      <c r="E9" s="2" t="s">
        <v>87</v>
      </c>
      <c r="F9" s="4" t="s">
        <v>88</v>
      </c>
      <c r="G9" s="4" t="s">
        <v>89</v>
      </c>
      <c r="H9" s="5"/>
      <c r="I9" s="5"/>
      <c r="J9" s="5"/>
      <c r="K9" s="4" t="s">
        <v>62</v>
      </c>
      <c r="L9" s="4" t="s">
        <v>63</v>
      </c>
      <c r="M9" s="6" t="str">
        <f>IF(OR(B9="",I9=""),"",B9*I9)</f>
        <v/>
      </c>
      <c r="N9" s="8" t="s">
        <v>64</v>
      </c>
      <c r="O9" s="9"/>
      <c r="P9" s="9"/>
      <c r="Q9" s="22"/>
      <c r="R9" s="22"/>
      <c r="S9" s="23" t="str">
        <f>IF(AND(ISNUMBER(Q9),Q9&gt;0,ISNUMBER(R9),R9&gt;0),R9/Q9,"")</f>
        <v/>
      </c>
      <c r="T9" s="9"/>
      <c r="U9" s="9"/>
      <c r="V9" s="9"/>
      <c r="W9" s="9"/>
      <c r="X9" s="23" t="str">
        <f>IF(ISNUMBER(S9),S9,IF(ISNUMBER(I9),I9,""))</f>
        <v/>
      </c>
      <c r="Y9" t="str">
        <f>IF(ISNUMBER(S9),"2025 EIA-923 plant/group proxy",IF(ISNUMBER(I9),"Technology estimate","No thermal heat rate"))</f>
        <v>No thermal heat rate</v>
      </c>
      <c r="Z9" t="str">
        <f>IF(ISNUMBER(S9),"Review: NOT unit verified",IF(AE9="No match","No EIA match",IF(AF9="Unconfirmed","Unconfirmed EIA candidate","")))</f>
        <v/>
      </c>
      <c r="AE9" t="s">
        <v>65</v>
      </c>
      <c r="AF9" t="s">
        <v>66</v>
      </c>
      <c r="AG9" s="24">
        <f>IF(ISBLANK(S9),S9,I9)</f>
        <v>0</v>
      </c>
      <c r="AH9" s="34">
        <f t="shared" si="1"/>
        <v>170.00000000000003</v>
      </c>
      <c r="AI9">
        <f t="shared" si="0"/>
        <v>106.1620233807871</v>
      </c>
      <c r="AJ9" t="b" cm="1">
        <f t="array" ref="AJ9">OR(D9=$AT$2:$AT$8)</f>
        <v>0</v>
      </c>
    </row>
    <row r="10" spans="1:46" x14ac:dyDescent="0.25">
      <c r="A10" s="2" t="s">
        <v>283</v>
      </c>
      <c r="B10" s="3">
        <v>40</v>
      </c>
      <c r="C10" s="2" t="s">
        <v>97</v>
      </c>
      <c r="D10" s="2" t="s">
        <v>97</v>
      </c>
      <c r="E10" s="2" t="s">
        <v>87</v>
      </c>
      <c r="F10" s="4" t="s">
        <v>88</v>
      </c>
      <c r="G10" s="4" t="s">
        <v>89</v>
      </c>
      <c r="H10" s="5"/>
      <c r="I10" s="5"/>
      <c r="J10" s="5"/>
      <c r="K10" s="4" t="s">
        <v>62</v>
      </c>
      <c r="L10" s="4" t="s">
        <v>63</v>
      </c>
      <c r="M10" s="6" t="str">
        <f>IF(OR(B10="",I10=""),"",B10*I10)</f>
        <v/>
      </c>
      <c r="N10" s="8" t="s">
        <v>64</v>
      </c>
      <c r="O10" s="9"/>
      <c r="P10" s="9"/>
      <c r="Q10" s="22"/>
      <c r="R10" s="22"/>
      <c r="S10" s="23" t="str">
        <f>IF(AND(ISNUMBER(Q10),Q10&gt;0,ISNUMBER(R10),R10&gt;0),R10/Q10,"")</f>
        <v/>
      </c>
      <c r="T10" s="9"/>
      <c r="U10" s="9"/>
      <c r="V10" s="9"/>
      <c r="W10" s="9"/>
      <c r="X10" s="23" t="str">
        <f>IF(ISNUMBER(S10),S10,IF(ISNUMBER(I10),I10,""))</f>
        <v/>
      </c>
      <c r="Y10" t="str">
        <f>IF(ISNUMBER(S10),"2025 EIA-923 plant/group proxy",IF(ISNUMBER(I10),"Technology estimate","No thermal heat rate"))</f>
        <v>No thermal heat rate</v>
      </c>
      <c r="Z10" t="str">
        <f>IF(ISNUMBER(S10),"Review: NOT unit verified",IF(AE10="No match","No EIA match",IF(AF10="Unconfirmed","Unconfirmed EIA candidate","")))</f>
        <v/>
      </c>
      <c r="AE10" t="s">
        <v>65</v>
      </c>
      <c r="AF10" t="s">
        <v>66</v>
      </c>
      <c r="AG10" s="24">
        <f>IF(ISBLANK(S10),S10,I10)</f>
        <v>0</v>
      </c>
      <c r="AH10" s="34">
        <f t="shared" si="1"/>
        <v>210.00000000000003</v>
      </c>
      <c r="AI10">
        <f t="shared" si="0"/>
        <v>131.14132299979585</v>
      </c>
      <c r="AJ10" t="b" cm="1">
        <f t="array" ref="AJ10">OR(D10=$AT$2:$AT$8)</f>
        <v>0</v>
      </c>
    </row>
    <row r="11" spans="1:46" x14ac:dyDescent="0.25">
      <c r="A11" s="2" t="s">
        <v>284</v>
      </c>
      <c r="B11" s="3">
        <v>16.899999999999999</v>
      </c>
      <c r="C11" s="2" t="s">
        <v>99</v>
      </c>
      <c r="D11" s="2" t="s">
        <v>81</v>
      </c>
      <c r="E11" s="2" t="s">
        <v>87</v>
      </c>
      <c r="F11" s="4" t="s">
        <v>88</v>
      </c>
      <c r="G11" s="4" t="s">
        <v>89</v>
      </c>
      <c r="H11" s="5"/>
      <c r="I11" s="5"/>
      <c r="J11" s="5"/>
      <c r="K11" s="4" t="s">
        <v>62</v>
      </c>
      <c r="L11" s="4" t="s">
        <v>63</v>
      </c>
      <c r="M11" s="6" t="str">
        <f>IF(OR(B11="",I11=""),"",B11*I11)</f>
        <v/>
      </c>
      <c r="N11" s="8" t="s">
        <v>64</v>
      </c>
      <c r="O11" s="9"/>
      <c r="P11" s="9"/>
      <c r="Q11" s="22"/>
      <c r="R11" s="22"/>
      <c r="S11" s="23" t="str">
        <f>IF(AND(ISNUMBER(Q11),Q11&gt;0,ISNUMBER(R11),R11&gt;0),R11/Q11,"")</f>
        <v/>
      </c>
      <c r="T11" s="9"/>
      <c r="U11" s="9"/>
      <c r="V11" s="9"/>
      <c r="W11" s="9"/>
      <c r="X11" s="23" t="str">
        <f>IF(ISNUMBER(S11),S11,IF(ISNUMBER(I11),I11,""))</f>
        <v/>
      </c>
      <c r="Y11" t="str">
        <f>IF(ISNUMBER(S11),"2025 EIA-923 plant/group proxy",IF(ISNUMBER(I11),"Technology estimate","No thermal heat rate"))</f>
        <v>No thermal heat rate</v>
      </c>
      <c r="Z11" t="str">
        <f>IF(ISNUMBER(S11),"Review: NOT unit verified",IF(AE11="No match","No EIA match",IF(AF11="Unconfirmed","Unconfirmed EIA candidate","")))</f>
        <v/>
      </c>
      <c r="AE11" t="s">
        <v>65</v>
      </c>
      <c r="AF11" t="s">
        <v>66</v>
      </c>
      <c r="AG11" s="24">
        <f>IF(ISBLANK(S11),S11,I11)</f>
        <v>0</v>
      </c>
      <c r="AH11" s="34">
        <f t="shared" si="1"/>
        <v>226.90000000000003</v>
      </c>
      <c r="AI11">
        <f t="shared" si="0"/>
        <v>141.69507708882702</v>
      </c>
      <c r="AJ11" t="b" cm="1">
        <f t="array" ref="AJ11">OR(D11=$AT$2:$AT$8)</f>
        <v>0</v>
      </c>
    </row>
    <row r="12" spans="1:46" x14ac:dyDescent="0.25">
      <c r="A12" s="2" t="s">
        <v>285</v>
      </c>
      <c r="B12" s="3">
        <v>51.7</v>
      </c>
      <c r="C12" s="2" t="s">
        <v>80</v>
      </c>
      <c r="D12" s="2" t="s">
        <v>81</v>
      </c>
      <c r="E12" s="2" t="s">
        <v>87</v>
      </c>
      <c r="F12" s="4" t="s">
        <v>88</v>
      </c>
      <c r="G12" s="4" t="s">
        <v>89</v>
      </c>
      <c r="H12" s="5"/>
      <c r="I12" s="5"/>
      <c r="J12" s="5"/>
      <c r="K12" s="4" t="s">
        <v>62</v>
      </c>
      <c r="L12" s="4" t="s">
        <v>63</v>
      </c>
      <c r="M12" s="6" t="str">
        <f>IF(OR(B12="",I12=""),"",B12*I12)</f>
        <v/>
      </c>
      <c r="N12" s="8" t="s">
        <v>64</v>
      </c>
      <c r="O12" s="9"/>
      <c r="P12" s="9"/>
      <c r="Q12" s="22"/>
      <c r="R12" s="22"/>
      <c r="S12" s="23" t="str">
        <f>IF(AND(ISNUMBER(Q12),Q12&gt;0,ISNUMBER(R12),R12&gt;0),R12/Q12,"")</f>
        <v/>
      </c>
      <c r="T12" s="9"/>
      <c r="U12" s="9"/>
      <c r="V12" s="9"/>
      <c r="W12" s="9"/>
      <c r="X12" s="23" t="str">
        <f>IF(ISNUMBER(S12),S12,IF(ISNUMBER(I12),I12,""))</f>
        <v/>
      </c>
      <c r="Y12" t="str">
        <f>IF(ISNUMBER(S12),"2025 EIA-923 plant/group proxy",IF(ISNUMBER(I12),"Technology estimate","No thermal heat rate"))</f>
        <v>No thermal heat rate</v>
      </c>
      <c r="Z12" t="str">
        <f>IF(ISNUMBER(S12),"Review: NOT unit verified",IF(AE12="No match","No EIA match",IF(AF12="Unconfirmed","Unconfirmed EIA candidate","")))</f>
        <v/>
      </c>
      <c r="AE12" t="s">
        <v>65</v>
      </c>
      <c r="AF12" t="s">
        <v>66</v>
      </c>
      <c r="AG12" s="24">
        <f>IF(ISBLANK(S12),S12,I12)</f>
        <v>0</v>
      </c>
      <c r="AH12" s="34">
        <f t="shared" si="1"/>
        <v>278.60000000000002</v>
      </c>
      <c r="AI12">
        <f t="shared" si="0"/>
        <v>173.9808218463958</v>
      </c>
      <c r="AJ12" t="b" cm="1">
        <f t="array" ref="AJ12">OR(D12=$AT$2:$AT$8)</f>
        <v>0</v>
      </c>
    </row>
    <row r="13" spans="1:46" x14ac:dyDescent="0.25">
      <c r="A13" s="2" t="s">
        <v>288</v>
      </c>
      <c r="B13" s="3">
        <v>117.5</v>
      </c>
      <c r="C13" s="2" t="s">
        <v>97</v>
      </c>
      <c r="D13" s="2" t="s">
        <v>97</v>
      </c>
      <c r="E13" s="2" t="s">
        <v>87</v>
      </c>
      <c r="F13" s="4" t="s">
        <v>88</v>
      </c>
      <c r="G13" s="4" t="s">
        <v>89</v>
      </c>
      <c r="H13" s="5"/>
      <c r="I13" s="5"/>
      <c r="J13" s="5"/>
      <c r="K13" s="4" t="s">
        <v>62</v>
      </c>
      <c r="L13" s="4" t="s">
        <v>63</v>
      </c>
      <c r="M13" s="6" t="str">
        <f>IF(OR(B13="",I13=""),"",B13*I13)</f>
        <v/>
      </c>
      <c r="N13" s="8" t="s">
        <v>64</v>
      </c>
      <c r="O13" s="9"/>
      <c r="P13" s="9"/>
      <c r="Q13" s="22"/>
      <c r="R13" s="22"/>
      <c r="S13" s="23" t="str">
        <f>IF(AND(ISNUMBER(Q13),Q13&gt;0,ISNUMBER(R13),R13&gt;0),R13/Q13,"")</f>
        <v/>
      </c>
      <c r="T13" s="9"/>
      <c r="U13" s="9"/>
      <c r="V13" s="9"/>
      <c r="W13" s="9"/>
      <c r="X13" s="23" t="str">
        <f>IF(ISNUMBER(S13),S13,IF(ISNUMBER(I13),I13,""))</f>
        <v/>
      </c>
      <c r="Y13" t="str">
        <f>IF(ISNUMBER(S13),"2025 EIA-923 plant/group proxy",IF(ISNUMBER(I13),"Technology estimate","No thermal heat rate"))</f>
        <v>No thermal heat rate</v>
      </c>
      <c r="Z13" t="str">
        <f>IF(ISNUMBER(S13),"Review: NOT unit verified",IF(AE13="No match","No EIA match",IF(AF13="Unconfirmed","Unconfirmed EIA candidate","")))</f>
        <v/>
      </c>
      <c r="AE13" t="s">
        <v>65</v>
      </c>
      <c r="AF13" t="s">
        <v>66</v>
      </c>
      <c r="AG13" s="24">
        <f>IF(ISBLANK(S13),S13,I13)</f>
        <v>0</v>
      </c>
      <c r="AH13" s="34">
        <f t="shared" si="1"/>
        <v>396.1</v>
      </c>
      <c r="AI13">
        <f t="shared" si="0"/>
        <v>247.35751447723393</v>
      </c>
      <c r="AJ13" t="b" cm="1">
        <f t="array" ref="AJ13">OR(D13=$AT$2:$AT$8)</f>
        <v>0</v>
      </c>
    </row>
    <row r="14" spans="1:46" x14ac:dyDescent="0.25">
      <c r="A14" s="2" t="s">
        <v>291</v>
      </c>
      <c r="B14" s="3">
        <v>49.3</v>
      </c>
      <c r="C14" s="2" t="s">
        <v>99</v>
      </c>
      <c r="D14" s="2" t="s">
        <v>81</v>
      </c>
      <c r="E14" s="2" t="s">
        <v>87</v>
      </c>
      <c r="F14" s="4" t="s">
        <v>88</v>
      </c>
      <c r="G14" s="4" t="s">
        <v>89</v>
      </c>
      <c r="H14" s="5"/>
      <c r="I14" s="5"/>
      <c r="J14" s="5"/>
      <c r="K14" s="4" t="s">
        <v>62</v>
      </c>
      <c r="L14" s="4" t="s">
        <v>63</v>
      </c>
      <c r="M14" s="6" t="str">
        <f>IF(OR(B14="",I14=""),"",B14*I14)</f>
        <v/>
      </c>
      <c r="N14" s="8" t="s">
        <v>64</v>
      </c>
      <c r="O14" s="9"/>
      <c r="P14" s="9"/>
      <c r="Q14" s="22"/>
      <c r="R14" s="22"/>
      <c r="S14" s="23" t="str">
        <f>IF(AND(ISNUMBER(Q14),Q14&gt;0,ISNUMBER(R14),R14&gt;0),R14/Q14,"")</f>
        <v/>
      </c>
      <c r="T14" s="9"/>
      <c r="U14" s="9"/>
      <c r="V14" s="9"/>
      <c r="W14" s="9"/>
      <c r="X14" s="23" t="str">
        <f>IF(ISNUMBER(S14),S14,IF(ISNUMBER(I14),I14,""))</f>
        <v/>
      </c>
      <c r="Y14" t="str">
        <f>IF(ISNUMBER(S14),"2025 EIA-923 plant/group proxy",IF(ISNUMBER(I14),"Technology estimate","No thermal heat rate"))</f>
        <v>No thermal heat rate</v>
      </c>
      <c r="Z14" t="str">
        <f>IF(ISNUMBER(S14),"Review: NOT unit verified",IF(AE14="No match","No EIA match",IF(AF14="Unconfirmed","Unconfirmed EIA candidate","")))</f>
        <v/>
      </c>
      <c r="AE14" t="s">
        <v>65</v>
      </c>
      <c r="AF14" t="s">
        <v>66</v>
      </c>
      <c r="AG14" s="24">
        <f>IF(ISBLANK(S14),S14,I14)</f>
        <v>0</v>
      </c>
      <c r="AH14" s="34">
        <f t="shared" si="1"/>
        <v>445.40000000000003</v>
      </c>
      <c r="AI14">
        <f t="shared" si="0"/>
        <v>278.14450125766223</v>
      </c>
      <c r="AJ14" t="b" cm="1">
        <f t="array" ref="AJ14">OR(D14=$AT$2:$AT$8)</f>
        <v>0</v>
      </c>
    </row>
    <row r="15" spans="1:46" x14ac:dyDescent="0.25">
      <c r="A15" s="2" t="s">
        <v>300</v>
      </c>
      <c r="B15" s="3">
        <v>24</v>
      </c>
      <c r="C15" s="2" t="s">
        <v>99</v>
      </c>
      <c r="D15" s="2" t="s">
        <v>81</v>
      </c>
      <c r="E15" s="2" t="s">
        <v>87</v>
      </c>
      <c r="F15" s="4" t="s">
        <v>88</v>
      </c>
      <c r="G15" s="4" t="s">
        <v>89</v>
      </c>
      <c r="H15" s="5"/>
      <c r="I15" s="5"/>
      <c r="J15" s="5"/>
      <c r="K15" s="4" t="s">
        <v>62</v>
      </c>
      <c r="L15" s="4" t="s">
        <v>63</v>
      </c>
      <c r="M15" s="6" t="str">
        <f>IF(OR(B15="",I15=""),"",B15*I15)</f>
        <v/>
      </c>
      <c r="N15" s="8" t="s">
        <v>64</v>
      </c>
      <c r="O15" s="9"/>
      <c r="P15" s="9"/>
      <c r="Q15" s="22"/>
      <c r="R15" s="22"/>
      <c r="S15" s="23" t="str">
        <f>IF(AND(ISNUMBER(Q15),Q15&gt;0,ISNUMBER(R15),R15&gt;0),R15/Q15,"")</f>
        <v/>
      </c>
      <c r="T15" s="9"/>
      <c r="U15" s="9"/>
      <c r="V15" s="9"/>
      <c r="W15" s="9"/>
      <c r="X15" s="23" t="str">
        <f>IF(ISNUMBER(S15),S15,IF(ISNUMBER(I15),I15,""))</f>
        <v/>
      </c>
      <c r="Y15" t="str">
        <f>IF(ISNUMBER(S15),"2025 EIA-923 plant/group proxy",IF(ISNUMBER(I15),"Technology estimate","No thermal heat rate"))</f>
        <v>No thermal heat rate</v>
      </c>
      <c r="Z15" t="str">
        <f>IF(ISNUMBER(S15),"Review: NOT unit verified",IF(AE15="No match","No EIA match",IF(AF15="Unconfirmed","Unconfirmed EIA candidate","")))</f>
        <v/>
      </c>
      <c r="AE15" t="s">
        <v>65</v>
      </c>
      <c r="AF15" t="s">
        <v>66</v>
      </c>
      <c r="AG15" s="24">
        <f>IF(ISBLANK(S15),S15,I15)</f>
        <v>0</v>
      </c>
      <c r="AH15" s="34">
        <f t="shared" si="1"/>
        <v>469.40000000000003</v>
      </c>
      <c r="AI15">
        <f t="shared" si="0"/>
        <v>293.13208102906742</v>
      </c>
      <c r="AJ15" t="b" cm="1">
        <f t="array" ref="AJ15">OR(D15=$AT$2:$AT$8)</f>
        <v>0</v>
      </c>
    </row>
    <row r="16" spans="1:46" x14ac:dyDescent="0.25">
      <c r="A16" s="2" t="s">
        <v>312</v>
      </c>
      <c r="B16" s="3">
        <v>94</v>
      </c>
      <c r="C16" s="2" t="s">
        <v>97</v>
      </c>
      <c r="D16" s="2" t="s">
        <v>97</v>
      </c>
      <c r="E16" s="2" t="s">
        <v>87</v>
      </c>
      <c r="F16" s="4" t="s">
        <v>88</v>
      </c>
      <c r="G16" s="4" t="s">
        <v>89</v>
      </c>
      <c r="H16" s="5"/>
      <c r="I16" s="5"/>
      <c r="J16" s="5"/>
      <c r="K16" s="4" t="s">
        <v>62</v>
      </c>
      <c r="L16" s="4" t="s">
        <v>63</v>
      </c>
      <c r="M16" s="6" t="str">
        <f>IF(OR(B16="",I16=""),"",B16*I16)</f>
        <v/>
      </c>
      <c r="N16" s="8" t="s">
        <v>64</v>
      </c>
      <c r="O16" s="9"/>
      <c r="P16" s="9"/>
      <c r="Q16" s="22"/>
      <c r="R16" s="22"/>
      <c r="S16" s="23" t="str">
        <f>IF(AND(ISNUMBER(Q16),Q16&gt;0,ISNUMBER(R16),R16&gt;0),R16/Q16,"")</f>
        <v/>
      </c>
      <c r="T16" s="9"/>
      <c r="U16" s="9"/>
      <c r="V16" s="9"/>
      <c r="W16" s="9"/>
      <c r="X16" s="23" t="str">
        <f>IF(ISNUMBER(S16),S16,IF(ISNUMBER(I16),I16,""))</f>
        <v/>
      </c>
      <c r="Y16" t="str">
        <f>IF(ISNUMBER(S16),"2025 EIA-923 plant/group proxy",IF(ISNUMBER(I16),"Technology estimate","No thermal heat rate"))</f>
        <v>No thermal heat rate</v>
      </c>
      <c r="Z16" t="str">
        <f>IF(ISNUMBER(S16),"Review: NOT unit verified",IF(AE16="No match","No EIA match",IF(AF16="Unconfirmed","Unconfirmed EIA candidate","")))</f>
        <v/>
      </c>
      <c r="AE16" t="s">
        <v>65</v>
      </c>
      <c r="AF16" t="s">
        <v>66</v>
      </c>
      <c r="AG16" s="24">
        <f>IF(ISBLANK(S16),S16,I16)</f>
        <v>0</v>
      </c>
      <c r="AH16" s="34">
        <f t="shared" si="1"/>
        <v>563.40000000000009</v>
      </c>
      <c r="AI16">
        <f t="shared" si="0"/>
        <v>351.83343513373796</v>
      </c>
      <c r="AJ16" t="b" cm="1">
        <f t="array" ref="AJ16">OR(D16=$AT$2:$AT$8)</f>
        <v>0</v>
      </c>
    </row>
    <row r="17" spans="1:46" x14ac:dyDescent="0.25">
      <c r="A17" s="2" t="s">
        <v>372</v>
      </c>
      <c r="B17" s="3">
        <v>13</v>
      </c>
      <c r="C17" s="2" t="s">
        <v>97</v>
      </c>
      <c r="D17" s="2" t="s">
        <v>97</v>
      </c>
      <c r="E17" s="2" t="s">
        <v>87</v>
      </c>
      <c r="F17" s="4" t="s">
        <v>88</v>
      </c>
      <c r="G17" s="4" t="s">
        <v>89</v>
      </c>
      <c r="H17" s="5"/>
      <c r="I17" s="5"/>
      <c r="J17" s="5"/>
      <c r="K17" s="4" t="s">
        <v>62</v>
      </c>
      <c r="L17" s="4" t="s">
        <v>63</v>
      </c>
      <c r="M17" s="6" t="str">
        <f>IF(OR(B17="",I17=""),"",B17*I17)</f>
        <v/>
      </c>
      <c r="N17" s="8" t="s">
        <v>64</v>
      </c>
      <c r="O17" s="9"/>
      <c r="P17" s="9"/>
      <c r="Q17" s="22"/>
      <c r="R17" s="22"/>
      <c r="S17" s="23" t="str">
        <f>IF(AND(ISNUMBER(Q17),Q17&gt;0,ISNUMBER(R17),R17&gt;0),R17/Q17,"")</f>
        <v/>
      </c>
      <c r="T17" s="9"/>
      <c r="U17" s="9"/>
      <c r="V17" s="9"/>
      <c r="W17" s="9"/>
      <c r="X17" s="23" t="str">
        <f>IF(ISNUMBER(S17),S17,IF(ISNUMBER(I17),I17,""))</f>
        <v/>
      </c>
      <c r="Y17" t="str">
        <f>IF(ISNUMBER(S17),"2025 EIA-923 plant/group proxy",IF(ISNUMBER(I17),"Technology estimate","No thermal heat rate"))</f>
        <v>No thermal heat rate</v>
      </c>
      <c r="Z17" t="str">
        <f>IF(ISNUMBER(S17),"Review: NOT unit verified",IF(AE17="No match","No EIA match",IF(AF17="Unconfirmed","Unconfirmed EIA candidate","")))</f>
        <v/>
      </c>
      <c r="AE17" t="s">
        <v>65</v>
      </c>
      <c r="AF17" t="s">
        <v>66</v>
      </c>
      <c r="AG17" s="24">
        <f>IF(ISBLANK(S17),S17,I17)</f>
        <v>0</v>
      </c>
      <c r="AH17" s="34">
        <f t="shared" si="1"/>
        <v>576.40000000000009</v>
      </c>
      <c r="AI17">
        <f t="shared" si="0"/>
        <v>359.95170750991582</v>
      </c>
      <c r="AJ17" t="b" cm="1">
        <f t="array" ref="AJ17">OR(D17=$AT$2:$AT$8)</f>
        <v>0</v>
      </c>
    </row>
    <row r="18" spans="1:46" x14ac:dyDescent="0.25">
      <c r="A18" s="2" t="s">
        <v>373</v>
      </c>
      <c r="B18" s="3">
        <v>13</v>
      </c>
      <c r="C18" s="2" t="s">
        <v>97</v>
      </c>
      <c r="D18" s="2" t="s">
        <v>97</v>
      </c>
      <c r="E18" s="2" t="s">
        <v>87</v>
      </c>
      <c r="F18" s="4" t="s">
        <v>88</v>
      </c>
      <c r="G18" s="4" t="s">
        <v>89</v>
      </c>
      <c r="H18" s="5"/>
      <c r="I18" s="5"/>
      <c r="J18" s="5"/>
      <c r="K18" s="4" t="s">
        <v>62</v>
      </c>
      <c r="L18" s="4" t="s">
        <v>63</v>
      </c>
      <c r="M18" s="6" t="str">
        <f>IF(OR(B18="",I18=""),"",B18*I18)</f>
        <v/>
      </c>
      <c r="N18" s="8" t="s">
        <v>64</v>
      </c>
      <c r="O18" s="9"/>
      <c r="P18" s="9"/>
      <c r="Q18" s="22"/>
      <c r="R18" s="22"/>
      <c r="S18" s="23" t="str">
        <f>IF(AND(ISNUMBER(Q18),Q18&gt;0,ISNUMBER(R18),R18&gt;0),R18/Q18,"")</f>
        <v/>
      </c>
      <c r="T18" s="9"/>
      <c r="U18" s="9"/>
      <c r="V18" s="9"/>
      <c r="W18" s="9"/>
      <c r="X18" s="23" t="str">
        <f>IF(ISNUMBER(S18),S18,IF(ISNUMBER(I18),I18,""))</f>
        <v/>
      </c>
      <c r="Y18" t="str">
        <f>IF(ISNUMBER(S18),"2025 EIA-923 plant/group proxy",IF(ISNUMBER(I18),"Technology estimate","No thermal heat rate"))</f>
        <v>No thermal heat rate</v>
      </c>
      <c r="Z18" t="str">
        <f>IF(ISNUMBER(S18),"Review: NOT unit verified",IF(AE18="No match","No EIA match",IF(AF18="Unconfirmed","Unconfirmed EIA candidate","")))</f>
        <v/>
      </c>
      <c r="AE18" t="s">
        <v>65</v>
      </c>
      <c r="AF18" t="s">
        <v>66</v>
      </c>
      <c r="AG18" s="24">
        <f>IF(ISBLANK(S18),S18,I18)</f>
        <v>0</v>
      </c>
      <c r="AH18" s="34">
        <f t="shared" si="1"/>
        <v>589.40000000000009</v>
      </c>
      <c r="AI18">
        <f t="shared" si="0"/>
        <v>368.06997988609368</v>
      </c>
      <c r="AJ18" t="b" cm="1">
        <f t="array" ref="AJ18">OR(D18=$AT$2:$AT$8)</f>
        <v>0</v>
      </c>
    </row>
    <row r="19" spans="1:46" x14ac:dyDescent="0.25">
      <c r="A19" s="2" t="s">
        <v>390</v>
      </c>
      <c r="B19" s="3">
        <v>5.7</v>
      </c>
      <c r="C19" s="2" t="s">
        <v>86</v>
      </c>
      <c r="D19" s="2" t="s">
        <v>76</v>
      </c>
      <c r="E19" s="2" t="s">
        <v>87</v>
      </c>
      <c r="F19" s="4" t="s">
        <v>88</v>
      </c>
      <c r="G19" s="4" t="s">
        <v>89</v>
      </c>
      <c r="H19" s="5"/>
      <c r="I19" s="5"/>
      <c r="J19" s="5"/>
      <c r="K19" s="4" t="s">
        <v>62</v>
      </c>
      <c r="L19" s="4" t="s">
        <v>63</v>
      </c>
      <c r="M19" s="6" t="str">
        <f>IF(OR(B19="",I19=""),"",B19*I19)</f>
        <v/>
      </c>
      <c r="N19" s="8" t="s">
        <v>64</v>
      </c>
      <c r="O19" s="9"/>
      <c r="P19" s="9"/>
      <c r="Q19" s="22"/>
      <c r="R19" s="22"/>
      <c r="S19" s="23" t="str">
        <f>IF(AND(ISNUMBER(Q19),Q19&gt;0,ISNUMBER(R19),R19&gt;0),R19/Q19,"")</f>
        <v/>
      </c>
      <c r="T19" s="9"/>
      <c r="U19" s="9"/>
      <c r="V19" s="9"/>
      <c r="W19" s="9"/>
      <c r="X19" s="23" t="str">
        <f>IF(ISNUMBER(S19),S19,IF(ISNUMBER(I19),I19,""))</f>
        <v/>
      </c>
      <c r="Y19" t="str">
        <f>IF(ISNUMBER(S19),"2025 EIA-923 plant/group proxy",IF(ISNUMBER(I19),"Technology estimate","No thermal heat rate"))</f>
        <v>No thermal heat rate</v>
      </c>
      <c r="Z19" t="str">
        <f>IF(ISNUMBER(S19),"Review: NOT unit verified",IF(AE19="No match","No EIA match",IF(AF19="Unconfirmed","Unconfirmed EIA candidate","")))</f>
        <v/>
      </c>
      <c r="AE19" t="s">
        <v>65</v>
      </c>
      <c r="AF19" t="s">
        <v>66</v>
      </c>
      <c r="AG19" s="24">
        <f>IF(ISBLANK(S19),S19,I19)</f>
        <v>0</v>
      </c>
      <c r="AH19" s="34">
        <f t="shared" si="1"/>
        <v>595.10000000000014</v>
      </c>
      <c r="AI19">
        <f t="shared" si="0"/>
        <v>371.62953008180244</v>
      </c>
      <c r="AJ19" t="b" cm="1">
        <f t="array" ref="AJ19">OR(D19=$AT$2:$AT$8)</f>
        <v>0</v>
      </c>
    </row>
    <row r="20" spans="1:46" x14ac:dyDescent="0.25">
      <c r="A20" s="2" t="s">
        <v>392</v>
      </c>
      <c r="B20" s="3">
        <v>45</v>
      </c>
      <c r="C20" s="2" t="s">
        <v>97</v>
      </c>
      <c r="D20" s="2" t="s">
        <v>97</v>
      </c>
      <c r="E20" s="2" t="s">
        <v>87</v>
      </c>
      <c r="F20" s="4" t="s">
        <v>88</v>
      </c>
      <c r="G20" s="4" t="s">
        <v>89</v>
      </c>
      <c r="H20" s="5"/>
      <c r="I20" s="5"/>
      <c r="J20" s="5"/>
      <c r="K20" s="4" t="s">
        <v>62</v>
      </c>
      <c r="L20" s="4" t="s">
        <v>63</v>
      </c>
      <c r="M20" s="6" t="str">
        <f>IF(OR(B20="",I20=""),"",B20*I20)</f>
        <v/>
      </c>
      <c r="N20" s="8" t="s">
        <v>64</v>
      </c>
      <c r="O20" s="9"/>
      <c r="P20" s="9"/>
      <c r="Q20" s="22"/>
      <c r="R20" s="22"/>
      <c r="S20" s="23" t="str">
        <f>IF(AND(ISNUMBER(Q20),Q20&gt;0,ISNUMBER(R20),R20&gt;0),R20/Q20,"")</f>
        <v/>
      </c>
      <c r="T20" s="9"/>
      <c r="U20" s="9"/>
      <c r="V20" s="9"/>
      <c r="W20" s="9"/>
      <c r="X20" s="23" t="str">
        <f>IF(ISNUMBER(S20),S20,IF(ISNUMBER(I20),I20,""))</f>
        <v/>
      </c>
      <c r="Y20" t="str">
        <f>IF(ISNUMBER(S20),"2025 EIA-923 plant/group proxy",IF(ISNUMBER(I20),"Technology estimate","No thermal heat rate"))</f>
        <v>No thermal heat rate</v>
      </c>
      <c r="Z20" t="str">
        <f>IF(ISNUMBER(S20),"Review: NOT unit verified",IF(AE20="No match","No EIA match",IF(AF20="Unconfirmed","Unconfirmed EIA candidate","")))</f>
        <v/>
      </c>
      <c r="AE20" t="s">
        <v>65</v>
      </c>
      <c r="AF20" t="s">
        <v>66</v>
      </c>
      <c r="AG20" s="24">
        <f>IF(ISBLANK(S20),S20,I20)</f>
        <v>0</v>
      </c>
      <c r="AH20" s="34">
        <f t="shared" si="1"/>
        <v>640.10000000000014</v>
      </c>
      <c r="AI20">
        <f t="shared" si="0"/>
        <v>399.73124215318728</v>
      </c>
      <c r="AJ20" t="b" cm="1">
        <f t="array" ref="AJ20">OR(D20=$AT$2:$AT$8)</f>
        <v>0</v>
      </c>
    </row>
    <row r="21" spans="1:46" x14ac:dyDescent="0.25">
      <c r="A21" s="2" t="s">
        <v>395</v>
      </c>
      <c r="B21" s="3">
        <v>17.3</v>
      </c>
      <c r="C21" s="2" t="s">
        <v>86</v>
      </c>
      <c r="D21" s="2" t="s">
        <v>76</v>
      </c>
      <c r="E21" s="2" t="s">
        <v>87</v>
      </c>
      <c r="F21" s="4" t="s">
        <v>88</v>
      </c>
      <c r="G21" s="4" t="s">
        <v>89</v>
      </c>
      <c r="H21" s="5"/>
      <c r="I21" s="5"/>
      <c r="J21" s="5"/>
      <c r="K21" s="4" t="s">
        <v>62</v>
      </c>
      <c r="L21" s="4" t="s">
        <v>63</v>
      </c>
      <c r="M21" s="6" t="str">
        <f>IF(OR(B21="",I21=""),"",B21*I21)</f>
        <v/>
      </c>
      <c r="N21" s="8" t="s">
        <v>64</v>
      </c>
      <c r="O21" s="9"/>
      <c r="P21" s="9"/>
      <c r="Q21" s="22"/>
      <c r="R21" s="22"/>
      <c r="S21" s="23" t="str">
        <f>IF(AND(ISNUMBER(Q21),Q21&gt;0,ISNUMBER(R21),R21&gt;0),R21/Q21,"")</f>
        <v/>
      </c>
      <c r="T21" s="9"/>
      <c r="U21" s="9"/>
      <c r="V21" s="9"/>
      <c r="W21" s="9"/>
      <c r="X21" s="23" t="str">
        <f>IF(ISNUMBER(S21),S21,IF(ISNUMBER(I21),I21,""))</f>
        <v/>
      </c>
      <c r="Y21" t="str">
        <f>IF(ISNUMBER(S21),"2025 EIA-923 plant/group proxy",IF(ISNUMBER(I21),"Technology estimate","No thermal heat rate"))</f>
        <v>No thermal heat rate</v>
      </c>
      <c r="Z21" t="str">
        <f>IF(ISNUMBER(S21),"Review: NOT unit verified",IF(AE21="No match","No EIA match",IF(AF21="Unconfirmed","Unconfirmed EIA candidate","")))</f>
        <v/>
      </c>
      <c r="AE21" t="s">
        <v>65</v>
      </c>
      <c r="AF21" t="s">
        <v>66</v>
      </c>
      <c r="AG21" s="24">
        <f>IF(ISBLANK(S21),S21,I21)</f>
        <v>0</v>
      </c>
      <c r="AH21" s="34">
        <f t="shared" si="1"/>
        <v>657.40000000000009</v>
      </c>
      <c r="AI21">
        <f t="shared" si="0"/>
        <v>410.53478923840851</v>
      </c>
      <c r="AJ21" t="b" cm="1">
        <f t="array" ref="AJ21">OR(D21=$AT$2:$AT$8)</f>
        <v>0</v>
      </c>
    </row>
    <row r="22" spans="1:46" x14ac:dyDescent="0.25">
      <c r="A22" s="2" t="s">
        <v>440</v>
      </c>
      <c r="B22" s="3">
        <v>12.9</v>
      </c>
      <c r="C22" s="2" t="s">
        <v>86</v>
      </c>
      <c r="D22" s="2" t="s">
        <v>76</v>
      </c>
      <c r="E22" s="2" t="s">
        <v>87</v>
      </c>
      <c r="F22" s="4" t="s">
        <v>88</v>
      </c>
      <c r="G22" s="4" t="s">
        <v>89</v>
      </c>
      <c r="H22" s="5"/>
      <c r="I22" s="5"/>
      <c r="J22" s="5"/>
      <c r="K22" s="4" t="s">
        <v>62</v>
      </c>
      <c r="L22" s="4" t="s">
        <v>63</v>
      </c>
      <c r="M22" s="6" t="str">
        <f>IF(OR(B22="",I22=""),"",B22*I22)</f>
        <v/>
      </c>
      <c r="N22" s="8" t="s">
        <v>64</v>
      </c>
      <c r="O22" s="9"/>
      <c r="P22" s="9"/>
      <c r="Q22" s="22"/>
      <c r="R22" s="22"/>
      <c r="S22" s="23" t="str">
        <f>IF(AND(ISNUMBER(Q22),Q22&gt;0,ISNUMBER(R22),R22&gt;0),R22/Q22,"")</f>
        <v/>
      </c>
      <c r="T22" s="9"/>
      <c r="U22" s="9"/>
      <c r="V22" s="9"/>
      <c r="W22" s="9"/>
      <c r="X22" s="23" t="str">
        <f>IF(ISNUMBER(S22),S22,IF(ISNUMBER(I22),I22,""))</f>
        <v/>
      </c>
      <c r="Y22" t="str">
        <f>IF(ISNUMBER(S22),"2025 EIA-923 plant/group proxy",IF(ISNUMBER(I22),"Technology estimate","No thermal heat rate"))</f>
        <v>No thermal heat rate</v>
      </c>
      <c r="Z22" t="str">
        <f>IF(ISNUMBER(S22),"Review: NOT unit verified",IF(AE22="No match","No EIA match",IF(AF22="Unconfirmed","Unconfirmed EIA candidate","")))</f>
        <v/>
      </c>
      <c r="AE22" t="s">
        <v>65</v>
      </c>
      <c r="AF22" t="s">
        <v>66</v>
      </c>
      <c r="AG22" s="24">
        <f>IF(ISBLANK(S22),S22,I22)</f>
        <v>0</v>
      </c>
      <c r="AH22" s="34">
        <f t="shared" si="1"/>
        <v>670.30000000000007</v>
      </c>
      <c r="AI22">
        <f t="shared" si="0"/>
        <v>418.59061336553879</v>
      </c>
      <c r="AJ22" t="b" cm="1">
        <f t="array" ref="AJ22">OR(D22=$AT$2:$AT$8)</f>
        <v>0</v>
      </c>
    </row>
    <row r="23" spans="1:46" x14ac:dyDescent="0.25">
      <c r="A23" s="2" t="s">
        <v>525</v>
      </c>
      <c r="B23" s="3">
        <v>9.6999999999999993</v>
      </c>
      <c r="C23" s="2" t="s">
        <v>97</v>
      </c>
      <c r="D23" s="2" t="s">
        <v>97</v>
      </c>
      <c r="E23" s="2" t="s">
        <v>87</v>
      </c>
      <c r="F23" s="4" t="s">
        <v>88</v>
      </c>
      <c r="G23" s="4" t="s">
        <v>89</v>
      </c>
      <c r="H23" s="5"/>
      <c r="I23" s="5"/>
      <c r="J23" s="5"/>
      <c r="K23" s="4" t="s">
        <v>62</v>
      </c>
      <c r="L23" s="4" t="s">
        <v>63</v>
      </c>
      <c r="M23" s="6" t="str">
        <f>IF(OR(B23="",I23=""),"",B23*I23)</f>
        <v/>
      </c>
      <c r="N23" s="8" t="s">
        <v>64</v>
      </c>
      <c r="O23" s="9"/>
      <c r="P23" s="9"/>
      <c r="Q23" s="22"/>
      <c r="R23" s="22"/>
      <c r="S23" s="23" t="str">
        <f>IF(AND(ISNUMBER(Q23),Q23&gt;0,ISNUMBER(R23),R23&gt;0),R23/Q23,"")</f>
        <v/>
      </c>
      <c r="T23" s="9"/>
      <c r="U23" s="9"/>
      <c r="V23" s="9"/>
      <c r="W23" s="9"/>
      <c r="X23" s="23" t="str">
        <f>IF(ISNUMBER(S23),S23,IF(ISNUMBER(I23),I23,""))</f>
        <v/>
      </c>
      <c r="Y23" t="str">
        <f>IF(ISNUMBER(S23),"2025 EIA-923 plant/group proxy",IF(ISNUMBER(I23),"Technology estimate","No thermal heat rate"))</f>
        <v>No thermal heat rate</v>
      </c>
      <c r="Z23" t="str">
        <f>IF(ISNUMBER(S23),"Review: NOT unit verified",IF(AE23="No match","No EIA match",IF(AF23="Unconfirmed","Unconfirmed EIA candidate","")))</f>
        <v/>
      </c>
      <c r="AE23" t="s">
        <v>65</v>
      </c>
      <c r="AF23" t="s">
        <v>66</v>
      </c>
      <c r="AG23" s="24">
        <f>IF(ISBLANK(S23),S23,I23)</f>
        <v>0</v>
      </c>
      <c r="AH23" s="34">
        <f t="shared" si="1"/>
        <v>680.00000000000011</v>
      </c>
      <c r="AI23">
        <f t="shared" si="0"/>
        <v>424.64809352314842</v>
      </c>
      <c r="AJ23" t="b" cm="1">
        <f t="array" ref="AJ23">OR(D23=$AT$2:$AT$8)</f>
        <v>0</v>
      </c>
    </row>
    <row r="24" spans="1:46" x14ac:dyDescent="0.25">
      <c r="A24" s="2" t="s">
        <v>539</v>
      </c>
      <c r="B24" s="3">
        <v>11.1</v>
      </c>
      <c r="C24" s="2" t="s">
        <v>80</v>
      </c>
      <c r="D24" s="2" t="s">
        <v>81</v>
      </c>
      <c r="E24" s="2" t="s">
        <v>87</v>
      </c>
      <c r="F24" s="4" t="s">
        <v>88</v>
      </c>
      <c r="G24" s="4" t="s">
        <v>89</v>
      </c>
      <c r="H24" s="5"/>
      <c r="I24" s="5"/>
      <c r="J24" s="5"/>
      <c r="K24" s="4" t="s">
        <v>62</v>
      </c>
      <c r="L24" s="4" t="s">
        <v>63</v>
      </c>
      <c r="M24" s="6" t="str">
        <f>IF(OR(B24="",I24=""),"",B24*I24)</f>
        <v/>
      </c>
      <c r="N24" s="8" t="s">
        <v>64</v>
      </c>
      <c r="O24" s="9"/>
      <c r="P24" s="9"/>
      <c r="Q24" s="22"/>
      <c r="R24" s="22"/>
      <c r="S24" s="23" t="str">
        <f>IF(AND(ISNUMBER(Q24),Q24&gt;0,ISNUMBER(R24),R24&gt;0),R24/Q24,"")</f>
        <v/>
      </c>
      <c r="T24" s="9"/>
      <c r="U24" s="9"/>
      <c r="V24" s="9"/>
      <c r="W24" s="9"/>
      <c r="X24" s="23" t="str">
        <f>IF(ISNUMBER(S24),S24,IF(ISNUMBER(I24),I24,""))</f>
        <v/>
      </c>
      <c r="Y24" t="str">
        <f>IF(ISNUMBER(S24),"2025 EIA-923 plant/group proxy",IF(ISNUMBER(I24),"Technology estimate","No thermal heat rate"))</f>
        <v>No thermal heat rate</v>
      </c>
      <c r="Z24" t="str">
        <f>IF(ISNUMBER(S24),"Review: NOT unit verified",IF(AE24="No match","No EIA match",IF(AF24="Unconfirmed","Unconfirmed EIA candidate","")))</f>
        <v/>
      </c>
      <c r="AE24" t="s">
        <v>65</v>
      </c>
      <c r="AF24" t="s">
        <v>66</v>
      </c>
      <c r="AG24" s="24">
        <f>IF(ISBLANK(S24),S24,I24)</f>
        <v>0</v>
      </c>
      <c r="AH24" s="34">
        <f t="shared" si="1"/>
        <v>691.10000000000014</v>
      </c>
      <c r="AI24">
        <f t="shared" si="0"/>
        <v>431.57984916742339</v>
      </c>
      <c r="AJ24" t="b" cm="1">
        <f t="array" ref="AJ24">OR(D24=$AT$2:$AT$8)</f>
        <v>0</v>
      </c>
    </row>
    <row r="25" spans="1:46" ht="15.75" thickBot="1" x14ac:dyDescent="0.3">
      <c r="A25" s="2" t="s">
        <v>557</v>
      </c>
      <c r="B25" s="3">
        <v>25.8</v>
      </c>
      <c r="C25" s="2" t="s">
        <v>80</v>
      </c>
      <c r="D25" s="2" t="s">
        <v>81</v>
      </c>
      <c r="E25" s="2" t="s">
        <v>87</v>
      </c>
      <c r="F25" s="4" t="s">
        <v>88</v>
      </c>
      <c r="G25" s="4" t="s">
        <v>89</v>
      </c>
      <c r="H25" s="5"/>
      <c r="I25" s="5"/>
      <c r="J25" s="5"/>
      <c r="K25" s="4" t="s">
        <v>62</v>
      </c>
      <c r="L25" s="4" t="s">
        <v>63</v>
      </c>
      <c r="M25" s="6" t="str">
        <f>IF(OR(B25="",I25=""),"",B25*I25)</f>
        <v/>
      </c>
      <c r="N25" s="8" t="s">
        <v>64</v>
      </c>
      <c r="O25" s="9"/>
      <c r="P25" s="9"/>
      <c r="Q25" s="22"/>
      <c r="R25" s="22"/>
      <c r="S25" s="23" t="str">
        <f>IF(AND(ISNUMBER(Q25),Q25&gt;0,ISNUMBER(R25),R25&gt;0),R25/Q25,"")</f>
        <v/>
      </c>
      <c r="T25" s="9"/>
      <c r="U25" s="9"/>
      <c r="V25" s="9"/>
      <c r="W25" s="9"/>
      <c r="X25" s="23" t="str">
        <f>IF(ISNUMBER(S25),S25,IF(ISNUMBER(I25),I25,""))</f>
        <v/>
      </c>
      <c r="Y25" t="str">
        <f>IF(ISNUMBER(S25),"2025 EIA-923 plant/group proxy",IF(ISNUMBER(I25),"Technology estimate","No thermal heat rate"))</f>
        <v>No thermal heat rate</v>
      </c>
      <c r="Z25" t="str">
        <f>IF(ISNUMBER(S25),"Review: NOT unit verified",IF(AE25="No match","No EIA match",IF(AF25="Unconfirmed","Unconfirmed EIA candidate","")))</f>
        <v/>
      </c>
      <c r="AE25" t="s">
        <v>65</v>
      </c>
      <c r="AF25" t="s">
        <v>66</v>
      </c>
      <c r="AG25" s="24">
        <f>IF(ISBLANK(S25),S25,I25)</f>
        <v>0</v>
      </c>
      <c r="AH25" s="34">
        <f t="shared" si="1"/>
        <v>716.90000000000009</v>
      </c>
      <c r="AI25">
        <f t="shared" si="0"/>
        <v>447.69149742168401</v>
      </c>
      <c r="AJ25" t="b" cm="1">
        <f t="array" ref="AJ25">OR(D25=$AT$2:$AT$8)</f>
        <v>0</v>
      </c>
    </row>
    <row r="26" spans="1:46" ht="30.75" thickBot="1" x14ac:dyDescent="0.3">
      <c r="A26" s="2" t="s">
        <v>602</v>
      </c>
      <c r="B26" s="3">
        <v>27</v>
      </c>
      <c r="C26" s="2" t="s">
        <v>78</v>
      </c>
      <c r="D26" s="2" t="s">
        <v>78</v>
      </c>
      <c r="E26" s="2" t="s">
        <v>87</v>
      </c>
      <c r="F26" s="4" t="s">
        <v>88</v>
      </c>
      <c r="G26" s="4" t="s">
        <v>89</v>
      </c>
      <c r="H26" s="5"/>
      <c r="I26" s="5"/>
      <c r="J26" s="5"/>
      <c r="K26" s="4" t="s">
        <v>62</v>
      </c>
      <c r="L26" s="4" t="s">
        <v>63</v>
      </c>
      <c r="M26" s="6" t="str">
        <f>IF(OR(B26="",I26=""),"",B26*I26)</f>
        <v/>
      </c>
      <c r="N26" s="8" t="s">
        <v>64</v>
      </c>
      <c r="O26" s="9"/>
      <c r="P26" s="9"/>
      <c r="Q26" s="22"/>
      <c r="R26" s="22"/>
      <c r="S26" s="23" t="str">
        <f>IF(AND(ISNUMBER(Q26),Q26&gt;0,ISNUMBER(R26),R26&gt;0),R26/Q26,"")</f>
        <v/>
      </c>
      <c r="T26" s="9"/>
      <c r="U26" s="9"/>
      <c r="V26" s="9"/>
      <c r="W26" s="9"/>
      <c r="X26" s="23" t="str">
        <f>IF(ISNUMBER(S26),S26,IF(ISNUMBER(I26),I26,""))</f>
        <v/>
      </c>
      <c r="Y26" t="str">
        <f>IF(ISNUMBER(S26),"2025 EIA-923 plant/group proxy",IF(ISNUMBER(I26),"Technology estimate","No thermal heat rate"))</f>
        <v>No thermal heat rate</v>
      </c>
      <c r="Z26" t="str">
        <f>IF(ISNUMBER(S26),"Review: NOT unit verified",IF(AE26="No match","No EIA match",IF(AF26="Unconfirmed","Unconfirmed EIA candidate","")))</f>
        <v/>
      </c>
      <c r="AE26" t="s">
        <v>65</v>
      </c>
      <c r="AF26" t="s">
        <v>66</v>
      </c>
      <c r="AG26" s="24">
        <f>IF(ISBLANK(S26),S26,I26)</f>
        <v>0</v>
      </c>
      <c r="AH26" s="34">
        <f t="shared" si="1"/>
        <v>743.90000000000009</v>
      </c>
      <c r="AI26">
        <f t="shared" si="0"/>
        <v>464.55252466451486</v>
      </c>
      <c r="AJ26" t="b" cm="1">
        <f t="array" ref="AJ26">OR(D26=$AT$2:$AT$8)</f>
        <v>1</v>
      </c>
      <c r="AL26" s="35">
        <v>23</v>
      </c>
      <c r="AM26" s="37">
        <v>91962</v>
      </c>
      <c r="AN26" s="38" t="s">
        <v>5455</v>
      </c>
      <c r="AO26" s="36">
        <f>_xlfn.XLOOKUP(AM26,AI:AI,AG:AG,,-1)</f>
        <v>10.768599999999999</v>
      </c>
    </row>
    <row r="27" spans="1:46" x14ac:dyDescent="0.25">
      <c r="A27" s="2" t="s">
        <v>638</v>
      </c>
      <c r="B27" s="3">
        <v>8.3000000000000007</v>
      </c>
      <c r="C27" s="2" t="s">
        <v>136</v>
      </c>
      <c r="D27" s="2" t="s">
        <v>136</v>
      </c>
      <c r="E27" s="2" t="s">
        <v>87</v>
      </c>
      <c r="F27" s="4" t="s">
        <v>88</v>
      </c>
      <c r="G27" s="4" t="s">
        <v>89</v>
      </c>
      <c r="H27" s="5"/>
      <c r="I27" s="5"/>
      <c r="J27" s="5"/>
      <c r="K27" s="4" t="s">
        <v>62</v>
      </c>
      <c r="L27" s="4" t="s">
        <v>63</v>
      </c>
      <c r="M27" s="6" t="str">
        <f>IF(OR(B27="",I27=""),"",B27*I27)</f>
        <v/>
      </c>
      <c r="N27" s="8" t="s">
        <v>64</v>
      </c>
      <c r="O27" s="9"/>
      <c r="P27" s="9"/>
      <c r="Q27" s="22"/>
      <c r="R27" s="22"/>
      <c r="S27" s="23" t="str">
        <f>IF(AND(ISNUMBER(Q27),Q27&gt;0,ISNUMBER(R27),R27&gt;0),R27/Q27,"")</f>
        <v/>
      </c>
      <c r="T27" s="9"/>
      <c r="U27" s="9"/>
      <c r="V27" s="9"/>
      <c r="W27" s="9"/>
      <c r="X27" s="23" t="str">
        <f>IF(ISNUMBER(S27),S27,IF(ISNUMBER(I27),I27,""))</f>
        <v/>
      </c>
      <c r="Y27" t="str">
        <f>IF(ISNUMBER(S27),"2025 EIA-923 plant/group proxy",IF(ISNUMBER(I27),"Technology estimate","No thermal heat rate"))</f>
        <v>No thermal heat rate</v>
      </c>
      <c r="Z27" t="str">
        <f>IF(ISNUMBER(S27),"Review: NOT unit verified",IF(AE27="No match","No EIA match",IF(AF27="Unconfirmed","Unconfirmed EIA candidate","")))</f>
        <v/>
      </c>
      <c r="AE27" t="s">
        <v>65</v>
      </c>
      <c r="AF27" t="s">
        <v>66</v>
      </c>
      <c r="AG27" s="24">
        <f>IF(ISBLANK(S27),S27,I27)</f>
        <v>0</v>
      </c>
      <c r="AH27" s="34">
        <f t="shared" si="1"/>
        <v>752.2</v>
      </c>
      <c r="AI27">
        <f t="shared" si="0"/>
        <v>469.73572933545915</v>
      </c>
      <c r="AJ27" t="b" cm="1">
        <f t="array" ref="AJ27">OR(D27=$AT$2:$AT$8)</f>
        <v>0</v>
      </c>
      <c r="AL27" s="35">
        <v>0</v>
      </c>
      <c r="AM27" s="35">
        <v>91962</v>
      </c>
      <c r="AP27" s="43" t="s">
        <v>5483</v>
      </c>
      <c r="AQ27" s="44" t="s">
        <v>5484</v>
      </c>
      <c r="AR27" s="45" t="s">
        <v>5485</v>
      </c>
    </row>
    <row r="28" spans="1:46" x14ac:dyDescent="0.25">
      <c r="A28" s="2" t="s">
        <v>663</v>
      </c>
      <c r="B28" s="3">
        <v>19.399999999999999</v>
      </c>
      <c r="C28" s="2" t="s">
        <v>97</v>
      </c>
      <c r="D28" s="2" t="s">
        <v>97</v>
      </c>
      <c r="E28" s="2" t="s">
        <v>87</v>
      </c>
      <c r="F28" s="4" t="s">
        <v>88</v>
      </c>
      <c r="G28" s="4" t="s">
        <v>89</v>
      </c>
      <c r="H28" s="5"/>
      <c r="I28" s="5"/>
      <c r="J28" s="5"/>
      <c r="K28" s="4" t="s">
        <v>62</v>
      </c>
      <c r="L28" s="4" t="s">
        <v>63</v>
      </c>
      <c r="M28" s="6" t="str">
        <f>IF(OR(B28="",I28=""),"",B28*I28)</f>
        <v/>
      </c>
      <c r="N28" s="8" t="s">
        <v>64</v>
      </c>
      <c r="O28" s="9"/>
      <c r="P28" s="9"/>
      <c r="Q28" s="22"/>
      <c r="R28" s="22"/>
      <c r="S28" s="23" t="str">
        <f>IF(AND(ISNUMBER(Q28),Q28&gt;0,ISNUMBER(R28),R28&gt;0),R28/Q28,"")</f>
        <v/>
      </c>
      <c r="T28" s="9"/>
      <c r="U28" s="9"/>
      <c r="V28" s="9"/>
      <c r="W28" s="9"/>
      <c r="X28" s="23" t="str">
        <f>IF(ISNUMBER(S28),S28,IF(ISNUMBER(I28),I28,""))</f>
        <v/>
      </c>
      <c r="Y28" t="str">
        <f>IF(ISNUMBER(S28),"2025 EIA-923 plant/group proxy",IF(ISNUMBER(I28),"Technology estimate","No thermal heat rate"))</f>
        <v>No thermal heat rate</v>
      </c>
      <c r="Z28" t="str">
        <f>IF(ISNUMBER(S28),"Review: NOT unit verified",IF(AE28="No match","No EIA match",IF(AF28="Unconfirmed","Unconfirmed EIA candidate","")))</f>
        <v/>
      </c>
      <c r="AE28" t="s">
        <v>65</v>
      </c>
      <c r="AF28" t="s">
        <v>66</v>
      </c>
      <c r="AG28" s="24">
        <f>IF(ISBLANK(S28),S28,I28)</f>
        <v>0</v>
      </c>
      <c r="AH28" s="34">
        <f t="shared" si="1"/>
        <v>771.6</v>
      </c>
      <c r="AI28">
        <f t="shared" si="0"/>
        <v>481.85068965067836</v>
      </c>
      <c r="AJ28" t="b" cm="1">
        <f t="array" ref="AJ28">OR(D28=$AT$2:$AT$8)</f>
        <v>0</v>
      </c>
      <c r="AK28" s="42">
        <v>46317</v>
      </c>
      <c r="AL28" s="40" t="s">
        <v>5456</v>
      </c>
      <c r="AM28" s="39">
        <v>77671</v>
      </c>
      <c r="AN28">
        <f>_xlfn.XLOOKUP(AM28,$AI:$AI,$AG:$AG,,-1)</f>
        <v>10.162699999999999</v>
      </c>
      <c r="AP28" s="46">
        <f>$AT$28</f>
        <v>10.562799999999999</v>
      </c>
      <c r="AQ28">
        <f>$AT$29</f>
        <v>10.5</v>
      </c>
      <c r="AR28" s="47">
        <f>$AT$30</f>
        <v>7.4</v>
      </c>
      <c r="AS28" t="s">
        <v>5480</v>
      </c>
      <c r="AT28">
        <f>_xlfn.XLOOKUP(AS28,$A:$A,$AG:$AG,,-1)</f>
        <v>10.562799999999999</v>
      </c>
    </row>
    <row r="29" spans="1:46" x14ac:dyDescent="0.25">
      <c r="A29" s="2" t="s">
        <v>723</v>
      </c>
      <c r="B29" s="3">
        <v>14.1</v>
      </c>
      <c r="C29" s="2" t="s">
        <v>80</v>
      </c>
      <c r="D29" s="2" t="s">
        <v>81</v>
      </c>
      <c r="E29" s="2" t="s">
        <v>87</v>
      </c>
      <c r="F29" s="4" t="s">
        <v>88</v>
      </c>
      <c r="G29" s="4" t="s">
        <v>89</v>
      </c>
      <c r="H29" s="5"/>
      <c r="I29" s="5"/>
      <c r="J29" s="5"/>
      <c r="K29" s="4" t="s">
        <v>62</v>
      </c>
      <c r="L29" s="4" t="s">
        <v>63</v>
      </c>
      <c r="M29" s="6" t="str">
        <f>IF(OR(B29="",I29=""),"",B29*I29)</f>
        <v/>
      </c>
      <c r="N29" s="8" t="s">
        <v>64</v>
      </c>
      <c r="O29" s="9"/>
      <c r="P29" s="9"/>
      <c r="Q29" s="22"/>
      <c r="R29" s="22"/>
      <c r="S29" s="23" t="str">
        <f>IF(AND(ISNUMBER(Q29),Q29&gt;0,ISNUMBER(R29),R29&gt;0),R29/Q29,"")</f>
        <v/>
      </c>
      <c r="T29" s="9"/>
      <c r="U29" s="9"/>
      <c r="V29" s="9"/>
      <c r="W29" s="9"/>
      <c r="X29" s="23" t="str">
        <f>IF(ISNUMBER(S29),S29,IF(ISNUMBER(I29),I29,""))</f>
        <v/>
      </c>
      <c r="Y29" t="str">
        <f>IF(ISNUMBER(S29),"2025 EIA-923 plant/group proxy",IF(ISNUMBER(I29),"Technology estimate","No thermal heat rate"))</f>
        <v>No thermal heat rate</v>
      </c>
      <c r="Z29" t="str">
        <f>IF(ISNUMBER(S29),"Review: NOT unit verified",IF(AE29="No match","No EIA match",IF(AF29="Unconfirmed","Unconfirmed EIA candidate","")))</f>
        <v/>
      </c>
      <c r="AE29" t="s">
        <v>65</v>
      </c>
      <c r="AF29" t="s">
        <v>66</v>
      </c>
      <c r="AG29" s="24">
        <f>IF(ISBLANK(S29),S29,I29)</f>
        <v>0</v>
      </c>
      <c r="AH29" s="34">
        <f t="shared" si="1"/>
        <v>785.7</v>
      </c>
      <c r="AI29">
        <f t="shared" si="0"/>
        <v>490.65589276637894</v>
      </c>
      <c r="AJ29" t="b" cm="1">
        <f t="array" ref="AJ29">OR(D29=$AT$2:$AT$8)</f>
        <v>0</v>
      </c>
      <c r="AL29" s="40" t="s">
        <v>5457</v>
      </c>
      <c r="AM29" s="39">
        <v>75828</v>
      </c>
      <c r="AN29">
        <f t="shared" ref="AN29:AN51" si="2">_xlfn.XLOOKUP(AM29,$AI:$AI,$AG:$AG,,-1)</f>
        <v>9.9859000000000009</v>
      </c>
      <c r="AP29" s="46">
        <f t="shared" ref="AP29:AP51" si="3">$AT$28</f>
        <v>10.562799999999999</v>
      </c>
      <c r="AQ29">
        <f t="shared" ref="AQ29:AQ51" si="4">$AT$29</f>
        <v>10.5</v>
      </c>
      <c r="AR29" s="47">
        <f t="shared" ref="AR29:AR51" si="5">$AT$30</f>
        <v>7.4</v>
      </c>
      <c r="AS29" t="s">
        <v>5482</v>
      </c>
      <c r="AT29">
        <f t="shared" ref="AT29:AT30" si="6">_xlfn.XLOOKUP(AS29,$A:$A,$AG:$AG,,-1)</f>
        <v>10.5</v>
      </c>
    </row>
    <row r="30" spans="1:46" x14ac:dyDescent="0.25">
      <c r="A30" s="2" t="s">
        <v>754</v>
      </c>
      <c r="B30" s="3">
        <v>10</v>
      </c>
      <c r="C30" s="2" t="s">
        <v>86</v>
      </c>
      <c r="D30" s="2" t="s">
        <v>76</v>
      </c>
      <c r="E30" s="2" t="s">
        <v>87</v>
      </c>
      <c r="F30" s="4" t="s">
        <v>88</v>
      </c>
      <c r="G30" s="4" t="s">
        <v>89</v>
      </c>
      <c r="H30" s="5"/>
      <c r="I30" s="5"/>
      <c r="J30" s="5"/>
      <c r="K30" s="4" t="s">
        <v>62</v>
      </c>
      <c r="L30" s="4" t="s">
        <v>63</v>
      </c>
      <c r="M30" s="6" t="str">
        <f>IF(OR(B30="",I30=""),"",B30*I30)</f>
        <v/>
      </c>
      <c r="N30" s="8" t="s">
        <v>64</v>
      </c>
      <c r="O30" s="9"/>
      <c r="P30" s="9"/>
      <c r="Q30" s="22"/>
      <c r="R30" s="22"/>
      <c r="S30" s="23" t="str">
        <f>IF(AND(ISNUMBER(Q30),Q30&gt;0,ISNUMBER(R30),R30&gt;0),R30/Q30,"")</f>
        <v/>
      </c>
      <c r="T30" s="9"/>
      <c r="U30" s="9"/>
      <c r="V30" s="9"/>
      <c r="W30" s="9"/>
      <c r="X30" s="23" t="str">
        <f>IF(ISNUMBER(S30),S30,IF(ISNUMBER(I30),I30,""))</f>
        <v/>
      </c>
      <c r="Y30" t="str">
        <f>IF(ISNUMBER(S30),"2025 EIA-923 plant/group proxy",IF(ISNUMBER(I30),"Technology estimate","No thermal heat rate"))</f>
        <v>No thermal heat rate</v>
      </c>
      <c r="Z30" t="str">
        <f>IF(ISNUMBER(S30),"Review: NOT unit verified",IF(AE30="No match","No EIA match",IF(AF30="Unconfirmed","Unconfirmed EIA candidate","")))</f>
        <v/>
      </c>
      <c r="AE30" t="s">
        <v>65</v>
      </c>
      <c r="AF30" t="s">
        <v>66</v>
      </c>
      <c r="AG30" s="24">
        <f>IF(ISBLANK(S30),S30,I30)</f>
        <v>0</v>
      </c>
      <c r="AH30" s="34">
        <f t="shared" si="1"/>
        <v>795.7</v>
      </c>
      <c r="AI30">
        <f t="shared" si="0"/>
        <v>496.90071767113113</v>
      </c>
      <c r="AJ30" t="b" cm="1">
        <f t="array" ref="AJ30">OR(D30=$AT$2:$AT$8)</f>
        <v>0</v>
      </c>
      <c r="AL30" s="40" t="s">
        <v>5458</v>
      </c>
      <c r="AM30" s="39">
        <v>74857</v>
      </c>
      <c r="AN30">
        <f t="shared" si="2"/>
        <v>9.9708000000000006</v>
      </c>
      <c r="AP30" s="46">
        <f t="shared" si="3"/>
        <v>10.562799999999999</v>
      </c>
      <c r="AQ30">
        <f t="shared" si="4"/>
        <v>10.5</v>
      </c>
      <c r="AR30" s="47">
        <f t="shared" si="5"/>
        <v>7.4</v>
      </c>
      <c r="AS30" t="s">
        <v>5481</v>
      </c>
      <c r="AT30">
        <f t="shared" si="6"/>
        <v>7.4</v>
      </c>
    </row>
    <row r="31" spans="1:46" x14ac:dyDescent="0.25">
      <c r="A31" s="2" t="s">
        <v>759</v>
      </c>
      <c r="B31" s="3">
        <v>5.2</v>
      </c>
      <c r="C31" s="2" t="s">
        <v>80</v>
      </c>
      <c r="D31" s="2" t="s">
        <v>81</v>
      </c>
      <c r="E31" s="2" t="s">
        <v>87</v>
      </c>
      <c r="F31" s="4" t="s">
        <v>88</v>
      </c>
      <c r="G31" s="4" t="s">
        <v>89</v>
      </c>
      <c r="H31" s="5"/>
      <c r="I31" s="5"/>
      <c r="J31" s="5"/>
      <c r="K31" s="4" t="s">
        <v>62</v>
      </c>
      <c r="L31" s="4" t="s">
        <v>63</v>
      </c>
      <c r="M31" s="6" t="str">
        <f>IF(OR(B31="",I31=""),"",B31*I31)</f>
        <v/>
      </c>
      <c r="N31" s="8" t="s">
        <v>64</v>
      </c>
      <c r="O31" s="9"/>
      <c r="P31" s="9"/>
      <c r="Q31" s="22"/>
      <c r="R31" s="22"/>
      <c r="S31" s="23" t="str">
        <f>IF(AND(ISNUMBER(Q31),Q31&gt;0,ISNUMBER(R31),R31&gt;0),R31/Q31,"")</f>
        <v/>
      </c>
      <c r="T31" s="9"/>
      <c r="U31" s="9"/>
      <c r="V31" s="9"/>
      <c r="W31" s="9"/>
      <c r="X31" s="23" t="str">
        <f>IF(ISNUMBER(S31),S31,IF(ISNUMBER(I31),I31,""))</f>
        <v/>
      </c>
      <c r="Y31" t="str">
        <f>IF(ISNUMBER(S31),"2025 EIA-923 plant/group proxy",IF(ISNUMBER(I31),"Technology estimate","No thermal heat rate"))</f>
        <v>No thermal heat rate</v>
      </c>
      <c r="Z31" t="str">
        <f>IF(ISNUMBER(S31),"Review: NOT unit verified",IF(AE31="No match","No EIA match",IF(AF31="Unconfirmed","Unconfirmed EIA candidate","")))</f>
        <v/>
      </c>
      <c r="AE31" t="s">
        <v>65</v>
      </c>
      <c r="AF31" t="s">
        <v>66</v>
      </c>
      <c r="AG31" s="24">
        <f>IF(ISBLANK(S31),S31,I31)</f>
        <v>0</v>
      </c>
      <c r="AH31" s="34">
        <f t="shared" si="1"/>
        <v>800.90000000000009</v>
      </c>
      <c r="AI31">
        <f t="shared" si="0"/>
        <v>500.1480266216023</v>
      </c>
      <c r="AJ31" t="b" cm="1">
        <f t="array" ref="AJ31">OR(D31=$AT$2:$AT$8)</f>
        <v>0</v>
      </c>
      <c r="AL31" s="40" t="s">
        <v>5459</v>
      </c>
      <c r="AM31" s="39">
        <v>74756</v>
      </c>
      <c r="AN31">
        <f t="shared" si="2"/>
        <v>9.9708000000000006</v>
      </c>
      <c r="AP31" s="46">
        <f t="shared" si="3"/>
        <v>10.562799999999999</v>
      </c>
      <c r="AQ31">
        <f t="shared" si="4"/>
        <v>10.5</v>
      </c>
      <c r="AR31" s="47">
        <f t="shared" si="5"/>
        <v>7.4</v>
      </c>
    </row>
    <row r="32" spans="1:46" x14ac:dyDescent="0.25">
      <c r="A32" s="2" t="s">
        <v>765</v>
      </c>
      <c r="B32" s="3">
        <v>26</v>
      </c>
      <c r="C32" s="2" t="s">
        <v>99</v>
      </c>
      <c r="D32" s="2" t="s">
        <v>81</v>
      </c>
      <c r="E32" s="2" t="s">
        <v>87</v>
      </c>
      <c r="F32" s="4" t="s">
        <v>88</v>
      </c>
      <c r="G32" s="4" t="s">
        <v>89</v>
      </c>
      <c r="H32" s="5"/>
      <c r="I32" s="5"/>
      <c r="J32" s="5"/>
      <c r="K32" s="4" t="s">
        <v>62</v>
      </c>
      <c r="L32" s="4" t="s">
        <v>63</v>
      </c>
      <c r="M32" s="6" t="str">
        <f>IF(OR(B32="",I32=""),"",B32*I32)</f>
        <v/>
      </c>
      <c r="N32" s="8" t="s">
        <v>64</v>
      </c>
      <c r="O32" s="9"/>
      <c r="P32" s="9"/>
      <c r="Q32" s="22"/>
      <c r="R32" s="22"/>
      <c r="S32" s="23" t="str">
        <f>IF(AND(ISNUMBER(Q32),Q32&gt;0,ISNUMBER(R32),R32&gt;0),R32/Q32,"")</f>
        <v/>
      </c>
      <c r="T32" s="9"/>
      <c r="U32" s="9"/>
      <c r="V32" s="9"/>
      <c r="W32" s="9"/>
      <c r="X32" s="23" t="str">
        <f>IF(ISNUMBER(S32),S32,IF(ISNUMBER(I32),I32,""))</f>
        <v/>
      </c>
      <c r="Y32" t="str">
        <f>IF(ISNUMBER(S32),"2025 EIA-923 plant/group proxy",IF(ISNUMBER(I32),"Technology estimate","No thermal heat rate"))</f>
        <v>No thermal heat rate</v>
      </c>
      <c r="Z32" t="str">
        <f>IF(ISNUMBER(S32),"Review: NOT unit verified",IF(AE32="No match","No EIA match",IF(AF32="Unconfirmed","Unconfirmed EIA candidate","")))</f>
        <v/>
      </c>
      <c r="AE32" t="s">
        <v>65</v>
      </c>
      <c r="AF32" t="s">
        <v>66</v>
      </c>
      <c r="AG32" s="24">
        <f>IF(ISBLANK(S32),S32,I32)</f>
        <v>0</v>
      </c>
      <c r="AH32" s="34">
        <f t="shared" si="1"/>
        <v>826.90000000000009</v>
      </c>
      <c r="AI32">
        <f t="shared" si="0"/>
        <v>516.38457137395801</v>
      </c>
      <c r="AJ32" t="b" cm="1">
        <f t="array" ref="AJ32">OR(D32=$AT$2:$AT$8)</f>
        <v>0</v>
      </c>
      <c r="AL32" s="40" t="s">
        <v>5460</v>
      </c>
      <c r="AM32" s="39">
        <v>76041</v>
      </c>
      <c r="AN32">
        <f t="shared" si="2"/>
        <v>10.070499999999999</v>
      </c>
      <c r="AP32" s="46">
        <f t="shared" si="3"/>
        <v>10.562799999999999</v>
      </c>
      <c r="AQ32">
        <f t="shared" si="4"/>
        <v>10.5</v>
      </c>
      <c r="AR32" s="47">
        <f t="shared" si="5"/>
        <v>7.4</v>
      </c>
    </row>
    <row r="33" spans="1:44" x14ac:dyDescent="0.25">
      <c r="A33" s="2" t="s">
        <v>766</v>
      </c>
      <c r="B33" s="3">
        <v>12.5</v>
      </c>
      <c r="C33" s="2" t="s">
        <v>99</v>
      </c>
      <c r="D33" s="2" t="s">
        <v>81</v>
      </c>
      <c r="E33" s="2" t="s">
        <v>87</v>
      </c>
      <c r="F33" s="4" t="s">
        <v>88</v>
      </c>
      <c r="G33" s="4" t="s">
        <v>89</v>
      </c>
      <c r="H33" s="5"/>
      <c r="I33" s="5"/>
      <c r="J33" s="5"/>
      <c r="K33" s="4" t="s">
        <v>62</v>
      </c>
      <c r="L33" s="4" t="s">
        <v>63</v>
      </c>
      <c r="M33" s="6" t="str">
        <f>IF(OR(B33="",I33=""),"",B33*I33)</f>
        <v/>
      </c>
      <c r="N33" s="8" t="s">
        <v>64</v>
      </c>
      <c r="O33" s="9"/>
      <c r="P33" s="9"/>
      <c r="Q33" s="22"/>
      <c r="R33" s="22"/>
      <c r="S33" s="23" t="str">
        <f>IF(AND(ISNUMBER(Q33),Q33&gt;0,ISNUMBER(R33),R33&gt;0),R33/Q33,"")</f>
        <v/>
      </c>
      <c r="T33" s="9"/>
      <c r="U33" s="9"/>
      <c r="V33" s="9"/>
      <c r="W33" s="9"/>
      <c r="X33" s="23" t="str">
        <f>IF(ISNUMBER(S33),S33,IF(ISNUMBER(I33),I33,""))</f>
        <v/>
      </c>
      <c r="Y33" t="str">
        <f>IF(ISNUMBER(S33),"2025 EIA-923 plant/group proxy",IF(ISNUMBER(I33),"Technology estimate","No thermal heat rate"))</f>
        <v>No thermal heat rate</v>
      </c>
      <c r="Z33" t="str">
        <f>IF(ISNUMBER(S33),"Review: NOT unit verified",IF(AE33="No match","No EIA match",IF(AF33="Unconfirmed","Unconfirmed EIA candidate","")))</f>
        <v/>
      </c>
      <c r="AE33" t="s">
        <v>65</v>
      </c>
      <c r="AF33" t="s">
        <v>66</v>
      </c>
      <c r="AG33" s="24">
        <f>IF(ISBLANK(S33),S33,I33)</f>
        <v>0</v>
      </c>
      <c r="AH33" s="34">
        <f t="shared" si="1"/>
        <v>839.40000000000009</v>
      </c>
      <c r="AI33">
        <f t="shared" si="0"/>
        <v>524.19060250489827</v>
      </c>
      <c r="AJ33" t="b" cm="1">
        <f t="array" ref="AJ33">OR(D33=$AT$2:$AT$8)</f>
        <v>0</v>
      </c>
      <c r="AL33" s="40" t="s">
        <v>5461</v>
      </c>
      <c r="AM33" s="39">
        <v>79787</v>
      </c>
      <c r="AN33">
        <f t="shared" si="2"/>
        <v>10.255100000000001</v>
      </c>
      <c r="AP33" s="46">
        <f t="shared" si="3"/>
        <v>10.562799999999999</v>
      </c>
      <c r="AQ33">
        <f t="shared" si="4"/>
        <v>10.5</v>
      </c>
      <c r="AR33" s="47">
        <f t="shared" si="5"/>
        <v>7.4</v>
      </c>
    </row>
    <row r="34" spans="1:44" x14ac:dyDescent="0.25">
      <c r="A34" s="2" t="s">
        <v>767</v>
      </c>
      <c r="B34" s="3">
        <v>26.8</v>
      </c>
      <c r="C34" s="2" t="s">
        <v>99</v>
      </c>
      <c r="D34" s="2" t="s">
        <v>81</v>
      </c>
      <c r="E34" s="2" t="s">
        <v>87</v>
      </c>
      <c r="F34" s="4" t="s">
        <v>88</v>
      </c>
      <c r="G34" s="4" t="s">
        <v>89</v>
      </c>
      <c r="H34" s="5"/>
      <c r="I34" s="5"/>
      <c r="J34" s="5"/>
      <c r="K34" s="4" t="s">
        <v>62</v>
      </c>
      <c r="L34" s="4" t="s">
        <v>63</v>
      </c>
      <c r="M34" s="6" t="str">
        <f>IF(OR(B34="",I34=""),"",B34*I34)</f>
        <v/>
      </c>
      <c r="N34" s="8" t="s">
        <v>64</v>
      </c>
      <c r="O34" s="9"/>
      <c r="P34" s="9"/>
      <c r="Q34" s="22"/>
      <c r="R34" s="22"/>
      <c r="S34" s="23" t="str">
        <f>IF(AND(ISNUMBER(Q34),Q34&gt;0,ISNUMBER(R34),R34&gt;0),R34/Q34,"")</f>
        <v/>
      </c>
      <c r="T34" s="9"/>
      <c r="U34" s="9"/>
      <c r="V34" s="9"/>
      <c r="W34" s="9"/>
      <c r="X34" s="23" t="str">
        <f>IF(ISNUMBER(S34),S34,IF(ISNUMBER(I34),I34,""))</f>
        <v/>
      </c>
      <c r="Y34" t="str">
        <f>IF(ISNUMBER(S34),"2025 EIA-923 plant/group proxy",IF(ISNUMBER(I34),"Technology estimate","No thermal heat rate"))</f>
        <v>No thermal heat rate</v>
      </c>
      <c r="Z34" t="str">
        <f>IF(ISNUMBER(S34),"Review: NOT unit verified",IF(AE34="No match","No EIA match",IF(AF34="Unconfirmed","Unconfirmed EIA candidate","")))</f>
        <v/>
      </c>
      <c r="AE34" t="s">
        <v>65</v>
      </c>
      <c r="AF34" t="s">
        <v>66</v>
      </c>
      <c r="AG34" s="24">
        <f>IF(ISBLANK(S34),S34,I34)</f>
        <v>0</v>
      </c>
      <c r="AH34" s="34">
        <f t="shared" si="1"/>
        <v>866.2</v>
      </c>
      <c r="AI34">
        <f t="shared" si="0"/>
        <v>540.92673324963403</v>
      </c>
      <c r="AJ34" t="b" cm="1">
        <f t="array" ref="AJ34">OR(D34=$AT$2:$AT$8)</f>
        <v>0</v>
      </c>
      <c r="AL34" s="40" t="s">
        <v>5462</v>
      </c>
      <c r="AM34" s="39">
        <v>85947</v>
      </c>
      <c r="AN34">
        <f t="shared" si="2"/>
        <v>10.4275</v>
      </c>
      <c r="AP34" s="46">
        <f t="shared" si="3"/>
        <v>10.562799999999999</v>
      </c>
      <c r="AQ34">
        <f t="shared" si="4"/>
        <v>10.5</v>
      </c>
      <c r="AR34" s="47">
        <f t="shared" si="5"/>
        <v>7.4</v>
      </c>
    </row>
    <row r="35" spans="1:44" x14ac:dyDescent="0.25">
      <c r="A35" s="2" t="s">
        <v>768</v>
      </c>
      <c r="B35" s="3">
        <v>37</v>
      </c>
      <c r="C35" s="2" t="s">
        <v>99</v>
      </c>
      <c r="D35" s="2" t="s">
        <v>81</v>
      </c>
      <c r="E35" s="2" t="s">
        <v>87</v>
      </c>
      <c r="F35" s="4" t="s">
        <v>88</v>
      </c>
      <c r="G35" s="4" t="s">
        <v>89</v>
      </c>
      <c r="H35" s="5"/>
      <c r="I35" s="5"/>
      <c r="J35" s="5"/>
      <c r="K35" s="4" t="s">
        <v>62</v>
      </c>
      <c r="L35" s="4" t="s">
        <v>63</v>
      </c>
      <c r="M35" s="6" t="str">
        <f>IF(OR(B35="",I35=""),"",B35*I35)</f>
        <v/>
      </c>
      <c r="N35" s="8" t="s">
        <v>64</v>
      </c>
      <c r="O35" s="9"/>
      <c r="P35" s="9"/>
      <c r="Q35" s="22"/>
      <c r="R35" s="22"/>
      <c r="S35" s="23" t="str">
        <f>IF(AND(ISNUMBER(Q35),Q35&gt;0,ISNUMBER(R35),R35&gt;0),R35/Q35,"")</f>
        <v/>
      </c>
      <c r="T35" s="9"/>
      <c r="U35" s="9"/>
      <c r="V35" s="9"/>
      <c r="W35" s="9"/>
      <c r="X35" s="23" t="str">
        <f>IF(ISNUMBER(S35),S35,IF(ISNUMBER(I35),I35,""))</f>
        <v/>
      </c>
      <c r="Y35" t="str">
        <f>IF(ISNUMBER(S35),"2025 EIA-923 plant/group proxy",IF(ISNUMBER(I35),"Technology estimate","No thermal heat rate"))</f>
        <v>No thermal heat rate</v>
      </c>
      <c r="Z35" t="str">
        <f>IF(ISNUMBER(S35),"Review: NOT unit verified",IF(AE35="No match","No EIA match",IF(AF35="Unconfirmed","Unconfirmed EIA candidate","")))</f>
        <v/>
      </c>
      <c r="AE35" t="s">
        <v>65</v>
      </c>
      <c r="AF35" t="s">
        <v>66</v>
      </c>
      <c r="AG35" s="24">
        <f>IF(ISBLANK(S35),S35,I35)</f>
        <v>0</v>
      </c>
      <c r="AH35" s="34">
        <f t="shared" si="1"/>
        <v>903.2</v>
      </c>
      <c r="AI35">
        <f t="shared" si="0"/>
        <v>564.03258539721708</v>
      </c>
      <c r="AJ35" t="b" cm="1">
        <f t="array" ref="AJ35">OR(D35=$AT$2:$AT$8)</f>
        <v>0</v>
      </c>
      <c r="AL35" s="40" t="s">
        <v>5463</v>
      </c>
      <c r="AM35" s="39">
        <v>90182</v>
      </c>
      <c r="AN35">
        <f>_xlfn.XLOOKUP(AM35,$AI:$AI,$AG:$AG,,-1)</f>
        <v>10.603199999999999</v>
      </c>
      <c r="AP35" s="46">
        <f t="shared" si="3"/>
        <v>10.562799999999999</v>
      </c>
      <c r="AQ35">
        <f t="shared" si="4"/>
        <v>10.5</v>
      </c>
      <c r="AR35" s="47">
        <f t="shared" si="5"/>
        <v>7.4</v>
      </c>
    </row>
    <row r="36" spans="1:44" x14ac:dyDescent="0.25">
      <c r="A36" s="2" t="s">
        <v>826</v>
      </c>
      <c r="B36" s="3">
        <v>19.7</v>
      </c>
      <c r="C36" s="2" t="s">
        <v>97</v>
      </c>
      <c r="D36" s="2" t="s">
        <v>97</v>
      </c>
      <c r="E36" s="2" t="s">
        <v>87</v>
      </c>
      <c r="F36" s="4" t="s">
        <v>88</v>
      </c>
      <c r="G36" s="4" t="s">
        <v>89</v>
      </c>
      <c r="H36" s="5"/>
      <c r="I36" s="5"/>
      <c r="J36" s="5"/>
      <c r="K36" s="4" t="s">
        <v>62</v>
      </c>
      <c r="L36" s="4" t="s">
        <v>63</v>
      </c>
      <c r="M36" s="6" t="str">
        <f>IF(OR(B36="",I36=""),"",B36*I36)</f>
        <v/>
      </c>
      <c r="N36" s="8" t="s">
        <v>64</v>
      </c>
      <c r="O36" s="9"/>
      <c r="P36" s="9"/>
      <c r="Q36" s="22"/>
      <c r="R36" s="22"/>
      <c r="S36" s="23" t="str">
        <f>IF(AND(ISNUMBER(Q36),Q36&gt;0,ISNUMBER(R36),R36&gt;0),R36/Q36,"")</f>
        <v/>
      </c>
      <c r="T36" s="9"/>
      <c r="U36" s="9"/>
      <c r="V36" s="9"/>
      <c r="W36" s="9"/>
      <c r="X36" s="23" t="str">
        <f>IF(ISNUMBER(S36),S36,IF(ISNUMBER(I36),I36,""))</f>
        <v/>
      </c>
      <c r="Y36" t="str">
        <f>IF(ISNUMBER(S36),"2025 EIA-923 plant/group proxy",IF(ISNUMBER(I36),"Technology estimate","No thermal heat rate"))</f>
        <v>No thermal heat rate</v>
      </c>
      <c r="Z36" t="str">
        <f>IF(ISNUMBER(S36),"Review: NOT unit verified",IF(AE36="No match","No EIA match",IF(AF36="Unconfirmed","Unconfirmed EIA candidate","")))</f>
        <v/>
      </c>
      <c r="AE36" t="s">
        <v>65</v>
      </c>
      <c r="AF36" t="s">
        <v>66</v>
      </c>
      <c r="AG36" s="24">
        <f>IF(ISBLANK(S36),S36,I36)</f>
        <v>0</v>
      </c>
      <c r="AH36" s="34">
        <f t="shared" si="1"/>
        <v>922.90000000000009</v>
      </c>
      <c r="AI36">
        <f t="shared" si="0"/>
        <v>576.3348904595789</v>
      </c>
      <c r="AJ36" t="b" cm="1">
        <f t="array" ref="AJ36">OR(D36=$AT$2:$AT$8)</f>
        <v>0</v>
      </c>
      <c r="AL36" s="40" t="s">
        <v>5464</v>
      </c>
      <c r="AM36" s="39">
        <v>90430</v>
      </c>
      <c r="AN36">
        <f t="shared" si="2"/>
        <v>10.6381</v>
      </c>
      <c r="AP36" s="46">
        <f t="shared" si="3"/>
        <v>10.562799999999999</v>
      </c>
      <c r="AQ36">
        <f t="shared" si="4"/>
        <v>10.5</v>
      </c>
      <c r="AR36" s="47">
        <f t="shared" si="5"/>
        <v>7.4</v>
      </c>
    </row>
    <row r="37" spans="1:44" x14ac:dyDescent="0.25">
      <c r="A37" s="2" t="s">
        <v>827</v>
      </c>
      <c r="B37" s="3">
        <v>13.3</v>
      </c>
      <c r="C37" s="2" t="s">
        <v>97</v>
      </c>
      <c r="D37" s="2" t="s">
        <v>97</v>
      </c>
      <c r="E37" s="2" t="s">
        <v>87</v>
      </c>
      <c r="F37" s="4" t="s">
        <v>88</v>
      </c>
      <c r="G37" s="4" t="s">
        <v>89</v>
      </c>
      <c r="H37" s="5"/>
      <c r="I37" s="5"/>
      <c r="J37" s="5"/>
      <c r="K37" s="4" t="s">
        <v>62</v>
      </c>
      <c r="L37" s="4" t="s">
        <v>63</v>
      </c>
      <c r="M37" s="6" t="str">
        <f>IF(OR(B37="",I37=""),"",B37*I37)</f>
        <v/>
      </c>
      <c r="N37" s="8" t="s">
        <v>64</v>
      </c>
      <c r="O37" s="9"/>
      <c r="P37" s="9"/>
      <c r="Q37" s="22"/>
      <c r="R37" s="22"/>
      <c r="S37" s="23" t="str">
        <f>IF(AND(ISNUMBER(Q37),Q37&gt;0,ISNUMBER(R37),R37&gt;0),R37/Q37,"")</f>
        <v/>
      </c>
      <c r="T37" s="9"/>
      <c r="U37" s="9"/>
      <c r="V37" s="9"/>
      <c r="W37" s="9"/>
      <c r="X37" s="23" t="str">
        <f>IF(ISNUMBER(S37),S37,IF(ISNUMBER(I37),I37,""))</f>
        <v/>
      </c>
      <c r="Y37" t="str">
        <f>IF(ISNUMBER(S37),"2025 EIA-923 plant/group proxy",IF(ISNUMBER(I37),"Technology estimate","No thermal heat rate"))</f>
        <v>No thermal heat rate</v>
      </c>
      <c r="Z37" t="str">
        <f>IF(ISNUMBER(S37),"Review: NOT unit verified",IF(AE37="No match","No EIA match",IF(AF37="Unconfirmed","Unconfirmed EIA candidate","")))</f>
        <v/>
      </c>
      <c r="AE37" t="s">
        <v>65</v>
      </c>
      <c r="AF37" t="s">
        <v>66</v>
      </c>
      <c r="AG37" s="24">
        <f>IF(ISBLANK(S37),S37,I37)</f>
        <v>0</v>
      </c>
      <c r="AH37" s="34">
        <f t="shared" si="1"/>
        <v>936.2</v>
      </c>
      <c r="AI37">
        <f t="shared" si="0"/>
        <v>584.64050758289932</v>
      </c>
      <c r="AJ37" t="b" cm="1">
        <f t="array" ref="AJ37">OR(D37=$AT$2:$AT$8)</f>
        <v>0</v>
      </c>
      <c r="AL37" s="40" t="s">
        <v>5465</v>
      </c>
      <c r="AM37" s="39">
        <v>88805</v>
      </c>
      <c r="AN37">
        <f t="shared" si="2"/>
        <v>10.527799999999999</v>
      </c>
      <c r="AP37" s="46">
        <f t="shared" si="3"/>
        <v>10.562799999999999</v>
      </c>
      <c r="AQ37">
        <f t="shared" si="4"/>
        <v>10.5</v>
      </c>
      <c r="AR37" s="47">
        <f t="shared" si="5"/>
        <v>7.4</v>
      </c>
    </row>
    <row r="38" spans="1:44" x14ac:dyDescent="0.25">
      <c r="A38" s="2" t="s">
        <v>828</v>
      </c>
      <c r="B38" s="3">
        <v>2.8</v>
      </c>
      <c r="C38" s="2" t="s">
        <v>97</v>
      </c>
      <c r="D38" s="2" t="s">
        <v>97</v>
      </c>
      <c r="E38" s="2" t="s">
        <v>87</v>
      </c>
      <c r="F38" s="4" t="s">
        <v>88</v>
      </c>
      <c r="G38" s="4" t="s">
        <v>89</v>
      </c>
      <c r="H38" s="5"/>
      <c r="I38" s="5"/>
      <c r="J38" s="5"/>
      <c r="K38" s="4" t="s">
        <v>62</v>
      </c>
      <c r="L38" s="4" t="s">
        <v>63</v>
      </c>
      <c r="M38" s="6" t="str">
        <f>IF(OR(B38="",I38=""),"",B38*I38)</f>
        <v/>
      </c>
      <c r="N38" s="8" t="s">
        <v>64</v>
      </c>
      <c r="O38" s="9"/>
      <c r="P38" s="9"/>
      <c r="Q38" s="22"/>
      <c r="R38" s="22"/>
      <c r="S38" s="23" t="str">
        <f>IF(AND(ISNUMBER(Q38),Q38&gt;0,ISNUMBER(R38),R38&gt;0),R38/Q38,"")</f>
        <v/>
      </c>
      <c r="T38" s="9"/>
      <c r="U38" s="9"/>
      <c r="V38" s="9"/>
      <c r="W38" s="9"/>
      <c r="X38" s="23" t="str">
        <f>IF(ISNUMBER(S38),S38,IF(ISNUMBER(I38),I38,""))</f>
        <v/>
      </c>
      <c r="Y38" t="str">
        <f>IF(ISNUMBER(S38),"2025 EIA-923 plant/group proxy",IF(ISNUMBER(I38),"Technology estimate","No thermal heat rate"))</f>
        <v>No thermal heat rate</v>
      </c>
      <c r="Z38" t="str">
        <f>IF(ISNUMBER(S38),"Review: NOT unit verified",IF(AE38="No match","No EIA match",IF(AF38="Unconfirmed","Unconfirmed EIA candidate","")))</f>
        <v/>
      </c>
      <c r="AE38" t="s">
        <v>65</v>
      </c>
      <c r="AF38" t="s">
        <v>66</v>
      </c>
      <c r="AG38" s="24">
        <f>IF(ISBLANK(S38),S38,I38)</f>
        <v>0</v>
      </c>
      <c r="AH38" s="34">
        <f t="shared" si="1"/>
        <v>939</v>
      </c>
      <c r="AI38">
        <f t="shared" si="0"/>
        <v>586.38905855622988</v>
      </c>
      <c r="AJ38" t="b" cm="1">
        <f t="array" ref="AJ38">OR(D38=$AT$2:$AT$8)</f>
        <v>0</v>
      </c>
      <c r="AL38" s="40" t="s">
        <v>5466</v>
      </c>
      <c r="AM38" s="39">
        <v>87252</v>
      </c>
      <c r="AN38">
        <f t="shared" si="2"/>
        <v>10.5</v>
      </c>
      <c r="AP38" s="46">
        <f t="shared" si="3"/>
        <v>10.562799999999999</v>
      </c>
      <c r="AQ38">
        <f t="shared" si="4"/>
        <v>10.5</v>
      </c>
      <c r="AR38" s="47">
        <f t="shared" si="5"/>
        <v>7.4</v>
      </c>
    </row>
    <row r="39" spans="1:44" x14ac:dyDescent="0.25">
      <c r="A39" s="2" t="s">
        <v>829</v>
      </c>
      <c r="B39" s="3">
        <v>38.200000000000003</v>
      </c>
      <c r="C39" s="2" t="s">
        <v>97</v>
      </c>
      <c r="D39" s="2" t="s">
        <v>97</v>
      </c>
      <c r="E39" s="2" t="s">
        <v>87</v>
      </c>
      <c r="F39" s="4" t="s">
        <v>88</v>
      </c>
      <c r="G39" s="4" t="s">
        <v>89</v>
      </c>
      <c r="H39" s="5"/>
      <c r="I39" s="5"/>
      <c r="J39" s="5"/>
      <c r="K39" s="4" t="s">
        <v>62</v>
      </c>
      <c r="L39" s="4" t="s">
        <v>63</v>
      </c>
      <c r="M39" s="6" t="str">
        <f>IF(OR(B39="",I39=""),"",B39*I39)</f>
        <v/>
      </c>
      <c r="N39" s="8" t="s">
        <v>64</v>
      </c>
      <c r="O39" s="9"/>
      <c r="P39" s="9"/>
      <c r="Q39" s="22"/>
      <c r="R39" s="22"/>
      <c r="S39" s="23" t="str">
        <f>IF(AND(ISNUMBER(Q39),Q39&gt;0,ISNUMBER(R39),R39&gt;0),R39/Q39,"")</f>
        <v/>
      </c>
      <c r="T39" s="9"/>
      <c r="U39" s="9"/>
      <c r="V39" s="9"/>
      <c r="W39" s="9"/>
      <c r="X39" s="23" t="str">
        <f>IF(ISNUMBER(S39),S39,IF(ISNUMBER(I39),I39,""))</f>
        <v/>
      </c>
      <c r="Y39" t="str">
        <f>IF(ISNUMBER(S39),"2025 EIA-923 plant/group proxy",IF(ISNUMBER(I39),"Technology estimate","No thermal heat rate"))</f>
        <v>No thermal heat rate</v>
      </c>
      <c r="Z39" t="str">
        <f>IF(ISNUMBER(S39),"Review: NOT unit verified",IF(AE39="No match","No EIA match",IF(AF39="Unconfirmed","Unconfirmed EIA candidate","")))</f>
        <v/>
      </c>
      <c r="AE39" t="s">
        <v>65</v>
      </c>
      <c r="AF39" t="s">
        <v>66</v>
      </c>
      <c r="AG39" s="24">
        <f>IF(ISBLANK(S39),S39,I39)</f>
        <v>0</v>
      </c>
      <c r="AH39" s="34">
        <f t="shared" si="1"/>
        <v>977.2</v>
      </c>
      <c r="AI39">
        <f t="shared" si="0"/>
        <v>610.24428969238329</v>
      </c>
      <c r="AJ39" t="b" cm="1">
        <f t="array" ref="AJ39">OR(D39=$AT$2:$AT$8)</f>
        <v>0</v>
      </c>
      <c r="AL39" s="40" t="s">
        <v>5467</v>
      </c>
      <c r="AM39" s="39">
        <v>86068</v>
      </c>
      <c r="AN39">
        <f t="shared" si="2"/>
        <v>10.4823</v>
      </c>
      <c r="AP39" s="46">
        <f t="shared" si="3"/>
        <v>10.562799999999999</v>
      </c>
      <c r="AQ39">
        <f t="shared" si="4"/>
        <v>10.5</v>
      </c>
      <c r="AR39" s="47">
        <f t="shared" si="5"/>
        <v>7.4</v>
      </c>
    </row>
    <row r="40" spans="1:44" x14ac:dyDescent="0.25">
      <c r="A40" s="2" t="s">
        <v>849</v>
      </c>
      <c r="B40" s="3">
        <v>85</v>
      </c>
      <c r="C40" s="2" t="s">
        <v>97</v>
      </c>
      <c r="D40" s="2" t="s">
        <v>97</v>
      </c>
      <c r="E40" s="2" t="s">
        <v>87</v>
      </c>
      <c r="F40" s="4" t="s">
        <v>88</v>
      </c>
      <c r="G40" s="4" t="s">
        <v>89</v>
      </c>
      <c r="H40" s="5"/>
      <c r="I40" s="5"/>
      <c r="J40" s="5"/>
      <c r="K40" s="4" t="s">
        <v>62</v>
      </c>
      <c r="L40" s="4" t="s">
        <v>63</v>
      </c>
      <c r="M40" s="6" t="str">
        <f>IF(OR(B40="",I40=""),"",B40*I40)</f>
        <v/>
      </c>
      <c r="N40" s="8" t="s">
        <v>64</v>
      </c>
      <c r="O40" s="9"/>
      <c r="P40" s="9"/>
      <c r="Q40" s="22"/>
      <c r="R40" s="22"/>
      <c r="S40" s="23" t="str">
        <f>IF(AND(ISNUMBER(Q40),Q40&gt;0,ISNUMBER(R40),R40&gt;0),R40/Q40,"")</f>
        <v/>
      </c>
      <c r="T40" s="9"/>
      <c r="U40" s="9"/>
      <c r="V40" s="9"/>
      <c r="W40" s="9"/>
      <c r="X40" s="23" t="str">
        <f>IF(ISNUMBER(S40),S40,IF(ISNUMBER(I40),I40,""))</f>
        <v/>
      </c>
      <c r="Y40" t="str">
        <f>IF(ISNUMBER(S40),"2025 EIA-923 plant/group proxy",IF(ISNUMBER(I40),"Technology estimate","No thermal heat rate"))</f>
        <v>No thermal heat rate</v>
      </c>
      <c r="Z40" t="str">
        <f>IF(ISNUMBER(S40),"Review: NOT unit verified",IF(AE40="No match","No EIA match",IF(AF40="Unconfirmed","Unconfirmed EIA candidate","")))</f>
        <v/>
      </c>
      <c r="AE40" t="s">
        <v>65</v>
      </c>
      <c r="AF40" t="s">
        <v>66</v>
      </c>
      <c r="AG40" s="24">
        <f>IF(ISBLANK(S40),S40,I40)</f>
        <v>0</v>
      </c>
      <c r="AH40" s="34">
        <f t="shared" si="1"/>
        <v>1062.2</v>
      </c>
      <c r="AI40">
        <f t="shared" si="0"/>
        <v>663.32530138277684</v>
      </c>
      <c r="AJ40" t="b" cm="1">
        <f t="array" ref="AJ40">OR(D40=$AT$2:$AT$8)</f>
        <v>0</v>
      </c>
      <c r="AL40" s="40" t="s">
        <v>5468</v>
      </c>
      <c r="AM40" s="39">
        <v>85257</v>
      </c>
      <c r="AN40">
        <f t="shared" si="2"/>
        <v>10.3833</v>
      </c>
      <c r="AP40" s="46">
        <f t="shared" si="3"/>
        <v>10.562799999999999</v>
      </c>
      <c r="AQ40">
        <f t="shared" si="4"/>
        <v>10.5</v>
      </c>
      <c r="AR40" s="47">
        <f t="shared" si="5"/>
        <v>7.4</v>
      </c>
    </row>
    <row r="41" spans="1:44" x14ac:dyDescent="0.25">
      <c r="A41" s="2" t="s">
        <v>852</v>
      </c>
      <c r="B41" s="3">
        <v>141</v>
      </c>
      <c r="C41" s="2" t="s">
        <v>80</v>
      </c>
      <c r="D41" s="2" t="s">
        <v>81</v>
      </c>
      <c r="E41" s="2" t="s">
        <v>87</v>
      </c>
      <c r="F41" s="4" t="s">
        <v>88</v>
      </c>
      <c r="G41" s="4" t="s">
        <v>89</v>
      </c>
      <c r="H41" s="5"/>
      <c r="I41" s="5"/>
      <c r="J41" s="5"/>
      <c r="K41" s="4" t="s">
        <v>62</v>
      </c>
      <c r="L41" s="4" t="s">
        <v>63</v>
      </c>
      <c r="M41" s="6" t="str">
        <f>IF(OR(B41="",I41=""),"",B41*I41)</f>
        <v/>
      </c>
      <c r="N41" s="8" t="s">
        <v>64</v>
      </c>
      <c r="O41" s="9"/>
      <c r="P41" s="9"/>
      <c r="Q41" s="22"/>
      <c r="R41" s="22"/>
      <c r="S41" s="23" t="str">
        <f>IF(AND(ISNUMBER(Q41),Q41&gt;0,ISNUMBER(R41),R41&gt;0),R41/Q41,"")</f>
        <v/>
      </c>
      <c r="T41" s="9"/>
      <c r="U41" s="9"/>
      <c r="V41" s="9"/>
      <c r="W41" s="9"/>
      <c r="X41" s="23" t="str">
        <f>IF(ISNUMBER(S41),S41,IF(ISNUMBER(I41),I41,""))</f>
        <v/>
      </c>
      <c r="Y41" t="str">
        <f>IF(ISNUMBER(S41),"2025 EIA-923 plant/group proxy",IF(ISNUMBER(I41),"Technology estimate","No thermal heat rate"))</f>
        <v>No thermal heat rate</v>
      </c>
      <c r="Z41" t="str">
        <f>IF(ISNUMBER(S41),"Review: NOT unit verified",IF(AE41="No match","No EIA match",IF(AF41="Unconfirmed","Unconfirmed EIA candidate","")))</f>
        <v/>
      </c>
      <c r="AE41" t="s">
        <v>65</v>
      </c>
      <c r="AF41" t="s">
        <v>66</v>
      </c>
      <c r="AG41" s="24">
        <f>IF(ISBLANK(S41),S41,I41)</f>
        <v>0</v>
      </c>
      <c r="AH41" s="34">
        <f t="shared" si="1"/>
        <v>1203.2</v>
      </c>
      <c r="AI41">
        <f t="shared" si="0"/>
        <v>751.37733253978251</v>
      </c>
      <c r="AJ41" t="b" cm="1">
        <f t="array" ref="AJ41">OR(D41=$AT$2:$AT$8)</f>
        <v>0</v>
      </c>
      <c r="AL41" s="40" t="s">
        <v>5469</v>
      </c>
      <c r="AM41" s="39">
        <v>84932</v>
      </c>
      <c r="AN41">
        <f t="shared" si="2"/>
        <v>10.3833</v>
      </c>
      <c r="AP41" s="46">
        <f t="shared" si="3"/>
        <v>10.562799999999999</v>
      </c>
      <c r="AQ41">
        <f t="shared" si="4"/>
        <v>10.5</v>
      </c>
      <c r="AR41" s="47">
        <f t="shared" si="5"/>
        <v>7.4</v>
      </c>
    </row>
    <row r="42" spans="1:44" x14ac:dyDescent="0.25">
      <c r="A42" s="2" t="s">
        <v>902</v>
      </c>
      <c r="B42" s="3">
        <v>13</v>
      </c>
      <c r="C42" s="2" t="s">
        <v>99</v>
      </c>
      <c r="D42" s="2" t="s">
        <v>81</v>
      </c>
      <c r="E42" s="2" t="s">
        <v>87</v>
      </c>
      <c r="F42" s="4" t="s">
        <v>88</v>
      </c>
      <c r="G42" s="4" t="s">
        <v>89</v>
      </c>
      <c r="H42" s="5"/>
      <c r="I42" s="5"/>
      <c r="J42" s="5"/>
      <c r="K42" s="4" t="s">
        <v>62</v>
      </c>
      <c r="L42" s="4" t="s">
        <v>63</v>
      </c>
      <c r="M42" s="6" t="str">
        <f>IF(OR(B42="",I42=""),"",B42*I42)</f>
        <v/>
      </c>
      <c r="N42" s="8" t="s">
        <v>64</v>
      </c>
      <c r="O42" s="9"/>
      <c r="P42" s="9"/>
      <c r="Q42" s="22"/>
      <c r="R42" s="22"/>
      <c r="S42" s="23" t="str">
        <f>IF(AND(ISNUMBER(Q42),Q42&gt;0,ISNUMBER(R42),R42&gt;0),R42/Q42,"")</f>
        <v/>
      </c>
      <c r="T42" s="9"/>
      <c r="U42" s="9"/>
      <c r="V42" s="9"/>
      <c r="W42" s="9"/>
      <c r="X42" s="23" t="str">
        <f>IF(ISNUMBER(S42),S42,IF(ISNUMBER(I42),I42,""))</f>
        <v/>
      </c>
      <c r="Y42" t="str">
        <f>IF(ISNUMBER(S42),"2025 EIA-923 plant/group proxy",IF(ISNUMBER(I42),"Technology estimate","No thermal heat rate"))</f>
        <v>No thermal heat rate</v>
      </c>
      <c r="Z42" t="str">
        <f>IF(ISNUMBER(S42),"Review: NOT unit verified",IF(AE42="No match","No EIA match",IF(AF42="Unconfirmed","Unconfirmed EIA candidate","")))</f>
        <v/>
      </c>
      <c r="AE42" t="s">
        <v>65</v>
      </c>
      <c r="AF42" t="s">
        <v>66</v>
      </c>
      <c r="AG42" s="24">
        <f>IF(ISBLANK(S42),S42,I42)</f>
        <v>0</v>
      </c>
      <c r="AH42" s="34">
        <f t="shared" si="1"/>
        <v>1216.2</v>
      </c>
      <c r="AI42">
        <f t="shared" si="0"/>
        <v>759.49560491596037</v>
      </c>
      <c r="AJ42" t="b" cm="1">
        <f t="array" ref="AJ42">OR(D42=$AT$2:$AT$8)</f>
        <v>0</v>
      </c>
      <c r="AL42" s="40" t="s">
        <v>5470</v>
      </c>
      <c r="AM42" s="39">
        <v>84726</v>
      </c>
      <c r="AN42">
        <f t="shared" si="2"/>
        <v>10.3833</v>
      </c>
      <c r="AP42" s="46">
        <f t="shared" si="3"/>
        <v>10.562799999999999</v>
      </c>
      <c r="AQ42">
        <f t="shared" si="4"/>
        <v>10.5</v>
      </c>
      <c r="AR42" s="47">
        <f t="shared" si="5"/>
        <v>7.4</v>
      </c>
    </row>
    <row r="43" spans="1:44" x14ac:dyDescent="0.25">
      <c r="A43" s="2" t="s">
        <v>920</v>
      </c>
      <c r="B43" s="3">
        <v>94</v>
      </c>
      <c r="C43" s="2" t="s">
        <v>99</v>
      </c>
      <c r="D43" s="2" t="s">
        <v>81</v>
      </c>
      <c r="E43" s="2" t="s">
        <v>87</v>
      </c>
      <c r="F43" s="4" t="s">
        <v>88</v>
      </c>
      <c r="G43" s="4" t="s">
        <v>89</v>
      </c>
      <c r="H43" s="5"/>
      <c r="I43" s="5"/>
      <c r="J43" s="5"/>
      <c r="K43" s="4" t="s">
        <v>62</v>
      </c>
      <c r="L43" s="4" t="s">
        <v>63</v>
      </c>
      <c r="M43" s="6" t="str">
        <f>IF(OR(B43="",I43=""),"",B43*I43)</f>
        <v/>
      </c>
      <c r="N43" s="8" t="s">
        <v>64</v>
      </c>
      <c r="O43" s="9"/>
      <c r="P43" s="9"/>
      <c r="Q43" s="22"/>
      <c r="R43" s="22"/>
      <c r="S43" s="23" t="str">
        <f>IF(AND(ISNUMBER(Q43),Q43&gt;0,ISNUMBER(R43),R43&gt;0),R43/Q43,"")</f>
        <v/>
      </c>
      <c r="T43" s="9"/>
      <c r="U43" s="9"/>
      <c r="V43" s="9"/>
      <c r="W43" s="9"/>
      <c r="X43" s="23" t="str">
        <f>IF(ISNUMBER(S43),S43,IF(ISNUMBER(I43),I43,""))</f>
        <v/>
      </c>
      <c r="Y43" t="str">
        <f>IF(ISNUMBER(S43),"2025 EIA-923 plant/group proxy",IF(ISNUMBER(I43),"Technology estimate","No thermal heat rate"))</f>
        <v>No thermal heat rate</v>
      </c>
      <c r="Z43" t="str">
        <f>IF(ISNUMBER(S43),"Review: NOT unit verified",IF(AE43="No match","No EIA match",IF(AF43="Unconfirmed","Unconfirmed EIA candidate","")))</f>
        <v/>
      </c>
      <c r="AE43" t="s">
        <v>65</v>
      </c>
      <c r="AF43" t="s">
        <v>66</v>
      </c>
      <c r="AG43" s="24">
        <f>IF(ISBLANK(S43),S43,I43)</f>
        <v>0</v>
      </c>
      <c r="AH43" s="34">
        <f t="shared" si="1"/>
        <v>1310.2</v>
      </c>
      <c r="AI43">
        <f t="shared" si="0"/>
        <v>818.19695902063086</v>
      </c>
      <c r="AJ43" t="b" cm="1">
        <f t="array" ref="AJ43">OR(D43=$AT$2:$AT$8)</f>
        <v>0</v>
      </c>
      <c r="AL43" s="40" t="s">
        <v>5471</v>
      </c>
      <c r="AM43" s="39">
        <v>84968</v>
      </c>
      <c r="AN43">
        <f t="shared" si="2"/>
        <v>10.3833</v>
      </c>
      <c r="AP43" s="46">
        <f t="shared" si="3"/>
        <v>10.562799999999999</v>
      </c>
      <c r="AQ43">
        <f t="shared" si="4"/>
        <v>10.5</v>
      </c>
      <c r="AR43" s="47">
        <f t="shared" si="5"/>
        <v>7.4</v>
      </c>
    </row>
    <row r="44" spans="1:44" x14ac:dyDescent="0.25">
      <c r="A44" s="2" t="s">
        <v>927</v>
      </c>
      <c r="B44" s="3">
        <v>93.1</v>
      </c>
      <c r="C44" s="2" t="s">
        <v>97</v>
      </c>
      <c r="D44" s="2" t="s">
        <v>97</v>
      </c>
      <c r="E44" s="2" t="s">
        <v>87</v>
      </c>
      <c r="F44" s="4" t="s">
        <v>88</v>
      </c>
      <c r="G44" s="4" t="s">
        <v>89</v>
      </c>
      <c r="H44" s="5"/>
      <c r="I44" s="5"/>
      <c r="J44" s="5"/>
      <c r="K44" s="4" t="s">
        <v>62</v>
      </c>
      <c r="L44" s="4" t="s">
        <v>63</v>
      </c>
      <c r="M44" s="6" t="str">
        <f>IF(OR(B44="",I44=""),"",B44*I44)</f>
        <v/>
      </c>
      <c r="N44" s="8" t="s">
        <v>64</v>
      </c>
      <c r="O44" s="9"/>
      <c r="P44" s="9"/>
      <c r="Q44" s="22"/>
      <c r="R44" s="22"/>
      <c r="S44" s="23" t="str">
        <f>IF(AND(ISNUMBER(Q44),Q44&gt;0,ISNUMBER(R44),R44&gt;0),R44/Q44,"")</f>
        <v/>
      </c>
      <c r="T44" s="9"/>
      <c r="U44" s="9"/>
      <c r="V44" s="9"/>
      <c r="W44" s="9"/>
      <c r="X44" s="23" t="str">
        <f>IF(ISNUMBER(S44),S44,IF(ISNUMBER(I44),I44,""))</f>
        <v/>
      </c>
      <c r="Y44" t="str">
        <f>IF(ISNUMBER(S44),"2025 EIA-923 plant/group proxy",IF(ISNUMBER(I44),"Technology estimate","No thermal heat rate"))</f>
        <v>No thermal heat rate</v>
      </c>
      <c r="Z44" t="str">
        <f>IF(ISNUMBER(S44),"Review: NOT unit verified",IF(AE44="No match","No EIA match",IF(AF44="Unconfirmed","Unconfirmed EIA candidate","")))</f>
        <v/>
      </c>
      <c r="AE44" t="s">
        <v>65</v>
      </c>
      <c r="AF44" t="s">
        <v>66</v>
      </c>
      <c r="AG44" s="24">
        <f>IF(ISBLANK(S44),S44,I44)</f>
        <v>0</v>
      </c>
      <c r="AH44" s="34">
        <f t="shared" si="1"/>
        <v>1403.3</v>
      </c>
      <c r="AI44">
        <f t="shared" si="0"/>
        <v>876.33627888387366</v>
      </c>
      <c r="AJ44" t="b" cm="1">
        <f t="array" ref="AJ44">OR(D44=$AT$2:$AT$8)</f>
        <v>0</v>
      </c>
      <c r="AL44" s="40" t="s">
        <v>5472</v>
      </c>
      <c r="AM44" s="39">
        <v>86234</v>
      </c>
      <c r="AN44">
        <f t="shared" si="2"/>
        <v>10.5</v>
      </c>
      <c r="AP44" s="46">
        <f t="shared" si="3"/>
        <v>10.562799999999999</v>
      </c>
      <c r="AQ44">
        <f t="shared" si="4"/>
        <v>10.5</v>
      </c>
      <c r="AR44" s="47">
        <f t="shared" si="5"/>
        <v>7.4</v>
      </c>
    </row>
    <row r="45" spans="1:44" x14ac:dyDescent="0.25">
      <c r="A45" s="2" t="s">
        <v>932</v>
      </c>
      <c r="B45" s="3">
        <v>8.1</v>
      </c>
      <c r="C45" s="2" t="s">
        <v>86</v>
      </c>
      <c r="D45" s="2" t="s">
        <v>76</v>
      </c>
      <c r="E45" s="2" t="s">
        <v>87</v>
      </c>
      <c r="F45" s="4" t="s">
        <v>88</v>
      </c>
      <c r="G45" s="4" t="s">
        <v>89</v>
      </c>
      <c r="H45" s="5"/>
      <c r="I45" s="5"/>
      <c r="J45" s="5"/>
      <c r="K45" s="4" t="s">
        <v>62</v>
      </c>
      <c r="L45" s="4" t="s">
        <v>63</v>
      </c>
      <c r="M45" s="6" t="str">
        <f>IF(OR(B45="",I45=""),"",B45*I45)</f>
        <v/>
      </c>
      <c r="N45" s="8" t="s">
        <v>64</v>
      </c>
      <c r="O45" s="9"/>
      <c r="P45" s="9"/>
      <c r="Q45" s="22"/>
      <c r="R45" s="22"/>
      <c r="S45" s="23" t="str">
        <f>IF(AND(ISNUMBER(Q45),Q45&gt;0,ISNUMBER(R45),R45&gt;0),R45/Q45,"")</f>
        <v/>
      </c>
      <c r="T45" s="9"/>
      <c r="U45" s="9"/>
      <c r="V45" s="9"/>
      <c r="W45" s="9"/>
      <c r="X45" s="23" t="str">
        <f>IF(ISNUMBER(S45),S45,IF(ISNUMBER(I45),I45,""))</f>
        <v/>
      </c>
      <c r="Y45" t="str">
        <f>IF(ISNUMBER(S45),"2025 EIA-923 plant/group proxy",IF(ISNUMBER(I45),"Technology estimate","No thermal heat rate"))</f>
        <v>No thermal heat rate</v>
      </c>
      <c r="Z45" t="str">
        <f>IF(ISNUMBER(S45),"Review: NOT unit verified",IF(AE45="No match","No EIA match",IF(AF45="Unconfirmed","Unconfirmed EIA candidate","")))</f>
        <v/>
      </c>
      <c r="AE45" t="s">
        <v>65</v>
      </c>
      <c r="AF45" t="s">
        <v>66</v>
      </c>
      <c r="AG45" s="24">
        <f>IF(ISBLANK(S45),S45,I45)</f>
        <v>0</v>
      </c>
      <c r="AH45" s="34">
        <f t="shared" si="1"/>
        <v>1411.3999999999999</v>
      </c>
      <c r="AI45">
        <f t="shared" si="0"/>
        <v>881.39458705672291</v>
      </c>
      <c r="AJ45" t="b" cm="1">
        <f t="array" ref="AJ45">OR(D45=$AT$2:$AT$8)</f>
        <v>0</v>
      </c>
      <c r="AL45" s="40" t="s">
        <v>5473</v>
      </c>
      <c r="AM45" s="39">
        <v>87865</v>
      </c>
      <c r="AN45">
        <f t="shared" si="2"/>
        <v>10.5</v>
      </c>
      <c r="AP45" s="46">
        <f t="shared" si="3"/>
        <v>10.562799999999999</v>
      </c>
      <c r="AQ45">
        <f t="shared" si="4"/>
        <v>10.5</v>
      </c>
      <c r="AR45" s="47">
        <f t="shared" si="5"/>
        <v>7.4</v>
      </c>
    </row>
    <row r="46" spans="1:44" x14ac:dyDescent="0.25">
      <c r="A46" s="2" t="s">
        <v>934</v>
      </c>
      <c r="B46" s="3">
        <v>31.3</v>
      </c>
      <c r="C46" s="2" t="s">
        <v>99</v>
      </c>
      <c r="D46" s="2" t="s">
        <v>81</v>
      </c>
      <c r="E46" s="2" t="s">
        <v>87</v>
      </c>
      <c r="F46" s="4" t="s">
        <v>88</v>
      </c>
      <c r="G46" s="4" t="s">
        <v>89</v>
      </c>
      <c r="H46" s="5"/>
      <c r="I46" s="5"/>
      <c r="J46" s="5"/>
      <c r="K46" s="4" t="s">
        <v>62</v>
      </c>
      <c r="L46" s="4" t="s">
        <v>63</v>
      </c>
      <c r="M46" s="6" t="str">
        <f>IF(OR(B46="",I46=""),"",B46*I46)</f>
        <v/>
      </c>
      <c r="N46" s="8" t="s">
        <v>64</v>
      </c>
      <c r="O46" s="9"/>
      <c r="P46" s="9"/>
      <c r="Q46" s="22"/>
      <c r="R46" s="22"/>
      <c r="S46" s="23" t="str">
        <f>IF(AND(ISNUMBER(Q46),Q46&gt;0,ISNUMBER(R46),R46&gt;0),R46/Q46,"")</f>
        <v/>
      </c>
      <c r="T46" s="9"/>
      <c r="U46" s="9"/>
      <c r="V46" s="9"/>
      <c r="W46" s="9"/>
      <c r="X46" s="23" t="str">
        <f>IF(ISNUMBER(S46),S46,IF(ISNUMBER(I46),I46,""))</f>
        <v/>
      </c>
      <c r="Y46" t="str">
        <f>IF(ISNUMBER(S46),"2025 EIA-923 plant/group proxy",IF(ISNUMBER(I46),"Technology estimate","No thermal heat rate"))</f>
        <v>No thermal heat rate</v>
      </c>
      <c r="Z46" t="str">
        <f>IF(ISNUMBER(S46),"Review: NOT unit verified",IF(AE46="No match","No EIA match",IF(AF46="Unconfirmed","Unconfirmed EIA candidate","")))</f>
        <v/>
      </c>
      <c r="AE46" t="s">
        <v>65</v>
      </c>
      <c r="AF46" t="s">
        <v>66</v>
      </c>
      <c r="AG46" s="24">
        <f>IF(ISBLANK(S46),S46,I46)</f>
        <v>0</v>
      </c>
      <c r="AH46" s="34">
        <f t="shared" si="1"/>
        <v>1442.6999999999998</v>
      </c>
      <c r="AI46">
        <f t="shared" si="0"/>
        <v>900.9408890085972</v>
      </c>
      <c r="AJ46" t="b" cm="1">
        <f t="array" ref="AJ46">OR(D46=$AT$2:$AT$8)</f>
        <v>0</v>
      </c>
      <c r="AL46" s="40" t="s">
        <v>5474</v>
      </c>
      <c r="AM46" s="39">
        <v>88649</v>
      </c>
      <c r="AN46">
        <f t="shared" si="2"/>
        <v>10.527799999999999</v>
      </c>
      <c r="AP46" s="46">
        <f t="shared" si="3"/>
        <v>10.562799999999999</v>
      </c>
      <c r="AQ46">
        <f t="shared" si="4"/>
        <v>10.5</v>
      </c>
      <c r="AR46" s="47">
        <f t="shared" si="5"/>
        <v>7.4</v>
      </c>
    </row>
    <row r="47" spans="1:44" x14ac:dyDescent="0.25">
      <c r="A47" s="2" t="s">
        <v>986</v>
      </c>
      <c r="B47" s="3">
        <v>82.2</v>
      </c>
      <c r="C47" s="2" t="s">
        <v>97</v>
      </c>
      <c r="D47" s="2" t="s">
        <v>97</v>
      </c>
      <c r="E47" s="2" t="s">
        <v>87</v>
      </c>
      <c r="F47" s="4" t="s">
        <v>88</v>
      </c>
      <c r="G47" s="4" t="s">
        <v>89</v>
      </c>
      <c r="H47" s="5"/>
      <c r="I47" s="5"/>
      <c r="J47" s="5"/>
      <c r="K47" s="4" t="s">
        <v>62</v>
      </c>
      <c r="L47" s="4" t="s">
        <v>63</v>
      </c>
      <c r="M47" s="6" t="str">
        <f>IF(OR(B47="",I47=""),"",B47*I47)</f>
        <v/>
      </c>
      <c r="N47" s="8" t="s">
        <v>64</v>
      </c>
      <c r="O47" s="9"/>
      <c r="P47" s="9"/>
      <c r="Q47" s="22"/>
      <c r="R47" s="22"/>
      <c r="S47" s="23" t="str">
        <f>IF(AND(ISNUMBER(Q47),Q47&gt;0,ISNUMBER(R47),R47&gt;0),R47/Q47,"")</f>
        <v/>
      </c>
      <c r="T47" s="9"/>
      <c r="U47" s="9"/>
      <c r="V47" s="9"/>
      <c r="W47" s="9"/>
      <c r="X47" s="23" t="str">
        <f>IF(ISNUMBER(S47),S47,IF(ISNUMBER(I47),I47,""))</f>
        <v/>
      </c>
      <c r="Y47" t="str">
        <f>IF(ISNUMBER(S47),"2025 EIA-923 plant/group proxy",IF(ISNUMBER(I47),"Technology estimate","No thermal heat rate"))</f>
        <v>No thermal heat rate</v>
      </c>
      <c r="Z47" t="str">
        <f>IF(ISNUMBER(S47),"Review: NOT unit verified",IF(AE47="No match","No EIA match",IF(AF47="Unconfirmed","Unconfirmed EIA candidate","")))</f>
        <v/>
      </c>
      <c r="AE47" t="s">
        <v>65</v>
      </c>
      <c r="AF47" t="s">
        <v>66</v>
      </c>
      <c r="AG47" s="24">
        <f>IF(ISBLANK(S47),S47,I47)</f>
        <v>0</v>
      </c>
      <c r="AH47" s="34">
        <f t="shared" si="1"/>
        <v>1524.8999999999999</v>
      </c>
      <c r="AI47">
        <f t="shared" si="0"/>
        <v>952.27334972566018</v>
      </c>
      <c r="AJ47" t="b" cm="1">
        <f t="array" ref="AJ47">OR(D47=$AT$2:$AT$8)</f>
        <v>0</v>
      </c>
      <c r="AL47" s="40" t="s">
        <v>5475</v>
      </c>
      <c r="AM47" s="39">
        <v>89565</v>
      </c>
      <c r="AN47">
        <f t="shared" si="2"/>
        <v>10.562799999999999</v>
      </c>
      <c r="AP47" s="46">
        <f t="shared" si="3"/>
        <v>10.562799999999999</v>
      </c>
      <c r="AQ47">
        <f t="shared" si="4"/>
        <v>10.5</v>
      </c>
      <c r="AR47" s="47">
        <f t="shared" si="5"/>
        <v>7.4</v>
      </c>
    </row>
    <row r="48" spans="1:44" x14ac:dyDescent="0.25">
      <c r="A48" s="2" t="s">
        <v>996</v>
      </c>
      <c r="B48" s="3">
        <v>6</v>
      </c>
      <c r="C48" s="2" t="s">
        <v>80</v>
      </c>
      <c r="D48" s="2" t="s">
        <v>81</v>
      </c>
      <c r="E48" s="2" t="s">
        <v>87</v>
      </c>
      <c r="F48" s="4" t="s">
        <v>88</v>
      </c>
      <c r="G48" s="4" t="s">
        <v>89</v>
      </c>
      <c r="H48" s="5"/>
      <c r="I48" s="5"/>
      <c r="J48" s="5"/>
      <c r="K48" s="4" t="s">
        <v>62</v>
      </c>
      <c r="L48" s="4" t="s">
        <v>63</v>
      </c>
      <c r="M48" s="6" t="str">
        <f>IF(OR(B48="",I48=""),"",B48*I48)</f>
        <v/>
      </c>
      <c r="N48" s="8" t="s">
        <v>64</v>
      </c>
      <c r="O48" s="9"/>
      <c r="P48" s="9"/>
      <c r="Q48" s="22"/>
      <c r="R48" s="22"/>
      <c r="S48" s="23" t="str">
        <f>IF(AND(ISNUMBER(Q48),Q48&gt;0,ISNUMBER(R48),R48&gt;0),R48/Q48,"")</f>
        <v/>
      </c>
      <c r="T48" s="9"/>
      <c r="U48" s="9"/>
      <c r="V48" s="9"/>
      <c r="W48" s="9"/>
      <c r="X48" s="23" t="str">
        <f>IF(ISNUMBER(S48),S48,IF(ISNUMBER(I48),I48,""))</f>
        <v/>
      </c>
      <c r="Y48" t="str">
        <f>IF(ISNUMBER(S48),"2025 EIA-923 plant/group proxy",IF(ISNUMBER(I48),"Technology estimate","No thermal heat rate"))</f>
        <v>No thermal heat rate</v>
      </c>
      <c r="Z48" t="str">
        <f>IF(ISNUMBER(S48),"Review: NOT unit verified",IF(AE48="No match","No EIA match",IF(AF48="Unconfirmed","Unconfirmed EIA candidate","")))</f>
        <v/>
      </c>
      <c r="AE48" t="s">
        <v>65</v>
      </c>
      <c r="AF48" t="s">
        <v>66</v>
      </c>
      <c r="AG48" s="24">
        <f>IF(ISBLANK(S48),S48,I48)</f>
        <v>0</v>
      </c>
      <c r="AH48" s="34">
        <f t="shared" si="1"/>
        <v>1530.8999999999999</v>
      </c>
      <c r="AI48">
        <f t="shared" si="0"/>
        <v>956.02024466851151</v>
      </c>
      <c r="AJ48" t="b" cm="1">
        <f t="array" ref="AJ48">OR(D48=$AT$2:$AT$8)</f>
        <v>0</v>
      </c>
      <c r="AL48" s="40" t="s">
        <v>5476</v>
      </c>
      <c r="AM48" s="39">
        <v>89029</v>
      </c>
      <c r="AN48">
        <f t="shared" si="2"/>
        <v>10.527799999999999</v>
      </c>
      <c r="AP48" s="46">
        <f t="shared" si="3"/>
        <v>10.562799999999999</v>
      </c>
      <c r="AQ48">
        <f t="shared" si="4"/>
        <v>10.5</v>
      </c>
      <c r="AR48" s="47">
        <f t="shared" si="5"/>
        <v>7.4</v>
      </c>
    </row>
    <row r="49" spans="1:44" x14ac:dyDescent="0.25">
      <c r="A49" s="2" t="s">
        <v>1056</v>
      </c>
      <c r="B49" s="3">
        <v>72.400000000000006</v>
      </c>
      <c r="C49" s="2" t="s">
        <v>80</v>
      </c>
      <c r="D49" s="2" t="s">
        <v>81</v>
      </c>
      <c r="E49" s="2" t="s">
        <v>87</v>
      </c>
      <c r="F49" s="4" t="s">
        <v>88</v>
      </c>
      <c r="G49" s="4" t="s">
        <v>89</v>
      </c>
      <c r="H49" s="5"/>
      <c r="I49" s="5"/>
      <c r="J49" s="5"/>
      <c r="K49" s="4" t="s">
        <v>62</v>
      </c>
      <c r="L49" s="4" t="s">
        <v>63</v>
      </c>
      <c r="M49" s="6" t="str">
        <f>IF(OR(B49="",I49=""),"",B49*I49)</f>
        <v/>
      </c>
      <c r="N49" s="8" t="s">
        <v>64</v>
      </c>
      <c r="O49" s="9"/>
      <c r="P49" s="9"/>
      <c r="Q49" s="22"/>
      <c r="R49" s="22"/>
      <c r="S49" s="23" t="str">
        <f>IF(AND(ISNUMBER(Q49),Q49&gt;0,ISNUMBER(R49),R49&gt;0),R49/Q49,"")</f>
        <v/>
      </c>
      <c r="T49" s="9"/>
      <c r="U49" s="9"/>
      <c r="V49" s="9"/>
      <c r="W49" s="9"/>
      <c r="X49" s="23" t="str">
        <f>IF(ISNUMBER(S49),S49,IF(ISNUMBER(I49),I49,""))</f>
        <v/>
      </c>
      <c r="Y49" t="str">
        <f>IF(ISNUMBER(S49),"2025 EIA-923 plant/group proxy",IF(ISNUMBER(I49),"Technology estimate","No thermal heat rate"))</f>
        <v>No thermal heat rate</v>
      </c>
      <c r="Z49" t="str">
        <f>IF(ISNUMBER(S49),"Review: NOT unit verified",IF(AE49="No match","No EIA match",IF(AF49="Unconfirmed","Unconfirmed EIA candidate","")))</f>
        <v/>
      </c>
      <c r="AE49" t="s">
        <v>65</v>
      </c>
      <c r="AF49" t="s">
        <v>66</v>
      </c>
      <c r="AG49" s="24">
        <f>IF(ISBLANK(S49),S49,I49)</f>
        <v>0</v>
      </c>
      <c r="AH49" s="34">
        <f t="shared" si="1"/>
        <v>1603.3</v>
      </c>
      <c r="AI49">
        <f t="shared" si="0"/>
        <v>1001.2327769789173</v>
      </c>
      <c r="AJ49" t="b" cm="1">
        <f t="array" ref="AJ49">OR(D49=$AT$2:$AT$8)</f>
        <v>0</v>
      </c>
      <c r="AL49" s="40" t="s">
        <v>5477</v>
      </c>
      <c r="AM49" s="39">
        <v>87000</v>
      </c>
      <c r="AN49">
        <f t="shared" si="2"/>
        <v>10.5</v>
      </c>
      <c r="AP49" s="46">
        <f t="shared" si="3"/>
        <v>10.562799999999999</v>
      </c>
      <c r="AQ49">
        <f t="shared" si="4"/>
        <v>10.5</v>
      </c>
      <c r="AR49" s="47">
        <f t="shared" si="5"/>
        <v>7.4</v>
      </c>
    </row>
    <row r="50" spans="1:44" x14ac:dyDescent="0.25">
      <c r="A50" s="2" t="s">
        <v>1075</v>
      </c>
      <c r="B50" s="3">
        <v>42.2</v>
      </c>
      <c r="C50" s="2" t="s">
        <v>97</v>
      </c>
      <c r="D50" s="2" t="s">
        <v>97</v>
      </c>
      <c r="E50" s="2" t="s">
        <v>87</v>
      </c>
      <c r="F50" s="4" t="s">
        <v>88</v>
      </c>
      <c r="G50" s="4" t="s">
        <v>89</v>
      </c>
      <c r="H50" s="5"/>
      <c r="I50" s="5"/>
      <c r="J50" s="5"/>
      <c r="K50" s="4" t="s">
        <v>62</v>
      </c>
      <c r="L50" s="4" t="s">
        <v>63</v>
      </c>
      <c r="M50" s="6" t="str">
        <f>IF(OR(B50="",I50=""),"",B50*I50)</f>
        <v/>
      </c>
      <c r="N50" s="8" t="s">
        <v>64</v>
      </c>
      <c r="O50" s="9"/>
      <c r="P50" s="9"/>
      <c r="Q50" s="22"/>
      <c r="R50" s="22"/>
      <c r="S50" s="23" t="str">
        <f>IF(AND(ISNUMBER(Q50),Q50&gt;0,ISNUMBER(R50),R50&gt;0),R50/Q50,"")</f>
        <v/>
      </c>
      <c r="T50" s="9"/>
      <c r="U50" s="9"/>
      <c r="V50" s="9"/>
      <c r="W50" s="9"/>
      <c r="X50" s="23" t="str">
        <f>IF(ISNUMBER(S50),S50,IF(ISNUMBER(I50),I50,""))</f>
        <v/>
      </c>
      <c r="Y50" t="str">
        <f>IF(ISNUMBER(S50),"2025 EIA-923 plant/group proxy",IF(ISNUMBER(I50),"Technology estimate","No thermal heat rate"))</f>
        <v>No thermal heat rate</v>
      </c>
      <c r="Z50" t="str">
        <f>IF(ISNUMBER(S50),"Review: NOT unit verified",IF(AE50="No match","No EIA match",IF(AF50="Unconfirmed","Unconfirmed EIA candidate","")))</f>
        <v/>
      </c>
      <c r="AE50" t="s">
        <v>65</v>
      </c>
      <c r="AF50" t="s">
        <v>66</v>
      </c>
      <c r="AG50" s="24">
        <f>IF(ISBLANK(S50),S50,I50)</f>
        <v>0</v>
      </c>
      <c r="AH50" s="34">
        <f t="shared" si="1"/>
        <v>1645.5</v>
      </c>
      <c r="AI50">
        <f t="shared" si="0"/>
        <v>1027.5859380769716</v>
      </c>
      <c r="AJ50" t="b" cm="1">
        <f t="array" ref="AJ50">OR(D50=$AT$2:$AT$8)</f>
        <v>0</v>
      </c>
      <c r="AL50" s="40" t="s">
        <v>5478</v>
      </c>
      <c r="AM50" s="39">
        <v>83901</v>
      </c>
      <c r="AN50">
        <f t="shared" si="2"/>
        <v>10.3833</v>
      </c>
      <c r="AP50" s="46">
        <f t="shared" si="3"/>
        <v>10.562799999999999</v>
      </c>
      <c r="AQ50">
        <f t="shared" si="4"/>
        <v>10.5</v>
      </c>
      <c r="AR50" s="47">
        <f t="shared" si="5"/>
        <v>7.4</v>
      </c>
    </row>
    <row r="51" spans="1:44" ht="15.75" thickBot="1" x14ac:dyDescent="0.3">
      <c r="A51" s="2" t="s">
        <v>1107</v>
      </c>
      <c r="B51" s="3">
        <v>10.3</v>
      </c>
      <c r="C51" s="2" t="s">
        <v>136</v>
      </c>
      <c r="D51" s="2" t="s">
        <v>136</v>
      </c>
      <c r="E51" s="2" t="s">
        <v>87</v>
      </c>
      <c r="F51" s="4" t="s">
        <v>88</v>
      </c>
      <c r="G51" s="4" t="s">
        <v>89</v>
      </c>
      <c r="H51" s="5"/>
      <c r="I51" s="5"/>
      <c r="J51" s="5"/>
      <c r="K51" s="4" t="s">
        <v>62</v>
      </c>
      <c r="L51" s="4" t="s">
        <v>63</v>
      </c>
      <c r="M51" s="6" t="str">
        <f>IF(OR(B51="",I51=""),"",B51*I51)</f>
        <v/>
      </c>
      <c r="N51" s="8" t="s">
        <v>64</v>
      </c>
      <c r="O51" s="9"/>
      <c r="P51" s="9"/>
      <c r="Q51" s="22"/>
      <c r="R51" s="22"/>
      <c r="S51" s="23" t="str">
        <f>IF(AND(ISNUMBER(Q51),Q51&gt;0,ISNUMBER(R51),R51&gt;0),R51/Q51,"")</f>
        <v/>
      </c>
      <c r="T51" s="9"/>
      <c r="U51" s="9"/>
      <c r="V51" s="9"/>
      <c r="W51" s="9"/>
      <c r="X51" s="23" t="str">
        <f>IF(ISNUMBER(S51),S51,IF(ISNUMBER(I51),I51,""))</f>
        <v/>
      </c>
      <c r="Y51" t="str">
        <f>IF(ISNUMBER(S51),"2025 EIA-923 plant/group proxy",IF(ISNUMBER(I51),"Technology estimate","No thermal heat rate"))</f>
        <v>No thermal heat rate</v>
      </c>
      <c r="Z51" t="str">
        <f>IF(ISNUMBER(S51),"Review: NOT unit verified",IF(AE51="No match","No EIA match",IF(AF51="Unconfirmed","Unconfirmed EIA candidate","")))</f>
        <v/>
      </c>
      <c r="AE51" t="s">
        <v>65</v>
      </c>
      <c r="AF51" t="s">
        <v>66</v>
      </c>
      <c r="AG51" s="24">
        <f>IF(ISBLANK(S51),S51,I51)</f>
        <v>0</v>
      </c>
      <c r="AH51" s="34">
        <f t="shared" si="1"/>
        <v>1655.8</v>
      </c>
      <c r="AI51">
        <f t="shared" si="0"/>
        <v>1034.0181077288662</v>
      </c>
      <c r="AJ51" t="b" cm="1">
        <f t="array" ref="AJ51">OR(D51=$AT$2:$AT$8)</f>
        <v>0</v>
      </c>
      <c r="AL51" s="40" t="s">
        <v>5479</v>
      </c>
      <c r="AM51" s="39">
        <v>80370</v>
      </c>
      <c r="AN51">
        <f t="shared" si="2"/>
        <v>10.255100000000001</v>
      </c>
      <c r="AP51" s="48">
        <f t="shared" si="3"/>
        <v>10.562799999999999</v>
      </c>
      <c r="AQ51" s="49">
        <f t="shared" si="4"/>
        <v>10.5</v>
      </c>
      <c r="AR51" s="50">
        <f t="shared" si="5"/>
        <v>7.4</v>
      </c>
    </row>
    <row r="52" spans="1:44" x14ac:dyDescent="0.25">
      <c r="A52" s="2" t="s">
        <v>1108</v>
      </c>
      <c r="B52" s="3">
        <v>3</v>
      </c>
      <c r="C52" s="2" t="s">
        <v>136</v>
      </c>
      <c r="D52" s="2" t="s">
        <v>136</v>
      </c>
      <c r="E52" s="2" t="s">
        <v>87</v>
      </c>
      <c r="F52" s="4" t="s">
        <v>88</v>
      </c>
      <c r="G52" s="4" t="s">
        <v>89</v>
      </c>
      <c r="H52" s="5"/>
      <c r="I52" s="5"/>
      <c r="J52" s="5"/>
      <c r="K52" s="4" t="s">
        <v>62</v>
      </c>
      <c r="L52" s="4" t="s">
        <v>63</v>
      </c>
      <c r="M52" s="6" t="str">
        <f>IF(OR(B52="",I52=""),"",B52*I52)</f>
        <v/>
      </c>
      <c r="N52" s="8" t="s">
        <v>64</v>
      </c>
      <c r="O52" s="9"/>
      <c r="P52" s="9"/>
      <c r="Q52" s="22"/>
      <c r="R52" s="22"/>
      <c r="S52" s="23" t="str">
        <f>IF(AND(ISNUMBER(Q52),Q52&gt;0,ISNUMBER(R52),R52&gt;0),R52/Q52,"")</f>
        <v/>
      </c>
      <c r="T52" s="9"/>
      <c r="U52" s="9"/>
      <c r="V52" s="9"/>
      <c r="W52" s="9"/>
      <c r="X52" s="23" t="str">
        <f>IF(ISNUMBER(S52),S52,IF(ISNUMBER(I52),I52,""))</f>
        <v/>
      </c>
      <c r="Y52" t="str">
        <f>IF(ISNUMBER(S52),"2025 EIA-923 plant/group proxy",IF(ISNUMBER(I52),"Technology estimate","No thermal heat rate"))</f>
        <v>No thermal heat rate</v>
      </c>
      <c r="Z52" t="str">
        <f>IF(ISNUMBER(S52),"Review: NOT unit verified",IF(AE52="No match","No EIA match",IF(AF52="Unconfirmed","Unconfirmed EIA candidate","")))</f>
        <v/>
      </c>
      <c r="AE52" t="s">
        <v>65</v>
      </c>
      <c r="AF52" t="s">
        <v>66</v>
      </c>
      <c r="AG52" s="24">
        <f>IF(ISBLANK(S52),S52,I52)</f>
        <v>0</v>
      </c>
      <c r="AH52" s="34">
        <f t="shared" si="1"/>
        <v>1658.8</v>
      </c>
      <c r="AI52">
        <f t="shared" si="0"/>
        <v>1035.891555200292</v>
      </c>
      <c r="AJ52" t="b" cm="1">
        <f t="array" ref="AJ52">OR(D52=$AT$2:$AT$8)</f>
        <v>0</v>
      </c>
    </row>
    <row r="53" spans="1:44" x14ac:dyDescent="0.25">
      <c r="A53" s="2" t="s">
        <v>1109</v>
      </c>
      <c r="B53" s="3">
        <v>86.9</v>
      </c>
      <c r="C53" s="2" t="s">
        <v>97</v>
      </c>
      <c r="D53" s="2" t="s">
        <v>97</v>
      </c>
      <c r="E53" s="2" t="s">
        <v>87</v>
      </c>
      <c r="F53" s="4" t="s">
        <v>88</v>
      </c>
      <c r="G53" s="4" t="s">
        <v>89</v>
      </c>
      <c r="H53" s="5"/>
      <c r="I53" s="5"/>
      <c r="J53" s="5"/>
      <c r="K53" s="4" t="s">
        <v>62</v>
      </c>
      <c r="L53" s="4" t="s">
        <v>63</v>
      </c>
      <c r="M53" s="6" t="str">
        <f>IF(OR(B53="",I53=""),"",B53*I53)</f>
        <v/>
      </c>
      <c r="N53" s="8" t="s">
        <v>64</v>
      </c>
      <c r="O53" s="9"/>
      <c r="P53" s="9"/>
      <c r="Q53" s="22"/>
      <c r="R53" s="22"/>
      <c r="S53" s="23" t="str">
        <f>IF(AND(ISNUMBER(Q53),Q53&gt;0,ISNUMBER(R53),R53&gt;0),R53/Q53,"")</f>
        <v/>
      </c>
      <c r="T53" s="9"/>
      <c r="U53" s="9"/>
      <c r="V53" s="9"/>
      <c r="W53" s="9"/>
      <c r="X53" s="23" t="str">
        <f>IF(ISNUMBER(S53),S53,IF(ISNUMBER(I53),I53,""))</f>
        <v/>
      </c>
      <c r="Y53" t="str">
        <f>IF(ISNUMBER(S53),"2025 EIA-923 plant/group proxy",IF(ISNUMBER(I53),"Technology estimate","No thermal heat rate"))</f>
        <v>No thermal heat rate</v>
      </c>
      <c r="Z53" t="str">
        <f>IF(ISNUMBER(S53),"Review: NOT unit verified",IF(AE53="No match","No EIA match",IF(AF53="Unconfirmed","Unconfirmed EIA candidate","")))</f>
        <v/>
      </c>
      <c r="AE53" t="s">
        <v>65</v>
      </c>
      <c r="AF53" t="s">
        <v>66</v>
      </c>
      <c r="AG53" s="24">
        <f>IF(ISBLANK(S53),S53,I53)</f>
        <v>0</v>
      </c>
      <c r="AH53" s="34">
        <f t="shared" si="1"/>
        <v>1745.7</v>
      </c>
      <c r="AI53">
        <f t="shared" si="0"/>
        <v>1090.1590836225885</v>
      </c>
      <c r="AJ53" t="b" cm="1">
        <f t="array" ref="AJ53">OR(D53=$AT$2:$AT$8)</f>
        <v>0</v>
      </c>
    </row>
    <row r="54" spans="1:44" x14ac:dyDescent="0.25">
      <c r="A54" s="2" t="s">
        <v>1111</v>
      </c>
      <c r="B54" s="3">
        <v>19</v>
      </c>
      <c r="C54" s="2" t="s">
        <v>97</v>
      </c>
      <c r="D54" s="2" t="s">
        <v>97</v>
      </c>
      <c r="E54" s="2" t="s">
        <v>87</v>
      </c>
      <c r="F54" s="4" t="s">
        <v>88</v>
      </c>
      <c r="G54" s="4" t="s">
        <v>89</v>
      </c>
      <c r="H54" s="5"/>
      <c r="I54" s="5"/>
      <c r="J54" s="5"/>
      <c r="K54" s="4" t="s">
        <v>62</v>
      </c>
      <c r="L54" s="4" t="s">
        <v>63</v>
      </c>
      <c r="M54" s="6" t="str">
        <f>IF(OR(B54="",I54=""),"",B54*I54)</f>
        <v/>
      </c>
      <c r="N54" s="8" t="s">
        <v>64</v>
      </c>
      <c r="O54" s="9"/>
      <c r="P54" s="9"/>
      <c r="Q54" s="22"/>
      <c r="R54" s="22"/>
      <c r="S54" s="23" t="str">
        <f>IF(AND(ISNUMBER(Q54),Q54&gt;0,ISNUMBER(R54),R54&gt;0),R54/Q54,"")</f>
        <v/>
      </c>
      <c r="T54" s="9"/>
      <c r="U54" s="9"/>
      <c r="V54" s="9"/>
      <c r="W54" s="9"/>
      <c r="X54" s="23" t="str">
        <f>IF(ISNUMBER(S54),S54,IF(ISNUMBER(I54),I54,""))</f>
        <v/>
      </c>
      <c r="Y54" t="str">
        <f>IF(ISNUMBER(S54),"2025 EIA-923 plant/group proxy",IF(ISNUMBER(I54),"Technology estimate","No thermal heat rate"))</f>
        <v>No thermal heat rate</v>
      </c>
      <c r="Z54" t="str">
        <f>IF(ISNUMBER(S54),"Review: NOT unit verified",IF(AE54="No match","No EIA match",IF(AF54="Unconfirmed","Unconfirmed EIA candidate","")))</f>
        <v/>
      </c>
      <c r="AE54" t="s">
        <v>65</v>
      </c>
      <c r="AF54" t="s">
        <v>66</v>
      </c>
      <c r="AG54" s="24">
        <f>IF(ISBLANK(S54),S54,I54)</f>
        <v>0</v>
      </c>
      <c r="AH54" s="34">
        <f t="shared" si="1"/>
        <v>1764.7</v>
      </c>
      <c r="AI54">
        <f t="shared" si="0"/>
        <v>1102.0242509416175</v>
      </c>
      <c r="AJ54" t="b" cm="1">
        <f t="array" ref="AJ54">OR(D54=$AT$2:$AT$8)</f>
        <v>0</v>
      </c>
    </row>
    <row r="55" spans="1:44" x14ac:dyDescent="0.25">
      <c r="A55" s="2" t="s">
        <v>1112</v>
      </c>
      <c r="B55" s="3">
        <v>12.9</v>
      </c>
      <c r="C55" s="2" t="s">
        <v>86</v>
      </c>
      <c r="D55" s="2" t="s">
        <v>76</v>
      </c>
      <c r="E55" s="2" t="s">
        <v>87</v>
      </c>
      <c r="F55" s="4" t="s">
        <v>88</v>
      </c>
      <c r="G55" s="4" t="s">
        <v>89</v>
      </c>
      <c r="H55" s="5"/>
      <c r="I55" s="5"/>
      <c r="J55" s="5"/>
      <c r="K55" s="4" t="s">
        <v>62</v>
      </c>
      <c r="L55" s="4" t="s">
        <v>63</v>
      </c>
      <c r="M55" s="6" t="str">
        <f>IF(OR(B55="",I55=""),"",B55*I55)</f>
        <v/>
      </c>
      <c r="N55" s="8" t="s">
        <v>64</v>
      </c>
      <c r="O55" s="9"/>
      <c r="P55" s="9"/>
      <c r="Q55" s="22"/>
      <c r="R55" s="22"/>
      <c r="S55" s="23" t="str">
        <f>IF(AND(ISNUMBER(Q55),Q55&gt;0,ISNUMBER(R55),R55&gt;0),R55/Q55,"")</f>
        <v/>
      </c>
      <c r="T55" s="9"/>
      <c r="U55" s="9"/>
      <c r="V55" s="9"/>
      <c r="W55" s="9"/>
      <c r="X55" s="23" t="str">
        <f>IF(ISNUMBER(S55),S55,IF(ISNUMBER(I55),I55,""))</f>
        <v/>
      </c>
      <c r="Y55" t="str">
        <f>IF(ISNUMBER(S55),"2025 EIA-923 plant/group proxy",IF(ISNUMBER(I55),"Technology estimate","No thermal heat rate"))</f>
        <v>No thermal heat rate</v>
      </c>
      <c r="Z55" t="str">
        <f>IF(ISNUMBER(S55),"Review: NOT unit verified",IF(AE55="No match","No EIA match",IF(AF55="Unconfirmed","Unconfirmed EIA candidate","")))</f>
        <v/>
      </c>
      <c r="AE55" t="s">
        <v>65</v>
      </c>
      <c r="AF55" t="s">
        <v>66</v>
      </c>
      <c r="AG55" s="24">
        <f>IF(ISBLANK(S55),S55,I55)</f>
        <v>0</v>
      </c>
      <c r="AH55" s="34">
        <f t="shared" si="1"/>
        <v>1777.6000000000001</v>
      </c>
      <c r="AI55">
        <f t="shared" si="0"/>
        <v>1110.0800750687479</v>
      </c>
      <c r="AJ55" t="b" cm="1">
        <f t="array" ref="AJ55">OR(D55=$AT$2:$AT$8)</f>
        <v>0</v>
      </c>
    </row>
    <row r="56" spans="1:44" x14ac:dyDescent="0.25">
      <c r="A56" s="2" t="s">
        <v>1148</v>
      </c>
      <c r="B56" s="3">
        <v>46.1</v>
      </c>
      <c r="C56" s="2" t="s">
        <v>99</v>
      </c>
      <c r="D56" s="2" t="s">
        <v>81</v>
      </c>
      <c r="E56" s="2" t="s">
        <v>87</v>
      </c>
      <c r="F56" s="4" t="s">
        <v>88</v>
      </c>
      <c r="G56" s="4" t="s">
        <v>89</v>
      </c>
      <c r="H56" s="5"/>
      <c r="I56" s="5"/>
      <c r="J56" s="5"/>
      <c r="K56" s="4" t="s">
        <v>62</v>
      </c>
      <c r="L56" s="4" t="s">
        <v>63</v>
      </c>
      <c r="M56" s="6" t="str">
        <f>IF(OR(B56="",I56=""),"",B56*I56)</f>
        <v/>
      </c>
      <c r="N56" s="8" t="s">
        <v>64</v>
      </c>
      <c r="O56" s="9"/>
      <c r="P56" s="9"/>
      <c r="Q56" s="22"/>
      <c r="R56" s="22"/>
      <c r="S56" s="23" t="str">
        <f>IF(AND(ISNUMBER(Q56),Q56&gt;0,ISNUMBER(R56),R56&gt;0),R56/Q56,"")</f>
        <v/>
      </c>
      <c r="T56" s="9"/>
      <c r="U56" s="9"/>
      <c r="V56" s="9"/>
      <c r="W56" s="9"/>
      <c r="X56" s="23" t="str">
        <f>IF(ISNUMBER(S56),S56,IF(ISNUMBER(I56),I56,""))</f>
        <v/>
      </c>
      <c r="Y56" t="str">
        <f>IF(ISNUMBER(S56),"2025 EIA-923 plant/group proxy",IF(ISNUMBER(I56),"Technology estimate","No thermal heat rate"))</f>
        <v>No thermal heat rate</v>
      </c>
      <c r="Z56" t="str">
        <f>IF(ISNUMBER(S56),"Review: NOT unit verified",IF(AE56="No match","No EIA match",IF(AF56="Unconfirmed","Unconfirmed EIA candidate","")))</f>
        <v/>
      </c>
      <c r="AE56" t="s">
        <v>65</v>
      </c>
      <c r="AF56" t="s">
        <v>66</v>
      </c>
      <c r="AG56" s="24">
        <f>IF(ISBLANK(S56),S56,I56)</f>
        <v>0</v>
      </c>
      <c r="AH56" s="34">
        <f t="shared" si="1"/>
        <v>1823.7</v>
      </c>
      <c r="AI56">
        <f t="shared" si="0"/>
        <v>1138.8687178796554</v>
      </c>
      <c r="AJ56" t="b" cm="1">
        <f t="array" ref="AJ56">OR(D56=$AT$2:$AT$8)</f>
        <v>0</v>
      </c>
    </row>
    <row r="57" spans="1:44" x14ac:dyDescent="0.25">
      <c r="A57" s="2" t="s">
        <v>1149</v>
      </c>
      <c r="B57" s="3">
        <v>47.9</v>
      </c>
      <c r="C57" s="2" t="s">
        <v>99</v>
      </c>
      <c r="D57" s="2" t="s">
        <v>81</v>
      </c>
      <c r="E57" s="2" t="s">
        <v>87</v>
      </c>
      <c r="F57" s="4" t="s">
        <v>88</v>
      </c>
      <c r="G57" s="4" t="s">
        <v>89</v>
      </c>
      <c r="H57" s="5"/>
      <c r="I57" s="5"/>
      <c r="J57" s="5"/>
      <c r="K57" s="4" t="s">
        <v>62</v>
      </c>
      <c r="L57" s="4" t="s">
        <v>63</v>
      </c>
      <c r="M57" s="6" t="str">
        <f>IF(OR(B57="",I57=""),"",B57*I57)</f>
        <v/>
      </c>
      <c r="N57" s="8" t="s">
        <v>64</v>
      </c>
      <c r="O57" s="9"/>
      <c r="P57" s="9"/>
      <c r="Q57" s="22"/>
      <c r="R57" s="22"/>
      <c r="S57" s="23" t="str">
        <f>IF(AND(ISNUMBER(Q57),Q57&gt;0,ISNUMBER(R57),R57&gt;0),R57/Q57,"")</f>
        <v/>
      </c>
      <c r="T57" s="9"/>
      <c r="U57" s="9"/>
      <c r="V57" s="9"/>
      <c r="W57" s="9"/>
      <c r="X57" s="23" t="str">
        <f>IF(ISNUMBER(S57),S57,IF(ISNUMBER(I57),I57,""))</f>
        <v/>
      </c>
      <c r="Y57" t="str">
        <f>IF(ISNUMBER(S57),"2025 EIA-923 plant/group proxy",IF(ISNUMBER(I57),"Technology estimate","No thermal heat rate"))</f>
        <v>No thermal heat rate</v>
      </c>
      <c r="Z57" t="str">
        <f>IF(ISNUMBER(S57),"Review: NOT unit verified",IF(AE57="No match","No EIA match",IF(AF57="Unconfirmed","Unconfirmed EIA candidate","")))</f>
        <v/>
      </c>
      <c r="AE57" t="s">
        <v>65</v>
      </c>
      <c r="AF57" t="s">
        <v>66</v>
      </c>
      <c r="AG57" s="24">
        <f>IF(ISBLANK(S57),S57,I57)</f>
        <v>0</v>
      </c>
      <c r="AH57" s="34">
        <f t="shared" si="1"/>
        <v>1871.6000000000001</v>
      </c>
      <c r="AI57">
        <f t="shared" si="0"/>
        <v>1168.7814291734185</v>
      </c>
      <c r="AJ57" t="b" cm="1">
        <f t="array" ref="AJ57">OR(D57=$AT$2:$AT$8)</f>
        <v>0</v>
      </c>
    </row>
    <row r="58" spans="1:44" x14ac:dyDescent="0.25">
      <c r="A58" s="2" t="s">
        <v>1150</v>
      </c>
      <c r="B58" s="3">
        <v>46.5</v>
      </c>
      <c r="C58" s="2" t="s">
        <v>99</v>
      </c>
      <c r="D58" s="2" t="s">
        <v>81</v>
      </c>
      <c r="E58" s="2" t="s">
        <v>87</v>
      </c>
      <c r="F58" s="4" t="s">
        <v>88</v>
      </c>
      <c r="G58" s="4" t="s">
        <v>89</v>
      </c>
      <c r="H58" s="5"/>
      <c r="I58" s="5"/>
      <c r="J58" s="5"/>
      <c r="K58" s="4" t="s">
        <v>62</v>
      </c>
      <c r="L58" s="4" t="s">
        <v>63</v>
      </c>
      <c r="M58" s="6" t="str">
        <f>IF(OR(B58="",I58=""),"",B58*I58)</f>
        <v/>
      </c>
      <c r="N58" s="8" t="s">
        <v>64</v>
      </c>
      <c r="O58" s="9"/>
      <c r="P58" s="9"/>
      <c r="Q58" s="22"/>
      <c r="R58" s="22"/>
      <c r="S58" s="23" t="str">
        <f>IF(AND(ISNUMBER(Q58),Q58&gt;0,ISNUMBER(R58),R58&gt;0),R58/Q58,"")</f>
        <v/>
      </c>
      <c r="T58" s="9"/>
      <c r="U58" s="9"/>
      <c r="V58" s="9"/>
      <c r="W58" s="9"/>
      <c r="X58" s="23" t="str">
        <f>IF(ISNUMBER(S58),S58,IF(ISNUMBER(I58),I58,""))</f>
        <v/>
      </c>
      <c r="Y58" t="str">
        <f>IF(ISNUMBER(S58),"2025 EIA-923 plant/group proxy",IF(ISNUMBER(I58),"Technology estimate","No thermal heat rate"))</f>
        <v>No thermal heat rate</v>
      </c>
      <c r="Z58" t="str">
        <f>IF(ISNUMBER(S58),"Review: NOT unit verified",IF(AE58="No match","No EIA match",IF(AF58="Unconfirmed","Unconfirmed EIA candidate","")))</f>
        <v/>
      </c>
      <c r="AE58" t="s">
        <v>65</v>
      </c>
      <c r="AF58" t="s">
        <v>66</v>
      </c>
      <c r="AG58" s="24">
        <f>IF(ISBLANK(S58),S58,I58)</f>
        <v>0</v>
      </c>
      <c r="AH58" s="34">
        <f t="shared" si="1"/>
        <v>1918.1000000000001</v>
      </c>
      <c r="AI58">
        <f t="shared" si="0"/>
        <v>1197.8198649805161</v>
      </c>
      <c r="AJ58" t="b" cm="1">
        <f t="array" ref="AJ58">OR(D58=$AT$2:$AT$8)</f>
        <v>0</v>
      </c>
    </row>
    <row r="59" spans="1:44" x14ac:dyDescent="0.25">
      <c r="A59" s="2" t="s">
        <v>1151</v>
      </c>
      <c r="B59" s="3">
        <v>47.5</v>
      </c>
      <c r="C59" s="2" t="s">
        <v>99</v>
      </c>
      <c r="D59" s="2" t="s">
        <v>81</v>
      </c>
      <c r="E59" s="2" t="s">
        <v>87</v>
      </c>
      <c r="F59" s="4" t="s">
        <v>88</v>
      </c>
      <c r="G59" s="4" t="s">
        <v>89</v>
      </c>
      <c r="H59" s="5"/>
      <c r="I59" s="5"/>
      <c r="J59" s="5"/>
      <c r="K59" s="4" t="s">
        <v>62</v>
      </c>
      <c r="L59" s="4" t="s">
        <v>63</v>
      </c>
      <c r="M59" s="6" t="str">
        <f>IF(OR(B59="",I59=""),"",B59*I59)</f>
        <v/>
      </c>
      <c r="N59" s="8" t="s">
        <v>64</v>
      </c>
      <c r="O59" s="9"/>
      <c r="P59" s="9"/>
      <c r="Q59" s="22"/>
      <c r="R59" s="22"/>
      <c r="S59" s="23" t="str">
        <f>IF(AND(ISNUMBER(Q59),Q59&gt;0,ISNUMBER(R59),R59&gt;0),R59/Q59,"")</f>
        <v/>
      </c>
      <c r="T59" s="9"/>
      <c r="U59" s="9"/>
      <c r="V59" s="9"/>
      <c r="W59" s="9"/>
      <c r="X59" s="23" t="str">
        <f>IF(ISNUMBER(S59),S59,IF(ISNUMBER(I59),I59,""))</f>
        <v/>
      </c>
      <c r="Y59" t="str">
        <f>IF(ISNUMBER(S59),"2025 EIA-923 plant/group proxy",IF(ISNUMBER(I59),"Technology estimate","No thermal heat rate"))</f>
        <v>No thermal heat rate</v>
      </c>
      <c r="Z59" t="str">
        <f>IF(ISNUMBER(S59),"Review: NOT unit verified",IF(AE59="No match","No EIA match",IF(AF59="Unconfirmed","Unconfirmed EIA candidate","")))</f>
        <v/>
      </c>
      <c r="AE59" t="s">
        <v>65</v>
      </c>
      <c r="AF59" t="s">
        <v>66</v>
      </c>
      <c r="AG59" s="24">
        <f>IF(ISBLANK(S59),S59,I59)</f>
        <v>0</v>
      </c>
      <c r="AH59" s="34">
        <f t="shared" si="1"/>
        <v>1965.6000000000001</v>
      </c>
      <c r="AI59">
        <f t="shared" si="0"/>
        <v>1227.4827832780891</v>
      </c>
      <c r="AJ59" t="b" cm="1">
        <f t="array" ref="AJ59">OR(D59=$AT$2:$AT$8)</f>
        <v>0</v>
      </c>
    </row>
    <row r="60" spans="1:44" x14ac:dyDescent="0.25">
      <c r="A60" s="2" t="s">
        <v>1152</v>
      </c>
      <c r="B60" s="3">
        <v>94</v>
      </c>
      <c r="C60" s="2" t="s">
        <v>99</v>
      </c>
      <c r="D60" s="2" t="s">
        <v>81</v>
      </c>
      <c r="E60" s="2" t="s">
        <v>87</v>
      </c>
      <c r="F60" s="4" t="s">
        <v>88</v>
      </c>
      <c r="G60" s="4" t="s">
        <v>89</v>
      </c>
      <c r="H60" s="5"/>
      <c r="I60" s="5"/>
      <c r="J60" s="5"/>
      <c r="K60" s="4" t="s">
        <v>62</v>
      </c>
      <c r="L60" s="4" t="s">
        <v>63</v>
      </c>
      <c r="M60" s="6" t="str">
        <f>IF(OR(B60="",I60=""),"",B60*I60)</f>
        <v/>
      </c>
      <c r="N60" s="8" t="s">
        <v>64</v>
      </c>
      <c r="O60" s="9"/>
      <c r="P60" s="9"/>
      <c r="Q60" s="22"/>
      <c r="R60" s="22"/>
      <c r="S60" s="23" t="str">
        <f>IF(AND(ISNUMBER(Q60),Q60&gt;0,ISNUMBER(R60),R60&gt;0),R60/Q60,"")</f>
        <v/>
      </c>
      <c r="T60" s="9"/>
      <c r="U60" s="9"/>
      <c r="V60" s="9"/>
      <c r="W60" s="9"/>
      <c r="X60" s="23" t="str">
        <f>IF(ISNUMBER(S60),S60,IF(ISNUMBER(I60),I60,""))</f>
        <v/>
      </c>
      <c r="Y60" t="str">
        <f>IF(ISNUMBER(S60),"2025 EIA-923 plant/group proxy",IF(ISNUMBER(I60),"Technology estimate","No thermal heat rate"))</f>
        <v>No thermal heat rate</v>
      </c>
      <c r="Z60" t="str">
        <f>IF(ISNUMBER(S60),"Review: NOT unit verified",IF(AE60="No match","No EIA match",IF(AF60="Unconfirmed","Unconfirmed EIA candidate","")))</f>
        <v/>
      </c>
      <c r="AE60" t="s">
        <v>65</v>
      </c>
      <c r="AF60" t="s">
        <v>66</v>
      </c>
      <c r="AG60" s="24">
        <f>IF(ISBLANK(S60),S60,I60)</f>
        <v>0</v>
      </c>
      <c r="AH60" s="34">
        <f t="shared" si="1"/>
        <v>2059.6000000000004</v>
      </c>
      <c r="AI60">
        <f t="shared" si="0"/>
        <v>1286.1841373827597</v>
      </c>
      <c r="AJ60" t="b" cm="1">
        <f t="array" ref="AJ60">OR(D60=$AT$2:$AT$8)</f>
        <v>0</v>
      </c>
    </row>
    <row r="61" spans="1:44" x14ac:dyDescent="0.25">
      <c r="A61" s="2" t="s">
        <v>1153</v>
      </c>
      <c r="B61" s="3">
        <v>94</v>
      </c>
      <c r="C61" s="2" t="s">
        <v>99</v>
      </c>
      <c r="D61" s="2" t="s">
        <v>81</v>
      </c>
      <c r="E61" s="2" t="s">
        <v>87</v>
      </c>
      <c r="F61" s="4" t="s">
        <v>88</v>
      </c>
      <c r="G61" s="4" t="s">
        <v>89</v>
      </c>
      <c r="H61" s="5"/>
      <c r="I61" s="5"/>
      <c r="J61" s="5"/>
      <c r="K61" s="4" t="s">
        <v>62</v>
      </c>
      <c r="L61" s="4" t="s">
        <v>63</v>
      </c>
      <c r="M61" s="6" t="str">
        <f>IF(OR(B61="",I61=""),"",B61*I61)</f>
        <v/>
      </c>
      <c r="N61" s="8" t="s">
        <v>64</v>
      </c>
      <c r="O61" s="9"/>
      <c r="P61" s="9"/>
      <c r="Q61" s="22"/>
      <c r="R61" s="22"/>
      <c r="S61" s="23" t="str">
        <f>IF(AND(ISNUMBER(Q61),Q61&gt;0,ISNUMBER(R61),R61&gt;0),R61/Q61,"")</f>
        <v/>
      </c>
      <c r="T61" s="9"/>
      <c r="U61" s="9"/>
      <c r="V61" s="9"/>
      <c r="W61" s="9"/>
      <c r="X61" s="23" t="str">
        <f>IF(ISNUMBER(S61),S61,IF(ISNUMBER(I61),I61,""))</f>
        <v/>
      </c>
      <c r="Y61" t="str">
        <f>IF(ISNUMBER(S61),"2025 EIA-923 plant/group proxy",IF(ISNUMBER(I61),"Technology estimate","No thermal heat rate"))</f>
        <v>No thermal heat rate</v>
      </c>
      <c r="Z61" t="str">
        <f>IF(ISNUMBER(S61),"Review: NOT unit verified",IF(AE61="No match","No EIA match",IF(AF61="Unconfirmed","Unconfirmed EIA candidate","")))</f>
        <v/>
      </c>
      <c r="AE61" t="s">
        <v>65</v>
      </c>
      <c r="AF61" t="s">
        <v>66</v>
      </c>
      <c r="AG61" s="24">
        <f>IF(ISBLANK(S61),S61,I61)</f>
        <v>0</v>
      </c>
      <c r="AH61" s="34">
        <f t="shared" si="1"/>
        <v>2153.6000000000004</v>
      </c>
      <c r="AI61">
        <f t="shared" si="0"/>
        <v>1344.88549148743</v>
      </c>
      <c r="AJ61" t="b" cm="1">
        <f t="array" ref="AJ61">OR(D61=$AT$2:$AT$8)</f>
        <v>0</v>
      </c>
    </row>
    <row r="62" spans="1:44" x14ac:dyDescent="0.25">
      <c r="A62" s="2" t="s">
        <v>1158</v>
      </c>
      <c r="B62" s="3">
        <v>21.9</v>
      </c>
      <c r="C62" s="2" t="s">
        <v>86</v>
      </c>
      <c r="D62" s="2" t="s">
        <v>76</v>
      </c>
      <c r="E62" s="2" t="s">
        <v>87</v>
      </c>
      <c r="F62" s="4" t="s">
        <v>88</v>
      </c>
      <c r="G62" s="4" t="s">
        <v>89</v>
      </c>
      <c r="H62" s="5"/>
      <c r="I62" s="5"/>
      <c r="J62" s="5"/>
      <c r="K62" s="4" t="s">
        <v>62</v>
      </c>
      <c r="L62" s="4" t="s">
        <v>63</v>
      </c>
      <c r="M62" s="6" t="str">
        <f>IF(OR(B62="",I62=""),"",B62*I62)</f>
        <v/>
      </c>
      <c r="N62" s="8" t="s">
        <v>64</v>
      </c>
      <c r="O62" s="9"/>
      <c r="P62" s="9"/>
      <c r="Q62" s="22"/>
      <c r="R62" s="22"/>
      <c r="S62" s="23" t="str">
        <f>IF(AND(ISNUMBER(Q62),Q62&gt;0,ISNUMBER(R62),R62&gt;0),R62/Q62,"")</f>
        <v/>
      </c>
      <c r="T62" s="9"/>
      <c r="U62" s="9"/>
      <c r="V62" s="9"/>
      <c r="W62" s="9"/>
      <c r="X62" s="23" t="str">
        <f>IF(ISNUMBER(S62),S62,IF(ISNUMBER(I62),I62,""))</f>
        <v/>
      </c>
      <c r="Y62" t="str">
        <f>IF(ISNUMBER(S62),"2025 EIA-923 plant/group proxy",IF(ISNUMBER(I62),"Technology estimate","No thermal heat rate"))</f>
        <v>No thermal heat rate</v>
      </c>
      <c r="Z62" t="str">
        <f>IF(ISNUMBER(S62),"Review: NOT unit verified",IF(AE62="No match","No EIA match",IF(AF62="Unconfirmed","Unconfirmed EIA candidate","")))</f>
        <v/>
      </c>
      <c r="AE62" t="s">
        <v>65</v>
      </c>
      <c r="AF62" t="s">
        <v>66</v>
      </c>
      <c r="AG62" s="24">
        <f>IF(ISBLANK(S62),S62,I62)</f>
        <v>0</v>
      </c>
      <c r="AH62" s="34">
        <f t="shared" si="1"/>
        <v>2175.5000000000005</v>
      </c>
      <c r="AI62">
        <f t="shared" si="0"/>
        <v>1358.5616580288374</v>
      </c>
      <c r="AJ62" t="b" cm="1">
        <f t="array" ref="AJ62">OR(D62=$AT$2:$AT$8)</f>
        <v>0</v>
      </c>
    </row>
    <row r="63" spans="1:44" x14ac:dyDescent="0.25">
      <c r="A63" s="2" t="s">
        <v>1162</v>
      </c>
      <c r="B63" s="3">
        <v>35.799999999999997</v>
      </c>
      <c r="C63" s="2" t="s">
        <v>97</v>
      </c>
      <c r="D63" s="2" t="s">
        <v>97</v>
      </c>
      <c r="E63" s="2" t="s">
        <v>87</v>
      </c>
      <c r="F63" s="4" t="s">
        <v>88</v>
      </c>
      <c r="G63" s="4" t="s">
        <v>89</v>
      </c>
      <c r="H63" s="5"/>
      <c r="I63" s="5"/>
      <c r="J63" s="5"/>
      <c r="K63" s="4" t="s">
        <v>62</v>
      </c>
      <c r="L63" s="4" t="s">
        <v>63</v>
      </c>
      <c r="M63" s="6" t="str">
        <f>IF(OR(B63="",I63=""),"",B63*I63)</f>
        <v/>
      </c>
      <c r="N63" s="8" t="s">
        <v>64</v>
      </c>
      <c r="O63" s="9"/>
      <c r="P63" s="9"/>
      <c r="Q63" s="22"/>
      <c r="R63" s="22"/>
      <c r="S63" s="23" t="str">
        <f>IF(AND(ISNUMBER(Q63),Q63&gt;0,ISNUMBER(R63),R63&gt;0),R63/Q63,"")</f>
        <v/>
      </c>
      <c r="T63" s="9"/>
      <c r="U63" s="9"/>
      <c r="V63" s="9"/>
      <c r="W63" s="9"/>
      <c r="X63" s="23" t="str">
        <f>IF(ISNUMBER(S63),S63,IF(ISNUMBER(I63),I63,""))</f>
        <v/>
      </c>
      <c r="Y63" t="str">
        <f>IF(ISNUMBER(S63),"2025 EIA-923 plant/group proxy",IF(ISNUMBER(I63),"Technology estimate","No thermal heat rate"))</f>
        <v>No thermal heat rate</v>
      </c>
      <c r="Z63" t="str">
        <f>IF(ISNUMBER(S63),"Review: NOT unit verified",IF(AE63="No match","No EIA match",IF(AF63="Unconfirmed","Unconfirmed EIA candidate","")))</f>
        <v/>
      </c>
      <c r="AE63" t="s">
        <v>65</v>
      </c>
      <c r="AF63" t="s">
        <v>66</v>
      </c>
      <c r="AG63" s="24">
        <f>IF(ISBLANK(S63),S63,I63)</f>
        <v>0</v>
      </c>
      <c r="AH63" s="34">
        <f t="shared" si="1"/>
        <v>2211.3000000000006</v>
      </c>
      <c r="AI63">
        <f t="shared" si="0"/>
        <v>1380.9181311878503</v>
      </c>
      <c r="AJ63" t="b" cm="1">
        <f t="array" ref="AJ63">OR(D63=$AT$2:$AT$8)</f>
        <v>0</v>
      </c>
    </row>
    <row r="64" spans="1:44" x14ac:dyDescent="0.25">
      <c r="A64" s="2" t="s">
        <v>1164</v>
      </c>
      <c r="B64" s="3">
        <v>4.5999999999999996</v>
      </c>
      <c r="C64" s="2" t="s">
        <v>86</v>
      </c>
      <c r="D64" s="2" t="s">
        <v>76</v>
      </c>
      <c r="E64" s="2" t="s">
        <v>87</v>
      </c>
      <c r="F64" s="4" t="s">
        <v>88</v>
      </c>
      <c r="G64" s="4" t="s">
        <v>89</v>
      </c>
      <c r="H64" s="5"/>
      <c r="I64" s="5"/>
      <c r="J64" s="5"/>
      <c r="K64" s="4" t="s">
        <v>62</v>
      </c>
      <c r="L64" s="4" t="s">
        <v>63</v>
      </c>
      <c r="M64" s="6" t="str">
        <f>IF(OR(B64="",I64=""),"",B64*I64)</f>
        <v/>
      </c>
      <c r="N64" s="8" t="s">
        <v>64</v>
      </c>
      <c r="O64" s="9"/>
      <c r="P64" s="9"/>
      <c r="Q64" s="22"/>
      <c r="R64" s="22"/>
      <c r="S64" s="23" t="str">
        <f>IF(AND(ISNUMBER(Q64),Q64&gt;0,ISNUMBER(R64),R64&gt;0),R64/Q64,"")</f>
        <v/>
      </c>
      <c r="T64" s="9"/>
      <c r="U64" s="9"/>
      <c r="V64" s="9"/>
      <c r="W64" s="9"/>
      <c r="X64" s="23" t="str">
        <f>IF(ISNUMBER(S64),S64,IF(ISNUMBER(I64),I64,""))</f>
        <v/>
      </c>
      <c r="Y64" t="str">
        <f>IF(ISNUMBER(S64),"2025 EIA-923 plant/group proxy",IF(ISNUMBER(I64),"Technology estimate","No thermal heat rate"))</f>
        <v>No thermal heat rate</v>
      </c>
      <c r="Z64" t="str">
        <f>IF(ISNUMBER(S64),"Review: NOT unit verified",IF(AE64="No match","No EIA match",IF(AF64="Unconfirmed","Unconfirmed EIA candidate","")))</f>
        <v/>
      </c>
      <c r="AE64" t="s">
        <v>65</v>
      </c>
      <c r="AF64" t="s">
        <v>66</v>
      </c>
      <c r="AG64" s="24">
        <f>IF(ISBLANK(S64),S64,I64)</f>
        <v>0</v>
      </c>
      <c r="AH64" s="34">
        <f t="shared" si="1"/>
        <v>2215.9000000000005</v>
      </c>
      <c r="AI64">
        <f t="shared" si="0"/>
        <v>1383.7907506440363</v>
      </c>
      <c r="AJ64" t="b" cm="1">
        <f t="array" ref="AJ64">OR(D64=$AT$2:$AT$8)</f>
        <v>0</v>
      </c>
    </row>
    <row r="65" spans="1:36" x14ac:dyDescent="0.25">
      <c r="A65" s="2" t="s">
        <v>1180</v>
      </c>
      <c r="B65" s="3">
        <v>13.1</v>
      </c>
      <c r="C65" s="2" t="s">
        <v>97</v>
      </c>
      <c r="D65" s="2" t="s">
        <v>97</v>
      </c>
      <c r="E65" s="2" t="s">
        <v>87</v>
      </c>
      <c r="F65" s="4" t="s">
        <v>88</v>
      </c>
      <c r="G65" s="4" t="s">
        <v>89</v>
      </c>
      <c r="H65" s="5"/>
      <c r="I65" s="5"/>
      <c r="J65" s="5"/>
      <c r="K65" s="4" t="s">
        <v>62</v>
      </c>
      <c r="L65" s="4" t="s">
        <v>63</v>
      </c>
      <c r="M65" s="6" t="str">
        <f>IF(OR(B65="",I65=""),"",B65*I65)</f>
        <v/>
      </c>
      <c r="N65" s="8" t="s">
        <v>64</v>
      </c>
      <c r="O65" s="9"/>
      <c r="P65" s="9"/>
      <c r="Q65" s="22"/>
      <c r="R65" s="22"/>
      <c r="S65" s="23" t="str">
        <f>IF(AND(ISNUMBER(Q65),Q65&gt;0,ISNUMBER(R65),R65&gt;0),R65/Q65,"")</f>
        <v/>
      </c>
      <c r="T65" s="9"/>
      <c r="U65" s="9"/>
      <c r="V65" s="9"/>
      <c r="W65" s="9"/>
      <c r="X65" s="23" t="str">
        <f>IF(ISNUMBER(S65),S65,IF(ISNUMBER(I65),I65,""))</f>
        <v/>
      </c>
      <c r="Y65" t="str">
        <f>IF(ISNUMBER(S65),"2025 EIA-923 plant/group proxy",IF(ISNUMBER(I65),"Technology estimate","No thermal heat rate"))</f>
        <v>No thermal heat rate</v>
      </c>
      <c r="Z65" t="str">
        <f>IF(ISNUMBER(S65),"Review: NOT unit verified",IF(AE65="No match","No EIA match",IF(AF65="Unconfirmed","Unconfirmed EIA candidate","")))</f>
        <v/>
      </c>
      <c r="AE65" t="s">
        <v>65</v>
      </c>
      <c r="AF65" t="s">
        <v>66</v>
      </c>
      <c r="AG65" s="24">
        <f>IF(ISBLANK(S65),S65,I65)</f>
        <v>0</v>
      </c>
      <c r="AH65" s="34">
        <f t="shared" si="1"/>
        <v>2229.0000000000005</v>
      </c>
      <c r="AI65">
        <f t="shared" si="0"/>
        <v>1391.9714712692617</v>
      </c>
      <c r="AJ65" t="b" cm="1">
        <f t="array" ref="AJ65">OR(D65=$AT$2:$AT$8)</f>
        <v>0</v>
      </c>
    </row>
    <row r="66" spans="1:36" x14ac:dyDescent="0.25">
      <c r="A66" s="2" t="s">
        <v>1186</v>
      </c>
      <c r="B66" s="3">
        <v>1.2</v>
      </c>
      <c r="C66" s="2" t="s">
        <v>80</v>
      </c>
      <c r="D66" s="2" t="s">
        <v>81</v>
      </c>
      <c r="E66" s="2" t="s">
        <v>87</v>
      </c>
      <c r="F66" s="4" t="s">
        <v>88</v>
      </c>
      <c r="G66" s="4" t="s">
        <v>89</v>
      </c>
      <c r="H66" s="5"/>
      <c r="I66" s="5"/>
      <c r="J66" s="5"/>
      <c r="K66" s="4" t="s">
        <v>62</v>
      </c>
      <c r="L66" s="4" t="s">
        <v>63</v>
      </c>
      <c r="M66" s="6" t="str">
        <f>IF(OR(B66="",I66=""),"",B66*I66)</f>
        <v/>
      </c>
      <c r="N66" s="8" t="s">
        <v>64</v>
      </c>
      <c r="O66" s="9"/>
      <c r="P66" s="9"/>
      <c r="Q66" s="22"/>
      <c r="R66" s="22"/>
      <c r="S66" s="23" t="str">
        <f>IF(AND(ISNUMBER(Q66),Q66&gt;0,ISNUMBER(R66),R66&gt;0),R66/Q66,"")</f>
        <v/>
      </c>
      <c r="T66" s="9"/>
      <c r="U66" s="9"/>
      <c r="V66" s="9"/>
      <c r="W66" s="9"/>
      <c r="X66" s="23" t="str">
        <f>IF(ISNUMBER(S66),S66,IF(ISNUMBER(I66),I66,""))</f>
        <v/>
      </c>
      <c r="Y66" t="str">
        <f>IF(ISNUMBER(S66),"2025 EIA-923 plant/group proxy",IF(ISNUMBER(I66),"Technology estimate","No thermal heat rate"))</f>
        <v>No thermal heat rate</v>
      </c>
      <c r="Z66" t="str">
        <f>IF(ISNUMBER(S66),"Review: NOT unit verified",IF(AE66="No match","No EIA match",IF(AF66="Unconfirmed","Unconfirmed EIA candidate","")))</f>
        <v/>
      </c>
      <c r="AE66" t="s">
        <v>65</v>
      </c>
      <c r="AF66" t="s">
        <v>66</v>
      </c>
      <c r="AG66" s="24">
        <f>IF(ISBLANK(S66),S66,I66)</f>
        <v>0</v>
      </c>
      <c r="AH66" s="34">
        <f t="shared" si="1"/>
        <v>2230.2000000000003</v>
      </c>
      <c r="AI66">
        <f t="shared" si="0"/>
        <v>1392.7208502578319</v>
      </c>
      <c r="AJ66" t="b" cm="1">
        <f t="array" ref="AJ66">OR(D66=$AT$2:$AT$8)</f>
        <v>0</v>
      </c>
    </row>
    <row r="67" spans="1:36" x14ac:dyDescent="0.25">
      <c r="A67" s="2" t="s">
        <v>1193</v>
      </c>
      <c r="B67" s="3">
        <v>20.5</v>
      </c>
      <c r="C67" s="2" t="s">
        <v>78</v>
      </c>
      <c r="D67" s="2" t="s">
        <v>78</v>
      </c>
      <c r="E67" s="2" t="s">
        <v>87</v>
      </c>
      <c r="F67" s="4" t="s">
        <v>88</v>
      </c>
      <c r="G67" s="4" t="s">
        <v>89</v>
      </c>
      <c r="H67" s="5"/>
      <c r="I67" s="5"/>
      <c r="J67" s="5"/>
      <c r="K67" s="4" t="s">
        <v>62</v>
      </c>
      <c r="L67" s="4" t="s">
        <v>63</v>
      </c>
      <c r="M67" s="6" t="str">
        <f>IF(OR(B67="",I67=""),"",B67*I67)</f>
        <v/>
      </c>
      <c r="N67" s="8" t="s">
        <v>64</v>
      </c>
      <c r="O67" s="9"/>
      <c r="P67" s="9"/>
      <c r="Q67" s="22"/>
      <c r="R67" s="22"/>
      <c r="S67" s="23" t="str">
        <f>IF(AND(ISNUMBER(Q67),Q67&gt;0,ISNUMBER(R67),R67&gt;0),R67/Q67,"")</f>
        <v/>
      </c>
      <c r="T67" s="9"/>
      <c r="U67" s="9"/>
      <c r="V67" s="9"/>
      <c r="W67" s="9"/>
      <c r="X67" s="23" t="str">
        <f>IF(ISNUMBER(S67),S67,IF(ISNUMBER(I67),I67,""))</f>
        <v/>
      </c>
      <c r="Y67" t="str">
        <f>IF(ISNUMBER(S67),"2025 EIA-923 plant/group proxy",IF(ISNUMBER(I67),"Technology estimate","No thermal heat rate"))</f>
        <v>No thermal heat rate</v>
      </c>
      <c r="Z67" t="str">
        <f>IF(ISNUMBER(S67),"Review: NOT unit verified",IF(AE67="No match","No EIA match",IF(AF67="Unconfirmed","Unconfirmed EIA candidate","")))</f>
        <v/>
      </c>
      <c r="AE67" t="s">
        <v>65</v>
      </c>
      <c r="AF67" t="s">
        <v>66</v>
      </c>
      <c r="AG67" s="24">
        <f>IF(ISBLANK(S67),S67,I67)</f>
        <v>0</v>
      </c>
      <c r="AH67" s="34">
        <f t="shared" si="1"/>
        <v>2250.7000000000003</v>
      </c>
      <c r="AI67">
        <f t="shared" ref="AI67:AI130" si="7">AH67*$AK$1</f>
        <v>1405.5227413125738</v>
      </c>
      <c r="AJ67" t="b" cm="1">
        <f t="array" ref="AJ67">OR(D67=$AT$2:$AT$8)</f>
        <v>1</v>
      </c>
    </row>
    <row r="68" spans="1:36" x14ac:dyDescent="0.25">
      <c r="A68" s="2" t="s">
        <v>1194</v>
      </c>
      <c r="B68" s="3">
        <v>38.5</v>
      </c>
      <c r="C68" s="2" t="s">
        <v>97</v>
      </c>
      <c r="D68" s="2" t="s">
        <v>97</v>
      </c>
      <c r="E68" s="2" t="s">
        <v>87</v>
      </c>
      <c r="F68" s="4" t="s">
        <v>88</v>
      </c>
      <c r="G68" s="4" t="s">
        <v>89</v>
      </c>
      <c r="H68" s="5"/>
      <c r="I68" s="5"/>
      <c r="J68" s="5"/>
      <c r="K68" s="4" t="s">
        <v>62</v>
      </c>
      <c r="L68" s="4" t="s">
        <v>63</v>
      </c>
      <c r="M68" s="6" t="str">
        <f>IF(OR(B68="",I68=""),"",B68*I68)</f>
        <v/>
      </c>
      <c r="N68" s="8" t="s">
        <v>64</v>
      </c>
      <c r="O68" s="9"/>
      <c r="P68" s="9"/>
      <c r="Q68" s="22"/>
      <c r="R68" s="22"/>
      <c r="S68" s="23" t="str">
        <f>IF(AND(ISNUMBER(Q68),Q68&gt;0,ISNUMBER(R68),R68&gt;0),R68/Q68,"")</f>
        <v/>
      </c>
      <c r="T68" s="9"/>
      <c r="U68" s="9"/>
      <c r="V68" s="9"/>
      <c r="W68" s="9"/>
      <c r="X68" s="23" t="str">
        <f>IF(ISNUMBER(S68),S68,IF(ISNUMBER(I68),I68,""))</f>
        <v/>
      </c>
      <c r="Y68" t="str">
        <f>IF(ISNUMBER(S68),"2025 EIA-923 plant/group proxy",IF(ISNUMBER(I68),"Technology estimate","No thermal heat rate"))</f>
        <v>No thermal heat rate</v>
      </c>
      <c r="Z68" t="str">
        <f>IF(ISNUMBER(S68),"Review: NOT unit verified",IF(AE68="No match","No EIA match",IF(AF68="Unconfirmed","Unconfirmed EIA candidate","")))</f>
        <v/>
      </c>
      <c r="AE68" t="s">
        <v>65</v>
      </c>
      <c r="AF68" t="s">
        <v>66</v>
      </c>
      <c r="AG68" s="24">
        <f>IF(ISBLANK(S68),S68,I68)</f>
        <v>0</v>
      </c>
      <c r="AH68" s="34">
        <f t="shared" ref="AH68:AH131" si="8">AH67+B68</f>
        <v>2289.2000000000003</v>
      </c>
      <c r="AI68">
        <f t="shared" si="7"/>
        <v>1429.5653171958697</v>
      </c>
      <c r="AJ68" t="b" cm="1">
        <f t="array" ref="AJ68">OR(D68=$AT$2:$AT$8)</f>
        <v>0</v>
      </c>
    </row>
    <row r="69" spans="1:36" x14ac:dyDescent="0.25">
      <c r="A69" s="2" t="s">
        <v>1280</v>
      </c>
      <c r="B69" s="3">
        <v>9.1</v>
      </c>
      <c r="C69" s="2" t="s">
        <v>86</v>
      </c>
      <c r="D69" s="2" t="s">
        <v>76</v>
      </c>
      <c r="E69" s="2" t="s">
        <v>87</v>
      </c>
      <c r="F69" s="4" t="s">
        <v>88</v>
      </c>
      <c r="G69" s="4" t="s">
        <v>89</v>
      </c>
      <c r="H69" s="5"/>
      <c r="I69" s="5"/>
      <c r="J69" s="5"/>
      <c r="K69" s="4" t="s">
        <v>62</v>
      </c>
      <c r="L69" s="4" t="s">
        <v>63</v>
      </c>
      <c r="M69" s="6" t="str">
        <f>IF(OR(B69="",I69=""),"",B69*I69)</f>
        <v/>
      </c>
      <c r="N69" s="8" t="s">
        <v>64</v>
      </c>
      <c r="O69" s="9"/>
      <c r="P69" s="9"/>
      <c r="Q69" s="22"/>
      <c r="R69" s="22"/>
      <c r="S69" s="23" t="str">
        <f>IF(AND(ISNUMBER(Q69),Q69&gt;0,ISNUMBER(R69),R69&gt;0),R69/Q69,"")</f>
        <v/>
      </c>
      <c r="T69" s="9"/>
      <c r="U69" s="9"/>
      <c r="V69" s="9"/>
      <c r="W69" s="9"/>
      <c r="X69" s="23" t="str">
        <f>IF(ISNUMBER(S69),S69,IF(ISNUMBER(I69),I69,""))</f>
        <v/>
      </c>
      <c r="Y69" t="str">
        <f>IF(ISNUMBER(S69),"2025 EIA-923 plant/group proxy",IF(ISNUMBER(I69),"Technology estimate","No thermal heat rate"))</f>
        <v>No thermal heat rate</v>
      </c>
      <c r="Z69" t="str">
        <f>IF(ISNUMBER(S69),"Review: NOT unit verified",IF(AE69="No match","No EIA match",IF(AF69="Unconfirmed","Unconfirmed EIA candidate","")))</f>
        <v/>
      </c>
      <c r="AE69" t="s">
        <v>65</v>
      </c>
      <c r="AF69" t="s">
        <v>66</v>
      </c>
      <c r="AG69" s="24">
        <f>IF(ISBLANK(S69),S69,I69)</f>
        <v>0</v>
      </c>
      <c r="AH69" s="34">
        <f t="shared" si="8"/>
        <v>2298.3000000000002</v>
      </c>
      <c r="AI69">
        <f t="shared" si="7"/>
        <v>1435.2481078591941</v>
      </c>
      <c r="AJ69" t="b" cm="1">
        <f t="array" ref="AJ69">OR(D69=$AT$2:$AT$8)</f>
        <v>0</v>
      </c>
    </row>
    <row r="70" spans="1:36" x14ac:dyDescent="0.25">
      <c r="A70" s="2" t="s">
        <v>1283</v>
      </c>
      <c r="B70" s="3">
        <v>12.3</v>
      </c>
      <c r="C70" s="2" t="s">
        <v>86</v>
      </c>
      <c r="D70" s="2" t="s">
        <v>76</v>
      </c>
      <c r="E70" s="2" t="s">
        <v>87</v>
      </c>
      <c r="F70" s="4" t="s">
        <v>88</v>
      </c>
      <c r="G70" s="4" t="s">
        <v>89</v>
      </c>
      <c r="H70" s="5"/>
      <c r="I70" s="5"/>
      <c r="J70" s="5"/>
      <c r="K70" s="4" t="s">
        <v>62</v>
      </c>
      <c r="L70" s="4" t="s">
        <v>63</v>
      </c>
      <c r="M70" s="6" t="str">
        <f>IF(OR(B70="",I70=""),"",B70*I70)</f>
        <v/>
      </c>
      <c r="N70" s="8" t="s">
        <v>64</v>
      </c>
      <c r="O70" s="9"/>
      <c r="P70" s="9"/>
      <c r="Q70" s="22"/>
      <c r="R70" s="22"/>
      <c r="S70" s="23" t="str">
        <f>IF(AND(ISNUMBER(Q70),Q70&gt;0,ISNUMBER(R70),R70&gt;0),R70/Q70,"")</f>
        <v/>
      </c>
      <c r="T70" s="9"/>
      <c r="U70" s="9"/>
      <c r="V70" s="9"/>
      <c r="W70" s="9"/>
      <c r="X70" s="23" t="str">
        <f>IF(ISNUMBER(S70),S70,IF(ISNUMBER(I70),I70,""))</f>
        <v/>
      </c>
      <c r="Y70" t="str">
        <f>IF(ISNUMBER(S70),"2025 EIA-923 plant/group proxy",IF(ISNUMBER(I70),"Technology estimate","No thermal heat rate"))</f>
        <v>No thermal heat rate</v>
      </c>
      <c r="Z70" t="str">
        <f>IF(ISNUMBER(S70),"Review: NOT unit verified",IF(AE70="No match","No EIA match",IF(AF70="Unconfirmed","Unconfirmed EIA candidate","")))</f>
        <v/>
      </c>
      <c r="AE70" t="s">
        <v>65</v>
      </c>
      <c r="AF70" t="s">
        <v>66</v>
      </c>
      <c r="AG70" s="24">
        <f>IF(ISBLANK(S70),S70,I70)</f>
        <v>0</v>
      </c>
      <c r="AH70" s="34">
        <f t="shared" si="8"/>
        <v>2310.6000000000004</v>
      </c>
      <c r="AI70">
        <f t="shared" si="7"/>
        <v>1442.9292424920393</v>
      </c>
      <c r="AJ70" t="b" cm="1">
        <f t="array" ref="AJ70">OR(D70=$AT$2:$AT$8)</f>
        <v>0</v>
      </c>
    </row>
    <row r="71" spans="1:36" x14ac:dyDescent="0.25">
      <c r="A71" s="2" t="s">
        <v>1308</v>
      </c>
      <c r="B71" s="3">
        <v>32.4</v>
      </c>
      <c r="C71" s="2" t="s">
        <v>97</v>
      </c>
      <c r="D71" s="2" t="s">
        <v>97</v>
      </c>
      <c r="E71" s="2" t="s">
        <v>87</v>
      </c>
      <c r="F71" s="4" t="s">
        <v>88</v>
      </c>
      <c r="G71" s="4" t="s">
        <v>89</v>
      </c>
      <c r="H71" s="5"/>
      <c r="I71" s="5"/>
      <c r="J71" s="5"/>
      <c r="K71" s="4" t="s">
        <v>62</v>
      </c>
      <c r="L71" s="4" t="s">
        <v>63</v>
      </c>
      <c r="M71" s="6" t="str">
        <f>IF(OR(B71="",I71=""),"",B71*I71)</f>
        <v/>
      </c>
      <c r="N71" s="8" t="s">
        <v>64</v>
      </c>
      <c r="O71" s="9"/>
      <c r="P71" s="9"/>
      <c r="Q71" s="22"/>
      <c r="R71" s="22"/>
      <c r="S71" s="23" t="str">
        <f>IF(AND(ISNUMBER(Q71),Q71&gt;0,ISNUMBER(R71),R71&gt;0),R71/Q71,"")</f>
        <v/>
      </c>
      <c r="T71" s="9"/>
      <c r="U71" s="9"/>
      <c r="V71" s="9"/>
      <c r="W71" s="9"/>
      <c r="X71" s="23" t="str">
        <f>IF(ISNUMBER(S71),S71,IF(ISNUMBER(I71),I71,""))</f>
        <v/>
      </c>
      <c r="Y71" t="str">
        <f>IF(ISNUMBER(S71),"2025 EIA-923 plant/group proxy",IF(ISNUMBER(I71),"Technology estimate","No thermal heat rate"))</f>
        <v>No thermal heat rate</v>
      </c>
      <c r="Z71" t="str">
        <f>IF(ISNUMBER(S71),"Review: NOT unit verified",IF(AE71="No match","No EIA match",IF(AF71="Unconfirmed","Unconfirmed EIA candidate","")))</f>
        <v/>
      </c>
      <c r="AE71" t="s">
        <v>65</v>
      </c>
      <c r="AF71" t="s">
        <v>66</v>
      </c>
      <c r="AG71" s="24">
        <f>IF(ISBLANK(S71),S71,I71)</f>
        <v>0</v>
      </c>
      <c r="AH71" s="34">
        <f t="shared" si="8"/>
        <v>2343.0000000000005</v>
      </c>
      <c r="AI71">
        <f t="shared" si="7"/>
        <v>1463.1624751834365</v>
      </c>
      <c r="AJ71" t="b" cm="1">
        <f t="array" ref="AJ71">OR(D71=$AT$2:$AT$8)</f>
        <v>0</v>
      </c>
    </row>
    <row r="72" spans="1:36" x14ac:dyDescent="0.25">
      <c r="A72" s="2" t="s">
        <v>1321</v>
      </c>
      <c r="B72" s="3">
        <v>19.5</v>
      </c>
      <c r="C72" s="2" t="s">
        <v>97</v>
      </c>
      <c r="D72" s="2" t="s">
        <v>97</v>
      </c>
      <c r="E72" s="2" t="s">
        <v>87</v>
      </c>
      <c r="F72" s="4" t="s">
        <v>88</v>
      </c>
      <c r="G72" s="4" t="s">
        <v>89</v>
      </c>
      <c r="H72" s="5"/>
      <c r="I72" s="5"/>
      <c r="J72" s="5"/>
      <c r="K72" s="4" t="s">
        <v>62</v>
      </c>
      <c r="L72" s="4" t="s">
        <v>63</v>
      </c>
      <c r="M72" s="6" t="str">
        <f>IF(OR(B72="",I72=""),"",B72*I72)</f>
        <v/>
      </c>
      <c r="N72" s="8" t="s">
        <v>64</v>
      </c>
      <c r="O72" s="9"/>
      <c r="P72" s="9"/>
      <c r="Q72" s="22"/>
      <c r="R72" s="22"/>
      <c r="S72" s="23" t="str">
        <f>IF(AND(ISNUMBER(Q72),Q72&gt;0,ISNUMBER(R72),R72&gt;0),R72/Q72,"")</f>
        <v/>
      </c>
      <c r="T72" s="9"/>
      <c r="U72" s="9"/>
      <c r="V72" s="9"/>
      <c r="W72" s="9"/>
      <c r="X72" s="23" t="str">
        <f>IF(ISNUMBER(S72),S72,IF(ISNUMBER(I72),I72,""))</f>
        <v/>
      </c>
      <c r="Y72" t="str">
        <f>IF(ISNUMBER(S72),"2025 EIA-923 plant/group proxy",IF(ISNUMBER(I72),"Technology estimate","No thermal heat rate"))</f>
        <v>No thermal heat rate</v>
      </c>
      <c r="Z72" t="str">
        <f>IF(ISNUMBER(S72),"Review: NOT unit verified",IF(AE72="No match","No EIA match",IF(AF72="Unconfirmed","Unconfirmed EIA candidate","")))</f>
        <v/>
      </c>
      <c r="AE72" t="s">
        <v>65</v>
      </c>
      <c r="AF72" t="s">
        <v>66</v>
      </c>
      <c r="AG72" s="24">
        <f>IF(ISBLANK(S72),S72,I72)</f>
        <v>0</v>
      </c>
      <c r="AH72" s="34">
        <f t="shared" si="8"/>
        <v>2362.5000000000005</v>
      </c>
      <c r="AI72">
        <f t="shared" si="7"/>
        <v>1475.3398837477032</v>
      </c>
      <c r="AJ72" t="b" cm="1">
        <f t="array" ref="AJ72">OR(D72=$AT$2:$AT$8)</f>
        <v>0</v>
      </c>
    </row>
    <row r="73" spans="1:36" x14ac:dyDescent="0.25">
      <c r="A73" s="2" t="s">
        <v>1333</v>
      </c>
      <c r="B73" s="3">
        <v>5.3</v>
      </c>
      <c r="C73" s="2" t="s">
        <v>86</v>
      </c>
      <c r="D73" s="2" t="s">
        <v>76</v>
      </c>
      <c r="E73" s="2" t="s">
        <v>87</v>
      </c>
      <c r="F73" s="4" t="s">
        <v>88</v>
      </c>
      <c r="G73" s="4" t="s">
        <v>89</v>
      </c>
      <c r="H73" s="5"/>
      <c r="I73" s="5"/>
      <c r="J73" s="5"/>
      <c r="K73" s="4" t="s">
        <v>62</v>
      </c>
      <c r="L73" s="4" t="s">
        <v>63</v>
      </c>
      <c r="M73" s="6" t="str">
        <f>IF(OR(B73="",I73=""),"",B73*I73)</f>
        <v/>
      </c>
      <c r="N73" s="8" t="s">
        <v>64</v>
      </c>
      <c r="O73" s="9"/>
      <c r="P73" s="9"/>
      <c r="Q73" s="22"/>
      <c r="R73" s="22"/>
      <c r="S73" s="23" t="str">
        <f>IF(AND(ISNUMBER(Q73),Q73&gt;0,ISNUMBER(R73),R73&gt;0),R73/Q73,"")</f>
        <v/>
      </c>
      <c r="T73" s="9"/>
      <c r="U73" s="9"/>
      <c r="V73" s="9"/>
      <c r="W73" s="9"/>
      <c r="X73" s="23" t="str">
        <f>IF(ISNUMBER(S73),S73,IF(ISNUMBER(I73),I73,""))</f>
        <v/>
      </c>
      <c r="Y73" t="str">
        <f>IF(ISNUMBER(S73),"2025 EIA-923 plant/group proxy",IF(ISNUMBER(I73),"Technology estimate","No thermal heat rate"))</f>
        <v>No thermal heat rate</v>
      </c>
      <c r="Z73" t="str">
        <f>IF(ISNUMBER(S73),"Review: NOT unit verified",IF(AE73="No match","No EIA match",IF(AF73="Unconfirmed","Unconfirmed EIA candidate","")))</f>
        <v/>
      </c>
      <c r="AE73" t="s">
        <v>65</v>
      </c>
      <c r="AF73" t="s">
        <v>66</v>
      </c>
      <c r="AG73" s="24">
        <f>IF(ISBLANK(S73),S73,I73)</f>
        <v>0</v>
      </c>
      <c r="AH73" s="34">
        <f t="shared" si="8"/>
        <v>2367.8000000000006</v>
      </c>
      <c r="AI73">
        <f t="shared" si="7"/>
        <v>1478.649640947222</v>
      </c>
      <c r="AJ73" t="b" cm="1">
        <f t="array" ref="AJ73">OR(D73=$AT$2:$AT$8)</f>
        <v>0</v>
      </c>
    </row>
    <row r="74" spans="1:36" x14ac:dyDescent="0.25">
      <c r="A74" s="2" t="s">
        <v>1334</v>
      </c>
      <c r="B74" s="3">
        <v>35.700000000000003</v>
      </c>
      <c r="C74" s="2" t="s">
        <v>99</v>
      </c>
      <c r="D74" s="2" t="s">
        <v>81</v>
      </c>
      <c r="E74" s="2" t="s">
        <v>87</v>
      </c>
      <c r="F74" s="4" t="s">
        <v>88</v>
      </c>
      <c r="G74" s="4" t="s">
        <v>89</v>
      </c>
      <c r="H74" s="5"/>
      <c r="I74" s="5"/>
      <c r="J74" s="5"/>
      <c r="K74" s="4" t="s">
        <v>62</v>
      </c>
      <c r="L74" s="4" t="s">
        <v>63</v>
      </c>
      <c r="M74" s="6" t="str">
        <f>IF(OR(B74="",I74=""),"",B74*I74)</f>
        <v/>
      </c>
      <c r="N74" s="8" t="s">
        <v>64</v>
      </c>
      <c r="O74" s="9"/>
      <c r="P74" s="9"/>
      <c r="Q74" s="22"/>
      <c r="R74" s="22"/>
      <c r="S74" s="23" t="str">
        <f>IF(AND(ISNUMBER(Q74),Q74&gt;0,ISNUMBER(R74),R74&gt;0),R74/Q74,"")</f>
        <v/>
      </c>
      <c r="T74" s="9"/>
      <c r="U74" s="9"/>
      <c r="V74" s="9"/>
      <c r="W74" s="9"/>
      <c r="X74" s="23" t="str">
        <f>IF(ISNUMBER(S74),S74,IF(ISNUMBER(I74),I74,""))</f>
        <v/>
      </c>
      <c r="Y74" t="str">
        <f>IF(ISNUMBER(S74),"2025 EIA-923 plant/group proxy",IF(ISNUMBER(I74),"Technology estimate","No thermal heat rate"))</f>
        <v>No thermal heat rate</v>
      </c>
      <c r="Z74" t="str">
        <f>IF(ISNUMBER(S74),"Review: NOT unit verified",IF(AE74="No match","No EIA match",IF(AF74="Unconfirmed","Unconfirmed EIA candidate","")))</f>
        <v/>
      </c>
      <c r="AE74" t="s">
        <v>65</v>
      </c>
      <c r="AF74" t="s">
        <v>66</v>
      </c>
      <c r="AG74" s="24">
        <f>IF(ISBLANK(S74),S74,I74)</f>
        <v>0</v>
      </c>
      <c r="AH74" s="34">
        <f t="shared" si="8"/>
        <v>2403.5000000000005</v>
      </c>
      <c r="AI74">
        <f t="shared" si="7"/>
        <v>1500.9436658571872</v>
      </c>
      <c r="AJ74" t="b" cm="1">
        <f t="array" ref="AJ74">OR(D74=$AT$2:$AT$8)</f>
        <v>0</v>
      </c>
    </row>
    <row r="75" spans="1:36" x14ac:dyDescent="0.25">
      <c r="A75" s="2" t="s">
        <v>1341</v>
      </c>
      <c r="B75" s="3">
        <v>5</v>
      </c>
      <c r="C75" s="2" t="s">
        <v>86</v>
      </c>
      <c r="D75" s="2" t="s">
        <v>76</v>
      </c>
      <c r="E75" s="2" t="s">
        <v>87</v>
      </c>
      <c r="F75" s="4" t="s">
        <v>88</v>
      </c>
      <c r="G75" s="4" t="s">
        <v>89</v>
      </c>
      <c r="H75" s="5"/>
      <c r="I75" s="5"/>
      <c r="J75" s="5"/>
      <c r="K75" s="4" t="s">
        <v>62</v>
      </c>
      <c r="L75" s="4" t="s">
        <v>63</v>
      </c>
      <c r="M75" s="6" t="str">
        <f>IF(OR(B75="",I75=""),"",B75*I75)</f>
        <v/>
      </c>
      <c r="N75" s="8" t="s">
        <v>64</v>
      </c>
      <c r="O75" s="9"/>
      <c r="P75" s="9"/>
      <c r="Q75" s="22"/>
      <c r="R75" s="22"/>
      <c r="S75" s="23" t="str">
        <f>IF(AND(ISNUMBER(Q75),Q75&gt;0,ISNUMBER(R75),R75&gt;0),R75/Q75,"")</f>
        <v/>
      </c>
      <c r="T75" s="9"/>
      <c r="U75" s="9"/>
      <c r="V75" s="9"/>
      <c r="W75" s="9"/>
      <c r="X75" s="23" t="str">
        <f>IF(ISNUMBER(S75),S75,IF(ISNUMBER(I75),I75,""))</f>
        <v/>
      </c>
      <c r="Y75" t="str">
        <f>IF(ISNUMBER(S75),"2025 EIA-923 plant/group proxy",IF(ISNUMBER(I75),"Technology estimate","No thermal heat rate"))</f>
        <v>No thermal heat rate</v>
      </c>
      <c r="Z75" t="str">
        <f>IF(ISNUMBER(S75),"Review: NOT unit verified",IF(AE75="No match","No EIA match",IF(AF75="Unconfirmed","Unconfirmed EIA candidate","")))</f>
        <v/>
      </c>
      <c r="AE75" t="s">
        <v>65</v>
      </c>
      <c r="AF75" t="s">
        <v>66</v>
      </c>
      <c r="AG75" s="24">
        <f>IF(ISBLANK(S75),S75,I75)</f>
        <v>0</v>
      </c>
      <c r="AH75" s="34">
        <f t="shared" si="8"/>
        <v>2408.5000000000005</v>
      </c>
      <c r="AI75">
        <f t="shared" si="7"/>
        <v>1504.0660783095634</v>
      </c>
      <c r="AJ75" t="b" cm="1">
        <f t="array" ref="AJ75">OR(D75=$AT$2:$AT$8)</f>
        <v>0</v>
      </c>
    </row>
    <row r="76" spans="1:36" x14ac:dyDescent="0.25">
      <c r="A76" s="2" t="s">
        <v>1369</v>
      </c>
      <c r="B76" s="3">
        <v>82.2</v>
      </c>
      <c r="C76" s="2" t="s">
        <v>97</v>
      </c>
      <c r="D76" s="2" t="s">
        <v>97</v>
      </c>
      <c r="E76" s="2" t="s">
        <v>87</v>
      </c>
      <c r="F76" s="4" t="s">
        <v>88</v>
      </c>
      <c r="G76" s="4" t="s">
        <v>89</v>
      </c>
      <c r="H76" s="5"/>
      <c r="I76" s="5"/>
      <c r="J76" s="5"/>
      <c r="K76" s="4" t="s">
        <v>62</v>
      </c>
      <c r="L76" s="4" t="s">
        <v>63</v>
      </c>
      <c r="M76" s="6" t="str">
        <f>IF(OR(B76="",I76=""),"",B76*I76)</f>
        <v/>
      </c>
      <c r="N76" s="8" t="s">
        <v>64</v>
      </c>
      <c r="O76" s="9"/>
      <c r="P76" s="9"/>
      <c r="Q76" s="22"/>
      <c r="R76" s="22"/>
      <c r="S76" s="23" t="str">
        <f>IF(AND(ISNUMBER(Q76),Q76&gt;0,ISNUMBER(R76),R76&gt;0),R76/Q76,"")</f>
        <v/>
      </c>
      <c r="T76" s="9"/>
      <c r="U76" s="9"/>
      <c r="V76" s="9"/>
      <c r="W76" s="9"/>
      <c r="X76" s="23" t="str">
        <f>IF(ISNUMBER(S76),S76,IF(ISNUMBER(I76),I76,""))</f>
        <v/>
      </c>
      <c r="Y76" t="str">
        <f>IF(ISNUMBER(S76),"2025 EIA-923 plant/group proxy",IF(ISNUMBER(I76),"Technology estimate","No thermal heat rate"))</f>
        <v>No thermal heat rate</v>
      </c>
      <c r="Z76" t="str">
        <f>IF(ISNUMBER(S76),"Review: NOT unit verified",IF(AE76="No match","No EIA match",IF(AF76="Unconfirmed","Unconfirmed EIA candidate","")))</f>
        <v/>
      </c>
      <c r="AE76" t="s">
        <v>65</v>
      </c>
      <c r="AF76" t="s">
        <v>66</v>
      </c>
      <c r="AG76" s="24">
        <f>IF(ISBLANK(S76),S76,I76)</f>
        <v>0</v>
      </c>
      <c r="AH76" s="34">
        <f t="shared" si="8"/>
        <v>2490.7000000000003</v>
      </c>
      <c r="AI76">
        <f t="shared" si="7"/>
        <v>1555.3985390266262</v>
      </c>
      <c r="AJ76" t="b" cm="1">
        <f t="array" ref="AJ76">OR(D76=$AT$2:$AT$8)</f>
        <v>0</v>
      </c>
    </row>
    <row r="77" spans="1:36" x14ac:dyDescent="0.25">
      <c r="A77" s="2" t="s">
        <v>1375</v>
      </c>
      <c r="B77" s="3">
        <v>30.1</v>
      </c>
      <c r="C77" s="2" t="s">
        <v>80</v>
      </c>
      <c r="D77" s="2" t="s">
        <v>81</v>
      </c>
      <c r="E77" s="2" t="s">
        <v>87</v>
      </c>
      <c r="F77" s="4" t="s">
        <v>88</v>
      </c>
      <c r="G77" s="4" t="s">
        <v>89</v>
      </c>
      <c r="H77" s="5"/>
      <c r="I77" s="5"/>
      <c r="J77" s="5"/>
      <c r="K77" s="4" t="s">
        <v>62</v>
      </c>
      <c r="L77" s="4" t="s">
        <v>63</v>
      </c>
      <c r="M77" s="6" t="str">
        <f>IF(OR(B77="",I77=""),"",B77*I77)</f>
        <v/>
      </c>
      <c r="N77" s="8" t="s">
        <v>64</v>
      </c>
      <c r="O77" s="9"/>
      <c r="P77" s="9"/>
      <c r="Q77" s="22"/>
      <c r="R77" s="22"/>
      <c r="S77" s="23" t="str">
        <f>IF(AND(ISNUMBER(Q77),Q77&gt;0,ISNUMBER(R77),R77&gt;0),R77/Q77,"")</f>
        <v/>
      </c>
      <c r="T77" s="9"/>
      <c r="U77" s="9"/>
      <c r="V77" s="9"/>
      <c r="W77" s="9"/>
      <c r="X77" s="23" t="str">
        <f>IF(ISNUMBER(S77),S77,IF(ISNUMBER(I77),I77,""))</f>
        <v/>
      </c>
      <c r="Y77" t="str">
        <f>IF(ISNUMBER(S77),"2025 EIA-923 plant/group proxy",IF(ISNUMBER(I77),"Technology estimate","No thermal heat rate"))</f>
        <v>No thermal heat rate</v>
      </c>
      <c r="Z77" t="str">
        <f>IF(ISNUMBER(S77),"Review: NOT unit verified",IF(AE77="No match","No EIA match",IF(AF77="Unconfirmed","Unconfirmed EIA candidate","")))</f>
        <v/>
      </c>
      <c r="AE77" t="s">
        <v>65</v>
      </c>
      <c r="AF77" t="s">
        <v>66</v>
      </c>
      <c r="AG77" s="24">
        <f>IF(ISBLANK(S77),S77,I77)</f>
        <v>0</v>
      </c>
      <c r="AH77" s="34">
        <f t="shared" si="8"/>
        <v>2520.8000000000002</v>
      </c>
      <c r="AI77">
        <f t="shared" si="7"/>
        <v>1574.1954619899302</v>
      </c>
      <c r="AJ77" t="b" cm="1">
        <f t="array" ref="AJ77">OR(D77=$AT$2:$AT$8)</f>
        <v>0</v>
      </c>
    </row>
    <row r="78" spans="1:36" x14ac:dyDescent="0.25">
      <c r="A78" s="2" t="s">
        <v>1401</v>
      </c>
      <c r="B78" s="3">
        <v>30.6</v>
      </c>
      <c r="C78" s="2" t="s">
        <v>86</v>
      </c>
      <c r="D78" s="2" t="s">
        <v>76</v>
      </c>
      <c r="E78" s="2" t="s">
        <v>87</v>
      </c>
      <c r="F78" s="4" t="s">
        <v>88</v>
      </c>
      <c r="G78" s="4" t="s">
        <v>89</v>
      </c>
      <c r="H78" s="5"/>
      <c r="I78" s="5"/>
      <c r="J78" s="5"/>
      <c r="K78" s="4" t="s">
        <v>62</v>
      </c>
      <c r="L78" s="4" t="s">
        <v>63</v>
      </c>
      <c r="M78" s="6" t="str">
        <f>IF(OR(B78="",I78=""),"",B78*I78)</f>
        <v/>
      </c>
      <c r="N78" s="8" t="s">
        <v>64</v>
      </c>
      <c r="O78" s="9"/>
      <c r="P78" s="9"/>
      <c r="Q78" s="22"/>
      <c r="R78" s="22"/>
      <c r="S78" s="23" t="str">
        <f>IF(AND(ISNUMBER(Q78),Q78&gt;0,ISNUMBER(R78),R78&gt;0),R78/Q78,"")</f>
        <v/>
      </c>
      <c r="T78" s="9"/>
      <c r="U78" s="9"/>
      <c r="V78" s="9"/>
      <c r="W78" s="9"/>
      <c r="X78" s="23" t="str">
        <f>IF(ISNUMBER(S78),S78,IF(ISNUMBER(I78),I78,""))</f>
        <v/>
      </c>
      <c r="Y78" t="str">
        <f>IF(ISNUMBER(S78),"2025 EIA-923 plant/group proxy",IF(ISNUMBER(I78),"Technology estimate","No thermal heat rate"))</f>
        <v>No thermal heat rate</v>
      </c>
      <c r="Z78" t="str">
        <f>IF(ISNUMBER(S78),"Review: NOT unit verified",IF(AE78="No match","No EIA match",IF(AF78="Unconfirmed","Unconfirmed EIA candidate","")))</f>
        <v/>
      </c>
      <c r="AE78" t="s">
        <v>65</v>
      </c>
      <c r="AF78" t="s">
        <v>66</v>
      </c>
      <c r="AG78" s="24">
        <f>IF(ISBLANK(S78),S78,I78)</f>
        <v>0</v>
      </c>
      <c r="AH78" s="34">
        <f t="shared" si="8"/>
        <v>2551.4</v>
      </c>
      <c r="AI78">
        <f t="shared" si="7"/>
        <v>1593.3046261984719</v>
      </c>
      <c r="AJ78" t="b" cm="1">
        <f t="array" ref="AJ78">OR(D78=$AT$2:$AT$8)</f>
        <v>0</v>
      </c>
    </row>
    <row r="79" spans="1:36" x14ac:dyDescent="0.25">
      <c r="A79" s="2" t="s">
        <v>1411</v>
      </c>
      <c r="B79" s="3">
        <v>10.3</v>
      </c>
      <c r="C79" s="2" t="s">
        <v>97</v>
      </c>
      <c r="D79" s="2" t="s">
        <v>97</v>
      </c>
      <c r="E79" s="2" t="s">
        <v>87</v>
      </c>
      <c r="F79" s="4" t="s">
        <v>88</v>
      </c>
      <c r="G79" s="4" t="s">
        <v>89</v>
      </c>
      <c r="H79" s="5"/>
      <c r="I79" s="5"/>
      <c r="J79" s="5"/>
      <c r="K79" s="4" t="s">
        <v>62</v>
      </c>
      <c r="L79" s="4" t="s">
        <v>63</v>
      </c>
      <c r="M79" s="6" t="str">
        <f>IF(OR(B79="",I79=""),"",B79*I79)</f>
        <v/>
      </c>
      <c r="N79" s="8" t="s">
        <v>64</v>
      </c>
      <c r="O79" s="9"/>
      <c r="P79" s="9"/>
      <c r="Q79" s="22"/>
      <c r="R79" s="22"/>
      <c r="S79" s="23" t="str">
        <f>IF(AND(ISNUMBER(Q79),Q79&gt;0,ISNUMBER(R79),R79&gt;0),R79/Q79,"")</f>
        <v/>
      </c>
      <c r="T79" s="9"/>
      <c r="U79" s="9"/>
      <c r="V79" s="9"/>
      <c r="W79" s="9"/>
      <c r="X79" s="23" t="str">
        <f>IF(ISNUMBER(S79),S79,IF(ISNUMBER(I79),I79,""))</f>
        <v/>
      </c>
      <c r="Y79" t="str">
        <f>IF(ISNUMBER(S79),"2025 EIA-923 plant/group proxy",IF(ISNUMBER(I79),"Technology estimate","No thermal heat rate"))</f>
        <v>No thermal heat rate</v>
      </c>
      <c r="Z79" t="str">
        <f>IF(ISNUMBER(S79),"Review: NOT unit verified",IF(AE79="No match","No EIA match",IF(AF79="Unconfirmed","Unconfirmed EIA candidate","")))</f>
        <v/>
      </c>
      <c r="AE79" t="s">
        <v>65</v>
      </c>
      <c r="AF79" t="s">
        <v>66</v>
      </c>
      <c r="AG79" s="24">
        <f>IF(ISBLANK(S79),S79,I79)</f>
        <v>0</v>
      </c>
      <c r="AH79" s="34">
        <f t="shared" si="8"/>
        <v>2561.7000000000003</v>
      </c>
      <c r="AI79">
        <f t="shared" si="7"/>
        <v>1599.7367958503667</v>
      </c>
      <c r="AJ79" t="b" cm="1">
        <f t="array" ref="AJ79">OR(D79=$AT$2:$AT$8)</f>
        <v>0</v>
      </c>
    </row>
    <row r="80" spans="1:36" x14ac:dyDescent="0.25">
      <c r="A80" s="2" t="s">
        <v>1447</v>
      </c>
      <c r="B80" s="3">
        <v>143.80000000000001</v>
      </c>
      <c r="C80" s="2" t="s">
        <v>97</v>
      </c>
      <c r="D80" s="2" t="s">
        <v>97</v>
      </c>
      <c r="E80" s="2" t="s">
        <v>87</v>
      </c>
      <c r="F80" s="4" t="s">
        <v>88</v>
      </c>
      <c r="G80" s="4" t="s">
        <v>89</v>
      </c>
      <c r="H80" s="5"/>
      <c r="I80" s="5"/>
      <c r="J80" s="5"/>
      <c r="K80" s="4" t="s">
        <v>62</v>
      </c>
      <c r="L80" s="4" t="s">
        <v>63</v>
      </c>
      <c r="M80" s="6" t="str">
        <f>IF(OR(B80="",I80=""),"",B80*I80)</f>
        <v/>
      </c>
      <c r="N80" s="8" t="s">
        <v>64</v>
      </c>
      <c r="O80" s="9"/>
      <c r="P80" s="9"/>
      <c r="Q80" s="22"/>
      <c r="R80" s="22"/>
      <c r="S80" s="23" t="str">
        <f>IF(AND(ISNUMBER(Q80),Q80&gt;0,ISNUMBER(R80),R80&gt;0),R80/Q80,"")</f>
        <v/>
      </c>
      <c r="T80" s="9"/>
      <c r="U80" s="9"/>
      <c r="V80" s="9"/>
      <c r="W80" s="9"/>
      <c r="X80" s="23" t="str">
        <f>IF(ISNUMBER(S80),S80,IF(ISNUMBER(I80),I80,""))</f>
        <v/>
      </c>
      <c r="Y80" t="str">
        <f>IF(ISNUMBER(S80),"2025 EIA-923 plant/group proxy",IF(ISNUMBER(I80),"Technology estimate","No thermal heat rate"))</f>
        <v>No thermal heat rate</v>
      </c>
      <c r="Z80" t="str">
        <f>IF(ISNUMBER(S80),"Review: NOT unit verified",IF(AE80="No match","No EIA match",IF(AF80="Unconfirmed","Unconfirmed EIA candidate","")))</f>
        <v/>
      </c>
      <c r="AE80" t="s">
        <v>65</v>
      </c>
      <c r="AF80" t="s">
        <v>66</v>
      </c>
      <c r="AG80" s="24">
        <f>IF(ISBLANK(S80),S80,I80)</f>
        <v>0</v>
      </c>
      <c r="AH80" s="34">
        <f t="shared" si="8"/>
        <v>2705.5000000000005</v>
      </c>
      <c r="AI80">
        <f t="shared" si="7"/>
        <v>1689.537377980703</v>
      </c>
      <c r="AJ80" t="b" cm="1">
        <f t="array" ref="AJ80">OR(D80=$AT$2:$AT$8)</f>
        <v>0</v>
      </c>
    </row>
    <row r="81" spans="1:36" x14ac:dyDescent="0.25">
      <c r="A81" s="2" t="s">
        <v>1451</v>
      </c>
      <c r="B81" s="3">
        <v>94</v>
      </c>
      <c r="C81" s="2" t="s">
        <v>99</v>
      </c>
      <c r="D81" s="2" t="s">
        <v>81</v>
      </c>
      <c r="E81" s="2" t="s">
        <v>87</v>
      </c>
      <c r="F81" s="4" t="s">
        <v>88</v>
      </c>
      <c r="G81" s="4" t="s">
        <v>89</v>
      </c>
      <c r="H81" s="5"/>
      <c r="I81" s="5"/>
      <c r="J81" s="5"/>
      <c r="K81" s="4" t="s">
        <v>62</v>
      </c>
      <c r="L81" s="4" t="s">
        <v>63</v>
      </c>
      <c r="M81" s="6" t="str">
        <f>IF(OR(B81="",I81=""),"",B81*I81)</f>
        <v/>
      </c>
      <c r="N81" s="8" t="s">
        <v>64</v>
      </c>
      <c r="O81" s="9"/>
      <c r="P81" s="9"/>
      <c r="Q81" s="22"/>
      <c r="R81" s="22"/>
      <c r="S81" s="23" t="str">
        <f>IF(AND(ISNUMBER(Q81),Q81&gt;0,ISNUMBER(R81),R81&gt;0),R81/Q81,"")</f>
        <v/>
      </c>
      <c r="T81" s="9"/>
      <c r="U81" s="9"/>
      <c r="V81" s="9"/>
      <c r="W81" s="9"/>
      <c r="X81" s="23" t="str">
        <f>IF(ISNUMBER(S81),S81,IF(ISNUMBER(I81),I81,""))</f>
        <v/>
      </c>
      <c r="Y81" t="str">
        <f>IF(ISNUMBER(S81),"2025 EIA-923 plant/group proxy",IF(ISNUMBER(I81),"Technology estimate","No thermal heat rate"))</f>
        <v>No thermal heat rate</v>
      </c>
      <c r="Z81" t="str">
        <f>IF(ISNUMBER(S81),"Review: NOT unit verified",IF(AE81="No match","No EIA match",IF(AF81="Unconfirmed","Unconfirmed EIA candidate","")))</f>
        <v/>
      </c>
      <c r="AE81" t="s">
        <v>65</v>
      </c>
      <c r="AF81" t="s">
        <v>66</v>
      </c>
      <c r="AG81" s="24">
        <f>IF(ISBLANK(S81),S81,I81)</f>
        <v>0</v>
      </c>
      <c r="AH81" s="34">
        <f t="shared" si="8"/>
        <v>2799.5000000000005</v>
      </c>
      <c r="AI81">
        <f t="shared" si="7"/>
        <v>1748.2387320853736</v>
      </c>
      <c r="AJ81" t="b" cm="1">
        <f t="array" ref="AJ81">OR(D81=$AT$2:$AT$8)</f>
        <v>0</v>
      </c>
    </row>
    <row r="82" spans="1:36" x14ac:dyDescent="0.25">
      <c r="A82" s="2" t="s">
        <v>1523</v>
      </c>
      <c r="B82" s="3">
        <v>6.5</v>
      </c>
      <c r="C82" s="2" t="s">
        <v>80</v>
      </c>
      <c r="D82" s="2" t="s">
        <v>81</v>
      </c>
      <c r="E82" s="2" t="s">
        <v>87</v>
      </c>
      <c r="F82" s="4" t="s">
        <v>88</v>
      </c>
      <c r="G82" s="4" t="s">
        <v>89</v>
      </c>
      <c r="H82" s="5"/>
      <c r="I82" s="5"/>
      <c r="J82" s="5"/>
      <c r="K82" s="4" t="s">
        <v>62</v>
      </c>
      <c r="L82" s="4" t="s">
        <v>63</v>
      </c>
      <c r="M82" s="6" t="str">
        <f>IF(OR(B82="",I82=""),"",B82*I82)</f>
        <v/>
      </c>
      <c r="N82" s="8" t="s">
        <v>64</v>
      </c>
      <c r="O82" s="9"/>
      <c r="P82" s="9"/>
      <c r="Q82" s="22"/>
      <c r="R82" s="22"/>
      <c r="S82" s="23" t="str">
        <f>IF(AND(ISNUMBER(Q82),Q82&gt;0,ISNUMBER(R82),R82&gt;0),R82/Q82,"")</f>
        <v/>
      </c>
      <c r="T82" s="9"/>
      <c r="U82" s="9"/>
      <c r="V82" s="9"/>
      <c r="W82" s="9"/>
      <c r="X82" s="23" t="str">
        <f>IF(ISNUMBER(S82),S82,IF(ISNUMBER(I82),I82,""))</f>
        <v/>
      </c>
      <c r="Y82" t="str">
        <f>IF(ISNUMBER(S82),"2025 EIA-923 plant/group proxy",IF(ISNUMBER(I82),"Technology estimate","No thermal heat rate"))</f>
        <v>No thermal heat rate</v>
      </c>
      <c r="Z82" t="str">
        <f>IF(ISNUMBER(S82),"Review: NOT unit verified",IF(AE82="No match","No EIA match",IF(AF82="Unconfirmed","Unconfirmed EIA candidate","")))</f>
        <v/>
      </c>
      <c r="AE82" t="s">
        <v>65</v>
      </c>
      <c r="AF82" t="s">
        <v>66</v>
      </c>
      <c r="AG82" s="24">
        <f>IF(ISBLANK(S82),S82,I82)</f>
        <v>0</v>
      </c>
      <c r="AH82" s="34">
        <f t="shared" si="8"/>
        <v>2806.0000000000005</v>
      </c>
      <c r="AI82">
        <f t="shared" si="7"/>
        <v>1752.2978682734627</v>
      </c>
      <c r="AJ82" t="b" cm="1">
        <f t="array" ref="AJ82">OR(D82=$AT$2:$AT$8)</f>
        <v>0</v>
      </c>
    </row>
    <row r="83" spans="1:36" x14ac:dyDescent="0.25">
      <c r="A83" s="2" t="s">
        <v>1532</v>
      </c>
      <c r="B83" s="3">
        <v>29.5</v>
      </c>
      <c r="C83" s="2" t="s">
        <v>86</v>
      </c>
      <c r="D83" s="2" t="s">
        <v>76</v>
      </c>
      <c r="E83" s="2" t="s">
        <v>87</v>
      </c>
      <c r="F83" s="4" t="s">
        <v>88</v>
      </c>
      <c r="G83" s="4" t="s">
        <v>89</v>
      </c>
      <c r="H83" s="5"/>
      <c r="I83" s="5"/>
      <c r="J83" s="5"/>
      <c r="K83" s="4" t="s">
        <v>62</v>
      </c>
      <c r="L83" s="4" t="s">
        <v>63</v>
      </c>
      <c r="M83" s="6" t="str">
        <f>IF(OR(B83="",I83=""),"",B83*I83)</f>
        <v/>
      </c>
      <c r="N83" s="8" t="s">
        <v>64</v>
      </c>
      <c r="O83" s="9"/>
      <c r="P83" s="9"/>
      <c r="Q83" s="22"/>
      <c r="R83" s="22"/>
      <c r="S83" s="23" t="str">
        <f>IF(AND(ISNUMBER(Q83),Q83&gt;0,ISNUMBER(R83),R83&gt;0),R83/Q83,"")</f>
        <v/>
      </c>
      <c r="T83" s="9"/>
      <c r="U83" s="9"/>
      <c r="V83" s="9"/>
      <c r="W83" s="9"/>
      <c r="X83" s="23" t="str">
        <f>IF(ISNUMBER(S83),S83,IF(ISNUMBER(I83),I83,""))</f>
        <v/>
      </c>
      <c r="Y83" t="str">
        <f>IF(ISNUMBER(S83),"2025 EIA-923 plant/group proxy",IF(ISNUMBER(I83),"Technology estimate","No thermal heat rate"))</f>
        <v>No thermal heat rate</v>
      </c>
      <c r="Z83" t="str">
        <f>IF(ISNUMBER(S83),"Review: NOT unit verified",IF(AE83="No match","No EIA match",IF(AF83="Unconfirmed","Unconfirmed EIA candidate","")))</f>
        <v/>
      </c>
      <c r="AE83" t="s">
        <v>65</v>
      </c>
      <c r="AF83" t="s">
        <v>66</v>
      </c>
      <c r="AG83" s="24">
        <f>IF(ISBLANK(S83),S83,I83)</f>
        <v>0</v>
      </c>
      <c r="AH83" s="34">
        <f t="shared" si="8"/>
        <v>2835.5000000000005</v>
      </c>
      <c r="AI83">
        <f t="shared" si="7"/>
        <v>1770.7201017424816</v>
      </c>
      <c r="AJ83" t="b" cm="1">
        <f t="array" ref="AJ83">OR(D83=$AT$2:$AT$8)</f>
        <v>0</v>
      </c>
    </row>
    <row r="84" spans="1:36" x14ac:dyDescent="0.25">
      <c r="A84" s="2" t="s">
        <v>1541</v>
      </c>
      <c r="B84" s="3">
        <v>117.5</v>
      </c>
      <c r="C84" s="2" t="s">
        <v>99</v>
      </c>
      <c r="D84" s="2" t="s">
        <v>81</v>
      </c>
      <c r="E84" s="2" t="s">
        <v>87</v>
      </c>
      <c r="F84" s="4" t="s">
        <v>88</v>
      </c>
      <c r="G84" s="4" t="s">
        <v>89</v>
      </c>
      <c r="H84" s="5"/>
      <c r="I84" s="5"/>
      <c r="J84" s="5"/>
      <c r="K84" s="4" t="s">
        <v>62</v>
      </c>
      <c r="L84" s="4" t="s">
        <v>63</v>
      </c>
      <c r="M84" s="6" t="str">
        <f>IF(OR(B84="",I84=""),"",B84*I84)</f>
        <v/>
      </c>
      <c r="N84" s="8" t="s">
        <v>64</v>
      </c>
      <c r="O84" s="9"/>
      <c r="P84" s="9"/>
      <c r="Q84" s="22"/>
      <c r="R84" s="22"/>
      <c r="S84" s="23" t="str">
        <f>IF(AND(ISNUMBER(Q84),Q84&gt;0,ISNUMBER(R84),R84&gt;0),R84/Q84,"")</f>
        <v/>
      </c>
      <c r="T84" s="9"/>
      <c r="U84" s="9"/>
      <c r="V84" s="9"/>
      <c r="W84" s="9"/>
      <c r="X84" s="23" t="str">
        <f>IF(ISNUMBER(S84),S84,IF(ISNUMBER(I84),I84,""))</f>
        <v/>
      </c>
      <c r="Y84" t="str">
        <f>IF(ISNUMBER(S84),"2025 EIA-923 plant/group proxy",IF(ISNUMBER(I84),"Technology estimate","No thermal heat rate"))</f>
        <v>No thermal heat rate</v>
      </c>
      <c r="Z84" t="str">
        <f>IF(ISNUMBER(S84),"Review: NOT unit verified",IF(AE84="No match","No EIA match",IF(AF84="Unconfirmed","Unconfirmed EIA candidate","")))</f>
        <v/>
      </c>
      <c r="AE84" t="s">
        <v>65</v>
      </c>
      <c r="AF84" t="s">
        <v>66</v>
      </c>
      <c r="AG84" s="24">
        <f>IF(ISBLANK(S84),S84,I84)</f>
        <v>0</v>
      </c>
      <c r="AH84" s="34">
        <f t="shared" si="8"/>
        <v>2953.0000000000005</v>
      </c>
      <c r="AI84">
        <f t="shared" si="7"/>
        <v>1844.0967943733197</v>
      </c>
      <c r="AJ84" t="b" cm="1">
        <f t="array" ref="AJ84">OR(D84=$AT$2:$AT$8)</f>
        <v>0</v>
      </c>
    </row>
    <row r="85" spans="1:36" x14ac:dyDescent="0.25">
      <c r="A85" s="2" t="s">
        <v>1560</v>
      </c>
      <c r="B85" s="3">
        <v>50.3</v>
      </c>
      <c r="C85" s="2" t="s">
        <v>97</v>
      </c>
      <c r="D85" s="2" t="s">
        <v>97</v>
      </c>
      <c r="E85" s="2" t="s">
        <v>87</v>
      </c>
      <c r="F85" s="4" t="s">
        <v>88</v>
      </c>
      <c r="G85" s="4" t="s">
        <v>89</v>
      </c>
      <c r="H85" s="5"/>
      <c r="I85" s="5"/>
      <c r="J85" s="5"/>
      <c r="K85" s="4" t="s">
        <v>62</v>
      </c>
      <c r="L85" s="4" t="s">
        <v>63</v>
      </c>
      <c r="M85" s="6" t="str">
        <f>IF(OR(B85="",I85=""),"",B85*I85)</f>
        <v/>
      </c>
      <c r="N85" s="8" t="s">
        <v>64</v>
      </c>
      <c r="O85" s="9"/>
      <c r="P85" s="9"/>
      <c r="Q85" s="22"/>
      <c r="R85" s="22"/>
      <c r="S85" s="23" t="str">
        <f>IF(AND(ISNUMBER(Q85),Q85&gt;0,ISNUMBER(R85),R85&gt;0),R85/Q85,"")</f>
        <v/>
      </c>
      <c r="T85" s="9"/>
      <c r="U85" s="9"/>
      <c r="V85" s="9"/>
      <c r="W85" s="9"/>
      <c r="X85" s="23" t="str">
        <f>IF(ISNUMBER(S85),S85,IF(ISNUMBER(I85),I85,""))</f>
        <v/>
      </c>
      <c r="Y85" t="str">
        <f>IF(ISNUMBER(S85),"2025 EIA-923 plant/group proxy",IF(ISNUMBER(I85),"Technology estimate","No thermal heat rate"))</f>
        <v>No thermal heat rate</v>
      </c>
      <c r="Z85" t="str">
        <f>IF(ISNUMBER(S85),"Review: NOT unit verified",IF(AE85="No match","No EIA match",IF(AF85="Unconfirmed","Unconfirmed EIA candidate","")))</f>
        <v/>
      </c>
      <c r="AE85" t="s">
        <v>65</v>
      </c>
      <c r="AF85" t="s">
        <v>66</v>
      </c>
      <c r="AG85" s="24">
        <f>IF(ISBLANK(S85),S85,I85)</f>
        <v>0</v>
      </c>
      <c r="AH85" s="34">
        <f t="shared" si="8"/>
        <v>3003.3000000000006</v>
      </c>
      <c r="AI85">
        <f t="shared" si="7"/>
        <v>1875.5082636442232</v>
      </c>
      <c r="AJ85" t="b" cm="1">
        <f t="array" ref="AJ85">OR(D85=$AT$2:$AT$8)</f>
        <v>0</v>
      </c>
    </row>
    <row r="86" spans="1:36" x14ac:dyDescent="0.25">
      <c r="A86" s="2" t="s">
        <v>1561</v>
      </c>
      <c r="B86" s="3">
        <v>51</v>
      </c>
      <c r="C86" s="2" t="s">
        <v>97</v>
      </c>
      <c r="D86" s="2" t="s">
        <v>97</v>
      </c>
      <c r="E86" s="2" t="s">
        <v>87</v>
      </c>
      <c r="F86" s="4" t="s">
        <v>88</v>
      </c>
      <c r="G86" s="4" t="s">
        <v>89</v>
      </c>
      <c r="H86" s="5"/>
      <c r="I86" s="5"/>
      <c r="J86" s="5"/>
      <c r="K86" s="4" t="s">
        <v>62</v>
      </c>
      <c r="L86" s="4" t="s">
        <v>63</v>
      </c>
      <c r="M86" s="6" t="str">
        <f>IF(OR(B86="",I86=""),"",B86*I86)</f>
        <v/>
      </c>
      <c r="N86" s="8" t="s">
        <v>64</v>
      </c>
      <c r="O86" s="9"/>
      <c r="P86" s="9"/>
      <c r="Q86" s="22"/>
      <c r="R86" s="22"/>
      <c r="S86" s="23" t="str">
        <f>IF(AND(ISNUMBER(Q86),Q86&gt;0,ISNUMBER(R86),R86&gt;0),R86/Q86,"")</f>
        <v/>
      </c>
      <c r="T86" s="9"/>
      <c r="U86" s="9"/>
      <c r="V86" s="9"/>
      <c r="W86" s="9"/>
      <c r="X86" s="23" t="str">
        <f>IF(ISNUMBER(S86),S86,IF(ISNUMBER(I86),I86,""))</f>
        <v/>
      </c>
      <c r="Y86" t="str">
        <f>IF(ISNUMBER(S86),"2025 EIA-923 plant/group proxy",IF(ISNUMBER(I86),"Technology estimate","No thermal heat rate"))</f>
        <v>No thermal heat rate</v>
      </c>
      <c r="Z86" t="str">
        <f>IF(ISNUMBER(S86),"Review: NOT unit verified",IF(AE86="No match","No EIA match",IF(AF86="Unconfirmed","Unconfirmed EIA candidate","")))</f>
        <v/>
      </c>
      <c r="AE86" t="s">
        <v>65</v>
      </c>
      <c r="AF86" t="s">
        <v>66</v>
      </c>
      <c r="AG86" s="24">
        <f>IF(ISBLANK(S86),S86,I86)</f>
        <v>0</v>
      </c>
      <c r="AH86" s="34">
        <f t="shared" si="8"/>
        <v>3054.3000000000006</v>
      </c>
      <c r="AI86">
        <f t="shared" si="7"/>
        <v>1907.3568706584595</v>
      </c>
      <c r="AJ86" t="b" cm="1">
        <f t="array" ref="AJ86">OR(D86=$AT$2:$AT$8)</f>
        <v>0</v>
      </c>
    </row>
    <row r="87" spans="1:36" x14ac:dyDescent="0.25">
      <c r="A87" s="2" t="s">
        <v>1597</v>
      </c>
      <c r="B87" s="3">
        <v>0.5</v>
      </c>
      <c r="C87" s="2" t="s">
        <v>86</v>
      </c>
      <c r="D87" s="2" t="s">
        <v>76</v>
      </c>
      <c r="E87" s="2" t="s">
        <v>87</v>
      </c>
      <c r="F87" s="4" t="s">
        <v>88</v>
      </c>
      <c r="G87" s="4" t="s">
        <v>89</v>
      </c>
      <c r="H87" s="5"/>
      <c r="I87" s="5"/>
      <c r="J87" s="5"/>
      <c r="K87" s="4" t="s">
        <v>62</v>
      </c>
      <c r="L87" s="4" t="s">
        <v>63</v>
      </c>
      <c r="M87" s="6" t="str">
        <f>IF(OR(B87="",I87=""),"",B87*I87)</f>
        <v/>
      </c>
      <c r="N87" s="8" t="s">
        <v>64</v>
      </c>
      <c r="O87" s="9"/>
      <c r="P87" s="9"/>
      <c r="Q87" s="22"/>
      <c r="R87" s="22"/>
      <c r="S87" s="23" t="str">
        <f>IF(AND(ISNUMBER(Q87),Q87&gt;0,ISNUMBER(R87),R87&gt;0),R87/Q87,"")</f>
        <v/>
      </c>
      <c r="T87" s="9"/>
      <c r="U87" s="9"/>
      <c r="V87" s="9"/>
      <c r="W87" s="9"/>
      <c r="X87" s="23" t="str">
        <f>IF(ISNUMBER(S87),S87,IF(ISNUMBER(I87),I87,""))</f>
        <v/>
      </c>
      <c r="Y87" t="str">
        <f>IF(ISNUMBER(S87),"2025 EIA-923 plant/group proxy",IF(ISNUMBER(I87),"Technology estimate","No thermal heat rate"))</f>
        <v>No thermal heat rate</v>
      </c>
      <c r="Z87" t="str">
        <f>IF(ISNUMBER(S87),"Review: NOT unit verified",IF(AE87="No match","No EIA match",IF(AF87="Unconfirmed","Unconfirmed EIA candidate","")))</f>
        <v/>
      </c>
      <c r="AE87" t="s">
        <v>65</v>
      </c>
      <c r="AF87" t="s">
        <v>66</v>
      </c>
      <c r="AG87" s="24">
        <f>IF(ISBLANK(S87),S87,I87)</f>
        <v>0</v>
      </c>
      <c r="AH87" s="34">
        <f t="shared" si="8"/>
        <v>3054.8000000000006</v>
      </c>
      <c r="AI87">
        <f t="shared" si="7"/>
        <v>1907.6691119036971</v>
      </c>
      <c r="AJ87" t="b" cm="1">
        <f t="array" ref="AJ87">OR(D87=$AT$2:$AT$8)</f>
        <v>0</v>
      </c>
    </row>
    <row r="88" spans="1:36" x14ac:dyDescent="0.25">
      <c r="A88" s="2" t="s">
        <v>1608</v>
      </c>
      <c r="B88" s="3">
        <v>5.5</v>
      </c>
      <c r="C88" s="2" t="s">
        <v>80</v>
      </c>
      <c r="D88" s="2" t="s">
        <v>81</v>
      </c>
      <c r="E88" s="2" t="s">
        <v>87</v>
      </c>
      <c r="F88" s="4" t="s">
        <v>88</v>
      </c>
      <c r="G88" s="4" t="s">
        <v>89</v>
      </c>
      <c r="H88" s="5"/>
      <c r="I88" s="5"/>
      <c r="J88" s="5"/>
      <c r="K88" s="4" t="s">
        <v>62</v>
      </c>
      <c r="L88" s="4" t="s">
        <v>63</v>
      </c>
      <c r="M88" s="6" t="str">
        <f>IF(OR(B88="",I88=""),"",B88*I88)</f>
        <v/>
      </c>
      <c r="N88" s="8" t="s">
        <v>64</v>
      </c>
      <c r="O88" s="9"/>
      <c r="P88" s="9"/>
      <c r="Q88" s="22"/>
      <c r="R88" s="22"/>
      <c r="S88" s="23" t="str">
        <f>IF(AND(ISNUMBER(Q88),Q88&gt;0,ISNUMBER(R88),R88&gt;0),R88/Q88,"")</f>
        <v/>
      </c>
      <c r="T88" s="9"/>
      <c r="U88" s="9"/>
      <c r="V88" s="9"/>
      <c r="W88" s="9"/>
      <c r="X88" s="23" t="str">
        <f>IF(ISNUMBER(S88),S88,IF(ISNUMBER(I88),I88,""))</f>
        <v/>
      </c>
      <c r="Y88" t="str">
        <f>IF(ISNUMBER(S88),"2025 EIA-923 plant/group proxy",IF(ISNUMBER(I88),"Technology estimate","No thermal heat rate"))</f>
        <v>No thermal heat rate</v>
      </c>
      <c r="Z88" t="str">
        <f>IF(ISNUMBER(S88),"Review: NOT unit verified",IF(AE88="No match","No EIA match",IF(AF88="Unconfirmed","Unconfirmed EIA candidate","")))</f>
        <v/>
      </c>
      <c r="AE88" t="s">
        <v>65</v>
      </c>
      <c r="AF88" t="s">
        <v>66</v>
      </c>
      <c r="AG88" s="24">
        <f>IF(ISBLANK(S88),S88,I88)</f>
        <v>0</v>
      </c>
      <c r="AH88" s="34">
        <f t="shared" si="8"/>
        <v>3060.3000000000006</v>
      </c>
      <c r="AI88">
        <f t="shared" si="7"/>
        <v>1911.1037656013107</v>
      </c>
      <c r="AJ88" t="b" cm="1">
        <f t="array" ref="AJ88">OR(D88=$AT$2:$AT$8)</f>
        <v>0</v>
      </c>
    </row>
    <row r="89" spans="1:36" x14ac:dyDescent="0.25">
      <c r="A89" s="2" t="s">
        <v>1644</v>
      </c>
      <c r="B89" s="3">
        <v>17.8</v>
      </c>
      <c r="C89" s="2" t="s">
        <v>86</v>
      </c>
      <c r="D89" s="2" t="s">
        <v>76</v>
      </c>
      <c r="E89" s="2" t="s">
        <v>87</v>
      </c>
      <c r="F89" s="4" t="s">
        <v>88</v>
      </c>
      <c r="G89" s="4" t="s">
        <v>89</v>
      </c>
      <c r="H89" s="5"/>
      <c r="I89" s="5"/>
      <c r="J89" s="5"/>
      <c r="K89" s="4" t="s">
        <v>62</v>
      </c>
      <c r="L89" s="4" t="s">
        <v>63</v>
      </c>
      <c r="M89" s="6" t="str">
        <f>IF(OR(B89="",I89=""),"",B89*I89)</f>
        <v/>
      </c>
      <c r="N89" s="8" t="s">
        <v>64</v>
      </c>
      <c r="O89" s="9"/>
      <c r="P89" s="9"/>
      <c r="Q89" s="22"/>
      <c r="R89" s="22"/>
      <c r="S89" s="23" t="str">
        <f>IF(AND(ISNUMBER(Q89),Q89&gt;0,ISNUMBER(R89),R89&gt;0),R89/Q89,"")</f>
        <v/>
      </c>
      <c r="T89" s="9"/>
      <c r="U89" s="9"/>
      <c r="V89" s="9"/>
      <c r="W89" s="9"/>
      <c r="X89" s="23" t="str">
        <f>IF(ISNUMBER(S89),S89,IF(ISNUMBER(I89),I89,""))</f>
        <v/>
      </c>
      <c r="Y89" t="str">
        <f>IF(ISNUMBER(S89),"2025 EIA-923 plant/group proxy",IF(ISNUMBER(I89),"Technology estimate","No thermal heat rate"))</f>
        <v>No thermal heat rate</v>
      </c>
      <c r="Z89" t="str">
        <f>IF(ISNUMBER(S89),"Review: NOT unit verified",IF(AE89="No match","No EIA match",IF(AF89="Unconfirmed","Unconfirmed EIA candidate","")))</f>
        <v/>
      </c>
      <c r="AE89" t="s">
        <v>65</v>
      </c>
      <c r="AF89" t="s">
        <v>66</v>
      </c>
      <c r="AG89" s="24">
        <f>IF(ISBLANK(S89),S89,I89)</f>
        <v>0</v>
      </c>
      <c r="AH89" s="34">
        <f t="shared" si="8"/>
        <v>3078.1000000000008</v>
      </c>
      <c r="AI89">
        <f t="shared" si="7"/>
        <v>1922.2195539317697</v>
      </c>
      <c r="AJ89" t="b" cm="1">
        <f t="array" ref="AJ89">OR(D89=$AT$2:$AT$8)</f>
        <v>0</v>
      </c>
    </row>
    <row r="90" spans="1:36" x14ac:dyDescent="0.25">
      <c r="A90" s="2" t="s">
        <v>1647</v>
      </c>
      <c r="B90" s="3">
        <v>3.2</v>
      </c>
      <c r="C90" s="2" t="s">
        <v>97</v>
      </c>
      <c r="D90" s="2" t="s">
        <v>97</v>
      </c>
      <c r="E90" s="2" t="s">
        <v>87</v>
      </c>
      <c r="F90" s="4" t="s">
        <v>88</v>
      </c>
      <c r="G90" s="4" t="s">
        <v>89</v>
      </c>
      <c r="H90" s="5"/>
      <c r="I90" s="5"/>
      <c r="J90" s="5"/>
      <c r="K90" s="4" t="s">
        <v>62</v>
      </c>
      <c r="L90" s="4" t="s">
        <v>63</v>
      </c>
      <c r="M90" s="6" t="str">
        <f>IF(OR(B90="",I90=""),"",B90*I90)</f>
        <v/>
      </c>
      <c r="N90" s="8" t="s">
        <v>64</v>
      </c>
      <c r="O90" s="9"/>
      <c r="P90" s="9"/>
      <c r="Q90" s="22"/>
      <c r="R90" s="22"/>
      <c r="S90" s="23" t="str">
        <f>IF(AND(ISNUMBER(Q90),Q90&gt;0,ISNUMBER(R90),R90&gt;0),R90/Q90,"")</f>
        <v/>
      </c>
      <c r="T90" s="9"/>
      <c r="U90" s="9"/>
      <c r="V90" s="9"/>
      <c r="W90" s="9"/>
      <c r="X90" s="23" t="str">
        <f>IF(ISNUMBER(S90),S90,IF(ISNUMBER(I90),I90,""))</f>
        <v/>
      </c>
      <c r="Y90" t="str">
        <f>IF(ISNUMBER(S90),"2025 EIA-923 plant/group proxy",IF(ISNUMBER(I90),"Technology estimate","No thermal heat rate"))</f>
        <v>No thermal heat rate</v>
      </c>
      <c r="Z90" t="str">
        <f>IF(ISNUMBER(S90),"Review: NOT unit verified",IF(AE90="No match","No EIA match",IF(AF90="Unconfirmed","Unconfirmed EIA candidate","")))</f>
        <v/>
      </c>
      <c r="AE90" t="s">
        <v>65</v>
      </c>
      <c r="AF90" t="s">
        <v>66</v>
      </c>
      <c r="AG90" s="24">
        <f>IF(ISBLANK(S90),S90,I90)</f>
        <v>0</v>
      </c>
      <c r="AH90" s="34">
        <f t="shared" si="8"/>
        <v>3081.3000000000006</v>
      </c>
      <c r="AI90">
        <f t="shared" si="7"/>
        <v>1924.2178979012901</v>
      </c>
      <c r="AJ90" t="b" cm="1">
        <f t="array" ref="AJ90">OR(D90=$AT$2:$AT$8)</f>
        <v>0</v>
      </c>
    </row>
    <row r="91" spans="1:36" x14ac:dyDescent="0.25">
      <c r="A91" s="2" t="s">
        <v>1681</v>
      </c>
      <c r="B91" s="3">
        <v>46.5</v>
      </c>
      <c r="C91" s="2" t="s">
        <v>99</v>
      </c>
      <c r="D91" s="2" t="s">
        <v>81</v>
      </c>
      <c r="E91" s="2" t="s">
        <v>87</v>
      </c>
      <c r="F91" s="4" t="s">
        <v>88</v>
      </c>
      <c r="G91" s="4" t="s">
        <v>89</v>
      </c>
      <c r="H91" s="5"/>
      <c r="I91" s="5"/>
      <c r="J91" s="5"/>
      <c r="K91" s="4" t="s">
        <v>62</v>
      </c>
      <c r="L91" s="4" t="s">
        <v>63</v>
      </c>
      <c r="M91" s="6" t="str">
        <f>IF(OR(B91="",I91=""),"",B91*I91)</f>
        <v/>
      </c>
      <c r="N91" s="8" t="s">
        <v>64</v>
      </c>
      <c r="O91" s="9"/>
      <c r="P91" s="9"/>
      <c r="Q91" s="22"/>
      <c r="R91" s="22"/>
      <c r="S91" s="23" t="str">
        <f>IF(AND(ISNUMBER(Q91),Q91&gt;0,ISNUMBER(R91),R91&gt;0),R91/Q91,"")</f>
        <v/>
      </c>
      <c r="T91" s="9"/>
      <c r="U91" s="9"/>
      <c r="V91" s="9"/>
      <c r="W91" s="9"/>
      <c r="X91" s="23" t="str">
        <f>IF(ISNUMBER(S91),S91,IF(ISNUMBER(I91),I91,""))</f>
        <v/>
      </c>
      <c r="Y91" t="str">
        <f>IF(ISNUMBER(S91),"2025 EIA-923 plant/group proxy",IF(ISNUMBER(I91),"Technology estimate","No thermal heat rate"))</f>
        <v>No thermal heat rate</v>
      </c>
      <c r="Z91" t="str">
        <f>IF(ISNUMBER(S91),"Review: NOT unit verified",IF(AE91="No match","No EIA match",IF(AF91="Unconfirmed","Unconfirmed EIA candidate","")))</f>
        <v/>
      </c>
      <c r="AE91" t="s">
        <v>65</v>
      </c>
      <c r="AF91" t="s">
        <v>66</v>
      </c>
      <c r="AG91" s="24">
        <f>IF(ISBLANK(S91),S91,I91)</f>
        <v>0</v>
      </c>
      <c r="AH91" s="34">
        <f t="shared" si="8"/>
        <v>3127.8000000000006</v>
      </c>
      <c r="AI91">
        <f t="shared" si="7"/>
        <v>1953.256333708388</v>
      </c>
      <c r="AJ91" t="b" cm="1">
        <f t="array" ref="AJ91">OR(D91=$AT$2:$AT$8)</f>
        <v>0</v>
      </c>
    </row>
    <row r="92" spans="1:36" x14ac:dyDescent="0.25">
      <c r="A92" s="2" t="s">
        <v>1682</v>
      </c>
      <c r="B92" s="3">
        <v>47.4</v>
      </c>
      <c r="C92" s="2" t="s">
        <v>99</v>
      </c>
      <c r="D92" s="2" t="s">
        <v>81</v>
      </c>
      <c r="E92" s="2" t="s">
        <v>87</v>
      </c>
      <c r="F92" s="4" t="s">
        <v>88</v>
      </c>
      <c r="G92" s="4" t="s">
        <v>89</v>
      </c>
      <c r="H92" s="5"/>
      <c r="I92" s="5"/>
      <c r="J92" s="5"/>
      <c r="K92" s="4" t="s">
        <v>62</v>
      </c>
      <c r="L92" s="4" t="s">
        <v>63</v>
      </c>
      <c r="M92" s="6" t="str">
        <f>IF(OR(B92="",I92=""),"",B92*I92)</f>
        <v/>
      </c>
      <c r="N92" s="8" t="s">
        <v>64</v>
      </c>
      <c r="O92" s="9"/>
      <c r="P92" s="9"/>
      <c r="Q92" s="22"/>
      <c r="R92" s="22"/>
      <c r="S92" s="23" t="str">
        <f>IF(AND(ISNUMBER(Q92),Q92&gt;0,ISNUMBER(R92),R92&gt;0),R92/Q92,"")</f>
        <v/>
      </c>
      <c r="T92" s="9"/>
      <c r="U92" s="9"/>
      <c r="V92" s="9"/>
      <c r="W92" s="9"/>
      <c r="X92" s="23" t="str">
        <f>IF(ISNUMBER(S92),S92,IF(ISNUMBER(I92),I92,""))</f>
        <v/>
      </c>
      <c r="Y92" t="str">
        <f>IF(ISNUMBER(S92),"2025 EIA-923 plant/group proxy",IF(ISNUMBER(I92),"Technology estimate","No thermal heat rate"))</f>
        <v>No thermal heat rate</v>
      </c>
      <c r="Z92" t="str">
        <f>IF(ISNUMBER(S92),"Review: NOT unit verified",IF(AE92="No match","No EIA match",IF(AF92="Unconfirmed","Unconfirmed EIA candidate","")))</f>
        <v/>
      </c>
      <c r="AE92" t="s">
        <v>65</v>
      </c>
      <c r="AF92" t="s">
        <v>66</v>
      </c>
      <c r="AG92" s="24">
        <f>IF(ISBLANK(S92),S92,I92)</f>
        <v>0</v>
      </c>
      <c r="AH92" s="34">
        <f t="shared" si="8"/>
        <v>3175.2000000000007</v>
      </c>
      <c r="AI92">
        <f t="shared" si="7"/>
        <v>1982.8568037569132</v>
      </c>
      <c r="AJ92" t="b" cm="1">
        <f t="array" ref="AJ92">OR(D92=$AT$2:$AT$8)</f>
        <v>0</v>
      </c>
    </row>
    <row r="93" spans="1:36" x14ac:dyDescent="0.25">
      <c r="A93" s="2" t="s">
        <v>1683</v>
      </c>
      <c r="B93" s="3">
        <v>23.1</v>
      </c>
      <c r="C93" s="2" t="s">
        <v>99</v>
      </c>
      <c r="D93" s="2" t="s">
        <v>81</v>
      </c>
      <c r="E93" s="2" t="s">
        <v>87</v>
      </c>
      <c r="F93" s="4" t="s">
        <v>88</v>
      </c>
      <c r="G93" s="4" t="s">
        <v>89</v>
      </c>
      <c r="H93" s="5"/>
      <c r="I93" s="5"/>
      <c r="J93" s="5"/>
      <c r="K93" s="4" t="s">
        <v>62</v>
      </c>
      <c r="L93" s="4" t="s">
        <v>63</v>
      </c>
      <c r="M93" s="6" t="str">
        <f>IF(OR(B93="",I93=""),"",B93*I93)</f>
        <v/>
      </c>
      <c r="N93" s="8" t="s">
        <v>64</v>
      </c>
      <c r="O93" s="9"/>
      <c r="P93" s="9"/>
      <c r="Q93" s="22"/>
      <c r="R93" s="22"/>
      <c r="S93" s="23" t="str">
        <f>IF(AND(ISNUMBER(Q93),Q93&gt;0,ISNUMBER(R93),R93&gt;0),R93/Q93,"")</f>
        <v/>
      </c>
      <c r="T93" s="9"/>
      <c r="U93" s="9"/>
      <c r="V93" s="9"/>
      <c r="W93" s="9"/>
      <c r="X93" s="23" t="str">
        <f>IF(ISNUMBER(S93),S93,IF(ISNUMBER(I93),I93,""))</f>
        <v/>
      </c>
      <c r="Y93" t="str">
        <f>IF(ISNUMBER(S93),"2025 EIA-923 plant/group proxy",IF(ISNUMBER(I93),"Technology estimate","No thermal heat rate"))</f>
        <v>No thermal heat rate</v>
      </c>
      <c r="Z93" t="str">
        <f>IF(ISNUMBER(S93),"Review: NOT unit verified",IF(AE93="No match","No EIA match",IF(AF93="Unconfirmed","Unconfirmed EIA candidate","")))</f>
        <v/>
      </c>
      <c r="AE93" t="s">
        <v>65</v>
      </c>
      <c r="AF93" t="s">
        <v>66</v>
      </c>
      <c r="AG93" s="24">
        <f>IF(ISBLANK(S93),S93,I93)</f>
        <v>0</v>
      </c>
      <c r="AH93" s="34">
        <f t="shared" si="8"/>
        <v>3198.3000000000006</v>
      </c>
      <c r="AI93">
        <f t="shared" si="7"/>
        <v>1997.2823492868908</v>
      </c>
      <c r="AJ93" t="b" cm="1">
        <f t="array" ref="AJ93">OR(D93=$AT$2:$AT$8)</f>
        <v>0</v>
      </c>
    </row>
    <row r="94" spans="1:36" x14ac:dyDescent="0.25">
      <c r="A94" s="2" t="s">
        <v>1685</v>
      </c>
      <c r="B94" s="3">
        <v>24.5</v>
      </c>
      <c r="C94" s="2" t="s">
        <v>78</v>
      </c>
      <c r="D94" s="2" t="s">
        <v>78</v>
      </c>
      <c r="E94" s="2" t="s">
        <v>87</v>
      </c>
      <c r="F94" s="4" t="s">
        <v>88</v>
      </c>
      <c r="G94" s="4" t="s">
        <v>89</v>
      </c>
      <c r="H94" s="5"/>
      <c r="I94" s="5"/>
      <c r="J94" s="5"/>
      <c r="K94" s="4" t="s">
        <v>62</v>
      </c>
      <c r="L94" s="4" t="s">
        <v>63</v>
      </c>
      <c r="M94" s="6" t="str">
        <f>IF(OR(B94="",I94=""),"",B94*I94)</f>
        <v/>
      </c>
      <c r="N94" s="8" t="s">
        <v>64</v>
      </c>
      <c r="O94" s="9"/>
      <c r="P94" s="9"/>
      <c r="Q94" s="22"/>
      <c r="R94" s="22"/>
      <c r="S94" s="23" t="str">
        <f>IF(AND(ISNUMBER(Q94),Q94&gt;0,ISNUMBER(R94),R94&gt;0),R94/Q94,"")</f>
        <v/>
      </c>
      <c r="T94" s="9"/>
      <c r="U94" s="9"/>
      <c r="V94" s="9"/>
      <c r="W94" s="9"/>
      <c r="X94" s="23" t="str">
        <f>IF(ISNUMBER(S94),S94,IF(ISNUMBER(I94),I94,""))</f>
        <v/>
      </c>
      <c r="Y94" t="str">
        <f>IF(ISNUMBER(S94),"2025 EIA-923 plant/group proxy",IF(ISNUMBER(I94),"Technology estimate","No thermal heat rate"))</f>
        <v>No thermal heat rate</v>
      </c>
      <c r="Z94" t="str">
        <f>IF(ISNUMBER(S94),"Review: NOT unit verified",IF(AE94="No match","No EIA match",IF(AF94="Unconfirmed","Unconfirmed EIA candidate","")))</f>
        <v/>
      </c>
      <c r="AE94" t="s">
        <v>65</v>
      </c>
      <c r="AF94" t="s">
        <v>66</v>
      </c>
      <c r="AG94" s="24">
        <f>IF(ISBLANK(S94),S94,I94)</f>
        <v>0</v>
      </c>
      <c r="AH94" s="34">
        <f t="shared" si="8"/>
        <v>3222.8000000000006</v>
      </c>
      <c r="AI94">
        <f t="shared" si="7"/>
        <v>2012.5821703035335</v>
      </c>
      <c r="AJ94" t="b" cm="1">
        <f t="array" ref="AJ94">OR(D94=$AT$2:$AT$8)</f>
        <v>1</v>
      </c>
    </row>
    <row r="95" spans="1:36" x14ac:dyDescent="0.25">
      <c r="A95" s="2" t="s">
        <v>1692</v>
      </c>
      <c r="B95" s="3">
        <v>35.1</v>
      </c>
      <c r="C95" s="2" t="s">
        <v>97</v>
      </c>
      <c r="D95" s="2" t="s">
        <v>97</v>
      </c>
      <c r="E95" s="2" t="s">
        <v>87</v>
      </c>
      <c r="F95" s="4" t="s">
        <v>88</v>
      </c>
      <c r="G95" s="4" t="s">
        <v>89</v>
      </c>
      <c r="H95" s="5"/>
      <c r="I95" s="5"/>
      <c r="J95" s="5"/>
      <c r="K95" s="4" t="s">
        <v>62</v>
      </c>
      <c r="L95" s="4" t="s">
        <v>63</v>
      </c>
      <c r="M95" s="6" t="str">
        <f>IF(OR(B95="",I95=""),"",B95*I95)</f>
        <v/>
      </c>
      <c r="N95" s="8" t="s">
        <v>64</v>
      </c>
      <c r="O95" s="9"/>
      <c r="P95" s="9"/>
      <c r="Q95" s="22"/>
      <c r="R95" s="22"/>
      <c r="S95" s="23" t="str">
        <f>IF(AND(ISNUMBER(Q95),Q95&gt;0,ISNUMBER(R95),R95&gt;0),R95/Q95,"")</f>
        <v/>
      </c>
      <c r="T95" s="9"/>
      <c r="U95" s="9"/>
      <c r="V95" s="9"/>
      <c r="W95" s="9"/>
      <c r="X95" s="23" t="str">
        <f>IF(ISNUMBER(S95),S95,IF(ISNUMBER(I95),I95,""))</f>
        <v/>
      </c>
      <c r="Y95" t="str">
        <f>IF(ISNUMBER(S95),"2025 EIA-923 plant/group proxy",IF(ISNUMBER(I95),"Technology estimate","No thermal heat rate"))</f>
        <v>No thermal heat rate</v>
      </c>
      <c r="Z95" t="str">
        <f>IF(ISNUMBER(S95),"Review: NOT unit verified",IF(AE95="No match","No EIA match",IF(AF95="Unconfirmed","Unconfirmed EIA candidate","")))</f>
        <v/>
      </c>
      <c r="AE95" t="s">
        <v>65</v>
      </c>
      <c r="AF95" t="s">
        <v>66</v>
      </c>
      <c r="AG95" s="24">
        <f>IF(ISBLANK(S95),S95,I95)</f>
        <v>0</v>
      </c>
      <c r="AH95" s="34">
        <f t="shared" si="8"/>
        <v>3257.9000000000005</v>
      </c>
      <c r="AI95">
        <f t="shared" si="7"/>
        <v>2034.5015057192138</v>
      </c>
      <c r="AJ95" t="b" cm="1">
        <f t="array" ref="AJ95">OR(D95=$AT$2:$AT$8)</f>
        <v>0</v>
      </c>
    </row>
    <row r="96" spans="1:36" x14ac:dyDescent="0.25">
      <c r="A96" s="2" t="s">
        <v>1693</v>
      </c>
      <c r="B96" s="3">
        <v>18.399999999999999</v>
      </c>
      <c r="C96" s="2" t="s">
        <v>97</v>
      </c>
      <c r="D96" s="2" t="s">
        <v>97</v>
      </c>
      <c r="E96" s="2" t="s">
        <v>87</v>
      </c>
      <c r="F96" s="4" t="s">
        <v>88</v>
      </c>
      <c r="G96" s="4" t="s">
        <v>89</v>
      </c>
      <c r="H96" s="5"/>
      <c r="I96" s="5"/>
      <c r="J96" s="5"/>
      <c r="K96" s="4" t="s">
        <v>62</v>
      </c>
      <c r="L96" s="4" t="s">
        <v>63</v>
      </c>
      <c r="M96" s="6" t="str">
        <f>IF(OR(B96="",I96=""),"",B96*I96)</f>
        <v/>
      </c>
      <c r="N96" s="8" t="s">
        <v>64</v>
      </c>
      <c r="O96" s="9"/>
      <c r="P96" s="9"/>
      <c r="Q96" s="22"/>
      <c r="R96" s="22"/>
      <c r="S96" s="23" t="str">
        <f>IF(AND(ISNUMBER(Q96),Q96&gt;0,ISNUMBER(R96),R96&gt;0),R96/Q96,"")</f>
        <v/>
      </c>
      <c r="T96" s="9"/>
      <c r="U96" s="9"/>
      <c r="V96" s="9"/>
      <c r="W96" s="9"/>
      <c r="X96" s="23" t="str">
        <f>IF(ISNUMBER(S96),S96,IF(ISNUMBER(I96),I96,""))</f>
        <v/>
      </c>
      <c r="Y96" t="str">
        <f>IF(ISNUMBER(S96),"2025 EIA-923 plant/group proxy",IF(ISNUMBER(I96),"Technology estimate","No thermal heat rate"))</f>
        <v>No thermal heat rate</v>
      </c>
      <c r="Z96" t="str">
        <f>IF(ISNUMBER(S96),"Review: NOT unit verified",IF(AE96="No match","No EIA match",IF(AF96="Unconfirmed","Unconfirmed EIA candidate","")))</f>
        <v/>
      </c>
      <c r="AE96" t="s">
        <v>65</v>
      </c>
      <c r="AF96" t="s">
        <v>66</v>
      </c>
      <c r="AG96" s="24">
        <f>IF(ISBLANK(S96),S96,I96)</f>
        <v>0</v>
      </c>
      <c r="AH96" s="34">
        <f t="shared" si="8"/>
        <v>3276.3000000000006</v>
      </c>
      <c r="AI96">
        <f t="shared" si="7"/>
        <v>2045.9919835439578</v>
      </c>
      <c r="AJ96" t="b" cm="1">
        <f t="array" ref="AJ96">OR(D96=$AT$2:$AT$8)</f>
        <v>0</v>
      </c>
    </row>
    <row r="97" spans="1:36" x14ac:dyDescent="0.25">
      <c r="A97" s="2" t="s">
        <v>1703</v>
      </c>
      <c r="B97" s="3">
        <v>25.9</v>
      </c>
      <c r="C97" s="2" t="s">
        <v>80</v>
      </c>
      <c r="D97" s="2" t="s">
        <v>81</v>
      </c>
      <c r="E97" s="2" t="s">
        <v>87</v>
      </c>
      <c r="F97" s="4" t="s">
        <v>88</v>
      </c>
      <c r="G97" s="4" t="s">
        <v>89</v>
      </c>
      <c r="H97" s="5"/>
      <c r="I97" s="5"/>
      <c r="J97" s="5"/>
      <c r="K97" s="4" t="s">
        <v>62</v>
      </c>
      <c r="L97" s="4" t="s">
        <v>63</v>
      </c>
      <c r="M97" s="6" t="str">
        <f>IF(OR(B97="",I97=""),"",B97*I97)</f>
        <v/>
      </c>
      <c r="N97" s="8" t="s">
        <v>64</v>
      </c>
      <c r="O97" s="9"/>
      <c r="P97" s="9"/>
      <c r="Q97" s="22"/>
      <c r="R97" s="22"/>
      <c r="S97" s="23" t="str">
        <f>IF(AND(ISNUMBER(Q97),Q97&gt;0,ISNUMBER(R97),R97&gt;0),R97/Q97,"")</f>
        <v/>
      </c>
      <c r="T97" s="9"/>
      <c r="U97" s="9"/>
      <c r="V97" s="9"/>
      <c r="W97" s="9"/>
      <c r="X97" s="23" t="str">
        <f>IF(ISNUMBER(S97),S97,IF(ISNUMBER(I97),I97,""))</f>
        <v/>
      </c>
      <c r="Y97" t="str">
        <f>IF(ISNUMBER(S97),"2025 EIA-923 plant/group proxy",IF(ISNUMBER(I97),"Technology estimate","No thermal heat rate"))</f>
        <v>No thermal heat rate</v>
      </c>
      <c r="Z97" t="str">
        <f>IF(ISNUMBER(S97),"Review: NOT unit verified",IF(AE97="No match","No EIA match",IF(AF97="Unconfirmed","Unconfirmed EIA candidate","")))</f>
        <v/>
      </c>
      <c r="AE97" t="s">
        <v>65</v>
      </c>
      <c r="AF97" t="s">
        <v>66</v>
      </c>
      <c r="AG97" s="24">
        <f>IF(ISBLANK(S97),S97,I97)</f>
        <v>0</v>
      </c>
      <c r="AH97" s="34">
        <f t="shared" si="8"/>
        <v>3302.2000000000007</v>
      </c>
      <c r="AI97">
        <f t="shared" si="7"/>
        <v>2062.166080047266</v>
      </c>
      <c r="AJ97" t="b" cm="1">
        <f t="array" ref="AJ97">OR(D97=$AT$2:$AT$8)</f>
        <v>0</v>
      </c>
    </row>
    <row r="98" spans="1:36" x14ac:dyDescent="0.25">
      <c r="A98" s="2" t="s">
        <v>1745</v>
      </c>
      <c r="B98" s="3">
        <v>42.4</v>
      </c>
      <c r="C98" s="2" t="s">
        <v>97</v>
      </c>
      <c r="D98" s="2" t="s">
        <v>97</v>
      </c>
      <c r="E98" s="2" t="s">
        <v>87</v>
      </c>
      <c r="F98" s="4" t="s">
        <v>88</v>
      </c>
      <c r="G98" s="4" t="s">
        <v>89</v>
      </c>
      <c r="H98" s="5"/>
      <c r="I98" s="5"/>
      <c r="J98" s="5"/>
      <c r="K98" s="4" t="s">
        <v>62</v>
      </c>
      <c r="L98" s="4" t="s">
        <v>63</v>
      </c>
      <c r="M98" s="6" t="str">
        <f>IF(OR(B98="",I98=""),"",B98*I98)</f>
        <v/>
      </c>
      <c r="N98" s="8" t="s">
        <v>64</v>
      </c>
      <c r="O98" s="9"/>
      <c r="P98" s="9"/>
      <c r="Q98" s="22"/>
      <c r="R98" s="22"/>
      <c r="S98" s="23" t="str">
        <f>IF(AND(ISNUMBER(Q98),Q98&gt;0,ISNUMBER(R98),R98&gt;0),R98/Q98,"")</f>
        <v/>
      </c>
      <c r="T98" s="9"/>
      <c r="U98" s="9"/>
      <c r="V98" s="9"/>
      <c r="W98" s="9"/>
      <c r="X98" s="23" t="str">
        <f>IF(ISNUMBER(S98),S98,IF(ISNUMBER(I98),I98,""))</f>
        <v/>
      </c>
      <c r="Y98" t="str">
        <f>IF(ISNUMBER(S98),"2025 EIA-923 plant/group proxy",IF(ISNUMBER(I98),"Technology estimate","No thermal heat rate"))</f>
        <v>No thermal heat rate</v>
      </c>
      <c r="Z98" t="str">
        <f>IF(ISNUMBER(S98),"Review: NOT unit verified",IF(AE98="No match","No EIA match",IF(AF98="Unconfirmed","Unconfirmed EIA candidate","")))</f>
        <v/>
      </c>
      <c r="AE98" t="s">
        <v>65</v>
      </c>
      <c r="AF98" t="s">
        <v>66</v>
      </c>
      <c r="AG98" s="24">
        <f>IF(ISBLANK(S98),S98,I98)</f>
        <v>0</v>
      </c>
      <c r="AH98" s="34">
        <f t="shared" si="8"/>
        <v>3344.6000000000008</v>
      </c>
      <c r="AI98">
        <f t="shared" si="7"/>
        <v>2088.6441376434154</v>
      </c>
      <c r="AJ98" t="b" cm="1">
        <f t="array" ref="AJ98">OR(D98=$AT$2:$AT$8)</f>
        <v>0</v>
      </c>
    </row>
    <row r="99" spans="1:36" x14ac:dyDescent="0.25">
      <c r="A99" s="2" t="s">
        <v>1770</v>
      </c>
      <c r="B99" s="3">
        <v>7.1</v>
      </c>
      <c r="C99" s="2" t="s">
        <v>97</v>
      </c>
      <c r="D99" s="2" t="s">
        <v>97</v>
      </c>
      <c r="E99" s="2" t="s">
        <v>87</v>
      </c>
      <c r="F99" s="4" t="s">
        <v>88</v>
      </c>
      <c r="G99" s="4" t="s">
        <v>89</v>
      </c>
      <c r="H99" s="5"/>
      <c r="I99" s="5"/>
      <c r="J99" s="5"/>
      <c r="K99" s="4" t="s">
        <v>62</v>
      </c>
      <c r="L99" s="4" t="s">
        <v>63</v>
      </c>
      <c r="M99" s="6" t="str">
        <f>IF(OR(B99="",I99=""),"",B99*I99)</f>
        <v/>
      </c>
      <c r="N99" s="8" t="s">
        <v>64</v>
      </c>
      <c r="O99" s="9"/>
      <c r="P99" s="9"/>
      <c r="Q99" s="22"/>
      <c r="R99" s="22"/>
      <c r="S99" s="23" t="str">
        <f>IF(AND(ISNUMBER(Q99),Q99&gt;0,ISNUMBER(R99),R99&gt;0),R99/Q99,"")</f>
        <v/>
      </c>
      <c r="T99" s="9"/>
      <c r="U99" s="9"/>
      <c r="V99" s="9"/>
      <c r="W99" s="9"/>
      <c r="X99" s="23" t="str">
        <f>IF(ISNUMBER(S99),S99,IF(ISNUMBER(I99),I99,""))</f>
        <v/>
      </c>
      <c r="Y99" t="str">
        <f>IF(ISNUMBER(S99),"2025 EIA-923 plant/group proxy",IF(ISNUMBER(I99),"Technology estimate","No thermal heat rate"))</f>
        <v>No thermal heat rate</v>
      </c>
      <c r="Z99" t="str">
        <f>IF(ISNUMBER(S99),"Review: NOT unit verified",IF(AE99="No match","No EIA match",IF(AF99="Unconfirmed","Unconfirmed EIA candidate","")))</f>
        <v/>
      </c>
      <c r="AE99" t="s">
        <v>65</v>
      </c>
      <c r="AF99" t="s">
        <v>66</v>
      </c>
      <c r="AG99" s="24">
        <f>IF(ISBLANK(S99),S99,I99)</f>
        <v>0</v>
      </c>
      <c r="AH99" s="34">
        <f t="shared" si="8"/>
        <v>3351.7000000000007</v>
      </c>
      <c r="AI99">
        <f t="shared" si="7"/>
        <v>2093.0779633257894</v>
      </c>
      <c r="AJ99" t="b" cm="1">
        <f t="array" ref="AJ99">OR(D99=$AT$2:$AT$8)</f>
        <v>0</v>
      </c>
    </row>
    <row r="100" spans="1:36" x14ac:dyDescent="0.25">
      <c r="A100" s="2" t="s">
        <v>1792</v>
      </c>
      <c r="B100" s="3">
        <v>30.6</v>
      </c>
      <c r="C100" s="2" t="s">
        <v>97</v>
      </c>
      <c r="D100" s="2" t="s">
        <v>97</v>
      </c>
      <c r="E100" s="2" t="s">
        <v>87</v>
      </c>
      <c r="F100" s="4" t="s">
        <v>88</v>
      </c>
      <c r="G100" s="4" t="s">
        <v>89</v>
      </c>
      <c r="H100" s="5"/>
      <c r="I100" s="5"/>
      <c r="J100" s="5"/>
      <c r="K100" s="4" t="s">
        <v>62</v>
      </c>
      <c r="L100" s="4" t="s">
        <v>63</v>
      </c>
      <c r="M100" s="6" t="str">
        <f>IF(OR(B100="",I100=""),"",B100*I100)</f>
        <v/>
      </c>
      <c r="N100" s="8" t="s">
        <v>64</v>
      </c>
      <c r="O100" s="9"/>
      <c r="P100" s="9"/>
      <c r="Q100" s="22"/>
      <c r="R100" s="22"/>
      <c r="S100" s="23" t="str">
        <f>IF(AND(ISNUMBER(Q100),Q100&gt;0,ISNUMBER(R100),R100&gt;0),R100/Q100,"")</f>
        <v/>
      </c>
      <c r="T100" s="9"/>
      <c r="U100" s="9"/>
      <c r="V100" s="9"/>
      <c r="W100" s="9"/>
      <c r="X100" s="23" t="str">
        <f>IF(ISNUMBER(S100),S100,IF(ISNUMBER(I100),I100,""))</f>
        <v/>
      </c>
      <c r="Y100" t="str">
        <f>IF(ISNUMBER(S100),"2025 EIA-923 plant/group proxy",IF(ISNUMBER(I100),"Technology estimate","No thermal heat rate"))</f>
        <v>No thermal heat rate</v>
      </c>
      <c r="Z100" t="str">
        <f>IF(ISNUMBER(S100),"Review: NOT unit verified",IF(AE100="No match","No EIA match",IF(AF100="Unconfirmed","Unconfirmed EIA candidate","")))</f>
        <v/>
      </c>
      <c r="AE100" t="s">
        <v>65</v>
      </c>
      <c r="AF100" t="s">
        <v>66</v>
      </c>
      <c r="AG100" s="24">
        <f>IF(ISBLANK(S100),S100,I100)</f>
        <v>0</v>
      </c>
      <c r="AH100" s="34">
        <f t="shared" si="8"/>
        <v>3382.3000000000006</v>
      </c>
      <c r="AI100">
        <f t="shared" si="7"/>
        <v>2112.187127534331</v>
      </c>
      <c r="AJ100" t="b" cm="1">
        <f t="array" ref="AJ100">OR(D100=$AT$2:$AT$8)</f>
        <v>0</v>
      </c>
    </row>
    <row r="101" spans="1:36" x14ac:dyDescent="0.25">
      <c r="A101" s="2" t="s">
        <v>1794</v>
      </c>
      <c r="B101" s="3">
        <v>47.7</v>
      </c>
      <c r="C101" s="2" t="s">
        <v>99</v>
      </c>
      <c r="D101" s="2" t="s">
        <v>81</v>
      </c>
      <c r="E101" s="2" t="s">
        <v>87</v>
      </c>
      <c r="F101" s="4" t="s">
        <v>88</v>
      </c>
      <c r="G101" s="4" t="s">
        <v>89</v>
      </c>
      <c r="H101" s="5"/>
      <c r="I101" s="5"/>
      <c r="J101" s="5"/>
      <c r="K101" s="4" t="s">
        <v>62</v>
      </c>
      <c r="L101" s="4" t="s">
        <v>63</v>
      </c>
      <c r="M101" s="6" t="str">
        <f>IF(OR(B101="",I101=""),"",B101*I101)</f>
        <v/>
      </c>
      <c r="N101" s="8" t="s">
        <v>64</v>
      </c>
      <c r="O101" s="9"/>
      <c r="P101" s="9"/>
      <c r="Q101" s="22"/>
      <c r="R101" s="22"/>
      <c r="S101" s="23" t="str">
        <f>IF(AND(ISNUMBER(Q101),Q101&gt;0,ISNUMBER(R101),R101&gt;0),R101/Q101,"")</f>
        <v/>
      </c>
      <c r="T101" s="9"/>
      <c r="U101" s="9"/>
      <c r="V101" s="9"/>
      <c r="W101" s="9"/>
      <c r="X101" s="23" t="str">
        <f>IF(ISNUMBER(S101),S101,IF(ISNUMBER(I101),I101,""))</f>
        <v/>
      </c>
      <c r="Y101" t="str">
        <f>IF(ISNUMBER(S101),"2025 EIA-923 plant/group proxy",IF(ISNUMBER(I101),"Technology estimate","No thermal heat rate"))</f>
        <v>No thermal heat rate</v>
      </c>
      <c r="Z101" t="str">
        <f>IF(ISNUMBER(S101),"Review: NOT unit verified",IF(AE101="No match","No EIA match",IF(AF101="Unconfirmed","Unconfirmed EIA candidate","")))</f>
        <v/>
      </c>
      <c r="AE101" t="s">
        <v>65</v>
      </c>
      <c r="AF101" t="s">
        <v>66</v>
      </c>
      <c r="AG101" s="24">
        <f>IF(ISBLANK(S101),S101,I101)</f>
        <v>0</v>
      </c>
      <c r="AH101" s="34">
        <f t="shared" si="8"/>
        <v>3430.0000000000005</v>
      </c>
      <c r="AI101">
        <f t="shared" si="7"/>
        <v>2141.9749423299986</v>
      </c>
      <c r="AJ101" t="b" cm="1">
        <f t="array" ref="AJ101">OR(D101=$AT$2:$AT$8)</f>
        <v>0</v>
      </c>
    </row>
    <row r="102" spans="1:36" x14ac:dyDescent="0.25">
      <c r="A102" s="2" t="s">
        <v>1795</v>
      </c>
      <c r="B102" s="3">
        <v>46.3</v>
      </c>
      <c r="C102" s="2" t="s">
        <v>99</v>
      </c>
      <c r="D102" s="2" t="s">
        <v>81</v>
      </c>
      <c r="E102" s="2" t="s">
        <v>87</v>
      </c>
      <c r="F102" s="4" t="s">
        <v>88</v>
      </c>
      <c r="G102" s="4" t="s">
        <v>89</v>
      </c>
      <c r="H102" s="5"/>
      <c r="I102" s="5"/>
      <c r="J102" s="5"/>
      <c r="K102" s="4" t="s">
        <v>62</v>
      </c>
      <c r="L102" s="4" t="s">
        <v>63</v>
      </c>
      <c r="M102" s="6" t="str">
        <f>IF(OR(B102="",I102=""),"",B102*I102)</f>
        <v/>
      </c>
      <c r="N102" s="8" t="s">
        <v>64</v>
      </c>
      <c r="O102" s="9"/>
      <c r="P102" s="9"/>
      <c r="Q102" s="22"/>
      <c r="R102" s="22"/>
      <c r="S102" s="23" t="str">
        <f>IF(AND(ISNUMBER(Q102),Q102&gt;0,ISNUMBER(R102),R102&gt;0),R102/Q102,"")</f>
        <v/>
      </c>
      <c r="T102" s="9"/>
      <c r="U102" s="9"/>
      <c r="V102" s="9"/>
      <c r="W102" s="9"/>
      <c r="X102" s="23" t="str">
        <f>IF(ISNUMBER(S102),S102,IF(ISNUMBER(I102),I102,""))</f>
        <v/>
      </c>
      <c r="Y102" t="str">
        <f>IF(ISNUMBER(S102),"2025 EIA-923 plant/group proxy",IF(ISNUMBER(I102),"Technology estimate","No thermal heat rate"))</f>
        <v>No thermal heat rate</v>
      </c>
      <c r="Z102" t="str">
        <f>IF(ISNUMBER(S102),"Review: NOT unit verified",IF(AE102="No match","No EIA match",IF(AF102="Unconfirmed","Unconfirmed EIA candidate","")))</f>
        <v/>
      </c>
      <c r="AE102" t="s">
        <v>65</v>
      </c>
      <c r="AF102" t="s">
        <v>66</v>
      </c>
      <c r="AG102" s="24">
        <f>IF(ISBLANK(S102),S102,I102)</f>
        <v>0</v>
      </c>
      <c r="AH102" s="34">
        <f t="shared" si="8"/>
        <v>3476.3000000000006</v>
      </c>
      <c r="AI102">
        <f t="shared" si="7"/>
        <v>2170.8884816390014</v>
      </c>
      <c r="AJ102" t="b" cm="1">
        <f t="array" ref="AJ102">OR(D102=$AT$2:$AT$8)</f>
        <v>0</v>
      </c>
    </row>
    <row r="103" spans="1:36" x14ac:dyDescent="0.25">
      <c r="A103" s="2" t="s">
        <v>1216</v>
      </c>
      <c r="B103" s="3">
        <v>54</v>
      </c>
      <c r="C103" s="2" t="s">
        <v>405</v>
      </c>
      <c r="D103" s="2" t="s">
        <v>405</v>
      </c>
      <c r="E103" s="2" t="s">
        <v>1217</v>
      </c>
      <c r="F103" s="4" t="s">
        <v>103</v>
      </c>
      <c r="G103" s="4" t="s">
        <v>104</v>
      </c>
      <c r="H103" s="5"/>
      <c r="I103" s="5"/>
      <c r="J103" s="5"/>
      <c r="K103" s="4" t="s">
        <v>105</v>
      </c>
      <c r="L103" s="4" t="s">
        <v>106</v>
      </c>
      <c r="M103" s="6" t="str">
        <f>IF(OR(B103="",I103=""),"",B103*I103)</f>
        <v/>
      </c>
      <c r="N103" s="10" t="s">
        <v>10</v>
      </c>
      <c r="O103" s="9"/>
      <c r="P103" s="9"/>
      <c r="Q103" s="22"/>
      <c r="R103" s="22"/>
      <c r="S103" s="23" t="str">
        <f>IF(AND(ISNUMBER(Q103),Q103&gt;0,ISNUMBER(R103),R103&gt;0),R103/Q103,"")</f>
        <v/>
      </c>
      <c r="T103" s="9"/>
      <c r="U103" s="9"/>
      <c r="V103" s="9"/>
      <c r="W103" s="9"/>
      <c r="X103" s="23" t="str">
        <f>IF(ISNUMBER(S103),S103,IF(ISNUMBER(I103),I103,""))</f>
        <v/>
      </c>
      <c r="Y103" t="str">
        <f>IF(ISNUMBER(S103),"2025 EIA-923 plant/group proxy",IF(ISNUMBER(I103),"Technology estimate","No thermal heat rate"))</f>
        <v>No thermal heat rate</v>
      </c>
      <c r="Z103" t="str">
        <f>IF(ISNUMBER(S103),"Review: NOT unit verified",IF(AE103="No match","No EIA match",IF(AF103="Unconfirmed","Unconfirmed EIA candidate","")))</f>
        <v>No EIA match</v>
      </c>
      <c r="AE103" t="s">
        <v>107</v>
      </c>
      <c r="AG103" s="24">
        <f>IF(ISBLANK(S103),S103,I103)</f>
        <v>0</v>
      </c>
      <c r="AH103" s="34">
        <f t="shared" si="8"/>
        <v>3530.3000000000006</v>
      </c>
      <c r="AI103">
        <f t="shared" si="7"/>
        <v>2204.6105361246632</v>
      </c>
      <c r="AJ103" t="b" cm="1">
        <f t="array" ref="AJ103">OR(D103=$AT$2:$AT$8)</f>
        <v>1</v>
      </c>
    </row>
    <row r="104" spans="1:36" x14ac:dyDescent="0.25">
      <c r="A104" s="2" t="s">
        <v>1218</v>
      </c>
      <c r="B104" s="3">
        <v>42.2</v>
      </c>
      <c r="C104" s="2" t="s">
        <v>405</v>
      </c>
      <c r="D104" s="2" t="s">
        <v>405</v>
      </c>
      <c r="E104" s="2" t="s">
        <v>1217</v>
      </c>
      <c r="F104" s="4" t="s">
        <v>103</v>
      </c>
      <c r="G104" s="4" t="s">
        <v>104</v>
      </c>
      <c r="H104" s="5"/>
      <c r="I104" s="5"/>
      <c r="J104" s="5"/>
      <c r="K104" s="4" t="s">
        <v>105</v>
      </c>
      <c r="L104" s="4" t="s">
        <v>106</v>
      </c>
      <c r="M104" s="6" t="str">
        <f>IF(OR(B104="",I104=""),"",B104*I104)</f>
        <v/>
      </c>
      <c r="N104" s="10" t="s">
        <v>10</v>
      </c>
      <c r="O104" s="9"/>
      <c r="P104" s="9"/>
      <c r="Q104" s="22"/>
      <c r="R104" s="22"/>
      <c r="S104" s="23" t="str">
        <f>IF(AND(ISNUMBER(Q104),Q104&gt;0,ISNUMBER(R104),R104&gt;0),R104/Q104,"")</f>
        <v/>
      </c>
      <c r="T104" s="9"/>
      <c r="U104" s="9"/>
      <c r="V104" s="9"/>
      <c r="W104" s="9"/>
      <c r="X104" s="23" t="str">
        <f>IF(ISNUMBER(S104),S104,IF(ISNUMBER(I104),I104,""))</f>
        <v/>
      </c>
      <c r="Y104" t="str">
        <f>IF(ISNUMBER(S104),"2025 EIA-923 plant/group proxy",IF(ISNUMBER(I104),"Technology estimate","No thermal heat rate"))</f>
        <v>No thermal heat rate</v>
      </c>
      <c r="Z104" t="str">
        <f>IF(ISNUMBER(S104),"Review: NOT unit verified",IF(AE104="No match","No EIA match",IF(AF104="Unconfirmed","Unconfirmed EIA candidate","")))</f>
        <v>No EIA match</v>
      </c>
      <c r="AE104" t="s">
        <v>107</v>
      </c>
      <c r="AG104" s="24">
        <f>IF(ISBLANK(S104),S104,I104)</f>
        <v>0</v>
      </c>
      <c r="AH104" s="34">
        <f t="shared" si="8"/>
        <v>3572.5000000000005</v>
      </c>
      <c r="AI104">
        <f t="shared" si="7"/>
        <v>2230.9636972227172</v>
      </c>
      <c r="AJ104" t="b" cm="1">
        <f t="array" ref="AJ104">OR(D104=$AT$2:$AT$8)</f>
        <v>1</v>
      </c>
    </row>
    <row r="105" spans="1:36" x14ac:dyDescent="0.25">
      <c r="A105" s="2" t="s">
        <v>1521</v>
      </c>
      <c r="B105" s="3">
        <v>154.69999999999999</v>
      </c>
      <c r="C105" s="2" t="s">
        <v>78</v>
      </c>
      <c r="D105" s="2" t="s">
        <v>78</v>
      </c>
      <c r="E105" s="2" t="s">
        <v>1217</v>
      </c>
      <c r="F105" s="4" t="s">
        <v>103</v>
      </c>
      <c r="G105" s="4" t="s">
        <v>104</v>
      </c>
      <c r="H105" s="5"/>
      <c r="I105" s="5"/>
      <c r="J105" s="5"/>
      <c r="K105" s="4" t="s">
        <v>105</v>
      </c>
      <c r="L105" s="4" t="s">
        <v>106</v>
      </c>
      <c r="M105" s="6" t="str">
        <f>IF(OR(B105="",I105=""),"",B105*I105)</f>
        <v/>
      </c>
      <c r="N105" s="10" t="s">
        <v>10</v>
      </c>
      <c r="O105" s="9"/>
      <c r="P105" s="9"/>
      <c r="Q105" s="22"/>
      <c r="R105" s="22"/>
      <c r="S105" s="23" t="str">
        <f>IF(AND(ISNUMBER(Q105),Q105&gt;0,ISNUMBER(R105),R105&gt;0),R105/Q105,"")</f>
        <v/>
      </c>
      <c r="T105" s="9"/>
      <c r="U105" s="9"/>
      <c r="V105" s="9"/>
      <c r="W105" s="9"/>
      <c r="X105" s="23" t="str">
        <f>IF(ISNUMBER(S105),S105,IF(ISNUMBER(I105),I105,""))</f>
        <v/>
      </c>
      <c r="Y105" t="str">
        <f>IF(ISNUMBER(S105),"2025 EIA-923 plant/group proxy",IF(ISNUMBER(I105),"Technology estimate","No thermal heat rate"))</f>
        <v>No thermal heat rate</v>
      </c>
      <c r="Z105" t="str">
        <f>IF(ISNUMBER(S105),"Review: NOT unit verified",IF(AE105="No match","No EIA match",IF(AF105="Unconfirmed","Unconfirmed EIA candidate","")))</f>
        <v>No EIA match</v>
      </c>
      <c r="AE105" t="s">
        <v>107</v>
      </c>
      <c r="AG105" s="24">
        <f>IF(ISBLANK(S105),S105,I105)</f>
        <v>0</v>
      </c>
      <c r="AH105" s="34">
        <f t="shared" si="8"/>
        <v>3727.2000000000003</v>
      </c>
      <c r="AI105">
        <f t="shared" si="7"/>
        <v>2327.5711384992333</v>
      </c>
      <c r="AJ105" t="b" cm="1">
        <f t="array" ref="AJ105">OR(D105=$AT$2:$AT$8)</f>
        <v>1</v>
      </c>
    </row>
    <row r="106" spans="1:36" x14ac:dyDescent="0.25">
      <c r="A106" s="2" t="s">
        <v>188</v>
      </c>
      <c r="B106" s="3">
        <v>136</v>
      </c>
      <c r="C106" s="2" t="s">
        <v>147</v>
      </c>
      <c r="D106" s="2" t="s">
        <v>147</v>
      </c>
      <c r="E106" s="2" t="s">
        <v>189</v>
      </c>
      <c r="F106" s="4" t="s">
        <v>103</v>
      </c>
      <c r="G106" s="4" t="s">
        <v>190</v>
      </c>
      <c r="H106" s="5"/>
      <c r="I106" s="5"/>
      <c r="J106" s="5"/>
      <c r="K106" s="4" t="s">
        <v>105</v>
      </c>
      <c r="L106" s="4" t="s">
        <v>191</v>
      </c>
      <c r="M106" s="6" t="str">
        <f>IF(OR(B106="",I106=""),"",B106*I106)</f>
        <v/>
      </c>
      <c r="N106" s="10" t="s">
        <v>10</v>
      </c>
      <c r="O106" s="9"/>
      <c r="P106" s="9"/>
      <c r="Q106" s="22"/>
      <c r="R106" s="22"/>
      <c r="S106" s="23" t="str">
        <f>IF(AND(ISNUMBER(Q106),Q106&gt;0,ISNUMBER(R106),R106&gt;0),R106/Q106,"")</f>
        <v/>
      </c>
      <c r="T106" s="9"/>
      <c r="U106" s="9"/>
      <c r="V106" s="9"/>
      <c r="W106" s="9"/>
      <c r="X106" s="23" t="str">
        <f>IF(ISNUMBER(S106),S106,IF(ISNUMBER(I106),I106,""))</f>
        <v/>
      </c>
      <c r="Y106" t="str">
        <f>IF(ISNUMBER(S106),"2025 EIA-923 plant/group proxy",IF(ISNUMBER(I106),"Technology estimate","No thermal heat rate"))</f>
        <v>No thermal heat rate</v>
      </c>
      <c r="Z106" t="str">
        <f>IF(ISNUMBER(S106),"Review: NOT unit verified",IF(AE106="No match","No EIA match",IF(AF106="Unconfirmed","Unconfirmed EIA candidate","")))</f>
        <v>No EIA match</v>
      </c>
      <c r="AE106" t="s">
        <v>107</v>
      </c>
      <c r="AG106" s="24">
        <f>IF(ISBLANK(S106),S106,I106)</f>
        <v>0</v>
      </c>
      <c r="AH106" s="34">
        <f t="shared" si="8"/>
        <v>3863.2000000000003</v>
      </c>
      <c r="AI106">
        <f t="shared" si="7"/>
        <v>2412.500757203863</v>
      </c>
      <c r="AJ106" t="b" cm="1">
        <f t="array" ref="AJ106">OR(D106=$AT$2:$AT$8)</f>
        <v>0</v>
      </c>
    </row>
    <row r="107" spans="1:36" x14ac:dyDescent="0.25">
      <c r="A107" s="2" t="s">
        <v>310</v>
      </c>
      <c r="B107" s="3">
        <v>50.3</v>
      </c>
      <c r="C107" s="2" t="s">
        <v>305</v>
      </c>
      <c r="D107" s="2" t="s">
        <v>305</v>
      </c>
      <c r="E107" s="2" t="s">
        <v>189</v>
      </c>
      <c r="F107" s="4" t="s">
        <v>103</v>
      </c>
      <c r="G107" s="4" t="s">
        <v>190</v>
      </c>
      <c r="H107" s="5"/>
      <c r="I107" s="5"/>
      <c r="J107" s="5"/>
      <c r="K107" s="4" t="s">
        <v>105</v>
      </c>
      <c r="L107" s="4" t="s">
        <v>191</v>
      </c>
      <c r="M107" s="6" t="str">
        <f>IF(OR(B107="",I107=""),"",B107*I107)</f>
        <v/>
      </c>
      <c r="N107" s="10" t="s">
        <v>10</v>
      </c>
      <c r="O107" s="9"/>
      <c r="P107" s="9"/>
      <c r="Q107" s="22"/>
      <c r="R107" s="22"/>
      <c r="S107" s="23" t="str">
        <f>IF(AND(ISNUMBER(Q107),Q107&gt;0,ISNUMBER(R107),R107&gt;0),R107/Q107,"")</f>
        <v/>
      </c>
      <c r="T107" s="9"/>
      <c r="U107" s="9"/>
      <c r="V107" s="9"/>
      <c r="W107" s="9"/>
      <c r="X107" s="23" t="str">
        <f>IF(ISNUMBER(S107),S107,IF(ISNUMBER(I107),I107,""))</f>
        <v/>
      </c>
      <c r="Y107" t="str">
        <f>IF(ISNUMBER(S107),"2025 EIA-923 plant/group proxy",IF(ISNUMBER(I107),"Technology estimate","No thermal heat rate"))</f>
        <v>No thermal heat rate</v>
      </c>
      <c r="Z107" t="str">
        <f>IF(ISNUMBER(S107),"Review: NOT unit verified",IF(AE107="No match","No EIA match",IF(AF107="Unconfirmed","Unconfirmed EIA candidate","")))</f>
        <v>No EIA match</v>
      </c>
      <c r="AE107" t="s">
        <v>107</v>
      </c>
      <c r="AG107" s="24">
        <f>IF(ISBLANK(S107),S107,I107)</f>
        <v>0</v>
      </c>
      <c r="AH107" s="34">
        <f t="shared" si="8"/>
        <v>3913.5000000000005</v>
      </c>
      <c r="AI107">
        <f t="shared" si="7"/>
        <v>2443.9122264747666</v>
      </c>
      <c r="AJ107" t="b" cm="1">
        <f t="array" ref="AJ107">OR(D107=$AT$2:$AT$8)</f>
        <v>1</v>
      </c>
    </row>
    <row r="108" spans="1:36" x14ac:dyDescent="0.25">
      <c r="A108" s="2" t="s">
        <v>369</v>
      </c>
      <c r="B108" s="3">
        <v>23</v>
      </c>
      <c r="C108" s="2" t="s">
        <v>228</v>
      </c>
      <c r="D108" s="2" t="s">
        <v>228</v>
      </c>
      <c r="E108" s="2" t="s">
        <v>189</v>
      </c>
      <c r="F108" s="4" t="s">
        <v>103</v>
      </c>
      <c r="G108" s="4" t="s">
        <v>190</v>
      </c>
      <c r="H108" s="5"/>
      <c r="I108" s="5"/>
      <c r="J108" s="5"/>
      <c r="K108" s="4" t="s">
        <v>105</v>
      </c>
      <c r="L108" s="4" t="s">
        <v>191</v>
      </c>
      <c r="M108" s="6" t="str">
        <f>IF(OR(B108="",I108=""),"",B108*I108)</f>
        <v/>
      </c>
      <c r="N108" s="29" t="s">
        <v>154</v>
      </c>
      <c r="O108" s="9"/>
      <c r="P108" s="9"/>
      <c r="Q108" s="22"/>
      <c r="R108" s="22"/>
      <c r="S108" s="23" t="str">
        <f>IF(AND(ISNUMBER(Q108),Q108&gt;0,ISNUMBER(R108),R108&gt;0),R108/Q108,"")</f>
        <v/>
      </c>
      <c r="T108" s="9"/>
      <c r="U108" s="9"/>
      <c r="V108" s="9"/>
      <c r="W108" s="9" t="s">
        <v>370</v>
      </c>
      <c r="X108" s="23" t="str">
        <f>IF(ISNUMBER(S108),S108,IF(ISNUMBER(I108),I108,""))</f>
        <v/>
      </c>
      <c r="Y108" t="str">
        <f>IF(ISNUMBER(S108),"2025 EIA-923 plant/group proxy",IF(ISNUMBER(I108),"Technology estimate","No thermal heat rate"))</f>
        <v>No thermal heat rate</v>
      </c>
      <c r="Z108" t="str">
        <f>IF(ISNUMBER(S108),"Review: NOT unit verified",IF(AE108="No match","No EIA match",IF(AF108="Unconfirmed","Unconfirmed EIA candidate","")))</f>
        <v>Unconfirmed EIA candidate</v>
      </c>
      <c r="AA108" s="26">
        <v>0.42080000000000001</v>
      </c>
      <c r="AB108" t="s">
        <v>241</v>
      </c>
      <c r="AD108" s="26">
        <v>0</v>
      </c>
      <c r="AE108" t="s">
        <v>157</v>
      </c>
      <c r="AF108" t="s">
        <v>158</v>
      </c>
      <c r="AG108" s="24">
        <f>IF(ISBLANK(S108),S108,I108)</f>
        <v>0</v>
      </c>
      <c r="AH108" s="34">
        <f t="shared" si="8"/>
        <v>3936.5000000000005</v>
      </c>
      <c r="AI108">
        <f t="shared" si="7"/>
        <v>2458.2753237556967</v>
      </c>
      <c r="AJ108" t="b" cm="1">
        <f t="array" ref="AJ108">OR(D108=$AT$2:$AT$8)</f>
        <v>1</v>
      </c>
    </row>
    <row r="109" spans="1:36" x14ac:dyDescent="0.25">
      <c r="A109" s="2" t="s">
        <v>579</v>
      </c>
      <c r="B109" s="3">
        <v>71.3</v>
      </c>
      <c r="C109" s="2" t="s">
        <v>68</v>
      </c>
      <c r="D109" s="2" t="s">
        <v>58</v>
      </c>
      <c r="E109" s="2" t="s">
        <v>189</v>
      </c>
      <c r="F109" s="4" t="s">
        <v>103</v>
      </c>
      <c r="G109" s="4" t="s">
        <v>190</v>
      </c>
      <c r="H109" s="5"/>
      <c r="I109" s="5"/>
      <c r="J109" s="5"/>
      <c r="K109" s="4" t="s">
        <v>105</v>
      </c>
      <c r="L109" s="4" t="s">
        <v>191</v>
      </c>
      <c r="M109" s="6" t="str">
        <f>IF(OR(B109="",I109=""),"",B109*I109)</f>
        <v/>
      </c>
      <c r="N109" s="29" t="s">
        <v>154</v>
      </c>
      <c r="O109" s="9"/>
      <c r="P109" s="9"/>
      <c r="Q109" s="22"/>
      <c r="R109" s="22"/>
      <c r="S109" s="23" t="str">
        <f>IF(AND(ISNUMBER(Q109),Q109&gt;0,ISNUMBER(R109),R109&gt;0),R109/Q109,"")</f>
        <v/>
      </c>
      <c r="T109" s="9"/>
      <c r="U109" s="9"/>
      <c r="V109" s="9"/>
      <c r="W109" s="9" t="s">
        <v>580</v>
      </c>
      <c r="X109" s="23" t="str">
        <f>IF(ISNUMBER(S109),S109,IF(ISNUMBER(I109),I109,""))</f>
        <v/>
      </c>
      <c r="Y109" t="str">
        <f>IF(ISNUMBER(S109),"2025 EIA-923 plant/group proxy",IF(ISNUMBER(I109),"Technology estimate","No thermal heat rate"))</f>
        <v>No thermal heat rate</v>
      </c>
      <c r="Z109" t="str">
        <f>IF(ISNUMBER(S109),"Review: NOT unit verified",IF(AE109="No match","No EIA match",IF(AF109="Unconfirmed","Unconfirmed EIA candidate","")))</f>
        <v>Unconfirmed EIA candidate</v>
      </c>
      <c r="AA109" s="26">
        <v>0.39229999999999998</v>
      </c>
      <c r="AB109" t="s">
        <v>131</v>
      </c>
      <c r="AC109" t="s">
        <v>581</v>
      </c>
      <c r="AD109" s="26">
        <v>455</v>
      </c>
      <c r="AE109" t="s">
        <v>157</v>
      </c>
      <c r="AF109" t="s">
        <v>158</v>
      </c>
      <c r="AG109" s="24">
        <f>IF(ISBLANK(S109),S109,I109)</f>
        <v>0</v>
      </c>
      <c r="AH109" s="34">
        <f t="shared" si="8"/>
        <v>4007.8000000000006</v>
      </c>
      <c r="AI109">
        <f t="shared" si="7"/>
        <v>2502.80092532658</v>
      </c>
      <c r="AJ109" t="b" cm="1">
        <f t="array" ref="AJ109">OR(D109=$AT$2:$AT$8)</f>
        <v>0</v>
      </c>
    </row>
    <row r="110" spans="1:36" x14ac:dyDescent="0.25">
      <c r="A110" s="2" t="s">
        <v>625</v>
      </c>
      <c r="B110" s="3">
        <v>75</v>
      </c>
      <c r="C110" s="2" t="s">
        <v>432</v>
      </c>
      <c r="D110" s="2" t="s">
        <v>58</v>
      </c>
      <c r="E110" s="2" t="s">
        <v>189</v>
      </c>
      <c r="F110" s="4" t="s">
        <v>103</v>
      </c>
      <c r="G110" s="4" t="s">
        <v>190</v>
      </c>
      <c r="H110" s="5"/>
      <c r="I110" s="5"/>
      <c r="J110" s="5"/>
      <c r="K110" s="4" t="s">
        <v>105</v>
      </c>
      <c r="L110" s="4" t="s">
        <v>191</v>
      </c>
      <c r="M110" s="6" t="str">
        <f>IF(OR(B110="",I110=""),"",B110*I110)</f>
        <v/>
      </c>
      <c r="N110" s="10" t="s">
        <v>10</v>
      </c>
      <c r="O110" s="9"/>
      <c r="P110" s="9"/>
      <c r="Q110" s="22"/>
      <c r="R110" s="22"/>
      <c r="S110" s="23" t="str">
        <f>IF(AND(ISNUMBER(Q110),Q110&gt;0,ISNUMBER(R110),R110&gt;0),R110/Q110,"")</f>
        <v/>
      </c>
      <c r="T110" s="9"/>
      <c r="U110" s="9"/>
      <c r="V110" s="9"/>
      <c r="W110" s="9"/>
      <c r="X110" s="23" t="str">
        <f>IF(ISNUMBER(S110),S110,IF(ISNUMBER(I110),I110,""))</f>
        <v/>
      </c>
      <c r="Y110" t="str">
        <f>IF(ISNUMBER(S110),"2025 EIA-923 plant/group proxy",IF(ISNUMBER(I110),"Technology estimate","No thermal heat rate"))</f>
        <v>No thermal heat rate</v>
      </c>
      <c r="Z110" t="str">
        <f>IF(ISNUMBER(S110),"Review: NOT unit verified",IF(AE110="No match","No EIA match",IF(AF110="Unconfirmed","Unconfirmed EIA candidate","")))</f>
        <v>No EIA match</v>
      </c>
      <c r="AE110" t="s">
        <v>107</v>
      </c>
      <c r="AG110" s="24">
        <f>IF(ISBLANK(S110),S110,I110)</f>
        <v>0</v>
      </c>
      <c r="AH110" s="34">
        <f t="shared" si="8"/>
        <v>4082.8000000000006</v>
      </c>
      <c r="AI110">
        <f t="shared" si="7"/>
        <v>2549.6371121122211</v>
      </c>
      <c r="AJ110" t="b" cm="1">
        <f t="array" ref="AJ110">OR(D110=$AT$2:$AT$8)</f>
        <v>0</v>
      </c>
    </row>
    <row r="111" spans="1:36" x14ac:dyDescent="0.25">
      <c r="A111" s="2" t="s">
        <v>710</v>
      </c>
      <c r="B111" s="3">
        <v>28.4</v>
      </c>
      <c r="C111" s="2" t="s">
        <v>228</v>
      </c>
      <c r="D111" s="2" t="s">
        <v>237</v>
      </c>
      <c r="E111" s="2" t="s">
        <v>189</v>
      </c>
      <c r="F111" s="4" t="s">
        <v>103</v>
      </c>
      <c r="G111" s="4" t="s">
        <v>190</v>
      </c>
      <c r="H111" s="5"/>
      <c r="I111" s="5"/>
      <c r="J111" s="5"/>
      <c r="K111" s="4" t="s">
        <v>105</v>
      </c>
      <c r="L111" s="4" t="s">
        <v>191</v>
      </c>
      <c r="M111" s="6" t="str">
        <f>IF(OR(B111="",I111=""),"",B111*I111)</f>
        <v/>
      </c>
      <c r="N111" s="10" t="s">
        <v>10</v>
      </c>
      <c r="O111" s="9"/>
      <c r="P111" s="9"/>
      <c r="Q111" s="22"/>
      <c r="R111" s="22"/>
      <c r="S111" s="23" t="str">
        <f>IF(AND(ISNUMBER(Q111),Q111&gt;0,ISNUMBER(R111),R111&gt;0),R111/Q111,"")</f>
        <v/>
      </c>
      <c r="T111" s="9"/>
      <c r="U111" s="9"/>
      <c r="V111" s="9"/>
      <c r="W111" s="9"/>
      <c r="X111" s="23" t="str">
        <f>IF(ISNUMBER(S111),S111,IF(ISNUMBER(I111),I111,""))</f>
        <v/>
      </c>
      <c r="Y111" t="str">
        <f>IF(ISNUMBER(S111),"2025 EIA-923 plant/group proxy",IF(ISNUMBER(I111),"Technology estimate","No thermal heat rate"))</f>
        <v>No thermal heat rate</v>
      </c>
      <c r="Z111" t="str">
        <f>IF(ISNUMBER(S111),"Review: NOT unit verified",IF(AE111="No match","No EIA match",IF(AF111="Unconfirmed","Unconfirmed EIA candidate","")))</f>
        <v>No EIA match</v>
      </c>
      <c r="AE111" t="s">
        <v>107</v>
      </c>
      <c r="AG111" s="24">
        <f>IF(ISBLANK(S111),S111,I111)</f>
        <v>0</v>
      </c>
      <c r="AH111" s="34">
        <f t="shared" si="8"/>
        <v>4111.2000000000007</v>
      </c>
      <c r="AI111">
        <f t="shared" si="7"/>
        <v>2567.3724148417177</v>
      </c>
      <c r="AJ111" t="b" cm="1">
        <f t="array" ref="AJ111">OR(D111=$AT$2:$AT$8)</f>
        <v>0</v>
      </c>
    </row>
    <row r="112" spans="1:36" x14ac:dyDescent="0.25">
      <c r="A112" s="2" t="s">
        <v>711</v>
      </c>
      <c r="B112" s="3">
        <v>30.9</v>
      </c>
      <c r="C112" s="2" t="s">
        <v>228</v>
      </c>
      <c r="D112" s="2" t="s">
        <v>237</v>
      </c>
      <c r="E112" s="2" t="s">
        <v>189</v>
      </c>
      <c r="F112" s="4" t="s">
        <v>103</v>
      </c>
      <c r="G112" s="4" t="s">
        <v>190</v>
      </c>
      <c r="H112" s="5"/>
      <c r="I112" s="5"/>
      <c r="J112" s="5"/>
      <c r="K112" s="4" t="s">
        <v>105</v>
      </c>
      <c r="L112" s="4" t="s">
        <v>191</v>
      </c>
      <c r="M112" s="6" t="str">
        <f>IF(OR(B112="",I112=""),"",B112*I112)</f>
        <v/>
      </c>
      <c r="N112" s="10" t="s">
        <v>10</v>
      </c>
      <c r="O112" s="9"/>
      <c r="P112" s="9"/>
      <c r="Q112" s="22"/>
      <c r="R112" s="22"/>
      <c r="S112" s="23" t="str">
        <f>IF(AND(ISNUMBER(Q112),Q112&gt;0,ISNUMBER(R112),R112&gt;0),R112/Q112,"")</f>
        <v/>
      </c>
      <c r="T112" s="9"/>
      <c r="U112" s="9"/>
      <c r="V112" s="9"/>
      <c r="W112" s="9"/>
      <c r="X112" s="23" t="str">
        <f>IF(ISNUMBER(S112),S112,IF(ISNUMBER(I112),I112,""))</f>
        <v/>
      </c>
      <c r="Y112" t="str">
        <f>IF(ISNUMBER(S112),"2025 EIA-923 plant/group proxy",IF(ISNUMBER(I112),"Technology estimate","No thermal heat rate"))</f>
        <v>No thermal heat rate</v>
      </c>
      <c r="Z112" t="str">
        <f>IF(ISNUMBER(S112),"Review: NOT unit verified",IF(AE112="No match","No EIA match",IF(AF112="Unconfirmed","Unconfirmed EIA candidate","")))</f>
        <v>No EIA match</v>
      </c>
      <c r="AE112" t="s">
        <v>107</v>
      </c>
      <c r="AG112" s="24">
        <f>IF(ISBLANK(S112),S112,I112)</f>
        <v>0</v>
      </c>
      <c r="AH112" s="34">
        <f t="shared" si="8"/>
        <v>4142.1000000000004</v>
      </c>
      <c r="AI112">
        <f t="shared" si="7"/>
        <v>2586.6689237974015</v>
      </c>
      <c r="AJ112" t="b" cm="1">
        <f t="array" ref="AJ112">OR(D112=$AT$2:$AT$8)</f>
        <v>0</v>
      </c>
    </row>
    <row r="113" spans="1:36" x14ac:dyDescent="0.25">
      <c r="A113" s="2" t="s">
        <v>820</v>
      </c>
      <c r="B113" s="3">
        <v>11.1</v>
      </c>
      <c r="C113" s="2" t="s">
        <v>228</v>
      </c>
      <c r="D113" s="2" t="s">
        <v>228</v>
      </c>
      <c r="E113" s="2" t="s">
        <v>189</v>
      </c>
      <c r="F113" s="4" t="s">
        <v>103</v>
      </c>
      <c r="G113" s="4" t="s">
        <v>190</v>
      </c>
      <c r="H113" s="5"/>
      <c r="I113" s="5"/>
      <c r="J113" s="5"/>
      <c r="K113" s="4" t="s">
        <v>105</v>
      </c>
      <c r="L113" s="4" t="s">
        <v>191</v>
      </c>
      <c r="M113" s="6" t="str">
        <f>IF(OR(B113="",I113=""),"",B113*I113)</f>
        <v/>
      </c>
      <c r="N113" s="29" t="s">
        <v>154</v>
      </c>
      <c r="O113" s="9"/>
      <c r="P113" s="9"/>
      <c r="Q113" s="22"/>
      <c r="R113" s="22"/>
      <c r="S113" s="23" t="str">
        <f>IF(AND(ISNUMBER(Q113),Q113&gt;0,ISNUMBER(R113),R113&gt;0),R113/Q113,"")</f>
        <v/>
      </c>
      <c r="T113" s="9"/>
      <c r="U113" s="9"/>
      <c r="V113" s="9"/>
      <c r="W113" s="9" t="s">
        <v>821</v>
      </c>
      <c r="X113" s="23" t="str">
        <f>IF(ISNUMBER(S113),S113,IF(ISNUMBER(I113),I113,""))</f>
        <v/>
      </c>
      <c r="Y113" t="str">
        <f>IF(ISNUMBER(S113),"2025 EIA-923 plant/group proxy",IF(ISNUMBER(I113),"Technology estimate","No thermal heat rate"))</f>
        <v>No thermal heat rate</v>
      </c>
      <c r="Z113" t="str">
        <f>IF(ISNUMBER(S113),"Review: NOT unit verified",IF(AE113="No match","No EIA match",IF(AF113="Unconfirmed","Unconfirmed EIA candidate","")))</f>
        <v>Unconfirmed EIA candidate</v>
      </c>
      <c r="AA113" s="26">
        <v>0.40089999999999998</v>
      </c>
      <c r="AB113" t="s">
        <v>266</v>
      </c>
      <c r="AC113" t="s">
        <v>308</v>
      </c>
      <c r="AD113" s="26">
        <v>1225</v>
      </c>
      <c r="AE113" t="s">
        <v>157</v>
      </c>
      <c r="AF113" t="s">
        <v>158</v>
      </c>
      <c r="AG113" s="24">
        <f>IF(ISBLANK(S113),S113,I113)</f>
        <v>0</v>
      </c>
      <c r="AH113" s="34">
        <f t="shared" si="8"/>
        <v>4153.2000000000007</v>
      </c>
      <c r="AI113">
        <f t="shared" si="7"/>
        <v>2593.6006794416767</v>
      </c>
      <c r="AJ113" t="b" cm="1">
        <f t="array" ref="AJ113">OR(D113=$AT$2:$AT$8)</f>
        <v>1</v>
      </c>
    </row>
    <row r="114" spans="1:36" x14ac:dyDescent="0.25">
      <c r="A114" s="2" t="s">
        <v>869</v>
      </c>
      <c r="B114" s="3">
        <v>51</v>
      </c>
      <c r="C114" s="2" t="s">
        <v>78</v>
      </c>
      <c r="D114" s="2" t="s">
        <v>78</v>
      </c>
      <c r="E114" s="2" t="s">
        <v>189</v>
      </c>
      <c r="F114" s="4" t="s">
        <v>103</v>
      </c>
      <c r="G114" s="4" t="s">
        <v>190</v>
      </c>
      <c r="H114" s="5"/>
      <c r="I114" s="5"/>
      <c r="J114" s="5"/>
      <c r="K114" s="4" t="s">
        <v>105</v>
      </c>
      <c r="L114" s="4" t="s">
        <v>191</v>
      </c>
      <c r="M114" s="6" t="str">
        <f>IF(OR(B114="",I114=""),"",B114*I114)</f>
        <v/>
      </c>
      <c r="N114" s="10" t="s">
        <v>10</v>
      </c>
      <c r="O114" s="9"/>
      <c r="P114" s="9"/>
      <c r="Q114" s="22"/>
      <c r="R114" s="22"/>
      <c r="S114" s="23" t="str">
        <f>IF(AND(ISNUMBER(Q114),Q114&gt;0,ISNUMBER(R114),R114&gt;0),R114/Q114,"")</f>
        <v/>
      </c>
      <c r="T114" s="9"/>
      <c r="U114" s="9"/>
      <c r="V114" s="9"/>
      <c r="W114" s="9"/>
      <c r="X114" s="23" t="str">
        <f>IF(ISNUMBER(S114),S114,IF(ISNUMBER(I114),I114,""))</f>
        <v/>
      </c>
      <c r="Y114" t="str">
        <f>IF(ISNUMBER(S114),"2025 EIA-923 plant/group proxy",IF(ISNUMBER(I114),"Technology estimate","No thermal heat rate"))</f>
        <v>No thermal heat rate</v>
      </c>
      <c r="Z114" t="str">
        <f>IF(ISNUMBER(S114),"Review: NOT unit verified",IF(AE114="No match","No EIA match",IF(AF114="Unconfirmed","Unconfirmed EIA candidate","")))</f>
        <v>No EIA match</v>
      </c>
      <c r="AE114" t="s">
        <v>107</v>
      </c>
      <c r="AG114" s="24">
        <f>IF(ISBLANK(S114),S114,I114)</f>
        <v>0</v>
      </c>
      <c r="AH114" s="34">
        <f t="shared" si="8"/>
        <v>4204.2000000000007</v>
      </c>
      <c r="AI114">
        <f t="shared" si="7"/>
        <v>2625.4492864559129</v>
      </c>
      <c r="AJ114" t="b" cm="1">
        <f t="array" ref="AJ114">OR(D114=$AT$2:$AT$8)</f>
        <v>1</v>
      </c>
    </row>
    <row r="115" spans="1:36" x14ac:dyDescent="0.25">
      <c r="A115" s="2" t="s">
        <v>896</v>
      </c>
      <c r="B115" s="3">
        <v>9</v>
      </c>
      <c r="C115" s="2" t="s">
        <v>136</v>
      </c>
      <c r="D115" s="2" t="s">
        <v>136</v>
      </c>
      <c r="E115" s="2" t="s">
        <v>189</v>
      </c>
      <c r="F115" s="4" t="s">
        <v>103</v>
      </c>
      <c r="G115" s="4" t="s">
        <v>190</v>
      </c>
      <c r="H115" s="5"/>
      <c r="I115" s="5"/>
      <c r="J115" s="5"/>
      <c r="K115" s="4" t="s">
        <v>105</v>
      </c>
      <c r="L115" s="4" t="s">
        <v>191</v>
      </c>
      <c r="M115" s="6" t="str">
        <f>IF(OR(B115="",I115=""),"",B115*I115)</f>
        <v/>
      </c>
      <c r="N115" s="29" t="s">
        <v>154</v>
      </c>
      <c r="O115" s="9"/>
      <c r="P115" s="9"/>
      <c r="Q115" s="22"/>
      <c r="R115" s="22"/>
      <c r="S115" s="23" t="str">
        <f>IF(AND(ISNUMBER(Q115),Q115&gt;0,ISNUMBER(R115),R115&gt;0),R115/Q115,"")</f>
        <v/>
      </c>
      <c r="T115" s="9"/>
      <c r="U115" s="9"/>
      <c r="V115" s="9"/>
      <c r="W115" s="9" t="s">
        <v>897</v>
      </c>
      <c r="X115" s="23" t="str">
        <f>IF(ISNUMBER(S115),S115,IF(ISNUMBER(I115),I115,""))</f>
        <v/>
      </c>
      <c r="Y115" t="str">
        <f>IF(ISNUMBER(S115),"2025 EIA-923 plant/group proxy",IF(ISNUMBER(I115),"Technology estimate","No thermal heat rate"))</f>
        <v>No thermal heat rate</v>
      </c>
      <c r="Z115" t="str">
        <f>IF(ISNUMBER(S115),"Review: NOT unit verified",IF(AE115="No match","No EIA match",IF(AF115="Unconfirmed","Unconfirmed EIA candidate","")))</f>
        <v>Unconfirmed EIA candidate</v>
      </c>
      <c r="AA115" s="26">
        <v>0.66500000000000004</v>
      </c>
      <c r="AB115" t="s">
        <v>143</v>
      </c>
      <c r="AD115" s="26">
        <v>0</v>
      </c>
      <c r="AE115" t="s">
        <v>157</v>
      </c>
      <c r="AF115" t="s">
        <v>158</v>
      </c>
      <c r="AG115" s="24">
        <f>IF(ISBLANK(S115),S115,I115)</f>
        <v>0</v>
      </c>
      <c r="AH115" s="34">
        <f t="shared" si="8"/>
        <v>4213.2000000000007</v>
      </c>
      <c r="AI115">
        <f t="shared" si="7"/>
        <v>2631.0696288701897</v>
      </c>
      <c r="AJ115" t="b" cm="1">
        <f t="array" ref="AJ115">OR(D115=$AT$2:$AT$8)</f>
        <v>0</v>
      </c>
    </row>
    <row r="116" spans="1:36" x14ac:dyDescent="0.25">
      <c r="A116" s="2" t="s">
        <v>975</v>
      </c>
      <c r="B116" s="3">
        <v>13</v>
      </c>
      <c r="C116" s="2" t="s">
        <v>86</v>
      </c>
      <c r="D116" s="2" t="s">
        <v>76</v>
      </c>
      <c r="E116" s="2" t="s">
        <v>189</v>
      </c>
      <c r="F116" s="4" t="s">
        <v>103</v>
      </c>
      <c r="G116" s="4" t="s">
        <v>190</v>
      </c>
      <c r="H116" s="5"/>
      <c r="I116" s="5"/>
      <c r="J116" s="5"/>
      <c r="K116" s="4" t="s">
        <v>105</v>
      </c>
      <c r="L116" s="4" t="s">
        <v>191</v>
      </c>
      <c r="M116" s="6" t="str">
        <f>IF(OR(B116="",I116=""),"",B116*I116)</f>
        <v/>
      </c>
      <c r="N116" s="10" t="s">
        <v>10</v>
      </c>
      <c r="O116" s="9"/>
      <c r="P116" s="9"/>
      <c r="Q116" s="22"/>
      <c r="R116" s="22"/>
      <c r="S116" s="23" t="str">
        <f>IF(AND(ISNUMBER(Q116),Q116&gt;0,ISNUMBER(R116),R116&gt;0),R116/Q116,"")</f>
        <v/>
      </c>
      <c r="T116" s="9"/>
      <c r="U116" s="9"/>
      <c r="V116" s="9"/>
      <c r="W116" s="9"/>
      <c r="X116" s="23" t="str">
        <f>IF(ISNUMBER(S116),S116,IF(ISNUMBER(I116),I116,""))</f>
        <v/>
      </c>
      <c r="Y116" t="str">
        <f>IF(ISNUMBER(S116),"2025 EIA-923 plant/group proxy",IF(ISNUMBER(I116),"Technology estimate","No thermal heat rate"))</f>
        <v>No thermal heat rate</v>
      </c>
      <c r="Z116" t="str">
        <f>IF(ISNUMBER(S116),"Review: NOT unit verified",IF(AE116="No match","No EIA match",IF(AF116="Unconfirmed","Unconfirmed EIA candidate","")))</f>
        <v>No EIA match</v>
      </c>
      <c r="AE116" t="s">
        <v>107</v>
      </c>
      <c r="AG116" s="24">
        <f>IF(ISBLANK(S116),S116,I116)</f>
        <v>0</v>
      </c>
      <c r="AH116" s="34">
        <f t="shared" si="8"/>
        <v>4226.2000000000007</v>
      </c>
      <c r="AI116">
        <f t="shared" si="7"/>
        <v>2639.1879012463678</v>
      </c>
      <c r="AJ116" t="b" cm="1">
        <f t="array" ref="AJ116">OR(D116=$AT$2:$AT$8)</f>
        <v>0</v>
      </c>
    </row>
    <row r="117" spans="1:36" x14ac:dyDescent="0.25">
      <c r="A117" s="2" t="s">
        <v>1051</v>
      </c>
      <c r="B117" s="3">
        <v>25</v>
      </c>
      <c r="C117" s="2" t="s">
        <v>75</v>
      </c>
      <c r="D117" s="2" t="s">
        <v>76</v>
      </c>
      <c r="E117" s="2" t="s">
        <v>189</v>
      </c>
      <c r="F117" s="4" t="s">
        <v>103</v>
      </c>
      <c r="G117" s="4" t="s">
        <v>190</v>
      </c>
      <c r="H117" s="5"/>
      <c r="I117" s="5"/>
      <c r="J117" s="5"/>
      <c r="K117" s="4" t="s">
        <v>105</v>
      </c>
      <c r="L117" s="4" t="s">
        <v>191</v>
      </c>
      <c r="M117" s="6" t="str">
        <f>IF(OR(B117="",I117=""),"",B117*I117)</f>
        <v/>
      </c>
      <c r="N117" s="29" t="s">
        <v>154</v>
      </c>
      <c r="O117" s="9"/>
      <c r="P117" s="9"/>
      <c r="Q117" s="22"/>
      <c r="R117" s="22"/>
      <c r="S117" s="23" t="str">
        <f>IF(AND(ISNUMBER(Q117),Q117&gt;0,ISNUMBER(R117),R117&gt;0),R117/Q117,"")</f>
        <v/>
      </c>
      <c r="T117" s="9"/>
      <c r="U117" s="9"/>
      <c r="V117" s="9"/>
      <c r="W117" s="9" t="s">
        <v>1052</v>
      </c>
      <c r="X117" s="23" t="str">
        <f>IF(ISNUMBER(S117),S117,IF(ISNUMBER(I117),I117,""))</f>
        <v/>
      </c>
      <c r="Y117" t="str">
        <f>IF(ISNUMBER(S117),"2025 EIA-923 plant/group proxy",IF(ISNUMBER(I117),"Technology estimate","No thermal heat rate"))</f>
        <v>No thermal heat rate</v>
      </c>
      <c r="Z117" t="str">
        <f>IF(ISNUMBER(S117),"Review: NOT unit verified",IF(AE117="No match","No EIA match",IF(AF117="Unconfirmed","Unconfirmed EIA candidate","")))</f>
        <v>Unconfirmed EIA candidate</v>
      </c>
      <c r="AA117" s="26">
        <v>0.40360000000000001</v>
      </c>
      <c r="AB117" t="s">
        <v>266</v>
      </c>
      <c r="AC117" t="s">
        <v>308</v>
      </c>
      <c r="AD117" s="26">
        <v>1225</v>
      </c>
      <c r="AE117" t="s">
        <v>157</v>
      </c>
      <c r="AF117" t="s">
        <v>158</v>
      </c>
      <c r="AG117" s="24">
        <f>IF(ISBLANK(S117),S117,I117)</f>
        <v>0</v>
      </c>
      <c r="AH117" s="34">
        <f t="shared" si="8"/>
        <v>4251.2000000000007</v>
      </c>
      <c r="AI117">
        <f t="shared" si="7"/>
        <v>2654.7999635082479</v>
      </c>
      <c r="AJ117" t="b" cm="1">
        <f t="array" ref="AJ117">OR(D117=$AT$2:$AT$8)</f>
        <v>0</v>
      </c>
    </row>
    <row r="118" spans="1:36" x14ac:dyDescent="0.25">
      <c r="A118" s="2" t="s">
        <v>1147</v>
      </c>
      <c r="B118" s="3">
        <v>52</v>
      </c>
      <c r="C118" s="2" t="s">
        <v>405</v>
      </c>
      <c r="D118" s="2" t="s">
        <v>405</v>
      </c>
      <c r="E118" s="2" t="s">
        <v>189</v>
      </c>
      <c r="F118" s="4" t="s">
        <v>103</v>
      </c>
      <c r="G118" s="4" t="s">
        <v>190</v>
      </c>
      <c r="H118" s="5"/>
      <c r="I118" s="5"/>
      <c r="J118" s="5"/>
      <c r="K118" s="4" t="s">
        <v>105</v>
      </c>
      <c r="L118" s="4" t="s">
        <v>191</v>
      </c>
      <c r="M118" s="6" t="str">
        <f>IF(OR(B118="",I118=""),"",B118*I118)</f>
        <v/>
      </c>
      <c r="N118" s="10" t="s">
        <v>10</v>
      </c>
      <c r="O118" s="9"/>
      <c r="P118" s="9"/>
      <c r="Q118" s="22"/>
      <c r="R118" s="22"/>
      <c r="S118" s="23" t="str">
        <f>IF(AND(ISNUMBER(Q118),Q118&gt;0,ISNUMBER(R118),R118&gt;0),R118/Q118,"")</f>
        <v/>
      </c>
      <c r="T118" s="9"/>
      <c r="U118" s="9"/>
      <c r="V118" s="9"/>
      <c r="W118" s="9"/>
      <c r="X118" s="23" t="str">
        <f>IF(ISNUMBER(S118),S118,IF(ISNUMBER(I118),I118,""))</f>
        <v/>
      </c>
      <c r="Y118" t="str">
        <f>IF(ISNUMBER(S118),"2025 EIA-923 plant/group proxy",IF(ISNUMBER(I118),"Technology estimate","No thermal heat rate"))</f>
        <v>No thermal heat rate</v>
      </c>
      <c r="Z118" t="str">
        <f>IF(ISNUMBER(S118),"Review: NOT unit verified",IF(AE118="No match","No EIA match",IF(AF118="Unconfirmed","Unconfirmed EIA candidate","")))</f>
        <v>No EIA match</v>
      </c>
      <c r="AE118" t="s">
        <v>107</v>
      </c>
      <c r="AG118" s="24">
        <f>IF(ISBLANK(S118),S118,I118)</f>
        <v>0</v>
      </c>
      <c r="AH118" s="34">
        <f t="shared" si="8"/>
        <v>4303.2000000000007</v>
      </c>
      <c r="AI118">
        <f t="shared" si="7"/>
        <v>2687.2730530129593</v>
      </c>
      <c r="AJ118" t="b" cm="1">
        <f t="array" ref="AJ118">OR(D118=$AT$2:$AT$8)</f>
        <v>1</v>
      </c>
    </row>
    <row r="119" spans="1:36" x14ac:dyDescent="0.25">
      <c r="A119" s="2" t="s">
        <v>1199</v>
      </c>
      <c r="B119" s="3">
        <v>28</v>
      </c>
      <c r="C119" s="2" t="s">
        <v>432</v>
      </c>
      <c r="D119" s="2" t="s">
        <v>58</v>
      </c>
      <c r="E119" s="2" t="s">
        <v>189</v>
      </c>
      <c r="F119" s="4" t="s">
        <v>103</v>
      </c>
      <c r="G119" s="4" t="s">
        <v>190</v>
      </c>
      <c r="H119" s="5"/>
      <c r="I119" s="5"/>
      <c r="J119" s="5"/>
      <c r="K119" s="4" t="s">
        <v>105</v>
      </c>
      <c r="L119" s="4" t="s">
        <v>191</v>
      </c>
      <c r="M119" s="6" t="str">
        <f>IF(OR(B119="",I119=""),"",B119*I119)</f>
        <v/>
      </c>
      <c r="N119" s="10" t="s">
        <v>10</v>
      </c>
      <c r="O119" s="9"/>
      <c r="P119" s="9"/>
      <c r="Q119" s="22"/>
      <c r="R119" s="22"/>
      <c r="S119" s="23" t="str">
        <f>IF(AND(ISNUMBER(Q119),Q119&gt;0,ISNUMBER(R119),R119&gt;0),R119/Q119,"")</f>
        <v/>
      </c>
      <c r="T119" s="9"/>
      <c r="U119" s="9"/>
      <c r="V119" s="9"/>
      <c r="W119" s="9"/>
      <c r="X119" s="23" t="str">
        <f>IF(ISNUMBER(S119),S119,IF(ISNUMBER(I119),I119,""))</f>
        <v/>
      </c>
      <c r="Y119" t="str">
        <f>IF(ISNUMBER(S119),"2025 EIA-923 plant/group proxy",IF(ISNUMBER(I119),"Technology estimate","No thermal heat rate"))</f>
        <v>No thermal heat rate</v>
      </c>
      <c r="Z119" t="str">
        <f>IF(ISNUMBER(S119),"Review: NOT unit verified",IF(AE119="No match","No EIA match",IF(AF119="Unconfirmed","Unconfirmed EIA candidate","")))</f>
        <v>No EIA match</v>
      </c>
      <c r="AE119" t="s">
        <v>107</v>
      </c>
      <c r="AG119" s="24">
        <f>IF(ISBLANK(S119),S119,I119)</f>
        <v>0</v>
      </c>
      <c r="AH119" s="34">
        <f t="shared" si="8"/>
        <v>4331.2000000000007</v>
      </c>
      <c r="AI119">
        <f t="shared" si="7"/>
        <v>2704.7585627462654</v>
      </c>
      <c r="AJ119" t="b" cm="1">
        <f t="array" ref="AJ119">OR(D119=$AT$2:$AT$8)</f>
        <v>0</v>
      </c>
    </row>
    <row r="120" spans="1:36" x14ac:dyDescent="0.25">
      <c r="A120" s="2" t="s">
        <v>1305</v>
      </c>
      <c r="B120" s="3">
        <v>78.900000000000006</v>
      </c>
      <c r="C120" s="2" t="s">
        <v>78</v>
      </c>
      <c r="D120" s="2" t="s">
        <v>78</v>
      </c>
      <c r="E120" s="2" t="s">
        <v>189</v>
      </c>
      <c r="F120" s="4" t="s">
        <v>103</v>
      </c>
      <c r="G120" s="4" t="s">
        <v>190</v>
      </c>
      <c r="H120" s="5"/>
      <c r="I120" s="5"/>
      <c r="J120" s="5"/>
      <c r="K120" s="4" t="s">
        <v>105</v>
      </c>
      <c r="L120" s="4" t="s">
        <v>191</v>
      </c>
      <c r="M120" s="6" t="str">
        <f>IF(OR(B120="",I120=""),"",B120*I120)</f>
        <v/>
      </c>
      <c r="N120" s="29" t="s">
        <v>154</v>
      </c>
      <c r="O120" s="9"/>
      <c r="P120" s="9"/>
      <c r="Q120" s="22"/>
      <c r="R120" s="22"/>
      <c r="S120" s="23" t="str">
        <f>IF(AND(ISNUMBER(Q120),Q120&gt;0,ISNUMBER(R120),R120&gt;0),R120/Q120,"")</f>
        <v/>
      </c>
      <c r="T120" s="9"/>
      <c r="U120" s="9"/>
      <c r="V120" s="9"/>
      <c r="W120" s="9" t="s">
        <v>1306</v>
      </c>
      <c r="X120" s="23" t="str">
        <f>IF(ISNUMBER(S120),S120,IF(ISNUMBER(I120),I120,""))</f>
        <v/>
      </c>
      <c r="Y120" t="str">
        <f>IF(ISNUMBER(S120),"2025 EIA-923 plant/group proxy",IF(ISNUMBER(I120),"Technology estimate","No thermal heat rate"))</f>
        <v>No thermal heat rate</v>
      </c>
      <c r="Z120" t="str">
        <f>IF(ISNUMBER(S120),"Review: NOT unit verified",IF(AE120="No match","No EIA match",IF(AF120="Unconfirmed","Unconfirmed EIA candidate","")))</f>
        <v>Unconfirmed EIA candidate</v>
      </c>
      <c r="AA120" s="26">
        <v>0.43669999999999998</v>
      </c>
      <c r="AB120" t="s">
        <v>118</v>
      </c>
      <c r="AC120" t="s">
        <v>308</v>
      </c>
      <c r="AD120" s="26">
        <v>1098</v>
      </c>
      <c r="AE120" t="s">
        <v>157</v>
      </c>
      <c r="AF120" t="s">
        <v>158</v>
      </c>
      <c r="AG120" s="24">
        <f>IF(ISBLANK(S120),S120,I120)</f>
        <v>0</v>
      </c>
      <c r="AH120" s="34">
        <f t="shared" si="8"/>
        <v>4410.1000000000004</v>
      </c>
      <c r="AI120">
        <f t="shared" si="7"/>
        <v>2754.0302312447602</v>
      </c>
      <c r="AJ120" t="b" cm="1">
        <f t="array" ref="AJ120">OR(D120=$AT$2:$AT$8)</f>
        <v>1</v>
      </c>
    </row>
    <row r="121" spans="1:36" x14ac:dyDescent="0.25">
      <c r="A121" s="2" t="s">
        <v>1326</v>
      </c>
      <c r="B121" s="3">
        <v>35</v>
      </c>
      <c r="C121" s="2" t="s">
        <v>75</v>
      </c>
      <c r="D121" s="2" t="s">
        <v>76</v>
      </c>
      <c r="E121" s="2" t="s">
        <v>189</v>
      </c>
      <c r="F121" s="4" t="s">
        <v>103</v>
      </c>
      <c r="G121" s="4" t="s">
        <v>190</v>
      </c>
      <c r="H121" s="5"/>
      <c r="I121" s="5"/>
      <c r="J121" s="5"/>
      <c r="K121" s="4" t="s">
        <v>105</v>
      </c>
      <c r="L121" s="4" t="s">
        <v>191</v>
      </c>
      <c r="M121" s="6" t="str">
        <f>IF(OR(B121="",I121=""),"",B121*I121)</f>
        <v/>
      </c>
      <c r="N121" s="10" t="s">
        <v>10</v>
      </c>
      <c r="O121" s="9"/>
      <c r="P121" s="9"/>
      <c r="Q121" s="22"/>
      <c r="R121" s="22"/>
      <c r="S121" s="23" t="str">
        <f>IF(AND(ISNUMBER(Q121),Q121&gt;0,ISNUMBER(R121),R121&gt;0),R121/Q121,"")</f>
        <v/>
      </c>
      <c r="T121" s="9"/>
      <c r="U121" s="9"/>
      <c r="V121" s="9"/>
      <c r="W121" s="9"/>
      <c r="X121" s="23" t="str">
        <f>IF(ISNUMBER(S121),S121,IF(ISNUMBER(I121),I121,""))</f>
        <v/>
      </c>
      <c r="Y121" t="str">
        <f>IF(ISNUMBER(S121),"2025 EIA-923 plant/group proxy",IF(ISNUMBER(I121),"Technology estimate","No thermal heat rate"))</f>
        <v>No thermal heat rate</v>
      </c>
      <c r="Z121" t="str">
        <f>IF(ISNUMBER(S121),"Review: NOT unit verified",IF(AE121="No match","No EIA match",IF(AF121="Unconfirmed","Unconfirmed EIA candidate","")))</f>
        <v>No EIA match</v>
      </c>
      <c r="AE121" t="s">
        <v>107</v>
      </c>
      <c r="AG121" s="24">
        <f>IF(ISBLANK(S121),S121,I121)</f>
        <v>0</v>
      </c>
      <c r="AH121" s="34">
        <f t="shared" si="8"/>
        <v>4445.1000000000004</v>
      </c>
      <c r="AI121">
        <f t="shared" si="7"/>
        <v>2775.8871184113927</v>
      </c>
      <c r="AJ121" t="b" cm="1">
        <f t="array" ref="AJ121">OR(D121=$AT$2:$AT$8)</f>
        <v>0</v>
      </c>
    </row>
    <row r="122" spans="1:36" x14ac:dyDescent="0.25">
      <c r="A122" s="2" t="s">
        <v>1390</v>
      </c>
      <c r="B122" s="3">
        <v>51</v>
      </c>
      <c r="C122" s="2" t="s">
        <v>78</v>
      </c>
      <c r="D122" s="2" t="s">
        <v>78</v>
      </c>
      <c r="E122" s="2" t="s">
        <v>189</v>
      </c>
      <c r="F122" s="4" t="s">
        <v>103</v>
      </c>
      <c r="G122" s="4" t="s">
        <v>190</v>
      </c>
      <c r="H122" s="5"/>
      <c r="I122" s="5"/>
      <c r="J122" s="5"/>
      <c r="K122" s="4" t="s">
        <v>105</v>
      </c>
      <c r="L122" s="4" t="s">
        <v>191</v>
      </c>
      <c r="M122" s="6" t="str">
        <f>IF(OR(B122="",I122=""),"",B122*I122)</f>
        <v/>
      </c>
      <c r="N122" s="10" t="s">
        <v>10</v>
      </c>
      <c r="O122" s="9"/>
      <c r="P122" s="9"/>
      <c r="Q122" s="22"/>
      <c r="R122" s="22"/>
      <c r="S122" s="23" t="str">
        <f>IF(AND(ISNUMBER(Q122),Q122&gt;0,ISNUMBER(R122),R122&gt;0),R122/Q122,"")</f>
        <v/>
      </c>
      <c r="T122" s="9"/>
      <c r="U122" s="9"/>
      <c r="V122" s="9"/>
      <c r="W122" s="9"/>
      <c r="X122" s="23" t="str">
        <f>IF(ISNUMBER(S122),S122,IF(ISNUMBER(I122),I122,""))</f>
        <v/>
      </c>
      <c r="Y122" t="str">
        <f>IF(ISNUMBER(S122),"2025 EIA-923 plant/group proxy",IF(ISNUMBER(I122),"Technology estimate","No thermal heat rate"))</f>
        <v>No thermal heat rate</v>
      </c>
      <c r="Z122" t="str">
        <f>IF(ISNUMBER(S122),"Review: NOT unit verified",IF(AE122="No match","No EIA match",IF(AF122="Unconfirmed","Unconfirmed EIA candidate","")))</f>
        <v>No EIA match</v>
      </c>
      <c r="AE122" t="s">
        <v>107</v>
      </c>
      <c r="AG122" s="24">
        <f>IF(ISBLANK(S122),S122,I122)</f>
        <v>0</v>
      </c>
      <c r="AH122" s="34">
        <f t="shared" si="8"/>
        <v>4496.1000000000004</v>
      </c>
      <c r="AI122">
        <f t="shared" si="7"/>
        <v>2807.735725425629</v>
      </c>
      <c r="AJ122" t="b" cm="1">
        <f t="array" ref="AJ122">OR(D122=$AT$2:$AT$8)</f>
        <v>1</v>
      </c>
    </row>
    <row r="123" spans="1:36" x14ac:dyDescent="0.25">
      <c r="A123" s="2" t="s">
        <v>1463</v>
      </c>
      <c r="B123" s="3">
        <v>45.4</v>
      </c>
      <c r="C123" s="2" t="s">
        <v>78</v>
      </c>
      <c r="D123" s="2" t="s">
        <v>78</v>
      </c>
      <c r="E123" s="2" t="s">
        <v>189</v>
      </c>
      <c r="F123" s="4" t="s">
        <v>103</v>
      </c>
      <c r="G123" s="4" t="s">
        <v>190</v>
      </c>
      <c r="H123" s="5"/>
      <c r="I123" s="5"/>
      <c r="J123" s="5"/>
      <c r="K123" s="4" t="s">
        <v>105</v>
      </c>
      <c r="L123" s="4" t="s">
        <v>191</v>
      </c>
      <c r="M123" s="6" t="str">
        <f>IF(OR(B123="",I123=""),"",B123*I123)</f>
        <v/>
      </c>
      <c r="N123" s="29" t="s">
        <v>154</v>
      </c>
      <c r="O123" s="9"/>
      <c r="P123" s="9"/>
      <c r="Q123" s="22"/>
      <c r="R123" s="22"/>
      <c r="S123" s="23" t="str">
        <f>IF(AND(ISNUMBER(Q123),Q123&gt;0,ISNUMBER(R123),R123&gt;0),R123/Q123,"")</f>
        <v/>
      </c>
      <c r="T123" s="9"/>
      <c r="U123" s="9"/>
      <c r="V123" s="9"/>
      <c r="W123" s="9" t="s">
        <v>1464</v>
      </c>
      <c r="X123" s="23" t="str">
        <f>IF(ISNUMBER(S123),S123,IF(ISNUMBER(I123),I123,""))</f>
        <v/>
      </c>
      <c r="Y123" t="str">
        <f>IF(ISNUMBER(S123),"2025 EIA-923 plant/group proxy",IF(ISNUMBER(I123),"Technology estimate","No thermal heat rate"))</f>
        <v>No thermal heat rate</v>
      </c>
      <c r="Z123" t="str">
        <f>IF(ISNUMBER(S123),"Review: NOT unit verified",IF(AE123="No match","No EIA match",IF(AF123="Unconfirmed","Unconfirmed EIA candidate","")))</f>
        <v>Unconfirmed EIA candidate</v>
      </c>
      <c r="AA123" s="26">
        <v>0.52449999999999997</v>
      </c>
      <c r="AB123" t="s">
        <v>322</v>
      </c>
      <c r="AC123" t="s">
        <v>1028</v>
      </c>
      <c r="AD123" s="26">
        <v>962.8</v>
      </c>
      <c r="AE123" t="s">
        <v>157</v>
      </c>
      <c r="AF123" t="s">
        <v>158</v>
      </c>
      <c r="AG123" s="24">
        <f>IF(ISBLANK(S123),S123,I123)</f>
        <v>0</v>
      </c>
      <c r="AH123" s="34">
        <f t="shared" si="8"/>
        <v>4541.5</v>
      </c>
      <c r="AI123">
        <f t="shared" si="7"/>
        <v>2836.0872304932036</v>
      </c>
      <c r="AJ123" t="b" cm="1">
        <f t="array" ref="AJ123">OR(D123=$AT$2:$AT$8)</f>
        <v>1</v>
      </c>
    </row>
    <row r="124" spans="1:36" x14ac:dyDescent="0.25">
      <c r="A124" s="2" t="s">
        <v>1615</v>
      </c>
      <c r="B124" s="3">
        <v>51</v>
      </c>
      <c r="C124" s="2" t="s">
        <v>78</v>
      </c>
      <c r="D124" s="2" t="s">
        <v>78</v>
      </c>
      <c r="E124" s="2" t="s">
        <v>189</v>
      </c>
      <c r="F124" s="4" t="s">
        <v>103</v>
      </c>
      <c r="G124" s="4" t="s">
        <v>190</v>
      </c>
      <c r="H124" s="5"/>
      <c r="I124" s="5"/>
      <c r="J124" s="5"/>
      <c r="K124" s="4" t="s">
        <v>105</v>
      </c>
      <c r="L124" s="4" t="s">
        <v>191</v>
      </c>
      <c r="M124" s="6" t="str">
        <f>IF(OR(B124="",I124=""),"",B124*I124)</f>
        <v/>
      </c>
      <c r="N124" s="10" t="s">
        <v>10</v>
      </c>
      <c r="O124" s="9"/>
      <c r="P124" s="9"/>
      <c r="Q124" s="22"/>
      <c r="R124" s="22"/>
      <c r="S124" s="23" t="str">
        <f>IF(AND(ISNUMBER(Q124),Q124&gt;0,ISNUMBER(R124),R124&gt;0),R124/Q124,"")</f>
        <v/>
      </c>
      <c r="T124" s="9"/>
      <c r="U124" s="9"/>
      <c r="V124" s="9"/>
      <c r="W124" s="9"/>
      <c r="X124" s="23" t="str">
        <f>IF(ISNUMBER(S124),S124,IF(ISNUMBER(I124),I124,""))</f>
        <v/>
      </c>
      <c r="Y124" t="str">
        <f>IF(ISNUMBER(S124),"2025 EIA-923 plant/group proxy",IF(ISNUMBER(I124),"Technology estimate","No thermal heat rate"))</f>
        <v>No thermal heat rate</v>
      </c>
      <c r="Z124" t="str">
        <f>IF(ISNUMBER(S124),"Review: NOT unit verified",IF(AE124="No match","No EIA match",IF(AF124="Unconfirmed","Unconfirmed EIA candidate","")))</f>
        <v>No EIA match</v>
      </c>
      <c r="AE124" t="s">
        <v>107</v>
      </c>
      <c r="AG124" s="24">
        <f>IF(ISBLANK(S124),S124,I124)</f>
        <v>0</v>
      </c>
      <c r="AH124" s="34">
        <f t="shared" si="8"/>
        <v>4592.5</v>
      </c>
      <c r="AI124">
        <f t="shared" si="7"/>
        <v>2867.9358375074394</v>
      </c>
      <c r="AJ124" t="b" cm="1">
        <f t="array" ref="AJ124">OR(D124=$AT$2:$AT$8)</f>
        <v>1</v>
      </c>
    </row>
    <row r="125" spans="1:36" x14ac:dyDescent="0.25">
      <c r="A125" s="2" t="s">
        <v>1630</v>
      </c>
      <c r="B125" s="3">
        <v>11</v>
      </c>
      <c r="C125" s="2" t="s">
        <v>78</v>
      </c>
      <c r="D125" s="2" t="s">
        <v>78</v>
      </c>
      <c r="E125" s="2" t="s">
        <v>189</v>
      </c>
      <c r="F125" s="4" t="s">
        <v>103</v>
      </c>
      <c r="G125" s="4" t="s">
        <v>190</v>
      </c>
      <c r="H125" s="5"/>
      <c r="I125" s="5"/>
      <c r="J125" s="5"/>
      <c r="K125" s="4" t="s">
        <v>105</v>
      </c>
      <c r="L125" s="4" t="s">
        <v>191</v>
      </c>
      <c r="M125" s="6" t="str">
        <f>IF(OR(B125="",I125=""),"",B125*I125)</f>
        <v/>
      </c>
      <c r="N125" s="29" t="s">
        <v>154</v>
      </c>
      <c r="O125" s="9"/>
      <c r="P125" s="9"/>
      <c r="Q125" s="22"/>
      <c r="R125" s="22"/>
      <c r="S125" s="23" t="str">
        <f>IF(AND(ISNUMBER(Q125),Q125&gt;0,ISNUMBER(R125),R125&gt;0),R125/Q125,"")</f>
        <v/>
      </c>
      <c r="T125" s="9"/>
      <c r="U125" s="9"/>
      <c r="V125" s="9"/>
      <c r="W125" s="9" t="s">
        <v>1631</v>
      </c>
      <c r="X125" s="23" t="str">
        <f>IF(ISNUMBER(S125),S125,IF(ISNUMBER(I125),I125,""))</f>
        <v/>
      </c>
      <c r="Y125" t="str">
        <f>IF(ISNUMBER(S125),"2025 EIA-923 plant/group proxy",IF(ISNUMBER(I125),"Technology estimate","No thermal heat rate"))</f>
        <v>No thermal heat rate</v>
      </c>
      <c r="Z125" t="str">
        <f>IF(ISNUMBER(S125),"Review: NOT unit verified",IF(AE125="No match","No EIA match",IF(AF125="Unconfirmed","Unconfirmed EIA candidate","")))</f>
        <v>Unconfirmed EIA candidate</v>
      </c>
      <c r="AA125" s="26">
        <v>0.48299999999999998</v>
      </c>
      <c r="AB125" t="s">
        <v>201</v>
      </c>
      <c r="AC125" t="s">
        <v>478</v>
      </c>
      <c r="AD125" s="26">
        <v>55</v>
      </c>
      <c r="AE125" t="s">
        <v>157</v>
      </c>
      <c r="AF125" t="s">
        <v>158</v>
      </c>
      <c r="AG125" s="24">
        <f>IF(ISBLANK(S125),S125,I125)</f>
        <v>0</v>
      </c>
      <c r="AH125" s="34">
        <f t="shared" si="8"/>
        <v>4603.5</v>
      </c>
      <c r="AI125">
        <f t="shared" si="7"/>
        <v>2874.8051449026671</v>
      </c>
      <c r="AJ125" t="b" cm="1">
        <f t="array" ref="AJ125">OR(D125=$AT$2:$AT$8)</f>
        <v>1</v>
      </c>
    </row>
    <row r="126" spans="1:36" x14ac:dyDescent="0.25">
      <c r="A126" s="2" t="s">
        <v>1706</v>
      </c>
      <c r="B126" s="3">
        <v>37.4</v>
      </c>
      <c r="C126" s="2" t="s">
        <v>228</v>
      </c>
      <c r="D126" s="2" t="s">
        <v>237</v>
      </c>
      <c r="E126" s="2" t="s">
        <v>189</v>
      </c>
      <c r="F126" s="4" t="s">
        <v>103</v>
      </c>
      <c r="G126" s="4" t="s">
        <v>190</v>
      </c>
      <c r="H126" s="5"/>
      <c r="I126" s="5"/>
      <c r="J126" s="5"/>
      <c r="K126" s="4" t="s">
        <v>105</v>
      </c>
      <c r="L126" s="4" t="s">
        <v>191</v>
      </c>
      <c r="M126" s="6" t="str">
        <f>IF(OR(B126="",I126=""),"",B126*I126)</f>
        <v/>
      </c>
      <c r="N126" s="10" t="s">
        <v>10</v>
      </c>
      <c r="O126" s="9"/>
      <c r="P126" s="9"/>
      <c r="Q126" s="22"/>
      <c r="R126" s="22"/>
      <c r="S126" s="23" t="str">
        <f>IF(AND(ISNUMBER(Q126),Q126&gt;0,ISNUMBER(R126),R126&gt;0),R126/Q126,"")</f>
        <v/>
      </c>
      <c r="T126" s="9"/>
      <c r="U126" s="9"/>
      <c r="V126" s="9"/>
      <c r="W126" s="9"/>
      <c r="X126" s="23" t="str">
        <f>IF(ISNUMBER(S126),S126,IF(ISNUMBER(I126),I126,""))</f>
        <v/>
      </c>
      <c r="Y126" t="str">
        <f>IF(ISNUMBER(S126),"2025 EIA-923 plant/group proxy",IF(ISNUMBER(I126),"Technology estimate","No thermal heat rate"))</f>
        <v>No thermal heat rate</v>
      </c>
      <c r="Z126" t="str">
        <f>IF(ISNUMBER(S126),"Review: NOT unit verified",IF(AE126="No match","No EIA match",IF(AF126="Unconfirmed","Unconfirmed EIA candidate","")))</f>
        <v>No EIA match</v>
      </c>
      <c r="AE126" t="s">
        <v>107</v>
      </c>
      <c r="AG126" s="24">
        <f>IF(ISBLANK(S126),S126,I126)</f>
        <v>0</v>
      </c>
      <c r="AH126" s="34">
        <f t="shared" si="8"/>
        <v>4640.8999999999996</v>
      </c>
      <c r="AI126">
        <f t="shared" si="7"/>
        <v>2898.1607900464401</v>
      </c>
      <c r="AJ126" t="b" cm="1">
        <f t="array" ref="AJ126">OR(D126=$AT$2:$AT$8)</f>
        <v>0</v>
      </c>
    </row>
    <row r="127" spans="1:36" x14ac:dyDescent="0.25">
      <c r="A127" s="2" t="s">
        <v>1787</v>
      </c>
      <c r="B127" s="3">
        <v>43</v>
      </c>
      <c r="C127" s="2" t="s">
        <v>228</v>
      </c>
      <c r="D127" s="2" t="s">
        <v>228</v>
      </c>
      <c r="E127" s="2" t="s">
        <v>189</v>
      </c>
      <c r="F127" s="4" t="s">
        <v>103</v>
      </c>
      <c r="G127" s="4" t="s">
        <v>190</v>
      </c>
      <c r="H127" s="5"/>
      <c r="I127" s="5"/>
      <c r="J127" s="5"/>
      <c r="K127" s="4" t="s">
        <v>105</v>
      </c>
      <c r="L127" s="4" t="s">
        <v>191</v>
      </c>
      <c r="M127" s="6" t="str">
        <f>IF(OR(B127="",I127=""),"",B127*I127)</f>
        <v/>
      </c>
      <c r="N127" s="29" t="s">
        <v>154</v>
      </c>
      <c r="O127" s="9"/>
      <c r="P127" s="9"/>
      <c r="Q127" s="22"/>
      <c r="R127" s="22"/>
      <c r="S127" s="23" t="str">
        <f>IF(AND(ISNUMBER(Q127),Q127&gt;0,ISNUMBER(R127),R127&gt;0),R127/Q127,"")</f>
        <v/>
      </c>
      <c r="T127" s="9"/>
      <c r="U127" s="9"/>
      <c r="V127" s="9"/>
      <c r="W127" s="9" t="s">
        <v>1788</v>
      </c>
      <c r="X127" s="23" t="str">
        <f>IF(ISNUMBER(S127),S127,IF(ISNUMBER(I127),I127,""))</f>
        <v/>
      </c>
      <c r="Y127" t="str">
        <f>IF(ISNUMBER(S127),"2025 EIA-923 plant/group proxy",IF(ISNUMBER(I127),"Technology estimate","No thermal heat rate"))</f>
        <v>No thermal heat rate</v>
      </c>
      <c r="Z127" t="str">
        <f>IF(ISNUMBER(S127),"Review: NOT unit verified",IF(AE127="No match","No EIA match",IF(AF127="Unconfirmed","Unconfirmed EIA candidate","")))</f>
        <v>Unconfirmed EIA candidate</v>
      </c>
      <c r="AA127" s="26">
        <v>0.90069999999999995</v>
      </c>
      <c r="AB127" t="s">
        <v>1789</v>
      </c>
      <c r="AD127" s="26">
        <v>0</v>
      </c>
      <c r="AE127" t="s">
        <v>157</v>
      </c>
      <c r="AF127" t="s">
        <v>158</v>
      </c>
      <c r="AG127" s="24">
        <f>IF(ISBLANK(S127),S127,I127)</f>
        <v>0</v>
      </c>
      <c r="AH127" s="34">
        <f t="shared" si="8"/>
        <v>4683.8999999999996</v>
      </c>
      <c r="AI127">
        <f t="shared" si="7"/>
        <v>2925.0135371368742</v>
      </c>
      <c r="AJ127" t="b" cm="1">
        <f t="array" ref="AJ127">OR(D127=$AT$2:$AT$8)</f>
        <v>1</v>
      </c>
    </row>
    <row r="128" spans="1:36" x14ac:dyDescent="0.25">
      <c r="A128" s="2" t="s">
        <v>1846</v>
      </c>
      <c r="B128" s="3">
        <v>30</v>
      </c>
      <c r="C128" s="2" t="s">
        <v>75</v>
      </c>
      <c r="D128" s="2" t="s">
        <v>76</v>
      </c>
      <c r="E128" s="2" t="s">
        <v>189</v>
      </c>
      <c r="F128" s="4" t="s">
        <v>103</v>
      </c>
      <c r="G128" s="4" t="s">
        <v>190</v>
      </c>
      <c r="H128" s="5"/>
      <c r="I128" s="5"/>
      <c r="J128" s="5"/>
      <c r="K128" s="4" t="s">
        <v>105</v>
      </c>
      <c r="L128" s="4" t="s">
        <v>191</v>
      </c>
      <c r="M128" s="6" t="str">
        <f>IF(OR(B128="",I128=""),"",B128*I128)</f>
        <v/>
      </c>
      <c r="N128" s="29" t="s">
        <v>154</v>
      </c>
      <c r="O128" s="9"/>
      <c r="P128" s="9"/>
      <c r="Q128" s="22"/>
      <c r="R128" s="22"/>
      <c r="S128" s="23" t="str">
        <f>IF(AND(ISNUMBER(Q128),Q128&gt;0,ISNUMBER(R128),R128&gt;0),R128/Q128,"")</f>
        <v/>
      </c>
      <c r="T128" s="9"/>
      <c r="U128" s="9"/>
      <c r="V128" s="9"/>
      <c r="W128" s="9" t="s">
        <v>1847</v>
      </c>
      <c r="X128" s="23" t="str">
        <f>IF(ISNUMBER(S128),S128,IF(ISNUMBER(I128),I128,""))</f>
        <v/>
      </c>
      <c r="Y128" t="str">
        <f>IF(ISNUMBER(S128),"2025 EIA-923 plant/group proxy",IF(ISNUMBER(I128),"Technology estimate","No thermal heat rate"))</f>
        <v>No thermal heat rate</v>
      </c>
      <c r="Z128" t="str">
        <f>IF(ISNUMBER(S128),"Review: NOT unit verified",IF(AE128="No match","No EIA match",IF(AF128="Unconfirmed","Unconfirmed EIA candidate","")))</f>
        <v>Unconfirmed EIA candidate</v>
      </c>
      <c r="AA128" s="26">
        <v>0.67010000000000003</v>
      </c>
      <c r="AB128" t="s">
        <v>143</v>
      </c>
      <c r="AD128" s="26">
        <v>0</v>
      </c>
      <c r="AE128" t="s">
        <v>157</v>
      </c>
      <c r="AF128" t="s">
        <v>158</v>
      </c>
      <c r="AG128" s="24">
        <f>IF(ISBLANK(S128),S128,I128)</f>
        <v>0</v>
      </c>
      <c r="AH128" s="34">
        <f t="shared" si="8"/>
        <v>4713.8999999999996</v>
      </c>
      <c r="AI128">
        <f t="shared" si="7"/>
        <v>2943.7480118511307</v>
      </c>
      <c r="AJ128" t="b" cm="1">
        <f t="array" ref="AJ128">OR(D128=$AT$2:$AT$8)</f>
        <v>0</v>
      </c>
    </row>
    <row r="129" spans="1:36" x14ac:dyDescent="0.25">
      <c r="A129" s="2" t="s">
        <v>1542</v>
      </c>
      <c r="B129" s="3">
        <v>10</v>
      </c>
      <c r="C129" s="2" t="s">
        <v>78</v>
      </c>
      <c r="D129" s="2" t="s">
        <v>78</v>
      </c>
      <c r="E129" s="2" t="s">
        <v>1543</v>
      </c>
      <c r="F129" s="4" t="s">
        <v>1544</v>
      </c>
      <c r="G129" s="4" t="s">
        <v>1545</v>
      </c>
      <c r="H129" s="5"/>
      <c r="I129" s="5"/>
      <c r="J129" s="5"/>
      <c r="K129" s="4" t="s">
        <v>62</v>
      </c>
      <c r="L129" s="4" t="s">
        <v>1546</v>
      </c>
      <c r="M129" s="6" t="str">
        <f>IF(OR(B129="",I129=""),"",B129*I129)</f>
        <v/>
      </c>
      <c r="N129" s="8" t="s">
        <v>64</v>
      </c>
      <c r="O129" s="9"/>
      <c r="P129" s="9"/>
      <c r="Q129" s="22"/>
      <c r="R129" s="22"/>
      <c r="S129" s="23" t="str">
        <f>IF(AND(ISNUMBER(Q129),Q129&gt;0,ISNUMBER(R129),R129&gt;0),R129/Q129,"")</f>
        <v/>
      </c>
      <c r="T129" s="9"/>
      <c r="U129" s="9"/>
      <c r="V129" s="9"/>
      <c r="W129" s="9"/>
      <c r="X129" s="23" t="str">
        <f>IF(ISNUMBER(S129),S129,IF(ISNUMBER(I129),I129,""))</f>
        <v/>
      </c>
      <c r="Y129" t="str">
        <f>IF(ISNUMBER(S129),"2025 EIA-923 plant/group proxy",IF(ISNUMBER(I129),"Technology estimate","No thermal heat rate"))</f>
        <v>No thermal heat rate</v>
      </c>
      <c r="Z129" t="str">
        <f>IF(ISNUMBER(S129),"Review: NOT unit verified",IF(AE129="No match","No EIA match",IF(AF129="Unconfirmed","Unconfirmed EIA candidate","")))</f>
        <v/>
      </c>
      <c r="AE129" t="s">
        <v>65</v>
      </c>
      <c r="AF129" t="s">
        <v>66</v>
      </c>
      <c r="AG129" s="24">
        <f>IF(ISBLANK(S129),S129,I129)</f>
        <v>0</v>
      </c>
      <c r="AH129" s="34">
        <f t="shared" si="8"/>
        <v>4723.8999999999996</v>
      </c>
      <c r="AI129">
        <f t="shared" si="7"/>
        <v>2949.9928367558832</v>
      </c>
      <c r="AJ129" t="b" cm="1">
        <f t="array" ref="AJ129">OR(D129=$AT$2:$AT$8)</f>
        <v>1</v>
      </c>
    </row>
    <row r="130" spans="1:36" x14ac:dyDescent="0.25">
      <c r="A130" s="2" t="s">
        <v>56</v>
      </c>
      <c r="B130" s="3">
        <v>0.9</v>
      </c>
      <c r="C130" s="2" t="s">
        <v>57</v>
      </c>
      <c r="D130" s="2" t="s">
        <v>58</v>
      </c>
      <c r="E130" s="2" t="s">
        <v>59</v>
      </c>
      <c r="F130" s="4" t="s">
        <v>60</v>
      </c>
      <c r="G130" s="4" t="s">
        <v>61</v>
      </c>
      <c r="H130" s="5"/>
      <c r="I130" s="5"/>
      <c r="J130" s="5"/>
      <c r="K130" s="4" t="s">
        <v>62</v>
      </c>
      <c r="L130" s="4" t="s">
        <v>63</v>
      </c>
      <c r="M130" s="6" t="str">
        <f>IF(OR(B130="",I130=""),"",B130*I130)</f>
        <v/>
      </c>
      <c r="N130" s="8" t="s">
        <v>64</v>
      </c>
      <c r="O130" s="9"/>
      <c r="P130" s="9"/>
      <c r="Q130" s="22"/>
      <c r="R130" s="22"/>
      <c r="S130" s="23" t="str">
        <f>IF(AND(ISNUMBER(Q130),Q130&gt;0,ISNUMBER(R130),R130&gt;0),R130/Q130,"")</f>
        <v/>
      </c>
      <c r="T130" s="9"/>
      <c r="U130" s="9"/>
      <c r="V130" s="9"/>
      <c r="W130" s="9"/>
      <c r="X130" s="23" t="str">
        <f>IF(ISNUMBER(S130),S130,IF(ISNUMBER(I130),I130,""))</f>
        <v/>
      </c>
      <c r="Y130" t="str">
        <f>IF(ISNUMBER(S130),"2025 EIA-923 plant/group proxy",IF(ISNUMBER(I130),"Technology estimate","No thermal heat rate"))</f>
        <v>No thermal heat rate</v>
      </c>
      <c r="Z130" t="str">
        <f>IF(ISNUMBER(S130),"Review: NOT unit verified",IF(AE130="No match","No EIA match",IF(AF130="Unconfirmed","Unconfirmed EIA candidate","")))</f>
        <v/>
      </c>
      <c r="AE130" t="s">
        <v>65</v>
      </c>
      <c r="AF130" t="s">
        <v>66</v>
      </c>
      <c r="AG130" s="24">
        <f>IF(ISBLANK(S130),S130,I130)</f>
        <v>0</v>
      </c>
      <c r="AH130" s="34">
        <f t="shared" si="8"/>
        <v>4724.7999999999993</v>
      </c>
      <c r="AI130">
        <f t="shared" si="7"/>
        <v>2950.5548709973104</v>
      </c>
      <c r="AJ130" t="b" cm="1">
        <f t="array" ref="AJ130">OR(D130=$AT$2:$AT$8)</f>
        <v>0</v>
      </c>
    </row>
    <row r="131" spans="1:36" x14ac:dyDescent="0.25">
      <c r="A131" s="2" t="s">
        <v>159</v>
      </c>
      <c r="B131" s="3">
        <v>4.9000000000000004</v>
      </c>
      <c r="C131" s="2" t="s">
        <v>91</v>
      </c>
      <c r="D131" s="2" t="s">
        <v>91</v>
      </c>
      <c r="E131" s="2" t="s">
        <v>59</v>
      </c>
      <c r="F131" s="4" t="s">
        <v>60</v>
      </c>
      <c r="G131" s="4" t="s">
        <v>61</v>
      </c>
      <c r="H131" s="5"/>
      <c r="I131" s="5"/>
      <c r="J131" s="5"/>
      <c r="K131" s="4" t="s">
        <v>62</v>
      </c>
      <c r="L131" s="4" t="s">
        <v>63</v>
      </c>
      <c r="M131" s="6" t="str">
        <f>IF(OR(B131="",I131=""),"",B131*I131)</f>
        <v/>
      </c>
      <c r="N131" s="8" t="s">
        <v>64</v>
      </c>
      <c r="O131" s="9"/>
      <c r="P131" s="9"/>
      <c r="Q131" s="22"/>
      <c r="R131" s="22"/>
      <c r="S131" s="23" t="str">
        <f>IF(AND(ISNUMBER(Q131),Q131&gt;0,ISNUMBER(R131),R131&gt;0),R131/Q131,"")</f>
        <v/>
      </c>
      <c r="T131" s="9"/>
      <c r="U131" s="9"/>
      <c r="V131" s="9"/>
      <c r="W131" s="9"/>
      <c r="X131" s="23" t="str">
        <f>IF(ISNUMBER(S131),S131,IF(ISNUMBER(I131),I131,""))</f>
        <v/>
      </c>
      <c r="Y131" t="str">
        <f>IF(ISNUMBER(S131),"2025 EIA-923 plant/group proxy",IF(ISNUMBER(I131),"Technology estimate","No thermal heat rate"))</f>
        <v>No thermal heat rate</v>
      </c>
      <c r="Z131" t="str">
        <f>IF(ISNUMBER(S131),"Review: NOT unit verified",IF(AE131="No match","No EIA match",IF(AF131="Unconfirmed","Unconfirmed EIA candidate","")))</f>
        <v/>
      </c>
      <c r="AE131" t="s">
        <v>65</v>
      </c>
      <c r="AF131" t="s">
        <v>66</v>
      </c>
      <c r="AG131" s="24">
        <f>IF(ISBLANK(S131),S131,I131)</f>
        <v>0</v>
      </c>
      <c r="AH131" s="34">
        <f t="shared" si="8"/>
        <v>4729.6999999999989</v>
      </c>
      <c r="AI131">
        <f t="shared" ref="AI131:AI194" si="9">AH131*$AK$1</f>
        <v>2953.6148352006389</v>
      </c>
      <c r="AJ131" t="b" cm="1">
        <f t="array" ref="AJ131">OR(D131=$AT$2:$AT$8)</f>
        <v>1</v>
      </c>
    </row>
    <row r="132" spans="1:36" x14ac:dyDescent="0.25">
      <c r="A132" s="2" t="s">
        <v>177</v>
      </c>
      <c r="B132" s="3">
        <v>41.9</v>
      </c>
      <c r="C132" s="2" t="s">
        <v>99</v>
      </c>
      <c r="D132" s="2" t="s">
        <v>81</v>
      </c>
      <c r="E132" s="2" t="s">
        <v>59</v>
      </c>
      <c r="F132" s="4" t="s">
        <v>60</v>
      </c>
      <c r="G132" s="4" t="s">
        <v>61</v>
      </c>
      <c r="H132" s="5"/>
      <c r="I132" s="5"/>
      <c r="J132" s="5"/>
      <c r="K132" s="4" t="s">
        <v>62</v>
      </c>
      <c r="L132" s="4" t="s">
        <v>63</v>
      </c>
      <c r="M132" s="6" t="str">
        <f>IF(OR(B132="",I132=""),"",B132*I132)</f>
        <v/>
      </c>
      <c r="N132" s="8" t="s">
        <v>64</v>
      </c>
      <c r="O132" s="9"/>
      <c r="P132" s="9"/>
      <c r="Q132" s="22"/>
      <c r="R132" s="22"/>
      <c r="S132" s="23" t="str">
        <f>IF(AND(ISNUMBER(Q132),Q132&gt;0,ISNUMBER(R132),R132&gt;0),R132/Q132,"")</f>
        <v/>
      </c>
      <c r="T132" s="9"/>
      <c r="U132" s="9"/>
      <c r="V132" s="9"/>
      <c r="W132" s="9"/>
      <c r="X132" s="23" t="str">
        <f>IF(ISNUMBER(S132),S132,IF(ISNUMBER(I132),I132,""))</f>
        <v/>
      </c>
      <c r="Y132" t="str">
        <f>IF(ISNUMBER(S132),"2025 EIA-923 plant/group proxy",IF(ISNUMBER(I132),"Technology estimate","No thermal heat rate"))</f>
        <v>No thermal heat rate</v>
      </c>
      <c r="Z132" t="str">
        <f>IF(ISNUMBER(S132),"Review: NOT unit verified",IF(AE132="No match","No EIA match",IF(AF132="Unconfirmed","Unconfirmed EIA candidate","")))</f>
        <v/>
      </c>
      <c r="AE132" t="s">
        <v>65</v>
      </c>
      <c r="AF132" t="s">
        <v>66</v>
      </c>
      <c r="AG132" s="24">
        <f>IF(ISBLANK(S132),S132,I132)</f>
        <v>0</v>
      </c>
      <c r="AH132" s="34">
        <f t="shared" ref="AH132:AH195" si="10">AH131+B132</f>
        <v>4771.5999999999985</v>
      </c>
      <c r="AI132">
        <f t="shared" si="9"/>
        <v>2979.7806515515504</v>
      </c>
      <c r="AJ132" t="b" cm="1">
        <f t="array" ref="AJ132">OR(D132=$AT$2:$AT$8)</f>
        <v>0</v>
      </c>
    </row>
    <row r="133" spans="1:36" x14ac:dyDescent="0.25">
      <c r="A133" s="2" t="s">
        <v>179</v>
      </c>
      <c r="B133" s="3">
        <v>4.4000000000000004</v>
      </c>
      <c r="C133" s="2" t="s">
        <v>80</v>
      </c>
      <c r="D133" s="2" t="s">
        <v>81</v>
      </c>
      <c r="E133" s="2" t="s">
        <v>59</v>
      </c>
      <c r="F133" s="4" t="s">
        <v>60</v>
      </c>
      <c r="G133" s="4" t="s">
        <v>61</v>
      </c>
      <c r="H133" s="5"/>
      <c r="I133" s="5"/>
      <c r="J133" s="5"/>
      <c r="K133" s="4" t="s">
        <v>62</v>
      </c>
      <c r="L133" s="4" t="s">
        <v>63</v>
      </c>
      <c r="M133" s="6" t="str">
        <f>IF(OR(B133="",I133=""),"",B133*I133)</f>
        <v/>
      </c>
      <c r="N133" s="8" t="s">
        <v>64</v>
      </c>
      <c r="O133" s="9"/>
      <c r="P133" s="9"/>
      <c r="Q133" s="22"/>
      <c r="R133" s="22"/>
      <c r="S133" s="23" t="str">
        <f>IF(AND(ISNUMBER(Q133),Q133&gt;0,ISNUMBER(R133),R133&gt;0),R133/Q133,"")</f>
        <v/>
      </c>
      <c r="T133" s="9"/>
      <c r="U133" s="9"/>
      <c r="V133" s="9"/>
      <c r="W133" s="9"/>
      <c r="X133" s="23" t="str">
        <f>IF(ISNUMBER(S133),S133,IF(ISNUMBER(I133),I133,""))</f>
        <v/>
      </c>
      <c r="Y133" t="str">
        <f>IF(ISNUMBER(S133),"2025 EIA-923 plant/group proxy",IF(ISNUMBER(I133),"Technology estimate","No thermal heat rate"))</f>
        <v>No thermal heat rate</v>
      </c>
      <c r="Z133" t="str">
        <f>IF(ISNUMBER(S133),"Review: NOT unit verified",IF(AE133="No match","No EIA match",IF(AF133="Unconfirmed","Unconfirmed EIA candidate","")))</f>
        <v/>
      </c>
      <c r="AE133" t="s">
        <v>65</v>
      </c>
      <c r="AF133" t="s">
        <v>66</v>
      </c>
      <c r="AG133" s="24">
        <f>IF(ISBLANK(S133),S133,I133)</f>
        <v>0</v>
      </c>
      <c r="AH133" s="34">
        <f t="shared" si="10"/>
        <v>4775.9999999999982</v>
      </c>
      <c r="AI133">
        <f t="shared" si="9"/>
        <v>2982.5283745096408</v>
      </c>
      <c r="AJ133" t="b" cm="1">
        <f t="array" ref="AJ133">OR(D133=$AT$2:$AT$8)</f>
        <v>0</v>
      </c>
    </row>
    <row r="134" spans="1:36" x14ac:dyDescent="0.25">
      <c r="A134" s="2" t="s">
        <v>208</v>
      </c>
      <c r="B134" s="3">
        <v>10.199999999999999</v>
      </c>
      <c r="C134" s="2" t="s">
        <v>209</v>
      </c>
      <c r="D134" s="2" t="s">
        <v>81</v>
      </c>
      <c r="E134" s="2" t="s">
        <v>59</v>
      </c>
      <c r="F134" s="4" t="s">
        <v>60</v>
      </c>
      <c r="G134" s="4" t="s">
        <v>61</v>
      </c>
      <c r="H134" s="5"/>
      <c r="I134" s="5"/>
      <c r="J134" s="5"/>
      <c r="K134" s="4" t="s">
        <v>62</v>
      </c>
      <c r="L134" s="4" t="s">
        <v>63</v>
      </c>
      <c r="M134" s="6" t="str">
        <f>IF(OR(B134="",I134=""),"",B134*I134)</f>
        <v/>
      </c>
      <c r="N134" s="8" t="s">
        <v>64</v>
      </c>
      <c r="O134" s="9"/>
      <c r="P134" s="9"/>
      <c r="Q134" s="22"/>
      <c r="R134" s="22"/>
      <c r="S134" s="23" t="str">
        <f>IF(AND(ISNUMBER(Q134),Q134&gt;0,ISNUMBER(R134),R134&gt;0),R134/Q134,"")</f>
        <v/>
      </c>
      <c r="T134" s="9"/>
      <c r="U134" s="9"/>
      <c r="V134" s="9"/>
      <c r="W134" s="9"/>
      <c r="X134" s="23" t="str">
        <f>IF(ISNUMBER(S134),S134,IF(ISNUMBER(I134),I134,""))</f>
        <v/>
      </c>
      <c r="Y134" t="str">
        <f>IF(ISNUMBER(S134),"2025 EIA-923 plant/group proxy",IF(ISNUMBER(I134),"Technology estimate","No thermal heat rate"))</f>
        <v>No thermal heat rate</v>
      </c>
      <c r="Z134" t="str">
        <f>IF(ISNUMBER(S134),"Review: NOT unit verified",IF(AE134="No match","No EIA match",IF(AF134="Unconfirmed","Unconfirmed EIA candidate","")))</f>
        <v/>
      </c>
      <c r="AE134" t="s">
        <v>65</v>
      </c>
      <c r="AF134" t="s">
        <v>66</v>
      </c>
      <c r="AG134" s="24">
        <f>IF(ISBLANK(S134),S134,I134)</f>
        <v>0</v>
      </c>
      <c r="AH134" s="34">
        <f t="shared" si="10"/>
        <v>4786.199999999998</v>
      </c>
      <c r="AI134">
        <f t="shared" si="9"/>
        <v>2988.8980959124883</v>
      </c>
      <c r="AJ134" t="b" cm="1">
        <f t="array" ref="AJ134">OR(D134=$AT$2:$AT$8)</f>
        <v>0</v>
      </c>
    </row>
    <row r="135" spans="1:36" x14ac:dyDescent="0.25">
      <c r="A135" s="2" t="s">
        <v>210</v>
      </c>
      <c r="B135" s="3">
        <v>10.199999999999999</v>
      </c>
      <c r="C135" s="2" t="s">
        <v>209</v>
      </c>
      <c r="D135" s="2" t="s">
        <v>81</v>
      </c>
      <c r="E135" s="2" t="s">
        <v>59</v>
      </c>
      <c r="F135" s="4" t="s">
        <v>60</v>
      </c>
      <c r="G135" s="4" t="s">
        <v>61</v>
      </c>
      <c r="H135" s="5"/>
      <c r="I135" s="5"/>
      <c r="J135" s="5"/>
      <c r="K135" s="4" t="s">
        <v>62</v>
      </c>
      <c r="L135" s="4" t="s">
        <v>63</v>
      </c>
      <c r="M135" s="6" t="str">
        <f>IF(OR(B135="",I135=""),"",B135*I135)</f>
        <v/>
      </c>
      <c r="N135" s="8" t="s">
        <v>64</v>
      </c>
      <c r="O135" s="9"/>
      <c r="P135" s="9"/>
      <c r="Q135" s="22"/>
      <c r="R135" s="22"/>
      <c r="S135" s="23" t="str">
        <f>IF(AND(ISNUMBER(Q135),Q135&gt;0,ISNUMBER(R135),R135&gt;0),R135/Q135,"")</f>
        <v/>
      </c>
      <c r="T135" s="9"/>
      <c r="U135" s="9"/>
      <c r="V135" s="9"/>
      <c r="W135" s="9"/>
      <c r="X135" s="23" t="str">
        <f>IF(ISNUMBER(S135),S135,IF(ISNUMBER(I135),I135,""))</f>
        <v/>
      </c>
      <c r="Y135" t="str">
        <f>IF(ISNUMBER(S135),"2025 EIA-923 plant/group proxy",IF(ISNUMBER(I135),"Technology estimate","No thermal heat rate"))</f>
        <v>No thermal heat rate</v>
      </c>
      <c r="Z135" t="str">
        <f>IF(ISNUMBER(S135),"Review: NOT unit verified",IF(AE135="No match","No EIA match",IF(AF135="Unconfirmed","Unconfirmed EIA candidate","")))</f>
        <v/>
      </c>
      <c r="AE135" t="s">
        <v>65</v>
      </c>
      <c r="AF135" t="s">
        <v>66</v>
      </c>
      <c r="AG135" s="24">
        <f>IF(ISBLANK(S135),S135,I135)</f>
        <v>0</v>
      </c>
      <c r="AH135" s="34">
        <f t="shared" si="10"/>
        <v>4796.3999999999978</v>
      </c>
      <c r="AI135">
        <f t="shared" si="9"/>
        <v>2995.2678173153354</v>
      </c>
      <c r="AJ135" t="b" cm="1">
        <f t="array" ref="AJ135">OR(D135=$AT$2:$AT$8)</f>
        <v>0</v>
      </c>
    </row>
    <row r="136" spans="1:36" x14ac:dyDescent="0.25">
      <c r="A136" s="2" t="s">
        <v>220</v>
      </c>
      <c r="B136" s="3">
        <v>3.2</v>
      </c>
      <c r="C136" s="2" t="s">
        <v>91</v>
      </c>
      <c r="D136" s="2" t="s">
        <v>91</v>
      </c>
      <c r="E136" s="2" t="s">
        <v>59</v>
      </c>
      <c r="F136" s="4" t="s">
        <v>60</v>
      </c>
      <c r="G136" s="4" t="s">
        <v>61</v>
      </c>
      <c r="H136" s="5"/>
      <c r="I136" s="5"/>
      <c r="J136" s="5"/>
      <c r="K136" s="4" t="s">
        <v>62</v>
      </c>
      <c r="L136" s="4" t="s">
        <v>63</v>
      </c>
      <c r="M136" s="6" t="str">
        <f>IF(OR(B136="",I136=""),"",B136*I136)</f>
        <v/>
      </c>
      <c r="N136" s="8" t="s">
        <v>64</v>
      </c>
      <c r="O136" s="9"/>
      <c r="P136" s="9"/>
      <c r="Q136" s="22"/>
      <c r="R136" s="22"/>
      <c r="S136" s="23" t="str">
        <f>IF(AND(ISNUMBER(Q136),Q136&gt;0,ISNUMBER(R136),R136&gt;0),R136/Q136,"")</f>
        <v/>
      </c>
      <c r="T136" s="9"/>
      <c r="U136" s="9"/>
      <c r="V136" s="9"/>
      <c r="W136" s="9"/>
      <c r="X136" s="23" t="str">
        <f>IF(ISNUMBER(S136),S136,IF(ISNUMBER(I136),I136,""))</f>
        <v/>
      </c>
      <c r="Y136" t="str">
        <f>IF(ISNUMBER(S136),"2025 EIA-923 plant/group proxy",IF(ISNUMBER(I136),"Technology estimate","No thermal heat rate"))</f>
        <v>No thermal heat rate</v>
      </c>
      <c r="Z136" t="str">
        <f>IF(ISNUMBER(S136),"Review: NOT unit verified",IF(AE136="No match","No EIA match",IF(AF136="Unconfirmed","Unconfirmed EIA candidate","")))</f>
        <v/>
      </c>
      <c r="AE136" t="s">
        <v>65</v>
      </c>
      <c r="AF136" t="s">
        <v>66</v>
      </c>
      <c r="AG136" s="24">
        <f>IF(ISBLANK(S136),S136,I136)</f>
        <v>0</v>
      </c>
      <c r="AH136" s="34">
        <f t="shared" si="10"/>
        <v>4799.5999999999976</v>
      </c>
      <c r="AI136">
        <f t="shared" si="9"/>
        <v>2997.2661612848556</v>
      </c>
      <c r="AJ136" t="b" cm="1">
        <f t="array" ref="AJ136">OR(D136=$AT$2:$AT$8)</f>
        <v>1</v>
      </c>
    </row>
    <row r="137" spans="1:36" x14ac:dyDescent="0.25">
      <c r="A137" s="2" t="s">
        <v>227</v>
      </c>
      <c r="B137" s="3">
        <v>1.4</v>
      </c>
      <c r="C137" s="2" t="s">
        <v>228</v>
      </c>
      <c r="D137" s="2" t="s">
        <v>228</v>
      </c>
      <c r="E137" s="2" t="s">
        <v>59</v>
      </c>
      <c r="F137" s="4" t="s">
        <v>60</v>
      </c>
      <c r="G137" s="4" t="s">
        <v>61</v>
      </c>
      <c r="H137" s="5"/>
      <c r="I137" s="5"/>
      <c r="J137" s="5"/>
      <c r="K137" s="4" t="s">
        <v>62</v>
      </c>
      <c r="L137" s="4" t="s">
        <v>63</v>
      </c>
      <c r="M137" s="6" t="str">
        <f>IF(OR(B137="",I137=""),"",B137*I137)</f>
        <v/>
      </c>
      <c r="N137" s="8" t="s">
        <v>64</v>
      </c>
      <c r="O137" s="9"/>
      <c r="P137" s="9"/>
      <c r="Q137" s="22"/>
      <c r="R137" s="22"/>
      <c r="S137" s="23" t="str">
        <f>IF(AND(ISNUMBER(Q137),Q137&gt;0,ISNUMBER(R137),R137&gt;0),R137/Q137,"")</f>
        <v/>
      </c>
      <c r="T137" s="9"/>
      <c r="U137" s="9"/>
      <c r="V137" s="9"/>
      <c r="W137" s="9"/>
      <c r="X137" s="23" t="str">
        <f>IF(ISNUMBER(S137),S137,IF(ISNUMBER(I137),I137,""))</f>
        <v/>
      </c>
      <c r="Y137" t="str">
        <f>IF(ISNUMBER(S137),"2025 EIA-923 plant/group proxy",IF(ISNUMBER(I137),"Technology estimate","No thermal heat rate"))</f>
        <v>No thermal heat rate</v>
      </c>
      <c r="Z137" t="str">
        <f>IF(ISNUMBER(S137),"Review: NOT unit verified",IF(AE137="No match","No EIA match",IF(AF137="Unconfirmed","Unconfirmed EIA candidate","")))</f>
        <v/>
      </c>
      <c r="AE137" t="s">
        <v>65</v>
      </c>
      <c r="AF137" t="s">
        <v>66</v>
      </c>
      <c r="AG137" s="24">
        <f>IF(ISBLANK(S137),S137,I137)</f>
        <v>0</v>
      </c>
      <c r="AH137" s="34">
        <f t="shared" si="10"/>
        <v>4800.9999999999973</v>
      </c>
      <c r="AI137">
        <f t="shared" si="9"/>
        <v>2998.1404367715209</v>
      </c>
      <c r="AJ137" t="b" cm="1">
        <f t="array" ref="AJ137">OR(D137=$AT$2:$AT$8)</f>
        <v>1</v>
      </c>
    </row>
    <row r="138" spans="1:36" x14ac:dyDescent="0.25">
      <c r="A138" s="2" t="s">
        <v>235</v>
      </c>
      <c r="B138" s="3">
        <v>0.8</v>
      </c>
      <c r="C138" s="2" t="s">
        <v>91</v>
      </c>
      <c r="D138" s="2" t="s">
        <v>91</v>
      </c>
      <c r="E138" s="2" t="s">
        <v>59</v>
      </c>
      <c r="F138" s="4" t="s">
        <v>60</v>
      </c>
      <c r="G138" s="4" t="s">
        <v>61</v>
      </c>
      <c r="H138" s="5"/>
      <c r="I138" s="5"/>
      <c r="J138" s="5"/>
      <c r="K138" s="4" t="s">
        <v>62</v>
      </c>
      <c r="L138" s="4" t="s">
        <v>63</v>
      </c>
      <c r="M138" s="6" t="str">
        <f>IF(OR(B138="",I138=""),"",B138*I138)</f>
        <v/>
      </c>
      <c r="N138" s="8" t="s">
        <v>64</v>
      </c>
      <c r="O138" s="9"/>
      <c r="P138" s="9"/>
      <c r="Q138" s="22"/>
      <c r="R138" s="22"/>
      <c r="S138" s="23" t="str">
        <f>IF(AND(ISNUMBER(Q138),Q138&gt;0,ISNUMBER(R138),R138&gt;0),R138/Q138,"")</f>
        <v/>
      </c>
      <c r="T138" s="9"/>
      <c r="U138" s="9"/>
      <c r="V138" s="9"/>
      <c r="W138" s="9"/>
      <c r="X138" s="23" t="str">
        <f>IF(ISNUMBER(S138),S138,IF(ISNUMBER(I138),I138,""))</f>
        <v/>
      </c>
      <c r="Y138" t="str">
        <f>IF(ISNUMBER(S138),"2025 EIA-923 plant/group proxy",IF(ISNUMBER(I138),"Technology estimate","No thermal heat rate"))</f>
        <v>No thermal heat rate</v>
      </c>
      <c r="Z138" t="str">
        <f>IF(ISNUMBER(S138),"Review: NOT unit verified",IF(AE138="No match","No EIA match",IF(AF138="Unconfirmed","Unconfirmed EIA candidate","")))</f>
        <v/>
      </c>
      <c r="AE138" t="s">
        <v>65</v>
      </c>
      <c r="AF138" t="s">
        <v>66</v>
      </c>
      <c r="AG138" s="24">
        <f>IF(ISBLANK(S138),S138,I138)</f>
        <v>0</v>
      </c>
      <c r="AH138" s="34">
        <f t="shared" si="10"/>
        <v>4801.7999999999975</v>
      </c>
      <c r="AI138">
        <f t="shared" si="9"/>
        <v>2998.640022763901</v>
      </c>
      <c r="AJ138" t="b" cm="1">
        <f t="array" ref="AJ138">OR(D138=$AT$2:$AT$8)</f>
        <v>1</v>
      </c>
    </row>
    <row r="139" spans="1:36" x14ac:dyDescent="0.25">
      <c r="A139" s="2" t="s">
        <v>246</v>
      </c>
      <c r="B139" s="3">
        <v>1.1000000000000001</v>
      </c>
      <c r="C139" s="2" t="s">
        <v>91</v>
      </c>
      <c r="D139" s="2" t="s">
        <v>91</v>
      </c>
      <c r="E139" s="2" t="s">
        <v>59</v>
      </c>
      <c r="F139" s="4" t="s">
        <v>60</v>
      </c>
      <c r="G139" s="4" t="s">
        <v>61</v>
      </c>
      <c r="H139" s="5"/>
      <c r="I139" s="5"/>
      <c r="J139" s="5"/>
      <c r="K139" s="4" t="s">
        <v>62</v>
      </c>
      <c r="L139" s="4" t="s">
        <v>63</v>
      </c>
      <c r="M139" s="6" t="str">
        <f>IF(OR(B139="",I139=""),"",B139*I139)</f>
        <v/>
      </c>
      <c r="N139" s="8" t="s">
        <v>64</v>
      </c>
      <c r="O139" s="9"/>
      <c r="P139" s="9"/>
      <c r="Q139" s="22"/>
      <c r="R139" s="22"/>
      <c r="S139" s="23" t="str">
        <f>IF(AND(ISNUMBER(Q139),Q139&gt;0,ISNUMBER(R139),R139&gt;0),R139/Q139,"")</f>
        <v/>
      </c>
      <c r="T139" s="9"/>
      <c r="U139" s="9"/>
      <c r="V139" s="9"/>
      <c r="W139" s="9"/>
      <c r="X139" s="23" t="str">
        <f>IF(ISNUMBER(S139),S139,IF(ISNUMBER(I139),I139,""))</f>
        <v/>
      </c>
      <c r="Y139" t="str">
        <f>IF(ISNUMBER(S139),"2025 EIA-923 plant/group proxy",IF(ISNUMBER(I139),"Technology estimate","No thermal heat rate"))</f>
        <v>No thermal heat rate</v>
      </c>
      <c r="Z139" t="str">
        <f>IF(ISNUMBER(S139),"Review: NOT unit verified",IF(AE139="No match","No EIA match",IF(AF139="Unconfirmed","Unconfirmed EIA candidate","")))</f>
        <v/>
      </c>
      <c r="AE139" t="s">
        <v>65</v>
      </c>
      <c r="AF139" t="s">
        <v>66</v>
      </c>
      <c r="AG139" s="24">
        <f>IF(ISBLANK(S139),S139,I139)</f>
        <v>0</v>
      </c>
      <c r="AH139" s="34">
        <f t="shared" si="10"/>
        <v>4802.8999999999978</v>
      </c>
      <c r="AI139">
        <f t="shared" si="9"/>
        <v>2999.3269535034242</v>
      </c>
      <c r="AJ139" t="b" cm="1">
        <f t="array" ref="AJ139">OR(D139=$AT$2:$AT$8)</f>
        <v>1</v>
      </c>
    </row>
    <row r="140" spans="1:36" x14ac:dyDescent="0.25">
      <c r="A140" s="2" t="s">
        <v>278</v>
      </c>
      <c r="B140" s="3">
        <v>5.7</v>
      </c>
      <c r="C140" s="2" t="s">
        <v>80</v>
      </c>
      <c r="D140" s="2" t="s">
        <v>81</v>
      </c>
      <c r="E140" s="2" t="s">
        <v>59</v>
      </c>
      <c r="F140" s="4" t="s">
        <v>60</v>
      </c>
      <c r="G140" s="4" t="s">
        <v>61</v>
      </c>
      <c r="H140" s="5"/>
      <c r="I140" s="5"/>
      <c r="J140" s="5"/>
      <c r="K140" s="4" t="s">
        <v>62</v>
      </c>
      <c r="L140" s="4" t="s">
        <v>63</v>
      </c>
      <c r="M140" s="6" t="str">
        <f>IF(OR(B140="",I140=""),"",B140*I140)</f>
        <v/>
      </c>
      <c r="N140" s="8" t="s">
        <v>64</v>
      </c>
      <c r="O140" s="9"/>
      <c r="P140" s="9"/>
      <c r="Q140" s="22"/>
      <c r="R140" s="22"/>
      <c r="S140" s="23" t="str">
        <f>IF(AND(ISNUMBER(Q140),Q140&gt;0,ISNUMBER(R140),R140&gt;0),R140/Q140,"")</f>
        <v/>
      </c>
      <c r="T140" s="9"/>
      <c r="U140" s="9"/>
      <c r="V140" s="9"/>
      <c r="W140" s="9"/>
      <c r="X140" s="23" t="str">
        <f>IF(ISNUMBER(S140),S140,IF(ISNUMBER(I140),I140,""))</f>
        <v/>
      </c>
      <c r="Y140" t="str">
        <f>IF(ISNUMBER(S140),"2025 EIA-923 plant/group proxy",IF(ISNUMBER(I140),"Technology estimate","No thermal heat rate"))</f>
        <v>No thermal heat rate</v>
      </c>
      <c r="Z140" t="str">
        <f>IF(ISNUMBER(S140),"Review: NOT unit verified",IF(AE140="No match","No EIA match",IF(AF140="Unconfirmed","Unconfirmed EIA candidate","")))</f>
        <v/>
      </c>
      <c r="AE140" t="s">
        <v>65</v>
      </c>
      <c r="AF140" t="s">
        <v>66</v>
      </c>
      <c r="AG140" s="24">
        <f>IF(ISBLANK(S140),S140,I140)</f>
        <v>0</v>
      </c>
      <c r="AH140" s="34">
        <f t="shared" si="10"/>
        <v>4808.5999999999976</v>
      </c>
      <c r="AI140">
        <f t="shared" si="9"/>
        <v>3002.8865036991328</v>
      </c>
      <c r="AJ140" t="b" cm="1">
        <f t="array" ref="AJ140">OR(D140=$AT$2:$AT$8)</f>
        <v>0</v>
      </c>
    </row>
    <row r="141" spans="1:36" x14ac:dyDescent="0.25">
      <c r="A141" s="2" t="s">
        <v>293</v>
      </c>
      <c r="B141" s="3">
        <v>86</v>
      </c>
      <c r="C141" s="2" t="s">
        <v>294</v>
      </c>
      <c r="D141" s="2" t="s">
        <v>81</v>
      </c>
      <c r="E141" s="2" t="s">
        <v>59</v>
      </c>
      <c r="F141" s="4" t="s">
        <v>60</v>
      </c>
      <c r="G141" s="4" t="s">
        <v>61</v>
      </c>
      <c r="H141" s="5"/>
      <c r="I141" s="5"/>
      <c r="J141" s="5"/>
      <c r="K141" s="4" t="s">
        <v>62</v>
      </c>
      <c r="L141" s="4" t="s">
        <v>63</v>
      </c>
      <c r="M141" s="6" t="str">
        <f>IF(OR(B141="",I141=""),"",B141*I141)</f>
        <v/>
      </c>
      <c r="N141" s="8" t="s">
        <v>64</v>
      </c>
      <c r="O141" s="9"/>
      <c r="P141" s="9"/>
      <c r="Q141" s="22"/>
      <c r="R141" s="22"/>
      <c r="S141" s="23" t="str">
        <f>IF(AND(ISNUMBER(Q141),Q141&gt;0,ISNUMBER(R141),R141&gt;0),R141/Q141,"")</f>
        <v/>
      </c>
      <c r="T141" s="9"/>
      <c r="U141" s="9"/>
      <c r="V141" s="9"/>
      <c r="W141" s="9"/>
      <c r="X141" s="23" t="str">
        <f>IF(ISNUMBER(S141),S141,IF(ISNUMBER(I141),I141,""))</f>
        <v/>
      </c>
      <c r="Y141" t="str">
        <f>IF(ISNUMBER(S141),"2025 EIA-923 plant/group proxy",IF(ISNUMBER(I141),"Technology estimate","No thermal heat rate"))</f>
        <v>No thermal heat rate</v>
      </c>
      <c r="Z141" t="str">
        <f>IF(ISNUMBER(S141),"Review: NOT unit verified",IF(AE141="No match","No EIA match",IF(AF141="Unconfirmed","Unconfirmed EIA candidate","")))</f>
        <v/>
      </c>
      <c r="AE141" t="s">
        <v>65</v>
      </c>
      <c r="AF141" t="s">
        <v>66</v>
      </c>
      <c r="AG141" s="24">
        <f>IF(ISBLANK(S141),S141,I141)</f>
        <v>0</v>
      </c>
      <c r="AH141" s="34">
        <f t="shared" si="10"/>
        <v>4894.5999999999976</v>
      </c>
      <c r="AI141">
        <f t="shared" si="9"/>
        <v>3056.5919978800016</v>
      </c>
      <c r="AJ141" t="b" cm="1">
        <f t="array" ref="AJ141">OR(D141=$AT$2:$AT$8)</f>
        <v>0</v>
      </c>
    </row>
    <row r="142" spans="1:36" x14ac:dyDescent="0.25">
      <c r="A142" s="2" t="s">
        <v>311</v>
      </c>
      <c r="B142" s="3">
        <v>1.9</v>
      </c>
      <c r="C142" s="2" t="s">
        <v>91</v>
      </c>
      <c r="D142" s="2" t="s">
        <v>91</v>
      </c>
      <c r="E142" s="2" t="s">
        <v>59</v>
      </c>
      <c r="F142" s="4" t="s">
        <v>60</v>
      </c>
      <c r="G142" s="4" t="s">
        <v>61</v>
      </c>
      <c r="H142" s="5"/>
      <c r="I142" s="5"/>
      <c r="J142" s="5"/>
      <c r="K142" s="4" t="s">
        <v>62</v>
      </c>
      <c r="L142" s="4" t="s">
        <v>63</v>
      </c>
      <c r="M142" s="6" t="str">
        <f>IF(OR(B142="",I142=""),"",B142*I142)</f>
        <v/>
      </c>
      <c r="N142" s="8" t="s">
        <v>64</v>
      </c>
      <c r="O142" s="9"/>
      <c r="P142" s="9"/>
      <c r="Q142" s="22"/>
      <c r="R142" s="22"/>
      <c r="S142" s="23" t="str">
        <f>IF(AND(ISNUMBER(Q142),Q142&gt;0,ISNUMBER(R142),R142&gt;0),R142/Q142,"")</f>
        <v/>
      </c>
      <c r="T142" s="9"/>
      <c r="U142" s="9"/>
      <c r="V142" s="9"/>
      <c r="W142" s="9"/>
      <c r="X142" s="23" t="str">
        <f>IF(ISNUMBER(S142),S142,IF(ISNUMBER(I142),I142,""))</f>
        <v/>
      </c>
      <c r="Y142" t="str">
        <f>IF(ISNUMBER(S142),"2025 EIA-923 plant/group proxy",IF(ISNUMBER(I142),"Technology estimate","No thermal heat rate"))</f>
        <v>No thermal heat rate</v>
      </c>
      <c r="Z142" t="str">
        <f>IF(ISNUMBER(S142),"Review: NOT unit verified",IF(AE142="No match","No EIA match",IF(AF142="Unconfirmed","Unconfirmed EIA candidate","")))</f>
        <v/>
      </c>
      <c r="AE142" t="s">
        <v>65</v>
      </c>
      <c r="AF142" t="s">
        <v>66</v>
      </c>
      <c r="AG142" s="24">
        <f>IF(ISBLANK(S142),S142,I142)</f>
        <v>0</v>
      </c>
      <c r="AH142" s="34">
        <f t="shared" si="10"/>
        <v>4896.4999999999973</v>
      </c>
      <c r="AI142">
        <f t="shared" si="9"/>
        <v>3057.778514611904</v>
      </c>
      <c r="AJ142" t="b" cm="1">
        <f t="array" ref="AJ142">OR(D142=$AT$2:$AT$8)</f>
        <v>1</v>
      </c>
    </row>
    <row r="143" spans="1:36" x14ac:dyDescent="0.25">
      <c r="A143" s="2" t="s">
        <v>343</v>
      </c>
      <c r="B143" s="3">
        <v>3.8</v>
      </c>
      <c r="C143" s="2" t="s">
        <v>228</v>
      </c>
      <c r="D143" s="2" t="s">
        <v>228</v>
      </c>
      <c r="E143" s="2" t="s">
        <v>59</v>
      </c>
      <c r="F143" s="4" t="s">
        <v>60</v>
      </c>
      <c r="G143" s="4" t="s">
        <v>61</v>
      </c>
      <c r="H143" s="5"/>
      <c r="I143" s="5"/>
      <c r="J143" s="5"/>
      <c r="K143" s="4" t="s">
        <v>62</v>
      </c>
      <c r="L143" s="4" t="s">
        <v>63</v>
      </c>
      <c r="M143" s="6" t="str">
        <f>IF(OR(B143="",I143=""),"",B143*I143)</f>
        <v/>
      </c>
      <c r="N143" s="8" t="s">
        <v>64</v>
      </c>
      <c r="O143" s="9"/>
      <c r="P143" s="9"/>
      <c r="Q143" s="22"/>
      <c r="R143" s="22"/>
      <c r="S143" s="23" t="str">
        <f>IF(AND(ISNUMBER(Q143),Q143&gt;0,ISNUMBER(R143),R143&gt;0),R143/Q143,"")</f>
        <v/>
      </c>
      <c r="T143" s="9"/>
      <c r="U143" s="9"/>
      <c r="V143" s="9"/>
      <c r="W143" s="9"/>
      <c r="X143" s="23" t="str">
        <f>IF(ISNUMBER(S143),S143,IF(ISNUMBER(I143),I143,""))</f>
        <v/>
      </c>
      <c r="Y143" t="str">
        <f>IF(ISNUMBER(S143),"2025 EIA-923 plant/group proxy",IF(ISNUMBER(I143),"Technology estimate","No thermal heat rate"))</f>
        <v>No thermal heat rate</v>
      </c>
      <c r="Z143" t="str">
        <f>IF(ISNUMBER(S143),"Review: NOT unit verified",IF(AE143="No match","No EIA match",IF(AF143="Unconfirmed","Unconfirmed EIA candidate","")))</f>
        <v/>
      </c>
      <c r="AE143" t="s">
        <v>65</v>
      </c>
      <c r="AF143" t="s">
        <v>66</v>
      </c>
      <c r="AG143" s="24">
        <f>IF(ISBLANK(S143),S143,I143)</f>
        <v>0</v>
      </c>
      <c r="AH143" s="34">
        <f t="shared" si="10"/>
        <v>4900.2999999999975</v>
      </c>
      <c r="AI143">
        <f t="shared" si="9"/>
        <v>3060.1515480757103</v>
      </c>
      <c r="AJ143" t="b" cm="1">
        <f t="array" ref="AJ143">OR(D143=$AT$2:$AT$8)</f>
        <v>1</v>
      </c>
    </row>
    <row r="144" spans="1:36" x14ac:dyDescent="0.25">
      <c r="A144" s="2" t="s">
        <v>359</v>
      </c>
      <c r="B144" s="3">
        <v>0.3</v>
      </c>
      <c r="C144" s="2" t="s">
        <v>228</v>
      </c>
      <c r="D144" s="2" t="s">
        <v>237</v>
      </c>
      <c r="E144" s="2" t="s">
        <v>59</v>
      </c>
      <c r="F144" s="4" t="s">
        <v>60</v>
      </c>
      <c r="G144" s="4" t="s">
        <v>61</v>
      </c>
      <c r="H144" s="5"/>
      <c r="I144" s="5"/>
      <c r="J144" s="5"/>
      <c r="K144" s="4" t="s">
        <v>62</v>
      </c>
      <c r="L144" s="4" t="s">
        <v>63</v>
      </c>
      <c r="M144" s="6" t="str">
        <f>IF(OR(B144="",I144=""),"",B144*I144)</f>
        <v/>
      </c>
      <c r="N144" s="8" t="s">
        <v>64</v>
      </c>
      <c r="O144" s="9"/>
      <c r="P144" s="9"/>
      <c r="Q144" s="22"/>
      <c r="R144" s="22"/>
      <c r="S144" s="23" t="str">
        <f>IF(AND(ISNUMBER(Q144),Q144&gt;0,ISNUMBER(R144),R144&gt;0),R144/Q144,"")</f>
        <v/>
      </c>
      <c r="T144" s="9"/>
      <c r="U144" s="9"/>
      <c r="V144" s="9"/>
      <c r="W144" s="9"/>
      <c r="X144" s="23" t="str">
        <f>IF(ISNUMBER(S144),S144,IF(ISNUMBER(I144),I144,""))</f>
        <v/>
      </c>
      <c r="Y144" t="str">
        <f>IF(ISNUMBER(S144),"2025 EIA-923 plant/group proxy",IF(ISNUMBER(I144),"Technology estimate","No thermal heat rate"))</f>
        <v>No thermal heat rate</v>
      </c>
      <c r="Z144" t="str">
        <f>IF(ISNUMBER(S144),"Review: NOT unit verified",IF(AE144="No match","No EIA match",IF(AF144="Unconfirmed","Unconfirmed EIA candidate","")))</f>
        <v/>
      </c>
      <c r="AE144" t="s">
        <v>65</v>
      </c>
      <c r="AF144" t="s">
        <v>66</v>
      </c>
      <c r="AG144" s="24">
        <f>IF(ISBLANK(S144),S144,I144)</f>
        <v>0</v>
      </c>
      <c r="AH144" s="34">
        <f t="shared" si="10"/>
        <v>4900.5999999999976</v>
      </c>
      <c r="AI144">
        <f t="shared" si="9"/>
        <v>3060.3388928228528</v>
      </c>
      <c r="AJ144" t="b" cm="1">
        <f t="array" ref="AJ144">OR(D144=$AT$2:$AT$8)</f>
        <v>0</v>
      </c>
    </row>
    <row r="145" spans="1:36" x14ac:dyDescent="0.25">
      <c r="A145" s="2" t="s">
        <v>374</v>
      </c>
      <c r="B145" s="3">
        <v>1.4</v>
      </c>
      <c r="C145" s="2" t="s">
        <v>228</v>
      </c>
      <c r="D145" s="2" t="s">
        <v>228</v>
      </c>
      <c r="E145" s="2" t="s">
        <v>59</v>
      </c>
      <c r="F145" s="4" t="s">
        <v>60</v>
      </c>
      <c r="G145" s="4" t="s">
        <v>61</v>
      </c>
      <c r="H145" s="5"/>
      <c r="I145" s="5"/>
      <c r="J145" s="5"/>
      <c r="K145" s="4" t="s">
        <v>62</v>
      </c>
      <c r="L145" s="4" t="s">
        <v>63</v>
      </c>
      <c r="M145" s="6" t="str">
        <f>IF(OR(B145="",I145=""),"",B145*I145)</f>
        <v/>
      </c>
      <c r="N145" s="8" t="s">
        <v>64</v>
      </c>
      <c r="O145" s="9"/>
      <c r="P145" s="9"/>
      <c r="Q145" s="22"/>
      <c r="R145" s="22"/>
      <c r="S145" s="23" t="str">
        <f>IF(AND(ISNUMBER(Q145),Q145&gt;0,ISNUMBER(R145),R145&gt;0),R145/Q145,"")</f>
        <v/>
      </c>
      <c r="T145" s="9"/>
      <c r="U145" s="9"/>
      <c r="V145" s="9"/>
      <c r="W145" s="9"/>
      <c r="X145" s="23" t="str">
        <f>IF(ISNUMBER(S145),S145,IF(ISNUMBER(I145),I145,""))</f>
        <v/>
      </c>
      <c r="Y145" t="str">
        <f>IF(ISNUMBER(S145),"2025 EIA-923 plant/group proxy",IF(ISNUMBER(I145),"Technology estimate","No thermal heat rate"))</f>
        <v>No thermal heat rate</v>
      </c>
      <c r="Z145" t="str">
        <f>IF(ISNUMBER(S145),"Review: NOT unit verified",IF(AE145="No match","No EIA match",IF(AF145="Unconfirmed","Unconfirmed EIA candidate","")))</f>
        <v/>
      </c>
      <c r="AE145" t="s">
        <v>65</v>
      </c>
      <c r="AF145" t="s">
        <v>66</v>
      </c>
      <c r="AG145" s="24">
        <f>IF(ISBLANK(S145),S145,I145)</f>
        <v>0</v>
      </c>
      <c r="AH145" s="34">
        <f t="shared" si="10"/>
        <v>4901.9999999999973</v>
      </c>
      <c r="AI145">
        <f t="shared" si="9"/>
        <v>3061.2131683095181</v>
      </c>
      <c r="AJ145" t="b" cm="1">
        <f t="array" ref="AJ145">OR(D145=$AT$2:$AT$8)</f>
        <v>1</v>
      </c>
    </row>
    <row r="146" spans="1:36" x14ac:dyDescent="0.25">
      <c r="A146" s="2" t="s">
        <v>378</v>
      </c>
      <c r="B146" s="3">
        <v>8.6999999999999993</v>
      </c>
      <c r="C146" s="2" t="s">
        <v>80</v>
      </c>
      <c r="D146" s="2" t="s">
        <v>81</v>
      </c>
      <c r="E146" s="2" t="s">
        <v>59</v>
      </c>
      <c r="F146" s="4" t="s">
        <v>60</v>
      </c>
      <c r="G146" s="4" t="s">
        <v>61</v>
      </c>
      <c r="H146" s="5"/>
      <c r="I146" s="5"/>
      <c r="J146" s="5"/>
      <c r="K146" s="4" t="s">
        <v>62</v>
      </c>
      <c r="L146" s="4" t="s">
        <v>63</v>
      </c>
      <c r="M146" s="6" t="str">
        <f>IF(OR(B146="",I146=""),"",B146*I146)</f>
        <v/>
      </c>
      <c r="N146" s="8" t="s">
        <v>64</v>
      </c>
      <c r="O146" s="9"/>
      <c r="P146" s="9"/>
      <c r="Q146" s="22"/>
      <c r="R146" s="22"/>
      <c r="S146" s="23" t="str">
        <f>IF(AND(ISNUMBER(Q146),Q146&gt;0,ISNUMBER(R146),R146&gt;0),R146/Q146,"")</f>
        <v/>
      </c>
      <c r="T146" s="9"/>
      <c r="U146" s="9"/>
      <c r="V146" s="9"/>
      <c r="W146" s="9"/>
      <c r="X146" s="23" t="str">
        <f>IF(ISNUMBER(S146),S146,IF(ISNUMBER(I146),I146,""))</f>
        <v/>
      </c>
      <c r="Y146" t="str">
        <f>IF(ISNUMBER(S146),"2025 EIA-923 plant/group proxy",IF(ISNUMBER(I146),"Technology estimate","No thermal heat rate"))</f>
        <v>No thermal heat rate</v>
      </c>
      <c r="Z146" t="str">
        <f>IF(ISNUMBER(S146),"Review: NOT unit verified",IF(AE146="No match","No EIA match",IF(AF146="Unconfirmed","Unconfirmed EIA candidate","")))</f>
        <v/>
      </c>
      <c r="AE146" t="s">
        <v>65</v>
      </c>
      <c r="AF146" t="s">
        <v>66</v>
      </c>
      <c r="AG146" s="24">
        <f>IF(ISBLANK(S146),S146,I146)</f>
        <v>0</v>
      </c>
      <c r="AH146" s="34">
        <f t="shared" si="10"/>
        <v>4910.6999999999971</v>
      </c>
      <c r="AI146">
        <f t="shared" si="9"/>
        <v>3066.6461659766524</v>
      </c>
      <c r="AJ146" t="b" cm="1">
        <f t="array" ref="AJ146">OR(D146=$AT$2:$AT$8)</f>
        <v>0</v>
      </c>
    </row>
    <row r="147" spans="1:36" x14ac:dyDescent="0.25">
      <c r="A147" s="2" t="s">
        <v>379</v>
      </c>
      <c r="B147" s="3">
        <v>4.2</v>
      </c>
      <c r="C147" s="2" t="s">
        <v>136</v>
      </c>
      <c r="D147" s="2" t="s">
        <v>136</v>
      </c>
      <c r="E147" s="2" t="s">
        <v>59</v>
      </c>
      <c r="F147" s="4" t="s">
        <v>60</v>
      </c>
      <c r="G147" s="4" t="s">
        <v>61</v>
      </c>
      <c r="H147" s="5"/>
      <c r="I147" s="5"/>
      <c r="J147" s="5"/>
      <c r="K147" s="4" t="s">
        <v>62</v>
      </c>
      <c r="L147" s="4" t="s">
        <v>63</v>
      </c>
      <c r="M147" s="6" t="str">
        <f>IF(OR(B147="",I147=""),"",B147*I147)</f>
        <v/>
      </c>
      <c r="N147" s="8" t="s">
        <v>64</v>
      </c>
      <c r="O147" s="9"/>
      <c r="P147" s="9"/>
      <c r="Q147" s="22"/>
      <c r="R147" s="22"/>
      <c r="S147" s="23" t="str">
        <f>IF(AND(ISNUMBER(Q147),Q147&gt;0,ISNUMBER(R147),R147&gt;0),R147/Q147,"")</f>
        <v/>
      </c>
      <c r="T147" s="9"/>
      <c r="U147" s="9"/>
      <c r="V147" s="9"/>
      <c r="W147" s="9"/>
      <c r="X147" s="23" t="str">
        <f>IF(ISNUMBER(S147),S147,IF(ISNUMBER(I147),I147,""))</f>
        <v/>
      </c>
      <c r="Y147" t="str">
        <f>IF(ISNUMBER(S147),"2025 EIA-923 plant/group proxy",IF(ISNUMBER(I147),"Technology estimate","No thermal heat rate"))</f>
        <v>No thermal heat rate</v>
      </c>
      <c r="Z147" t="str">
        <f>IF(ISNUMBER(S147),"Review: NOT unit verified",IF(AE147="No match","No EIA match",IF(AF147="Unconfirmed","Unconfirmed EIA candidate","")))</f>
        <v/>
      </c>
      <c r="AE147" t="s">
        <v>65</v>
      </c>
      <c r="AF147" t="s">
        <v>66</v>
      </c>
      <c r="AG147" s="24">
        <f>IF(ISBLANK(S147),S147,I147)</f>
        <v>0</v>
      </c>
      <c r="AH147" s="34">
        <f t="shared" si="10"/>
        <v>4914.8999999999969</v>
      </c>
      <c r="AI147">
        <f t="shared" si="9"/>
        <v>3069.2689924366482</v>
      </c>
      <c r="AJ147" t="b" cm="1">
        <f t="array" ref="AJ147">OR(D147=$AT$2:$AT$8)</f>
        <v>0</v>
      </c>
    </row>
    <row r="148" spans="1:36" x14ac:dyDescent="0.25">
      <c r="A148" s="2" t="s">
        <v>481</v>
      </c>
      <c r="B148" s="3">
        <v>11.9</v>
      </c>
      <c r="C148" s="2" t="s">
        <v>78</v>
      </c>
      <c r="D148" s="2" t="s">
        <v>78</v>
      </c>
      <c r="E148" s="2" t="s">
        <v>59</v>
      </c>
      <c r="F148" s="4" t="s">
        <v>60</v>
      </c>
      <c r="G148" s="4" t="s">
        <v>61</v>
      </c>
      <c r="H148" s="5"/>
      <c r="I148" s="5"/>
      <c r="J148" s="5"/>
      <c r="K148" s="4" t="s">
        <v>62</v>
      </c>
      <c r="L148" s="4" t="s">
        <v>63</v>
      </c>
      <c r="M148" s="6" t="str">
        <f>IF(OR(B148="",I148=""),"",B148*I148)</f>
        <v/>
      </c>
      <c r="N148" s="8" t="s">
        <v>64</v>
      </c>
      <c r="O148" s="9"/>
      <c r="P148" s="9"/>
      <c r="Q148" s="22"/>
      <c r="R148" s="22"/>
      <c r="S148" s="23" t="str">
        <f>IF(AND(ISNUMBER(Q148),Q148&gt;0,ISNUMBER(R148),R148&gt;0),R148/Q148,"")</f>
        <v/>
      </c>
      <c r="T148" s="9"/>
      <c r="U148" s="9"/>
      <c r="V148" s="9"/>
      <c r="W148" s="9"/>
      <c r="X148" s="23" t="str">
        <f>IF(ISNUMBER(S148),S148,IF(ISNUMBER(I148),I148,""))</f>
        <v/>
      </c>
      <c r="Y148" t="str">
        <f>IF(ISNUMBER(S148),"2025 EIA-923 plant/group proxy",IF(ISNUMBER(I148),"Technology estimate","No thermal heat rate"))</f>
        <v>No thermal heat rate</v>
      </c>
      <c r="Z148" t="str">
        <f>IF(ISNUMBER(S148),"Review: NOT unit verified",IF(AE148="No match","No EIA match",IF(AF148="Unconfirmed","Unconfirmed EIA candidate","")))</f>
        <v/>
      </c>
      <c r="AE148" t="s">
        <v>65</v>
      </c>
      <c r="AF148" t="s">
        <v>66</v>
      </c>
      <c r="AG148" s="24">
        <f>IF(ISBLANK(S148),S148,I148)</f>
        <v>0</v>
      </c>
      <c r="AH148" s="34">
        <f t="shared" si="10"/>
        <v>4926.7999999999965</v>
      </c>
      <c r="AI148">
        <f t="shared" si="9"/>
        <v>3076.7003340733027</v>
      </c>
      <c r="AJ148" t="b" cm="1">
        <f t="array" ref="AJ148">OR(D148=$AT$2:$AT$8)</f>
        <v>1</v>
      </c>
    </row>
    <row r="149" spans="1:36" x14ac:dyDescent="0.25">
      <c r="A149" s="2" t="s">
        <v>524</v>
      </c>
      <c r="B149" s="3">
        <v>1.9</v>
      </c>
      <c r="C149" s="2" t="s">
        <v>228</v>
      </c>
      <c r="D149" s="2" t="s">
        <v>228</v>
      </c>
      <c r="E149" s="2" t="s">
        <v>59</v>
      </c>
      <c r="F149" s="4" t="s">
        <v>60</v>
      </c>
      <c r="G149" s="4" t="s">
        <v>61</v>
      </c>
      <c r="H149" s="5"/>
      <c r="I149" s="5"/>
      <c r="J149" s="5"/>
      <c r="K149" s="4" t="s">
        <v>62</v>
      </c>
      <c r="L149" s="4" t="s">
        <v>63</v>
      </c>
      <c r="M149" s="6" t="str">
        <f>IF(OR(B149="",I149=""),"",B149*I149)</f>
        <v/>
      </c>
      <c r="N149" s="8" t="s">
        <v>64</v>
      </c>
      <c r="O149" s="9"/>
      <c r="P149" s="9"/>
      <c r="Q149" s="22"/>
      <c r="R149" s="22"/>
      <c r="S149" s="23" t="str">
        <f>IF(AND(ISNUMBER(Q149),Q149&gt;0,ISNUMBER(R149),R149&gt;0),R149/Q149,"")</f>
        <v/>
      </c>
      <c r="T149" s="9"/>
      <c r="U149" s="9"/>
      <c r="V149" s="9"/>
      <c r="W149" s="9"/>
      <c r="X149" s="23" t="str">
        <f>IF(ISNUMBER(S149),S149,IF(ISNUMBER(I149),I149,""))</f>
        <v/>
      </c>
      <c r="Y149" t="str">
        <f>IF(ISNUMBER(S149),"2025 EIA-923 plant/group proxy",IF(ISNUMBER(I149),"Technology estimate","No thermal heat rate"))</f>
        <v>No thermal heat rate</v>
      </c>
      <c r="Z149" t="str">
        <f>IF(ISNUMBER(S149),"Review: NOT unit verified",IF(AE149="No match","No EIA match",IF(AF149="Unconfirmed","Unconfirmed EIA candidate","")))</f>
        <v/>
      </c>
      <c r="AE149" t="s">
        <v>65</v>
      </c>
      <c r="AF149" t="s">
        <v>66</v>
      </c>
      <c r="AG149" s="24">
        <f>IF(ISBLANK(S149),S149,I149)</f>
        <v>0</v>
      </c>
      <c r="AH149" s="34">
        <f t="shared" si="10"/>
        <v>4928.6999999999962</v>
      </c>
      <c r="AI149">
        <f t="shared" si="9"/>
        <v>3077.8868508052055</v>
      </c>
      <c r="AJ149" t="b" cm="1">
        <f t="array" ref="AJ149">OR(D149=$AT$2:$AT$8)</f>
        <v>1</v>
      </c>
    </row>
    <row r="150" spans="1:36" x14ac:dyDescent="0.25">
      <c r="A150" s="2" t="s">
        <v>573</v>
      </c>
      <c r="B150" s="3">
        <v>1.3</v>
      </c>
      <c r="C150" s="2" t="s">
        <v>99</v>
      </c>
      <c r="D150" s="2" t="s">
        <v>81</v>
      </c>
      <c r="E150" s="2" t="s">
        <v>59</v>
      </c>
      <c r="F150" s="4" t="s">
        <v>60</v>
      </c>
      <c r="G150" s="4" t="s">
        <v>61</v>
      </c>
      <c r="H150" s="5"/>
      <c r="I150" s="5"/>
      <c r="J150" s="5"/>
      <c r="K150" s="4" t="s">
        <v>62</v>
      </c>
      <c r="L150" s="4" t="s">
        <v>63</v>
      </c>
      <c r="M150" s="6" t="str">
        <f>IF(OR(B150="",I150=""),"",B150*I150)</f>
        <v/>
      </c>
      <c r="N150" s="8" t="s">
        <v>64</v>
      </c>
      <c r="O150" s="9"/>
      <c r="P150" s="9"/>
      <c r="Q150" s="22"/>
      <c r="R150" s="22"/>
      <c r="S150" s="23" t="str">
        <f>IF(AND(ISNUMBER(Q150),Q150&gt;0,ISNUMBER(R150),R150&gt;0),R150/Q150,"")</f>
        <v/>
      </c>
      <c r="T150" s="9"/>
      <c r="U150" s="9"/>
      <c r="V150" s="9"/>
      <c r="W150" s="9"/>
      <c r="X150" s="23" t="str">
        <f>IF(ISNUMBER(S150),S150,IF(ISNUMBER(I150),I150,""))</f>
        <v/>
      </c>
      <c r="Y150" t="str">
        <f>IF(ISNUMBER(S150),"2025 EIA-923 plant/group proxy",IF(ISNUMBER(I150),"Technology estimate","No thermal heat rate"))</f>
        <v>No thermal heat rate</v>
      </c>
      <c r="Z150" t="str">
        <f>IF(ISNUMBER(S150),"Review: NOT unit verified",IF(AE150="No match","No EIA match",IF(AF150="Unconfirmed","Unconfirmed EIA candidate","")))</f>
        <v/>
      </c>
      <c r="AE150" t="s">
        <v>65</v>
      </c>
      <c r="AF150" t="s">
        <v>66</v>
      </c>
      <c r="AG150" s="24">
        <f>IF(ISBLANK(S150),S150,I150)</f>
        <v>0</v>
      </c>
      <c r="AH150" s="34">
        <f t="shared" si="10"/>
        <v>4929.9999999999964</v>
      </c>
      <c r="AI150">
        <f t="shared" si="9"/>
        <v>3078.6986780428233</v>
      </c>
      <c r="AJ150" t="b" cm="1">
        <f t="array" ref="AJ150">OR(D150=$AT$2:$AT$8)</f>
        <v>0</v>
      </c>
    </row>
    <row r="151" spans="1:36" x14ac:dyDescent="0.25">
      <c r="A151" s="2" t="s">
        <v>601</v>
      </c>
      <c r="B151" s="3">
        <v>2.6</v>
      </c>
      <c r="C151" s="2" t="s">
        <v>228</v>
      </c>
      <c r="D151" s="2" t="s">
        <v>228</v>
      </c>
      <c r="E151" s="2" t="s">
        <v>59</v>
      </c>
      <c r="F151" s="4" t="s">
        <v>60</v>
      </c>
      <c r="G151" s="4" t="s">
        <v>61</v>
      </c>
      <c r="H151" s="5"/>
      <c r="I151" s="5"/>
      <c r="J151" s="5"/>
      <c r="K151" s="4" t="s">
        <v>62</v>
      </c>
      <c r="L151" s="4" t="s">
        <v>63</v>
      </c>
      <c r="M151" s="6" t="str">
        <f>IF(OR(B151="",I151=""),"",B151*I151)</f>
        <v/>
      </c>
      <c r="N151" s="8" t="s">
        <v>64</v>
      </c>
      <c r="O151" s="9"/>
      <c r="P151" s="9"/>
      <c r="Q151" s="22"/>
      <c r="R151" s="22"/>
      <c r="S151" s="23" t="str">
        <f>IF(AND(ISNUMBER(Q151),Q151&gt;0,ISNUMBER(R151),R151&gt;0),R151/Q151,"")</f>
        <v/>
      </c>
      <c r="T151" s="9"/>
      <c r="U151" s="9"/>
      <c r="V151" s="9"/>
      <c r="W151" s="9"/>
      <c r="X151" s="23" t="str">
        <f>IF(ISNUMBER(S151),S151,IF(ISNUMBER(I151),I151,""))</f>
        <v/>
      </c>
      <c r="Y151" t="str">
        <f>IF(ISNUMBER(S151),"2025 EIA-923 plant/group proxy",IF(ISNUMBER(I151),"Technology estimate","No thermal heat rate"))</f>
        <v>No thermal heat rate</v>
      </c>
      <c r="Z151" t="str">
        <f>IF(ISNUMBER(S151),"Review: NOT unit verified",IF(AE151="No match","No EIA match",IF(AF151="Unconfirmed","Unconfirmed EIA candidate","")))</f>
        <v/>
      </c>
      <c r="AE151" t="s">
        <v>65</v>
      </c>
      <c r="AF151" t="s">
        <v>66</v>
      </c>
      <c r="AG151" s="24">
        <f>IF(ISBLANK(S151),S151,I151)</f>
        <v>0</v>
      </c>
      <c r="AH151" s="34">
        <f t="shared" si="10"/>
        <v>4932.5999999999967</v>
      </c>
      <c r="AI151">
        <f t="shared" si="9"/>
        <v>3080.3223325180593</v>
      </c>
      <c r="AJ151" t="b" cm="1">
        <f t="array" ref="AJ151">OR(D151=$AT$2:$AT$8)</f>
        <v>1</v>
      </c>
    </row>
    <row r="152" spans="1:36" x14ac:dyDescent="0.25">
      <c r="A152" s="2" t="s">
        <v>614</v>
      </c>
      <c r="B152" s="3">
        <v>2.4</v>
      </c>
      <c r="C152" s="2" t="s">
        <v>91</v>
      </c>
      <c r="D152" s="2" t="s">
        <v>91</v>
      </c>
      <c r="E152" s="2" t="s">
        <v>59</v>
      </c>
      <c r="F152" s="4" t="s">
        <v>60</v>
      </c>
      <c r="G152" s="4" t="s">
        <v>61</v>
      </c>
      <c r="H152" s="5"/>
      <c r="I152" s="5"/>
      <c r="J152" s="5"/>
      <c r="K152" s="4" t="s">
        <v>62</v>
      </c>
      <c r="L152" s="4" t="s">
        <v>63</v>
      </c>
      <c r="M152" s="6" t="str">
        <f>IF(OR(B152="",I152=""),"",B152*I152)</f>
        <v/>
      </c>
      <c r="N152" s="8" t="s">
        <v>64</v>
      </c>
      <c r="O152" s="9"/>
      <c r="P152" s="9"/>
      <c r="Q152" s="22"/>
      <c r="R152" s="22"/>
      <c r="S152" s="23" t="str">
        <f>IF(AND(ISNUMBER(Q152),Q152&gt;0,ISNUMBER(R152),R152&gt;0),R152/Q152,"")</f>
        <v/>
      </c>
      <c r="T152" s="9"/>
      <c r="U152" s="9"/>
      <c r="V152" s="9"/>
      <c r="W152" s="9"/>
      <c r="X152" s="23" t="str">
        <f>IF(ISNUMBER(S152),S152,IF(ISNUMBER(I152),I152,""))</f>
        <v/>
      </c>
      <c r="Y152" t="str">
        <f>IF(ISNUMBER(S152),"2025 EIA-923 plant/group proxy",IF(ISNUMBER(I152),"Technology estimate","No thermal heat rate"))</f>
        <v>No thermal heat rate</v>
      </c>
      <c r="Z152" t="str">
        <f>IF(ISNUMBER(S152),"Review: NOT unit verified",IF(AE152="No match","No EIA match",IF(AF152="Unconfirmed","Unconfirmed EIA candidate","")))</f>
        <v/>
      </c>
      <c r="AE152" t="s">
        <v>65</v>
      </c>
      <c r="AF152" t="s">
        <v>66</v>
      </c>
      <c r="AG152" s="24">
        <f>IF(ISBLANK(S152),S152,I152)</f>
        <v>0</v>
      </c>
      <c r="AH152" s="34">
        <f t="shared" si="10"/>
        <v>4934.9999999999964</v>
      </c>
      <c r="AI152">
        <f t="shared" si="9"/>
        <v>3081.8210904951993</v>
      </c>
      <c r="AJ152" t="b" cm="1">
        <f t="array" ref="AJ152">OR(D152=$AT$2:$AT$8)</f>
        <v>1</v>
      </c>
    </row>
    <row r="153" spans="1:36" x14ac:dyDescent="0.25">
      <c r="A153" s="2" t="s">
        <v>615</v>
      </c>
      <c r="B153" s="3">
        <v>7.6</v>
      </c>
      <c r="C153" s="2" t="s">
        <v>68</v>
      </c>
      <c r="D153" s="2" t="s">
        <v>69</v>
      </c>
      <c r="E153" s="2" t="s">
        <v>59</v>
      </c>
      <c r="F153" s="4" t="s">
        <v>60</v>
      </c>
      <c r="G153" s="4" t="s">
        <v>61</v>
      </c>
      <c r="H153" s="5"/>
      <c r="I153" s="5"/>
      <c r="J153" s="5"/>
      <c r="K153" s="4" t="s">
        <v>62</v>
      </c>
      <c r="L153" s="4" t="s">
        <v>63</v>
      </c>
      <c r="M153" s="6" t="str">
        <f>IF(OR(B153="",I153=""),"",B153*I153)</f>
        <v/>
      </c>
      <c r="N153" s="8" t="s">
        <v>64</v>
      </c>
      <c r="O153" s="9"/>
      <c r="P153" s="9"/>
      <c r="Q153" s="22"/>
      <c r="R153" s="22"/>
      <c r="S153" s="23" t="str">
        <f>IF(AND(ISNUMBER(Q153),Q153&gt;0,ISNUMBER(R153),R153&gt;0),R153/Q153,"")</f>
        <v/>
      </c>
      <c r="T153" s="9"/>
      <c r="U153" s="9"/>
      <c r="V153" s="9"/>
      <c r="W153" s="9"/>
      <c r="X153" s="23" t="str">
        <f>IF(ISNUMBER(S153),S153,IF(ISNUMBER(I153),I153,""))</f>
        <v/>
      </c>
      <c r="Y153" t="str">
        <f>IF(ISNUMBER(S153),"2025 EIA-923 plant/group proxy",IF(ISNUMBER(I153),"Technology estimate","No thermal heat rate"))</f>
        <v>No thermal heat rate</v>
      </c>
      <c r="Z153" t="str">
        <f>IF(ISNUMBER(S153),"Review: NOT unit verified",IF(AE153="No match","No EIA match",IF(AF153="Unconfirmed","Unconfirmed EIA candidate","")))</f>
        <v/>
      </c>
      <c r="AE153" t="s">
        <v>65</v>
      </c>
      <c r="AF153" t="s">
        <v>66</v>
      </c>
      <c r="AG153" s="24">
        <f>IF(ISBLANK(S153),S153,I153)</f>
        <v>0</v>
      </c>
      <c r="AH153" s="34">
        <f t="shared" si="10"/>
        <v>4942.5999999999967</v>
      </c>
      <c r="AI153">
        <f t="shared" si="9"/>
        <v>3086.5671574228113</v>
      </c>
      <c r="AJ153" t="b" cm="1">
        <f t="array" ref="AJ153">OR(D153=$AT$2:$AT$8)</f>
        <v>0</v>
      </c>
    </row>
    <row r="154" spans="1:36" x14ac:dyDescent="0.25">
      <c r="A154" s="2" t="s">
        <v>617</v>
      </c>
      <c r="B154" s="3">
        <v>1.3</v>
      </c>
      <c r="C154" s="2" t="s">
        <v>68</v>
      </c>
      <c r="D154" s="2" t="s">
        <v>69</v>
      </c>
      <c r="E154" s="2" t="s">
        <v>59</v>
      </c>
      <c r="F154" s="4" t="s">
        <v>60</v>
      </c>
      <c r="G154" s="4" t="s">
        <v>61</v>
      </c>
      <c r="H154" s="5"/>
      <c r="I154" s="5"/>
      <c r="J154" s="5"/>
      <c r="K154" s="4" t="s">
        <v>62</v>
      </c>
      <c r="L154" s="4" t="s">
        <v>63</v>
      </c>
      <c r="M154" s="6" t="str">
        <f>IF(OR(B154="",I154=""),"",B154*I154)</f>
        <v/>
      </c>
      <c r="N154" s="8" t="s">
        <v>64</v>
      </c>
      <c r="O154" s="9"/>
      <c r="P154" s="9"/>
      <c r="Q154" s="22"/>
      <c r="R154" s="22"/>
      <c r="S154" s="23" t="str">
        <f>IF(AND(ISNUMBER(Q154),Q154&gt;0,ISNUMBER(R154),R154&gt;0),R154/Q154,"")</f>
        <v/>
      </c>
      <c r="T154" s="9"/>
      <c r="U154" s="9"/>
      <c r="V154" s="9"/>
      <c r="W154" s="9"/>
      <c r="X154" s="23" t="str">
        <f>IF(ISNUMBER(S154),S154,IF(ISNUMBER(I154),I154,""))</f>
        <v/>
      </c>
      <c r="Y154" t="str">
        <f>IF(ISNUMBER(S154),"2025 EIA-923 plant/group proxy",IF(ISNUMBER(I154),"Technology estimate","No thermal heat rate"))</f>
        <v>No thermal heat rate</v>
      </c>
      <c r="Z154" t="str">
        <f>IF(ISNUMBER(S154),"Review: NOT unit verified",IF(AE154="No match","No EIA match",IF(AF154="Unconfirmed","Unconfirmed EIA candidate","")))</f>
        <v/>
      </c>
      <c r="AE154" t="s">
        <v>65</v>
      </c>
      <c r="AF154" t="s">
        <v>66</v>
      </c>
      <c r="AG154" s="24">
        <f>IF(ISBLANK(S154),S154,I154)</f>
        <v>0</v>
      </c>
      <c r="AH154" s="34">
        <f t="shared" si="10"/>
        <v>4943.8999999999969</v>
      </c>
      <c r="AI154">
        <f t="shared" si="9"/>
        <v>3087.3789846604295</v>
      </c>
      <c r="AJ154" t="b" cm="1">
        <f t="array" ref="AJ154">OR(D154=$AT$2:$AT$8)</f>
        <v>0</v>
      </c>
    </row>
    <row r="155" spans="1:36" x14ac:dyDescent="0.25">
      <c r="A155" s="2" t="s">
        <v>627</v>
      </c>
      <c r="B155" s="3">
        <v>8.4</v>
      </c>
      <c r="C155" s="2" t="s">
        <v>80</v>
      </c>
      <c r="D155" s="2" t="s">
        <v>81</v>
      </c>
      <c r="E155" s="2" t="s">
        <v>59</v>
      </c>
      <c r="F155" s="4" t="s">
        <v>60</v>
      </c>
      <c r="G155" s="4" t="s">
        <v>61</v>
      </c>
      <c r="H155" s="5"/>
      <c r="I155" s="5"/>
      <c r="J155" s="5"/>
      <c r="K155" s="4" t="s">
        <v>62</v>
      </c>
      <c r="L155" s="4" t="s">
        <v>63</v>
      </c>
      <c r="M155" s="6" t="str">
        <f>IF(OR(B155="",I155=""),"",B155*I155)</f>
        <v/>
      </c>
      <c r="N155" s="8" t="s">
        <v>64</v>
      </c>
      <c r="O155" s="9"/>
      <c r="P155" s="9"/>
      <c r="Q155" s="22"/>
      <c r="R155" s="22"/>
      <c r="S155" s="23" t="str">
        <f>IF(AND(ISNUMBER(Q155),Q155&gt;0,ISNUMBER(R155),R155&gt;0),R155/Q155,"")</f>
        <v/>
      </c>
      <c r="T155" s="9"/>
      <c r="U155" s="9"/>
      <c r="V155" s="9"/>
      <c r="W155" s="9"/>
      <c r="X155" s="23" t="str">
        <f>IF(ISNUMBER(S155),S155,IF(ISNUMBER(I155),I155,""))</f>
        <v/>
      </c>
      <c r="Y155" t="str">
        <f>IF(ISNUMBER(S155),"2025 EIA-923 plant/group proxy",IF(ISNUMBER(I155),"Technology estimate","No thermal heat rate"))</f>
        <v>No thermal heat rate</v>
      </c>
      <c r="Z155" t="str">
        <f>IF(ISNUMBER(S155),"Review: NOT unit verified",IF(AE155="No match","No EIA match",IF(AF155="Unconfirmed","Unconfirmed EIA candidate","")))</f>
        <v/>
      </c>
      <c r="AE155" t="s">
        <v>65</v>
      </c>
      <c r="AF155" t="s">
        <v>66</v>
      </c>
      <c r="AG155" s="24">
        <f>IF(ISBLANK(S155),S155,I155)</f>
        <v>0</v>
      </c>
      <c r="AH155" s="34">
        <f t="shared" si="10"/>
        <v>4952.2999999999965</v>
      </c>
      <c r="AI155">
        <f t="shared" si="9"/>
        <v>3092.6246375804208</v>
      </c>
      <c r="AJ155" t="b" cm="1">
        <f t="array" ref="AJ155">OR(D155=$AT$2:$AT$8)</f>
        <v>0</v>
      </c>
    </row>
    <row r="156" spans="1:36" x14ac:dyDescent="0.25">
      <c r="A156" s="2" t="s">
        <v>628</v>
      </c>
      <c r="B156" s="3">
        <v>0.5</v>
      </c>
      <c r="C156" s="2" t="s">
        <v>91</v>
      </c>
      <c r="D156" s="2" t="s">
        <v>91</v>
      </c>
      <c r="E156" s="2" t="s">
        <v>59</v>
      </c>
      <c r="F156" s="4" t="s">
        <v>60</v>
      </c>
      <c r="G156" s="4" t="s">
        <v>61</v>
      </c>
      <c r="H156" s="5"/>
      <c r="I156" s="5"/>
      <c r="J156" s="5"/>
      <c r="K156" s="4" t="s">
        <v>62</v>
      </c>
      <c r="L156" s="4" t="s">
        <v>63</v>
      </c>
      <c r="M156" s="6" t="str">
        <f>IF(OR(B156="",I156=""),"",B156*I156)</f>
        <v/>
      </c>
      <c r="N156" s="8" t="s">
        <v>64</v>
      </c>
      <c r="O156" s="9"/>
      <c r="P156" s="9"/>
      <c r="Q156" s="22"/>
      <c r="R156" s="22"/>
      <c r="S156" s="23" t="str">
        <f>IF(AND(ISNUMBER(Q156),Q156&gt;0,ISNUMBER(R156),R156&gt;0),R156/Q156,"")</f>
        <v/>
      </c>
      <c r="T156" s="9"/>
      <c r="U156" s="9"/>
      <c r="V156" s="9"/>
      <c r="W156" s="9"/>
      <c r="X156" s="23" t="str">
        <f>IF(ISNUMBER(S156),S156,IF(ISNUMBER(I156),I156,""))</f>
        <v/>
      </c>
      <c r="Y156" t="str">
        <f>IF(ISNUMBER(S156),"2025 EIA-923 plant/group proxy",IF(ISNUMBER(I156),"Technology estimate","No thermal heat rate"))</f>
        <v>No thermal heat rate</v>
      </c>
      <c r="Z156" t="str">
        <f>IF(ISNUMBER(S156),"Review: NOT unit verified",IF(AE156="No match","No EIA match",IF(AF156="Unconfirmed","Unconfirmed EIA candidate","")))</f>
        <v/>
      </c>
      <c r="AE156" t="s">
        <v>65</v>
      </c>
      <c r="AF156" t="s">
        <v>66</v>
      </c>
      <c r="AG156" s="24">
        <f>IF(ISBLANK(S156),S156,I156)</f>
        <v>0</v>
      </c>
      <c r="AH156" s="34">
        <f t="shared" si="10"/>
        <v>4952.7999999999965</v>
      </c>
      <c r="AI156">
        <f t="shared" si="9"/>
        <v>3092.9368788256584</v>
      </c>
      <c r="AJ156" t="b" cm="1">
        <f t="array" ref="AJ156">OR(D156=$AT$2:$AT$8)</f>
        <v>1</v>
      </c>
    </row>
    <row r="157" spans="1:36" x14ac:dyDescent="0.25">
      <c r="A157" s="2" t="s">
        <v>634</v>
      </c>
      <c r="B157" s="3">
        <v>0.9</v>
      </c>
      <c r="C157" s="2" t="s">
        <v>91</v>
      </c>
      <c r="D157" s="2" t="s">
        <v>91</v>
      </c>
      <c r="E157" s="2" t="s">
        <v>59</v>
      </c>
      <c r="F157" s="4" t="s">
        <v>60</v>
      </c>
      <c r="G157" s="4" t="s">
        <v>61</v>
      </c>
      <c r="H157" s="5"/>
      <c r="I157" s="5"/>
      <c r="J157" s="5"/>
      <c r="K157" s="4" t="s">
        <v>62</v>
      </c>
      <c r="L157" s="4" t="s">
        <v>63</v>
      </c>
      <c r="M157" s="6" t="str">
        <f>IF(OR(B157="",I157=""),"",B157*I157)</f>
        <v/>
      </c>
      <c r="N157" s="8" t="s">
        <v>64</v>
      </c>
      <c r="O157" s="9"/>
      <c r="P157" s="9"/>
      <c r="Q157" s="22"/>
      <c r="R157" s="22"/>
      <c r="S157" s="23" t="str">
        <f>IF(AND(ISNUMBER(Q157),Q157&gt;0,ISNUMBER(R157),R157&gt;0),R157/Q157,"")</f>
        <v/>
      </c>
      <c r="T157" s="9"/>
      <c r="U157" s="9"/>
      <c r="V157" s="9"/>
      <c r="W157" s="9"/>
      <c r="X157" s="23" t="str">
        <f>IF(ISNUMBER(S157),S157,IF(ISNUMBER(I157),I157,""))</f>
        <v/>
      </c>
      <c r="Y157" t="str">
        <f>IF(ISNUMBER(S157),"2025 EIA-923 plant/group proxy",IF(ISNUMBER(I157),"Technology estimate","No thermal heat rate"))</f>
        <v>No thermal heat rate</v>
      </c>
      <c r="Z157" t="str">
        <f>IF(ISNUMBER(S157),"Review: NOT unit verified",IF(AE157="No match","No EIA match",IF(AF157="Unconfirmed","Unconfirmed EIA candidate","")))</f>
        <v/>
      </c>
      <c r="AE157" t="s">
        <v>65</v>
      </c>
      <c r="AF157" t="s">
        <v>66</v>
      </c>
      <c r="AG157" s="24">
        <f>IF(ISBLANK(S157),S157,I157)</f>
        <v>0</v>
      </c>
      <c r="AH157" s="34">
        <f t="shared" si="10"/>
        <v>4953.6999999999962</v>
      </c>
      <c r="AI157">
        <f t="shared" si="9"/>
        <v>3093.4989130670861</v>
      </c>
      <c r="AJ157" t="b" cm="1">
        <f t="array" ref="AJ157">OR(D157=$AT$2:$AT$8)</f>
        <v>1</v>
      </c>
    </row>
    <row r="158" spans="1:36" x14ac:dyDescent="0.25">
      <c r="A158" s="2" t="s">
        <v>639</v>
      </c>
      <c r="B158" s="3">
        <v>2.2999999999999998</v>
      </c>
      <c r="C158" s="2" t="s">
        <v>91</v>
      </c>
      <c r="D158" s="2" t="s">
        <v>91</v>
      </c>
      <c r="E158" s="2" t="s">
        <v>59</v>
      </c>
      <c r="F158" s="4" t="s">
        <v>60</v>
      </c>
      <c r="G158" s="4" t="s">
        <v>61</v>
      </c>
      <c r="H158" s="5"/>
      <c r="I158" s="5"/>
      <c r="J158" s="5"/>
      <c r="K158" s="4" t="s">
        <v>62</v>
      </c>
      <c r="L158" s="4" t="s">
        <v>63</v>
      </c>
      <c r="M158" s="6" t="str">
        <f>IF(OR(B158="",I158=""),"",B158*I158)</f>
        <v/>
      </c>
      <c r="N158" s="8" t="s">
        <v>64</v>
      </c>
      <c r="O158" s="9"/>
      <c r="P158" s="9"/>
      <c r="Q158" s="22"/>
      <c r="R158" s="22"/>
      <c r="S158" s="23" t="str">
        <f>IF(AND(ISNUMBER(Q158),Q158&gt;0,ISNUMBER(R158),R158&gt;0),R158/Q158,"")</f>
        <v/>
      </c>
      <c r="T158" s="9"/>
      <c r="U158" s="9"/>
      <c r="V158" s="9"/>
      <c r="W158" s="9"/>
      <c r="X158" s="23" t="str">
        <f>IF(ISNUMBER(S158),S158,IF(ISNUMBER(I158),I158,""))</f>
        <v/>
      </c>
      <c r="Y158" t="str">
        <f>IF(ISNUMBER(S158),"2025 EIA-923 plant/group proxy",IF(ISNUMBER(I158),"Technology estimate","No thermal heat rate"))</f>
        <v>No thermal heat rate</v>
      </c>
      <c r="Z158" t="str">
        <f>IF(ISNUMBER(S158),"Review: NOT unit verified",IF(AE158="No match","No EIA match",IF(AF158="Unconfirmed","Unconfirmed EIA candidate","")))</f>
        <v/>
      </c>
      <c r="AE158" t="s">
        <v>65</v>
      </c>
      <c r="AF158" t="s">
        <v>66</v>
      </c>
      <c r="AG158" s="24">
        <f>IF(ISBLANK(S158),S158,I158)</f>
        <v>0</v>
      </c>
      <c r="AH158" s="34">
        <f t="shared" si="10"/>
        <v>4955.9999999999964</v>
      </c>
      <c r="AI158">
        <f t="shared" si="9"/>
        <v>3094.935222795179</v>
      </c>
      <c r="AJ158" t="b" cm="1">
        <f t="array" ref="AJ158">OR(D158=$AT$2:$AT$8)</f>
        <v>1</v>
      </c>
    </row>
    <row r="159" spans="1:36" x14ac:dyDescent="0.25">
      <c r="A159" s="2" t="s">
        <v>640</v>
      </c>
      <c r="B159" s="3">
        <v>1.1000000000000001</v>
      </c>
      <c r="C159" s="2" t="s">
        <v>228</v>
      </c>
      <c r="D159" s="2" t="s">
        <v>228</v>
      </c>
      <c r="E159" s="2" t="s">
        <v>59</v>
      </c>
      <c r="F159" s="4" t="s">
        <v>60</v>
      </c>
      <c r="G159" s="4" t="s">
        <v>61</v>
      </c>
      <c r="H159" s="5"/>
      <c r="I159" s="5"/>
      <c r="J159" s="5"/>
      <c r="K159" s="4" t="s">
        <v>62</v>
      </c>
      <c r="L159" s="4" t="s">
        <v>63</v>
      </c>
      <c r="M159" s="6" t="str">
        <f>IF(OR(B159="",I159=""),"",B159*I159)</f>
        <v/>
      </c>
      <c r="N159" s="8" t="s">
        <v>64</v>
      </c>
      <c r="O159" s="9"/>
      <c r="P159" s="9"/>
      <c r="Q159" s="22"/>
      <c r="R159" s="22"/>
      <c r="S159" s="23" t="str">
        <f>IF(AND(ISNUMBER(Q159),Q159&gt;0,ISNUMBER(R159),R159&gt;0),R159/Q159,"")</f>
        <v/>
      </c>
      <c r="T159" s="9"/>
      <c r="U159" s="9"/>
      <c r="V159" s="9"/>
      <c r="W159" s="9"/>
      <c r="X159" s="23" t="str">
        <f>IF(ISNUMBER(S159),S159,IF(ISNUMBER(I159),I159,""))</f>
        <v/>
      </c>
      <c r="Y159" t="str">
        <f>IF(ISNUMBER(S159),"2025 EIA-923 plant/group proxy",IF(ISNUMBER(I159),"Technology estimate","No thermal heat rate"))</f>
        <v>No thermal heat rate</v>
      </c>
      <c r="Z159" t="str">
        <f>IF(ISNUMBER(S159),"Review: NOT unit verified",IF(AE159="No match","No EIA match",IF(AF159="Unconfirmed","Unconfirmed EIA candidate","")))</f>
        <v/>
      </c>
      <c r="AE159" t="s">
        <v>65</v>
      </c>
      <c r="AF159" t="s">
        <v>66</v>
      </c>
      <c r="AG159" s="24">
        <f>IF(ISBLANK(S159),S159,I159)</f>
        <v>0</v>
      </c>
      <c r="AH159" s="34">
        <f t="shared" si="10"/>
        <v>4957.0999999999967</v>
      </c>
      <c r="AI159">
        <f t="shared" si="9"/>
        <v>3095.6221535347022</v>
      </c>
      <c r="AJ159" t="b" cm="1">
        <f t="array" ref="AJ159">OR(D159=$AT$2:$AT$8)</f>
        <v>1</v>
      </c>
    </row>
    <row r="160" spans="1:36" x14ac:dyDescent="0.25">
      <c r="A160" s="2" t="s">
        <v>712</v>
      </c>
      <c r="B160" s="3">
        <v>3.9</v>
      </c>
      <c r="C160" s="2" t="s">
        <v>91</v>
      </c>
      <c r="D160" s="2" t="s">
        <v>91</v>
      </c>
      <c r="E160" s="2" t="s">
        <v>59</v>
      </c>
      <c r="F160" s="4" t="s">
        <v>60</v>
      </c>
      <c r="G160" s="4" t="s">
        <v>61</v>
      </c>
      <c r="H160" s="5"/>
      <c r="I160" s="5"/>
      <c r="J160" s="5"/>
      <c r="K160" s="4" t="s">
        <v>62</v>
      </c>
      <c r="L160" s="4" t="s">
        <v>63</v>
      </c>
      <c r="M160" s="6" t="str">
        <f>IF(OR(B160="",I160=""),"",B160*I160)</f>
        <v/>
      </c>
      <c r="N160" s="8" t="s">
        <v>64</v>
      </c>
      <c r="O160" s="9"/>
      <c r="P160" s="9"/>
      <c r="Q160" s="22"/>
      <c r="R160" s="22"/>
      <c r="S160" s="23" t="str">
        <f>IF(AND(ISNUMBER(Q160),Q160&gt;0,ISNUMBER(R160),R160&gt;0),R160/Q160,"")</f>
        <v/>
      </c>
      <c r="T160" s="9"/>
      <c r="U160" s="9"/>
      <c r="V160" s="9"/>
      <c r="W160" s="9"/>
      <c r="X160" s="23" t="str">
        <f>IF(ISNUMBER(S160),S160,IF(ISNUMBER(I160),I160,""))</f>
        <v/>
      </c>
      <c r="Y160" t="str">
        <f>IF(ISNUMBER(S160),"2025 EIA-923 plant/group proxy",IF(ISNUMBER(I160),"Technology estimate","No thermal heat rate"))</f>
        <v>No thermal heat rate</v>
      </c>
      <c r="Z160" t="str">
        <f>IF(ISNUMBER(S160),"Review: NOT unit verified",IF(AE160="No match","No EIA match",IF(AF160="Unconfirmed","Unconfirmed EIA candidate","")))</f>
        <v/>
      </c>
      <c r="AE160" t="s">
        <v>65</v>
      </c>
      <c r="AF160" t="s">
        <v>66</v>
      </c>
      <c r="AG160" s="24">
        <f>IF(ISBLANK(S160),S160,I160)</f>
        <v>0</v>
      </c>
      <c r="AH160" s="34">
        <f t="shared" si="10"/>
        <v>4960.9999999999964</v>
      </c>
      <c r="AI160">
        <f t="shared" si="9"/>
        <v>3098.057635247555</v>
      </c>
      <c r="AJ160" t="b" cm="1">
        <f t="array" ref="AJ160">OR(D160=$AT$2:$AT$8)</f>
        <v>1</v>
      </c>
    </row>
    <row r="161" spans="1:36" x14ac:dyDescent="0.25">
      <c r="A161" s="2" t="s">
        <v>713</v>
      </c>
      <c r="B161" s="3">
        <v>3.8</v>
      </c>
      <c r="C161" s="2" t="s">
        <v>57</v>
      </c>
      <c r="D161" s="2" t="s">
        <v>58</v>
      </c>
      <c r="E161" s="2" t="s">
        <v>59</v>
      </c>
      <c r="F161" s="4" t="s">
        <v>60</v>
      </c>
      <c r="G161" s="4" t="s">
        <v>61</v>
      </c>
      <c r="H161" s="5"/>
      <c r="I161" s="5"/>
      <c r="J161" s="5"/>
      <c r="K161" s="4" t="s">
        <v>62</v>
      </c>
      <c r="L161" s="4" t="s">
        <v>63</v>
      </c>
      <c r="M161" s="6" t="str">
        <f>IF(OR(B161="",I161=""),"",B161*I161)</f>
        <v/>
      </c>
      <c r="N161" s="8" t="s">
        <v>64</v>
      </c>
      <c r="O161" s="9"/>
      <c r="P161" s="9"/>
      <c r="Q161" s="22"/>
      <c r="R161" s="22"/>
      <c r="S161" s="23" t="str">
        <f>IF(AND(ISNUMBER(Q161),Q161&gt;0,ISNUMBER(R161),R161&gt;0),R161/Q161,"")</f>
        <v/>
      </c>
      <c r="T161" s="9"/>
      <c r="U161" s="9"/>
      <c r="V161" s="9"/>
      <c r="W161" s="9"/>
      <c r="X161" s="23" t="str">
        <f>IF(ISNUMBER(S161),S161,IF(ISNUMBER(I161),I161,""))</f>
        <v/>
      </c>
      <c r="Y161" t="str">
        <f>IF(ISNUMBER(S161),"2025 EIA-923 plant/group proxy",IF(ISNUMBER(I161),"Technology estimate","No thermal heat rate"))</f>
        <v>No thermal heat rate</v>
      </c>
      <c r="Z161" t="str">
        <f>IF(ISNUMBER(S161),"Review: NOT unit verified",IF(AE161="No match","No EIA match",IF(AF161="Unconfirmed","Unconfirmed EIA candidate","")))</f>
        <v/>
      </c>
      <c r="AE161" t="s">
        <v>65</v>
      </c>
      <c r="AF161" t="s">
        <v>66</v>
      </c>
      <c r="AG161" s="24">
        <f>IF(ISBLANK(S161),S161,I161)</f>
        <v>0</v>
      </c>
      <c r="AH161" s="34">
        <f t="shared" si="10"/>
        <v>4964.7999999999965</v>
      </c>
      <c r="AI161">
        <f t="shared" si="9"/>
        <v>3100.4306687113612</v>
      </c>
      <c r="AJ161" t="b" cm="1">
        <f t="array" ref="AJ161">OR(D161=$AT$2:$AT$8)</f>
        <v>0</v>
      </c>
    </row>
    <row r="162" spans="1:36" x14ac:dyDescent="0.25">
      <c r="A162" s="2" t="s">
        <v>719</v>
      </c>
      <c r="B162" s="3">
        <v>1</v>
      </c>
      <c r="C162" s="2" t="s">
        <v>432</v>
      </c>
      <c r="D162" s="2" t="s">
        <v>58</v>
      </c>
      <c r="E162" s="2" t="s">
        <v>59</v>
      </c>
      <c r="F162" s="4" t="s">
        <v>60</v>
      </c>
      <c r="G162" s="4" t="s">
        <v>61</v>
      </c>
      <c r="H162" s="5"/>
      <c r="I162" s="5"/>
      <c r="J162" s="5"/>
      <c r="K162" s="4" t="s">
        <v>62</v>
      </c>
      <c r="L162" s="4" t="s">
        <v>63</v>
      </c>
      <c r="M162" s="6" t="str">
        <f>IF(OR(B162="",I162=""),"",B162*I162)</f>
        <v/>
      </c>
      <c r="N162" s="8" t="s">
        <v>64</v>
      </c>
      <c r="O162" s="9"/>
      <c r="P162" s="9"/>
      <c r="Q162" s="22"/>
      <c r="R162" s="22"/>
      <c r="S162" s="23" t="str">
        <f>IF(AND(ISNUMBER(Q162),Q162&gt;0,ISNUMBER(R162),R162&gt;0),R162/Q162,"")</f>
        <v/>
      </c>
      <c r="T162" s="9"/>
      <c r="U162" s="9"/>
      <c r="V162" s="9"/>
      <c r="W162" s="9"/>
      <c r="X162" s="23" t="str">
        <f>IF(ISNUMBER(S162),S162,IF(ISNUMBER(I162),I162,""))</f>
        <v/>
      </c>
      <c r="Y162" t="str">
        <f>IF(ISNUMBER(S162),"2025 EIA-923 plant/group proxy",IF(ISNUMBER(I162),"Technology estimate","No thermal heat rate"))</f>
        <v>No thermal heat rate</v>
      </c>
      <c r="Z162" t="str">
        <f>IF(ISNUMBER(S162),"Review: NOT unit verified",IF(AE162="No match","No EIA match",IF(AF162="Unconfirmed","Unconfirmed EIA candidate","")))</f>
        <v/>
      </c>
      <c r="AE162" t="s">
        <v>65</v>
      </c>
      <c r="AF162" t="s">
        <v>66</v>
      </c>
      <c r="AG162" s="24">
        <f>IF(ISBLANK(S162),S162,I162)</f>
        <v>0</v>
      </c>
      <c r="AH162" s="34">
        <f t="shared" si="10"/>
        <v>4965.7999999999965</v>
      </c>
      <c r="AI162">
        <f t="shared" si="9"/>
        <v>3101.0551512018365</v>
      </c>
      <c r="AJ162" t="b" cm="1">
        <f t="array" ref="AJ162">OR(D162=$AT$2:$AT$8)</f>
        <v>0</v>
      </c>
    </row>
    <row r="163" spans="1:36" x14ac:dyDescent="0.25">
      <c r="A163" s="2" t="s">
        <v>724</v>
      </c>
      <c r="B163" s="3">
        <v>0.8</v>
      </c>
      <c r="C163" s="2" t="s">
        <v>91</v>
      </c>
      <c r="D163" s="2" t="s">
        <v>91</v>
      </c>
      <c r="E163" s="2" t="s">
        <v>59</v>
      </c>
      <c r="F163" s="4" t="s">
        <v>60</v>
      </c>
      <c r="G163" s="4" t="s">
        <v>61</v>
      </c>
      <c r="H163" s="5"/>
      <c r="I163" s="5"/>
      <c r="J163" s="5"/>
      <c r="K163" s="4" t="s">
        <v>62</v>
      </c>
      <c r="L163" s="4" t="s">
        <v>63</v>
      </c>
      <c r="M163" s="6" t="str">
        <f>IF(OR(B163="",I163=""),"",B163*I163)</f>
        <v/>
      </c>
      <c r="N163" s="8" t="s">
        <v>64</v>
      </c>
      <c r="O163" s="9"/>
      <c r="P163" s="9"/>
      <c r="Q163" s="22"/>
      <c r="R163" s="22"/>
      <c r="S163" s="23" t="str">
        <f>IF(AND(ISNUMBER(Q163),Q163&gt;0,ISNUMBER(R163),R163&gt;0),R163/Q163,"")</f>
        <v/>
      </c>
      <c r="T163" s="9"/>
      <c r="U163" s="9"/>
      <c r="V163" s="9"/>
      <c r="W163" s="9"/>
      <c r="X163" s="23" t="str">
        <f>IF(ISNUMBER(S163),S163,IF(ISNUMBER(I163),I163,""))</f>
        <v/>
      </c>
      <c r="Y163" t="str">
        <f>IF(ISNUMBER(S163),"2025 EIA-923 plant/group proxy",IF(ISNUMBER(I163),"Technology estimate","No thermal heat rate"))</f>
        <v>No thermal heat rate</v>
      </c>
      <c r="Z163" t="str">
        <f>IF(ISNUMBER(S163),"Review: NOT unit verified",IF(AE163="No match","No EIA match",IF(AF163="Unconfirmed","Unconfirmed EIA candidate","")))</f>
        <v/>
      </c>
      <c r="AE163" t="s">
        <v>65</v>
      </c>
      <c r="AF163" t="s">
        <v>66</v>
      </c>
      <c r="AG163" s="24">
        <f>IF(ISBLANK(S163),S163,I163)</f>
        <v>0</v>
      </c>
      <c r="AH163" s="34">
        <f t="shared" si="10"/>
        <v>4966.5999999999967</v>
      </c>
      <c r="AI163">
        <f t="shared" si="9"/>
        <v>3101.5547371942166</v>
      </c>
      <c r="AJ163" t="b" cm="1">
        <f t="array" ref="AJ163">OR(D163=$AT$2:$AT$8)</f>
        <v>1</v>
      </c>
    </row>
    <row r="164" spans="1:36" x14ac:dyDescent="0.25">
      <c r="A164" s="2" t="s">
        <v>734</v>
      </c>
      <c r="B164" s="3">
        <v>3</v>
      </c>
      <c r="C164" s="2" t="s">
        <v>91</v>
      </c>
      <c r="D164" s="2" t="s">
        <v>91</v>
      </c>
      <c r="E164" s="2" t="s">
        <v>59</v>
      </c>
      <c r="F164" s="4" t="s">
        <v>60</v>
      </c>
      <c r="G164" s="4" t="s">
        <v>61</v>
      </c>
      <c r="H164" s="5"/>
      <c r="I164" s="5"/>
      <c r="J164" s="5"/>
      <c r="K164" s="4" t="s">
        <v>62</v>
      </c>
      <c r="L164" s="4" t="s">
        <v>63</v>
      </c>
      <c r="M164" s="6" t="str">
        <f>IF(OR(B164="",I164=""),"",B164*I164)</f>
        <v/>
      </c>
      <c r="N164" s="8" t="s">
        <v>64</v>
      </c>
      <c r="O164" s="9"/>
      <c r="P164" s="9"/>
      <c r="Q164" s="22"/>
      <c r="R164" s="22"/>
      <c r="S164" s="23" t="str">
        <f>IF(AND(ISNUMBER(Q164),Q164&gt;0,ISNUMBER(R164),R164&gt;0),R164/Q164,"")</f>
        <v/>
      </c>
      <c r="T164" s="9"/>
      <c r="U164" s="9"/>
      <c r="V164" s="9"/>
      <c r="W164" s="9"/>
      <c r="X164" s="23" t="str">
        <f>IF(ISNUMBER(S164),S164,IF(ISNUMBER(I164),I164,""))</f>
        <v/>
      </c>
      <c r="Y164" t="str">
        <f>IF(ISNUMBER(S164),"2025 EIA-923 plant/group proxy",IF(ISNUMBER(I164),"Technology estimate","No thermal heat rate"))</f>
        <v>No thermal heat rate</v>
      </c>
      <c r="Z164" t="str">
        <f>IF(ISNUMBER(S164),"Review: NOT unit verified",IF(AE164="No match","No EIA match",IF(AF164="Unconfirmed","Unconfirmed EIA candidate","")))</f>
        <v/>
      </c>
      <c r="AE164" t="s">
        <v>65</v>
      </c>
      <c r="AF164" t="s">
        <v>66</v>
      </c>
      <c r="AG164" s="24">
        <f>IF(ISBLANK(S164),S164,I164)</f>
        <v>0</v>
      </c>
      <c r="AH164" s="34">
        <f t="shared" si="10"/>
        <v>4969.5999999999967</v>
      </c>
      <c r="AI164">
        <f t="shared" si="9"/>
        <v>3103.4281846656422</v>
      </c>
      <c r="AJ164" t="b" cm="1">
        <f t="array" ref="AJ164">OR(D164=$AT$2:$AT$8)</f>
        <v>1</v>
      </c>
    </row>
    <row r="165" spans="1:36" x14ac:dyDescent="0.25">
      <c r="A165" s="2" t="s">
        <v>735</v>
      </c>
      <c r="B165" s="3">
        <v>3.5</v>
      </c>
      <c r="C165" s="2" t="s">
        <v>228</v>
      </c>
      <c r="D165" s="2" t="s">
        <v>228</v>
      </c>
      <c r="E165" s="2" t="s">
        <v>59</v>
      </c>
      <c r="F165" s="4" t="s">
        <v>60</v>
      </c>
      <c r="G165" s="4" t="s">
        <v>61</v>
      </c>
      <c r="H165" s="5"/>
      <c r="I165" s="5"/>
      <c r="J165" s="5"/>
      <c r="K165" s="4" t="s">
        <v>62</v>
      </c>
      <c r="L165" s="4" t="s">
        <v>63</v>
      </c>
      <c r="M165" s="6" t="str">
        <f>IF(OR(B165="",I165=""),"",B165*I165)</f>
        <v/>
      </c>
      <c r="N165" s="8" t="s">
        <v>64</v>
      </c>
      <c r="O165" s="9"/>
      <c r="P165" s="9"/>
      <c r="Q165" s="22"/>
      <c r="R165" s="22"/>
      <c r="S165" s="23" t="str">
        <f>IF(AND(ISNUMBER(Q165),Q165&gt;0,ISNUMBER(R165),R165&gt;0),R165/Q165,"")</f>
        <v/>
      </c>
      <c r="T165" s="9"/>
      <c r="U165" s="9"/>
      <c r="V165" s="9"/>
      <c r="W165" s="9"/>
      <c r="X165" s="23" t="str">
        <f>IF(ISNUMBER(S165),S165,IF(ISNUMBER(I165),I165,""))</f>
        <v/>
      </c>
      <c r="Y165" t="str">
        <f>IF(ISNUMBER(S165),"2025 EIA-923 plant/group proxy",IF(ISNUMBER(I165),"Technology estimate","No thermal heat rate"))</f>
        <v>No thermal heat rate</v>
      </c>
      <c r="Z165" t="str">
        <f>IF(ISNUMBER(S165),"Review: NOT unit verified",IF(AE165="No match","No EIA match",IF(AF165="Unconfirmed","Unconfirmed EIA candidate","")))</f>
        <v/>
      </c>
      <c r="AE165" t="s">
        <v>65</v>
      </c>
      <c r="AF165" t="s">
        <v>66</v>
      </c>
      <c r="AG165" s="24">
        <f>IF(ISBLANK(S165),S165,I165)</f>
        <v>0</v>
      </c>
      <c r="AH165" s="34">
        <f t="shared" si="10"/>
        <v>4973.0999999999967</v>
      </c>
      <c r="AI165">
        <f t="shared" si="9"/>
        <v>3105.6138733823054</v>
      </c>
      <c r="AJ165" t="b" cm="1">
        <f t="array" ref="AJ165">OR(D165=$AT$2:$AT$8)</f>
        <v>1</v>
      </c>
    </row>
    <row r="166" spans="1:36" x14ac:dyDescent="0.25">
      <c r="A166" s="2" t="s">
        <v>736</v>
      </c>
      <c r="B166" s="3">
        <v>2.1</v>
      </c>
      <c r="C166" s="2" t="s">
        <v>228</v>
      </c>
      <c r="D166" s="2" t="s">
        <v>228</v>
      </c>
      <c r="E166" s="2" t="s">
        <v>59</v>
      </c>
      <c r="F166" s="4" t="s">
        <v>60</v>
      </c>
      <c r="G166" s="4" t="s">
        <v>61</v>
      </c>
      <c r="H166" s="5"/>
      <c r="I166" s="5"/>
      <c r="J166" s="5"/>
      <c r="K166" s="4" t="s">
        <v>62</v>
      </c>
      <c r="L166" s="4" t="s">
        <v>63</v>
      </c>
      <c r="M166" s="6" t="str">
        <f>IF(OR(B166="",I166=""),"",B166*I166)</f>
        <v/>
      </c>
      <c r="N166" s="8" t="s">
        <v>64</v>
      </c>
      <c r="O166" s="9"/>
      <c r="P166" s="9"/>
      <c r="Q166" s="22"/>
      <c r="R166" s="22"/>
      <c r="S166" s="23" t="str">
        <f>IF(AND(ISNUMBER(Q166),Q166&gt;0,ISNUMBER(R166),R166&gt;0),R166/Q166,"")</f>
        <v/>
      </c>
      <c r="T166" s="9"/>
      <c r="U166" s="9"/>
      <c r="V166" s="9"/>
      <c r="W166" s="9"/>
      <c r="X166" s="23" t="str">
        <f>IF(ISNUMBER(S166),S166,IF(ISNUMBER(I166),I166,""))</f>
        <v/>
      </c>
      <c r="Y166" t="str">
        <f>IF(ISNUMBER(S166),"2025 EIA-923 plant/group proxy",IF(ISNUMBER(I166),"Technology estimate","No thermal heat rate"))</f>
        <v>No thermal heat rate</v>
      </c>
      <c r="Z166" t="str">
        <f>IF(ISNUMBER(S166),"Review: NOT unit verified",IF(AE166="No match","No EIA match",IF(AF166="Unconfirmed","Unconfirmed EIA candidate","")))</f>
        <v/>
      </c>
      <c r="AE166" t="s">
        <v>65</v>
      </c>
      <c r="AF166" t="s">
        <v>66</v>
      </c>
      <c r="AG166" s="24">
        <f>IF(ISBLANK(S166),S166,I166)</f>
        <v>0</v>
      </c>
      <c r="AH166" s="34">
        <f t="shared" si="10"/>
        <v>4975.1999999999971</v>
      </c>
      <c r="AI166">
        <f t="shared" si="9"/>
        <v>3106.9252866123038</v>
      </c>
      <c r="AJ166" t="b" cm="1">
        <f t="array" ref="AJ166">OR(D166=$AT$2:$AT$8)</f>
        <v>1</v>
      </c>
    </row>
    <row r="167" spans="1:36" x14ac:dyDescent="0.25">
      <c r="A167" s="2" t="s">
        <v>775</v>
      </c>
      <c r="B167" s="3">
        <v>3.6</v>
      </c>
      <c r="C167" s="2" t="s">
        <v>91</v>
      </c>
      <c r="D167" s="2" t="s">
        <v>91</v>
      </c>
      <c r="E167" s="2" t="s">
        <v>59</v>
      </c>
      <c r="F167" s="4" t="s">
        <v>60</v>
      </c>
      <c r="G167" s="4" t="s">
        <v>61</v>
      </c>
      <c r="H167" s="5"/>
      <c r="I167" s="5"/>
      <c r="J167" s="5"/>
      <c r="K167" s="4" t="s">
        <v>62</v>
      </c>
      <c r="L167" s="4" t="s">
        <v>63</v>
      </c>
      <c r="M167" s="6" t="str">
        <f>IF(OR(B167="",I167=""),"",B167*I167)</f>
        <v/>
      </c>
      <c r="N167" s="8" t="s">
        <v>64</v>
      </c>
      <c r="O167" s="9"/>
      <c r="P167" s="9"/>
      <c r="Q167" s="22"/>
      <c r="R167" s="22"/>
      <c r="S167" s="23" t="str">
        <f>IF(AND(ISNUMBER(Q167),Q167&gt;0,ISNUMBER(R167),R167&gt;0),R167/Q167,"")</f>
        <v/>
      </c>
      <c r="T167" s="9"/>
      <c r="U167" s="9"/>
      <c r="V167" s="9"/>
      <c r="W167" s="9"/>
      <c r="X167" s="23" t="str">
        <f>IF(ISNUMBER(S167),S167,IF(ISNUMBER(I167),I167,""))</f>
        <v/>
      </c>
      <c r="Y167" t="str">
        <f>IF(ISNUMBER(S167),"2025 EIA-923 plant/group proxy",IF(ISNUMBER(I167),"Technology estimate","No thermal heat rate"))</f>
        <v>No thermal heat rate</v>
      </c>
      <c r="Z167" t="str">
        <f>IF(ISNUMBER(S167),"Review: NOT unit verified",IF(AE167="No match","No EIA match",IF(AF167="Unconfirmed","Unconfirmed EIA candidate","")))</f>
        <v/>
      </c>
      <c r="AE167" t="s">
        <v>65</v>
      </c>
      <c r="AF167" t="s">
        <v>66</v>
      </c>
      <c r="AG167" s="24">
        <f>IF(ISBLANK(S167),S167,I167)</f>
        <v>0</v>
      </c>
      <c r="AH167" s="34">
        <f t="shared" si="10"/>
        <v>4978.7999999999975</v>
      </c>
      <c r="AI167">
        <f t="shared" si="9"/>
        <v>3109.173423578015</v>
      </c>
      <c r="AJ167" t="b" cm="1">
        <f t="array" ref="AJ167">OR(D167=$AT$2:$AT$8)</f>
        <v>1</v>
      </c>
    </row>
    <row r="168" spans="1:36" x14ac:dyDescent="0.25">
      <c r="A168" s="2" t="s">
        <v>782</v>
      </c>
      <c r="B168" s="3">
        <v>1.1000000000000001</v>
      </c>
      <c r="C168" s="2" t="s">
        <v>91</v>
      </c>
      <c r="D168" s="2" t="s">
        <v>91</v>
      </c>
      <c r="E168" s="2" t="s">
        <v>59</v>
      </c>
      <c r="F168" s="4" t="s">
        <v>60</v>
      </c>
      <c r="G168" s="4" t="s">
        <v>61</v>
      </c>
      <c r="H168" s="5"/>
      <c r="I168" s="5"/>
      <c r="J168" s="5"/>
      <c r="K168" s="4" t="s">
        <v>62</v>
      </c>
      <c r="L168" s="4" t="s">
        <v>63</v>
      </c>
      <c r="M168" s="6" t="str">
        <f>IF(OR(B168="",I168=""),"",B168*I168)</f>
        <v/>
      </c>
      <c r="N168" s="8" t="s">
        <v>64</v>
      </c>
      <c r="O168" s="9"/>
      <c r="P168" s="9"/>
      <c r="Q168" s="22"/>
      <c r="R168" s="22"/>
      <c r="S168" s="23" t="str">
        <f>IF(AND(ISNUMBER(Q168),Q168&gt;0,ISNUMBER(R168),R168&gt;0),R168/Q168,"")</f>
        <v/>
      </c>
      <c r="T168" s="9"/>
      <c r="U168" s="9"/>
      <c r="V168" s="9"/>
      <c r="W168" s="9"/>
      <c r="X168" s="23" t="str">
        <f>IF(ISNUMBER(S168),S168,IF(ISNUMBER(I168),I168,""))</f>
        <v/>
      </c>
      <c r="Y168" t="str">
        <f>IF(ISNUMBER(S168),"2025 EIA-923 plant/group proxy",IF(ISNUMBER(I168),"Technology estimate","No thermal heat rate"))</f>
        <v>No thermal heat rate</v>
      </c>
      <c r="Z168" t="str">
        <f>IF(ISNUMBER(S168),"Review: NOT unit verified",IF(AE168="No match","No EIA match",IF(AF168="Unconfirmed","Unconfirmed EIA candidate","")))</f>
        <v/>
      </c>
      <c r="AE168" t="s">
        <v>65</v>
      </c>
      <c r="AF168" t="s">
        <v>66</v>
      </c>
      <c r="AG168" s="24">
        <f>IF(ISBLANK(S168),S168,I168)</f>
        <v>0</v>
      </c>
      <c r="AH168" s="34">
        <f t="shared" si="10"/>
        <v>4979.8999999999978</v>
      </c>
      <c r="AI168">
        <f t="shared" si="9"/>
        <v>3109.8603543175377</v>
      </c>
      <c r="AJ168" t="b" cm="1">
        <f t="array" ref="AJ168">OR(D168=$AT$2:$AT$8)</f>
        <v>1</v>
      </c>
    </row>
    <row r="169" spans="1:36" x14ac:dyDescent="0.25">
      <c r="A169" s="2" t="s">
        <v>783</v>
      </c>
      <c r="B169" s="3">
        <v>1.1000000000000001</v>
      </c>
      <c r="C169" s="2" t="s">
        <v>91</v>
      </c>
      <c r="D169" s="2" t="s">
        <v>91</v>
      </c>
      <c r="E169" s="2" t="s">
        <v>59</v>
      </c>
      <c r="F169" s="4" t="s">
        <v>60</v>
      </c>
      <c r="G169" s="4" t="s">
        <v>61</v>
      </c>
      <c r="H169" s="5"/>
      <c r="I169" s="5"/>
      <c r="J169" s="5"/>
      <c r="K169" s="4" t="s">
        <v>62</v>
      </c>
      <c r="L169" s="4" t="s">
        <v>63</v>
      </c>
      <c r="M169" s="6" t="str">
        <f>IF(OR(B169="",I169=""),"",B169*I169)</f>
        <v/>
      </c>
      <c r="N169" s="8" t="s">
        <v>64</v>
      </c>
      <c r="O169" s="9"/>
      <c r="P169" s="9"/>
      <c r="Q169" s="22"/>
      <c r="R169" s="22"/>
      <c r="S169" s="23" t="str">
        <f>IF(AND(ISNUMBER(Q169),Q169&gt;0,ISNUMBER(R169),R169&gt;0),R169/Q169,"")</f>
        <v/>
      </c>
      <c r="T169" s="9"/>
      <c r="U169" s="9"/>
      <c r="V169" s="9"/>
      <c r="W169" s="9"/>
      <c r="X169" s="23" t="str">
        <f>IF(ISNUMBER(S169),S169,IF(ISNUMBER(I169),I169,""))</f>
        <v/>
      </c>
      <c r="Y169" t="str">
        <f>IF(ISNUMBER(S169),"2025 EIA-923 plant/group proxy",IF(ISNUMBER(I169),"Technology estimate","No thermal heat rate"))</f>
        <v>No thermal heat rate</v>
      </c>
      <c r="Z169" t="str">
        <f>IF(ISNUMBER(S169),"Review: NOT unit verified",IF(AE169="No match","No EIA match",IF(AF169="Unconfirmed","Unconfirmed EIA candidate","")))</f>
        <v/>
      </c>
      <c r="AE169" t="s">
        <v>65</v>
      </c>
      <c r="AF169" t="s">
        <v>66</v>
      </c>
      <c r="AG169" s="24">
        <f>IF(ISBLANK(S169),S169,I169)</f>
        <v>0</v>
      </c>
      <c r="AH169" s="34">
        <f t="shared" si="10"/>
        <v>4980.9999999999982</v>
      </c>
      <c r="AI169">
        <f t="shared" si="9"/>
        <v>3110.5472850570609</v>
      </c>
      <c r="AJ169" t="b" cm="1">
        <f t="array" ref="AJ169">OR(D169=$AT$2:$AT$8)</f>
        <v>1</v>
      </c>
    </row>
    <row r="170" spans="1:36" x14ac:dyDescent="0.25">
      <c r="A170" s="2" t="s">
        <v>784</v>
      </c>
      <c r="B170" s="3">
        <v>3</v>
      </c>
      <c r="C170" s="2" t="s">
        <v>91</v>
      </c>
      <c r="D170" s="2" t="s">
        <v>91</v>
      </c>
      <c r="E170" s="2" t="s">
        <v>59</v>
      </c>
      <c r="F170" s="4" t="s">
        <v>60</v>
      </c>
      <c r="G170" s="4" t="s">
        <v>61</v>
      </c>
      <c r="H170" s="5"/>
      <c r="I170" s="5"/>
      <c r="J170" s="5"/>
      <c r="K170" s="4" t="s">
        <v>62</v>
      </c>
      <c r="L170" s="4" t="s">
        <v>63</v>
      </c>
      <c r="M170" s="6" t="str">
        <f>IF(OR(B170="",I170=""),"",B170*I170)</f>
        <v/>
      </c>
      <c r="N170" s="8" t="s">
        <v>64</v>
      </c>
      <c r="O170" s="9"/>
      <c r="P170" s="9"/>
      <c r="Q170" s="22"/>
      <c r="R170" s="22"/>
      <c r="S170" s="23" t="str">
        <f>IF(AND(ISNUMBER(Q170),Q170&gt;0,ISNUMBER(R170),R170&gt;0),R170/Q170,"")</f>
        <v/>
      </c>
      <c r="T170" s="9"/>
      <c r="U170" s="9"/>
      <c r="V170" s="9"/>
      <c r="W170" s="9"/>
      <c r="X170" s="23" t="str">
        <f>IF(ISNUMBER(S170),S170,IF(ISNUMBER(I170),I170,""))</f>
        <v/>
      </c>
      <c r="Y170" t="str">
        <f>IF(ISNUMBER(S170),"2025 EIA-923 plant/group proxy",IF(ISNUMBER(I170),"Technology estimate","No thermal heat rate"))</f>
        <v>No thermal heat rate</v>
      </c>
      <c r="Z170" t="str">
        <f>IF(ISNUMBER(S170),"Review: NOT unit verified",IF(AE170="No match","No EIA match",IF(AF170="Unconfirmed","Unconfirmed EIA candidate","")))</f>
        <v/>
      </c>
      <c r="AE170" t="s">
        <v>65</v>
      </c>
      <c r="AF170" t="s">
        <v>66</v>
      </c>
      <c r="AG170" s="24">
        <f>IF(ISBLANK(S170),S170,I170)</f>
        <v>0</v>
      </c>
      <c r="AH170" s="34">
        <f t="shared" si="10"/>
        <v>4983.9999999999982</v>
      </c>
      <c r="AI170">
        <f t="shared" si="9"/>
        <v>3112.4207325284865</v>
      </c>
      <c r="AJ170" t="b" cm="1">
        <f t="array" ref="AJ170">OR(D170=$AT$2:$AT$8)</f>
        <v>1</v>
      </c>
    </row>
    <row r="171" spans="1:36" x14ac:dyDescent="0.25">
      <c r="A171" s="2" t="s">
        <v>789</v>
      </c>
      <c r="B171" s="3">
        <v>8.4</v>
      </c>
      <c r="C171" s="2" t="s">
        <v>80</v>
      </c>
      <c r="D171" s="2" t="s">
        <v>81</v>
      </c>
      <c r="E171" s="2" t="s">
        <v>59</v>
      </c>
      <c r="F171" s="4" t="s">
        <v>60</v>
      </c>
      <c r="G171" s="4" t="s">
        <v>61</v>
      </c>
      <c r="H171" s="5"/>
      <c r="I171" s="5"/>
      <c r="J171" s="5"/>
      <c r="K171" s="4" t="s">
        <v>62</v>
      </c>
      <c r="L171" s="4" t="s">
        <v>63</v>
      </c>
      <c r="M171" s="6" t="str">
        <f>IF(OR(B171="",I171=""),"",B171*I171)</f>
        <v/>
      </c>
      <c r="N171" s="8" t="s">
        <v>64</v>
      </c>
      <c r="O171" s="9"/>
      <c r="P171" s="9"/>
      <c r="Q171" s="22"/>
      <c r="R171" s="22"/>
      <c r="S171" s="23" t="str">
        <f>IF(AND(ISNUMBER(Q171),Q171&gt;0,ISNUMBER(R171),R171&gt;0),R171/Q171,"")</f>
        <v/>
      </c>
      <c r="T171" s="9"/>
      <c r="U171" s="9"/>
      <c r="V171" s="9"/>
      <c r="W171" s="9"/>
      <c r="X171" s="23" t="str">
        <f>IF(ISNUMBER(S171),S171,IF(ISNUMBER(I171),I171,""))</f>
        <v/>
      </c>
      <c r="Y171" t="str">
        <f>IF(ISNUMBER(S171),"2025 EIA-923 plant/group proxy",IF(ISNUMBER(I171),"Technology estimate","No thermal heat rate"))</f>
        <v>No thermal heat rate</v>
      </c>
      <c r="Z171" t="str">
        <f>IF(ISNUMBER(S171),"Review: NOT unit verified",IF(AE171="No match","No EIA match",IF(AF171="Unconfirmed","Unconfirmed EIA candidate","")))</f>
        <v/>
      </c>
      <c r="AE171" t="s">
        <v>65</v>
      </c>
      <c r="AF171" t="s">
        <v>66</v>
      </c>
      <c r="AG171" s="24">
        <f>IF(ISBLANK(S171),S171,I171)</f>
        <v>0</v>
      </c>
      <c r="AH171" s="34">
        <f t="shared" si="10"/>
        <v>4992.3999999999978</v>
      </c>
      <c r="AI171">
        <f t="shared" si="9"/>
        <v>3117.6663854484782</v>
      </c>
      <c r="AJ171" t="b" cm="1">
        <f t="array" ref="AJ171">OR(D171=$AT$2:$AT$8)</f>
        <v>0</v>
      </c>
    </row>
    <row r="172" spans="1:36" x14ac:dyDescent="0.25">
      <c r="A172" s="2" t="s">
        <v>796</v>
      </c>
      <c r="B172" s="3">
        <v>84</v>
      </c>
      <c r="C172" s="2" t="s">
        <v>78</v>
      </c>
      <c r="D172" s="2" t="s">
        <v>78</v>
      </c>
      <c r="E172" s="2" t="s">
        <v>59</v>
      </c>
      <c r="F172" s="4" t="s">
        <v>60</v>
      </c>
      <c r="G172" s="4" t="s">
        <v>61</v>
      </c>
      <c r="H172" s="5"/>
      <c r="I172" s="5"/>
      <c r="J172" s="5"/>
      <c r="K172" s="4" t="s">
        <v>62</v>
      </c>
      <c r="L172" s="4" t="s">
        <v>63</v>
      </c>
      <c r="M172" s="6" t="str">
        <f>IF(OR(B172="",I172=""),"",B172*I172)</f>
        <v/>
      </c>
      <c r="N172" s="8" t="s">
        <v>64</v>
      </c>
      <c r="O172" s="9"/>
      <c r="P172" s="9"/>
      <c r="Q172" s="22"/>
      <c r="R172" s="22"/>
      <c r="S172" s="23" t="str">
        <f>IF(AND(ISNUMBER(Q172),Q172&gt;0,ISNUMBER(R172),R172&gt;0),R172/Q172,"")</f>
        <v/>
      </c>
      <c r="T172" s="9"/>
      <c r="U172" s="9"/>
      <c r="V172" s="9"/>
      <c r="W172" s="9"/>
      <c r="X172" s="23" t="str">
        <f>IF(ISNUMBER(S172),S172,IF(ISNUMBER(I172),I172,""))</f>
        <v/>
      </c>
      <c r="Y172" t="str">
        <f>IF(ISNUMBER(S172),"2025 EIA-923 plant/group proxy",IF(ISNUMBER(I172),"Technology estimate","No thermal heat rate"))</f>
        <v>No thermal heat rate</v>
      </c>
      <c r="Z172" t="str">
        <f>IF(ISNUMBER(S172),"Review: NOT unit verified",IF(AE172="No match","No EIA match",IF(AF172="Unconfirmed","Unconfirmed EIA candidate","")))</f>
        <v/>
      </c>
      <c r="AE172" t="s">
        <v>65</v>
      </c>
      <c r="AF172" t="s">
        <v>66</v>
      </c>
      <c r="AG172" s="24">
        <f>IF(ISBLANK(S172),S172,I172)</f>
        <v>0</v>
      </c>
      <c r="AH172" s="34">
        <f t="shared" si="10"/>
        <v>5076.3999999999978</v>
      </c>
      <c r="AI172">
        <f t="shared" si="9"/>
        <v>3170.1229146483961</v>
      </c>
      <c r="AJ172" t="b" cm="1">
        <f t="array" ref="AJ172">OR(D172=$AT$2:$AT$8)</f>
        <v>1</v>
      </c>
    </row>
    <row r="173" spans="1:36" x14ac:dyDescent="0.25">
      <c r="A173" s="2" t="s">
        <v>797</v>
      </c>
      <c r="B173" s="3">
        <v>7.6</v>
      </c>
      <c r="C173" s="2" t="s">
        <v>209</v>
      </c>
      <c r="D173" s="2" t="s">
        <v>81</v>
      </c>
      <c r="E173" s="2" t="s">
        <v>59</v>
      </c>
      <c r="F173" s="4" t="s">
        <v>60</v>
      </c>
      <c r="G173" s="4" t="s">
        <v>61</v>
      </c>
      <c r="H173" s="5"/>
      <c r="I173" s="5"/>
      <c r="J173" s="5"/>
      <c r="K173" s="4" t="s">
        <v>62</v>
      </c>
      <c r="L173" s="4" t="s">
        <v>63</v>
      </c>
      <c r="M173" s="6" t="str">
        <f>IF(OR(B173="",I173=""),"",B173*I173)</f>
        <v/>
      </c>
      <c r="N173" s="8" t="s">
        <v>64</v>
      </c>
      <c r="O173" s="9"/>
      <c r="P173" s="9"/>
      <c r="Q173" s="22"/>
      <c r="R173" s="22"/>
      <c r="S173" s="23" t="str">
        <f>IF(AND(ISNUMBER(Q173),Q173&gt;0,ISNUMBER(R173),R173&gt;0),R173/Q173,"")</f>
        <v/>
      </c>
      <c r="T173" s="9"/>
      <c r="U173" s="9"/>
      <c r="V173" s="9"/>
      <c r="W173" s="9"/>
      <c r="X173" s="23" t="str">
        <f>IF(ISNUMBER(S173),S173,IF(ISNUMBER(I173),I173,""))</f>
        <v/>
      </c>
      <c r="Y173" t="str">
        <f>IF(ISNUMBER(S173),"2025 EIA-923 plant/group proxy",IF(ISNUMBER(I173),"Technology estimate","No thermal heat rate"))</f>
        <v>No thermal heat rate</v>
      </c>
      <c r="Z173" t="str">
        <f>IF(ISNUMBER(S173),"Review: NOT unit verified",IF(AE173="No match","No EIA match",IF(AF173="Unconfirmed","Unconfirmed EIA candidate","")))</f>
        <v/>
      </c>
      <c r="AE173" t="s">
        <v>65</v>
      </c>
      <c r="AF173" t="s">
        <v>66</v>
      </c>
      <c r="AG173" s="24">
        <f>IF(ISBLANK(S173),S173,I173)</f>
        <v>0</v>
      </c>
      <c r="AH173" s="34">
        <f t="shared" si="10"/>
        <v>5083.9999999999982</v>
      </c>
      <c r="AI173">
        <f t="shared" si="9"/>
        <v>3174.8689815760081</v>
      </c>
      <c r="AJ173" t="b" cm="1">
        <f t="array" ref="AJ173">OR(D173=$AT$2:$AT$8)</f>
        <v>0</v>
      </c>
    </row>
    <row r="174" spans="1:36" x14ac:dyDescent="0.25">
      <c r="A174" s="2" t="s">
        <v>801</v>
      </c>
      <c r="B174" s="3">
        <v>1.1000000000000001</v>
      </c>
      <c r="C174" s="2" t="s">
        <v>57</v>
      </c>
      <c r="D174" s="2" t="s">
        <v>58</v>
      </c>
      <c r="E174" s="2" t="s">
        <v>59</v>
      </c>
      <c r="F174" s="4" t="s">
        <v>60</v>
      </c>
      <c r="G174" s="4" t="s">
        <v>61</v>
      </c>
      <c r="H174" s="5"/>
      <c r="I174" s="5"/>
      <c r="J174" s="5"/>
      <c r="K174" s="4" t="s">
        <v>62</v>
      </c>
      <c r="L174" s="4" t="s">
        <v>63</v>
      </c>
      <c r="M174" s="6" t="str">
        <f>IF(OR(B174="",I174=""),"",B174*I174)</f>
        <v/>
      </c>
      <c r="N174" s="8" t="s">
        <v>64</v>
      </c>
      <c r="O174" s="9"/>
      <c r="P174" s="9"/>
      <c r="Q174" s="22"/>
      <c r="R174" s="22"/>
      <c r="S174" s="23" t="str">
        <f>IF(AND(ISNUMBER(Q174),Q174&gt;0,ISNUMBER(R174),R174&gt;0),R174/Q174,"")</f>
        <v/>
      </c>
      <c r="T174" s="9"/>
      <c r="U174" s="9"/>
      <c r="V174" s="9"/>
      <c r="W174" s="9"/>
      <c r="X174" s="23" t="str">
        <f>IF(ISNUMBER(S174),S174,IF(ISNUMBER(I174),I174,""))</f>
        <v/>
      </c>
      <c r="Y174" t="str">
        <f>IF(ISNUMBER(S174),"2025 EIA-923 plant/group proxy",IF(ISNUMBER(I174),"Technology estimate","No thermal heat rate"))</f>
        <v>No thermal heat rate</v>
      </c>
      <c r="Z174" t="str">
        <f>IF(ISNUMBER(S174),"Review: NOT unit verified",IF(AE174="No match","No EIA match",IF(AF174="Unconfirmed","Unconfirmed EIA candidate","")))</f>
        <v/>
      </c>
      <c r="AE174" t="s">
        <v>65</v>
      </c>
      <c r="AF174" t="s">
        <v>66</v>
      </c>
      <c r="AG174" s="24">
        <f>IF(ISBLANK(S174),S174,I174)</f>
        <v>0</v>
      </c>
      <c r="AH174" s="34">
        <f t="shared" si="10"/>
        <v>5085.0999999999985</v>
      </c>
      <c r="AI174">
        <f t="shared" si="9"/>
        <v>3175.5559123155313</v>
      </c>
      <c r="AJ174" t="b" cm="1">
        <f t="array" ref="AJ174">OR(D174=$AT$2:$AT$8)</f>
        <v>0</v>
      </c>
    </row>
    <row r="175" spans="1:36" x14ac:dyDescent="0.25">
      <c r="A175" s="2" t="s">
        <v>819</v>
      </c>
      <c r="B175" s="3">
        <v>0.8</v>
      </c>
      <c r="C175" s="2" t="s">
        <v>91</v>
      </c>
      <c r="D175" s="2" t="s">
        <v>91</v>
      </c>
      <c r="E175" s="2" t="s">
        <v>59</v>
      </c>
      <c r="F175" s="4" t="s">
        <v>60</v>
      </c>
      <c r="G175" s="4" t="s">
        <v>61</v>
      </c>
      <c r="H175" s="5"/>
      <c r="I175" s="5"/>
      <c r="J175" s="5"/>
      <c r="K175" s="4" t="s">
        <v>62</v>
      </c>
      <c r="L175" s="4" t="s">
        <v>63</v>
      </c>
      <c r="M175" s="6" t="str">
        <f>IF(OR(B175="",I175=""),"",B175*I175)</f>
        <v/>
      </c>
      <c r="N175" s="8" t="s">
        <v>64</v>
      </c>
      <c r="O175" s="9"/>
      <c r="P175" s="9"/>
      <c r="Q175" s="22"/>
      <c r="R175" s="22"/>
      <c r="S175" s="23" t="str">
        <f>IF(AND(ISNUMBER(Q175),Q175&gt;0,ISNUMBER(R175),R175&gt;0),R175/Q175,"")</f>
        <v/>
      </c>
      <c r="T175" s="9"/>
      <c r="U175" s="9"/>
      <c r="V175" s="9"/>
      <c r="W175" s="9"/>
      <c r="X175" s="23" t="str">
        <f>IF(ISNUMBER(S175),S175,IF(ISNUMBER(I175),I175,""))</f>
        <v/>
      </c>
      <c r="Y175" t="str">
        <f>IF(ISNUMBER(S175),"2025 EIA-923 plant/group proxy",IF(ISNUMBER(I175),"Technology estimate","No thermal heat rate"))</f>
        <v>No thermal heat rate</v>
      </c>
      <c r="Z175" t="str">
        <f>IF(ISNUMBER(S175),"Review: NOT unit verified",IF(AE175="No match","No EIA match",IF(AF175="Unconfirmed","Unconfirmed EIA candidate","")))</f>
        <v/>
      </c>
      <c r="AE175" t="s">
        <v>65</v>
      </c>
      <c r="AF175" t="s">
        <v>66</v>
      </c>
      <c r="AG175" s="24">
        <f>IF(ISBLANK(S175),S175,I175)</f>
        <v>0</v>
      </c>
      <c r="AH175" s="34">
        <f t="shared" si="10"/>
        <v>5085.8999999999987</v>
      </c>
      <c r="AI175">
        <f t="shared" si="9"/>
        <v>3176.0554983079114</v>
      </c>
      <c r="AJ175" t="b" cm="1">
        <f t="array" ref="AJ175">OR(D175=$AT$2:$AT$8)</f>
        <v>1</v>
      </c>
    </row>
    <row r="176" spans="1:36" x14ac:dyDescent="0.25">
      <c r="A176" s="2" t="s">
        <v>871</v>
      </c>
      <c r="B176" s="3">
        <v>8.4</v>
      </c>
      <c r="C176" s="2" t="s">
        <v>91</v>
      </c>
      <c r="D176" s="2" t="s">
        <v>91</v>
      </c>
      <c r="E176" s="2" t="s">
        <v>59</v>
      </c>
      <c r="F176" s="4" t="s">
        <v>60</v>
      </c>
      <c r="G176" s="4" t="s">
        <v>61</v>
      </c>
      <c r="H176" s="5"/>
      <c r="I176" s="5"/>
      <c r="J176" s="5"/>
      <c r="K176" s="4" t="s">
        <v>62</v>
      </c>
      <c r="L176" s="4" t="s">
        <v>63</v>
      </c>
      <c r="M176" s="6" t="str">
        <f>IF(OR(B176="",I176=""),"",B176*I176)</f>
        <v/>
      </c>
      <c r="N176" s="8" t="s">
        <v>64</v>
      </c>
      <c r="O176" s="9"/>
      <c r="P176" s="9"/>
      <c r="Q176" s="22"/>
      <c r="R176" s="22"/>
      <c r="S176" s="23" t="str">
        <f>IF(AND(ISNUMBER(Q176),Q176&gt;0,ISNUMBER(R176),R176&gt;0),R176/Q176,"")</f>
        <v/>
      </c>
      <c r="T176" s="9"/>
      <c r="U176" s="9"/>
      <c r="V176" s="9"/>
      <c r="W176" s="9"/>
      <c r="X176" s="23" t="str">
        <f>IF(ISNUMBER(S176),S176,IF(ISNUMBER(I176),I176,""))</f>
        <v/>
      </c>
      <c r="Y176" t="str">
        <f>IF(ISNUMBER(S176),"2025 EIA-923 plant/group proxy",IF(ISNUMBER(I176),"Technology estimate","No thermal heat rate"))</f>
        <v>No thermal heat rate</v>
      </c>
      <c r="Z176" t="str">
        <f>IF(ISNUMBER(S176),"Review: NOT unit verified",IF(AE176="No match","No EIA match",IF(AF176="Unconfirmed","Unconfirmed EIA candidate","")))</f>
        <v/>
      </c>
      <c r="AE176" t="s">
        <v>65</v>
      </c>
      <c r="AF176" t="s">
        <v>66</v>
      </c>
      <c r="AG176" s="24">
        <f>IF(ISBLANK(S176),S176,I176)</f>
        <v>0</v>
      </c>
      <c r="AH176" s="34">
        <f t="shared" si="10"/>
        <v>5094.2999999999984</v>
      </c>
      <c r="AI176">
        <f t="shared" si="9"/>
        <v>3181.3011512279031</v>
      </c>
      <c r="AJ176" t="b" cm="1">
        <f t="array" ref="AJ176">OR(D176=$AT$2:$AT$8)</f>
        <v>1</v>
      </c>
    </row>
    <row r="177" spans="1:36" x14ac:dyDescent="0.25">
      <c r="A177" s="2" t="s">
        <v>872</v>
      </c>
      <c r="B177" s="3">
        <v>2.9</v>
      </c>
      <c r="C177" s="2" t="s">
        <v>228</v>
      </c>
      <c r="D177" s="2" t="s">
        <v>228</v>
      </c>
      <c r="E177" s="2" t="s">
        <v>59</v>
      </c>
      <c r="F177" s="4" t="s">
        <v>60</v>
      </c>
      <c r="G177" s="4" t="s">
        <v>61</v>
      </c>
      <c r="H177" s="5"/>
      <c r="I177" s="5"/>
      <c r="J177" s="5"/>
      <c r="K177" s="4" t="s">
        <v>62</v>
      </c>
      <c r="L177" s="4" t="s">
        <v>63</v>
      </c>
      <c r="M177" s="6" t="str">
        <f>IF(OR(B177="",I177=""),"",B177*I177)</f>
        <v/>
      </c>
      <c r="N177" s="8" t="s">
        <v>64</v>
      </c>
      <c r="O177" s="9"/>
      <c r="P177" s="9"/>
      <c r="Q177" s="22"/>
      <c r="R177" s="22"/>
      <c r="S177" s="23" t="str">
        <f>IF(AND(ISNUMBER(Q177),Q177&gt;0,ISNUMBER(R177),R177&gt;0),R177/Q177,"")</f>
        <v/>
      </c>
      <c r="T177" s="9"/>
      <c r="U177" s="9"/>
      <c r="V177" s="9"/>
      <c r="W177" s="9"/>
      <c r="X177" s="23" t="str">
        <f>IF(ISNUMBER(S177),S177,IF(ISNUMBER(I177),I177,""))</f>
        <v/>
      </c>
      <c r="Y177" t="str">
        <f>IF(ISNUMBER(S177),"2025 EIA-923 plant/group proxy",IF(ISNUMBER(I177),"Technology estimate","No thermal heat rate"))</f>
        <v>No thermal heat rate</v>
      </c>
      <c r="Z177" t="str">
        <f>IF(ISNUMBER(S177),"Review: NOT unit verified",IF(AE177="No match","No EIA match",IF(AF177="Unconfirmed","Unconfirmed EIA candidate","")))</f>
        <v/>
      </c>
      <c r="AE177" t="s">
        <v>65</v>
      </c>
      <c r="AF177" t="s">
        <v>66</v>
      </c>
      <c r="AG177" s="24">
        <f>IF(ISBLANK(S177),S177,I177)</f>
        <v>0</v>
      </c>
      <c r="AH177" s="34">
        <f t="shared" si="10"/>
        <v>5097.199999999998</v>
      </c>
      <c r="AI177">
        <f t="shared" si="9"/>
        <v>3183.1121504502808</v>
      </c>
      <c r="AJ177" t="b" cm="1">
        <f t="array" ref="AJ177">OR(D177=$AT$2:$AT$8)</f>
        <v>1</v>
      </c>
    </row>
    <row r="178" spans="1:36" x14ac:dyDescent="0.25">
      <c r="A178" s="2" t="s">
        <v>891</v>
      </c>
      <c r="B178" s="3">
        <v>1.9</v>
      </c>
      <c r="C178" s="2" t="s">
        <v>91</v>
      </c>
      <c r="D178" s="2" t="s">
        <v>91</v>
      </c>
      <c r="E178" s="2" t="s">
        <v>59</v>
      </c>
      <c r="F178" s="4" t="s">
        <v>60</v>
      </c>
      <c r="G178" s="4" t="s">
        <v>61</v>
      </c>
      <c r="H178" s="5"/>
      <c r="I178" s="5"/>
      <c r="J178" s="5"/>
      <c r="K178" s="4" t="s">
        <v>62</v>
      </c>
      <c r="L178" s="4" t="s">
        <v>63</v>
      </c>
      <c r="M178" s="6" t="str">
        <f>IF(OR(B178="",I178=""),"",B178*I178)</f>
        <v/>
      </c>
      <c r="N178" s="8" t="s">
        <v>64</v>
      </c>
      <c r="O178" s="9"/>
      <c r="P178" s="9"/>
      <c r="Q178" s="22"/>
      <c r="R178" s="22"/>
      <c r="S178" s="23" t="str">
        <f>IF(AND(ISNUMBER(Q178),Q178&gt;0,ISNUMBER(R178),R178&gt;0),R178/Q178,"")</f>
        <v/>
      </c>
      <c r="T178" s="9"/>
      <c r="U178" s="9"/>
      <c r="V178" s="9"/>
      <c r="W178" s="9"/>
      <c r="X178" s="23" t="str">
        <f>IF(ISNUMBER(S178),S178,IF(ISNUMBER(I178),I178,""))</f>
        <v/>
      </c>
      <c r="Y178" t="str">
        <f>IF(ISNUMBER(S178),"2025 EIA-923 plant/group proxy",IF(ISNUMBER(I178),"Technology estimate","No thermal heat rate"))</f>
        <v>No thermal heat rate</v>
      </c>
      <c r="Z178" t="str">
        <f>IF(ISNUMBER(S178),"Review: NOT unit verified",IF(AE178="No match","No EIA match",IF(AF178="Unconfirmed","Unconfirmed EIA candidate","")))</f>
        <v/>
      </c>
      <c r="AE178" t="s">
        <v>65</v>
      </c>
      <c r="AF178" t="s">
        <v>66</v>
      </c>
      <c r="AG178" s="24">
        <f>IF(ISBLANK(S178),S178,I178)</f>
        <v>0</v>
      </c>
      <c r="AH178" s="34">
        <f t="shared" si="10"/>
        <v>5099.0999999999976</v>
      </c>
      <c r="AI178">
        <f t="shared" si="9"/>
        <v>3184.2986671821836</v>
      </c>
      <c r="AJ178" t="b" cm="1">
        <f t="array" ref="AJ178">OR(D178=$AT$2:$AT$8)</f>
        <v>1</v>
      </c>
    </row>
    <row r="179" spans="1:36" x14ac:dyDescent="0.25">
      <c r="A179" s="2" t="s">
        <v>895</v>
      </c>
      <c r="B179" s="3">
        <v>1.1000000000000001</v>
      </c>
      <c r="C179" s="2" t="s">
        <v>91</v>
      </c>
      <c r="D179" s="2" t="s">
        <v>91</v>
      </c>
      <c r="E179" s="2" t="s">
        <v>59</v>
      </c>
      <c r="F179" s="4" t="s">
        <v>60</v>
      </c>
      <c r="G179" s="4" t="s">
        <v>61</v>
      </c>
      <c r="H179" s="5"/>
      <c r="I179" s="5"/>
      <c r="J179" s="5"/>
      <c r="K179" s="4" t="s">
        <v>62</v>
      </c>
      <c r="L179" s="4" t="s">
        <v>63</v>
      </c>
      <c r="M179" s="6" t="str">
        <f>IF(OR(B179="",I179=""),"",B179*I179)</f>
        <v/>
      </c>
      <c r="N179" s="8" t="s">
        <v>64</v>
      </c>
      <c r="O179" s="9"/>
      <c r="P179" s="9"/>
      <c r="Q179" s="22"/>
      <c r="R179" s="22"/>
      <c r="S179" s="23" t="str">
        <f>IF(AND(ISNUMBER(Q179),Q179&gt;0,ISNUMBER(R179),R179&gt;0),R179/Q179,"")</f>
        <v/>
      </c>
      <c r="T179" s="9"/>
      <c r="U179" s="9"/>
      <c r="V179" s="9"/>
      <c r="W179" s="9"/>
      <c r="X179" s="23" t="str">
        <f>IF(ISNUMBER(S179),S179,IF(ISNUMBER(I179),I179,""))</f>
        <v/>
      </c>
      <c r="Y179" t="str">
        <f>IF(ISNUMBER(S179),"2025 EIA-923 plant/group proxy",IF(ISNUMBER(I179),"Technology estimate","No thermal heat rate"))</f>
        <v>No thermal heat rate</v>
      </c>
      <c r="Z179" t="str">
        <f>IF(ISNUMBER(S179),"Review: NOT unit verified",IF(AE179="No match","No EIA match",IF(AF179="Unconfirmed","Unconfirmed EIA candidate","")))</f>
        <v/>
      </c>
      <c r="AE179" t="s">
        <v>65</v>
      </c>
      <c r="AF179" t="s">
        <v>66</v>
      </c>
      <c r="AG179" s="24">
        <f>IF(ISBLANK(S179),S179,I179)</f>
        <v>0</v>
      </c>
      <c r="AH179" s="34">
        <f t="shared" si="10"/>
        <v>5100.199999999998</v>
      </c>
      <c r="AI179">
        <f t="shared" si="9"/>
        <v>3184.9855979217068</v>
      </c>
      <c r="AJ179" t="b" cm="1">
        <f t="array" ref="AJ179">OR(D179=$AT$2:$AT$8)</f>
        <v>1</v>
      </c>
    </row>
    <row r="180" spans="1:36" x14ac:dyDescent="0.25">
      <c r="A180" s="2" t="s">
        <v>901</v>
      </c>
      <c r="B180" s="3">
        <v>1.3</v>
      </c>
      <c r="C180" s="2" t="s">
        <v>99</v>
      </c>
      <c r="D180" s="2" t="s">
        <v>81</v>
      </c>
      <c r="E180" s="2" t="s">
        <v>59</v>
      </c>
      <c r="F180" s="4" t="s">
        <v>60</v>
      </c>
      <c r="G180" s="4" t="s">
        <v>61</v>
      </c>
      <c r="H180" s="5"/>
      <c r="I180" s="5"/>
      <c r="J180" s="5"/>
      <c r="K180" s="4" t="s">
        <v>62</v>
      </c>
      <c r="L180" s="4" t="s">
        <v>63</v>
      </c>
      <c r="M180" s="6" t="str">
        <f>IF(OR(B180="",I180=""),"",B180*I180)</f>
        <v/>
      </c>
      <c r="N180" s="8" t="s">
        <v>64</v>
      </c>
      <c r="O180" s="9"/>
      <c r="P180" s="9"/>
      <c r="Q180" s="22"/>
      <c r="R180" s="22"/>
      <c r="S180" s="23" t="str">
        <f>IF(AND(ISNUMBER(Q180),Q180&gt;0,ISNUMBER(R180),R180&gt;0),R180/Q180,"")</f>
        <v/>
      </c>
      <c r="T180" s="9"/>
      <c r="U180" s="9"/>
      <c r="V180" s="9"/>
      <c r="W180" s="9"/>
      <c r="X180" s="23" t="str">
        <f>IF(ISNUMBER(S180),S180,IF(ISNUMBER(I180),I180,""))</f>
        <v/>
      </c>
      <c r="Y180" t="str">
        <f>IF(ISNUMBER(S180),"2025 EIA-923 plant/group proxy",IF(ISNUMBER(I180),"Technology estimate","No thermal heat rate"))</f>
        <v>No thermal heat rate</v>
      </c>
      <c r="Z180" t="str">
        <f>IF(ISNUMBER(S180),"Review: NOT unit verified",IF(AE180="No match","No EIA match",IF(AF180="Unconfirmed","Unconfirmed EIA candidate","")))</f>
        <v/>
      </c>
      <c r="AE180" t="s">
        <v>65</v>
      </c>
      <c r="AF180" t="s">
        <v>66</v>
      </c>
      <c r="AG180" s="24">
        <f>IF(ISBLANK(S180),S180,I180)</f>
        <v>0</v>
      </c>
      <c r="AH180" s="34">
        <f t="shared" si="10"/>
        <v>5101.4999999999982</v>
      </c>
      <c r="AI180">
        <f t="shared" si="9"/>
        <v>3185.7974251593246</v>
      </c>
      <c r="AJ180" t="b" cm="1">
        <f t="array" ref="AJ180">OR(D180=$AT$2:$AT$8)</f>
        <v>0</v>
      </c>
    </row>
    <row r="181" spans="1:36" x14ac:dyDescent="0.25">
      <c r="A181" s="2" t="s">
        <v>926</v>
      </c>
      <c r="B181" s="3">
        <v>3</v>
      </c>
      <c r="C181" s="2" t="s">
        <v>91</v>
      </c>
      <c r="D181" s="2" t="s">
        <v>91</v>
      </c>
      <c r="E181" s="2" t="s">
        <v>59</v>
      </c>
      <c r="F181" s="4" t="s">
        <v>60</v>
      </c>
      <c r="G181" s="4" t="s">
        <v>61</v>
      </c>
      <c r="H181" s="5"/>
      <c r="I181" s="5"/>
      <c r="J181" s="5"/>
      <c r="K181" s="4" t="s">
        <v>62</v>
      </c>
      <c r="L181" s="4" t="s">
        <v>63</v>
      </c>
      <c r="M181" s="6" t="str">
        <f>IF(OR(B181="",I181=""),"",B181*I181)</f>
        <v/>
      </c>
      <c r="N181" s="8" t="s">
        <v>64</v>
      </c>
      <c r="O181" s="9"/>
      <c r="P181" s="9"/>
      <c r="Q181" s="22"/>
      <c r="R181" s="22"/>
      <c r="S181" s="23" t="str">
        <f>IF(AND(ISNUMBER(Q181),Q181&gt;0,ISNUMBER(R181),R181&gt;0),R181/Q181,"")</f>
        <v/>
      </c>
      <c r="T181" s="9"/>
      <c r="U181" s="9"/>
      <c r="V181" s="9"/>
      <c r="W181" s="9"/>
      <c r="X181" s="23" t="str">
        <f>IF(ISNUMBER(S181),S181,IF(ISNUMBER(I181),I181,""))</f>
        <v/>
      </c>
      <c r="Y181" t="str">
        <f>IF(ISNUMBER(S181),"2025 EIA-923 plant/group proxy",IF(ISNUMBER(I181),"Technology estimate","No thermal heat rate"))</f>
        <v>No thermal heat rate</v>
      </c>
      <c r="Z181" t="str">
        <f>IF(ISNUMBER(S181),"Review: NOT unit verified",IF(AE181="No match","No EIA match",IF(AF181="Unconfirmed","Unconfirmed EIA candidate","")))</f>
        <v/>
      </c>
      <c r="AE181" t="s">
        <v>65</v>
      </c>
      <c r="AF181" t="s">
        <v>66</v>
      </c>
      <c r="AG181" s="24">
        <f>IF(ISBLANK(S181),S181,I181)</f>
        <v>0</v>
      </c>
      <c r="AH181" s="34">
        <f t="shared" si="10"/>
        <v>5104.4999999999982</v>
      </c>
      <c r="AI181">
        <f t="shared" si="9"/>
        <v>3187.6708726307502</v>
      </c>
      <c r="AJ181" t="b" cm="1">
        <f t="array" ref="AJ181">OR(D181=$AT$2:$AT$8)</f>
        <v>1</v>
      </c>
    </row>
    <row r="182" spans="1:36" x14ac:dyDescent="0.25">
      <c r="A182" s="2" t="s">
        <v>931</v>
      </c>
      <c r="B182" s="3">
        <v>0.2</v>
      </c>
      <c r="C182" s="2" t="s">
        <v>228</v>
      </c>
      <c r="D182" s="2" t="s">
        <v>228</v>
      </c>
      <c r="E182" s="2" t="s">
        <v>59</v>
      </c>
      <c r="F182" s="4" t="s">
        <v>60</v>
      </c>
      <c r="G182" s="4" t="s">
        <v>61</v>
      </c>
      <c r="H182" s="5"/>
      <c r="I182" s="5"/>
      <c r="J182" s="5"/>
      <c r="K182" s="4" t="s">
        <v>62</v>
      </c>
      <c r="L182" s="4" t="s">
        <v>63</v>
      </c>
      <c r="M182" s="6" t="str">
        <f>IF(OR(B182="",I182=""),"",B182*I182)</f>
        <v/>
      </c>
      <c r="N182" s="8" t="s">
        <v>64</v>
      </c>
      <c r="O182" s="9"/>
      <c r="P182" s="9"/>
      <c r="Q182" s="22"/>
      <c r="R182" s="22"/>
      <c r="S182" s="23" t="str">
        <f>IF(AND(ISNUMBER(Q182),Q182&gt;0,ISNUMBER(R182),R182&gt;0),R182/Q182,"")</f>
        <v/>
      </c>
      <c r="T182" s="9"/>
      <c r="U182" s="9"/>
      <c r="V182" s="9"/>
      <c r="W182" s="9"/>
      <c r="X182" s="23" t="str">
        <f>IF(ISNUMBER(S182),S182,IF(ISNUMBER(I182),I182,""))</f>
        <v/>
      </c>
      <c r="Y182" t="str">
        <f>IF(ISNUMBER(S182),"2025 EIA-923 plant/group proxy",IF(ISNUMBER(I182),"Technology estimate","No thermal heat rate"))</f>
        <v>No thermal heat rate</v>
      </c>
      <c r="Z182" t="str">
        <f>IF(ISNUMBER(S182),"Review: NOT unit verified",IF(AE182="No match","No EIA match",IF(AF182="Unconfirmed","Unconfirmed EIA candidate","")))</f>
        <v/>
      </c>
      <c r="AE182" t="s">
        <v>65</v>
      </c>
      <c r="AF182" t="s">
        <v>66</v>
      </c>
      <c r="AG182" s="24">
        <f>IF(ISBLANK(S182),S182,I182)</f>
        <v>0</v>
      </c>
      <c r="AH182" s="34">
        <f t="shared" si="10"/>
        <v>5104.699999999998</v>
      </c>
      <c r="AI182">
        <f t="shared" si="9"/>
        <v>3187.7957691288452</v>
      </c>
      <c r="AJ182" t="b" cm="1">
        <f t="array" ref="AJ182">OR(D182=$AT$2:$AT$8)</f>
        <v>1</v>
      </c>
    </row>
    <row r="183" spans="1:36" x14ac:dyDescent="0.25">
      <c r="A183" s="2" t="s">
        <v>935</v>
      </c>
      <c r="B183" s="3">
        <v>3.7</v>
      </c>
      <c r="C183" s="2" t="s">
        <v>91</v>
      </c>
      <c r="D183" s="2" t="s">
        <v>91</v>
      </c>
      <c r="E183" s="2" t="s">
        <v>59</v>
      </c>
      <c r="F183" s="4" t="s">
        <v>60</v>
      </c>
      <c r="G183" s="4" t="s">
        <v>61</v>
      </c>
      <c r="H183" s="5"/>
      <c r="I183" s="5"/>
      <c r="J183" s="5"/>
      <c r="K183" s="4" t="s">
        <v>62</v>
      </c>
      <c r="L183" s="4" t="s">
        <v>63</v>
      </c>
      <c r="M183" s="6" t="str">
        <f>IF(OR(B183="",I183=""),"",B183*I183)</f>
        <v/>
      </c>
      <c r="N183" s="8" t="s">
        <v>64</v>
      </c>
      <c r="O183" s="9"/>
      <c r="P183" s="9"/>
      <c r="Q183" s="22"/>
      <c r="R183" s="22"/>
      <c r="S183" s="23" t="str">
        <f>IF(AND(ISNUMBER(Q183),Q183&gt;0,ISNUMBER(R183),R183&gt;0),R183/Q183,"")</f>
        <v/>
      </c>
      <c r="T183" s="9"/>
      <c r="U183" s="9"/>
      <c r="V183" s="9"/>
      <c r="W183" s="9"/>
      <c r="X183" s="23" t="str">
        <f>IF(ISNUMBER(S183),S183,IF(ISNUMBER(I183),I183,""))</f>
        <v/>
      </c>
      <c r="Y183" t="str">
        <f>IF(ISNUMBER(S183),"2025 EIA-923 plant/group proxy",IF(ISNUMBER(I183),"Technology estimate","No thermal heat rate"))</f>
        <v>No thermal heat rate</v>
      </c>
      <c r="Z183" t="str">
        <f>IF(ISNUMBER(S183),"Review: NOT unit verified",IF(AE183="No match","No EIA match",IF(AF183="Unconfirmed","Unconfirmed EIA candidate","")))</f>
        <v/>
      </c>
      <c r="AE183" t="s">
        <v>65</v>
      </c>
      <c r="AF183" t="s">
        <v>66</v>
      </c>
      <c r="AG183" s="24">
        <f>IF(ISBLANK(S183),S183,I183)</f>
        <v>0</v>
      </c>
      <c r="AH183" s="34">
        <f t="shared" si="10"/>
        <v>5108.3999999999978</v>
      </c>
      <c r="AI183">
        <f t="shared" si="9"/>
        <v>3190.1063543436035</v>
      </c>
      <c r="AJ183" t="b" cm="1">
        <f t="array" ref="AJ183">OR(D183=$AT$2:$AT$8)</f>
        <v>1</v>
      </c>
    </row>
    <row r="184" spans="1:36" x14ac:dyDescent="0.25">
      <c r="A184" s="2" t="s">
        <v>936</v>
      </c>
      <c r="B184" s="3">
        <v>1.3</v>
      </c>
      <c r="C184" s="2" t="s">
        <v>91</v>
      </c>
      <c r="D184" s="2" t="s">
        <v>91</v>
      </c>
      <c r="E184" s="2" t="s">
        <v>59</v>
      </c>
      <c r="F184" s="4" t="s">
        <v>60</v>
      </c>
      <c r="G184" s="4" t="s">
        <v>61</v>
      </c>
      <c r="H184" s="5"/>
      <c r="I184" s="5"/>
      <c r="J184" s="5"/>
      <c r="K184" s="4" t="s">
        <v>62</v>
      </c>
      <c r="L184" s="4" t="s">
        <v>63</v>
      </c>
      <c r="M184" s="6" t="str">
        <f>IF(OR(B184="",I184=""),"",B184*I184)</f>
        <v/>
      </c>
      <c r="N184" s="8" t="s">
        <v>64</v>
      </c>
      <c r="O184" s="9"/>
      <c r="P184" s="9"/>
      <c r="Q184" s="22"/>
      <c r="R184" s="22"/>
      <c r="S184" s="23" t="str">
        <f>IF(AND(ISNUMBER(Q184),Q184&gt;0,ISNUMBER(R184),R184&gt;0),R184/Q184,"")</f>
        <v/>
      </c>
      <c r="T184" s="9"/>
      <c r="U184" s="9"/>
      <c r="V184" s="9"/>
      <c r="W184" s="9"/>
      <c r="X184" s="23" t="str">
        <f>IF(ISNUMBER(S184),S184,IF(ISNUMBER(I184),I184,""))</f>
        <v/>
      </c>
      <c r="Y184" t="str">
        <f>IF(ISNUMBER(S184),"2025 EIA-923 plant/group proxy",IF(ISNUMBER(I184),"Technology estimate","No thermal heat rate"))</f>
        <v>No thermal heat rate</v>
      </c>
      <c r="Z184" t="str">
        <f>IF(ISNUMBER(S184),"Review: NOT unit verified",IF(AE184="No match","No EIA match",IF(AF184="Unconfirmed","Unconfirmed EIA candidate","")))</f>
        <v/>
      </c>
      <c r="AE184" t="s">
        <v>65</v>
      </c>
      <c r="AF184" t="s">
        <v>66</v>
      </c>
      <c r="AG184" s="24">
        <f>IF(ISBLANK(S184),S184,I184)</f>
        <v>0</v>
      </c>
      <c r="AH184" s="34">
        <f t="shared" si="10"/>
        <v>5109.699999999998</v>
      </c>
      <c r="AI184">
        <f t="shared" si="9"/>
        <v>3190.9181815812212</v>
      </c>
      <c r="AJ184" t="b" cm="1">
        <f t="array" ref="AJ184">OR(D184=$AT$2:$AT$8)</f>
        <v>1</v>
      </c>
    </row>
    <row r="185" spans="1:36" x14ac:dyDescent="0.25">
      <c r="A185" s="2" t="s">
        <v>938</v>
      </c>
      <c r="B185" s="3">
        <v>1</v>
      </c>
      <c r="C185" s="2" t="s">
        <v>91</v>
      </c>
      <c r="D185" s="2" t="s">
        <v>91</v>
      </c>
      <c r="E185" s="2" t="s">
        <v>59</v>
      </c>
      <c r="F185" s="4" t="s">
        <v>60</v>
      </c>
      <c r="G185" s="4" t="s">
        <v>61</v>
      </c>
      <c r="H185" s="5"/>
      <c r="I185" s="5"/>
      <c r="J185" s="5"/>
      <c r="K185" s="4" t="s">
        <v>62</v>
      </c>
      <c r="L185" s="4" t="s">
        <v>63</v>
      </c>
      <c r="M185" s="6" t="str">
        <f>IF(OR(B185="",I185=""),"",B185*I185)</f>
        <v/>
      </c>
      <c r="N185" s="8" t="s">
        <v>64</v>
      </c>
      <c r="O185" s="9"/>
      <c r="P185" s="9"/>
      <c r="Q185" s="22"/>
      <c r="R185" s="22"/>
      <c r="S185" s="23" t="str">
        <f>IF(AND(ISNUMBER(Q185),Q185&gt;0,ISNUMBER(R185),R185&gt;0),R185/Q185,"")</f>
        <v/>
      </c>
      <c r="T185" s="9"/>
      <c r="U185" s="9"/>
      <c r="V185" s="9"/>
      <c r="W185" s="9"/>
      <c r="X185" s="23" t="str">
        <f>IF(ISNUMBER(S185),S185,IF(ISNUMBER(I185),I185,""))</f>
        <v/>
      </c>
      <c r="Y185" t="str">
        <f>IF(ISNUMBER(S185),"2025 EIA-923 plant/group proxy",IF(ISNUMBER(I185),"Technology estimate","No thermal heat rate"))</f>
        <v>No thermal heat rate</v>
      </c>
      <c r="Z185" t="str">
        <f>IF(ISNUMBER(S185),"Review: NOT unit verified",IF(AE185="No match","No EIA match",IF(AF185="Unconfirmed","Unconfirmed EIA candidate","")))</f>
        <v/>
      </c>
      <c r="AE185" t="s">
        <v>65</v>
      </c>
      <c r="AF185" t="s">
        <v>66</v>
      </c>
      <c r="AG185" s="24">
        <f>IF(ISBLANK(S185),S185,I185)</f>
        <v>0</v>
      </c>
      <c r="AH185" s="34">
        <f t="shared" si="10"/>
        <v>5110.699999999998</v>
      </c>
      <c r="AI185">
        <f t="shared" si="9"/>
        <v>3191.5426640716964</v>
      </c>
      <c r="AJ185" t="b" cm="1">
        <f t="array" ref="AJ185">OR(D185=$AT$2:$AT$8)</f>
        <v>1</v>
      </c>
    </row>
    <row r="186" spans="1:36" x14ac:dyDescent="0.25">
      <c r="A186" s="2" t="s">
        <v>945</v>
      </c>
      <c r="B186" s="3">
        <v>1.4</v>
      </c>
      <c r="C186" s="2" t="s">
        <v>91</v>
      </c>
      <c r="D186" s="2" t="s">
        <v>91</v>
      </c>
      <c r="E186" s="2" t="s">
        <v>59</v>
      </c>
      <c r="F186" s="4" t="s">
        <v>60</v>
      </c>
      <c r="G186" s="4" t="s">
        <v>61</v>
      </c>
      <c r="H186" s="5"/>
      <c r="I186" s="5"/>
      <c r="J186" s="5"/>
      <c r="K186" s="4" t="s">
        <v>62</v>
      </c>
      <c r="L186" s="4" t="s">
        <v>63</v>
      </c>
      <c r="M186" s="6" t="str">
        <f>IF(OR(B186="",I186=""),"",B186*I186)</f>
        <v/>
      </c>
      <c r="N186" s="8" t="s">
        <v>64</v>
      </c>
      <c r="O186" s="9"/>
      <c r="P186" s="9"/>
      <c r="Q186" s="22"/>
      <c r="R186" s="22"/>
      <c r="S186" s="23" t="str">
        <f>IF(AND(ISNUMBER(Q186),Q186&gt;0,ISNUMBER(R186),R186&gt;0),R186/Q186,"")</f>
        <v/>
      </c>
      <c r="T186" s="9"/>
      <c r="U186" s="9"/>
      <c r="V186" s="9"/>
      <c r="W186" s="9"/>
      <c r="X186" s="23" t="str">
        <f>IF(ISNUMBER(S186),S186,IF(ISNUMBER(I186),I186,""))</f>
        <v/>
      </c>
      <c r="Y186" t="str">
        <f>IF(ISNUMBER(S186),"2025 EIA-923 plant/group proxy",IF(ISNUMBER(I186),"Technology estimate","No thermal heat rate"))</f>
        <v>No thermal heat rate</v>
      </c>
      <c r="Z186" t="str">
        <f>IF(ISNUMBER(S186),"Review: NOT unit verified",IF(AE186="No match","No EIA match",IF(AF186="Unconfirmed","Unconfirmed EIA candidate","")))</f>
        <v/>
      </c>
      <c r="AE186" t="s">
        <v>65</v>
      </c>
      <c r="AF186" t="s">
        <v>66</v>
      </c>
      <c r="AG186" s="24">
        <f>IF(ISBLANK(S186),S186,I186)</f>
        <v>0</v>
      </c>
      <c r="AH186" s="34">
        <f t="shared" si="10"/>
        <v>5112.0999999999976</v>
      </c>
      <c r="AI186">
        <f t="shared" si="9"/>
        <v>3192.4169395583613</v>
      </c>
      <c r="AJ186" t="b" cm="1">
        <f t="array" ref="AJ186">OR(D186=$AT$2:$AT$8)</f>
        <v>1</v>
      </c>
    </row>
    <row r="187" spans="1:36" x14ac:dyDescent="0.25">
      <c r="A187" s="2" t="s">
        <v>946</v>
      </c>
      <c r="B187" s="3">
        <v>3.6</v>
      </c>
      <c r="C187" s="2" t="s">
        <v>91</v>
      </c>
      <c r="D187" s="2" t="s">
        <v>91</v>
      </c>
      <c r="E187" s="2" t="s">
        <v>59</v>
      </c>
      <c r="F187" s="4" t="s">
        <v>60</v>
      </c>
      <c r="G187" s="4" t="s">
        <v>61</v>
      </c>
      <c r="H187" s="5"/>
      <c r="I187" s="5"/>
      <c r="J187" s="5"/>
      <c r="K187" s="4" t="s">
        <v>62</v>
      </c>
      <c r="L187" s="4" t="s">
        <v>63</v>
      </c>
      <c r="M187" s="6" t="str">
        <f>IF(OR(B187="",I187=""),"",B187*I187)</f>
        <v/>
      </c>
      <c r="N187" s="8" t="s">
        <v>64</v>
      </c>
      <c r="O187" s="9"/>
      <c r="P187" s="9"/>
      <c r="Q187" s="22"/>
      <c r="R187" s="22"/>
      <c r="S187" s="23" t="str">
        <f>IF(AND(ISNUMBER(Q187),Q187&gt;0,ISNUMBER(R187),R187&gt;0),R187/Q187,"")</f>
        <v/>
      </c>
      <c r="T187" s="9"/>
      <c r="U187" s="9"/>
      <c r="V187" s="9"/>
      <c r="W187" s="9"/>
      <c r="X187" s="23" t="str">
        <f>IF(ISNUMBER(S187),S187,IF(ISNUMBER(I187),I187,""))</f>
        <v/>
      </c>
      <c r="Y187" t="str">
        <f>IF(ISNUMBER(S187),"2025 EIA-923 plant/group proxy",IF(ISNUMBER(I187),"Technology estimate","No thermal heat rate"))</f>
        <v>No thermal heat rate</v>
      </c>
      <c r="Z187" t="str">
        <f>IF(ISNUMBER(S187),"Review: NOT unit verified",IF(AE187="No match","No EIA match",IF(AF187="Unconfirmed","Unconfirmed EIA candidate","")))</f>
        <v/>
      </c>
      <c r="AE187" t="s">
        <v>65</v>
      </c>
      <c r="AF187" t="s">
        <v>66</v>
      </c>
      <c r="AG187" s="24">
        <f>IF(ISBLANK(S187),S187,I187)</f>
        <v>0</v>
      </c>
      <c r="AH187" s="34">
        <f t="shared" si="10"/>
        <v>5115.699999999998</v>
      </c>
      <c r="AI187">
        <f t="shared" si="9"/>
        <v>3194.6650765240724</v>
      </c>
      <c r="AJ187" t="b" cm="1">
        <f t="array" ref="AJ187">OR(D187=$AT$2:$AT$8)</f>
        <v>1</v>
      </c>
    </row>
    <row r="188" spans="1:36" x14ac:dyDescent="0.25">
      <c r="A188" s="2" t="s">
        <v>955</v>
      </c>
      <c r="B188" s="3">
        <v>3.8</v>
      </c>
      <c r="C188" s="2" t="s">
        <v>91</v>
      </c>
      <c r="D188" s="2" t="s">
        <v>91</v>
      </c>
      <c r="E188" s="2" t="s">
        <v>59</v>
      </c>
      <c r="F188" s="4" t="s">
        <v>60</v>
      </c>
      <c r="G188" s="4" t="s">
        <v>61</v>
      </c>
      <c r="H188" s="5"/>
      <c r="I188" s="5"/>
      <c r="J188" s="5"/>
      <c r="K188" s="4" t="s">
        <v>62</v>
      </c>
      <c r="L188" s="4" t="s">
        <v>63</v>
      </c>
      <c r="M188" s="6" t="str">
        <f>IF(OR(B188="",I188=""),"",B188*I188)</f>
        <v/>
      </c>
      <c r="N188" s="8" t="s">
        <v>64</v>
      </c>
      <c r="O188" s="9"/>
      <c r="P188" s="9"/>
      <c r="Q188" s="22"/>
      <c r="R188" s="22"/>
      <c r="S188" s="23" t="str">
        <f>IF(AND(ISNUMBER(Q188),Q188&gt;0,ISNUMBER(R188),R188&gt;0),R188/Q188,"")</f>
        <v/>
      </c>
      <c r="T188" s="9"/>
      <c r="U188" s="9"/>
      <c r="V188" s="9"/>
      <c r="W188" s="9"/>
      <c r="X188" s="23" t="str">
        <f>IF(ISNUMBER(S188),S188,IF(ISNUMBER(I188),I188,""))</f>
        <v/>
      </c>
      <c r="Y188" t="str">
        <f>IF(ISNUMBER(S188),"2025 EIA-923 plant/group proxy",IF(ISNUMBER(I188),"Technology estimate","No thermal heat rate"))</f>
        <v>No thermal heat rate</v>
      </c>
      <c r="Z188" t="str">
        <f>IF(ISNUMBER(S188),"Review: NOT unit verified",IF(AE188="No match","No EIA match",IF(AF188="Unconfirmed","Unconfirmed EIA candidate","")))</f>
        <v/>
      </c>
      <c r="AE188" t="s">
        <v>65</v>
      </c>
      <c r="AF188" t="s">
        <v>66</v>
      </c>
      <c r="AG188" s="24">
        <f>IF(ISBLANK(S188),S188,I188)</f>
        <v>0</v>
      </c>
      <c r="AH188" s="34">
        <f t="shared" si="10"/>
        <v>5119.4999999999982</v>
      </c>
      <c r="AI188">
        <f t="shared" si="9"/>
        <v>3197.0381099878782</v>
      </c>
      <c r="AJ188" t="b" cm="1">
        <f t="array" ref="AJ188">OR(D188=$AT$2:$AT$8)</f>
        <v>1</v>
      </c>
    </row>
    <row r="189" spans="1:36" x14ac:dyDescent="0.25">
      <c r="A189" s="2" t="s">
        <v>980</v>
      </c>
      <c r="B189" s="3">
        <v>1.9</v>
      </c>
      <c r="C189" s="2" t="s">
        <v>91</v>
      </c>
      <c r="D189" s="2" t="s">
        <v>91</v>
      </c>
      <c r="E189" s="2" t="s">
        <v>59</v>
      </c>
      <c r="F189" s="4" t="s">
        <v>60</v>
      </c>
      <c r="G189" s="4" t="s">
        <v>61</v>
      </c>
      <c r="H189" s="5"/>
      <c r="I189" s="5"/>
      <c r="J189" s="5"/>
      <c r="K189" s="4" t="s">
        <v>62</v>
      </c>
      <c r="L189" s="4" t="s">
        <v>63</v>
      </c>
      <c r="M189" s="6" t="str">
        <f>IF(OR(B189="",I189=""),"",B189*I189)</f>
        <v/>
      </c>
      <c r="N189" s="8" t="s">
        <v>64</v>
      </c>
      <c r="O189" s="9"/>
      <c r="P189" s="9"/>
      <c r="Q189" s="22"/>
      <c r="R189" s="22"/>
      <c r="S189" s="23" t="str">
        <f>IF(AND(ISNUMBER(Q189),Q189&gt;0,ISNUMBER(R189),R189&gt;0),R189/Q189,"")</f>
        <v/>
      </c>
      <c r="T189" s="9"/>
      <c r="U189" s="9"/>
      <c r="V189" s="9"/>
      <c r="W189" s="9"/>
      <c r="X189" s="23" t="str">
        <f>IF(ISNUMBER(S189),S189,IF(ISNUMBER(I189),I189,""))</f>
        <v/>
      </c>
      <c r="Y189" t="str">
        <f>IF(ISNUMBER(S189),"2025 EIA-923 plant/group proxy",IF(ISNUMBER(I189),"Technology estimate","No thermal heat rate"))</f>
        <v>No thermal heat rate</v>
      </c>
      <c r="Z189" t="str">
        <f>IF(ISNUMBER(S189),"Review: NOT unit verified",IF(AE189="No match","No EIA match",IF(AF189="Unconfirmed","Unconfirmed EIA candidate","")))</f>
        <v/>
      </c>
      <c r="AE189" t="s">
        <v>65</v>
      </c>
      <c r="AF189" t="s">
        <v>66</v>
      </c>
      <c r="AG189" s="24">
        <f>IF(ISBLANK(S189),S189,I189)</f>
        <v>0</v>
      </c>
      <c r="AH189" s="34">
        <f t="shared" si="10"/>
        <v>5121.3999999999978</v>
      </c>
      <c r="AI189">
        <f t="shared" si="9"/>
        <v>3198.2246267197811</v>
      </c>
      <c r="AJ189" t="b" cm="1">
        <f t="array" ref="AJ189">OR(D189=$AT$2:$AT$8)</f>
        <v>1</v>
      </c>
    </row>
    <row r="190" spans="1:36" x14ac:dyDescent="0.25">
      <c r="A190" s="2" t="s">
        <v>981</v>
      </c>
      <c r="B190" s="3">
        <v>11.9</v>
      </c>
      <c r="C190" s="2" t="s">
        <v>80</v>
      </c>
      <c r="D190" s="2" t="s">
        <v>81</v>
      </c>
      <c r="E190" s="2" t="s">
        <v>59</v>
      </c>
      <c r="F190" s="4" t="s">
        <v>60</v>
      </c>
      <c r="G190" s="4" t="s">
        <v>61</v>
      </c>
      <c r="H190" s="5"/>
      <c r="I190" s="5"/>
      <c r="J190" s="5"/>
      <c r="K190" s="4" t="s">
        <v>62</v>
      </c>
      <c r="L190" s="4" t="s">
        <v>63</v>
      </c>
      <c r="M190" s="6" t="str">
        <f>IF(OR(B190="",I190=""),"",B190*I190)</f>
        <v/>
      </c>
      <c r="N190" s="8" t="s">
        <v>64</v>
      </c>
      <c r="O190" s="9"/>
      <c r="P190" s="9"/>
      <c r="Q190" s="22"/>
      <c r="R190" s="22"/>
      <c r="S190" s="23" t="str">
        <f>IF(AND(ISNUMBER(Q190),Q190&gt;0,ISNUMBER(R190),R190&gt;0),R190/Q190,"")</f>
        <v/>
      </c>
      <c r="T190" s="9"/>
      <c r="U190" s="9"/>
      <c r="V190" s="9"/>
      <c r="W190" s="9"/>
      <c r="X190" s="23" t="str">
        <f>IF(ISNUMBER(S190),S190,IF(ISNUMBER(I190),I190,""))</f>
        <v/>
      </c>
      <c r="Y190" t="str">
        <f>IF(ISNUMBER(S190),"2025 EIA-923 plant/group proxy",IF(ISNUMBER(I190),"Technology estimate","No thermal heat rate"))</f>
        <v>No thermal heat rate</v>
      </c>
      <c r="Z190" t="str">
        <f>IF(ISNUMBER(S190),"Review: NOT unit verified",IF(AE190="No match","No EIA match",IF(AF190="Unconfirmed","Unconfirmed EIA candidate","")))</f>
        <v/>
      </c>
      <c r="AE190" t="s">
        <v>65</v>
      </c>
      <c r="AF190" t="s">
        <v>66</v>
      </c>
      <c r="AG190" s="24">
        <f>IF(ISBLANK(S190),S190,I190)</f>
        <v>0</v>
      </c>
      <c r="AH190" s="34">
        <f t="shared" si="10"/>
        <v>5133.2999999999975</v>
      </c>
      <c r="AI190">
        <f t="shared" si="9"/>
        <v>3205.655968356436</v>
      </c>
      <c r="AJ190" t="b" cm="1">
        <f t="array" ref="AJ190">OR(D190=$AT$2:$AT$8)</f>
        <v>0</v>
      </c>
    </row>
    <row r="191" spans="1:36" x14ac:dyDescent="0.25">
      <c r="A191" s="2" t="s">
        <v>1008</v>
      </c>
      <c r="B191" s="3">
        <v>1.1000000000000001</v>
      </c>
      <c r="C191" s="2" t="s">
        <v>57</v>
      </c>
      <c r="D191" s="2" t="s">
        <v>58</v>
      </c>
      <c r="E191" s="2" t="s">
        <v>59</v>
      </c>
      <c r="F191" s="4" t="s">
        <v>60</v>
      </c>
      <c r="G191" s="4" t="s">
        <v>61</v>
      </c>
      <c r="H191" s="5"/>
      <c r="I191" s="5"/>
      <c r="J191" s="5"/>
      <c r="K191" s="4" t="s">
        <v>62</v>
      </c>
      <c r="L191" s="4" t="s">
        <v>63</v>
      </c>
      <c r="M191" s="6" t="str">
        <f>IF(OR(B191="",I191=""),"",B191*I191)</f>
        <v/>
      </c>
      <c r="N191" s="8" t="s">
        <v>64</v>
      </c>
      <c r="O191" s="9"/>
      <c r="P191" s="9"/>
      <c r="Q191" s="22"/>
      <c r="R191" s="22"/>
      <c r="S191" s="23" t="str">
        <f>IF(AND(ISNUMBER(Q191),Q191&gt;0,ISNUMBER(R191),R191&gt;0),R191/Q191,"")</f>
        <v/>
      </c>
      <c r="T191" s="9"/>
      <c r="U191" s="9"/>
      <c r="V191" s="9"/>
      <c r="W191" s="9"/>
      <c r="X191" s="23" t="str">
        <f>IF(ISNUMBER(S191),S191,IF(ISNUMBER(I191),I191,""))</f>
        <v/>
      </c>
      <c r="Y191" t="str">
        <f>IF(ISNUMBER(S191),"2025 EIA-923 plant/group proxy",IF(ISNUMBER(I191),"Technology estimate","No thermal heat rate"))</f>
        <v>No thermal heat rate</v>
      </c>
      <c r="Z191" t="str">
        <f>IF(ISNUMBER(S191),"Review: NOT unit verified",IF(AE191="No match","No EIA match",IF(AF191="Unconfirmed","Unconfirmed EIA candidate","")))</f>
        <v/>
      </c>
      <c r="AE191" t="s">
        <v>65</v>
      </c>
      <c r="AF191" t="s">
        <v>66</v>
      </c>
      <c r="AG191" s="24">
        <f>IF(ISBLANK(S191),S191,I191)</f>
        <v>0</v>
      </c>
      <c r="AH191" s="34">
        <f t="shared" si="10"/>
        <v>5134.3999999999978</v>
      </c>
      <c r="AI191">
        <f t="shared" si="9"/>
        <v>3206.3428990959592</v>
      </c>
      <c r="AJ191" t="b" cm="1">
        <f t="array" ref="AJ191">OR(D191=$AT$2:$AT$8)</f>
        <v>0</v>
      </c>
    </row>
    <row r="192" spans="1:36" x14ac:dyDescent="0.25">
      <c r="A192" s="2" t="s">
        <v>1044</v>
      </c>
      <c r="B192" s="3">
        <v>3.6</v>
      </c>
      <c r="C192" s="2" t="s">
        <v>91</v>
      </c>
      <c r="D192" s="2" t="s">
        <v>91</v>
      </c>
      <c r="E192" s="2" t="s">
        <v>59</v>
      </c>
      <c r="F192" s="4" t="s">
        <v>60</v>
      </c>
      <c r="G192" s="4" t="s">
        <v>61</v>
      </c>
      <c r="H192" s="5"/>
      <c r="I192" s="5"/>
      <c r="J192" s="5"/>
      <c r="K192" s="4" t="s">
        <v>62</v>
      </c>
      <c r="L192" s="4" t="s">
        <v>63</v>
      </c>
      <c r="M192" s="6" t="str">
        <f>IF(OR(B192="",I192=""),"",B192*I192)</f>
        <v/>
      </c>
      <c r="N192" s="8" t="s">
        <v>64</v>
      </c>
      <c r="O192" s="9"/>
      <c r="P192" s="9"/>
      <c r="Q192" s="22"/>
      <c r="R192" s="22"/>
      <c r="S192" s="23" t="str">
        <f>IF(AND(ISNUMBER(Q192),Q192&gt;0,ISNUMBER(R192),R192&gt;0),R192/Q192,"")</f>
        <v/>
      </c>
      <c r="T192" s="9"/>
      <c r="U192" s="9"/>
      <c r="V192" s="9"/>
      <c r="W192" s="9"/>
      <c r="X192" s="23" t="str">
        <f>IF(ISNUMBER(S192),S192,IF(ISNUMBER(I192),I192,""))</f>
        <v/>
      </c>
      <c r="Y192" t="str">
        <f>IF(ISNUMBER(S192),"2025 EIA-923 plant/group proxy",IF(ISNUMBER(I192),"Technology estimate","No thermal heat rate"))</f>
        <v>No thermal heat rate</v>
      </c>
      <c r="Z192" t="str">
        <f>IF(ISNUMBER(S192),"Review: NOT unit verified",IF(AE192="No match","No EIA match",IF(AF192="Unconfirmed","Unconfirmed EIA candidate","")))</f>
        <v/>
      </c>
      <c r="AE192" t="s">
        <v>65</v>
      </c>
      <c r="AF192" t="s">
        <v>66</v>
      </c>
      <c r="AG192" s="24">
        <f>IF(ISBLANK(S192),S192,I192)</f>
        <v>0</v>
      </c>
      <c r="AH192" s="34">
        <f t="shared" si="10"/>
        <v>5137.9999999999982</v>
      </c>
      <c r="AI192">
        <f t="shared" si="9"/>
        <v>3208.5910360616699</v>
      </c>
      <c r="AJ192" t="b" cm="1">
        <f t="array" ref="AJ192">OR(D192=$AT$2:$AT$8)</f>
        <v>1</v>
      </c>
    </row>
    <row r="193" spans="1:36" x14ac:dyDescent="0.25">
      <c r="A193" s="2" t="s">
        <v>1106</v>
      </c>
      <c r="B193" s="3">
        <v>9</v>
      </c>
      <c r="C193" s="2" t="s">
        <v>86</v>
      </c>
      <c r="D193" s="2" t="s">
        <v>76</v>
      </c>
      <c r="E193" s="2" t="s">
        <v>59</v>
      </c>
      <c r="F193" s="4" t="s">
        <v>60</v>
      </c>
      <c r="G193" s="4" t="s">
        <v>61</v>
      </c>
      <c r="H193" s="5"/>
      <c r="I193" s="5"/>
      <c r="J193" s="5"/>
      <c r="K193" s="4" t="s">
        <v>62</v>
      </c>
      <c r="L193" s="4" t="s">
        <v>63</v>
      </c>
      <c r="M193" s="6" t="str">
        <f>IF(OR(B193="",I193=""),"",B193*I193)</f>
        <v/>
      </c>
      <c r="N193" s="8" t="s">
        <v>64</v>
      </c>
      <c r="O193" s="9"/>
      <c r="P193" s="9"/>
      <c r="Q193" s="22"/>
      <c r="R193" s="22"/>
      <c r="S193" s="23" t="str">
        <f>IF(AND(ISNUMBER(Q193),Q193&gt;0,ISNUMBER(R193),R193&gt;0),R193/Q193,"")</f>
        <v/>
      </c>
      <c r="T193" s="9"/>
      <c r="U193" s="9"/>
      <c r="V193" s="9"/>
      <c r="W193" s="9"/>
      <c r="X193" s="23" t="str">
        <f>IF(ISNUMBER(S193),S193,IF(ISNUMBER(I193),I193,""))</f>
        <v/>
      </c>
      <c r="Y193" t="str">
        <f>IF(ISNUMBER(S193),"2025 EIA-923 plant/group proxy",IF(ISNUMBER(I193),"Technology estimate","No thermal heat rate"))</f>
        <v>No thermal heat rate</v>
      </c>
      <c r="Z193" t="str">
        <f>IF(ISNUMBER(S193),"Review: NOT unit verified",IF(AE193="No match","No EIA match",IF(AF193="Unconfirmed","Unconfirmed EIA candidate","")))</f>
        <v/>
      </c>
      <c r="AE193" t="s">
        <v>65</v>
      </c>
      <c r="AF193" t="s">
        <v>66</v>
      </c>
      <c r="AG193" s="24">
        <f>IF(ISBLANK(S193),S193,I193)</f>
        <v>0</v>
      </c>
      <c r="AH193" s="34">
        <f t="shared" si="10"/>
        <v>5146.9999999999982</v>
      </c>
      <c r="AI193">
        <f t="shared" si="9"/>
        <v>3214.2113784759467</v>
      </c>
      <c r="AJ193" t="b" cm="1">
        <f t="array" ref="AJ193">OR(D193=$AT$2:$AT$8)</f>
        <v>0</v>
      </c>
    </row>
    <row r="194" spans="1:36" x14ac:dyDescent="0.25">
      <c r="A194" s="2" t="s">
        <v>1129</v>
      </c>
      <c r="B194" s="3">
        <v>2.6</v>
      </c>
      <c r="C194" s="2" t="s">
        <v>228</v>
      </c>
      <c r="D194" s="2" t="s">
        <v>228</v>
      </c>
      <c r="E194" s="2" t="s">
        <v>59</v>
      </c>
      <c r="F194" s="4" t="s">
        <v>60</v>
      </c>
      <c r="G194" s="4" t="s">
        <v>61</v>
      </c>
      <c r="H194" s="5"/>
      <c r="I194" s="5"/>
      <c r="J194" s="5"/>
      <c r="K194" s="4" t="s">
        <v>62</v>
      </c>
      <c r="L194" s="4" t="s">
        <v>63</v>
      </c>
      <c r="M194" s="6" t="str">
        <f>IF(OR(B194="",I194=""),"",B194*I194)</f>
        <v/>
      </c>
      <c r="N194" s="8" t="s">
        <v>64</v>
      </c>
      <c r="O194" s="9"/>
      <c r="P194" s="9"/>
      <c r="Q194" s="22"/>
      <c r="R194" s="22"/>
      <c r="S194" s="23" t="str">
        <f>IF(AND(ISNUMBER(Q194),Q194&gt;0,ISNUMBER(R194),R194&gt;0),R194/Q194,"")</f>
        <v/>
      </c>
      <c r="T194" s="9"/>
      <c r="U194" s="9"/>
      <c r="V194" s="9"/>
      <c r="W194" s="9"/>
      <c r="X194" s="23" t="str">
        <f>IF(ISNUMBER(S194),S194,IF(ISNUMBER(I194),I194,""))</f>
        <v/>
      </c>
      <c r="Y194" t="str">
        <f>IF(ISNUMBER(S194),"2025 EIA-923 plant/group proxy",IF(ISNUMBER(I194),"Technology estimate","No thermal heat rate"))</f>
        <v>No thermal heat rate</v>
      </c>
      <c r="Z194" t="str">
        <f>IF(ISNUMBER(S194),"Review: NOT unit verified",IF(AE194="No match","No EIA match",IF(AF194="Unconfirmed","Unconfirmed EIA candidate","")))</f>
        <v/>
      </c>
      <c r="AE194" t="s">
        <v>65</v>
      </c>
      <c r="AF194" t="s">
        <v>66</v>
      </c>
      <c r="AG194" s="24">
        <f>IF(ISBLANK(S194),S194,I194)</f>
        <v>0</v>
      </c>
      <c r="AH194" s="34">
        <f t="shared" si="10"/>
        <v>5149.5999999999985</v>
      </c>
      <c r="AI194">
        <f t="shared" si="9"/>
        <v>3215.8350329511827</v>
      </c>
      <c r="AJ194" t="b" cm="1">
        <f t="array" ref="AJ194">OR(D194=$AT$2:$AT$8)</f>
        <v>1</v>
      </c>
    </row>
    <row r="195" spans="1:36" x14ac:dyDescent="0.25">
      <c r="A195" s="2" t="s">
        <v>1135</v>
      </c>
      <c r="B195" s="3">
        <v>1.3</v>
      </c>
      <c r="C195" s="2" t="s">
        <v>91</v>
      </c>
      <c r="D195" s="2" t="s">
        <v>91</v>
      </c>
      <c r="E195" s="2" t="s">
        <v>59</v>
      </c>
      <c r="F195" s="4" t="s">
        <v>60</v>
      </c>
      <c r="G195" s="4" t="s">
        <v>61</v>
      </c>
      <c r="H195" s="5"/>
      <c r="I195" s="5"/>
      <c r="J195" s="5"/>
      <c r="K195" s="4" t="s">
        <v>62</v>
      </c>
      <c r="L195" s="4" t="s">
        <v>63</v>
      </c>
      <c r="M195" s="6" t="str">
        <f>IF(OR(B195="",I195=""),"",B195*I195)</f>
        <v/>
      </c>
      <c r="N195" s="8" t="s">
        <v>64</v>
      </c>
      <c r="O195" s="9"/>
      <c r="P195" s="9"/>
      <c r="Q195" s="22"/>
      <c r="R195" s="22"/>
      <c r="S195" s="23" t="str">
        <f>IF(AND(ISNUMBER(Q195),Q195&gt;0,ISNUMBER(R195),R195&gt;0),R195/Q195,"")</f>
        <v/>
      </c>
      <c r="T195" s="9"/>
      <c r="U195" s="9"/>
      <c r="V195" s="9"/>
      <c r="W195" s="9"/>
      <c r="X195" s="23" t="str">
        <f>IF(ISNUMBER(S195),S195,IF(ISNUMBER(I195),I195,""))</f>
        <v/>
      </c>
      <c r="Y195" t="str">
        <f>IF(ISNUMBER(S195),"2025 EIA-923 plant/group proxy",IF(ISNUMBER(I195),"Technology estimate","No thermal heat rate"))</f>
        <v>No thermal heat rate</v>
      </c>
      <c r="Z195" t="str">
        <f>IF(ISNUMBER(S195),"Review: NOT unit verified",IF(AE195="No match","No EIA match",IF(AF195="Unconfirmed","Unconfirmed EIA candidate","")))</f>
        <v/>
      </c>
      <c r="AE195" t="s">
        <v>65</v>
      </c>
      <c r="AF195" t="s">
        <v>66</v>
      </c>
      <c r="AG195" s="24">
        <f>IF(ISBLANK(S195),S195,I195)</f>
        <v>0</v>
      </c>
      <c r="AH195" s="34">
        <f t="shared" si="10"/>
        <v>5150.8999999999987</v>
      </c>
      <c r="AI195">
        <f t="shared" ref="AI195:AI258" si="11">AH195*$AK$1</f>
        <v>3216.6468601888005</v>
      </c>
      <c r="AJ195" t="b" cm="1">
        <f t="array" ref="AJ195">OR(D195=$AT$2:$AT$8)</f>
        <v>1</v>
      </c>
    </row>
    <row r="196" spans="1:36" x14ac:dyDescent="0.25">
      <c r="A196" s="2" t="s">
        <v>1137</v>
      </c>
      <c r="B196" s="3">
        <v>7.6</v>
      </c>
      <c r="C196" s="2" t="s">
        <v>80</v>
      </c>
      <c r="D196" s="2" t="s">
        <v>81</v>
      </c>
      <c r="E196" s="2" t="s">
        <v>59</v>
      </c>
      <c r="F196" s="4" t="s">
        <v>60</v>
      </c>
      <c r="G196" s="4" t="s">
        <v>61</v>
      </c>
      <c r="H196" s="5"/>
      <c r="I196" s="5"/>
      <c r="J196" s="5"/>
      <c r="K196" s="4" t="s">
        <v>62</v>
      </c>
      <c r="L196" s="4" t="s">
        <v>63</v>
      </c>
      <c r="M196" s="6" t="str">
        <f>IF(OR(B196="",I196=""),"",B196*I196)</f>
        <v/>
      </c>
      <c r="N196" s="8" t="s">
        <v>64</v>
      </c>
      <c r="O196" s="9"/>
      <c r="P196" s="9"/>
      <c r="Q196" s="22"/>
      <c r="R196" s="22"/>
      <c r="S196" s="23" t="str">
        <f>IF(AND(ISNUMBER(Q196),Q196&gt;0,ISNUMBER(R196),R196&gt;0),R196/Q196,"")</f>
        <v/>
      </c>
      <c r="T196" s="9"/>
      <c r="U196" s="9"/>
      <c r="V196" s="9"/>
      <c r="W196" s="9"/>
      <c r="X196" s="23" t="str">
        <f>IF(ISNUMBER(S196),S196,IF(ISNUMBER(I196),I196,""))</f>
        <v/>
      </c>
      <c r="Y196" t="str">
        <f>IF(ISNUMBER(S196),"2025 EIA-923 plant/group proxy",IF(ISNUMBER(I196),"Technology estimate","No thermal heat rate"))</f>
        <v>No thermal heat rate</v>
      </c>
      <c r="Z196" t="str">
        <f>IF(ISNUMBER(S196),"Review: NOT unit verified",IF(AE196="No match","No EIA match",IF(AF196="Unconfirmed","Unconfirmed EIA candidate","")))</f>
        <v/>
      </c>
      <c r="AE196" t="s">
        <v>65</v>
      </c>
      <c r="AF196" t="s">
        <v>66</v>
      </c>
      <c r="AG196" s="24">
        <f>IF(ISBLANK(S196),S196,I196)</f>
        <v>0</v>
      </c>
      <c r="AH196" s="34">
        <f t="shared" ref="AH196:AH259" si="12">AH195+B196</f>
        <v>5158.4999999999991</v>
      </c>
      <c r="AI196">
        <f t="shared" si="11"/>
        <v>3221.3929271164125</v>
      </c>
      <c r="AJ196" t="b" cm="1">
        <f t="array" ref="AJ196">OR(D196=$AT$2:$AT$8)</f>
        <v>0</v>
      </c>
    </row>
    <row r="197" spans="1:36" x14ac:dyDescent="0.25">
      <c r="A197" s="2" t="s">
        <v>1156</v>
      </c>
      <c r="B197" s="3">
        <v>0.4</v>
      </c>
      <c r="C197" s="2" t="s">
        <v>228</v>
      </c>
      <c r="D197" s="2" t="s">
        <v>228</v>
      </c>
      <c r="E197" s="2" t="s">
        <v>59</v>
      </c>
      <c r="F197" s="4" t="s">
        <v>60</v>
      </c>
      <c r="G197" s="4" t="s">
        <v>61</v>
      </c>
      <c r="H197" s="5"/>
      <c r="I197" s="5"/>
      <c r="J197" s="5"/>
      <c r="K197" s="4" t="s">
        <v>62</v>
      </c>
      <c r="L197" s="4" t="s">
        <v>63</v>
      </c>
      <c r="M197" s="6" t="str">
        <f>IF(OR(B197="",I197=""),"",B197*I197)</f>
        <v/>
      </c>
      <c r="N197" s="8" t="s">
        <v>64</v>
      </c>
      <c r="O197" s="9"/>
      <c r="P197" s="9"/>
      <c r="Q197" s="22"/>
      <c r="R197" s="22"/>
      <c r="S197" s="23" t="str">
        <f>IF(AND(ISNUMBER(Q197),Q197&gt;0,ISNUMBER(R197),R197&gt;0),R197/Q197,"")</f>
        <v/>
      </c>
      <c r="T197" s="9"/>
      <c r="U197" s="9"/>
      <c r="V197" s="9"/>
      <c r="W197" s="9"/>
      <c r="X197" s="23" t="str">
        <f>IF(ISNUMBER(S197),S197,IF(ISNUMBER(I197),I197,""))</f>
        <v/>
      </c>
      <c r="Y197" t="str">
        <f>IF(ISNUMBER(S197),"2025 EIA-923 plant/group proxy",IF(ISNUMBER(I197),"Technology estimate","No thermal heat rate"))</f>
        <v>No thermal heat rate</v>
      </c>
      <c r="Z197" t="str">
        <f>IF(ISNUMBER(S197),"Review: NOT unit verified",IF(AE197="No match","No EIA match",IF(AF197="Unconfirmed","Unconfirmed EIA candidate","")))</f>
        <v/>
      </c>
      <c r="AE197" t="s">
        <v>65</v>
      </c>
      <c r="AF197" t="s">
        <v>66</v>
      </c>
      <c r="AG197" s="24">
        <f>IF(ISBLANK(S197),S197,I197)</f>
        <v>0</v>
      </c>
      <c r="AH197" s="34">
        <f t="shared" si="12"/>
        <v>5158.8999999999987</v>
      </c>
      <c r="AI197">
        <f t="shared" si="11"/>
        <v>3221.6427201126025</v>
      </c>
      <c r="AJ197" t="b" cm="1">
        <f t="array" ref="AJ197">OR(D197=$AT$2:$AT$8)</f>
        <v>1</v>
      </c>
    </row>
    <row r="198" spans="1:36" x14ac:dyDescent="0.25">
      <c r="A198" s="2" t="s">
        <v>1163</v>
      </c>
      <c r="B198" s="3">
        <v>0.1</v>
      </c>
      <c r="C198" s="2" t="s">
        <v>228</v>
      </c>
      <c r="D198" s="2" t="s">
        <v>228</v>
      </c>
      <c r="E198" s="2" t="s">
        <v>59</v>
      </c>
      <c r="F198" s="4" t="s">
        <v>60</v>
      </c>
      <c r="G198" s="4" t="s">
        <v>61</v>
      </c>
      <c r="H198" s="5"/>
      <c r="I198" s="5"/>
      <c r="J198" s="5"/>
      <c r="K198" s="4" t="s">
        <v>62</v>
      </c>
      <c r="L198" s="4" t="s">
        <v>63</v>
      </c>
      <c r="M198" s="6" t="str">
        <f>IF(OR(B198="",I198=""),"",B198*I198)</f>
        <v/>
      </c>
      <c r="N198" s="8" t="s">
        <v>64</v>
      </c>
      <c r="O198" s="9"/>
      <c r="P198" s="9"/>
      <c r="Q198" s="22"/>
      <c r="R198" s="22"/>
      <c r="S198" s="23" t="str">
        <f>IF(AND(ISNUMBER(Q198),Q198&gt;0,ISNUMBER(R198),R198&gt;0),R198/Q198,"")</f>
        <v/>
      </c>
      <c r="T198" s="9"/>
      <c r="U198" s="9"/>
      <c r="V198" s="9"/>
      <c r="W198" s="9"/>
      <c r="X198" s="23" t="str">
        <f>IF(ISNUMBER(S198),S198,IF(ISNUMBER(I198),I198,""))</f>
        <v/>
      </c>
      <c r="Y198" t="str">
        <f>IF(ISNUMBER(S198),"2025 EIA-923 plant/group proxy",IF(ISNUMBER(I198),"Technology estimate","No thermal heat rate"))</f>
        <v>No thermal heat rate</v>
      </c>
      <c r="Z198" t="str">
        <f>IF(ISNUMBER(S198),"Review: NOT unit verified",IF(AE198="No match","No EIA match",IF(AF198="Unconfirmed","Unconfirmed EIA candidate","")))</f>
        <v/>
      </c>
      <c r="AE198" t="s">
        <v>65</v>
      </c>
      <c r="AF198" t="s">
        <v>66</v>
      </c>
      <c r="AG198" s="24">
        <f>IF(ISBLANK(S198),S198,I198)</f>
        <v>0</v>
      </c>
      <c r="AH198" s="34">
        <f t="shared" si="12"/>
        <v>5158.9999999999991</v>
      </c>
      <c r="AI198">
        <f t="shared" si="11"/>
        <v>3221.7051683616501</v>
      </c>
      <c r="AJ198" t="b" cm="1">
        <f t="array" ref="AJ198">OR(D198=$AT$2:$AT$8)</f>
        <v>1</v>
      </c>
    </row>
    <row r="199" spans="1:36" x14ac:dyDescent="0.25">
      <c r="A199" s="2" t="s">
        <v>1176</v>
      </c>
      <c r="B199" s="3">
        <v>2.5</v>
      </c>
      <c r="C199" s="2" t="s">
        <v>228</v>
      </c>
      <c r="D199" s="2" t="s">
        <v>228</v>
      </c>
      <c r="E199" s="2" t="s">
        <v>59</v>
      </c>
      <c r="F199" s="4" t="s">
        <v>60</v>
      </c>
      <c r="G199" s="4" t="s">
        <v>61</v>
      </c>
      <c r="H199" s="5"/>
      <c r="I199" s="5"/>
      <c r="J199" s="5"/>
      <c r="K199" s="4" t="s">
        <v>62</v>
      </c>
      <c r="L199" s="4" t="s">
        <v>63</v>
      </c>
      <c r="M199" s="6" t="str">
        <f>IF(OR(B199="",I199=""),"",B199*I199)</f>
        <v/>
      </c>
      <c r="N199" s="8" t="s">
        <v>64</v>
      </c>
      <c r="O199" s="9"/>
      <c r="P199" s="9"/>
      <c r="Q199" s="22"/>
      <c r="R199" s="22"/>
      <c r="S199" s="23" t="str">
        <f>IF(AND(ISNUMBER(Q199),Q199&gt;0,ISNUMBER(R199),R199&gt;0),R199/Q199,"")</f>
        <v/>
      </c>
      <c r="T199" s="9"/>
      <c r="U199" s="9"/>
      <c r="V199" s="9"/>
      <c r="W199" s="9"/>
      <c r="X199" s="23" t="str">
        <f>IF(ISNUMBER(S199),S199,IF(ISNUMBER(I199),I199,""))</f>
        <v/>
      </c>
      <c r="Y199" t="str">
        <f>IF(ISNUMBER(S199),"2025 EIA-923 plant/group proxy",IF(ISNUMBER(I199),"Technology estimate","No thermal heat rate"))</f>
        <v>No thermal heat rate</v>
      </c>
      <c r="Z199" t="str">
        <f>IF(ISNUMBER(S199),"Review: NOT unit verified",IF(AE199="No match","No EIA match",IF(AF199="Unconfirmed","Unconfirmed EIA candidate","")))</f>
        <v/>
      </c>
      <c r="AE199" t="s">
        <v>65</v>
      </c>
      <c r="AF199" t="s">
        <v>66</v>
      </c>
      <c r="AG199" s="24">
        <f>IF(ISBLANK(S199),S199,I199)</f>
        <v>0</v>
      </c>
      <c r="AH199" s="34">
        <f t="shared" si="12"/>
        <v>5161.4999999999991</v>
      </c>
      <c r="AI199">
        <f t="shared" si="11"/>
        <v>3223.2663745878381</v>
      </c>
      <c r="AJ199" t="b" cm="1">
        <f t="array" ref="AJ199">OR(D199=$AT$2:$AT$8)</f>
        <v>1</v>
      </c>
    </row>
    <row r="200" spans="1:36" x14ac:dyDescent="0.25">
      <c r="A200" s="2" t="s">
        <v>1184</v>
      </c>
      <c r="B200" s="3">
        <v>3.2</v>
      </c>
      <c r="C200" s="2" t="s">
        <v>91</v>
      </c>
      <c r="D200" s="2" t="s">
        <v>91</v>
      </c>
      <c r="E200" s="2" t="s">
        <v>59</v>
      </c>
      <c r="F200" s="4" t="s">
        <v>60</v>
      </c>
      <c r="G200" s="4" t="s">
        <v>61</v>
      </c>
      <c r="H200" s="5"/>
      <c r="I200" s="5"/>
      <c r="J200" s="5"/>
      <c r="K200" s="4" t="s">
        <v>62</v>
      </c>
      <c r="L200" s="4" t="s">
        <v>63</v>
      </c>
      <c r="M200" s="6" t="str">
        <f>IF(OR(B200="",I200=""),"",B200*I200)</f>
        <v/>
      </c>
      <c r="N200" s="8" t="s">
        <v>64</v>
      </c>
      <c r="O200" s="9"/>
      <c r="P200" s="9"/>
      <c r="Q200" s="22"/>
      <c r="R200" s="22"/>
      <c r="S200" s="23" t="str">
        <f>IF(AND(ISNUMBER(Q200),Q200&gt;0,ISNUMBER(R200),R200&gt;0),R200/Q200,"")</f>
        <v/>
      </c>
      <c r="T200" s="9"/>
      <c r="U200" s="9"/>
      <c r="V200" s="9"/>
      <c r="W200" s="9"/>
      <c r="X200" s="23" t="str">
        <f>IF(ISNUMBER(S200),S200,IF(ISNUMBER(I200),I200,""))</f>
        <v/>
      </c>
      <c r="Y200" t="str">
        <f>IF(ISNUMBER(S200),"2025 EIA-923 plant/group proxy",IF(ISNUMBER(I200),"Technology estimate","No thermal heat rate"))</f>
        <v>No thermal heat rate</v>
      </c>
      <c r="Z200" t="str">
        <f>IF(ISNUMBER(S200),"Review: NOT unit verified",IF(AE200="No match","No EIA match",IF(AF200="Unconfirmed","Unconfirmed EIA candidate","")))</f>
        <v/>
      </c>
      <c r="AE200" t="s">
        <v>65</v>
      </c>
      <c r="AF200" t="s">
        <v>66</v>
      </c>
      <c r="AG200" s="24">
        <f>IF(ISBLANK(S200),S200,I200)</f>
        <v>0</v>
      </c>
      <c r="AH200" s="34">
        <f t="shared" si="12"/>
        <v>5164.6999999999989</v>
      </c>
      <c r="AI200">
        <f t="shared" si="11"/>
        <v>3225.2647185573587</v>
      </c>
      <c r="AJ200" t="b" cm="1">
        <f t="array" ref="AJ200">OR(D200=$AT$2:$AT$8)</f>
        <v>1</v>
      </c>
    </row>
    <row r="201" spans="1:36" x14ac:dyDescent="0.25">
      <c r="A201" s="2" t="s">
        <v>1185</v>
      </c>
      <c r="B201" s="3">
        <v>0.6</v>
      </c>
      <c r="C201" s="2" t="s">
        <v>91</v>
      </c>
      <c r="D201" s="2" t="s">
        <v>91</v>
      </c>
      <c r="E201" s="2" t="s">
        <v>59</v>
      </c>
      <c r="F201" s="4" t="s">
        <v>60</v>
      </c>
      <c r="G201" s="4" t="s">
        <v>61</v>
      </c>
      <c r="H201" s="5"/>
      <c r="I201" s="5"/>
      <c r="J201" s="5"/>
      <c r="K201" s="4" t="s">
        <v>62</v>
      </c>
      <c r="L201" s="4" t="s">
        <v>63</v>
      </c>
      <c r="M201" s="6" t="str">
        <f>IF(OR(B201="",I201=""),"",B201*I201)</f>
        <v/>
      </c>
      <c r="N201" s="8" t="s">
        <v>64</v>
      </c>
      <c r="O201" s="9"/>
      <c r="P201" s="9"/>
      <c r="Q201" s="22"/>
      <c r="R201" s="22"/>
      <c r="S201" s="23" t="str">
        <f>IF(AND(ISNUMBER(Q201),Q201&gt;0,ISNUMBER(R201),R201&gt;0),R201/Q201,"")</f>
        <v/>
      </c>
      <c r="T201" s="9"/>
      <c r="U201" s="9"/>
      <c r="V201" s="9"/>
      <c r="W201" s="9"/>
      <c r="X201" s="23" t="str">
        <f>IF(ISNUMBER(S201),S201,IF(ISNUMBER(I201),I201,""))</f>
        <v/>
      </c>
      <c r="Y201" t="str">
        <f>IF(ISNUMBER(S201),"2025 EIA-923 plant/group proxy",IF(ISNUMBER(I201),"Technology estimate","No thermal heat rate"))</f>
        <v>No thermal heat rate</v>
      </c>
      <c r="Z201" t="str">
        <f>IF(ISNUMBER(S201),"Review: NOT unit verified",IF(AE201="No match","No EIA match",IF(AF201="Unconfirmed","Unconfirmed EIA candidate","")))</f>
        <v/>
      </c>
      <c r="AE201" t="s">
        <v>65</v>
      </c>
      <c r="AF201" t="s">
        <v>66</v>
      </c>
      <c r="AG201" s="24">
        <f>IF(ISBLANK(S201),S201,I201)</f>
        <v>0</v>
      </c>
      <c r="AH201" s="34">
        <f t="shared" si="12"/>
        <v>5165.2999999999993</v>
      </c>
      <c r="AI201">
        <f t="shared" si="11"/>
        <v>3225.6394080516443</v>
      </c>
      <c r="AJ201" t="b" cm="1">
        <f t="array" ref="AJ201">OR(D201=$AT$2:$AT$8)</f>
        <v>1</v>
      </c>
    </row>
    <row r="202" spans="1:36" x14ac:dyDescent="0.25">
      <c r="A202" s="2" t="s">
        <v>1190</v>
      </c>
      <c r="B202" s="3">
        <v>2.2999999999999998</v>
      </c>
      <c r="C202" s="2" t="s">
        <v>91</v>
      </c>
      <c r="D202" s="2" t="s">
        <v>91</v>
      </c>
      <c r="E202" s="2" t="s">
        <v>59</v>
      </c>
      <c r="F202" s="4" t="s">
        <v>60</v>
      </c>
      <c r="G202" s="4" t="s">
        <v>61</v>
      </c>
      <c r="H202" s="5"/>
      <c r="I202" s="5"/>
      <c r="J202" s="5"/>
      <c r="K202" s="4" t="s">
        <v>62</v>
      </c>
      <c r="L202" s="4" t="s">
        <v>63</v>
      </c>
      <c r="M202" s="6" t="str">
        <f>IF(OR(B202="",I202=""),"",B202*I202)</f>
        <v/>
      </c>
      <c r="N202" s="8" t="s">
        <v>64</v>
      </c>
      <c r="O202" s="9"/>
      <c r="P202" s="9"/>
      <c r="Q202" s="22"/>
      <c r="R202" s="22"/>
      <c r="S202" s="23" t="str">
        <f>IF(AND(ISNUMBER(Q202),Q202&gt;0,ISNUMBER(R202),R202&gt;0),R202/Q202,"")</f>
        <v/>
      </c>
      <c r="T202" s="9"/>
      <c r="U202" s="9"/>
      <c r="V202" s="9"/>
      <c r="W202" s="9"/>
      <c r="X202" s="23" t="str">
        <f>IF(ISNUMBER(S202),S202,IF(ISNUMBER(I202),I202,""))</f>
        <v/>
      </c>
      <c r="Y202" t="str">
        <f>IF(ISNUMBER(S202),"2025 EIA-923 plant/group proxy",IF(ISNUMBER(I202),"Technology estimate","No thermal heat rate"))</f>
        <v>No thermal heat rate</v>
      </c>
      <c r="Z202" t="str">
        <f>IF(ISNUMBER(S202),"Review: NOT unit verified",IF(AE202="No match","No EIA match",IF(AF202="Unconfirmed","Unconfirmed EIA candidate","")))</f>
        <v/>
      </c>
      <c r="AE202" t="s">
        <v>65</v>
      </c>
      <c r="AF202" t="s">
        <v>66</v>
      </c>
      <c r="AG202" s="24">
        <f>IF(ISBLANK(S202),S202,I202)</f>
        <v>0</v>
      </c>
      <c r="AH202" s="34">
        <f t="shared" si="12"/>
        <v>5167.5999999999995</v>
      </c>
      <c r="AI202">
        <f t="shared" si="11"/>
        <v>3227.0757177797373</v>
      </c>
      <c r="AJ202" t="b" cm="1">
        <f t="array" ref="AJ202">OR(D202=$AT$2:$AT$8)</f>
        <v>1</v>
      </c>
    </row>
    <row r="203" spans="1:36" x14ac:dyDescent="0.25">
      <c r="A203" s="2" t="s">
        <v>1191</v>
      </c>
      <c r="B203" s="3">
        <v>2.7</v>
      </c>
      <c r="C203" s="2" t="s">
        <v>91</v>
      </c>
      <c r="D203" s="2" t="s">
        <v>91</v>
      </c>
      <c r="E203" s="2" t="s">
        <v>59</v>
      </c>
      <c r="F203" s="4" t="s">
        <v>60</v>
      </c>
      <c r="G203" s="4" t="s">
        <v>61</v>
      </c>
      <c r="H203" s="5"/>
      <c r="I203" s="5"/>
      <c r="J203" s="5"/>
      <c r="K203" s="4" t="s">
        <v>62</v>
      </c>
      <c r="L203" s="4" t="s">
        <v>63</v>
      </c>
      <c r="M203" s="6" t="str">
        <f>IF(OR(B203="",I203=""),"",B203*I203)</f>
        <v/>
      </c>
      <c r="N203" s="8" t="s">
        <v>64</v>
      </c>
      <c r="O203" s="9"/>
      <c r="P203" s="9"/>
      <c r="Q203" s="22"/>
      <c r="R203" s="22"/>
      <c r="S203" s="23" t="str">
        <f>IF(AND(ISNUMBER(Q203),Q203&gt;0,ISNUMBER(R203),R203&gt;0),R203/Q203,"")</f>
        <v/>
      </c>
      <c r="T203" s="9"/>
      <c r="U203" s="9"/>
      <c r="V203" s="9"/>
      <c r="W203" s="9"/>
      <c r="X203" s="23" t="str">
        <f>IF(ISNUMBER(S203),S203,IF(ISNUMBER(I203),I203,""))</f>
        <v/>
      </c>
      <c r="Y203" t="str">
        <f>IF(ISNUMBER(S203),"2025 EIA-923 plant/group proxy",IF(ISNUMBER(I203),"Technology estimate","No thermal heat rate"))</f>
        <v>No thermal heat rate</v>
      </c>
      <c r="Z203" t="str">
        <f>IF(ISNUMBER(S203),"Review: NOT unit verified",IF(AE203="No match","No EIA match",IF(AF203="Unconfirmed","Unconfirmed EIA candidate","")))</f>
        <v/>
      </c>
      <c r="AE203" t="s">
        <v>65</v>
      </c>
      <c r="AF203" t="s">
        <v>66</v>
      </c>
      <c r="AG203" s="24">
        <f>IF(ISBLANK(S203),S203,I203)</f>
        <v>0</v>
      </c>
      <c r="AH203" s="34">
        <f t="shared" si="12"/>
        <v>5170.2999999999993</v>
      </c>
      <c r="AI203">
        <f t="shared" si="11"/>
        <v>3228.7618205040203</v>
      </c>
      <c r="AJ203" t="b" cm="1">
        <f t="array" ref="AJ203">OR(D203=$AT$2:$AT$8)</f>
        <v>1</v>
      </c>
    </row>
    <row r="204" spans="1:36" x14ac:dyDescent="0.25">
      <c r="A204" s="2" t="s">
        <v>1195</v>
      </c>
      <c r="B204" s="3">
        <v>3</v>
      </c>
      <c r="C204" s="2" t="s">
        <v>57</v>
      </c>
      <c r="D204" s="2" t="s">
        <v>58</v>
      </c>
      <c r="E204" s="2" t="s">
        <v>59</v>
      </c>
      <c r="F204" s="4" t="s">
        <v>60</v>
      </c>
      <c r="G204" s="4" t="s">
        <v>61</v>
      </c>
      <c r="H204" s="5"/>
      <c r="I204" s="5"/>
      <c r="J204" s="5"/>
      <c r="K204" s="4" t="s">
        <v>62</v>
      </c>
      <c r="L204" s="4" t="s">
        <v>63</v>
      </c>
      <c r="M204" s="6" t="str">
        <f>IF(OR(B204="",I204=""),"",B204*I204)</f>
        <v/>
      </c>
      <c r="N204" s="8" t="s">
        <v>64</v>
      </c>
      <c r="O204" s="9"/>
      <c r="P204" s="9"/>
      <c r="Q204" s="22"/>
      <c r="R204" s="22"/>
      <c r="S204" s="23" t="str">
        <f>IF(AND(ISNUMBER(Q204),Q204&gt;0,ISNUMBER(R204),R204&gt;0),R204/Q204,"")</f>
        <v/>
      </c>
      <c r="T204" s="9"/>
      <c r="U204" s="9"/>
      <c r="V204" s="9"/>
      <c r="W204" s="9"/>
      <c r="X204" s="23" t="str">
        <f>IF(ISNUMBER(S204),S204,IF(ISNUMBER(I204),I204,""))</f>
        <v/>
      </c>
      <c r="Y204" t="str">
        <f>IF(ISNUMBER(S204),"2025 EIA-923 plant/group proxy",IF(ISNUMBER(I204),"Technology estimate","No thermal heat rate"))</f>
        <v>No thermal heat rate</v>
      </c>
      <c r="Z204" t="str">
        <f>IF(ISNUMBER(S204),"Review: NOT unit verified",IF(AE204="No match","No EIA match",IF(AF204="Unconfirmed","Unconfirmed EIA candidate","")))</f>
        <v/>
      </c>
      <c r="AE204" t="s">
        <v>65</v>
      </c>
      <c r="AF204" t="s">
        <v>66</v>
      </c>
      <c r="AG204" s="24">
        <f>IF(ISBLANK(S204),S204,I204)</f>
        <v>0</v>
      </c>
      <c r="AH204" s="34">
        <f t="shared" si="12"/>
        <v>5173.2999999999993</v>
      </c>
      <c r="AI204">
        <f t="shared" si="11"/>
        <v>3230.6352679754459</v>
      </c>
      <c r="AJ204" t="b" cm="1">
        <f t="array" ref="AJ204">OR(D204=$AT$2:$AT$8)</f>
        <v>0</v>
      </c>
    </row>
    <row r="205" spans="1:36" x14ac:dyDescent="0.25">
      <c r="A205" s="2" t="s">
        <v>1200</v>
      </c>
      <c r="B205" s="3">
        <v>4.9000000000000004</v>
      </c>
      <c r="C205" s="2" t="s">
        <v>91</v>
      </c>
      <c r="D205" s="2" t="s">
        <v>91</v>
      </c>
      <c r="E205" s="2" t="s">
        <v>59</v>
      </c>
      <c r="F205" s="4" t="s">
        <v>60</v>
      </c>
      <c r="G205" s="4" t="s">
        <v>61</v>
      </c>
      <c r="H205" s="5"/>
      <c r="I205" s="5"/>
      <c r="J205" s="5"/>
      <c r="K205" s="4" t="s">
        <v>62</v>
      </c>
      <c r="L205" s="4" t="s">
        <v>63</v>
      </c>
      <c r="M205" s="6" t="str">
        <f>IF(OR(B205="",I205=""),"",B205*I205)</f>
        <v/>
      </c>
      <c r="N205" s="8" t="s">
        <v>64</v>
      </c>
      <c r="O205" s="9"/>
      <c r="P205" s="9"/>
      <c r="Q205" s="22"/>
      <c r="R205" s="22"/>
      <c r="S205" s="23" t="str">
        <f>IF(AND(ISNUMBER(Q205),Q205&gt;0,ISNUMBER(R205),R205&gt;0),R205/Q205,"")</f>
        <v/>
      </c>
      <c r="T205" s="9"/>
      <c r="U205" s="9"/>
      <c r="V205" s="9"/>
      <c r="W205" s="9"/>
      <c r="X205" s="23" t="str">
        <f>IF(ISNUMBER(S205),S205,IF(ISNUMBER(I205),I205,""))</f>
        <v/>
      </c>
      <c r="Y205" t="str">
        <f>IF(ISNUMBER(S205),"2025 EIA-923 plant/group proxy",IF(ISNUMBER(I205),"Technology estimate","No thermal heat rate"))</f>
        <v>No thermal heat rate</v>
      </c>
      <c r="Z205" t="str">
        <f>IF(ISNUMBER(S205),"Review: NOT unit verified",IF(AE205="No match","No EIA match",IF(AF205="Unconfirmed","Unconfirmed EIA candidate","")))</f>
        <v/>
      </c>
      <c r="AE205" t="s">
        <v>65</v>
      </c>
      <c r="AF205" t="s">
        <v>66</v>
      </c>
      <c r="AG205" s="24">
        <f>IF(ISBLANK(S205),S205,I205)</f>
        <v>0</v>
      </c>
      <c r="AH205" s="34">
        <f t="shared" si="12"/>
        <v>5178.1999999999989</v>
      </c>
      <c r="AI205">
        <f t="shared" si="11"/>
        <v>3233.6952321787744</v>
      </c>
      <c r="AJ205" t="b" cm="1">
        <f t="array" ref="AJ205">OR(D205=$AT$2:$AT$8)</f>
        <v>1</v>
      </c>
    </row>
    <row r="206" spans="1:36" x14ac:dyDescent="0.25">
      <c r="A206" s="2" t="s">
        <v>1213</v>
      </c>
      <c r="B206" s="3">
        <v>7.6</v>
      </c>
      <c r="C206" s="2" t="s">
        <v>78</v>
      </c>
      <c r="D206" s="2" t="s">
        <v>78</v>
      </c>
      <c r="E206" s="2" t="s">
        <v>59</v>
      </c>
      <c r="F206" s="4" t="s">
        <v>60</v>
      </c>
      <c r="G206" s="4" t="s">
        <v>61</v>
      </c>
      <c r="H206" s="5"/>
      <c r="I206" s="5"/>
      <c r="J206" s="5"/>
      <c r="K206" s="4" t="s">
        <v>62</v>
      </c>
      <c r="L206" s="4" t="s">
        <v>63</v>
      </c>
      <c r="M206" s="6" t="str">
        <f>IF(OR(B206="",I206=""),"",B206*I206)</f>
        <v/>
      </c>
      <c r="N206" s="8" t="s">
        <v>64</v>
      </c>
      <c r="O206" s="9"/>
      <c r="P206" s="9"/>
      <c r="Q206" s="22"/>
      <c r="R206" s="22"/>
      <c r="S206" s="23" t="str">
        <f>IF(AND(ISNUMBER(Q206),Q206&gt;0,ISNUMBER(R206),R206&gt;0),R206/Q206,"")</f>
        <v/>
      </c>
      <c r="T206" s="9"/>
      <c r="U206" s="9"/>
      <c r="V206" s="9"/>
      <c r="W206" s="9"/>
      <c r="X206" s="23" t="str">
        <f>IF(ISNUMBER(S206),S206,IF(ISNUMBER(I206),I206,""))</f>
        <v/>
      </c>
      <c r="Y206" t="str">
        <f>IF(ISNUMBER(S206),"2025 EIA-923 plant/group proxy",IF(ISNUMBER(I206),"Technology estimate","No thermal heat rate"))</f>
        <v>No thermal heat rate</v>
      </c>
      <c r="Z206" t="str">
        <f>IF(ISNUMBER(S206),"Review: NOT unit verified",IF(AE206="No match","No EIA match",IF(AF206="Unconfirmed","Unconfirmed EIA candidate","")))</f>
        <v/>
      </c>
      <c r="AE206" t="s">
        <v>65</v>
      </c>
      <c r="AF206" t="s">
        <v>66</v>
      </c>
      <c r="AG206" s="24">
        <f>IF(ISBLANK(S206),S206,I206)</f>
        <v>0</v>
      </c>
      <c r="AH206" s="34">
        <f t="shared" si="12"/>
        <v>5185.7999999999993</v>
      </c>
      <c r="AI206">
        <f t="shared" si="11"/>
        <v>3238.4412991063859</v>
      </c>
      <c r="AJ206" t="b" cm="1">
        <f t="array" ref="AJ206">OR(D206=$AT$2:$AT$8)</f>
        <v>1</v>
      </c>
    </row>
    <row r="207" spans="1:36" x14ac:dyDescent="0.25">
      <c r="A207" s="2" t="s">
        <v>1223</v>
      </c>
      <c r="B207" s="3">
        <v>3.8</v>
      </c>
      <c r="C207" s="2" t="s">
        <v>228</v>
      </c>
      <c r="D207" s="2" t="s">
        <v>228</v>
      </c>
      <c r="E207" s="2" t="s">
        <v>59</v>
      </c>
      <c r="F207" s="4" t="s">
        <v>60</v>
      </c>
      <c r="G207" s="4" t="s">
        <v>61</v>
      </c>
      <c r="H207" s="5"/>
      <c r="I207" s="5"/>
      <c r="J207" s="5"/>
      <c r="K207" s="4" t="s">
        <v>62</v>
      </c>
      <c r="L207" s="4" t="s">
        <v>63</v>
      </c>
      <c r="M207" s="6" t="str">
        <f>IF(OR(B207="",I207=""),"",B207*I207)</f>
        <v/>
      </c>
      <c r="N207" s="8" t="s">
        <v>64</v>
      </c>
      <c r="O207" s="9"/>
      <c r="P207" s="9"/>
      <c r="Q207" s="22"/>
      <c r="R207" s="22"/>
      <c r="S207" s="23" t="str">
        <f>IF(AND(ISNUMBER(Q207),Q207&gt;0,ISNUMBER(R207),R207&gt;0),R207/Q207,"")</f>
        <v/>
      </c>
      <c r="T207" s="9"/>
      <c r="U207" s="9"/>
      <c r="V207" s="9"/>
      <c r="W207" s="9"/>
      <c r="X207" s="23" t="str">
        <f>IF(ISNUMBER(S207),S207,IF(ISNUMBER(I207),I207,""))</f>
        <v/>
      </c>
      <c r="Y207" t="str">
        <f>IF(ISNUMBER(S207),"2025 EIA-923 plant/group proxy",IF(ISNUMBER(I207),"Technology estimate","No thermal heat rate"))</f>
        <v>No thermal heat rate</v>
      </c>
      <c r="Z207" t="str">
        <f>IF(ISNUMBER(S207),"Review: NOT unit verified",IF(AE207="No match","No EIA match",IF(AF207="Unconfirmed","Unconfirmed EIA candidate","")))</f>
        <v/>
      </c>
      <c r="AE207" t="s">
        <v>65</v>
      </c>
      <c r="AF207" t="s">
        <v>66</v>
      </c>
      <c r="AG207" s="24">
        <f>IF(ISBLANK(S207),S207,I207)</f>
        <v>0</v>
      </c>
      <c r="AH207" s="34">
        <f t="shared" si="12"/>
        <v>5189.5999999999995</v>
      </c>
      <c r="AI207">
        <f t="shared" si="11"/>
        <v>3240.8143325701922</v>
      </c>
      <c r="AJ207" t="b" cm="1">
        <f t="array" ref="AJ207">OR(D207=$AT$2:$AT$8)</f>
        <v>1</v>
      </c>
    </row>
    <row r="208" spans="1:36" x14ac:dyDescent="0.25">
      <c r="A208" s="2" t="s">
        <v>1224</v>
      </c>
      <c r="B208" s="3">
        <v>1</v>
      </c>
      <c r="C208" s="2" t="s">
        <v>228</v>
      </c>
      <c r="D208" s="2" t="s">
        <v>228</v>
      </c>
      <c r="E208" s="2" t="s">
        <v>59</v>
      </c>
      <c r="F208" s="4" t="s">
        <v>60</v>
      </c>
      <c r="G208" s="4" t="s">
        <v>61</v>
      </c>
      <c r="H208" s="5"/>
      <c r="I208" s="5"/>
      <c r="J208" s="5"/>
      <c r="K208" s="4" t="s">
        <v>62</v>
      </c>
      <c r="L208" s="4" t="s">
        <v>63</v>
      </c>
      <c r="M208" s="6" t="str">
        <f>IF(OR(B208="",I208=""),"",B208*I208)</f>
        <v/>
      </c>
      <c r="N208" s="8" t="s">
        <v>64</v>
      </c>
      <c r="O208" s="9"/>
      <c r="P208" s="9"/>
      <c r="Q208" s="22"/>
      <c r="R208" s="22"/>
      <c r="S208" s="23" t="str">
        <f>IF(AND(ISNUMBER(Q208),Q208&gt;0,ISNUMBER(R208),R208&gt;0),R208/Q208,"")</f>
        <v/>
      </c>
      <c r="T208" s="9"/>
      <c r="U208" s="9"/>
      <c r="V208" s="9"/>
      <c r="W208" s="9"/>
      <c r="X208" s="23" t="str">
        <f>IF(ISNUMBER(S208),S208,IF(ISNUMBER(I208),I208,""))</f>
        <v/>
      </c>
      <c r="Y208" t="str">
        <f>IF(ISNUMBER(S208),"2025 EIA-923 plant/group proxy",IF(ISNUMBER(I208),"Technology estimate","No thermal heat rate"))</f>
        <v>No thermal heat rate</v>
      </c>
      <c r="Z208" t="str">
        <f>IF(ISNUMBER(S208),"Review: NOT unit verified",IF(AE208="No match","No EIA match",IF(AF208="Unconfirmed","Unconfirmed EIA candidate","")))</f>
        <v/>
      </c>
      <c r="AE208" t="s">
        <v>65</v>
      </c>
      <c r="AF208" t="s">
        <v>66</v>
      </c>
      <c r="AG208" s="24">
        <f>IF(ISBLANK(S208),S208,I208)</f>
        <v>0</v>
      </c>
      <c r="AH208" s="34">
        <f t="shared" si="12"/>
        <v>5190.5999999999995</v>
      </c>
      <c r="AI208">
        <f t="shared" si="11"/>
        <v>3241.4388150606674</v>
      </c>
      <c r="AJ208" t="b" cm="1">
        <f t="array" ref="AJ208">OR(D208=$AT$2:$AT$8)</f>
        <v>1</v>
      </c>
    </row>
    <row r="209" spans="1:36" x14ac:dyDescent="0.25">
      <c r="A209" s="2" t="s">
        <v>1225</v>
      </c>
      <c r="B209" s="3">
        <v>8.3000000000000007</v>
      </c>
      <c r="C209" s="2" t="s">
        <v>91</v>
      </c>
      <c r="D209" s="2" t="s">
        <v>91</v>
      </c>
      <c r="E209" s="2" t="s">
        <v>59</v>
      </c>
      <c r="F209" s="4" t="s">
        <v>60</v>
      </c>
      <c r="G209" s="4" t="s">
        <v>61</v>
      </c>
      <c r="H209" s="5"/>
      <c r="I209" s="5"/>
      <c r="J209" s="5"/>
      <c r="K209" s="4" t="s">
        <v>62</v>
      </c>
      <c r="L209" s="4" t="s">
        <v>63</v>
      </c>
      <c r="M209" s="6" t="str">
        <f>IF(OR(B209="",I209=""),"",B209*I209)</f>
        <v/>
      </c>
      <c r="N209" s="8" t="s">
        <v>64</v>
      </c>
      <c r="O209" s="9"/>
      <c r="P209" s="9"/>
      <c r="Q209" s="22"/>
      <c r="R209" s="22"/>
      <c r="S209" s="23" t="str">
        <f>IF(AND(ISNUMBER(Q209),Q209&gt;0,ISNUMBER(R209),R209&gt;0),R209/Q209,"")</f>
        <v/>
      </c>
      <c r="T209" s="9"/>
      <c r="U209" s="9"/>
      <c r="V209" s="9"/>
      <c r="W209" s="9"/>
      <c r="X209" s="23" t="str">
        <f>IF(ISNUMBER(S209),S209,IF(ISNUMBER(I209),I209,""))</f>
        <v/>
      </c>
      <c r="Y209" t="str">
        <f>IF(ISNUMBER(S209),"2025 EIA-923 plant/group proxy",IF(ISNUMBER(I209),"Technology estimate","No thermal heat rate"))</f>
        <v>No thermal heat rate</v>
      </c>
      <c r="Z209" t="str">
        <f>IF(ISNUMBER(S209),"Review: NOT unit verified",IF(AE209="No match","No EIA match",IF(AF209="Unconfirmed","Unconfirmed EIA candidate","")))</f>
        <v/>
      </c>
      <c r="AE209" t="s">
        <v>65</v>
      </c>
      <c r="AF209" t="s">
        <v>66</v>
      </c>
      <c r="AG209" s="24">
        <f>IF(ISBLANK(S209),S209,I209)</f>
        <v>0</v>
      </c>
      <c r="AH209" s="34">
        <f t="shared" si="12"/>
        <v>5198.8999999999996</v>
      </c>
      <c r="AI209">
        <f t="shared" si="11"/>
        <v>3246.6220197316115</v>
      </c>
      <c r="AJ209" t="b" cm="1">
        <f t="array" ref="AJ209">OR(D209=$AT$2:$AT$8)</f>
        <v>1</v>
      </c>
    </row>
    <row r="210" spans="1:36" x14ac:dyDescent="0.25">
      <c r="A210" s="2" t="s">
        <v>1226</v>
      </c>
      <c r="B210" s="3">
        <v>5.3</v>
      </c>
      <c r="C210" s="2" t="s">
        <v>80</v>
      </c>
      <c r="D210" s="2" t="s">
        <v>81</v>
      </c>
      <c r="E210" s="2" t="s">
        <v>59</v>
      </c>
      <c r="F210" s="4" t="s">
        <v>60</v>
      </c>
      <c r="G210" s="4" t="s">
        <v>61</v>
      </c>
      <c r="H210" s="5"/>
      <c r="I210" s="5"/>
      <c r="J210" s="5"/>
      <c r="K210" s="4" t="s">
        <v>62</v>
      </c>
      <c r="L210" s="4" t="s">
        <v>63</v>
      </c>
      <c r="M210" s="6" t="str">
        <f>IF(OR(B210="",I210=""),"",B210*I210)</f>
        <v/>
      </c>
      <c r="N210" s="8" t="s">
        <v>64</v>
      </c>
      <c r="O210" s="9"/>
      <c r="P210" s="9"/>
      <c r="Q210" s="22"/>
      <c r="R210" s="22"/>
      <c r="S210" s="23" t="str">
        <f>IF(AND(ISNUMBER(Q210),Q210&gt;0,ISNUMBER(R210),R210&gt;0),R210/Q210,"")</f>
        <v/>
      </c>
      <c r="T210" s="9"/>
      <c r="U210" s="9"/>
      <c r="V210" s="9"/>
      <c r="W210" s="9"/>
      <c r="X210" s="23" t="str">
        <f>IF(ISNUMBER(S210),S210,IF(ISNUMBER(I210),I210,""))</f>
        <v/>
      </c>
      <c r="Y210" t="str">
        <f>IF(ISNUMBER(S210),"2025 EIA-923 plant/group proxy",IF(ISNUMBER(I210),"Technology estimate","No thermal heat rate"))</f>
        <v>No thermal heat rate</v>
      </c>
      <c r="Z210" t="str">
        <f>IF(ISNUMBER(S210),"Review: NOT unit verified",IF(AE210="No match","No EIA match",IF(AF210="Unconfirmed","Unconfirmed EIA candidate","")))</f>
        <v/>
      </c>
      <c r="AE210" t="s">
        <v>65</v>
      </c>
      <c r="AF210" t="s">
        <v>66</v>
      </c>
      <c r="AG210" s="24">
        <f>IF(ISBLANK(S210),S210,I210)</f>
        <v>0</v>
      </c>
      <c r="AH210" s="34">
        <f t="shared" si="12"/>
        <v>5204.2</v>
      </c>
      <c r="AI210">
        <f t="shared" si="11"/>
        <v>3249.9317769311306</v>
      </c>
      <c r="AJ210" t="b" cm="1">
        <f t="array" ref="AJ210">OR(D210=$AT$2:$AT$8)</f>
        <v>0</v>
      </c>
    </row>
    <row r="211" spans="1:36" x14ac:dyDescent="0.25">
      <c r="A211" s="2" t="s">
        <v>1259</v>
      </c>
      <c r="B211" s="3">
        <v>4.2</v>
      </c>
      <c r="C211" s="2" t="s">
        <v>136</v>
      </c>
      <c r="D211" s="2" t="s">
        <v>136</v>
      </c>
      <c r="E211" s="2" t="s">
        <v>59</v>
      </c>
      <c r="F211" s="4" t="s">
        <v>60</v>
      </c>
      <c r="G211" s="4" t="s">
        <v>61</v>
      </c>
      <c r="H211" s="5"/>
      <c r="I211" s="5"/>
      <c r="J211" s="5"/>
      <c r="K211" s="4" t="s">
        <v>62</v>
      </c>
      <c r="L211" s="4" t="s">
        <v>63</v>
      </c>
      <c r="M211" s="6" t="str">
        <f>IF(OR(B211="",I211=""),"",B211*I211)</f>
        <v/>
      </c>
      <c r="N211" s="8" t="s">
        <v>64</v>
      </c>
      <c r="O211" s="9"/>
      <c r="P211" s="9"/>
      <c r="Q211" s="22"/>
      <c r="R211" s="22"/>
      <c r="S211" s="23" t="str">
        <f>IF(AND(ISNUMBER(Q211),Q211&gt;0,ISNUMBER(R211),R211&gt;0),R211/Q211,"")</f>
        <v/>
      </c>
      <c r="T211" s="9"/>
      <c r="U211" s="9"/>
      <c r="V211" s="9"/>
      <c r="W211" s="9"/>
      <c r="X211" s="23" t="str">
        <f>IF(ISNUMBER(S211),S211,IF(ISNUMBER(I211),I211,""))</f>
        <v/>
      </c>
      <c r="Y211" t="str">
        <f>IF(ISNUMBER(S211),"2025 EIA-923 plant/group proxy",IF(ISNUMBER(I211),"Technology estimate","No thermal heat rate"))</f>
        <v>No thermal heat rate</v>
      </c>
      <c r="Z211" t="str">
        <f>IF(ISNUMBER(S211),"Review: NOT unit verified",IF(AE211="No match","No EIA match",IF(AF211="Unconfirmed","Unconfirmed EIA candidate","")))</f>
        <v/>
      </c>
      <c r="AE211" t="s">
        <v>65</v>
      </c>
      <c r="AF211" t="s">
        <v>66</v>
      </c>
      <c r="AG211" s="24">
        <f>IF(ISBLANK(S211),S211,I211)</f>
        <v>0</v>
      </c>
      <c r="AH211" s="34">
        <f t="shared" si="12"/>
        <v>5208.3999999999996</v>
      </c>
      <c r="AI211">
        <f t="shared" si="11"/>
        <v>3252.5546033911264</v>
      </c>
      <c r="AJ211" t="b" cm="1">
        <f t="array" ref="AJ211">OR(D211=$AT$2:$AT$8)</f>
        <v>0</v>
      </c>
    </row>
    <row r="212" spans="1:36" x14ac:dyDescent="0.25">
      <c r="A212" s="2" t="s">
        <v>1269</v>
      </c>
      <c r="B212" s="3">
        <v>3.3</v>
      </c>
      <c r="C212" s="2" t="s">
        <v>91</v>
      </c>
      <c r="D212" s="2" t="s">
        <v>91</v>
      </c>
      <c r="E212" s="2" t="s">
        <v>59</v>
      </c>
      <c r="F212" s="4" t="s">
        <v>60</v>
      </c>
      <c r="G212" s="4" t="s">
        <v>61</v>
      </c>
      <c r="H212" s="5"/>
      <c r="I212" s="5"/>
      <c r="J212" s="5"/>
      <c r="K212" s="4" t="s">
        <v>62</v>
      </c>
      <c r="L212" s="4" t="s">
        <v>63</v>
      </c>
      <c r="M212" s="6" t="str">
        <f>IF(OR(B212="",I212=""),"",B212*I212)</f>
        <v/>
      </c>
      <c r="N212" s="8" t="s">
        <v>64</v>
      </c>
      <c r="O212" s="9"/>
      <c r="P212" s="9"/>
      <c r="Q212" s="22"/>
      <c r="R212" s="22"/>
      <c r="S212" s="23" t="str">
        <f>IF(AND(ISNUMBER(Q212),Q212&gt;0,ISNUMBER(R212),R212&gt;0),R212/Q212,"")</f>
        <v/>
      </c>
      <c r="T212" s="9"/>
      <c r="U212" s="9"/>
      <c r="V212" s="9"/>
      <c r="W212" s="9"/>
      <c r="X212" s="23" t="str">
        <f>IF(ISNUMBER(S212),S212,IF(ISNUMBER(I212),I212,""))</f>
        <v/>
      </c>
      <c r="Y212" t="str">
        <f>IF(ISNUMBER(S212),"2025 EIA-923 plant/group proxy",IF(ISNUMBER(I212),"Technology estimate","No thermal heat rate"))</f>
        <v>No thermal heat rate</v>
      </c>
      <c r="Z212" t="str">
        <f>IF(ISNUMBER(S212),"Review: NOT unit verified",IF(AE212="No match","No EIA match",IF(AF212="Unconfirmed","Unconfirmed EIA candidate","")))</f>
        <v/>
      </c>
      <c r="AE212" t="s">
        <v>65</v>
      </c>
      <c r="AF212" t="s">
        <v>66</v>
      </c>
      <c r="AG212" s="24">
        <f>IF(ISBLANK(S212),S212,I212)</f>
        <v>0</v>
      </c>
      <c r="AH212" s="34">
        <f t="shared" si="12"/>
        <v>5211.7</v>
      </c>
      <c r="AI212">
        <f t="shared" si="11"/>
        <v>3254.6153956096946</v>
      </c>
      <c r="AJ212" t="b" cm="1">
        <f t="array" ref="AJ212">OR(D212=$AT$2:$AT$8)</f>
        <v>1</v>
      </c>
    </row>
    <row r="213" spans="1:36" x14ac:dyDescent="0.25">
      <c r="A213" s="2" t="s">
        <v>1270</v>
      </c>
      <c r="B213" s="3">
        <v>3.3</v>
      </c>
      <c r="C213" s="2" t="s">
        <v>91</v>
      </c>
      <c r="D213" s="2" t="s">
        <v>91</v>
      </c>
      <c r="E213" s="2" t="s">
        <v>59</v>
      </c>
      <c r="F213" s="4" t="s">
        <v>60</v>
      </c>
      <c r="G213" s="4" t="s">
        <v>61</v>
      </c>
      <c r="H213" s="5"/>
      <c r="I213" s="5"/>
      <c r="J213" s="5"/>
      <c r="K213" s="4" t="s">
        <v>62</v>
      </c>
      <c r="L213" s="4" t="s">
        <v>63</v>
      </c>
      <c r="M213" s="6" t="str">
        <f>IF(OR(B213="",I213=""),"",B213*I213)</f>
        <v/>
      </c>
      <c r="N213" s="8" t="s">
        <v>64</v>
      </c>
      <c r="O213" s="9"/>
      <c r="P213" s="9"/>
      <c r="Q213" s="22"/>
      <c r="R213" s="22"/>
      <c r="S213" s="23" t="str">
        <f>IF(AND(ISNUMBER(Q213),Q213&gt;0,ISNUMBER(R213),R213&gt;0),R213/Q213,"")</f>
        <v/>
      </c>
      <c r="T213" s="9"/>
      <c r="U213" s="9"/>
      <c r="V213" s="9"/>
      <c r="W213" s="9"/>
      <c r="X213" s="23" t="str">
        <f>IF(ISNUMBER(S213),S213,IF(ISNUMBER(I213),I213,""))</f>
        <v/>
      </c>
      <c r="Y213" t="str">
        <f>IF(ISNUMBER(S213),"2025 EIA-923 plant/group proxy",IF(ISNUMBER(I213),"Technology estimate","No thermal heat rate"))</f>
        <v>No thermal heat rate</v>
      </c>
      <c r="Z213" t="str">
        <f>IF(ISNUMBER(S213),"Review: NOT unit verified",IF(AE213="No match","No EIA match",IF(AF213="Unconfirmed","Unconfirmed EIA candidate","")))</f>
        <v/>
      </c>
      <c r="AE213" t="s">
        <v>65</v>
      </c>
      <c r="AF213" t="s">
        <v>66</v>
      </c>
      <c r="AG213" s="24">
        <f>IF(ISBLANK(S213),S213,I213)</f>
        <v>0</v>
      </c>
      <c r="AH213" s="34">
        <f t="shared" si="12"/>
        <v>5215</v>
      </c>
      <c r="AI213">
        <f t="shared" si="11"/>
        <v>3256.6761878282628</v>
      </c>
      <c r="AJ213" t="b" cm="1">
        <f t="array" ref="AJ213">OR(D213=$AT$2:$AT$8)</f>
        <v>1</v>
      </c>
    </row>
    <row r="214" spans="1:36" x14ac:dyDescent="0.25">
      <c r="A214" s="2" t="s">
        <v>1274</v>
      </c>
      <c r="B214" s="3">
        <v>1.1000000000000001</v>
      </c>
      <c r="C214" s="2" t="s">
        <v>91</v>
      </c>
      <c r="D214" s="2" t="s">
        <v>91</v>
      </c>
      <c r="E214" s="2" t="s">
        <v>59</v>
      </c>
      <c r="F214" s="4" t="s">
        <v>60</v>
      </c>
      <c r="G214" s="4" t="s">
        <v>61</v>
      </c>
      <c r="H214" s="5"/>
      <c r="I214" s="5"/>
      <c r="J214" s="5"/>
      <c r="K214" s="4" t="s">
        <v>62</v>
      </c>
      <c r="L214" s="4" t="s">
        <v>63</v>
      </c>
      <c r="M214" s="6" t="str">
        <f>IF(OR(B214="",I214=""),"",B214*I214)</f>
        <v/>
      </c>
      <c r="N214" s="8" t="s">
        <v>64</v>
      </c>
      <c r="O214" s="9"/>
      <c r="P214" s="9"/>
      <c r="Q214" s="22"/>
      <c r="R214" s="22"/>
      <c r="S214" s="23" t="str">
        <f>IF(AND(ISNUMBER(Q214),Q214&gt;0,ISNUMBER(R214),R214&gt;0),R214/Q214,"")</f>
        <v/>
      </c>
      <c r="T214" s="9"/>
      <c r="U214" s="9"/>
      <c r="V214" s="9"/>
      <c r="W214" s="9"/>
      <c r="X214" s="23" t="str">
        <f>IF(ISNUMBER(S214),S214,IF(ISNUMBER(I214),I214,""))</f>
        <v/>
      </c>
      <c r="Y214" t="str">
        <f>IF(ISNUMBER(S214),"2025 EIA-923 plant/group proxy",IF(ISNUMBER(I214),"Technology estimate","No thermal heat rate"))</f>
        <v>No thermal heat rate</v>
      </c>
      <c r="Z214" t="str">
        <f>IF(ISNUMBER(S214),"Review: NOT unit verified",IF(AE214="No match","No EIA match",IF(AF214="Unconfirmed","Unconfirmed EIA candidate","")))</f>
        <v/>
      </c>
      <c r="AE214" t="s">
        <v>65</v>
      </c>
      <c r="AF214" t="s">
        <v>66</v>
      </c>
      <c r="AG214" s="24">
        <f>IF(ISBLANK(S214),S214,I214)</f>
        <v>0</v>
      </c>
      <c r="AH214" s="34">
        <f t="shared" si="12"/>
        <v>5216.1000000000004</v>
      </c>
      <c r="AI214">
        <f t="shared" si="11"/>
        <v>3257.3631185677859</v>
      </c>
      <c r="AJ214" t="b" cm="1">
        <f t="array" ref="AJ214">OR(D214=$AT$2:$AT$8)</f>
        <v>1</v>
      </c>
    </row>
    <row r="215" spans="1:36" x14ac:dyDescent="0.25">
      <c r="A215" s="2" t="s">
        <v>1289</v>
      </c>
      <c r="B215" s="3">
        <v>2.5</v>
      </c>
      <c r="C215" s="2" t="s">
        <v>91</v>
      </c>
      <c r="D215" s="2" t="s">
        <v>91</v>
      </c>
      <c r="E215" s="2" t="s">
        <v>59</v>
      </c>
      <c r="F215" s="4" t="s">
        <v>60</v>
      </c>
      <c r="G215" s="4" t="s">
        <v>61</v>
      </c>
      <c r="H215" s="5"/>
      <c r="I215" s="5"/>
      <c r="J215" s="5"/>
      <c r="K215" s="4" t="s">
        <v>62</v>
      </c>
      <c r="L215" s="4" t="s">
        <v>63</v>
      </c>
      <c r="M215" s="6" t="str">
        <f>IF(OR(B215="",I215=""),"",B215*I215)</f>
        <v/>
      </c>
      <c r="N215" s="8" t="s">
        <v>64</v>
      </c>
      <c r="O215" s="9"/>
      <c r="P215" s="9"/>
      <c r="Q215" s="22"/>
      <c r="R215" s="22"/>
      <c r="S215" s="23" t="str">
        <f>IF(AND(ISNUMBER(Q215),Q215&gt;0,ISNUMBER(R215),R215&gt;0),R215/Q215,"")</f>
        <v/>
      </c>
      <c r="T215" s="9"/>
      <c r="U215" s="9"/>
      <c r="V215" s="9"/>
      <c r="W215" s="9"/>
      <c r="X215" s="23" t="str">
        <f>IF(ISNUMBER(S215),S215,IF(ISNUMBER(I215),I215,""))</f>
        <v/>
      </c>
      <c r="Y215" t="str">
        <f>IF(ISNUMBER(S215),"2025 EIA-923 plant/group proxy",IF(ISNUMBER(I215),"Technology estimate","No thermal heat rate"))</f>
        <v>No thermal heat rate</v>
      </c>
      <c r="Z215" t="str">
        <f>IF(ISNUMBER(S215),"Review: NOT unit verified",IF(AE215="No match","No EIA match",IF(AF215="Unconfirmed","Unconfirmed EIA candidate","")))</f>
        <v/>
      </c>
      <c r="AE215" t="s">
        <v>65</v>
      </c>
      <c r="AF215" t="s">
        <v>66</v>
      </c>
      <c r="AG215" s="24">
        <f>IF(ISBLANK(S215),S215,I215)</f>
        <v>0</v>
      </c>
      <c r="AH215" s="34">
        <f t="shared" si="12"/>
        <v>5218.6000000000004</v>
      </c>
      <c r="AI215">
        <f t="shared" si="11"/>
        <v>3258.9243247939739</v>
      </c>
      <c r="AJ215" t="b" cm="1">
        <f t="array" ref="AJ215">OR(D215=$AT$2:$AT$8)</f>
        <v>1</v>
      </c>
    </row>
    <row r="216" spans="1:36" x14ac:dyDescent="0.25">
      <c r="A216" s="2" t="s">
        <v>1307</v>
      </c>
      <c r="B216" s="3">
        <v>3.2</v>
      </c>
      <c r="C216" s="2" t="s">
        <v>91</v>
      </c>
      <c r="D216" s="2" t="s">
        <v>91</v>
      </c>
      <c r="E216" s="2" t="s">
        <v>59</v>
      </c>
      <c r="F216" s="4" t="s">
        <v>60</v>
      </c>
      <c r="G216" s="4" t="s">
        <v>61</v>
      </c>
      <c r="H216" s="5"/>
      <c r="I216" s="5"/>
      <c r="J216" s="5"/>
      <c r="K216" s="4" t="s">
        <v>62</v>
      </c>
      <c r="L216" s="4" t="s">
        <v>63</v>
      </c>
      <c r="M216" s="6" t="str">
        <f>IF(OR(B216="",I216=""),"",B216*I216)</f>
        <v/>
      </c>
      <c r="N216" s="8" t="s">
        <v>64</v>
      </c>
      <c r="O216" s="9"/>
      <c r="P216" s="9"/>
      <c r="Q216" s="22"/>
      <c r="R216" s="22"/>
      <c r="S216" s="23" t="str">
        <f>IF(AND(ISNUMBER(Q216),Q216&gt;0,ISNUMBER(R216),R216&gt;0),R216/Q216,"")</f>
        <v/>
      </c>
      <c r="T216" s="9"/>
      <c r="U216" s="9"/>
      <c r="V216" s="9"/>
      <c r="W216" s="9"/>
      <c r="X216" s="23" t="str">
        <f>IF(ISNUMBER(S216),S216,IF(ISNUMBER(I216),I216,""))</f>
        <v/>
      </c>
      <c r="Y216" t="str">
        <f>IF(ISNUMBER(S216),"2025 EIA-923 plant/group proxy",IF(ISNUMBER(I216),"Technology estimate","No thermal heat rate"))</f>
        <v>No thermal heat rate</v>
      </c>
      <c r="Z216" t="str">
        <f>IF(ISNUMBER(S216),"Review: NOT unit verified",IF(AE216="No match","No EIA match",IF(AF216="Unconfirmed","Unconfirmed EIA candidate","")))</f>
        <v/>
      </c>
      <c r="AE216" t="s">
        <v>65</v>
      </c>
      <c r="AF216" t="s">
        <v>66</v>
      </c>
      <c r="AG216" s="24">
        <f>IF(ISBLANK(S216),S216,I216)</f>
        <v>0</v>
      </c>
      <c r="AH216" s="34">
        <f t="shared" si="12"/>
        <v>5221.8</v>
      </c>
      <c r="AI216">
        <f t="shared" si="11"/>
        <v>3260.9226687634946</v>
      </c>
      <c r="AJ216" t="b" cm="1">
        <f t="array" ref="AJ216">OR(D216=$AT$2:$AT$8)</f>
        <v>1</v>
      </c>
    </row>
    <row r="217" spans="1:36" x14ac:dyDescent="0.25">
      <c r="A217" s="2" t="s">
        <v>1309</v>
      </c>
      <c r="B217" s="3">
        <v>2.5</v>
      </c>
      <c r="C217" s="2" t="s">
        <v>99</v>
      </c>
      <c r="D217" s="2" t="s">
        <v>81</v>
      </c>
      <c r="E217" s="2" t="s">
        <v>59</v>
      </c>
      <c r="F217" s="4" t="s">
        <v>60</v>
      </c>
      <c r="G217" s="4" t="s">
        <v>61</v>
      </c>
      <c r="H217" s="5"/>
      <c r="I217" s="5"/>
      <c r="J217" s="5"/>
      <c r="K217" s="4" t="s">
        <v>62</v>
      </c>
      <c r="L217" s="4" t="s">
        <v>63</v>
      </c>
      <c r="M217" s="6" t="str">
        <f>IF(OR(B217="",I217=""),"",B217*I217)</f>
        <v/>
      </c>
      <c r="N217" s="8" t="s">
        <v>64</v>
      </c>
      <c r="O217" s="9"/>
      <c r="P217" s="9"/>
      <c r="Q217" s="22"/>
      <c r="R217" s="22"/>
      <c r="S217" s="23" t="str">
        <f>IF(AND(ISNUMBER(Q217),Q217&gt;0,ISNUMBER(R217),R217&gt;0),R217/Q217,"")</f>
        <v/>
      </c>
      <c r="T217" s="9"/>
      <c r="U217" s="9"/>
      <c r="V217" s="9"/>
      <c r="W217" s="9"/>
      <c r="X217" s="23" t="str">
        <f>IF(ISNUMBER(S217),S217,IF(ISNUMBER(I217),I217,""))</f>
        <v/>
      </c>
      <c r="Y217" t="str">
        <f>IF(ISNUMBER(S217),"2025 EIA-923 plant/group proxy",IF(ISNUMBER(I217),"Technology estimate","No thermal heat rate"))</f>
        <v>No thermal heat rate</v>
      </c>
      <c r="Z217" t="str">
        <f>IF(ISNUMBER(S217),"Review: NOT unit verified",IF(AE217="No match","No EIA match",IF(AF217="Unconfirmed","Unconfirmed EIA candidate","")))</f>
        <v/>
      </c>
      <c r="AE217" t="s">
        <v>65</v>
      </c>
      <c r="AF217" t="s">
        <v>66</v>
      </c>
      <c r="AG217" s="24">
        <f>IF(ISBLANK(S217),S217,I217)</f>
        <v>0</v>
      </c>
      <c r="AH217" s="34">
        <f t="shared" si="12"/>
        <v>5224.3</v>
      </c>
      <c r="AI217">
        <f t="shared" si="11"/>
        <v>3262.4838749896826</v>
      </c>
      <c r="AJ217" t="b" cm="1">
        <f t="array" ref="AJ217">OR(D217=$AT$2:$AT$8)</f>
        <v>0</v>
      </c>
    </row>
    <row r="218" spans="1:36" x14ac:dyDescent="0.25">
      <c r="A218" s="2" t="s">
        <v>1323</v>
      </c>
      <c r="B218" s="3">
        <v>1.3</v>
      </c>
      <c r="C218" s="2" t="s">
        <v>228</v>
      </c>
      <c r="D218" s="2" t="s">
        <v>228</v>
      </c>
      <c r="E218" s="2" t="s">
        <v>59</v>
      </c>
      <c r="F218" s="4" t="s">
        <v>60</v>
      </c>
      <c r="G218" s="4" t="s">
        <v>61</v>
      </c>
      <c r="H218" s="5"/>
      <c r="I218" s="5"/>
      <c r="J218" s="5"/>
      <c r="K218" s="4" t="s">
        <v>62</v>
      </c>
      <c r="L218" s="4" t="s">
        <v>63</v>
      </c>
      <c r="M218" s="6" t="str">
        <f>IF(OR(B218="",I218=""),"",B218*I218)</f>
        <v/>
      </c>
      <c r="N218" s="8" t="s">
        <v>64</v>
      </c>
      <c r="O218" s="9"/>
      <c r="P218" s="9"/>
      <c r="Q218" s="22"/>
      <c r="R218" s="22"/>
      <c r="S218" s="23" t="str">
        <f>IF(AND(ISNUMBER(Q218),Q218&gt;0,ISNUMBER(R218),R218&gt;0),R218/Q218,"")</f>
        <v/>
      </c>
      <c r="T218" s="9"/>
      <c r="U218" s="9"/>
      <c r="V218" s="9"/>
      <c r="W218" s="9"/>
      <c r="X218" s="23" t="str">
        <f>IF(ISNUMBER(S218),S218,IF(ISNUMBER(I218),I218,""))</f>
        <v/>
      </c>
      <c r="Y218" t="str">
        <f>IF(ISNUMBER(S218),"2025 EIA-923 plant/group proxy",IF(ISNUMBER(I218),"Technology estimate","No thermal heat rate"))</f>
        <v>No thermal heat rate</v>
      </c>
      <c r="Z218" t="str">
        <f>IF(ISNUMBER(S218),"Review: NOT unit verified",IF(AE218="No match","No EIA match",IF(AF218="Unconfirmed","Unconfirmed EIA candidate","")))</f>
        <v/>
      </c>
      <c r="AE218" t="s">
        <v>65</v>
      </c>
      <c r="AF218" t="s">
        <v>66</v>
      </c>
      <c r="AG218" s="24">
        <f>IF(ISBLANK(S218),S218,I218)</f>
        <v>0</v>
      </c>
      <c r="AH218" s="34">
        <f t="shared" si="12"/>
        <v>5225.6000000000004</v>
      </c>
      <c r="AI218">
        <f t="shared" si="11"/>
        <v>3263.2957022273004</v>
      </c>
      <c r="AJ218" t="b" cm="1">
        <f t="array" ref="AJ218">OR(D218=$AT$2:$AT$8)</f>
        <v>1</v>
      </c>
    </row>
    <row r="219" spans="1:36" x14ac:dyDescent="0.25">
      <c r="A219" s="2" t="s">
        <v>1331</v>
      </c>
      <c r="B219" s="3">
        <v>1.9</v>
      </c>
      <c r="C219" s="2" t="s">
        <v>228</v>
      </c>
      <c r="D219" s="2" t="s">
        <v>228</v>
      </c>
      <c r="E219" s="2" t="s">
        <v>59</v>
      </c>
      <c r="F219" s="4" t="s">
        <v>60</v>
      </c>
      <c r="G219" s="4" t="s">
        <v>61</v>
      </c>
      <c r="H219" s="5"/>
      <c r="I219" s="5"/>
      <c r="J219" s="5"/>
      <c r="K219" s="4" t="s">
        <v>62</v>
      </c>
      <c r="L219" s="4" t="s">
        <v>63</v>
      </c>
      <c r="M219" s="6" t="str">
        <f>IF(OR(B219="",I219=""),"",B219*I219)</f>
        <v/>
      </c>
      <c r="N219" s="8" t="s">
        <v>64</v>
      </c>
      <c r="O219" s="9"/>
      <c r="P219" s="9"/>
      <c r="Q219" s="22"/>
      <c r="R219" s="22"/>
      <c r="S219" s="23" t="str">
        <f>IF(AND(ISNUMBER(Q219),Q219&gt;0,ISNUMBER(R219),R219&gt;0),R219/Q219,"")</f>
        <v/>
      </c>
      <c r="T219" s="9"/>
      <c r="U219" s="9"/>
      <c r="V219" s="9"/>
      <c r="W219" s="9"/>
      <c r="X219" s="23" t="str">
        <f>IF(ISNUMBER(S219),S219,IF(ISNUMBER(I219),I219,""))</f>
        <v/>
      </c>
      <c r="Y219" t="str">
        <f>IF(ISNUMBER(S219),"2025 EIA-923 plant/group proxy",IF(ISNUMBER(I219),"Technology estimate","No thermal heat rate"))</f>
        <v>No thermal heat rate</v>
      </c>
      <c r="Z219" t="str">
        <f>IF(ISNUMBER(S219),"Review: NOT unit verified",IF(AE219="No match","No EIA match",IF(AF219="Unconfirmed","Unconfirmed EIA candidate","")))</f>
        <v/>
      </c>
      <c r="AE219" t="s">
        <v>65</v>
      </c>
      <c r="AF219" t="s">
        <v>66</v>
      </c>
      <c r="AG219" s="24">
        <f>IF(ISBLANK(S219),S219,I219)</f>
        <v>0</v>
      </c>
      <c r="AH219" s="34">
        <f t="shared" si="12"/>
        <v>5227.5</v>
      </c>
      <c r="AI219">
        <f t="shared" si="11"/>
        <v>3264.4822189592032</v>
      </c>
      <c r="AJ219" t="b" cm="1">
        <f t="array" ref="AJ219">OR(D219=$AT$2:$AT$8)</f>
        <v>1</v>
      </c>
    </row>
    <row r="220" spans="1:36" x14ac:dyDescent="0.25">
      <c r="A220" s="2" t="s">
        <v>1332</v>
      </c>
      <c r="B220" s="3">
        <v>3</v>
      </c>
      <c r="C220" s="2" t="s">
        <v>228</v>
      </c>
      <c r="D220" s="2" t="s">
        <v>228</v>
      </c>
      <c r="E220" s="2" t="s">
        <v>59</v>
      </c>
      <c r="F220" s="4" t="s">
        <v>60</v>
      </c>
      <c r="G220" s="4" t="s">
        <v>61</v>
      </c>
      <c r="H220" s="5"/>
      <c r="I220" s="5"/>
      <c r="J220" s="5"/>
      <c r="K220" s="4" t="s">
        <v>62</v>
      </c>
      <c r="L220" s="4" t="s">
        <v>63</v>
      </c>
      <c r="M220" s="6" t="str">
        <f>IF(OR(B220="",I220=""),"",B220*I220)</f>
        <v/>
      </c>
      <c r="N220" s="8" t="s">
        <v>64</v>
      </c>
      <c r="O220" s="9"/>
      <c r="P220" s="9"/>
      <c r="Q220" s="22"/>
      <c r="R220" s="22"/>
      <c r="S220" s="23" t="str">
        <f>IF(AND(ISNUMBER(Q220),Q220&gt;0,ISNUMBER(R220),R220&gt;0),R220/Q220,"")</f>
        <v/>
      </c>
      <c r="T220" s="9"/>
      <c r="U220" s="9"/>
      <c r="V220" s="9"/>
      <c r="W220" s="9"/>
      <c r="X220" s="23" t="str">
        <f>IF(ISNUMBER(S220),S220,IF(ISNUMBER(I220),I220,""))</f>
        <v/>
      </c>
      <c r="Y220" t="str">
        <f>IF(ISNUMBER(S220),"2025 EIA-923 plant/group proxy",IF(ISNUMBER(I220),"Technology estimate","No thermal heat rate"))</f>
        <v>No thermal heat rate</v>
      </c>
      <c r="Z220" t="str">
        <f>IF(ISNUMBER(S220),"Review: NOT unit verified",IF(AE220="No match","No EIA match",IF(AF220="Unconfirmed","Unconfirmed EIA candidate","")))</f>
        <v/>
      </c>
      <c r="AE220" t="s">
        <v>65</v>
      </c>
      <c r="AF220" t="s">
        <v>66</v>
      </c>
      <c r="AG220" s="24">
        <f>IF(ISBLANK(S220),S220,I220)</f>
        <v>0</v>
      </c>
      <c r="AH220" s="34">
        <f t="shared" si="12"/>
        <v>5230.5</v>
      </c>
      <c r="AI220">
        <f t="shared" si="11"/>
        <v>3266.3556664306288</v>
      </c>
      <c r="AJ220" t="b" cm="1">
        <f t="array" ref="AJ220">OR(D220=$AT$2:$AT$8)</f>
        <v>1</v>
      </c>
    </row>
    <row r="221" spans="1:36" x14ac:dyDescent="0.25">
      <c r="A221" s="2" t="s">
        <v>1340</v>
      </c>
      <c r="B221" s="3">
        <v>2.7</v>
      </c>
      <c r="C221" s="2" t="s">
        <v>228</v>
      </c>
      <c r="D221" s="2" t="s">
        <v>228</v>
      </c>
      <c r="E221" s="2" t="s">
        <v>59</v>
      </c>
      <c r="F221" s="4" t="s">
        <v>60</v>
      </c>
      <c r="G221" s="4" t="s">
        <v>61</v>
      </c>
      <c r="H221" s="5"/>
      <c r="I221" s="5"/>
      <c r="J221" s="5"/>
      <c r="K221" s="4" t="s">
        <v>62</v>
      </c>
      <c r="L221" s="4" t="s">
        <v>63</v>
      </c>
      <c r="M221" s="6" t="str">
        <f>IF(OR(B221="",I221=""),"",B221*I221)</f>
        <v/>
      </c>
      <c r="N221" s="8" t="s">
        <v>64</v>
      </c>
      <c r="O221" s="9"/>
      <c r="P221" s="9"/>
      <c r="Q221" s="22"/>
      <c r="R221" s="22"/>
      <c r="S221" s="23" t="str">
        <f>IF(AND(ISNUMBER(Q221),Q221&gt;0,ISNUMBER(R221),R221&gt;0),R221/Q221,"")</f>
        <v/>
      </c>
      <c r="T221" s="9"/>
      <c r="U221" s="9"/>
      <c r="V221" s="9"/>
      <c r="W221" s="9"/>
      <c r="X221" s="23" t="str">
        <f>IF(ISNUMBER(S221),S221,IF(ISNUMBER(I221),I221,""))</f>
        <v/>
      </c>
      <c r="Y221" t="str">
        <f>IF(ISNUMBER(S221),"2025 EIA-923 plant/group proxy",IF(ISNUMBER(I221),"Technology estimate","No thermal heat rate"))</f>
        <v>No thermal heat rate</v>
      </c>
      <c r="Z221" t="str">
        <f>IF(ISNUMBER(S221),"Review: NOT unit verified",IF(AE221="No match","No EIA match",IF(AF221="Unconfirmed","Unconfirmed EIA candidate","")))</f>
        <v/>
      </c>
      <c r="AE221" t="s">
        <v>65</v>
      </c>
      <c r="AF221" t="s">
        <v>66</v>
      </c>
      <c r="AG221" s="24">
        <f>IF(ISBLANK(S221),S221,I221)</f>
        <v>0</v>
      </c>
      <c r="AH221" s="34">
        <f t="shared" si="12"/>
        <v>5233.2</v>
      </c>
      <c r="AI221">
        <f t="shared" si="11"/>
        <v>3268.0417691549119</v>
      </c>
      <c r="AJ221" t="b" cm="1">
        <f t="array" ref="AJ221">OR(D221=$AT$2:$AT$8)</f>
        <v>1</v>
      </c>
    </row>
    <row r="222" spans="1:36" x14ac:dyDescent="0.25">
      <c r="A222" s="2" t="s">
        <v>1342</v>
      </c>
      <c r="B222" s="3">
        <v>0.3</v>
      </c>
      <c r="C222" s="2" t="s">
        <v>228</v>
      </c>
      <c r="D222" s="2" t="s">
        <v>228</v>
      </c>
      <c r="E222" s="2" t="s">
        <v>59</v>
      </c>
      <c r="F222" s="4" t="s">
        <v>60</v>
      </c>
      <c r="G222" s="4" t="s">
        <v>61</v>
      </c>
      <c r="H222" s="5"/>
      <c r="I222" s="5"/>
      <c r="J222" s="5"/>
      <c r="K222" s="4" t="s">
        <v>62</v>
      </c>
      <c r="L222" s="4" t="s">
        <v>63</v>
      </c>
      <c r="M222" s="6" t="str">
        <f>IF(OR(B222="",I222=""),"",B222*I222)</f>
        <v/>
      </c>
      <c r="N222" s="8" t="s">
        <v>64</v>
      </c>
      <c r="O222" s="9"/>
      <c r="P222" s="9"/>
      <c r="Q222" s="22"/>
      <c r="R222" s="22"/>
      <c r="S222" s="23" t="str">
        <f>IF(AND(ISNUMBER(Q222),Q222&gt;0,ISNUMBER(R222),R222&gt;0),R222/Q222,"")</f>
        <v/>
      </c>
      <c r="T222" s="9"/>
      <c r="U222" s="9"/>
      <c r="V222" s="9"/>
      <c r="W222" s="9"/>
      <c r="X222" s="23" t="str">
        <f>IF(ISNUMBER(S222),S222,IF(ISNUMBER(I222),I222,""))</f>
        <v/>
      </c>
      <c r="Y222" t="str">
        <f>IF(ISNUMBER(S222),"2025 EIA-923 plant/group proxy",IF(ISNUMBER(I222),"Technology estimate","No thermal heat rate"))</f>
        <v>No thermal heat rate</v>
      </c>
      <c r="Z222" t="str">
        <f>IF(ISNUMBER(S222),"Review: NOT unit verified",IF(AE222="No match","No EIA match",IF(AF222="Unconfirmed","Unconfirmed EIA candidate","")))</f>
        <v/>
      </c>
      <c r="AE222" t="s">
        <v>65</v>
      </c>
      <c r="AF222" t="s">
        <v>66</v>
      </c>
      <c r="AG222" s="24">
        <f>IF(ISBLANK(S222),S222,I222)</f>
        <v>0</v>
      </c>
      <c r="AH222" s="34">
        <f t="shared" si="12"/>
        <v>5233.5</v>
      </c>
      <c r="AI222">
        <f t="shared" si="11"/>
        <v>3268.2291139020545</v>
      </c>
      <c r="AJ222" t="b" cm="1">
        <f t="array" ref="AJ222">OR(D222=$AT$2:$AT$8)</f>
        <v>1</v>
      </c>
    </row>
    <row r="223" spans="1:36" x14ac:dyDescent="0.25">
      <c r="A223" s="2" t="s">
        <v>1343</v>
      </c>
      <c r="B223" s="3">
        <v>1</v>
      </c>
      <c r="C223" s="2" t="s">
        <v>228</v>
      </c>
      <c r="D223" s="2" t="s">
        <v>228</v>
      </c>
      <c r="E223" s="2" t="s">
        <v>59</v>
      </c>
      <c r="F223" s="4" t="s">
        <v>60</v>
      </c>
      <c r="G223" s="4" t="s">
        <v>61</v>
      </c>
      <c r="H223" s="5"/>
      <c r="I223" s="5"/>
      <c r="J223" s="5"/>
      <c r="K223" s="4" t="s">
        <v>62</v>
      </c>
      <c r="L223" s="4" t="s">
        <v>63</v>
      </c>
      <c r="M223" s="6" t="str">
        <f>IF(OR(B223="",I223=""),"",B223*I223)</f>
        <v/>
      </c>
      <c r="N223" s="8" t="s">
        <v>64</v>
      </c>
      <c r="O223" s="9"/>
      <c r="P223" s="9"/>
      <c r="Q223" s="22"/>
      <c r="R223" s="22"/>
      <c r="S223" s="23" t="str">
        <f>IF(AND(ISNUMBER(Q223),Q223&gt;0,ISNUMBER(R223),R223&gt;0),R223/Q223,"")</f>
        <v/>
      </c>
      <c r="T223" s="9"/>
      <c r="U223" s="9"/>
      <c r="V223" s="9"/>
      <c r="W223" s="9"/>
      <c r="X223" s="23" t="str">
        <f>IF(ISNUMBER(S223),S223,IF(ISNUMBER(I223),I223,""))</f>
        <v/>
      </c>
      <c r="Y223" t="str">
        <f>IF(ISNUMBER(S223),"2025 EIA-923 plant/group proxy",IF(ISNUMBER(I223),"Technology estimate","No thermal heat rate"))</f>
        <v>No thermal heat rate</v>
      </c>
      <c r="Z223" t="str">
        <f>IF(ISNUMBER(S223),"Review: NOT unit verified",IF(AE223="No match","No EIA match",IF(AF223="Unconfirmed","Unconfirmed EIA candidate","")))</f>
        <v/>
      </c>
      <c r="AE223" t="s">
        <v>65</v>
      </c>
      <c r="AF223" t="s">
        <v>66</v>
      </c>
      <c r="AG223" s="24">
        <f>IF(ISBLANK(S223),S223,I223)</f>
        <v>0</v>
      </c>
      <c r="AH223" s="34">
        <f t="shared" si="12"/>
        <v>5234.5</v>
      </c>
      <c r="AI223">
        <f t="shared" si="11"/>
        <v>3268.8535963925297</v>
      </c>
      <c r="AJ223" t="b" cm="1">
        <f t="array" ref="AJ223">OR(D223=$AT$2:$AT$8)</f>
        <v>1</v>
      </c>
    </row>
    <row r="224" spans="1:36" x14ac:dyDescent="0.25">
      <c r="A224" s="2" t="s">
        <v>1344</v>
      </c>
      <c r="B224" s="3">
        <v>1</v>
      </c>
      <c r="C224" s="2" t="s">
        <v>228</v>
      </c>
      <c r="D224" s="2" t="s">
        <v>228</v>
      </c>
      <c r="E224" s="2" t="s">
        <v>59</v>
      </c>
      <c r="F224" s="4" t="s">
        <v>60</v>
      </c>
      <c r="G224" s="4" t="s">
        <v>61</v>
      </c>
      <c r="H224" s="5"/>
      <c r="I224" s="5"/>
      <c r="J224" s="5"/>
      <c r="K224" s="4" t="s">
        <v>62</v>
      </c>
      <c r="L224" s="4" t="s">
        <v>63</v>
      </c>
      <c r="M224" s="6" t="str">
        <f>IF(OR(B224="",I224=""),"",B224*I224)</f>
        <v/>
      </c>
      <c r="N224" s="8" t="s">
        <v>64</v>
      </c>
      <c r="O224" s="9"/>
      <c r="P224" s="9"/>
      <c r="Q224" s="22"/>
      <c r="R224" s="22"/>
      <c r="S224" s="23" t="str">
        <f>IF(AND(ISNUMBER(Q224),Q224&gt;0,ISNUMBER(R224),R224&gt;0),R224/Q224,"")</f>
        <v/>
      </c>
      <c r="T224" s="9"/>
      <c r="U224" s="9"/>
      <c r="V224" s="9"/>
      <c r="W224" s="9"/>
      <c r="X224" s="23" t="str">
        <f>IF(ISNUMBER(S224),S224,IF(ISNUMBER(I224),I224,""))</f>
        <v/>
      </c>
      <c r="Y224" t="str">
        <f>IF(ISNUMBER(S224),"2025 EIA-923 plant/group proxy",IF(ISNUMBER(I224),"Technology estimate","No thermal heat rate"))</f>
        <v>No thermal heat rate</v>
      </c>
      <c r="Z224" t="str">
        <f>IF(ISNUMBER(S224),"Review: NOT unit verified",IF(AE224="No match","No EIA match",IF(AF224="Unconfirmed","Unconfirmed EIA candidate","")))</f>
        <v/>
      </c>
      <c r="AE224" t="s">
        <v>65</v>
      </c>
      <c r="AF224" t="s">
        <v>66</v>
      </c>
      <c r="AG224" s="24">
        <f>IF(ISBLANK(S224),S224,I224)</f>
        <v>0</v>
      </c>
      <c r="AH224" s="34">
        <f t="shared" si="12"/>
        <v>5235.5</v>
      </c>
      <c r="AI224">
        <f t="shared" si="11"/>
        <v>3269.4780788830049</v>
      </c>
      <c r="AJ224" t="b" cm="1">
        <f t="array" ref="AJ224">OR(D224=$AT$2:$AT$8)</f>
        <v>1</v>
      </c>
    </row>
    <row r="225" spans="1:36" x14ac:dyDescent="0.25">
      <c r="A225" s="2" t="s">
        <v>1346</v>
      </c>
      <c r="B225" s="3">
        <v>44.8</v>
      </c>
      <c r="C225" s="2" t="s">
        <v>68</v>
      </c>
      <c r="D225" s="2" t="s">
        <v>69</v>
      </c>
      <c r="E225" s="2" t="s">
        <v>59</v>
      </c>
      <c r="F225" s="4" t="s">
        <v>60</v>
      </c>
      <c r="G225" s="4" t="s">
        <v>61</v>
      </c>
      <c r="H225" s="5"/>
      <c r="I225" s="5"/>
      <c r="J225" s="5"/>
      <c r="K225" s="4" t="s">
        <v>62</v>
      </c>
      <c r="L225" s="4" t="s">
        <v>63</v>
      </c>
      <c r="M225" s="6" t="str">
        <f>IF(OR(B225="",I225=""),"",B225*I225)</f>
        <v/>
      </c>
      <c r="N225" s="8" t="s">
        <v>64</v>
      </c>
      <c r="O225" s="9"/>
      <c r="P225" s="9"/>
      <c r="Q225" s="22"/>
      <c r="R225" s="22"/>
      <c r="S225" s="23" t="str">
        <f>IF(AND(ISNUMBER(Q225),Q225&gt;0,ISNUMBER(R225),R225&gt;0),R225/Q225,"")</f>
        <v/>
      </c>
      <c r="T225" s="9"/>
      <c r="U225" s="9"/>
      <c r="V225" s="9"/>
      <c r="W225" s="9"/>
      <c r="X225" s="23" t="str">
        <f>IF(ISNUMBER(S225),S225,IF(ISNUMBER(I225),I225,""))</f>
        <v/>
      </c>
      <c r="Y225" t="str">
        <f>IF(ISNUMBER(S225),"2025 EIA-923 plant/group proxy",IF(ISNUMBER(I225),"Technology estimate","No thermal heat rate"))</f>
        <v>No thermal heat rate</v>
      </c>
      <c r="Z225" t="str">
        <f>IF(ISNUMBER(S225),"Review: NOT unit verified",IF(AE225="No match","No EIA match",IF(AF225="Unconfirmed","Unconfirmed EIA candidate","")))</f>
        <v/>
      </c>
      <c r="AE225" t="s">
        <v>65</v>
      </c>
      <c r="AF225" t="s">
        <v>66</v>
      </c>
      <c r="AG225" s="24">
        <f>IF(ISBLANK(S225),S225,I225)</f>
        <v>0</v>
      </c>
      <c r="AH225" s="34">
        <f t="shared" si="12"/>
        <v>5280.3</v>
      </c>
      <c r="AI225">
        <f t="shared" si="11"/>
        <v>3297.4548944562948</v>
      </c>
      <c r="AJ225" t="b" cm="1">
        <f t="array" ref="AJ225">OR(D225=$AT$2:$AT$8)</f>
        <v>0</v>
      </c>
    </row>
    <row r="226" spans="1:36" x14ac:dyDescent="0.25">
      <c r="A226" s="2" t="s">
        <v>1368</v>
      </c>
      <c r="B226" s="3">
        <v>7.8</v>
      </c>
      <c r="C226" s="2" t="s">
        <v>57</v>
      </c>
      <c r="D226" s="2" t="s">
        <v>58</v>
      </c>
      <c r="E226" s="2" t="s">
        <v>59</v>
      </c>
      <c r="F226" s="4" t="s">
        <v>60</v>
      </c>
      <c r="G226" s="4" t="s">
        <v>61</v>
      </c>
      <c r="H226" s="5"/>
      <c r="I226" s="5"/>
      <c r="J226" s="5"/>
      <c r="K226" s="4" t="s">
        <v>62</v>
      </c>
      <c r="L226" s="4" t="s">
        <v>63</v>
      </c>
      <c r="M226" s="6" t="str">
        <f>IF(OR(B226="",I226=""),"",B226*I226)</f>
        <v/>
      </c>
      <c r="N226" s="8" t="s">
        <v>64</v>
      </c>
      <c r="O226" s="9"/>
      <c r="P226" s="9"/>
      <c r="Q226" s="22"/>
      <c r="R226" s="22"/>
      <c r="S226" s="23" t="str">
        <f>IF(AND(ISNUMBER(Q226),Q226&gt;0,ISNUMBER(R226),R226&gt;0),R226/Q226,"")</f>
        <v/>
      </c>
      <c r="T226" s="9"/>
      <c r="U226" s="9"/>
      <c r="V226" s="9"/>
      <c r="W226" s="9"/>
      <c r="X226" s="23" t="str">
        <f>IF(ISNUMBER(S226),S226,IF(ISNUMBER(I226),I226,""))</f>
        <v/>
      </c>
      <c r="Y226" t="str">
        <f>IF(ISNUMBER(S226),"2025 EIA-923 plant/group proxy",IF(ISNUMBER(I226),"Technology estimate","No thermal heat rate"))</f>
        <v>No thermal heat rate</v>
      </c>
      <c r="Z226" t="str">
        <f>IF(ISNUMBER(S226),"Review: NOT unit verified",IF(AE226="No match","No EIA match",IF(AF226="Unconfirmed","Unconfirmed EIA candidate","")))</f>
        <v/>
      </c>
      <c r="AE226" t="s">
        <v>65</v>
      </c>
      <c r="AF226" t="s">
        <v>66</v>
      </c>
      <c r="AG226" s="24">
        <f>IF(ISBLANK(S226),S226,I226)</f>
        <v>0</v>
      </c>
      <c r="AH226" s="34">
        <f t="shared" si="12"/>
        <v>5288.1</v>
      </c>
      <c r="AI226">
        <f t="shared" si="11"/>
        <v>3302.3258578820014</v>
      </c>
      <c r="AJ226" t="b" cm="1">
        <f t="array" ref="AJ226">OR(D226=$AT$2:$AT$8)</f>
        <v>0</v>
      </c>
    </row>
    <row r="227" spans="1:36" x14ac:dyDescent="0.25">
      <c r="A227" s="2" t="s">
        <v>1383</v>
      </c>
      <c r="B227" s="3">
        <v>0.9</v>
      </c>
      <c r="C227" s="2" t="s">
        <v>57</v>
      </c>
      <c r="D227" s="2" t="s">
        <v>58</v>
      </c>
      <c r="E227" s="2" t="s">
        <v>59</v>
      </c>
      <c r="F227" s="4" t="s">
        <v>60</v>
      </c>
      <c r="G227" s="4" t="s">
        <v>61</v>
      </c>
      <c r="H227" s="5"/>
      <c r="I227" s="5"/>
      <c r="J227" s="5"/>
      <c r="K227" s="4" t="s">
        <v>62</v>
      </c>
      <c r="L227" s="4" t="s">
        <v>63</v>
      </c>
      <c r="M227" s="6" t="str">
        <f>IF(OR(B227="",I227=""),"",B227*I227)</f>
        <v/>
      </c>
      <c r="N227" s="8" t="s">
        <v>64</v>
      </c>
      <c r="O227" s="9"/>
      <c r="P227" s="9"/>
      <c r="Q227" s="22"/>
      <c r="R227" s="22"/>
      <c r="S227" s="23" t="str">
        <f>IF(AND(ISNUMBER(Q227),Q227&gt;0,ISNUMBER(R227),R227&gt;0),R227/Q227,"")</f>
        <v/>
      </c>
      <c r="T227" s="9"/>
      <c r="U227" s="9"/>
      <c r="V227" s="9"/>
      <c r="W227" s="9"/>
      <c r="X227" s="23" t="str">
        <f>IF(ISNUMBER(S227),S227,IF(ISNUMBER(I227),I227,""))</f>
        <v/>
      </c>
      <c r="Y227" t="str">
        <f>IF(ISNUMBER(S227),"2025 EIA-923 plant/group proxy",IF(ISNUMBER(I227),"Technology estimate","No thermal heat rate"))</f>
        <v>No thermal heat rate</v>
      </c>
      <c r="Z227" t="str">
        <f>IF(ISNUMBER(S227),"Review: NOT unit verified",IF(AE227="No match","No EIA match",IF(AF227="Unconfirmed","Unconfirmed EIA candidate","")))</f>
        <v/>
      </c>
      <c r="AE227" t="s">
        <v>65</v>
      </c>
      <c r="AF227" t="s">
        <v>66</v>
      </c>
      <c r="AG227" s="24">
        <f>IF(ISBLANK(S227),S227,I227)</f>
        <v>0</v>
      </c>
      <c r="AH227" s="34">
        <f t="shared" si="12"/>
        <v>5289</v>
      </c>
      <c r="AI227">
        <f t="shared" si="11"/>
        <v>3302.8878921234291</v>
      </c>
      <c r="AJ227" t="b" cm="1">
        <f t="array" ref="AJ227">OR(D227=$AT$2:$AT$8)</f>
        <v>0</v>
      </c>
    </row>
    <row r="228" spans="1:36" x14ac:dyDescent="0.25">
      <c r="A228" s="2" t="s">
        <v>1389</v>
      </c>
      <c r="B228" s="3">
        <v>3.2</v>
      </c>
      <c r="C228" s="2" t="s">
        <v>91</v>
      </c>
      <c r="D228" s="2" t="s">
        <v>91</v>
      </c>
      <c r="E228" s="2" t="s">
        <v>59</v>
      </c>
      <c r="F228" s="4" t="s">
        <v>60</v>
      </c>
      <c r="G228" s="4" t="s">
        <v>61</v>
      </c>
      <c r="H228" s="5"/>
      <c r="I228" s="5"/>
      <c r="J228" s="5"/>
      <c r="K228" s="4" t="s">
        <v>62</v>
      </c>
      <c r="L228" s="4" t="s">
        <v>63</v>
      </c>
      <c r="M228" s="6" t="str">
        <f>IF(OR(B228="",I228=""),"",B228*I228)</f>
        <v/>
      </c>
      <c r="N228" s="8" t="s">
        <v>64</v>
      </c>
      <c r="O228" s="9"/>
      <c r="P228" s="9"/>
      <c r="Q228" s="22"/>
      <c r="R228" s="22"/>
      <c r="S228" s="23" t="str">
        <f>IF(AND(ISNUMBER(Q228),Q228&gt;0,ISNUMBER(R228),R228&gt;0),R228/Q228,"")</f>
        <v/>
      </c>
      <c r="T228" s="9"/>
      <c r="U228" s="9"/>
      <c r="V228" s="9"/>
      <c r="W228" s="9"/>
      <c r="X228" s="23" t="str">
        <f>IF(ISNUMBER(S228),S228,IF(ISNUMBER(I228),I228,""))</f>
        <v/>
      </c>
      <c r="Y228" t="str">
        <f>IF(ISNUMBER(S228),"2025 EIA-923 plant/group proxy",IF(ISNUMBER(I228),"Technology estimate","No thermal heat rate"))</f>
        <v>No thermal heat rate</v>
      </c>
      <c r="Z228" t="str">
        <f>IF(ISNUMBER(S228),"Review: NOT unit verified",IF(AE228="No match","No EIA match",IF(AF228="Unconfirmed","Unconfirmed EIA candidate","")))</f>
        <v/>
      </c>
      <c r="AE228" t="s">
        <v>65</v>
      </c>
      <c r="AF228" t="s">
        <v>66</v>
      </c>
      <c r="AG228" s="24">
        <f>IF(ISBLANK(S228),S228,I228)</f>
        <v>0</v>
      </c>
      <c r="AH228" s="34">
        <f t="shared" si="12"/>
        <v>5292.2</v>
      </c>
      <c r="AI228">
        <f t="shared" si="11"/>
        <v>3304.8862360929497</v>
      </c>
      <c r="AJ228" t="b" cm="1">
        <f t="array" ref="AJ228">OR(D228=$AT$2:$AT$8)</f>
        <v>1</v>
      </c>
    </row>
    <row r="229" spans="1:36" x14ac:dyDescent="0.25">
      <c r="A229" s="2" t="s">
        <v>1409</v>
      </c>
      <c r="B229" s="3">
        <v>3.1</v>
      </c>
      <c r="C229" s="2" t="s">
        <v>68</v>
      </c>
      <c r="D229" s="2" t="s">
        <v>69</v>
      </c>
      <c r="E229" s="2" t="s">
        <v>59</v>
      </c>
      <c r="F229" s="4" t="s">
        <v>60</v>
      </c>
      <c r="G229" s="4" t="s">
        <v>61</v>
      </c>
      <c r="H229" s="5"/>
      <c r="I229" s="5"/>
      <c r="J229" s="5"/>
      <c r="K229" s="4" t="s">
        <v>62</v>
      </c>
      <c r="L229" s="4" t="s">
        <v>63</v>
      </c>
      <c r="M229" s="6" t="str">
        <f>IF(OR(B229="",I229=""),"",B229*I229)</f>
        <v/>
      </c>
      <c r="N229" s="8" t="s">
        <v>64</v>
      </c>
      <c r="O229" s="9"/>
      <c r="P229" s="9"/>
      <c r="Q229" s="22"/>
      <c r="R229" s="22"/>
      <c r="S229" s="23" t="str">
        <f>IF(AND(ISNUMBER(Q229),Q229&gt;0,ISNUMBER(R229),R229&gt;0),R229/Q229,"")</f>
        <v/>
      </c>
      <c r="T229" s="9"/>
      <c r="U229" s="9"/>
      <c r="V229" s="9"/>
      <c r="W229" s="9"/>
      <c r="X229" s="23" t="str">
        <f>IF(ISNUMBER(S229),S229,IF(ISNUMBER(I229),I229,""))</f>
        <v/>
      </c>
      <c r="Y229" t="str">
        <f>IF(ISNUMBER(S229),"2025 EIA-923 plant/group proxy",IF(ISNUMBER(I229),"Technology estimate","No thermal heat rate"))</f>
        <v>No thermal heat rate</v>
      </c>
      <c r="Z229" t="str">
        <f>IF(ISNUMBER(S229),"Review: NOT unit verified",IF(AE229="No match","No EIA match",IF(AF229="Unconfirmed","Unconfirmed EIA candidate","")))</f>
        <v/>
      </c>
      <c r="AE229" t="s">
        <v>65</v>
      </c>
      <c r="AF229" t="s">
        <v>66</v>
      </c>
      <c r="AG229" s="24">
        <f>IF(ISBLANK(S229),S229,I229)</f>
        <v>0</v>
      </c>
      <c r="AH229" s="34">
        <f t="shared" si="12"/>
        <v>5295.3</v>
      </c>
      <c r="AI229">
        <f t="shared" si="11"/>
        <v>3306.8221318134229</v>
      </c>
      <c r="AJ229" t="b" cm="1">
        <f t="array" ref="AJ229">OR(D229=$AT$2:$AT$8)</f>
        <v>0</v>
      </c>
    </row>
    <row r="230" spans="1:36" x14ac:dyDescent="0.25">
      <c r="A230" s="2" t="s">
        <v>1410</v>
      </c>
      <c r="B230" s="3">
        <v>0.8</v>
      </c>
      <c r="C230" s="2" t="s">
        <v>405</v>
      </c>
      <c r="D230" s="2" t="s">
        <v>405</v>
      </c>
      <c r="E230" s="2" t="s">
        <v>59</v>
      </c>
      <c r="F230" s="4" t="s">
        <v>60</v>
      </c>
      <c r="G230" s="4" t="s">
        <v>61</v>
      </c>
      <c r="H230" s="5"/>
      <c r="I230" s="5"/>
      <c r="J230" s="5"/>
      <c r="K230" s="4" t="s">
        <v>62</v>
      </c>
      <c r="L230" s="4" t="s">
        <v>63</v>
      </c>
      <c r="M230" s="6" t="str">
        <f>IF(OR(B230="",I230=""),"",B230*I230)</f>
        <v/>
      </c>
      <c r="N230" s="8" t="s">
        <v>64</v>
      </c>
      <c r="O230" s="9"/>
      <c r="P230" s="9"/>
      <c r="Q230" s="22"/>
      <c r="R230" s="22"/>
      <c r="S230" s="23" t="str">
        <f>IF(AND(ISNUMBER(Q230),Q230&gt;0,ISNUMBER(R230),R230&gt;0),R230/Q230,"")</f>
        <v/>
      </c>
      <c r="T230" s="9"/>
      <c r="U230" s="9"/>
      <c r="V230" s="9"/>
      <c r="W230" s="9"/>
      <c r="X230" s="23" t="str">
        <f>IF(ISNUMBER(S230),S230,IF(ISNUMBER(I230),I230,""))</f>
        <v/>
      </c>
      <c r="Y230" t="str">
        <f>IF(ISNUMBER(S230),"2025 EIA-923 plant/group proxy",IF(ISNUMBER(I230),"Technology estimate","No thermal heat rate"))</f>
        <v>No thermal heat rate</v>
      </c>
      <c r="Z230" t="str">
        <f>IF(ISNUMBER(S230),"Review: NOT unit verified",IF(AE230="No match","No EIA match",IF(AF230="Unconfirmed","Unconfirmed EIA candidate","")))</f>
        <v/>
      </c>
      <c r="AE230" t="s">
        <v>65</v>
      </c>
      <c r="AF230" t="s">
        <v>66</v>
      </c>
      <c r="AG230" s="24">
        <f>IF(ISBLANK(S230),S230,I230)</f>
        <v>0</v>
      </c>
      <c r="AH230" s="34">
        <f t="shared" si="12"/>
        <v>5296.1</v>
      </c>
      <c r="AI230">
        <f t="shared" si="11"/>
        <v>3307.3217178058035</v>
      </c>
      <c r="AJ230" t="b" cm="1">
        <f t="array" ref="AJ230">OR(D230=$AT$2:$AT$8)</f>
        <v>1</v>
      </c>
    </row>
    <row r="231" spans="1:36" x14ac:dyDescent="0.25">
      <c r="A231" s="2" t="s">
        <v>1412</v>
      </c>
      <c r="B231" s="3">
        <v>0.9</v>
      </c>
      <c r="C231" s="2" t="s">
        <v>228</v>
      </c>
      <c r="D231" s="2" t="s">
        <v>228</v>
      </c>
      <c r="E231" s="2" t="s">
        <v>59</v>
      </c>
      <c r="F231" s="4" t="s">
        <v>60</v>
      </c>
      <c r="G231" s="4" t="s">
        <v>61</v>
      </c>
      <c r="H231" s="5"/>
      <c r="I231" s="5"/>
      <c r="J231" s="5"/>
      <c r="K231" s="4" t="s">
        <v>62</v>
      </c>
      <c r="L231" s="4" t="s">
        <v>63</v>
      </c>
      <c r="M231" s="6" t="str">
        <f>IF(OR(B231="",I231=""),"",B231*I231)</f>
        <v/>
      </c>
      <c r="N231" s="8" t="s">
        <v>64</v>
      </c>
      <c r="O231" s="9"/>
      <c r="P231" s="9"/>
      <c r="Q231" s="22"/>
      <c r="R231" s="22"/>
      <c r="S231" s="23" t="str">
        <f>IF(AND(ISNUMBER(Q231),Q231&gt;0,ISNUMBER(R231),R231&gt;0),R231/Q231,"")</f>
        <v/>
      </c>
      <c r="T231" s="9"/>
      <c r="U231" s="9"/>
      <c r="V231" s="9"/>
      <c r="W231" s="9"/>
      <c r="X231" s="23" t="str">
        <f>IF(ISNUMBER(S231),S231,IF(ISNUMBER(I231),I231,""))</f>
        <v/>
      </c>
      <c r="Y231" t="str">
        <f>IF(ISNUMBER(S231),"2025 EIA-923 plant/group proxy",IF(ISNUMBER(I231),"Technology estimate","No thermal heat rate"))</f>
        <v>No thermal heat rate</v>
      </c>
      <c r="Z231" t="str">
        <f>IF(ISNUMBER(S231),"Review: NOT unit verified",IF(AE231="No match","No EIA match",IF(AF231="Unconfirmed","Unconfirmed EIA candidate","")))</f>
        <v/>
      </c>
      <c r="AE231" t="s">
        <v>65</v>
      </c>
      <c r="AF231" t="s">
        <v>66</v>
      </c>
      <c r="AG231" s="24">
        <f>IF(ISBLANK(S231),S231,I231)</f>
        <v>0</v>
      </c>
      <c r="AH231" s="34">
        <f t="shared" si="12"/>
        <v>5297</v>
      </c>
      <c r="AI231">
        <f t="shared" si="11"/>
        <v>3307.8837520472307</v>
      </c>
      <c r="AJ231" t="b" cm="1">
        <f t="array" ref="AJ231">OR(D231=$AT$2:$AT$8)</f>
        <v>1</v>
      </c>
    </row>
    <row r="232" spans="1:36" x14ac:dyDescent="0.25">
      <c r="A232" s="2" t="s">
        <v>1413</v>
      </c>
      <c r="B232" s="3">
        <v>0.3</v>
      </c>
      <c r="C232" s="2" t="s">
        <v>228</v>
      </c>
      <c r="D232" s="2" t="s">
        <v>228</v>
      </c>
      <c r="E232" s="2" t="s">
        <v>59</v>
      </c>
      <c r="F232" s="4" t="s">
        <v>60</v>
      </c>
      <c r="G232" s="4" t="s">
        <v>61</v>
      </c>
      <c r="H232" s="5"/>
      <c r="I232" s="5"/>
      <c r="J232" s="5"/>
      <c r="K232" s="4" t="s">
        <v>62</v>
      </c>
      <c r="L232" s="4" t="s">
        <v>63</v>
      </c>
      <c r="M232" s="6" t="str">
        <f>IF(OR(B232="",I232=""),"",B232*I232)</f>
        <v/>
      </c>
      <c r="N232" s="8" t="s">
        <v>64</v>
      </c>
      <c r="O232" s="9"/>
      <c r="P232" s="9"/>
      <c r="Q232" s="22"/>
      <c r="R232" s="22"/>
      <c r="S232" s="23" t="str">
        <f>IF(AND(ISNUMBER(Q232),Q232&gt;0,ISNUMBER(R232),R232&gt;0),R232/Q232,"")</f>
        <v/>
      </c>
      <c r="T232" s="9"/>
      <c r="U232" s="9"/>
      <c r="V232" s="9"/>
      <c r="W232" s="9"/>
      <c r="X232" s="23" t="str">
        <f>IF(ISNUMBER(S232),S232,IF(ISNUMBER(I232),I232,""))</f>
        <v/>
      </c>
      <c r="Y232" t="str">
        <f>IF(ISNUMBER(S232),"2025 EIA-923 plant/group proxy",IF(ISNUMBER(I232),"Technology estimate","No thermal heat rate"))</f>
        <v>No thermal heat rate</v>
      </c>
      <c r="Z232" t="str">
        <f>IF(ISNUMBER(S232),"Review: NOT unit verified",IF(AE232="No match","No EIA match",IF(AF232="Unconfirmed","Unconfirmed EIA candidate","")))</f>
        <v/>
      </c>
      <c r="AE232" t="s">
        <v>65</v>
      </c>
      <c r="AF232" t="s">
        <v>66</v>
      </c>
      <c r="AG232" s="24">
        <f>IF(ISBLANK(S232),S232,I232)</f>
        <v>0</v>
      </c>
      <c r="AH232" s="34">
        <f t="shared" si="12"/>
        <v>5297.3</v>
      </c>
      <c r="AI232">
        <f t="shared" si="11"/>
        <v>3308.0710967943733</v>
      </c>
      <c r="AJ232" t="b" cm="1">
        <f t="array" ref="AJ232">OR(D232=$AT$2:$AT$8)</f>
        <v>1</v>
      </c>
    </row>
    <row r="233" spans="1:36" x14ac:dyDescent="0.25">
      <c r="A233" s="2" t="s">
        <v>1414</v>
      </c>
      <c r="B233" s="3">
        <v>0.2</v>
      </c>
      <c r="C233" s="2" t="s">
        <v>228</v>
      </c>
      <c r="D233" s="2" t="s">
        <v>228</v>
      </c>
      <c r="E233" s="2" t="s">
        <v>59</v>
      </c>
      <c r="F233" s="4" t="s">
        <v>60</v>
      </c>
      <c r="G233" s="4" t="s">
        <v>61</v>
      </c>
      <c r="H233" s="5"/>
      <c r="I233" s="5"/>
      <c r="J233" s="5"/>
      <c r="K233" s="4" t="s">
        <v>62</v>
      </c>
      <c r="L233" s="4" t="s">
        <v>63</v>
      </c>
      <c r="M233" s="6" t="str">
        <f>IF(OR(B233="",I233=""),"",B233*I233)</f>
        <v/>
      </c>
      <c r="N233" s="8" t="s">
        <v>64</v>
      </c>
      <c r="O233" s="9"/>
      <c r="P233" s="9"/>
      <c r="Q233" s="22"/>
      <c r="R233" s="22"/>
      <c r="S233" s="23" t="str">
        <f>IF(AND(ISNUMBER(Q233),Q233&gt;0,ISNUMBER(R233),R233&gt;0),R233/Q233,"")</f>
        <v/>
      </c>
      <c r="T233" s="9"/>
      <c r="U233" s="9"/>
      <c r="V233" s="9"/>
      <c r="W233" s="9"/>
      <c r="X233" s="23" t="str">
        <f>IF(ISNUMBER(S233),S233,IF(ISNUMBER(I233),I233,""))</f>
        <v/>
      </c>
      <c r="Y233" t="str">
        <f>IF(ISNUMBER(S233),"2025 EIA-923 plant/group proxy",IF(ISNUMBER(I233),"Technology estimate","No thermal heat rate"))</f>
        <v>No thermal heat rate</v>
      </c>
      <c r="Z233" t="str">
        <f>IF(ISNUMBER(S233),"Review: NOT unit verified",IF(AE233="No match","No EIA match",IF(AF233="Unconfirmed","Unconfirmed EIA candidate","")))</f>
        <v/>
      </c>
      <c r="AE233" t="s">
        <v>65</v>
      </c>
      <c r="AF233" t="s">
        <v>66</v>
      </c>
      <c r="AG233" s="24">
        <f>IF(ISBLANK(S233),S233,I233)</f>
        <v>0</v>
      </c>
      <c r="AH233" s="34">
        <f t="shared" si="12"/>
        <v>5297.5</v>
      </c>
      <c r="AI233">
        <f t="shared" si="11"/>
        <v>3308.1959932924683</v>
      </c>
      <c r="AJ233" t="b" cm="1">
        <f t="array" ref="AJ233">OR(D233=$AT$2:$AT$8)</f>
        <v>1</v>
      </c>
    </row>
    <row r="234" spans="1:36" x14ac:dyDescent="0.25">
      <c r="A234" s="2" t="s">
        <v>1415</v>
      </c>
      <c r="B234" s="3">
        <v>0.2</v>
      </c>
      <c r="C234" s="2" t="s">
        <v>228</v>
      </c>
      <c r="D234" s="2" t="s">
        <v>228</v>
      </c>
      <c r="E234" s="2" t="s">
        <v>59</v>
      </c>
      <c r="F234" s="4" t="s">
        <v>60</v>
      </c>
      <c r="G234" s="4" t="s">
        <v>61</v>
      </c>
      <c r="H234" s="5"/>
      <c r="I234" s="5"/>
      <c r="J234" s="5"/>
      <c r="K234" s="4" t="s">
        <v>62</v>
      </c>
      <c r="L234" s="4" t="s">
        <v>63</v>
      </c>
      <c r="M234" s="6" t="str">
        <f>IF(OR(B234="",I234=""),"",B234*I234)</f>
        <v/>
      </c>
      <c r="N234" s="8" t="s">
        <v>64</v>
      </c>
      <c r="O234" s="9"/>
      <c r="P234" s="9"/>
      <c r="Q234" s="22"/>
      <c r="R234" s="22"/>
      <c r="S234" s="23" t="str">
        <f>IF(AND(ISNUMBER(Q234),Q234&gt;0,ISNUMBER(R234),R234&gt;0),R234/Q234,"")</f>
        <v/>
      </c>
      <c r="T234" s="9"/>
      <c r="U234" s="9"/>
      <c r="V234" s="9"/>
      <c r="W234" s="9"/>
      <c r="X234" s="23" t="str">
        <f>IF(ISNUMBER(S234),S234,IF(ISNUMBER(I234),I234,""))</f>
        <v/>
      </c>
      <c r="Y234" t="str">
        <f>IF(ISNUMBER(S234),"2025 EIA-923 plant/group proxy",IF(ISNUMBER(I234),"Technology estimate","No thermal heat rate"))</f>
        <v>No thermal heat rate</v>
      </c>
      <c r="Z234" t="str">
        <f>IF(ISNUMBER(S234),"Review: NOT unit verified",IF(AE234="No match","No EIA match",IF(AF234="Unconfirmed","Unconfirmed EIA candidate","")))</f>
        <v/>
      </c>
      <c r="AE234" t="s">
        <v>65</v>
      </c>
      <c r="AF234" t="s">
        <v>66</v>
      </c>
      <c r="AG234" s="24">
        <f>IF(ISBLANK(S234),S234,I234)</f>
        <v>0</v>
      </c>
      <c r="AH234" s="34">
        <f t="shared" si="12"/>
        <v>5297.7</v>
      </c>
      <c r="AI234">
        <f t="shared" si="11"/>
        <v>3308.3208897905633</v>
      </c>
      <c r="AJ234" t="b" cm="1">
        <f t="array" ref="AJ234">OR(D234=$AT$2:$AT$8)</f>
        <v>1</v>
      </c>
    </row>
    <row r="235" spans="1:36" x14ac:dyDescent="0.25">
      <c r="A235" s="2" t="s">
        <v>1416</v>
      </c>
      <c r="B235" s="3">
        <v>0.9</v>
      </c>
      <c r="C235" s="2" t="s">
        <v>228</v>
      </c>
      <c r="D235" s="2" t="s">
        <v>228</v>
      </c>
      <c r="E235" s="2" t="s">
        <v>59</v>
      </c>
      <c r="F235" s="4" t="s">
        <v>60</v>
      </c>
      <c r="G235" s="4" t="s">
        <v>61</v>
      </c>
      <c r="H235" s="5"/>
      <c r="I235" s="5"/>
      <c r="J235" s="5"/>
      <c r="K235" s="4" t="s">
        <v>62</v>
      </c>
      <c r="L235" s="4" t="s">
        <v>63</v>
      </c>
      <c r="M235" s="6" t="str">
        <f>IF(OR(B235="",I235=""),"",B235*I235)</f>
        <v/>
      </c>
      <c r="N235" s="8" t="s">
        <v>64</v>
      </c>
      <c r="O235" s="9"/>
      <c r="P235" s="9"/>
      <c r="Q235" s="22"/>
      <c r="R235" s="22"/>
      <c r="S235" s="23" t="str">
        <f>IF(AND(ISNUMBER(Q235),Q235&gt;0,ISNUMBER(R235),R235&gt;0),R235/Q235,"")</f>
        <v/>
      </c>
      <c r="T235" s="9"/>
      <c r="U235" s="9"/>
      <c r="V235" s="9"/>
      <c r="W235" s="9"/>
      <c r="X235" s="23" t="str">
        <f>IF(ISNUMBER(S235),S235,IF(ISNUMBER(I235),I235,""))</f>
        <v/>
      </c>
      <c r="Y235" t="str">
        <f>IF(ISNUMBER(S235),"2025 EIA-923 plant/group proxy",IF(ISNUMBER(I235),"Technology estimate","No thermal heat rate"))</f>
        <v>No thermal heat rate</v>
      </c>
      <c r="Z235" t="str">
        <f>IF(ISNUMBER(S235),"Review: NOT unit verified",IF(AE235="No match","No EIA match",IF(AF235="Unconfirmed","Unconfirmed EIA candidate","")))</f>
        <v/>
      </c>
      <c r="AE235" t="s">
        <v>65</v>
      </c>
      <c r="AF235" t="s">
        <v>66</v>
      </c>
      <c r="AG235" s="24">
        <f>IF(ISBLANK(S235),S235,I235)</f>
        <v>0</v>
      </c>
      <c r="AH235" s="34">
        <f t="shared" si="12"/>
        <v>5298.5999999999995</v>
      </c>
      <c r="AI235">
        <f t="shared" si="11"/>
        <v>3308.882924031991</v>
      </c>
      <c r="AJ235" t="b" cm="1">
        <f t="array" ref="AJ235">OR(D235=$AT$2:$AT$8)</f>
        <v>1</v>
      </c>
    </row>
    <row r="236" spans="1:36" x14ac:dyDescent="0.25">
      <c r="A236" s="2" t="s">
        <v>1417</v>
      </c>
      <c r="B236" s="3">
        <v>1.2</v>
      </c>
      <c r="C236" s="2" t="s">
        <v>228</v>
      </c>
      <c r="D236" s="2" t="s">
        <v>228</v>
      </c>
      <c r="E236" s="2" t="s">
        <v>59</v>
      </c>
      <c r="F236" s="4" t="s">
        <v>60</v>
      </c>
      <c r="G236" s="4" t="s">
        <v>61</v>
      </c>
      <c r="H236" s="5"/>
      <c r="I236" s="5"/>
      <c r="J236" s="5"/>
      <c r="K236" s="4" t="s">
        <v>62</v>
      </c>
      <c r="L236" s="4" t="s">
        <v>63</v>
      </c>
      <c r="M236" s="6" t="str">
        <f>IF(OR(B236="",I236=""),"",B236*I236)</f>
        <v/>
      </c>
      <c r="N236" s="8" t="s">
        <v>64</v>
      </c>
      <c r="O236" s="9"/>
      <c r="P236" s="9"/>
      <c r="Q236" s="22"/>
      <c r="R236" s="22"/>
      <c r="S236" s="23" t="str">
        <f>IF(AND(ISNUMBER(Q236),Q236&gt;0,ISNUMBER(R236),R236&gt;0),R236/Q236,"")</f>
        <v/>
      </c>
      <c r="T236" s="9"/>
      <c r="U236" s="9"/>
      <c r="V236" s="9"/>
      <c r="W236" s="9"/>
      <c r="X236" s="23" t="str">
        <f>IF(ISNUMBER(S236),S236,IF(ISNUMBER(I236),I236,""))</f>
        <v/>
      </c>
      <c r="Y236" t="str">
        <f>IF(ISNUMBER(S236),"2025 EIA-923 plant/group proxy",IF(ISNUMBER(I236),"Technology estimate","No thermal heat rate"))</f>
        <v>No thermal heat rate</v>
      </c>
      <c r="Z236" t="str">
        <f>IF(ISNUMBER(S236),"Review: NOT unit verified",IF(AE236="No match","No EIA match",IF(AF236="Unconfirmed","Unconfirmed EIA candidate","")))</f>
        <v/>
      </c>
      <c r="AE236" t="s">
        <v>65</v>
      </c>
      <c r="AF236" t="s">
        <v>66</v>
      </c>
      <c r="AG236" s="24">
        <f>IF(ISBLANK(S236),S236,I236)</f>
        <v>0</v>
      </c>
      <c r="AH236" s="34">
        <f t="shared" si="12"/>
        <v>5299.7999999999993</v>
      </c>
      <c r="AI236">
        <f t="shared" si="11"/>
        <v>3309.6323030205608</v>
      </c>
      <c r="AJ236" t="b" cm="1">
        <f t="array" ref="AJ236">OR(D236=$AT$2:$AT$8)</f>
        <v>1</v>
      </c>
    </row>
    <row r="237" spans="1:36" x14ac:dyDescent="0.25">
      <c r="A237" s="2" t="s">
        <v>1418</v>
      </c>
      <c r="B237" s="3">
        <v>6.6</v>
      </c>
      <c r="C237" s="2" t="s">
        <v>228</v>
      </c>
      <c r="D237" s="2" t="s">
        <v>228</v>
      </c>
      <c r="E237" s="2" t="s">
        <v>59</v>
      </c>
      <c r="F237" s="4" t="s">
        <v>60</v>
      </c>
      <c r="G237" s="4" t="s">
        <v>61</v>
      </c>
      <c r="H237" s="5"/>
      <c r="I237" s="5"/>
      <c r="J237" s="5"/>
      <c r="K237" s="4" t="s">
        <v>62</v>
      </c>
      <c r="L237" s="4" t="s">
        <v>63</v>
      </c>
      <c r="M237" s="6" t="str">
        <f>IF(OR(B237="",I237=""),"",B237*I237)</f>
        <v/>
      </c>
      <c r="N237" s="8" t="s">
        <v>64</v>
      </c>
      <c r="O237" s="9"/>
      <c r="P237" s="9"/>
      <c r="Q237" s="22"/>
      <c r="R237" s="22"/>
      <c r="S237" s="23" t="str">
        <f>IF(AND(ISNUMBER(Q237),Q237&gt;0,ISNUMBER(R237),R237&gt;0),R237/Q237,"")</f>
        <v/>
      </c>
      <c r="T237" s="9"/>
      <c r="U237" s="9"/>
      <c r="V237" s="9"/>
      <c r="W237" s="9"/>
      <c r="X237" s="23" t="str">
        <f>IF(ISNUMBER(S237),S237,IF(ISNUMBER(I237),I237,""))</f>
        <v/>
      </c>
      <c r="Y237" t="str">
        <f>IF(ISNUMBER(S237),"2025 EIA-923 plant/group proxy",IF(ISNUMBER(I237),"Technology estimate","No thermal heat rate"))</f>
        <v>No thermal heat rate</v>
      </c>
      <c r="Z237" t="str">
        <f>IF(ISNUMBER(S237),"Review: NOT unit verified",IF(AE237="No match","No EIA match",IF(AF237="Unconfirmed","Unconfirmed EIA candidate","")))</f>
        <v/>
      </c>
      <c r="AE237" t="s">
        <v>65</v>
      </c>
      <c r="AF237" t="s">
        <v>66</v>
      </c>
      <c r="AG237" s="24">
        <f>IF(ISBLANK(S237),S237,I237)</f>
        <v>0</v>
      </c>
      <c r="AH237" s="34">
        <f t="shared" si="12"/>
        <v>5306.4</v>
      </c>
      <c r="AI237">
        <f t="shared" si="11"/>
        <v>3313.7538874576976</v>
      </c>
      <c r="AJ237" t="b" cm="1">
        <f t="array" ref="AJ237">OR(D237=$AT$2:$AT$8)</f>
        <v>1</v>
      </c>
    </row>
    <row r="238" spans="1:36" x14ac:dyDescent="0.25">
      <c r="A238" s="2" t="s">
        <v>1419</v>
      </c>
      <c r="B238" s="3">
        <v>0.7</v>
      </c>
      <c r="C238" s="2" t="s">
        <v>228</v>
      </c>
      <c r="D238" s="2" t="s">
        <v>228</v>
      </c>
      <c r="E238" s="2" t="s">
        <v>59</v>
      </c>
      <c r="F238" s="4" t="s">
        <v>60</v>
      </c>
      <c r="G238" s="4" t="s">
        <v>61</v>
      </c>
      <c r="H238" s="5"/>
      <c r="I238" s="5"/>
      <c r="J238" s="5"/>
      <c r="K238" s="4" t="s">
        <v>62</v>
      </c>
      <c r="L238" s="4" t="s">
        <v>63</v>
      </c>
      <c r="M238" s="6" t="str">
        <f>IF(OR(B238="",I238=""),"",B238*I238)</f>
        <v/>
      </c>
      <c r="N238" s="8" t="s">
        <v>64</v>
      </c>
      <c r="O238" s="9"/>
      <c r="P238" s="9"/>
      <c r="Q238" s="22"/>
      <c r="R238" s="22"/>
      <c r="S238" s="23" t="str">
        <f>IF(AND(ISNUMBER(Q238),Q238&gt;0,ISNUMBER(R238),R238&gt;0),R238/Q238,"")</f>
        <v/>
      </c>
      <c r="T238" s="9"/>
      <c r="U238" s="9"/>
      <c r="V238" s="9"/>
      <c r="W238" s="9"/>
      <c r="X238" s="23" t="str">
        <f>IF(ISNUMBER(S238),S238,IF(ISNUMBER(I238),I238,""))</f>
        <v/>
      </c>
      <c r="Y238" t="str">
        <f>IF(ISNUMBER(S238),"2025 EIA-923 plant/group proxy",IF(ISNUMBER(I238),"Technology estimate","No thermal heat rate"))</f>
        <v>No thermal heat rate</v>
      </c>
      <c r="Z238" t="str">
        <f>IF(ISNUMBER(S238),"Review: NOT unit verified",IF(AE238="No match","No EIA match",IF(AF238="Unconfirmed","Unconfirmed EIA candidate","")))</f>
        <v/>
      </c>
      <c r="AE238" t="s">
        <v>65</v>
      </c>
      <c r="AF238" t="s">
        <v>66</v>
      </c>
      <c r="AG238" s="24">
        <f>IF(ISBLANK(S238),S238,I238)</f>
        <v>0</v>
      </c>
      <c r="AH238" s="34">
        <f t="shared" si="12"/>
        <v>5307.0999999999995</v>
      </c>
      <c r="AI238">
        <f t="shared" si="11"/>
        <v>3314.1910252010302</v>
      </c>
      <c r="AJ238" t="b" cm="1">
        <f t="array" ref="AJ238">OR(D238=$AT$2:$AT$8)</f>
        <v>1</v>
      </c>
    </row>
    <row r="239" spans="1:36" x14ac:dyDescent="0.25">
      <c r="A239" s="2" t="s">
        <v>1420</v>
      </c>
      <c r="B239" s="3">
        <v>0.2</v>
      </c>
      <c r="C239" s="2" t="s">
        <v>228</v>
      </c>
      <c r="D239" s="2" t="s">
        <v>228</v>
      </c>
      <c r="E239" s="2" t="s">
        <v>59</v>
      </c>
      <c r="F239" s="4" t="s">
        <v>60</v>
      </c>
      <c r="G239" s="4" t="s">
        <v>61</v>
      </c>
      <c r="H239" s="5"/>
      <c r="I239" s="5"/>
      <c r="J239" s="5"/>
      <c r="K239" s="4" t="s">
        <v>62</v>
      </c>
      <c r="L239" s="4" t="s">
        <v>63</v>
      </c>
      <c r="M239" s="6" t="str">
        <f>IF(OR(B239="",I239=""),"",B239*I239)</f>
        <v/>
      </c>
      <c r="N239" s="8" t="s">
        <v>64</v>
      </c>
      <c r="O239" s="9"/>
      <c r="P239" s="9"/>
      <c r="Q239" s="22"/>
      <c r="R239" s="22"/>
      <c r="S239" s="23" t="str">
        <f>IF(AND(ISNUMBER(Q239),Q239&gt;0,ISNUMBER(R239),R239&gt;0),R239/Q239,"")</f>
        <v/>
      </c>
      <c r="T239" s="9"/>
      <c r="U239" s="9"/>
      <c r="V239" s="9"/>
      <c r="W239" s="9"/>
      <c r="X239" s="23" t="str">
        <f>IF(ISNUMBER(S239),S239,IF(ISNUMBER(I239),I239,""))</f>
        <v/>
      </c>
      <c r="Y239" t="str">
        <f>IF(ISNUMBER(S239),"2025 EIA-923 plant/group proxy",IF(ISNUMBER(I239),"Technology estimate","No thermal heat rate"))</f>
        <v>No thermal heat rate</v>
      </c>
      <c r="Z239" t="str">
        <f>IF(ISNUMBER(S239),"Review: NOT unit verified",IF(AE239="No match","No EIA match",IF(AF239="Unconfirmed","Unconfirmed EIA candidate","")))</f>
        <v/>
      </c>
      <c r="AE239" t="s">
        <v>65</v>
      </c>
      <c r="AF239" t="s">
        <v>66</v>
      </c>
      <c r="AG239" s="24">
        <f>IF(ISBLANK(S239),S239,I239)</f>
        <v>0</v>
      </c>
      <c r="AH239" s="34">
        <f t="shared" si="12"/>
        <v>5307.2999999999993</v>
      </c>
      <c r="AI239">
        <f t="shared" si="11"/>
        <v>3314.3159216991253</v>
      </c>
      <c r="AJ239" t="b" cm="1">
        <f t="array" ref="AJ239">OR(D239=$AT$2:$AT$8)</f>
        <v>1</v>
      </c>
    </row>
    <row r="240" spans="1:36" x14ac:dyDescent="0.25">
      <c r="A240" s="2" t="s">
        <v>1421</v>
      </c>
      <c r="B240" s="3">
        <v>0.6</v>
      </c>
      <c r="C240" s="2" t="s">
        <v>228</v>
      </c>
      <c r="D240" s="2" t="s">
        <v>228</v>
      </c>
      <c r="E240" s="2" t="s">
        <v>59</v>
      </c>
      <c r="F240" s="4" t="s">
        <v>60</v>
      </c>
      <c r="G240" s="4" t="s">
        <v>61</v>
      </c>
      <c r="H240" s="5"/>
      <c r="I240" s="5"/>
      <c r="J240" s="5"/>
      <c r="K240" s="4" t="s">
        <v>62</v>
      </c>
      <c r="L240" s="4" t="s">
        <v>63</v>
      </c>
      <c r="M240" s="6" t="str">
        <f>IF(OR(B240="",I240=""),"",B240*I240)</f>
        <v/>
      </c>
      <c r="N240" s="8" t="s">
        <v>64</v>
      </c>
      <c r="O240" s="9"/>
      <c r="P240" s="9"/>
      <c r="Q240" s="22"/>
      <c r="R240" s="22"/>
      <c r="S240" s="23" t="str">
        <f>IF(AND(ISNUMBER(Q240),Q240&gt;0,ISNUMBER(R240),R240&gt;0),R240/Q240,"")</f>
        <v/>
      </c>
      <c r="T240" s="9"/>
      <c r="U240" s="9"/>
      <c r="V240" s="9"/>
      <c r="W240" s="9"/>
      <c r="X240" s="23" t="str">
        <f>IF(ISNUMBER(S240),S240,IF(ISNUMBER(I240),I240,""))</f>
        <v/>
      </c>
      <c r="Y240" t="str">
        <f>IF(ISNUMBER(S240),"2025 EIA-923 plant/group proxy",IF(ISNUMBER(I240),"Technology estimate","No thermal heat rate"))</f>
        <v>No thermal heat rate</v>
      </c>
      <c r="Z240" t="str">
        <f>IF(ISNUMBER(S240),"Review: NOT unit verified",IF(AE240="No match","No EIA match",IF(AF240="Unconfirmed","Unconfirmed EIA candidate","")))</f>
        <v/>
      </c>
      <c r="AE240" t="s">
        <v>65</v>
      </c>
      <c r="AF240" t="s">
        <v>66</v>
      </c>
      <c r="AG240" s="24">
        <f>IF(ISBLANK(S240),S240,I240)</f>
        <v>0</v>
      </c>
      <c r="AH240" s="34">
        <f t="shared" si="12"/>
        <v>5307.9</v>
      </c>
      <c r="AI240">
        <f t="shared" si="11"/>
        <v>3314.6906111934104</v>
      </c>
      <c r="AJ240" t="b" cm="1">
        <f t="array" ref="AJ240">OR(D240=$AT$2:$AT$8)</f>
        <v>1</v>
      </c>
    </row>
    <row r="241" spans="1:36" x14ac:dyDescent="0.25">
      <c r="A241" s="2" t="s">
        <v>1422</v>
      </c>
      <c r="B241" s="3">
        <v>0.3</v>
      </c>
      <c r="C241" s="2" t="s">
        <v>228</v>
      </c>
      <c r="D241" s="2" t="s">
        <v>228</v>
      </c>
      <c r="E241" s="2" t="s">
        <v>59</v>
      </c>
      <c r="F241" s="4" t="s">
        <v>60</v>
      </c>
      <c r="G241" s="4" t="s">
        <v>61</v>
      </c>
      <c r="H241" s="5"/>
      <c r="I241" s="5"/>
      <c r="J241" s="5"/>
      <c r="K241" s="4" t="s">
        <v>62</v>
      </c>
      <c r="L241" s="4" t="s">
        <v>63</v>
      </c>
      <c r="M241" s="6" t="str">
        <f>IF(OR(B241="",I241=""),"",B241*I241)</f>
        <v/>
      </c>
      <c r="N241" s="8" t="s">
        <v>64</v>
      </c>
      <c r="O241" s="9"/>
      <c r="P241" s="9"/>
      <c r="Q241" s="22"/>
      <c r="R241" s="22"/>
      <c r="S241" s="23" t="str">
        <f>IF(AND(ISNUMBER(Q241),Q241&gt;0,ISNUMBER(R241),R241&gt;0),R241/Q241,"")</f>
        <v/>
      </c>
      <c r="T241" s="9"/>
      <c r="U241" s="9"/>
      <c r="V241" s="9"/>
      <c r="W241" s="9"/>
      <c r="X241" s="23" t="str">
        <f>IF(ISNUMBER(S241),S241,IF(ISNUMBER(I241),I241,""))</f>
        <v/>
      </c>
      <c r="Y241" t="str">
        <f>IF(ISNUMBER(S241),"2025 EIA-923 plant/group proxy",IF(ISNUMBER(I241),"Technology estimate","No thermal heat rate"))</f>
        <v>No thermal heat rate</v>
      </c>
      <c r="Z241" t="str">
        <f>IF(ISNUMBER(S241),"Review: NOT unit verified",IF(AE241="No match","No EIA match",IF(AF241="Unconfirmed","Unconfirmed EIA candidate","")))</f>
        <v/>
      </c>
      <c r="AE241" t="s">
        <v>65</v>
      </c>
      <c r="AF241" t="s">
        <v>66</v>
      </c>
      <c r="AG241" s="24">
        <f>IF(ISBLANK(S241),S241,I241)</f>
        <v>0</v>
      </c>
      <c r="AH241" s="34">
        <f t="shared" si="12"/>
        <v>5308.2</v>
      </c>
      <c r="AI241">
        <f t="shared" si="11"/>
        <v>3314.877955940553</v>
      </c>
      <c r="AJ241" t="b" cm="1">
        <f t="array" ref="AJ241">OR(D241=$AT$2:$AT$8)</f>
        <v>1</v>
      </c>
    </row>
    <row r="242" spans="1:36" x14ac:dyDescent="0.25">
      <c r="A242" s="2" t="s">
        <v>1423</v>
      </c>
      <c r="B242" s="3">
        <v>1</v>
      </c>
      <c r="C242" s="2" t="s">
        <v>228</v>
      </c>
      <c r="D242" s="2" t="s">
        <v>228</v>
      </c>
      <c r="E242" s="2" t="s">
        <v>59</v>
      </c>
      <c r="F242" s="4" t="s">
        <v>60</v>
      </c>
      <c r="G242" s="4" t="s">
        <v>61</v>
      </c>
      <c r="H242" s="5"/>
      <c r="I242" s="5"/>
      <c r="J242" s="5"/>
      <c r="K242" s="4" t="s">
        <v>62</v>
      </c>
      <c r="L242" s="4" t="s">
        <v>63</v>
      </c>
      <c r="M242" s="6" t="str">
        <f>IF(OR(B242="",I242=""),"",B242*I242)</f>
        <v/>
      </c>
      <c r="N242" s="8" t="s">
        <v>64</v>
      </c>
      <c r="O242" s="9"/>
      <c r="P242" s="9"/>
      <c r="Q242" s="22"/>
      <c r="R242" s="22"/>
      <c r="S242" s="23" t="str">
        <f>IF(AND(ISNUMBER(Q242),Q242&gt;0,ISNUMBER(R242),R242&gt;0),R242/Q242,"")</f>
        <v/>
      </c>
      <c r="T242" s="9"/>
      <c r="U242" s="9"/>
      <c r="V242" s="9"/>
      <c r="W242" s="9"/>
      <c r="X242" s="23" t="str">
        <f>IF(ISNUMBER(S242),S242,IF(ISNUMBER(I242),I242,""))</f>
        <v/>
      </c>
      <c r="Y242" t="str">
        <f>IF(ISNUMBER(S242),"2025 EIA-923 plant/group proxy",IF(ISNUMBER(I242),"Technology estimate","No thermal heat rate"))</f>
        <v>No thermal heat rate</v>
      </c>
      <c r="Z242" t="str">
        <f>IF(ISNUMBER(S242),"Review: NOT unit verified",IF(AE242="No match","No EIA match",IF(AF242="Unconfirmed","Unconfirmed EIA candidate","")))</f>
        <v/>
      </c>
      <c r="AE242" t="s">
        <v>65</v>
      </c>
      <c r="AF242" t="s">
        <v>66</v>
      </c>
      <c r="AG242" s="24">
        <f>IF(ISBLANK(S242),S242,I242)</f>
        <v>0</v>
      </c>
      <c r="AH242" s="34">
        <f t="shared" si="12"/>
        <v>5309.2</v>
      </c>
      <c r="AI242">
        <f t="shared" si="11"/>
        <v>3315.5024384310282</v>
      </c>
      <c r="AJ242" t="b" cm="1">
        <f t="array" ref="AJ242">OR(D242=$AT$2:$AT$8)</f>
        <v>1</v>
      </c>
    </row>
    <row r="243" spans="1:36" x14ac:dyDescent="0.25">
      <c r="A243" s="2" t="s">
        <v>1424</v>
      </c>
      <c r="B243" s="3">
        <v>0.4</v>
      </c>
      <c r="C243" s="2" t="s">
        <v>228</v>
      </c>
      <c r="D243" s="2" t="s">
        <v>228</v>
      </c>
      <c r="E243" s="2" t="s">
        <v>59</v>
      </c>
      <c r="F243" s="4" t="s">
        <v>60</v>
      </c>
      <c r="G243" s="4" t="s">
        <v>61</v>
      </c>
      <c r="H243" s="5"/>
      <c r="I243" s="5"/>
      <c r="J243" s="5"/>
      <c r="K243" s="4" t="s">
        <v>62</v>
      </c>
      <c r="L243" s="4" t="s">
        <v>63</v>
      </c>
      <c r="M243" s="6" t="str">
        <f>IF(OR(B243="",I243=""),"",B243*I243)</f>
        <v/>
      </c>
      <c r="N243" s="8" t="s">
        <v>64</v>
      </c>
      <c r="O243" s="9"/>
      <c r="P243" s="9"/>
      <c r="Q243" s="22"/>
      <c r="R243" s="22"/>
      <c r="S243" s="23" t="str">
        <f>IF(AND(ISNUMBER(Q243),Q243&gt;0,ISNUMBER(R243),R243&gt;0),R243/Q243,"")</f>
        <v/>
      </c>
      <c r="T243" s="9"/>
      <c r="U243" s="9"/>
      <c r="V243" s="9"/>
      <c r="W243" s="9"/>
      <c r="X243" s="23" t="str">
        <f>IF(ISNUMBER(S243),S243,IF(ISNUMBER(I243),I243,""))</f>
        <v/>
      </c>
      <c r="Y243" t="str">
        <f>IF(ISNUMBER(S243),"2025 EIA-923 plant/group proxy",IF(ISNUMBER(I243),"Technology estimate","No thermal heat rate"))</f>
        <v>No thermal heat rate</v>
      </c>
      <c r="Z243" t="str">
        <f>IF(ISNUMBER(S243),"Review: NOT unit verified",IF(AE243="No match","No EIA match",IF(AF243="Unconfirmed","Unconfirmed EIA candidate","")))</f>
        <v/>
      </c>
      <c r="AE243" t="s">
        <v>65</v>
      </c>
      <c r="AF243" t="s">
        <v>66</v>
      </c>
      <c r="AG243" s="24">
        <f>IF(ISBLANK(S243),S243,I243)</f>
        <v>0</v>
      </c>
      <c r="AH243" s="34">
        <f t="shared" si="12"/>
        <v>5309.5999999999995</v>
      </c>
      <c r="AI243">
        <f t="shared" si="11"/>
        <v>3315.7522314272182</v>
      </c>
      <c r="AJ243" t="b" cm="1">
        <f t="array" ref="AJ243">OR(D243=$AT$2:$AT$8)</f>
        <v>1</v>
      </c>
    </row>
    <row r="244" spans="1:36" x14ac:dyDescent="0.25">
      <c r="A244" s="2" t="s">
        <v>1425</v>
      </c>
      <c r="B244" s="3">
        <v>1.3</v>
      </c>
      <c r="C244" s="2" t="s">
        <v>228</v>
      </c>
      <c r="D244" s="2" t="s">
        <v>228</v>
      </c>
      <c r="E244" s="2" t="s">
        <v>59</v>
      </c>
      <c r="F244" s="4" t="s">
        <v>60</v>
      </c>
      <c r="G244" s="4" t="s">
        <v>61</v>
      </c>
      <c r="H244" s="5"/>
      <c r="I244" s="5"/>
      <c r="J244" s="5"/>
      <c r="K244" s="4" t="s">
        <v>62</v>
      </c>
      <c r="L244" s="4" t="s">
        <v>63</v>
      </c>
      <c r="M244" s="6" t="str">
        <f>IF(OR(B244="",I244=""),"",B244*I244)</f>
        <v/>
      </c>
      <c r="N244" s="8" t="s">
        <v>64</v>
      </c>
      <c r="O244" s="9"/>
      <c r="P244" s="9"/>
      <c r="Q244" s="22"/>
      <c r="R244" s="22"/>
      <c r="S244" s="23" t="str">
        <f>IF(AND(ISNUMBER(Q244),Q244&gt;0,ISNUMBER(R244),R244&gt;0),R244/Q244,"")</f>
        <v/>
      </c>
      <c r="T244" s="9"/>
      <c r="U244" s="9"/>
      <c r="V244" s="9"/>
      <c r="W244" s="9"/>
      <c r="X244" s="23" t="str">
        <f>IF(ISNUMBER(S244),S244,IF(ISNUMBER(I244),I244,""))</f>
        <v/>
      </c>
      <c r="Y244" t="str">
        <f>IF(ISNUMBER(S244),"2025 EIA-923 plant/group proxy",IF(ISNUMBER(I244),"Technology estimate","No thermal heat rate"))</f>
        <v>No thermal heat rate</v>
      </c>
      <c r="Z244" t="str">
        <f>IF(ISNUMBER(S244),"Review: NOT unit verified",IF(AE244="No match","No EIA match",IF(AF244="Unconfirmed","Unconfirmed EIA candidate","")))</f>
        <v/>
      </c>
      <c r="AE244" t="s">
        <v>65</v>
      </c>
      <c r="AF244" t="s">
        <v>66</v>
      </c>
      <c r="AG244" s="24">
        <f>IF(ISBLANK(S244),S244,I244)</f>
        <v>0</v>
      </c>
      <c r="AH244" s="34">
        <f t="shared" si="12"/>
        <v>5310.9</v>
      </c>
      <c r="AI244">
        <f t="shared" si="11"/>
        <v>3316.564058664836</v>
      </c>
      <c r="AJ244" t="b" cm="1">
        <f t="array" ref="AJ244">OR(D244=$AT$2:$AT$8)</f>
        <v>1</v>
      </c>
    </row>
    <row r="245" spans="1:36" x14ac:dyDescent="0.25">
      <c r="A245" s="2" t="s">
        <v>1426</v>
      </c>
      <c r="B245" s="3">
        <v>0.2</v>
      </c>
      <c r="C245" s="2" t="s">
        <v>228</v>
      </c>
      <c r="D245" s="2" t="s">
        <v>237</v>
      </c>
      <c r="E245" s="2" t="s">
        <v>59</v>
      </c>
      <c r="F245" s="4" t="s">
        <v>60</v>
      </c>
      <c r="G245" s="4" t="s">
        <v>61</v>
      </c>
      <c r="H245" s="5"/>
      <c r="I245" s="5"/>
      <c r="J245" s="5"/>
      <c r="K245" s="4" t="s">
        <v>62</v>
      </c>
      <c r="L245" s="4" t="s">
        <v>63</v>
      </c>
      <c r="M245" s="6" t="str">
        <f>IF(OR(B245="",I245=""),"",B245*I245)</f>
        <v/>
      </c>
      <c r="N245" s="8" t="s">
        <v>64</v>
      </c>
      <c r="O245" s="9"/>
      <c r="P245" s="9"/>
      <c r="Q245" s="22"/>
      <c r="R245" s="22"/>
      <c r="S245" s="23" t="str">
        <f>IF(AND(ISNUMBER(Q245),Q245&gt;0,ISNUMBER(R245),R245&gt;0),R245/Q245,"")</f>
        <v/>
      </c>
      <c r="T245" s="9"/>
      <c r="U245" s="9"/>
      <c r="V245" s="9"/>
      <c r="W245" s="9"/>
      <c r="X245" s="23" t="str">
        <f>IF(ISNUMBER(S245),S245,IF(ISNUMBER(I245),I245,""))</f>
        <v/>
      </c>
      <c r="Y245" t="str">
        <f>IF(ISNUMBER(S245),"2025 EIA-923 plant/group proxy",IF(ISNUMBER(I245),"Technology estimate","No thermal heat rate"))</f>
        <v>No thermal heat rate</v>
      </c>
      <c r="Z245" t="str">
        <f>IF(ISNUMBER(S245),"Review: NOT unit verified",IF(AE245="No match","No EIA match",IF(AF245="Unconfirmed","Unconfirmed EIA candidate","")))</f>
        <v/>
      </c>
      <c r="AE245" t="s">
        <v>65</v>
      </c>
      <c r="AF245" t="s">
        <v>66</v>
      </c>
      <c r="AG245" s="24">
        <f>IF(ISBLANK(S245),S245,I245)</f>
        <v>0</v>
      </c>
      <c r="AH245" s="34">
        <f t="shared" si="12"/>
        <v>5311.0999999999995</v>
      </c>
      <c r="AI245">
        <f t="shared" si="11"/>
        <v>3316.6889551629311</v>
      </c>
      <c r="AJ245" t="b" cm="1">
        <f t="array" ref="AJ245">OR(D245=$AT$2:$AT$8)</f>
        <v>0</v>
      </c>
    </row>
    <row r="246" spans="1:36" x14ac:dyDescent="0.25">
      <c r="A246" s="2" t="s">
        <v>1427</v>
      </c>
      <c r="B246" s="3">
        <v>0.3</v>
      </c>
      <c r="C246" s="2" t="s">
        <v>228</v>
      </c>
      <c r="D246" s="2" t="s">
        <v>237</v>
      </c>
      <c r="E246" s="2" t="s">
        <v>59</v>
      </c>
      <c r="F246" s="4" t="s">
        <v>60</v>
      </c>
      <c r="G246" s="4" t="s">
        <v>61</v>
      </c>
      <c r="H246" s="5"/>
      <c r="I246" s="5"/>
      <c r="J246" s="5"/>
      <c r="K246" s="4" t="s">
        <v>62</v>
      </c>
      <c r="L246" s="4" t="s">
        <v>63</v>
      </c>
      <c r="M246" s="6" t="str">
        <f>IF(OR(B246="",I246=""),"",B246*I246)</f>
        <v/>
      </c>
      <c r="N246" s="8" t="s">
        <v>64</v>
      </c>
      <c r="O246" s="9"/>
      <c r="P246" s="9"/>
      <c r="Q246" s="22"/>
      <c r="R246" s="22"/>
      <c r="S246" s="23" t="str">
        <f>IF(AND(ISNUMBER(Q246),Q246&gt;0,ISNUMBER(R246),R246&gt;0),R246/Q246,"")</f>
        <v/>
      </c>
      <c r="T246" s="9"/>
      <c r="U246" s="9"/>
      <c r="V246" s="9"/>
      <c r="W246" s="9"/>
      <c r="X246" s="23" t="str">
        <f>IF(ISNUMBER(S246),S246,IF(ISNUMBER(I246),I246,""))</f>
        <v/>
      </c>
      <c r="Y246" t="str">
        <f>IF(ISNUMBER(S246),"2025 EIA-923 plant/group proxy",IF(ISNUMBER(I246),"Technology estimate","No thermal heat rate"))</f>
        <v>No thermal heat rate</v>
      </c>
      <c r="Z246" t="str">
        <f>IF(ISNUMBER(S246),"Review: NOT unit verified",IF(AE246="No match","No EIA match",IF(AF246="Unconfirmed","Unconfirmed EIA candidate","")))</f>
        <v/>
      </c>
      <c r="AE246" t="s">
        <v>65</v>
      </c>
      <c r="AF246" t="s">
        <v>66</v>
      </c>
      <c r="AG246" s="24">
        <f>IF(ISBLANK(S246),S246,I246)</f>
        <v>0</v>
      </c>
      <c r="AH246" s="34">
        <f t="shared" si="12"/>
        <v>5311.4</v>
      </c>
      <c r="AI246">
        <f t="shared" si="11"/>
        <v>3316.8762999100736</v>
      </c>
      <c r="AJ246" t="b" cm="1">
        <f t="array" ref="AJ246">OR(D246=$AT$2:$AT$8)</f>
        <v>0</v>
      </c>
    </row>
    <row r="247" spans="1:36" x14ac:dyDescent="0.25">
      <c r="A247" s="2" t="s">
        <v>1428</v>
      </c>
      <c r="B247" s="3">
        <v>0.3</v>
      </c>
      <c r="C247" s="2" t="s">
        <v>228</v>
      </c>
      <c r="D247" s="2" t="s">
        <v>237</v>
      </c>
      <c r="E247" s="2" t="s">
        <v>59</v>
      </c>
      <c r="F247" s="4" t="s">
        <v>60</v>
      </c>
      <c r="G247" s="4" t="s">
        <v>61</v>
      </c>
      <c r="H247" s="5"/>
      <c r="I247" s="5"/>
      <c r="J247" s="5"/>
      <c r="K247" s="4" t="s">
        <v>62</v>
      </c>
      <c r="L247" s="4" t="s">
        <v>63</v>
      </c>
      <c r="M247" s="6" t="str">
        <f>IF(OR(B247="",I247=""),"",B247*I247)</f>
        <v/>
      </c>
      <c r="N247" s="8" t="s">
        <v>64</v>
      </c>
      <c r="O247" s="9"/>
      <c r="P247" s="9"/>
      <c r="Q247" s="22"/>
      <c r="R247" s="22"/>
      <c r="S247" s="23" t="str">
        <f>IF(AND(ISNUMBER(Q247),Q247&gt;0,ISNUMBER(R247),R247&gt;0),R247/Q247,"")</f>
        <v/>
      </c>
      <c r="T247" s="9"/>
      <c r="U247" s="9"/>
      <c r="V247" s="9"/>
      <c r="W247" s="9"/>
      <c r="X247" s="23" t="str">
        <f>IF(ISNUMBER(S247),S247,IF(ISNUMBER(I247),I247,""))</f>
        <v/>
      </c>
      <c r="Y247" t="str">
        <f>IF(ISNUMBER(S247),"2025 EIA-923 plant/group proxy",IF(ISNUMBER(I247),"Technology estimate","No thermal heat rate"))</f>
        <v>No thermal heat rate</v>
      </c>
      <c r="Z247" t="str">
        <f>IF(ISNUMBER(S247),"Review: NOT unit verified",IF(AE247="No match","No EIA match",IF(AF247="Unconfirmed","Unconfirmed EIA candidate","")))</f>
        <v/>
      </c>
      <c r="AE247" t="s">
        <v>65</v>
      </c>
      <c r="AF247" t="s">
        <v>66</v>
      </c>
      <c r="AG247" s="24">
        <f>IF(ISBLANK(S247),S247,I247)</f>
        <v>0</v>
      </c>
      <c r="AH247" s="34">
        <f t="shared" si="12"/>
        <v>5311.7</v>
      </c>
      <c r="AI247">
        <f t="shared" si="11"/>
        <v>3317.0636446572162</v>
      </c>
      <c r="AJ247" t="b" cm="1">
        <f t="array" ref="AJ247">OR(D247=$AT$2:$AT$8)</f>
        <v>0</v>
      </c>
    </row>
    <row r="248" spans="1:36" x14ac:dyDescent="0.25">
      <c r="A248" s="2" t="s">
        <v>1429</v>
      </c>
      <c r="B248" s="3">
        <v>0.3</v>
      </c>
      <c r="C248" s="2" t="s">
        <v>228</v>
      </c>
      <c r="D248" s="2" t="s">
        <v>237</v>
      </c>
      <c r="E248" s="2" t="s">
        <v>59</v>
      </c>
      <c r="F248" s="4" t="s">
        <v>60</v>
      </c>
      <c r="G248" s="4" t="s">
        <v>61</v>
      </c>
      <c r="H248" s="5"/>
      <c r="I248" s="5"/>
      <c r="J248" s="5"/>
      <c r="K248" s="4" t="s">
        <v>62</v>
      </c>
      <c r="L248" s="4" t="s">
        <v>63</v>
      </c>
      <c r="M248" s="6" t="str">
        <f>IF(OR(B248="",I248=""),"",B248*I248)</f>
        <v/>
      </c>
      <c r="N248" s="8" t="s">
        <v>64</v>
      </c>
      <c r="O248" s="9"/>
      <c r="P248" s="9"/>
      <c r="Q248" s="22"/>
      <c r="R248" s="22"/>
      <c r="S248" s="23" t="str">
        <f>IF(AND(ISNUMBER(Q248),Q248&gt;0,ISNUMBER(R248),R248&gt;0),R248/Q248,"")</f>
        <v/>
      </c>
      <c r="T248" s="9"/>
      <c r="U248" s="9"/>
      <c r="V248" s="9"/>
      <c r="W248" s="9"/>
      <c r="X248" s="23" t="str">
        <f>IF(ISNUMBER(S248),S248,IF(ISNUMBER(I248),I248,""))</f>
        <v/>
      </c>
      <c r="Y248" t="str">
        <f>IF(ISNUMBER(S248),"2025 EIA-923 plant/group proxy",IF(ISNUMBER(I248),"Technology estimate","No thermal heat rate"))</f>
        <v>No thermal heat rate</v>
      </c>
      <c r="Z248" t="str">
        <f>IF(ISNUMBER(S248),"Review: NOT unit verified",IF(AE248="No match","No EIA match",IF(AF248="Unconfirmed","Unconfirmed EIA candidate","")))</f>
        <v/>
      </c>
      <c r="AE248" t="s">
        <v>65</v>
      </c>
      <c r="AF248" t="s">
        <v>66</v>
      </c>
      <c r="AG248" s="24">
        <f>IF(ISBLANK(S248),S248,I248)</f>
        <v>0</v>
      </c>
      <c r="AH248" s="34">
        <f t="shared" si="12"/>
        <v>5312</v>
      </c>
      <c r="AI248">
        <f t="shared" si="11"/>
        <v>3317.2509894043592</v>
      </c>
      <c r="AJ248" t="b" cm="1">
        <f t="array" ref="AJ248">OR(D248=$AT$2:$AT$8)</f>
        <v>0</v>
      </c>
    </row>
    <row r="249" spans="1:36" x14ac:dyDescent="0.25">
      <c r="A249" s="2" t="s">
        <v>1430</v>
      </c>
      <c r="B249" s="3">
        <v>1</v>
      </c>
      <c r="C249" s="2" t="s">
        <v>228</v>
      </c>
      <c r="D249" s="2" t="s">
        <v>237</v>
      </c>
      <c r="E249" s="2" t="s">
        <v>59</v>
      </c>
      <c r="F249" s="4" t="s">
        <v>60</v>
      </c>
      <c r="G249" s="4" t="s">
        <v>61</v>
      </c>
      <c r="H249" s="5"/>
      <c r="I249" s="5"/>
      <c r="J249" s="5"/>
      <c r="K249" s="4" t="s">
        <v>62</v>
      </c>
      <c r="L249" s="4" t="s">
        <v>63</v>
      </c>
      <c r="M249" s="6" t="str">
        <f>IF(OR(B249="",I249=""),"",B249*I249)</f>
        <v/>
      </c>
      <c r="N249" s="8" t="s">
        <v>64</v>
      </c>
      <c r="O249" s="9"/>
      <c r="P249" s="9"/>
      <c r="Q249" s="22"/>
      <c r="R249" s="22"/>
      <c r="S249" s="23" t="str">
        <f>IF(AND(ISNUMBER(Q249),Q249&gt;0,ISNUMBER(R249),R249&gt;0),R249/Q249,"")</f>
        <v/>
      </c>
      <c r="T249" s="9"/>
      <c r="U249" s="9"/>
      <c r="V249" s="9"/>
      <c r="W249" s="9"/>
      <c r="X249" s="23" t="str">
        <f>IF(ISNUMBER(S249),S249,IF(ISNUMBER(I249),I249,""))</f>
        <v/>
      </c>
      <c r="Y249" t="str">
        <f>IF(ISNUMBER(S249),"2025 EIA-923 plant/group proxy",IF(ISNUMBER(I249),"Technology estimate","No thermal heat rate"))</f>
        <v>No thermal heat rate</v>
      </c>
      <c r="Z249" t="str">
        <f>IF(ISNUMBER(S249),"Review: NOT unit verified",IF(AE249="No match","No EIA match",IF(AF249="Unconfirmed","Unconfirmed EIA candidate","")))</f>
        <v/>
      </c>
      <c r="AE249" t="s">
        <v>65</v>
      </c>
      <c r="AF249" t="s">
        <v>66</v>
      </c>
      <c r="AG249" s="24">
        <f>IF(ISBLANK(S249),S249,I249)</f>
        <v>0</v>
      </c>
      <c r="AH249" s="34">
        <f t="shared" si="12"/>
        <v>5313</v>
      </c>
      <c r="AI249">
        <f t="shared" si="11"/>
        <v>3317.8754718948344</v>
      </c>
      <c r="AJ249" t="b" cm="1">
        <f t="array" ref="AJ249">OR(D249=$AT$2:$AT$8)</f>
        <v>0</v>
      </c>
    </row>
    <row r="250" spans="1:36" x14ac:dyDescent="0.25">
      <c r="A250" s="2" t="s">
        <v>1431</v>
      </c>
      <c r="B250" s="3">
        <v>0.2</v>
      </c>
      <c r="C250" s="2" t="s">
        <v>228</v>
      </c>
      <c r="D250" s="2" t="s">
        <v>237</v>
      </c>
      <c r="E250" s="2" t="s">
        <v>59</v>
      </c>
      <c r="F250" s="4" t="s">
        <v>60</v>
      </c>
      <c r="G250" s="4" t="s">
        <v>61</v>
      </c>
      <c r="H250" s="5"/>
      <c r="I250" s="5"/>
      <c r="J250" s="5"/>
      <c r="K250" s="4" t="s">
        <v>62</v>
      </c>
      <c r="L250" s="4" t="s">
        <v>63</v>
      </c>
      <c r="M250" s="6" t="str">
        <f>IF(OR(B250="",I250=""),"",B250*I250)</f>
        <v/>
      </c>
      <c r="N250" s="8" t="s">
        <v>64</v>
      </c>
      <c r="O250" s="9"/>
      <c r="P250" s="9"/>
      <c r="Q250" s="22"/>
      <c r="R250" s="22"/>
      <c r="S250" s="23" t="str">
        <f>IF(AND(ISNUMBER(Q250),Q250&gt;0,ISNUMBER(R250),R250&gt;0),R250/Q250,"")</f>
        <v/>
      </c>
      <c r="T250" s="9"/>
      <c r="U250" s="9"/>
      <c r="V250" s="9"/>
      <c r="W250" s="9"/>
      <c r="X250" s="23" t="str">
        <f>IF(ISNUMBER(S250),S250,IF(ISNUMBER(I250),I250,""))</f>
        <v/>
      </c>
      <c r="Y250" t="str">
        <f>IF(ISNUMBER(S250),"2025 EIA-923 plant/group proxy",IF(ISNUMBER(I250),"Technology estimate","No thermal heat rate"))</f>
        <v>No thermal heat rate</v>
      </c>
      <c r="Z250" t="str">
        <f>IF(ISNUMBER(S250),"Review: NOT unit verified",IF(AE250="No match","No EIA match",IF(AF250="Unconfirmed","Unconfirmed EIA candidate","")))</f>
        <v/>
      </c>
      <c r="AE250" t="s">
        <v>65</v>
      </c>
      <c r="AF250" t="s">
        <v>66</v>
      </c>
      <c r="AG250" s="24">
        <f>IF(ISBLANK(S250),S250,I250)</f>
        <v>0</v>
      </c>
      <c r="AH250" s="34">
        <f t="shared" si="12"/>
        <v>5313.2</v>
      </c>
      <c r="AI250">
        <f t="shared" si="11"/>
        <v>3318.0003683929294</v>
      </c>
      <c r="AJ250" t="b" cm="1">
        <f t="array" ref="AJ250">OR(D250=$AT$2:$AT$8)</f>
        <v>0</v>
      </c>
    </row>
    <row r="251" spans="1:36" x14ac:dyDescent="0.25">
      <c r="A251" s="2" t="s">
        <v>1432</v>
      </c>
      <c r="B251" s="3">
        <v>0.2</v>
      </c>
      <c r="C251" s="2" t="s">
        <v>228</v>
      </c>
      <c r="D251" s="2" t="s">
        <v>237</v>
      </c>
      <c r="E251" s="2" t="s">
        <v>59</v>
      </c>
      <c r="F251" s="4" t="s">
        <v>60</v>
      </c>
      <c r="G251" s="4" t="s">
        <v>61</v>
      </c>
      <c r="H251" s="5"/>
      <c r="I251" s="5"/>
      <c r="J251" s="5"/>
      <c r="K251" s="4" t="s">
        <v>62</v>
      </c>
      <c r="L251" s="4" t="s">
        <v>63</v>
      </c>
      <c r="M251" s="6" t="str">
        <f>IF(OR(B251="",I251=""),"",B251*I251)</f>
        <v/>
      </c>
      <c r="N251" s="8" t="s">
        <v>64</v>
      </c>
      <c r="O251" s="9"/>
      <c r="P251" s="9"/>
      <c r="Q251" s="22"/>
      <c r="R251" s="22"/>
      <c r="S251" s="23" t="str">
        <f>IF(AND(ISNUMBER(Q251),Q251&gt;0,ISNUMBER(R251),R251&gt;0),R251/Q251,"")</f>
        <v/>
      </c>
      <c r="T251" s="9"/>
      <c r="U251" s="9"/>
      <c r="V251" s="9"/>
      <c r="W251" s="9"/>
      <c r="X251" s="23" t="str">
        <f>IF(ISNUMBER(S251),S251,IF(ISNUMBER(I251),I251,""))</f>
        <v/>
      </c>
      <c r="Y251" t="str">
        <f>IF(ISNUMBER(S251),"2025 EIA-923 plant/group proxy",IF(ISNUMBER(I251),"Technology estimate","No thermal heat rate"))</f>
        <v>No thermal heat rate</v>
      </c>
      <c r="Z251" t="str">
        <f>IF(ISNUMBER(S251),"Review: NOT unit verified",IF(AE251="No match","No EIA match",IF(AF251="Unconfirmed","Unconfirmed EIA candidate","")))</f>
        <v/>
      </c>
      <c r="AE251" t="s">
        <v>65</v>
      </c>
      <c r="AF251" t="s">
        <v>66</v>
      </c>
      <c r="AG251" s="24">
        <f>IF(ISBLANK(S251),S251,I251)</f>
        <v>0</v>
      </c>
      <c r="AH251" s="34">
        <f t="shared" si="12"/>
        <v>5313.4</v>
      </c>
      <c r="AI251">
        <f t="shared" si="11"/>
        <v>3318.125264891024</v>
      </c>
      <c r="AJ251" t="b" cm="1">
        <f t="array" ref="AJ251">OR(D251=$AT$2:$AT$8)</f>
        <v>0</v>
      </c>
    </row>
    <row r="252" spans="1:36" x14ac:dyDescent="0.25">
      <c r="A252" s="2" t="s">
        <v>1433</v>
      </c>
      <c r="B252" s="3">
        <v>0.9</v>
      </c>
      <c r="C252" s="2" t="s">
        <v>228</v>
      </c>
      <c r="D252" s="2" t="s">
        <v>237</v>
      </c>
      <c r="E252" s="2" t="s">
        <v>59</v>
      </c>
      <c r="F252" s="4" t="s">
        <v>60</v>
      </c>
      <c r="G252" s="4" t="s">
        <v>61</v>
      </c>
      <c r="H252" s="5"/>
      <c r="I252" s="5"/>
      <c r="J252" s="5"/>
      <c r="K252" s="4" t="s">
        <v>62</v>
      </c>
      <c r="L252" s="4" t="s">
        <v>63</v>
      </c>
      <c r="M252" s="6" t="str">
        <f>IF(OR(B252="",I252=""),"",B252*I252)</f>
        <v/>
      </c>
      <c r="N252" s="8" t="s">
        <v>64</v>
      </c>
      <c r="O252" s="9"/>
      <c r="P252" s="9"/>
      <c r="Q252" s="22"/>
      <c r="R252" s="22"/>
      <c r="S252" s="23" t="str">
        <f>IF(AND(ISNUMBER(Q252),Q252&gt;0,ISNUMBER(R252),R252&gt;0),R252/Q252,"")</f>
        <v/>
      </c>
      <c r="T252" s="9"/>
      <c r="U252" s="9"/>
      <c r="V252" s="9"/>
      <c r="W252" s="9"/>
      <c r="X252" s="23" t="str">
        <f>IF(ISNUMBER(S252),S252,IF(ISNUMBER(I252),I252,""))</f>
        <v/>
      </c>
      <c r="Y252" t="str">
        <f>IF(ISNUMBER(S252),"2025 EIA-923 plant/group proxy",IF(ISNUMBER(I252),"Technology estimate","No thermal heat rate"))</f>
        <v>No thermal heat rate</v>
      </c>
      <c r="Z252" t="str">
        <f>IF(ISNUMBER(S252),"Review: NOT unit verified",IF(AE252="No match","No EIA match",IF(AF252="Unconfirmed","Unconfirmed EIA candidate","")))</f>
        <v/>
      </c>
      <c r="AE252" t="s">
        <v>65</v>
      </c>
      <c r="AF252" t="s">
        <v>66</v>
      </c>
      <c r="AG252" s="24">
        <f>IF(ISBLANK(S252),S252,I252)</f>
        <v>0</v>
      </c>
      <c r="AH252" s="34">
        <f t="shared" si="12"/>
        <v>5314.2999999999993</v>
      </c>
      <c r="AI252">
        <f t="shared" si="11"/>
        <v>3318.6872991324517</v>
      </c>
      <c r="AJ252" t="b" cm="1">
        <f t="array" ref="AJ252">OR(D252=$AT$2:$AT$8)</f>
        <v>0</v>
      </c>
    </row>
    <row r="253" spans="1:36" x14ac:dyDescent="0.25">
      <c r="A253" s="2" t="s">
        <v>1434</v>
      </c>
      <c r="B253" s="3">
        <v>0.2</v>
      </c>
      <c r="C253" s="2" t="s">
        <v>228</v>
      </c>
      <c r="D253" s="2" t="s">
        <v>237</v>
      </c>
      <c r="E253" s="2" t="s">
        <v>59</v>
      </c>
      <c r="F253" s="4" t="s">
        <v>60</v>
      </c>
      <c r="G253" s="4" t="s">
        <v>61</v>
      </c>
      <c r="H253" s="5"/>
      <c r="I253" s="5"/>
      <c r="J253" s="5"/>
      <c r="K253" s="4" t="s">
        <v>62</v>
      </c>
      <c r="L253" s="4" t="s">
        <v>63</v>
      </c>
      <c r="M253" s="6" t="str">
        <f>IF(OR(B253="",I253=""),"",B253*I253)</f>
        <v/>
      </c>
      <c r="N253" s="8" t="s">
        <v>64</v>
      </c>
      <c r="O253" s="9"/>
      <c r="P253" s="9"/>
      <c r="Q253" s="22"/>
      <c r="R253" s="22"/>
      <c r="S253" s="23" t="str">
        <f>IF(AND(ISNUMBER(Q253),Q253&gt;0,ISNUMBER(R253),R253&gt;0),R253/Q253,"")</f>
        <v/>
      </c>
      <c r="T253" s="9"/>
      <c r="U253" s="9"/>
      <c r="V253" s="9"/>
      <c r="W253" s="9"/>
      <c r="X253" s="23" t="str">
        <f>IF(ISNUMBER(S253),S253,IF(ISNUMBER(I253),I253,""))</f>
        <v/>
      </c>
      <c r="Y253" t="str">
        <f>IF(ISNUMBER(S253),"2025 EIA-923 plant/group proxy",IF(ISNUMBER(I253),"Technology estimate","No thermal heat rate"))</f>
        <v>No thermal heat rate</v>
      </c>
      <c r="Z253" t="str">
        <f>IF(ISNUMBER(S253),"Review: NOT unit verified",IF(AE253="No match","No EIA match",IF(AF253="Unconfirmed","Unconfirmed EIA candidate","")))</f>
        <v/>
      </c>
      <c r="AE253" t="s">
        <v>65</v>
      </c>
      <c r="AF253" t="s">
        <v>66</v>
      </c>
      <c r="AG253" s="24">
        <f>IF(ISBLANK(S253),S253,I253)</f>
        <v>0</v>
      </c>
      <c r="AH253" s="34">
        <f t="shared" si="12"/>
        <v>5314.4999999999991</v>
      </c>
      <c r="AI253">
        <f t="shared" si="11"/>
        <v>3318.8121956305467</v>
      </c>
      <c r="AJ253" t="b" cm="1">
        <f t="array" ref="AJ253">OR(D253=$AT$2:$AT$8)</f>
        <v>0</v>
      </c>
    </row>
    <row r="254" spans="1:36" x14ac:dyDescent="0.25">
      <c r="A254" s="2" t="s">
        <v>1435</v>
      </c>
      <c r="B254" s="3">
        <v>3.7</v>
      </c>
      <c r="C254" s="2" t="s">
        <v>228</v>
      </c>
      <c r="D254" s="2" t="s">
        <v>237</v>
      </c>
      <c r="E254" s="2" t="s">
        <v>59</v>
      </c>
      <c r="F254" s="4" t="s">
        <v>60</v>
      </c>
      <c r="G254" s="4" t="s">
        <v>61</v>
      </c>
      <c r="H254" s="5"/>
      <c r="I254" s="5"/>
      <c r="J254" s="5"/>
      <c r="K254" s="4" t="s">
        <v>62</v>
      </c>
      <c r="L254" s="4" t="s">
        <v>63</v>
      </c>
      <c r="M254" s="6" t="str">
        <f>IF(OR(B254="",I254=""),"",B254*I254)</f>
        <v/>
      </c>
      <c r="N254" s="8" t="s">
        <v>64</v>
      </c>
      <c r="O254" s="9"/>
      <c r="P254" s="9"/>
      <c r="Q254" s="22"/>
      <c r="R254" s="22"/>
      <c r="S254" s="23" t="str">
        <f>IF(AND(ISNUMBER(Q254),Q254&gt;0,ISNUMBER(R254),R254&gt;0),R254/Q254,"")</f>
        <v/>
      </c>
      <c r="T254" s="9"/>
      <c r="U254" s="9"/>
      <c r="V254" s="9"/>
      <c r="W254" s="9"/>
      <c r="X254" s="23" t="str">
        <f>IF(ISNUMBER(S254),S254,IF(ISNUMBER(I254),I254,""))</f>
        <v/>
      </c>
      <c r="Y254" t="str">
        <f>IF(ISNUMBER(S254),"2025 EIA-923 plant/group proxy",IF(ISNUMBER(I254),"Technology estimate","No thermal heat rate"))</f>
        <v>No thermal heat rate</v>
      </c>
      <c r="Z254" t="str">
        <f>IF(ISNUMBER(S254),"Review: NOT unit verified",IF(AE254="No match","No EIA match",IF(AF254="Unconfirmed","Unconfirmed EIA candidate","")))</f>
        <v/>
      </c>
      <c r="AE254" t="s">
        <v>65</v>
      </c>
      <c r="AF254" t="s">
        <v>66</v>
      </c>
      <c r="AG254" s="24">
        <f>IF(ISBLANK(S254),S254,I254)</f>
        <v>0</v>
      </c>
      <c r="AH254" s="34">
        <f t="shared" si="12"/>
        <v>5318.1999999999989</v>
      </c>
      <c r="AI254">
        <f t="shared" si="11"/>
        <v>3321.1227808453045</v>
      </c>
      <c r="AJ254" t="b" cm="1">
        <f t="array" ref="AJ254">OR(D254=$AT$2:$AT$8)</f>
        <v>0</v>
      </c>
    </row>
    <row r="255" spans="1:36" x14ac:dyDescent="0.25">
      <c r="A255" s="2" t="s">
        <v>1436</v>
      </c>
      <c r="B255" s="3">
        <v>0.5</v>
      </c>
      <c r="C255" s="2" t="s">
        <v>228</v>
      </c>
      <c r="D255" s="2" t="s">
        <v>237</v>
      </c>
      <c r="E255" s="2" t="s">
        <v>59</v>
      </c>
      <c r="F255" s="4" t="s">
        <v>60</v>
      </c>
      <c r="G255" s="4" t="s">
        <v>61</v>
      </c>
      <c r="H255" s="5"/>
      <c r="I255" s="5"/>
      <c r="J255" s="5"/>
      <c r="K255" s="4" t="s">
        <v>62</v>
      </c>
      <c r="L255" s="4" t="s">
        <v>63</v>
      </c>
      <c r="M255" s="6" t="str">
        <f>IF(OR(B255="",I255=""),"",B255*I255)</f>
        <v/>
      </c>
      <c r="N255" s="8" t="s">
        <v>64</v>
      </c>
      <c r="O255" s="9"/>
      <c r="P255" s="9"/>
      <c r="Q255" s="22"/>
      <c r="R255" s="22"/>
      <c r="S255" s="23" t="str">
        <f>IF(AND(ISNUMBER(Q255),Q255&gt;0,ISNUMBER(R255),R255&gt;0),R255/Q255,"")</f>
        <v/>
      </c>
      <c r="T255" s="9"/>
      <c r="U255" s="9"/>
      <c r="V255" s="9"/>
      <c r="W255" s="9"/>
      <c r="X255" s="23" t="str">
        <f>IF(ISNUMBER(S255),S255,IF(ISNUMBER(I255),I255,""))</f>
        <v/>
      </c>
      <c r="Y255" t="str">
        <f>IF(ISNUMBER(S255),"2025 EIA-923 plant/group proxy",IF(ISNUMBER(I255),"Technology estimate","No thermal heat rate"))</f>
        <v>No thermal heat rate</v>
      </c>
      <c r="Z255" t="str">
        <f>IF(ISNUMBER(S255),"Review: NOT unit verified",IF(AE255="No match","No EIA match",IF(AF255="Unconfirmed","Unconfirmed EIA candidate","")))</f>
        <v/>
      </c>
      <c r="AE255" t="s">
        <v>65</v>
      </c>
      <c r="AF255" t="s">
        <v>66</v>
      </c>
      <c r="AG255" s="24">
        <f>IF(ISBLANK(S255),S255,I255)</f>
        <v>0</v>
      </c>
      <c r="AH255" s="34">
        <f t="shared" si="12"/>
        <v>5318.6999999999989</v>
      </c>
      <c r="AI255">
        <f t="shared" si="11"/>
        <v>3321.4350220905421</v>
      </c>
      <c r="AJ255" t="b" cm="1">
        <f t="array" ref="AJ255">OR(D255=$AT$2:$AT$8)</f>
        <v>0</v>
      </c>
    </row>
    <row r="256" spans="1:36" x14ac:dyDescent="0.25">
      <c r="A256" s="2" t="s">
        <v>1440</v>
      </c>
      <c r="B256" s="3">
        <v>4.0999999999999996</v>
      </c>
      <c r="C256" s="2" t="s">
        <v>91</v>
      </c>
      <c r="D256" s="2" t="s">
        <v>91</v>
      </c>
      <c r="E256" s="2" t="s">
        <v>59</v>
      </c>
      <c r="F256" s="4" t="s">
        <v>60</v>
      </c>
      <c r="G256" s="4" t="s">
        <v>61</v>
      </c>
      <c r="H256" s="5"/>
      <c r="I256" s="5"/>
      <c r="J256" s="5"/>
      <c r="K256" s="4" t="s">
        <v>62</v>
      </c>
      <c r="L256" s="4" t="s">
        <v>63</v>
      </c>
      <c r="M256" s="6" t="str">
        <f>IF(OR(B256="",I256=""),"",B256*I256)</f>
        <v/>
      </c>
      <c r="N256" s="8" t="s">
        <v>64</v>
      </c>
      <c r="O256" s="9"/>
      <c r="P256" s="9"/>
      <c r="Q256" s="22"/>
      <c r="R256" s="22"/>
      <c r="S256" s="23" t="str">
        <f>IF(AND(ISNUMBER(Q256),Q256&gt;0,ISNUMBER(R256),R256&gt;0),R256/Q256,"")</f>
        <v/>
      </c>
      <c r="T256" s="9"/>
      <c r="U256" s="9"/>
      <c r="V256" s="9"/>
      <c r="W256" s="9"/>
      <c r="X256" s="23" t="str">
        <f>IF(ISNUMBER(S256),S256,IF(ISNUMBER(I256),I256,""))</f>
        <v/>
      </c>
      <c r="Y256" t="str">
        <f>IF(ISNUMBER(S256),"2025 EIA-923 plant/group proxy",IF(ISNUMBER(I256),"Technology estimate","No thermal heat rate"))</f>
        <v>No thermal heat rate</v>
      </c>
      <c r="Z256" t="str">
        <f>IF(ISNUMBER(S256),"Review: NOT unit verified",IF(AE256="No match","No EIA match",IF(AF256="Unconfirmed","Unconfirmed EIA candidate","")))</f>
        <v/>
      </c>
      <c r="AE256" t="s">
        <v>65</v>
      </c>
      <c r="AF256" t="s">
        <v>66</v>
      </c>
      <c r="AG256" s="24">
        <f>IF(ISBLANK(S256),S256,I256)</f>
        <v>0</v>
      </c>
      <c r="AH256" s="34">
        <f t="shared" si="12"/>
        <v>5322.7999999999993</v>
      </c>
      <c r="AI256">
        <f t="shared" si="11"/>
        <v>3323.9954003014909</v>
      </c>
      <c r="AJ256" t="b" cm="1">
        <f t="array" ref="AJ256">OR(D256=$AT$2:$AT$8)</f>
        <v>1</v>
      </c>
    </row>
    <row r="257" spans="1:36" x14ac:dyDescent="0.25">
      <c r="A257" s="2" t="s">
        <v>1465</v>
      </c>
      <c r="B257" s="3">
        <v>2.2000000000000002</v>
      </c>
      <c r="C257" s="2" t="s">
        <v>228</v>
      </c>
      <c r="D257" s="2" t="s">
        <v>228</v>
      </c>
      <c r="E257" s="2" t="s">
        <v>59</v>
      </c>
      <c r="F257" s="4" t="s">
        <v>60</v>
      </c>
      <c r="G257" s="4" t="s">
        <v>61</v>
      </c>
      <c r="H257" s="5"/>
      <c r="I257" s="5"/>
      <c r="J257" s="5"/>
      <c r="K257" s="4" t="s">
        <v>62</v>
      </c>
      <c r="L257" s="4" t="s">
        <v>63</v>
      </c>
      <c r="M257" s="6" t="str">
        <f>IF(OR(B257="",I257=""),"",B257*I257)</f>
        <v/>
      </c>
      <c r="N257" s="8" t="s">
        <v>64</v>
      </c>
      <c r="O257" s="9"/>
      <c r="P257" s="9"/>
      <c r="Q257" s="22"/>
      <c r="R257" s="22"/>
      <c r="S257" s="23" t="str">
        <f>IF(AND(ISNUMBER(Q257),Q257&gt;0,ISNUMBER(R257),R257&gt;0),R257/Q257,"")</f>
        <v/>
      </c>
      <c r="T257" s="9"/>
      <c r="U257" s="9"/>
      <c r="V257" s="9"/>
      <c r="W257" s="9"/>
      <c r="X257" s="23" t="str">
        <f>IF(ISNUMBER(S257),S257,IF(ISNUMBER(I257),I257,""))</f>
        <v/>
      </c>
      <c r="Y257" t="str">
        <f>IF(ISNUMBER(S257),"2025 EIA-923 plant/group proxy",IF(ISNUMBER(I257),"Technology estimate","No thermal heat rate"))</f>
        <v>No thermal heat rate</v>
      </c>
      <c r="Z257" t="str">
        <f>IF(ISNUMBER(S257),"Review: NOT unit verified",IF(AE257="No match","No EIA match",IF(AF257="Unconfirmed","Unconfirmed EIA candidate","")))</f>
        <v/>
      </c>
      <c r="AE257" t="s">
        <v>65</v>
      </c>
      <c r="AF257" t="s">
        <v>66</v>
      </c>
      <c r="AG257" s="24">
        <f>IF(ISBLANK(S257),S257,I257)</f>
        <v>0</v>
      </c>
      <c r="AH257" s="34">
        <f t="shared" si="12"/>
        <v>5324.9999999999991</v>
      </c>
      <c r="AI257">
        <f t="shared" si="11"/>
        <v>3325.3692617805364</v>
      </c>
      <c r="AJ257" t="b" cm="1">
        <f t="array" ref="AJ257">OR(D257=$AT$2:$AT$8)</f>
        <v>1</v>
      </c>
    </row>
    <row r="258" spans="1:36" x14ac:dyDescent="0.25">
      <c r="A258" s="2" t="s">
        <v>1466</v>
      </c>
      <c r="B258" s="3">
        <v>1.9</v>
      </c>
      <c r="C258" s="2" t="s">
        <v>228</v>
      </c>
      <c r="D258" s="2" t="s">
        <v>228</v>
      </c>
      <c r="E258" s="2" t="s">
        <v>59</v>
      </c>
      <c r="F258" s="4" t="s">
        <v>60</v>
      </c>
      <c r="G258" s="4" t="s">
        <v>61</v>
      </c>
      <c r="H258" s="5"/>
      <c r="I258" s="5"/>
      <c r="J258" s="5"/>
      <c r="K258" s="4" t="s">
        <v>62</v>
      </c>
      <c r="L258" s="4" t="s">
        <v>63</v>
      </c>
      <c r="M258" s="6" t="str">
        <f>IF(OR(B258="",I258=""),"",B258*I258)</f>
        <v/>
      </c>
      <c r="N258" s="8" t="s">
        <v>64</v>
      </c>
      <c r="O258" s="9"/>
      <c r="P258" s="9"/>
      <c r="Q258" s="22"/>
      <c r="R258" s="22"/>
      <c r="S258" s="23" t="str">
        <f>IF(AND(ISNUMBER(Q258),Q258&gt;0,ISNUMBER(R258),R258&gt;0),R258/Q258,"")</f>
        <v/>
      </c>
      <c r="T258" s="9"/>
      <c r="U258" s="9"/>
      <c r="V258" s="9"/>
      <c r="W258" s="9"/>
      <c r="X258" s="23" t="str">
        <f>IF(ISNUMBER(S258),S258,IF(ISNUMBER(I258),I258,""))</f>
        <v/>
      </c>
      <c r="Y258" t="str">
        <f>IF(ISNUMBER(S258),"2025 EIA-923 plant/group proxy",IF(ISNUMBER(I258),"Technology estimate","No thermal heat rate"))</f>
        <v>No thermal heat rate</v>
      </c>
      <c r="Z258" t="str">
        <f>IF(ISNUMBER(S258),"Review: NOT unit verified",IF(AE258="No match","No EIA match",IF(AF258="Unconfirmed","Unconfirmed EIA candidate","")))</f>
        <v/>
      </c>
      <c r="AE258" t="s">
        <v>65</v>
      </c>
      <c r="AF258" t="s">
        <v>66</v>
      </c>
      <c r="AG258" s="24">
        <f>IF(ISBLANK(S258),S258,I258)</f>
        <v>0</v>
      </c>
      <c r="AH258" s="34">
        <f t="shared" si="12"/>
        <v>5326.8999999999987</v>
      </c>
      <c r="AI258">
        <f t="shared" si="11"/>
        <v>3326.5557785124392</v>
      </c>
      <c r="AJ258" t="b" cm="1">
        <f t="array" ref="AJ258">OR(D258=$AT$2:$AT$8)</f>
        <v>1</v>
      </c>
    </row>
    <row r="259" spans="1:36" x14ac:dyDescent="0.25">
      <c r="A259" s="2" t="s">
        <v>1472</v>
      </c>
      <c r="B259" s="3">
        <v>7.6</v>
      </c>
      <c r="C259" s="2" t="s">
        <v>78</v>
      </c>
      <c r="D259" s="2" t="s">
        <v>78</v>
      </c>
      <c r="E259" s="2" t="s">
        <v>59</v>
      </c>
      <c r="F259" s="4" t="s">
        <v>60</v>
      </c>
      <c r="G259" s="4" t="s">
        <v>61</v>
      </c>
      <c r="H259" s="5"/>
      <c r="I259" s="5"/>
      <c r="J259" s="5"/>
      <c r="K259" s="4" t="s">
        <v>62</v>
      </c>
      <c r="L259" s="4" t="s">
        <v>63</v>
      </c>
      <c r="M259" s="6" t="str">
        <f>IF(OR(B259="",I259=""),"",B259*I259)</f>
        <v/>
      </c>
      <c r="N259" s="8" t="s">
        <v>64</v>
      </c>
      <c r="O259" s="9"/>
      <c r="P259" s="9"/>
      <c r="Q259" s="22"/>
      <c r="R259" s="22"/>
      <c r="S259" s="23" t="str">
        <f>IF(AND(ISNUMBER(Q259),Q259&gt;0,ISNUMBER(R259),R259&gt;0),R259/Q259,"")</f>
        <v/>
      </c>
      <c r="T259" s="9"/>
      <c r="U259" s="9"/>
      <c r="V259" s="9"/>
      <c r="W259" s="9"/>
      <c r="X259" s="23" t="str">
        <f>IF(ISNUMBER(S259),S259,IF(ISNUMBER(I259),I259,""))</f>
        <v/>
      </c>
      <c r="Y259" t="str">
        <f>IF(ISNUMBER(S259),"2025 EIA-923 plant/group proxy",IF(ISNUMBER(I259),"Technology estimate","No thermal heat rate"))</f>
        <v>No thermal heat rate</v>
      </c>
      <c r="Z259" t="str">
        <f>IF(ISNUMBER(S259),"Review: NOT unit verified",IF(AE259="No match","No EIA match",IF(AF259="Unconfirmed","Unconfirmed EIA candidate","")))</f>
        <v/>
      </c>
      <c r="AE259" t="s">
        <v>65</v>
      </c>
      <c r="AF259" t="s">
        <v>66</v>
      </c>
      <c r="AG259" s="24">
        <f>IF(ISBLANK(S259),S259,I259)</f>
        <v>0</v>
      </c>
      <c r="AH259" s="34">
        <f t="shared" si="12"/>
        <v>5334.4999999999991</v>
      </c>
      <c r="AI259">
        <f t="shared" ref="AI259:AI322" si="13">AH259*$AK$1</f>
        <v>3331.3018454400508</v>
      </c>
      <c r="AJ259" t="b" cm="1">
        <f t="array" ref="AJ259">OR(D259=$AT$2:$AT$8)</f>
        <v>1</v>
      </c>
    </row>
    <row r="260" spans="1:36" x14ac:dyDescent="0.25">
      <c r="A260" s="2" t="s">
        <v>1489</v>
      </c>
      <c r="B260" s="3">
        <v>3.2</v>
      </c>
      <c r="C260" s="2" t="s">
        <v>91</v>
      </c>
      <c r="D260" s="2" t="s">
        <v>91</v>
      </c>
      <c r="E260" s="2" t="s">
        <v>59</v>
      </c>
      <c r="F260" s="4" t="s">
        <v>60</v>
      </c>
      <c r="G260" s="4" t="s">
        <v>61</v>
      </c>
      <c r="H260" s="5"/>
      <c r="I260" s="5"/>
      <c r="J260" s="5"/>
      <c r="K260" s="4" t="s">
        <v>62</v>
      </c>
      <c r="L260" s="4" t="s">
        <v>63</v>
      </c>
      <c r="M260" s="6" t="str">
        <f>IF(OR(B260="",I260=""),"",B260*I260)</f>
        <v/>
      </c>
      <c r="N260" s="8" t="s">
        <v>64</v>
      </c>
      <c r="O260" s="9"/>
      <c r="P260" s="9"/>
      <c r="Q260" s="22"/>
      <c r="R260" s="22"/>
      <c r="S260" s="23" t="str">
        <f>IF(AND(ISNUMBER(Q260),Q260&gt;0,ISNUMBER(R260),R260&gt;0),R260/Q260,"")</f>
        <v/>
      </c>
      <c r="T260" s="9"/>
      <c r="U260" s="9"/>
      <c r="V260" s="9"/>
      <c r="W260" s="9"/>
      <c r="X260" s="23" t="str">
        <f>IF(ISNUMBER(S260),S260,IF(ISNUMBER(I260),I260,""))</f>
        <v/>
      </c>
      <c r="Y260" t="str">
        <f>IF(ISNUMBER(S260),"2025 EIA-923 plant/group proxy",IF(ISNUMBER(I260),"Technology estimate","No thermal heat rate"))</f>
        <v>No thermal heat rate</v>
      </c>
      <c r="Z260" t="str">
        <f>IF(ISNUMBER(S260),"Review: NOT unit verified",IF(AE260="No match","No EIA match",IF(AF260="Unconfirmed","Unconfirmed EIA candidate","")))</f>
        <v/>
      </c>
      <c r="AE260" t="s">
        <v>65</v>
      </c>
      <c r="AF260" t="s">
        <v>66</v>
      </c>
      <c r="AG260" s="24">
        <f>IF(ISBLANK(S260),S260,I260)</f>
        <v>0</v>
      </c>
      <c r="AH260" s="34">
        <f t="shared" ref="AH260:AH323" si="14">AH259+B260</f>
        <v>5337.6999999999989</v>
      </c>
      <c r="AI260">
        <f t="shared" si="13"/>
        <v>3333.3001894095714</v>
      </c>
      <c r="AJ260" t="b" cm="1">
        <f t="array" ref="AJ260">OR(D260=$AT$2:$AT$8)</f>
        <v>1</v>
      </c>
    </row>
    <row r="261" spans="1:36" x14ac:dyDescent="0.25">
      <c r="A261" s="2" t="s">
        <v>1549</v>
      </c>
      <c r="B261" s="3">
        <v>3.7</v>
      </c>
      <c r="C261" s="2" t="s">
        <v>57</v>
      </c>
      <c r="D261" s="2" t="s">
        <v>58</v>
      </c>
      <c r="E261" s="2" t="s">
        <v>59</v>
      </c>
      <c r="F261" s="4" t="s">
        <v>60</v>
      </c>
      <c r="G261" s="4" t="s">
        <v>61</v>
      </c>
      <c r="H261" s="5"/>
      <c r="I261" s="5"/>
      <c r="J261" s="5"/>
      <c r="K261" s="4" t="s">
        <v>62</v>
      </c>
      <c r="L261" s="4" t="s">
        <v>63</v>
      </c>
      <c r="M261" s="6" t="str">
        <f>IF(OR(B261="",I261=""),"",B261*I261)</f>
        <v/>
      </c>
      <c r="N261" s="8" t="s">
        <v>64</v>
      </c>
      <c r="O261" s="9"/>
      <c r="P261" s="9"/>
      <c r="Q261" s="22"/>
      <c r="R261" s="22"/>
      <c r="S261" s="23" t="str">
        <f>IF(AND(ISNUMBER(Q261),Q261&gt;0,ISNUMBER(R261),R261&gt;0),R261/Q261,"")</f>
        <v/>
      </c>
      <c r="T261" s="9"/>
      <c r="U261" s="9"/>
      <c r="V261" s="9"/>
      <c r="W261" s="9"/>
      <c r="X261" s="23" t="str">
        <f>IF(ISNUMBER(S261),S261,IF(ISNUMBER(I261),I261,""))</f>
        <v/>
      </c>
      <c r="Y261" t="str">
        <f>IF(ISNUMBER(S261),"2025 EIA-923 plant/group proxy",IF(ISNUMBER(I261),"Technology estimate","No thermal heat rate"))</f>
        <v>No thermal heat rate</v>
      </c>
      <c r="Z261" t="str">
        <f>IF(ISNUMBER(S261),"Review: NOT unit verified",IF(AE261="No match","No EIA match",IF(AF261="Unconfirmed","Unconfirmed EIA candidate","")))</f>
        <v/>
      </c>
      <c r="AE261" t="s">
        <v>65</v>
      </c>
      <c r="AF261" t="s">
        <v>66</v>
      </c>
      <c r="AG261" s="24">
        <f>IF(ISBLANK(S261),S261,I261)</f>
        <v>0</v>
      </c>
      <c r="AH261" s="34">
        <f t="shared" si="14"/>
        <v>5341.3999999999987</v>
      </c>
      <c r="AI261">
        <f t="shared" si="13"/>
        <v>3335.6107746243297</v>
      </c>
      <c r="AJ261" t="b" cm="1">
        <f t="array" ref="AJ261">OR(D261=$AT$2:$AT$8)</f>
        <v>0</v>
      </c>
    </row>
    <row r="262" spans="1:36" x14ac:dyDescent="0.25">
      <c r="A262" s="2" t="s">
        <v>1576</v>
      </c>
      <c r="B262" s="3">
        <v>0.7</v>
      </c>
      <c r="C262" s="2" t="s">
        <v>91</v>
      </c>
      <c r="D262" s="2" t="s">
        <v>91</v>
      </c>
      <c r="E262" s="2" t="s">
        <v>59</v>
      </c>
      <c r="F262" s="4" t="s">
        <v>60</v>
      </c>
      <c r="G262" s="4" t="s">
        <v>61</v>
      </c>
      <c r="H262" s="5"/>
      <c r="I262" s="5"/>
      <c r="J262" s="5"/>
      <c r="K262" s="4" t="s">
        <v>62</v>
      </c>
      <c r="L262" s="4" t="s">
        <v>63</v>
      </c>
      <c r="M262" s="6" t="str">
        <f>IF(OR(B262="",I262=""),"",B262*I262)</f>
        <v/>
      </c>
      <c r="N262" s="8" t="s">
        <v>64</v>
      </c>
      <c r="O262" s="9"/>
      <c r="P262" s="9"/>
      <c r="Q262" s="22"/>
      <c r="R262" s="22"/>
      <c r="S262" s="23" t="str">
        <f>IF(AND(ISNUMBER(Q262),Q262&gt;0,ISNUMBER(R262),R262&gt;0),R262/Q262,"")</f>
        <v/>
      </c>
      <c r="T262" s="9"/>
      <c r="U262" s="9"/>
      <c r="V262" s="9"/>
      <c r="W262" s="9"/>
      <c r="X262" s="23" t="str">
        <f>IF(ISNUMBER(S262),S262,IF(ISNUMBER(I262),I262,""))</f>
        <v/>
      </c>
      <c r="Y262" t="str">
        <f>IF(ISNUMBER(S262),"2025 EIA-923 plant/group proxy",IF(ISNUMBER(I262),"Technology estimate","No thermal heat rate"))</f>
        <v>No thermal heat rate</v>
      </c>
      <c r="Z262" t="str">
        <f>IF(ISNUMBER(S262),"Review: NOT unit verified",IF(AE262="No match","No EIA match",IF(AF262="Unconfirmed","Unconfirmed EIA candidate","")))</f>
        <v/>
      </c>
      <c r="AE262" t="s">
        <v>65</v>
      </c>
      <c r="AF262" t="s">
        <v>66</v>
      </c>
      <c r="AG262" s="24">
        <f>IF(ISBLANK(S262),S262,I262)</f>
        <v>0</v>
      </c>
      <c r="AH262" s="34">
        <f t="shared" si="14"/>
        <v>5342.0999999999985</v>
      </c>
      <c r="AI262">
        <f t="shared" si="13"/>
        <v>3336.0479123676623</v>
      </c>
      <c r="AJ262" t="b" cm="1">
        <f t="array" ref="AJ262">OR(D262=$AT$2:$AT$8)</f>
        <v>1</v>
      </c>
    </row>
    <row r="263" spans="1:36" x14ac:dyDescent="0.25">
      <c r="A263" s="2" t="s">
        <v>1621</v>
      </c>
      <c r="B263" s="3">
        <v>2.4</v>
      </c>
      <c r="C263" s="2" t="s">
        <v>405</v>
      </c>
      <c r="D263" s="2" t="s">
        <v>405</v>
      </c>
      <c r="E263" s="2" t="s">
        <v>59</v>
      </c>
      <c r="F263" s="4" t="s">
        <v>60</v>
      </c>
      <c r="G263" s="4" t="s">
        <v>61</v>
      </c>
      <c r="H263" s="5"/>
      <c r="I263" s="5"/>
      <c r="J263" s="5"/>
      <c r="K263" s="4" t="s">
        <v>62</v>
      </c>
      <c r="L263" s="4" t="s">
        <v>63</v>
      </c>
      <c r="M263" s="6" t="str">
        <f>IF(OR(B263="",I263=""),"",B263*I263)</f>
        <v/>
      </c>
      <c r="N263" s="8" t="s">
        <v>64</v>
      </c>
      <c r="O263" s="9"/>
      <c r="P263" s="9"/>
      <c r="Q263" s="22"/>
      <c r="R263" s="22"/>
      <c r="S263" s="23" t="str">
        <f>IF(AND(ISNUMBER(Q263),Q263&gt;0,ISNUMBER(R263),R263&gt;0),R263/Q263,"")</f>
        <v/>
      </c>
      <c r="T263" s="9"/>
      <c r="U263" s="9"/>
      <c r="V263" s="9"/>
      <c r="W263" s="9"/>
      <c r="X263" s="23" t="str">
        <f>IF(ISNUMBER(S263),S263,IF(ISNUMBER(I263),I263,""))</f>
        <v/>
      </c>
      <c r="Y263" t="str">
        <f>IF(ISNUMBER(S263),"2025 EIA-923 plant/group proxy",IF(ISNUMBER(I263),"Technology estimate","No thermal heat rate"))</f>
        <v>No thermal heat rate</v>
      </c>
      <c r="Z263" t="str">
        <f>IF(ISNUMBER(S263),"Review: NOT unit verified",IF(AE263="No match","No EIA match",IF(AF263="Unconfirmed","Unconfirmed EIA candidate","")))</f>
        <v/>
      </c>
      <c r="AE263" t="s">
        <v>65</v>
      </c>
      <c r="AF263" t="s">
        <v>66</v>
      </c>
      <c r="AG263" s="24">
        <f>IF(ISBLANK(S263),S263,I263)</f>
        <v>0</v>
      </c>
      <c r="AH263" s="34">
        <f t="shared" si="14"/>
        <v>5344.4999999999982</v>
      </c>
      <c r="AI263">
        <f t="shared" si="13"/>
        <v>3337.5466703448024</v>
      </c>
      <c r="AJ263" t="b" cm="1">
        <f t="array" ref="AJ263">OR(D263=$AT$2:$AT$8)</f>
        <v>1</v>
      </c>
    </row>
    <row r="264" spans="1:36" x14ac:dyDescent="0.25">
      <c r="A264" s="2" t="s">
        <v>1629</v>
      </c>
      <c r="B264" s="3">
        <v>3.6</v>
      </c>
      <c r="C264" s="2" t="s">
        <v>228</v>
      </c>
      <c r="D264" s="2" t="s">
        <v>228</v>
      </c>
      <c r="E264" s="2" t="s">
        <v>59</v>
      </c>
      <c r="F264" s="4" t="s">
        <v>60</v>
      </c>
      <c r="G264" s="4" t="s">
        <v>61</v>
      </c>
      <c r="H264" s="5"/>
      <c r="I264" s="5"/>
      <c r="J264" s="5"/>
      <c r="K264" s="4" t="s">
        <v>62</v>
      </c>
      <c r="L264" s="4" t="s">
        <v>63</v>
      </c>
      <c r="M264" s="6" t="str">
        <f>IF(OR(B264="",I264=""),"",B264*I264)</f>
        <v/>
      </c>
      <c r="N264" s="8" t="s">
        <v>64</v>
      </c>
      <c r="O264" s="9"/>
      <c r="P264" s="9"/>
      <c r="Q264" s="22"/>
      <c r="R264" s="22"/>
      <c r="S264" s="23" t="str">
        <f>IF(AND(ISNUMBER(Q264),Q264&gt;0,ISNUMBER(R264),R264&gt;0),R264/Q264,"")</f>
        <v/>
      </c>
      <c r="T264" s="9"/>
      <c r="U264" s="9"/>
      <c r="V264" s="9"/>
      <c r="W264" s="9"/>
      <c r="X264" s="23" t="str">
        <f>IF(ISNUMBER(S264),S264,IF(ISNUMBER(I264),I264,""))</f>
        <v/>
      </c>
      <c r="Y264" t="str">
        <f>IF(ISNUMBER(S264),"2025 EIA-923 plant/group proxy",IF(ISNUMBER(I264),"Technology estimate","No thermal heat rate"))</f>
        <v>No thermal heat rate</v>
      </c>
      <c r="Z264" t="str">
        <f>IF(ISNUMBER(S264),"Review: NOT unit verified",IF(AE264="No match","No EIA match",IF(AF264="Unconfirmed","Unconfirmed EIA candidate","")))</f>
        <v/>
      </c>
      <c r="AE264" t="s">
        <v>65</v>
      </c>
      <c r="AF264" t="s">
        <v>66</v>
      </c>
      <c r="AG264" s="24">
        <f>IF(ISBLANK(S264),S264,I264)</f>
        <v>0</v>
      </c>
      <c r="AH264" s="34">
        <f t="shared" si="14"/>
        <v>5348.0999999999985</v>
      </c>
      <c r="AI264">
        <f t="shared" si="13"/>
        <v>3339.7948073105135</v>
      </c>
      <c r="AJ264" t="b" cm="1">
        <f t="array" ref="AJ264">OR(D264=$AT$2:$AT$8)</f>
        <v>1</v>
      </c>
    </row>
    <row r="265" spans="1:36" x14ac:dyDescent="0.25">
      <c r="A265" s="2" t="s">
        <v>1643</v>
      </c>
      <c r="B265" s="3">
        <v>3.5</v>
      </c>
      <c r="C265" s="2" t="s">
        <v>91</v>
      </c>
      <c r="D265" s="2" t="s">
        <v>91</v>
      </c>
      <c r="E265" s="2" t="s">
        <v>59</v>
      </c>
      <c r="F265" s="4" t="s">
        <v>60</v>
      </c>
      <c r="G265" s="4" t="s">
        <v>61</v>
      </c>
      <c r="H265" s="5"/>
      <c r="I265" s="5"/>
      <c r="J265" s="5"/>
      <c r="K265" s="4" t="s">
        <v>62</v>
      </c>
      <c r="L265" s="4" t="s">
        <v>63</v>
      </c>
      <c r="M265" s="6" t="str">
        <f>IF(OR(B265="",I265=""),"",B265*I265)</f>
        <v/>
      </c>
      <c r="N265" s="8" t="s">
        <v>64</v>
      </c>
      <c r="O265" s="9"/>
      <c r="P265" s="9"/>
      <c r="Q265" s="22"/>
      <c r="R265" s="22"/>
      <c r="S265" s="23" t="str">
        <f>IF(AND(ISNUMBER(Q265),Q265&gt;0,ISNUMBER(R265),R265&gt;0),R265/Q265,"")</f>
        <v/>
      </c>
      <c r="T265" s="9"/>
      <c r="U265" s="9"/>
      <c r="V265" s="9"/>
      <c r="W265" s="9"/>
      <c r="X265" s="23" t="str">
        <f>IF(ISNUMBER(S265),S265,IF(ISNUMBER(I265),I265,""))</f>
        <v/>
      </c>
      <c r="Y265" t="str">
        <f>IF(ISNUMBER(S265),"2025 EIA-923 plant/group proxy",IF(ISNUMBER(I265),"Technology estimate","No thermal heat rate"))</f>
        <v>No thermal heat rate</v>
      </c>
      <c r="Z265" t="str">
        <f>IF(ISNUMBER(S265),"Review: NOT unit verified",IF(AE265="No match","No EIA match",IF(AF265="Unconfirmed","Unconfirmed EIA candidate","")))</f>
        <v/>
      </c>
      <c r="AE265" t="s">
        <v>65</v>
      </c>
      <c r="AF265" t="s">
        <v>66</v>
      </c>
      <c r="AG265" s="24">
        <f>IF(ISBLANK(S265),S265,I265)</f>
        <v>0</v>
      </c>
      <c r="AH265" s="34">
        <f t="shared" si="14"/>
        <v>5351.5999999999985</v>
      </c>
      <c r="AI265">
        <f t="shared" si="13"/>
        <v>3341.9804960271767</v>
      </c>
      <c r="AJ265" t="b" cm="1">
        <f t="array" ref="AJ265">OR(D265=$AT$2:$AT$8)</f>
        <v>1</v>
      </c>
    </row>
    <row r="266" spans="1:36" x14ac:dyDescent="0.25">
      <c r="A266" s="2" t="s">
        <v>1663</v>
      </c>
      <c r="B266" s="3">
        <v>3</v>
      </c>
      <c r="C266" s="2" t="s">
        <v>91</v>
      </c>
      <c r="D266" s="2" t="s">
        <v>91</v>
      </c>
      <c r="E266" s="2" t="s">
        <v>59</v>
      </c>
      <c r="F266" s="4" t="s">
        <v>60</v>
      </c>
      <c r="G266" s="4" t="s">
        <v>61</v>
      </c>
      <c r="H266" s="5"/>
      <c r="I266" s="5"/>
      <c r="J266" s="5"/>
      <c r="K266" s="4" t="s">
        <v>62</v>
      </c>
      <c r="L266" s="4" t="s">
        <v>63</v>
      </c>
      <c r="M266" s="6" t="str">
        <f>IF(OR(B266="",I266=""),"",B266*I266)</f>
        <v/>
      </c>
      <c r="N266" s="8" t="s">
        <v>64</v>
      </c>
      <c r="O266" s="9"/>
      <c r="P266" s="9"/>
      <c r="Q266" s="22"/>
      <c r="R266" s="22"/>
      <c r="S266" s="23" t="str">
        <f>IF(AND(ISNUMBER(Q266),Q266&gt;0,ISNUMBER(R266),R266&gt;0),R266/Q266,"")</f>
        <v/>
      </c>
      <c r="T266" s="9"/>
      <c r="U266" s="9"/>
      <c r="V266" s="9"/>
      <c r="W266" s="9"/>
      <c r="X266" s="23" t="str">
        <f>IF(ISNUMBER(S266),S266,IF(ISNUMBER(I266),I266,""))</f>
        <v/>
      </c>
      <c r="Y266" t="str">
        <f>IF(ISNUMBER(S266),"2025 EIA-923 plant/group proxy",IF(ISNUMBER(I266),"Technology estimate","No thermal heat rate"))</f>
        <v>No thermal heat rate</v>
      </c>
      <c r="Z266" t="str">
        <f>IF(ISNUMBER(S266),"Review: NOT unit verified",IF(AE266="No match","No EIA match",IF(AF266="Unconfirmed","Unconfirmed EIA candidate","")))</f>
        <v/>
      </c>
      <c r="AE266" t="s">
        <v>65</v>
      </c>
      <c r="AF266" t="s">
        <v>66</v>
      </c>
      <c r="AG266" s="24">
        <f>IF(ISBLANK(S266),S266,I266)</f>
        <v>0</v>
      </c>
      <c r="AH266" s="34">
        <f t="shared" si="14"/>
        <v>5354.5999999999985</v>
      </c>
      <c r="AI266">
        <f t="shared" si="13"/>
        <v>3343.8539434986023</v>
      </c>
      <c r="AJ266" t="b" cm="1">
        <f t="array" ref="AJ266">OR(D266=$AT$2:$AT$8)</f>
        <v>1</v>
      </c>
    </row>
    <row r="267" spans="1:36" x14ac:dyDescent="0.25">
      <c r="A267" s="2" t="s">
        <v>1678</v>
      </c>
      <c r="B267" s="3">
        <v>3.8</v>
      </c>
      <c r="C267" s="2" t="s">
        <v>228</v>
      </c>
      <c r="D267" s="2" t="s">
        <v>228</v>
      </c>
      <c r="E267" s="2" t="s">
        <v>59</v>
      </c>
      <c r="F267" s="4" t="s">
        <v>60</v>
      </c>
      <c r="G267" s="4" t="s">
        <v>61</v>
      </c>
      <c r="H267" s="5"/>
      <c r="I267" s="5"/>
      <c r="J267" s="5"/>
      <c r="K267" s="4" t="s">
        <v>62</v>
      </c>
      <c r="L267" s="4" t="s">
        <v>63</v>
      </c>
      <c r="M267" s="6" t="str">
        <f>IF(OR(B267="",I267=""),"",B267*I267)</f>
        <v/>
      </c>
      <c r="N267" s="8" t="s">
        <v>64</v>
      </c>
      <c r="O267" s="9"/>
      <c r="P267" s="9"/>
      <c r="Q267" s="22"/>
      <c r="R267" s="22"/>
      <c r="S267" s="23" t="str">
        <f>IF(AND(ISNUMBER(Q267),Q267&gt;0,ISNUMBER(R267),R267&gt;0),R267/Q267,"")</f>
        <v/>
      </c>
      <c r="T267" s="9"/>
      <c r="U267" s="9"/>
      <c r="V267" s="9"/>
      <c r="W267" s="9"/>
      <c r="X267" s="23" t="str">
        <f>IF(ISNUMBER(S267),S267,IF(ISNUMBER(I267),I267,""))</f>
        <v/>
      </c>
      <c r="Y267" t="str">
        <f>IF(ISNUMBER(S267),"2025 EIA-923 plant/group proxy",IF(ISNUMBER(I267),"Technology estimate","No thermal heat rate"))</f>
        <v>No thermal heat rate</v>
      </c>
      <c r="Z267" t="str">
        <f>IF(ISNUMBER(S267),"Review: NOT unit verified",IF(AE267="No match","No EIA match",IF(AF267="Unconfirmed","Unconfirmed EIA candidate","")))</f>
        <v/>
      </c>
      <c r="AE267" t="s">
        <v>65</v>
      </c>
      <c r="AF267" t="s">
        <v>66</v>
      </c>
      <c r="AG267" s="24">
        <f>IF(ISBLANK(S267),S267,I267)</f>
        <v>0</v>
      </c>
      <c r="AH267" s="34">
        <f t="shared" si="14"/>
        <v>5358.3999999999987</v>
      </c>
      <c r="AI267">
        <f t="shared" si="13"/>
        <v>3346.2269769624086</v>
      </c>
      <c r="AJ267" t="b" cm="1">
        <f t="array" ref="AJ267">OR(D267=$AT$2:$AT$8)</f>
        <v>1</v>
      </c>
    </row>
    <row r="268" spans="1:36" x14ac:dyDescent="0.25">
      <c r="A268" s="2" t="s">
        <v>1686</v>
      </c>
      <c r="B268" s="3">
        <v>6.4</v>
      </c>
      <c r="C268" s="2" t="s">
        <v>91</v>
      </c>
      <c r="D268" s="2" t="s">
        <v>91</v>
      </c>
      <c r="E268" s="2" t="s">
        <v>59</v>
      </c>
      <c r="F268" s="4" t="s">
        <v>60</v>
      </c>
      <c r="G268" s="4" t="s">
        <v>61</v>
      </c>
      <c r="H268" s="5"/>
      <c r="I268" s="5"/>
      <c r="J268" s="5"/>
      <c r="K268" s="4" t="s">
        <v>62</v>
      </c>
      <c r="L268" s="4" t="s">
        <v>63</v>
      </c>
      <c r="M268" s="6" t="str">
        <f>IF(OR(B268="",I268=""),"",B268*I268)</f>
        <v/>
      </c>
      <c r="N268" s="8" t="s">
        <v>64</v>
      </c>
      <c r="O268" s="9"/>
      <c r="P268" s="9"/>
      <c r="Q268" s="22"/>
      <c r="R268" s="22"/>
      <c r="S268" s="23" t="str">
        <f>IF(AND(ISNUMBER(Q268),Q268&gt;0,ISNUMBER(R268),R268&gt;0),R268/Q268,"")</f>
        <v/>
      </c>
      <c r="T268" s="9"/>
      <c r="U268" s="9"/>
      <c r="V268" s="9"/>
      <c r="W268" s="9"/>
      <c r="X268" s="23" t="str">
        <f>IF(ISNUMBER(S268),S268,IF(ISNUMBER(I268),I268,""))</f>
        <v/>
      </c>
      <c r="Y268" t="str">
        <f>IF(ISNUMBER(S268),"2025 EIA-923 plant/group proxy",IF(ISNUMBER(I268),"Technology estimate","No thermal heat rate"))</f>
        <v>No thermal heat rate</v>
      </c>
      <c r="Z268" t="str">
        <f>IF(ISNUMBER(S268),"Review: NOT unit verified",IF(AE268="No match","No EIA match",IF(AF268="Unconfirmed","Unconfirmed EIA candidate","")))</f>
        <v/>
      </c>
      <c r="AE268" t="s">
        <v>65</v>
      </c>
      <c r="AF268" t="s">
        <v>66</v>
      </c>
      <c r="AG268" s="24">
        <f>IF(ISBLANK(S268),S268,I268)</f>
        <v>0</v>
      </c>
      <c r="AH268" s="34">
        <f t="shared" si="14"/>
        <v>5364.7999999999984</v>
      </c>
      <c r="AI268">
        <f t="shared" si="13"/>
        <v>3350.2236649014494</v>
      </c>
      <c r="AJ268" t="b" cm="1">
        <f t="array" ref="AJ268">OR(D268=$AT$2:$AT$8)</f>
        <v>1</v>
      </c>
    </row>
    <row r="269" spans="1:36" x14ac:dyDescent="0.25">
      <c r="A269" s="2" t="s">
        <v>1691</v>
      </c>
      <c r="B269" s="3">
        <v>8.1999999999999993</v>
      </c>
      <c r="C269" s="2" t="s">
        <v>91</v>
      </c>
      <c r="D269" s="2" t="s">
        <v>91</v>
      </c>
      <c r="E269" s="2" t="s">
        <v>59</v>
      </c>
      <c r="F269" s="4" t="s">
        <v>60</v>
      </c>
      <c r="G269" s="4" t="s">
        <v>61</v>
      </c>
      <c r="H269" s="5"/>
      <c r="I269" s="5"/>
      <c r="J269" s="5"/>
      <c r="K269" s="4" t="s">
        <v>62</v>
      </c>
      <c r="L269" s="4" t="s">
        <v>63</v>
      </c>
      <c r="M269" s="6" t="str">
        <f>IF(OR(B269="",I269=""),"",B269*I269)</f>
        <v/>
      </c>
      <c r="N269" s="8" t="s">
        <v>64</v>
      </c>
      <c r="O269" s="9"/>
      <c r="P269" s="9"/>
      <c r="Q269" s="22"/>
      <c r="R269" s="22"/>
      <c r="S269" s="23" t="str">
        <f>IF(AND(ISNUMBER(Q269),Q269&gt;0,ISNUMBER(R269),R269&gt;0),R269/Q269,"")</f>
        <v/>
      </c>
      <c r="T269" s="9"/>
      <c r="U269" s="9"/>
      <c r="V269" s="9"/>
      <c r="W269" s="9"/>
      <c r="X269" s="23" t="str">
        <f>IF(ISNUMBER(S269),S269,IF(ISNUMBER(I269),I269,""))</f>
        <v/>
      </c>
      <c r="Y269" t="str">
        <f>IF(ISNUMBER(S269),"2025 EIA-923 plant/group proxy",IF(ISNUMBER(I269),"Technology estimate","No thermal heat rate"))</f>
        <v>No thermal heat rate</v>
      </c>
      <c r="Z269" t="str">
        <f>IF(ISNUMBER(S269),"Review: NOT unit verified",IF(AE269="No match","No EIA match",IF(AF269="Unconfirmed","Unconfirmed EIA candidate","")))</f>
        <v/>
      </c>
      <c r="AE269" t="s">
        <v>65</v>
      </c>
      <c r="AF269" t="s">
        <v>66</v>
      </c>
      <c r="AG269" s="24">
        <f>IF(ISBLANK(S269),S269,I269)</f>
        <v>0</v>
      </c>
      <c r="AH269" s="34">
        <f t="shared" si="14"/>
        <v>5372.9999999999982</v>
      </c>
      <c r="AI269">
        <f t="shared" si="13"/>
        <v>3355.3444213233461</v>
      </c>
      <c r="AJ269" t="b" cm="1">
        <f t="array" ref="AJ269">OR(D269=$AT$2:$AT$8)</f>
        <v>1</v>
      </c>
    </row>
    <row r="270" spans="1:36" x14ac:dyDescent="0.25">
      <c r="A270" s="2" t="s">
        <v>1702</v>
      </c>
      <c r="B270" s="3">
        <v>1.3</v>
      </c>
      <c r="C270" s="2" t="s">
        <v>99</v>
      </c>
      <c r="D270" s="2" t="s">
        <v>81</v>
      </c>
      <c r="E270" s="2" t="s">
        <v>59</v>
      </c>
      <c r="F270" s="4" t="s">
        <v>60</v>
      </c>
      <c r="G270" s="4" t="s">
        <v>61</v>
      </c>
      <c r="H270" s="5"/>
      <c r="I270" s="5"/>
      <c r="J270" s="5"/>
      <c r="K270" s="4" t="s">
        <v>62</v>
      </c>
      <c r="L270" s="4" t="s">
        <v>63</v>
      </c>
      <c r="M270" s="6" t="str">
        <f>IF(OR(B270="",I270=""),"",B270*I270)</f>
        <v/>
      </c>
      <c r="N270" s="8" t="s">
        <v>64</v>
      </c>
      <c r="O270" s="9"/>
      <c r="P270" s="9"/>
      <c r="Q270" s="22"/>
      <c r="R270" s="22"/>
      <c r="S270" s="23" t="str">
        <f>IF(AND(ISNUMBER(Q270),Q270&gt;0,ISNUMBER(R270),R270&gt;0),R270/Q270,"")</f>
        <v/>
      </c>
      <c r="T270" s="9"/>
      <c r="U270" s="9"/>
      <c r="V270" s="9"/>
      <c r="W270" s="9"/>
      <c r="X270" s="23" t="str">
        <f>IF(ISNUMBER(S270),S270,IF(ISNUMBER(I270),I270,""))</f>
        <v/>
      </c>
      <c r="Y270" t="str">
        <f>IF(ISNUMBER(S270),"2025 EIA-923 plant/group proxy",IF(ISNUMBER(I270),"Technology estimate","No thermal heat rate"))</f>
        <v>No thermal heat rate</v>
      </c>
      <c r="Z270" t="str">
        <f>IF(ISNUMBER(S270),"Review: NOT unit verified",IF(AE270="No match","No EIA match",IF(AF270="Unconfirmed","Unconfirmed EIA candidate","")))</f>
        <v/>
      </c>
      <c r="AE270" t="s">
        <v>65</v>
      </c>
      <c r="AF270" t="s">
        <v>66</v>
      </c>
      <c r="AG270" s="24">
        <f>IF(ISBLANK(S270),S270,I270)</f>
        <v>0</v>
      </c>
      <c r="AH270" s="34">
        <f t="shared" si="14"/>
        <v>5374.2999999999984</v>
      </c>
      <c r="AI270">
        <f t="shared" si="13"/>
        <v>3356.1562485609643</v>
      </c>
      <c r="AJ270" t="b" cm="1">
        <f t="array" ref="AJ270">OR(D270=$AT$2:$AT$8)</f>
        <v>0</v>
      </c>
    </row>
    <row r="271" spans="1:36" x14ac:dyDescent="0.25">
      <c r="A271" s="2" t="s">
        <v>1705</v>
      </c>
      <c r="B271" s="3">
        <v>3.1</v>
      </c>
      <c r="C271" s="2" t="s">
        <v>80</v>
      </c>
      <c r="D271" s="2" t="s">
        <v>81</v>
      </c>
      <c r="E271" s="2" t="s">
        <v>59</v>
      </c>
      <c r="F271" s="4" t="s">
        <v>60</v>
      </c>
      <c r="G271" s="4" t="s">
        <v>61</v>
      </c>
      <c r="H271" s="5"/>
      <c r="I271" s="5"/>
      <c r="J271" s="5"/>
      <c r="K271" s="4" t="s">
        <v>62</v>
      </c>
      <c r="L271" s="4" t="s">
        <v>63</v>
      </c>
      <c r="M271" s="6" t="str">
        <f>IF(OR(B271="",I271=""),"",B271*I271)</f>
        <v/>
      </c>
      <c r="N271" s="8" t="s">
        <v>64</v>
      </c>
      <c r="O271" s="9"/>
      <c r="P271" s="9"/>
      <c r="Q271" s="22"/>
      <c r="R271" s="22"/>
      <c r="S271" s="23" t="str">
        <f>IF(AND(ISNUMBER(Q271),Q271&gt;0,ISNUMBER(R271),R271&gt;0),R271/Q271,"")</f>
        <v/>
      </c>
      <c r="T271" s="9"/>
      <c r="U271" s="9"/>
      <c r="V271" s="9"/>
      <c r="W271" s="9"/>
      <c r="X271" s="23" t="str">
        <f>IF(ISNUMBER(S271),S271,IF(ISNUMBER(I271),I271,""))</f>
        <v/>
      </c>
      <c r="Y271" t="str">
        <f>IF(ISNUMBER(S271),"2025 EIA-923 plant/group proxy",IF(ISNUMBER(I271),"Technology estimate","No thermal heat rate"))</f>
        <v>No thermal heat rate</v>
      </c>
      <c r="Z271" t="str">
        <f>IF(ISNUMBER(S271),"Review: NOT unit verified",IF(AE271="No match","No EIA match",IF(AF271="Unconfirmed","Unconfirmed EIA candidate","")))</f>
        <v/>
      </c>
      <c r="AE271" t="s">
        <v>65</v>
      </c>
      <c r="AF271" t="s">
        <v>66</v>
      </c>
      <c r="AG271" s="24">
        <f>IF(ISBLANK(S271),S271,I271)</f>
        <v>0</v>
      </c>
      <c r="AH271" s="34">
        <f t="shared" si="14"/>
        <v>5377.3999999999987</v>
      </c>
      <c r="AI271">
        <f t="shared" si="13"/>
        <v>3358.0921442814374</v>
      </c>
      <c r="AJ271" t="b" cm="1">
        <f t="array" ref="AJ271">OR(D271=$AT$2:$AT$8)</f>
        <v>0</v>
      </c>
    </row>
    <row r="272" spans="1:36" x14ac:dyDescent="0.25">
      <c r="A272" s="2" t="s">
        <v>1747</v>
      </c>
      <c r="B272" s="3">
        <v>2.9</v>
      </c>
      <c r="C272" s="2" t="s">
        <v>91</v>
      </c>
      <c r="D272" s="2" t="s">
        <v>91</v>
      </c>
      <c r="E272" s="2" t="s">
        <v>59</v>
      </c>
      <c r="F272" s="4" t="s">
        <v>60</v>
      </c>
      <c r="G272" s="4" t="s">
        <v>61</v>
      </c>
      <c r="H272" s="5"/>
      <c r="I272" s="5"/>
      <c r="J272" s="5"/>
      <c r="K272" s="4" t="s">
        <v>62</v>
      </c>
      <c r="L272" s="4" t="s">
        <v>63</v>
      </c>
      <c r="M272" s="6" t="str">
        <f>IF(OR(B272="",I272=""),"",B272*I272)</f>
        <v/>
      </c>
      <c r="N272" s="8" t="s">
        <v>64</v>
      </c>
      <c r="O272" s="9"/>
      <c r="P272" s="9"/>
      <c r="Q272" s="22"/>
      <c r="R272" s="22"/>
      <c r="S272" s="23" t="str">
        <f>IF(AND(ISNUMBER(Q272),Q272&gt;0,ISNUMBER(R272),R272&gt;0),R272/Q272,"")</f>
        <v/>
      </c>
      <c r="T272" s="9"/>
      <c r="U272" s="9"/>
      <c r="V272" s="9"/>
      <c r="W272" s="9"/>
      <c r="X272" s="23" t="str">
        <f>IF(ISNUMBER(S272),S272,IF(ISNUMBER(I272),I272,""))</f>
        <v/>
      </c>
      <c r="Y272" t="str">
        <f>IF(ISNUMBER(S272),"2025 EIA-923 plant/group proxy",IF(ISNUMBER(I272),"Technology estimate","No thermal heat rate"))</f>
        <v>No thermal heat rate</v>
      </c>
      <c r="Z272" t="str">
        <f>IF(ISNUMBER(S272),"Review: NOT unit verified",IF(AE272="No match","No EIA match",IF(AF272="Unconfirmed","Unconfirmed EIA candidate","")))</f>
        <v/>
      </c>
      <c r="AE272" t="s">
        <v>65</v>
      </c>
      <c r="AF272" t="s">
        <v>66</v>
      </c>
      <c r="AG272" s="24">
        <f>IF(ISBLANK(S272),S272,I272)</f>
        <v>0</v>
      </c>
      <c r="AH272" s="34">
        <f t="shared" si="14"/>
        <v>5380.2999999999984</v>
      </c>
      <c r="AI272">
        <f t="shared" si="13"/>
        <v>3359.9031435038155</v>
      </c>
      <c r="AJ272" t="b" cm="1">
        <f t="array" ref="AJ272">OR(D272=$AT$2:$AT$8)</f>
        <v>1</v>
      </c>
    </row>
    <row r="273" spans="1:36" x14ac:dyDescent="0.25">
      <c r="A273" s="2" t="s">
        <v>1758</v>
      </c>
      <c r="B273" s="3">
        <v>3.3</v>
      </c>
      <c r="C273" s="2" t="s">
        <v>91</v>
      </c>
      <c r="D273" s="2" t="s">
        <v>91</v>
      </c>
      <c r="E273" s="2" t="s">
        <v>59</v>
      </c>
      <c r="F273" s="4" t="s">
        <v>60</v>
      </c>
      <c r="G273" s="4" t="s">
        <v>61</v>
      </c>
      <c r="H273" s="5"/>
      <c r="I273" s="5"/>
      <c r="J273" s="5"/>
      <c r="K273" s="4" t="s">
        <v>62</v>
      </c>
      <c r="L273" s="4" t="s">
        <v>63</v>
      </c>
      <c r="M273" s="6" t="str">
        <f>IF(OR(B273="",I273=""),"",B273*I273)</f>
        <v/>
      </c>
      <c r="N273" s="8" t="s">
        <v>64</v>
      </c>
      <c r="O273" s="9"/>
      <c r="P273" s="9"/>
      <c r="Q273" s="22"/>
      <c r="R273" s="22"/>
      <c r="S273" s="23" t="str">
        <f>IF(AND(ISNUMBER(Q273),Q273&gt;0,ISNUMBER(R273),R273&gt;0),R273/Q273,"")</f>
        <v/>
      </c>
      <c r="T273" s="9"/>
      <c r="U273" s="9"/>
      <c r="V273" s="9"/>
      <c r="W273" s="9"/>
      <c r="X273" s="23" t="str">
        <f>IF(ISNUMBER(S273),S273,IF(ISNUMBER(I273),I273,""))</f>
        <v/>
      </c>
      <c r="Y273" t="str">
        <f>IF(ISNUMBER(S273),"2025 EIA-923 plant/group proxy",IF(ISNUMBER(I273),"Technology estimate","No thermal heat rate"))</f>
        <v>No thermal heat rate</v>
      </c>
      <c r="Z273" t="str">
        <f>IF(ISNUMBER(S273),"Review: NOT unit verified",IF(AE273="No match","No EIA match",IF(AF273="Unconfirmed","Unconfirmed EIA candidate","")))</f>
        <v/>
      </c>
      <c r="AE273" t="s">
        <v>65</v>
      </c>
      <c r="AF273" t="s">
        <v>66</v>
      </c>
      <c r="AG273" s="24">
        <f>IF(ISBLANK(S273),S273,I273)</f>
        <v>0</v>
      </c>
      <c r="AH273" s="34">
        <f t="shared" si="14"/>
        <v>5383.5999999999985</v>
      </c>
      <c r="AI273">
        <f t="shared" si="13"/>
        <v>3361.9639357223837</v>
      </c>
      <c r="AJ273" t="b" cm="1">
        <f t="array" ref="AJ273">OR(D273=$AT$2:$AT$8)</f>
        <v>1</v>
      </c>
    </row>
    <row r="274" spans="1:36" x14ac:dyDescent="0.25">
      <c r="A274" s="2" t="s">
        <v>1765</v>
      </c>
      <c r="B274" s="3">
        <v>2.2000000000000002</v>
      </c>
      <c r="C274" s="2" t="s">
        <v>99</v>
      </c>
      <c r="D274" s="2" t="s">
        <v>81</v>
      </c>
      <c r="E274" s="2" t="s">
        <v>59</v>
      </c>
      <c r="F274" s="4" t="s">
        <v>60</v>
      </c>
      <c r="G274" s="4" t="s">
        <v>61</v>
      </c>
      <c r="H274" s="5"/>
      <c r="I274" s="5"/>
      <c r="J274" s="5"/>
      <c r="K274" s="4" t="s">
        <v>62</v>
      </c>
      <c r="L274" s="4" t="s">
        <v>63</v>
      </c>
      <c r="M274" s="6" t="str">
        <f>IF(OR(B274="",I274=""),"",B274*I274)</f>
        <v/>
      </c>
      <c r="N274" s="8" t="s">
        <v>64</v>
      </c>
      <c r="O274" s="9"/>
      <c r="P274" s="9"/>
      <c r="Q274" s="22"/>
      <c r="R274" s="22"/>
      <c r="S274" s="23" t="str">
        <f>IF(AND(ISNUMBER(Q274),Q274&gt;0,ISNUMBER(R274),R274&gt;0),R274/Q274,"")</f>
        <v/>
      </c>
      <c r="T274" s="9"/>
      <c r="U274" s="9"/>
      <c r="V274" s="9"/>
      <c r="W274" s="9"/>
      <c r="X274" s="23" t="str">
        <f>IF(ISNUMBER(S274),S274,IF(ISNUMBER(I274),I274,""))</f>
        <v/>
      </c>
      <c r="Y274" t="str">
        <f>IF(ISNUMBER(S274),"2025 EIA-923 plant/group proxy",IF(ISNUMBER(I274),"Technology estimate","No thermal heat rate"))</f>
        <v>No thermal heat rate</v>
      </c>
      <c r="Z274" t="str">
        <f>IF(ISNUMBER(S274),"Review: NOT unit verified",IF(AE274="No match","No EIA match",IF(AF274="Unconfirmed","Unconfirmed EIA candidate","")))</f>
        <v/>
      </c>
      <c r="AE274" t="s">
        <v>65</v>
      </c>
      <c r="AF274" t="s">
        <v>66</v>
      </c>
      <c r="AG274" s="24">
        <f>IF(ISBLANK(S274),S274,I274)</f>
        <v>0</v>
      </c>
      <c r="AH274" s="34">
        <f t="shared" si="14"/>
        <v>5385.7999999999984</v>
      </c>
      <c r="AI274">
        <f t="shared" si="13"/>
        <v>3363.3377972014291</v>
      </c>
      <c r="AJ274" t="b" cm="1">
        <f t="array" ref="AJ274">OR(D274=$AT$2:$AT$8)</f>
        <v>0</v>
      </c>
    </row>
    <row r="275" spans="1:36" x14ac:dyDescent="0.25">
      <c r="A275" s="2" t="s">
        <v>1769</v>
      </c>
      <c r="B275" s="3">
        <v>62.3</v>
      </c>
      <c r="C275" s="2" t="s">
        <v>78</v>
      </c>
      <c r="D275" s="2" t="s">
        <v>78</v>
      </c>
      <c r="E275" s="2" t="s">
        <v>59</v>
      </c>
      <c r="F275" s="4" t="s">
        <v>60</v>
      </c>
      <c r="G275" s="4" t="s">
        <v>61</v>
      </c>
      <c r="H275" s="5"/>
      <c r="I275" s="5"/>
      <c r="J275" s="5"/>
      <c r="K275" s="4" t="s">
        <v>62</v>
      </c>
      <c r="L275" s="4" t="s">
        <v>63</v>
      </c>
      <c r="M275" s="6" t="str">
        <f>IF(OR(B275="",I275=""),"",B275*I275)</f>
        <v/>
      </c>
      <c r="N275" s="8" t="s">
        <v>64</v>
      </c>
      <c r="O275" s="9"/>
      <c r="P275" s="9"/>
      <c r="Q275" s="22"/>
      <c r="R275" s="22"/>
      <c r="S275" s="23" t="str">
        <f>IF(AND(ISNUMBER(Q275),Q275&gt;0,ISNUMBER(R275),R275&gt;0),R275/Q275,"")</f>
        <v/>
      </c>
      <c r="T275" s="9"/>
      <c r="U275" s="9"/>
      <c r="V275" s="9"/>
      <c r="W275" s="9"/>
      <c r="X275" s="23" t="str">
        <f>IF(ISNUMBER(S275),S275,IF(ISNUMBER(I275),I275,""))</f>
        <v/>
      </c>
      <c r="Y275" t="str">
        <f>IF(ISNUMBER(S275),"2025 EIA-923 plant/group proxy",IF(ISNUMBER(I275),"Technology estimate","No thermal heat rate"))</f>
        <v>No thermal heat rate</v>
      </c>
      <c r="Z275" t="str">
        <f>IF(ISNUMBER(S275),"Review: NOT unit verified",IF(AE275="No match","No EIA match",IF(AF275="Unconfirmed","Unconfirmed EIA candidate","")))</f>
        <v/>
      </c>
      <c r="AE275" t="s">
        <v>65</v>
      </c>
      <c r="AF275" t="s">
        <v>66</v>
      </c>
      <c r="AG275" s="24">
        <f>IF(ISBLANK(S275),S275,I275)</f>
        <v>0</v>
      </c>
      <c r="AH275" s="34">
        <f t="shared" si="14"/>
        <v>5448.0999999999985</v>
      </c>
      <c r="AI275">
        <f t="shared" si="13"/>
        <v>3402.2430563580356</v>
      </c>
      <c r="AJ275" t="b" cm="1">
        <f t="array" ref="AJ275">OR(D275=$AT$2:$AT$8)</f>
        <v>1</v>
      </c>
    </row>
    <row r="276" spans="1:36" x14ac:dyDescent="0.25">
      <c r="A276" s="2" t="s">
        <v>1802</v>
      </c>
      <c r="B276" s="3">
        <v>109.5</v>
      </c>
      <c r="C276" s="2" t="s">
        <v>99</v>
      </c>
      <c r="D276" s="2" t="s">
        <v>81</v>
      </c>
      <c r="E276" s="2" t="s">
        <v>59</v>
      </c>
      <c r="F276" s="4" t="s">
        <v>60</v>
      </c>
      <c r="G276" s="4" t="s">
        <v>61</v>
      </c>
      <c r="H276" s="5"/>
      <c r="I276" s="5"/>
      <c r="J276" s="5"/>
      <c r="K276" s="4" t="s">
        <v>62</v>
      </c>
      <c r="L276" s="4" t="s">
        <v>63</v>
      </c>
      <c r="M276" s="6" t="str">
        <f>IF(OR(B276="",I276=""),"",B276*I276)</f>
        <v/>
      </c>
      <c r="N276" s="8" t="s">
        <v>64</v>
      </c>
      <c r="O276" s="9"/>
      <c r="P276" s="9"/>
      <c r="Q276" s="22"/>
      <c r="R276" s="22"/>
      <c r="S276" s="23" t="str">
        <f>IF(AND(ISNUMBER(Q276),Q276&gt;0,ISNUMBER(R276),R276&gt;0),R276/Q276,"")</f>
        <v/>
      </c>
      <c r="T276" s="9"/>
      <c r="U276" s="9"/>
      <c r="V276" s="9"/>
      <c r="W276" s="9"/>
      <c r="X276" s="23" t="str">
        <f>IF(ISNUMBER(S276),S276,IF(ISNUMBER(I276),I276,""))</f>
        <v/>
      </c>
      <c r="Y276" t="str">
        <f>IF(ISNUMBER(S276),"2025 EIA-923 plant/group proxy",IF(ISNUMBER(I276),"Technology estimate","No thermal heat rate"))</f>
        <v>No thermal heat rate</v>
      </c>
      <c r="Z276" t="str">
        <f>IF(ISNUMBER(S276),"Review: NOT unit verified",IF(AE276="No match","No EIA match",IF(AF276="Unconfirmed","Unconfirmed EIA candidate","")))</f>
        <v/>
      </c>
      <c r="AE276" t="s">
        <v>65</v>
      </c>
      <c r="AF276" t="s">
        <v>66</v>
      </c>
      <c r="AG276" s="24">
        <f>IF(ISBLANK(S276),S276,I276)</f>
        <v>0</v>
      </c>
      <c r="AH276" s="34">
        <f t="shared" si="14"/>
        <v>5557.5999999999985</v>
      </c>
      <c r="AI276">
        <f t="shared" si="13"/>
        <v>3470.6238890650716</v>
      </c>
      <c r="AJ276" t="b" cm="1">
        <f t="array" ref="AJ276">OR(D276=$AT$2:$AT$8)</f>
        <v>0</v>
      </c>
    </row>
    <row r="277" spans="1:36" x14ac:dyDescent="0.25">
      <c r="A277" s="2" t="s">
        <v>1827</v>
      </c>
      <c r="B277" s="3">
        <v>1.8</v>
      </c>
      <c r="C277" s="2" t="s">
        <v>91</v>
      </c>
      <c r="D277" s="2" t="s">
        <v>91</v>
      </c>
      <c r="E277" s="2" t="s">
        <v>59</v>
      </c>
      <c r="F277" s="4" t="s">
        <v>60</v>
      </c>
      <c r="G277" s="4" t="s">
        <v>61</v>
      </c>
      <c r="H277" s="5"/>
      <c r="I277" s="5"/>
      <c r="J277" s="5"/>
      <c r="K277" s="4" t="s">
        <v>62</v>
      </c>
      <c r="L277" s="4" t="s">
        <v>63</v>
      </c>
      <c r="M277" s="6" t="str">
        <f>IF(OR(B277="",I277=""),"",B277*I277)</f>
        <v/>
      </c>
      <c r="N277" s="8" t="s">
        <v>64</v>
      </c>
      <c r="O277" s="9"/>
      <c r="P277" s="9"/>
      <c r="Q277" s="22"/>
      <c r="R277" s="22"/>
      <c r="S277" s="23" t="str">
        <f>IF(AND(ISNUMBER(Q277),Q277&gt;0,ISNUMBER(R277),R277&gt;0),R277/Q277,"")</f>
        <v/>
      </c>
      <c r="T277" s="9"/>
      <c r="U277" s="9"/>
      <c r="V277" s="9"/>
      <c r="W277" s="9"/>
      <c r="X277" s="23" t="str">
        <f>IF(ISNUMBER(S277),S277,IF(ISNUMBER(I277),I277,""))</f>
        <v/>
      </c>
      <c r="Y277" t="str">
        <f>IF(ISNUMBER(S277),"2025 EIA-923 plant/group proxy",IF(ISNUMBER(I277),"Technology estimate","No thermal heat rate"))</f>
        <v>No thermal heat rate</v>
      </c>
      <c r="Z277" t="str">
        <f>IF(ISNUMBER(S277),"Review: NOT unit verified",IF(AE277="No match","No EIA match",IF(AF277="Unconfirmed","Unconfirmed EIA candidate","")))</f>
        <v/>
      </c>
      <c r="AE277" t="s">
        <v>65</v>
      </c>
      <c r="AF277" t="s">
        <v>66</v>
      </c>
      <c r="AG277" s="24">
        <f>IF(ISBLANK(S277),S277,I277)</f>
        <v>0</v>
      </c>
      <c r="AH277" s="34">
        <f t="shared" si="14"/>
        <v>5559.3999999999987</v>
      </c>
      <c r="AI277">
        <f t="shared" si="13"/>
        <v>3471.7479575479274</v>
      </c>
      <c r="AJ277" t="b" cm="1">
        <f t="array" ref="AJ277">OR(D277=$AT$2:$AT$8)</f>
        <v>1</v>
      </c>
    </row>
    <row r="278" spans="1:36" x14ac:dyDescent="0.25">
      <c r="A278" s="2" t="s">
        <v>1838</v>
      </c>
      <c r="B278" s="3">
        <v>0.5</v>
      </c>
      <c r="C278" s="2" t="s">
        <v>347</v>
      </c>
      <c r="D278" s="2" t="s">
        <v>347</v>
      </c>
      <c r="E278" s="2" t="s">
        <v>59</v>
      </c>
      <c r="F278" s="4" t="s">
        <v>60</v>
      </c>
      <c r="G278" s="4" t="s">
        <v>61</v>
      </c>
      <c r="H278" s="5"/>
      <c r="I278" s="5"/>
      <c r="J278" s="5"/>
      <c r="K278" s="4" t="s">
        <v>62</v>
      </c>
      <c r="L278" s="4" t="s">
        <v>63</v>
      </c>
      <c r="M278" s="6" t="str">
        <f>IF(OR(B278="",I278=""),"",B278*I278)</f>
        <v/>
      </c>
      <c r="N278" s="8" t="s">
        <v>64</v>
      </c>
      <c r="O278" s="9"/>
      <c r="P278" s="9"/>
      <c r="Q278" s="22"/>
      <c r="R278" s="22"/>
      <c r="S278" s="23" t="str">
        <f>IF(AND(ISNUMBER(Q278),Q278&gt;0,ISNUMBER(R278),R278&gt;0),R278/Q278,"")</f>
        <v/>
      </c>
      <c r="T278" s="9"/>
      <c r="U278" s="9"/>
      <c r="V278" s="9"/>
      <c r="W278" s="9"/>
      <c r="X278" s="23" t="str">
        <f>IF(ISNUMBER(S278),S278,IF(ISNUMBER(I278),I278,""))</f>
        <v/>
      </c>
      <c r="Y278" t="str">
        <f>IF(ISNUMBER(S278),"2025 EIA-923 plant/group proxy",IF(ISNUMBER(I278),"Technology estimate","No thermal heat rate"))</f>
        <v>No thermal heat rate</v>
      </c>
      <c r="Z278" t="str">
        <f>IF(ISNUMBER(S278),"Review: NOT unit verified",IF(AE278="No match","No EIA match",IF(AF278="Unconfirmed","Unconfirmed EIA candidate","")))</f>
        <v/>
      </c>
      <c r="AE278" t="s">
        <v>65</v>
      </c>
      <c r="AF278" t="s">
        <v>66</v>
      </c>
      <c r="AG278" s="24">
        <f>IF(ISBLANK(S278),S278,I278)</f>
        <v>0</v>
      </c>
      <c r="AH278" s="34">
        <f t="shared" si="14"/>
        <v>5559.8999999999987</v>
      </c>
      <c r="AI278">
        <f t="shared" si="13"/>
        <v>3472.060198793165</v>
      </c>
      <c r="AJ278" t="b" cm="1">
        <f t="array" ref="AJ278">OR(D278=$AT$2:$AT$8)</f>
        <v>0</v>
      </c>
    </row>
    <row r="279" spans="1:36" x14ac:dyDescent="0.25">
      <c r="A279" s="2" t="s">
        <v>67</v>
      </c>
      <c r="B279" s="3">
        <v>12.9</v>
      </c>
      <c r="C279" s="2" t="s">
        <v>68</v>
      </c>
      <c r="D279" s="2" t="s">
        <v>69</v>
      </c>
      <c r="E279" s="2" t="s">
        <v>70</v>
      </c>
      <c r="F279" s="4" t="s">
        <v>60</v>
      </c>
      <c r="G279" s="4" t="s">
        <v>61</v>
      </c>
      <c r="H279" s="5"/>
      <c r="I279" s="5"/>
      <c r="J279" s="5"/>
      <c r="K279" s="4" t="s">
        <v>62</v>
      </c>
      <c r="L279" s="4" t="s">
        <v>63</v>
      </c>
      <c r="M279" s="6" t="str">
        <f>IF(OR(B279="",I279=""),"",B279*I279)</f>
        <v/>
      </c>
      <c r="N279" s="8" t="s">
        <v>64</v>
      </c>
      <c r="O279" s="9"/>
      <c r="P279" s="9"/>
      <c r="Q279" s="22"/>
      <c r="R279" s="22"/>
      <c r="S279" s="23" t="str">
        <f>IF(AND(ISNUMBER(Q279),Q279&gt;0,ISNUMBER(R279),R279&gt;0),R279/Q279,"")</f>
        <v/>
      </c>
      <c r="T279" s="9"/>
      <c r="U279" s="9"/>
      <c r="V279" s="9"/>
      <c r="W279" s="9"/>
      <c r="X279" s="23" t="str">
        <f>IF(ISNUMBER(S279),S279,IF(ISNUMBER(I279),I279,""))</f>
        <v/>
      </c>
      <c r="Y279" t="str">
        <f>IF(ISNUMBER(S279),"2025 EIA-923 plant/group proxy",IF(ISNUMBER(I279),"Technology estimate","No thermal heat rate"))</f>
        <v>No thermal heat rate</v>
      </c>
      <c r="Z279" t="str">
        <f>IF(ISNUMBER(S279),"Review: NOT unit verified",IF(AE279="No match","No EIA match",IF(AF279="Unconfirmed","Unconfirmed EIA candidate","")))</f>
        <v/>
      </c>
      <c r="AE279" t="s">
        <v>65</v>
      </c>
      <c r="AF279" t="s">
        <v>66</v>
      </c>
      <c r="AG279" s="24">
        <f>IF(ISBLANK(S279),S279,I279)</f>
        <v>0</v>
      </c>
      <c r="AH279" s="34">
        <f t="shared" si="14"/>
        <v>5572.7999999999984</v>
      </c>
      <c r="AI279">
        <f t="shared" si="13"/>
        <v>3480.1160229202951</v>
      </c>
      <c r="AJ279" t="b" cm="1">
        <f t="array" ref="AJ279">OR(D279=$AT$2:$AT$8)</f>
        <v>0</v>
      </c>
    </row>
    <row r="280" spans="1:36" x14ac:dyDescent="0.25">
      <c r="A280" s="2" t="s">
        <v>71</v>
      </c>
      <c r="B280" s="3">
        <v>12.9</v>
      </c>
      <c r="C280" s="2" t="s">
        <v>68</v>
      </c>
      <c r="D280" s="2" t="s">
        <v>69</v>
      </c>
      <c r="E280" s="2" t="s">
        <v>70</v>
      </c>
      <c r="F280" s="4" t="s">
        <v>60</v>
      </c>
      <c r="G280" s="4" t="s">
        <v>61</v>
      </c>
      <c r="H280" s="5"/>
      <c r="I280" s="5"/>
      <c r="J280" s="5"/>
      <c r="K280" s="4" t="s">
        <v>62</v>
      </c>
      <c r="L280" s="4" t="s">
        <v>63</v>
      </c>
      <c r="M280" s="6" t="str">
        <f>IF(OR(B280="",I280=""),"",B280*I280)</f>
        <v/>
      </c>
      <c r="N280" s="8" t="s">
        <v>64</v>
      </c>
      <c r="O280" s="9"/>
      <c r="P280" s="9"/>
      <c r="Q280" s="22"/>
      <c r="R280" s="22"/>
      <c r="S280" s="23" t="str">
        <f>IF(AND(ISNUMBER(Q280),Q280&gt;0,ISNUMBER(R280),R280&gt;0),R280/Q280,"")</f>
        <v/>
      </c>
      <c r="T280" s="9"/>
      <c r="U280" s="9"/>
      <c r="V280" s="9"/>
      <c r="W280" s="9"/>
      <c r="X280" s="23" t="str">
        <f>IF(ISNUMBER(S280),S280,IF(ISNUMBER(I280),I280,""))</f>
        <v/>
      </c>
      <c r="Y280" t="str">
        <f>IF(ISNUMBER(S280),"2025 EIA-923 plant/group proxy",IF(ISNUMBER(I280),"Technology estimate","No thermal heat rate"))</f>
        <v>No thermal heat rate</v>
      </c>
      <c r="Z280" t="str">
        <f>IF(ISNUMBER(S280),"Review: NOT unit verified",IF(AE280="No match","No EIA match",IF(AF280="Unconfirmed","Unconfirmed EIA candidate","")))</f>
        <v/>
      </c>
      <c r="AE280" t="s">
        <v>65</v>
      </c>
      <c r="AF280" t="s">
        <v>66</v>
      </c>
      <c r="AG280" s="24">
        <f>IF(ISBLANK(S280),S280,I280)</f>
        <v>0</v>
      </c>
      <c r="AH280" s="34">
        <f t="shared" si="14"/>
        <v>5585.699999999998</v>
      </c>
      <c r="AI280">
        <f t="shared" si="13"/>
        <v>3488.1718470474252</v>
      </c>
      <c r="AJ280" t="b" cm="1">
        <f t="array" ref="AJ280">OR(D280=$AT$2:$AT$8)</f>
        <v>0</v>
      </c>
    </row>
    <row r="281" spans="1:36" x14ac:dyDescent="0.25">
      <c r="A281" s="2" t="s">
        <v>72</v>
      </c>
      <c r="B281" s="3">
        <v>12.9</v>
      </c>
      <c r="C281" s="2" t="s">
        <v>68</v>
      </c>
      <c r="D281" s="2" t="s">
        <v>69</v>
      </c>
      <c r="E281" s="2" t="s">
        <v>70</v>
      </c>
      <c r="F281" s="4" t="s">
        <v>60</v>
      </c>
      <c r="G281" s="4" t="s">
        <v>61</v>
      </c>
      <c r="H281" s="5"/>
      <c r="I281" s="5"/>
      <c r="J281" s="5"/>
      <c r="K281" s="4" t="s">
        <v>62</v>
      </c>
      <c r="L281" s="4" t="s">
        <v>63</v>
      </c>
      <c r="M281" s="6" t="str">
        <f>IF(OR(B281="",I281=""),"",B281*I281)</f>
        <v/>
      </c>
      <c r="N281" s="8" t="s">
        <v>64</v>
      </c>
      <c r="O281" s="9"/>
      <c r="P281" s="9"/>
      <c r="Q281" s="22"/>
      <c r="R281" s="22"/>
      <c r="S281" s="23" t="str">
        <f>IF(AND(ISNUMBER(Q281),Q281&gt;0,ISNUMBER(R281),R281&gt;0),R281/Q281,"")</f>
        <v/>
      </c>
      <c r="T281" s="9"/>
      <c r="U281" s="9"/>
      <c r="V281" s="9"/>
      <c r="W281" s="9"/>
      <c r="X281" s="23" t="str">
        <f>IF(ISNUMBER(S281),S281,IF(ISNUMBER(I281),I281,""))</f>
        <v/>
      </c>
      <c r="Y281" t="str">
        <f>IF(ISNUMBER(S281),"2025 EIA-923 plant/group proxy",IF(ISNUMBER(I281),"Technology estimate","No thermal heat rate"))</f>
        <v>No thermal heat rate</v>
      </c>
      <c r="Z281" t="str">
        <f>IF(ISNUMBER(S281),"Review: NOT unit verified",IF(AE281="No match","No EIA match",IF(AF281="Unconfirmed","Unconfirmed EIA candidate","")))</f>
        <v/>
      </c>
      <c r="AE281" t="s">
        <v>65</v>
      </c>
      <c r="AF281" t="s">
        <v>66</v>
      </c>
      <c r="AG281" s="24">
        <f>IF(ISBLANK(S281),S281,I281)</f>
        <v>0</v>
      </c>
      <c r="AH281" s="34">
        <f t="shared" si="14"/>
        <v>5598.5999999999976</v>
      </c>
      <c r="AI281">
        <f t="shared" si="13"/>
        <v>3496.2276711745553</v>
      </c>
      <c r="AJ281" t="b" cm="1">
        <f t="array" ref="AJ281">OR(D281=$AT$2:$AT$8)</f>
        <v>0</v>
      </c>
    </row>
    <row r="282" spans="1:36" x14ac:dyDescent="0.25">
      <c r="A282" s="2" t="s">
        <v>73</v>
      </c>
      <c r="B282" s="3">
        <v>12.9</v>
      </c>
      <c r="C282" s="2" t="s">
        <v>68</v>
      </c>
      <c r="D282" s="2" t="s">
        <v>69</v>
      </c>
      <c r="E282" s="2" t="s">
        <v>70</v>
      </c>
      <c r="F282" s="4" t="s">
        <v>60</v>
      </c>
      <c r="G282" s="4" t="s">
        <v>61</v>
      </c>
      <c r="H282" s="5"/>
      <c r="I282" s="5"/>
      <c r="J282" s="5"/>
      <c r="K282" s="4" t="s">
        <v>62</v>
      </c>
      <c r="L282" s="4" t="s">
        <v>63</v>
      </c>
      <c r="M282" s="6" t="str">
        <f>IF(OR(B282="",I282=""),"",B282*I282)</f>
        <v/>
      </c>
      <c r="N282" s="8" t="s">
        <v>64</v>
      </c>
      <c r="O282" s="9"/>
      <c r="P282" s="9"/>
      <c r="Q282" s="22"/>
      <c r="R282" s="22"/>
      <c r="S282" s="23" t="str">
        <f>IF(AND(ISNUMBER(Q282),Q282&gt;0,ISNUMBER(R282),R282&gt;0),R282/Q282,"")</f>
        <v/>
      </c>
      <c r="T282" s="9"/>
      <c r="U282" s="9"/>
      <c r="V282" s="9"/>
      <c r="W282" s="9"/>
      <c r="X282" s="23" t="str">
        <f>IF(ISNUMBER(S282),S282,IF(ISNUMBER(I282),I282,""))</f>
        <v/>
      </c>
      <c r="Y282" t="str">
        <f>IF(ISNUMBER(S282),"2025 EIA-923 plant/group proxy",IF(ISNUMBER(I282),"Technology estimate","No thermal heat rate"))</f>
        <v>No thermal heat rate</v>
      </c>
      <c r="Z282" t="str">
        <f>IF(ISNUMBER(S282),"Review: NOT unit verified",IF(AE282="No match","No EIA match",IF(AF282="Unconfirmed","Unconfirmed EIA candidate","")))</f>
        <v/>
      </c>
      <c r="AE282" t="s">
        <v>65</v>
      </c>
      <c r="AF282" t="s">
        <v>66</v>
      </c>
      <c r="AG282" s="24">
        <f>IF(ISBLANK(S282),S282,I282)</f>
        <v>0</v>
      </c>
      <c r="AH282" s="34">
        <f t="shared" si="14"/>
        <v>5611.4999999999973</v>
      </c>
      <c r="AI282">
        <f t="shared" si="13"/>
        <v>3504.2834953016854</v>
      </c>
      <c r="AJ282" t="b" cm="1">
        <f t="array" ref="AJ282">OR(D282=$AT$2:$AT$8)</f>
        <v>0</v>
      </c>
    </row>
    <row r="283" spans="1:36" x14ac:dyDescent="0.25">
      <c r="A283" s="2" t="s">
        <v>74</v>
      </c>
      <c r="B283" s="3">
        <v>53.6</v>
      </c>
      <c r="C283" s="2" t="s">
        <v>75</v>
      </c>
      <c r="D283" s="2" t="s">
        <v>76</v>
      </c>
      <c r="E283" s="2" t="s">
        <v>70</v>
      </c>
      <c r="F283" s="4" t="s">
        <v>60</v>
      </c>
      <c r="G283" s="4" t="s">
        <v>61</v>
      </c>
      <c r="H283" s="5"/>
      <c r="I283" s="5"/>
      <c r="J283" s="5"/>
      <c r="K283" s="4" t="s">
        <v>62</v>
      </c>
      <c r="L283" s="4" t="s">
        <v>63</v>
      </c>
      <c r="M283" s="6" t="str">
        <f>IF(OR(B283="",I283=""),"",B283*I283)</f>
        <v/>
      </c>
      <c r="N283" s="8" t="s">
        <v>64</v>
      </c>
      <c r="O283" s="9"/>
      <c r="P283" s="9"/>
      <c r="Q283" s="22"/>
      <c r="R283" s="22"/>
      <c r="S283" s="23" t="str">
        <f>IF(AND(ISNUMBER(Q283),Q283&gt;0,ISNUMBER(R283),R283&gt;0),R283/Q283,"")</f>
        <v/>
      </c>
      <c r="T283" s="9"/>
      <c r="U283" s="9"/>
      <c r="V283" s="9"/>
      <c r="W283" s="9"/>
      <c r="X283" s="23" t="str">
        <f>IF(ISNUMBER(S283),S283,IF(ISNUMBER(I283),I283,""))</f>
        <v/>
      </c>
      <c r="Y283" t="str">
        <f>IF(ISNUMBER(S283),"2025 EIA-923 plant/group proxy",IF(ISNUMBER(I283),"Technology estimate","No thermal heat rate"))</f>
        <v>No thermal heat rate</v>
      </c>
      <c r="Z283" t="str">
        <f>IF(ISNUMBER(S283),"Review: NOT unit verified",IF(AE283="No match","No EIA match",IF(AF283="Unconfirmed","Unconfirmed EIA candidate","")))</f>
        <v/>
      </c>
      <c r="AE283" t="s">
        <v>65</v>
      </c>
      <c r="AF283" t="s">
        <v>66</v>
      </c>
      <c r="AG283" s="24">
        <f>IF(ISBLANK(S283),S283,I283)</f>
        <v>0</v>
      </c>
      <c r="AH283" s="34">
        <f t="shared" si="14"/>
        <v>5665.0999999999976</v>
      </c>
      <c r="AI283">
        <f t="shared" si="13"/>
        <v>3537.7557567911572</v>
      </c>
      <c r="AJ283" t="b" cm="1">
        <f t="array" ref="AJ283">OR(D283=$AT$2:$AT$8)</f>
        <v>0</v>
      </c>
    </row>
    <row r="284" spans="1:36" x14ac:dyDescent="0.25">
      <c r="A284" s="2" t="s">
        <v>77</v>
      </c>
      <c r="B284" s="3">
        <v>98</v>
      </c>
      <c r="C284" s="2" t="s">
        <v>78</v>
      </c>
      <c r="D284" s="2" t="s">
        <v>78</v>
      </c>
      <c r="E284" s="2" t="s">
        <v>70</v>
      </c>
      <c r="F284" s="4" t="s">
        <v>60</v>
      </c>
      <c r="G284" s="4" t="s">
        <v>61</v>
      </c>
      <c r="H284" s="5"/>
      <c r="I284" s="5"/>
      <c r="J284" s="5"/>
      <c r="K284" s="4" t="s">
        <v>62</v>
      </c>
      <c r="L284" s="4" t="s">
        <v>63</v>
      </c>
      <c r="M284" s="6" t="str">
        <f>IF(OR(B284="",I284=""),"",B284*I284)</f>
        <v/>
      </c>
      <c r="N284" s="8" t="s">
        <v>64</v>
      </c>
      <c r="O284" s="9"/>
      <c r="P284" s="9"/>
      <c r="Q284" s="22"/>
      <c r="R284" s="22"/>
      <c r="S284" s="23" t="str">
        <f>IF(AND(ISNUMBER(Q284),Q284&gt;0,ISNUMBER(R284),R284&gt;0),R284/Q284,"")</f>
        <v/>
      </c>
      <c r="T284" s="9"/>
      <c r="U284" s="9"/>
      <c r="V284" s="9"/>
      <c r="W284" s="9"/>
      <c r="X284" s="23" t="str">
        <f>IF(ISNUMBER(S284),S284,IF(ISNUMBER(I284),I284,""))</f>
        <v/>
      </c>
      <c r="Y284" t="str">
        <f>IF(ISNUMBER(S284),"2025 EIA-923 plant/group proxy",IF(ISNUMBER(I284),"Technology estimate","No thermal heat rate"))</f>
        <v>No thermal heat rate</v>
      </c>
      <c r="Z284" t="str">
        <f>IF(ISNUMBER(S284),"Review: NOT unit verified",IF(AE284="No match","No EIA match",IF(AF284="Unconfirmed","Unconfirmed EIA candidate","")))</f>
        <v/>
      </c>
      <c r="AE284" t="s">
        <v>65</v>
      </c>
      <c r="AF284" t="s">
        <v>66</v>
      </c>
      <c r="AG284" s="24">
        <f>IF(ISBLANK(S284),S284,I284)</f>
        <v>0</v>
      </c>
      <c r="AH284" s="34">
        <f t="shared" si="14"/>
        <v>5763.0999999999976</v>
      </c>
      <c r="AI284">
        <f t="shared" si="13"/>
        <v>3598.9550408577284</v>
      </c>
      <c r="AJ284" t="b" cm="1">
        <f t="array" ref="AJ284">OR(D284=$AT$2:$AT$8)</f>
        <v>1</v>
      </c>
    </row>
    <row r="285" spans="1:36" x14ac:dyDescent="0.25">
      <c r="A285" s="2" t="s">
        <v>98</v>
      </c>
      <c r="B285" s="3">
        <v>68.8</v>
      </c>
      <c r="C285" s="2" t="s">
        <v>99</v>
      </c>
      <c r="D285" s="2" t="s">
        <v>81</v>
      </c>
      <c r="E285" s="2" t="s">
        <v>70</v>
      </c>
      <c r="F285" s="4" t="s">
        <v>60</v>
      </c>
      <c r="G285" s="4" t="s">
        <v>61</v>
      </c>
      <c r="H285" s="5"/>
      <c r="I285" s="5"/>
      <c r="J285" s="5"/>
      <c r="K285" s="4" t="s">
        <v>62</v>
      </c>
      <c r="L285" s="4" t="s">
        <v>63</v>
      </c>
      <c r="M285" s="6" t="str">
        <f>IF(OR(B285="",I285=""),"",B285*I285)</f>
        <v/>
      </c>
      <c r="N285" s="8" t="s">
        <v>64</v>
      </c>
      <c r="O285" s="9"/>
      <c r="P285" s="9"/>
      <c r="Q285" s="22"/>
      <c r="R285" s="22"/>
      <c r="S285" s="23" t="str">
        <f>IF(AND(ISNUMBER(Q285),Q285&gt;0,ISNUMBER(R285),R285&gt;0),R285/Q285,"")</f>
        <v/>
      </c>
      <c r="T285" s="9"/>
      <c r="U285" s="9"/>
      <c r="V285" s="9"/>
      <c r="W285" s="9"/>
      <c r="X285" s="23" t="str">
        <f>IF(ISNUMBER(S285),S285,IF(ISNUMBER(I285),I285,""))</f>
        <v/>
      </c>
      <c r="Y285" t="str">
        <f>IF(ISNUMBER(S285),"2025 EIA-923 plant/group proxy",IF(ISNUMBER(I285),"Technology estimate","No thermal heat rate"))</f>
        <v>No thermal heat rate</v>
      </c>
      <c r="Z285" t="str">
        <f>IF(ISNUMBER(S285),"Review: NOT unit verified",IF(AE285="No match","No EIA match",IF(AF285="Unconfirmed","Unconfirmed EIA candidate","")))</f>
        <v/>
      </c>
      <c r="AE285" t="s">
        <v>65</v>
      </c>
      <c r="AF285" t="s">
        <v>66</v>
      </c>
      <c r="AG285" s="24">
        <f>IF(ISBLANK(S285),S285,I285)</f>
        <v>0</v>
      </c>
      <c r="AH285" s="34">
        <f t="shared" si="14"/>
        <v>5831.8999999999978</v>
      </c>
      <c r="AI285">
        <f t="shared" si="13"/>
        <v>3641.9194362024236</v>
      </c>
      <c r="AJ285" t="b" cm="1">
        <f t="array" ref="AJ285">OR(D285=$AT$2:$AT$8)</f>
        <v>0</v>
      </c>
    </row>
    <row r="286" spans="1:36" x14ac:dyDescent="0.25">
      <c r="A286" s="2" t="s">
        <v>100</v>
      </c>
      <c r="B286" s="3">
        <v>51.2</v>
      </c>
      <c r="C286" s="2" t="s">
        <v>78</v>
      </c>
      <c r="D286" s="2" t="s">
        <v>78</v>
      </c>
      <c r="E286" s="2" t="s">
        <v>70</v>
      </c>
      <c r="F286" s="4" t="s">
        <v>60</v>
      </c>
      <c r="G286" s="4" t="s">
        <v>61</v>
      </c>
      <c r="H286" s="5"/>
      <c r="I286" s="5"/>
      <c r="J286" s="5"/>
      <c r="K286" s="4" t="s">
        <v>62</v>
      </c>
      <c r="L286" s="4" t="s">
        <v>63</v>
      </c>
      <c r="M286" s="6" t="str">
        <f>IF(OR(B286="",I286=""),"",B286*I286)</f>
        <v/>
      </c>
      <c r="N286" s="8" t="s">
        <v>64</v>
      </c>
      <c r="O286" s="9"/>
      <c r="P286" s="9"/>
      <c r="Q286" s="22"/>
      <c r="R286" s="22"/>
      <c r="S286" s="23" t="str">
        <f>IF(AND(ISNUMBER(Q286),Q286&gt;0,ISNUMBER(R286),R286&gt;0),R286/Q286,"")</f>
        <v/>
      </c>
      <c r="T286" s="9"/>
      <c r="U286" s="9"/>
      <c r="V286" s="9"/>
      <c r="W286" s="9"/>
      <c r="X286" s="23" t="str">
        <f>IF(ISNUMBER(S286),S286,IF(ISNUMBER(I286),I286,""))</f>
        <v/>
      </c>
      <c r="Y286" t="str">
        <f>IF(ISNUMBER(S286),"2025 EIA-923 plant/group proxy",IF(ISNUMBER(I286),"Technology estimate","No thermal heat rate"))</f>
        <v>No thermal heat rate</v>
      </c>
      <c r="Z286" t="str">
        <f>IF(ISNUMBER(S286),"Review: NOT unit verified",IF(AE286="No match","No EIA match",IF(AF286="Unconfirmed","Unconfirmed EIA candidate","")))</f>
        <v/>
      </c>
      <c r="AE286" t="s">
        <v>65</v>
      </c>
      <c r="AF286" t="s">
        <v>66</v>
      </c>
      <c r="AG286" s="24">
        <f>IF(ISBLANK(S286),S286,I286)</f>
        <v>0</v>
      </c>
      <c r="AH286" s="34">
        <f t="shared" si="14"/>
        <v>5883.0999999999976</v>
      </c>
      <c r="AI286">
        <f t="shared" si="13"/>
        <v>3673.8929397147549</v>
      </c>
      <c r="AJ286" t="b" cm="1">
        <f t="array" ref="AJ286">OR(D286=$AT$2:$AT$8)</f>
        <v>1</v>
      </c>
    </row>
    <row r="287" spans="1:36" x14ac:dyDescent="0.25">
      <c r="A287" s="2" t="s">
        <v>146</v>
      </c>
      <c r="B287" s="3">
        <v>70.5</v>
      </c>
      <c r="C287" s="2" t="s">
        <v>147</v>
      </c>
      <c r="D287" s="2" t="s">
        <v>147</v>
      </c>
      <c r="E287" s="2" t="s">
        <v>70</v>
      </c>
      <c r="F287" s="4" t="s">
        <v>60</v>
      </c>
      <c r="G287" s="4" t="s">
        <v>61</v>
      </c>
      <c r="H287" s="5"/>
      <c r="I287" s="5"/>
      <c r="J287" s="5"/>
      <c r="K287" s="4" t="s">
        <v>62</v>
      </c>
      <c r="L287" s="4" t="s">
        <v>63</v>
      </c>
      <c r="M287" s="6" t="str">
        <f>IF(OR(B287="",I287=""),"",B287*I287)</f>
        <v/>
      </c>
      <c r="N287" s="8" t="s">
        <v>64</v>
      </c>
      <c r="O287" s="9"/>
      <c r="P287" s="9"/>
      <c r="Q287" s="22"/>
      <c r="R287" s="22"/>
      <c r="S287" s="23" t="str">
        <f>IF(AND(ISNUMBER(Q287),Q287&gt;0,ISNUMBER(R287),R287&gt;0),R287/Q287,"")</f>
        <v/>
      </c>
      <c r="T287" s="9"/>
      <c r="U287" s="9"/>
      <c r="V287" s="9"/>
      <c r="W287" s="9"/>
      <c r="X287" s="23" t="str">
        <f>IF(ISNUMBER(S287),S287,IF(ISNUMBER(I287),I287,""))</f>
        <v/>
      </c>
      <c r="Y287" t="str">
        <f>IF(ISNUMBER(S287),"2025 EIA-923 plant/group proxy",IF(ISNUMBER(I287),"Technology estimate","No thermal heat rate"))</f>
        <v>No thermal heat rate</v>
      </c>
      <c r="Z287" t="str">
        <f>IF(ISNUMBER(S287),"Review: NOT unit verified",IF(AE287="No match","No EIA match",IF(AF287="Unconfirmed","Unconfirmed EIA candidate","")))</f>
        <v/>
      </c>
      <c r="AE287" t="s">
        <v>65</v>
      </c>
      <c r="AF287" t="s">
        <v>66</v>
      </c>
      <c r="AG287" s="24">
        <f>IF(ISBLANK(S287),S287,I287)</f>
        <v>0</v>
      </c>
      <c r="AH287" s="34">
        <f t="shared" si="14"/>
        <v>5953.5999999999976</v>
      </c>
      <c r="AI287">
        <f t="shared" si="13"/>
        <v>3717.9189552932576</v>
      </c>
      <c r="AJ287" t="b" cm="1">
        <f t="array" ref="AJ287">OR(D287=$AT$2:$AT$8)</f>
        <v>0</v>
      </c>
    </row>
    <row r="288" spans="1:36" x14ac:dyDescent="0.25">
      <c r="A288" s="2" t="s">
        <v>161</v>
      </c>
      <c r="B288" s="3">
        <v>62.1</v>
      </c>
      <c r="C288" s="2" t="s">
        <v>86</v>
      </c>
      <c r="D288" s="2" t="s">
        <v>76</v>
      </c>
      <c r="E288" s="2" t="s">
        <v>70</v>
      </c>
      <c r="F288" s="4" t="s">
        <v>60</v>
      </c>
      <c r="G288" s="4" t="s">
        <v>61</v>
      </c>
      <c r="H288" s="5"/>
      <c r="I288" s="5"/>
      <c r="J288" s="5"/>
      <c r="K288" s="4" t="s">
        <v>62</v>
      </c>
      <c r="L288" s="4" t="s">
        <v>63</v>
      </c>
      <c r="M288" s="6" t="str">
        <f>IF(OR(B288="",I288=""),"",B288*I288)</f>
        <v/>
      </c>
      <c r="N288" s="8" t="s">
        <v>64</v>
      </c>
      <c r="O288" s="9"/>
      <c r="P288" s="9"/>
      <c r="Q288" s="22"/>
      <c r="R288" s="22"/>
      <c r="S288" s="23" t="str">
        <f>IF(AND(ISNUMBER(Q288),Q288&gt;0,ISNUMBER(R288),R288&gt;0),R288/Q288,"")</f>
        <v/>
      </c>
      <c r="T288" s="9"/>
      <c r="U288" s="9"/>
      <c r="V288" s="9"/>
      <c r="W288" s="9"/>
      <c r="X288" s="23" t="str">
        <f>IF(ISNUMBER(S288),S288,IF(ISNUMBER(I288),I288,""))</f>
        <v/>
      </c>
      <c r="Y288" t="str">
        <f>IF(ISNUMBER(S288),"2025 EIA-923 plant/group proxy",IF(ISNUMBER(I288),"Technology estimate","No thermal heat rate"))</f>
        <v>No thermal heat rate</v>
      </c>
      <c r="Z288" t="str">
        <f>IF(ISNUMBER(S288),"Review: NOT unit verified",IF(AE288="No match","No EIA match",IF(AF288="Unconfirmed","Unconfirmed EIA candidate","")))</f>
        <v/>
      </c>
      <c r="AE288" t="s">
        <v>65</v>
      </c>
      <c r="AF288" t="s">
        <v>66</v>
      </c>
      <c r="AG288" s="24">
        <f>IF(ISBLANK(S288),S288,I288)</f>
        <v>0</v>
      </c>
      <c r="AH288" s="34">
        <f t="shared" si="14"/>
        <v>6015.699999999998</v>
      </c>
      <c r="AI288">
        <f t="shared" si="13"/>
        <v>3756.699317951769</v>
      </c>
      <c r="AJ288" t="b" cm="1">
        <f t="array" ref="AJ288">OR(D288=$AT$2:$AT$8)</f>
        <v>0</v>
      </c>
    </row>
    <row r="289" spans="1:36" x14ac:dyDescent="0.25">
      <c r="A289" s="2" t="s">
        <v>162</v>
      </c>
      <c r="B289" s="3">
        <v>67</v>
      </c>
      <c r="C289" s="2" t="s">
        <v>78</v>
      </c>
      <c r="D289" s="2" t="s">
        <v>78</v>
      </c>
      <c r="E289" s="2" t="s">
        <v>70</v>
      </c>
      <c r="F289" s="4" t="s">
        <v>60</v>
      </c>
      <c r="G289" s="4" t="s">
        <v>61</v>
      </c>
      <c r="H289" s="5"/>
      <c r="I289" s="5"/>
      <c r="J289" s="5"/>
      <c r="K289" s="4" t="s">
        <v>62</v>
      </c>
      <c r="L289" s="4" t="s">
        <v>63</v>
      </c>
      <c r="M289" s="6" t="str">
        <f>IF(OR(B289="",I289=""),"",B289*I289)</f>
        <v/>
      </c>
      <c r="N289" s="8" t="s">
        <v>64</v>
      </c>
      <c r="O289" s="9"/>
      <c r="P289" s="9"/>
      <c r="Q289" s="22"/>
      <c r="R289" s="22"/>
      <c r="S289" s="23" t="str">
        <f>IF(AND(ISNUMBER(Q289),Q289&gt;0,ISNUMBER(R289),R289&gt;0),R289/Q289,"")</f>
        <v/>
      </c>
      <c r="T289" s="9"/>
      <c r="U289" s="9"/>
      <c r="V289" s="9"/>
      <c r="W289" s="9"/>
      <c r="X289" s="23" t="str">
        <f>IF(ISNUMBER(S289),S289,IF(ISNUMBER(I289),I289,""))</f>
        <v/>
      </c>
      <c r="Y289" t="str">
        <f>IF(ISNUMBER(S289),"2025 EIA-923 plant/group proxy",IF(ISNUMBER(I289),"Technology estimate","No thermal heat rate"))</f>
        <v>No thermal heat rate</v>
      </c>
      <c r="Z289" t="str">
        <f>IF(ISNUMBER(S289),"Review: NOT unit verified",IF(AE289="No match","No EIA match",IF(AF289="Unconfirmed","Unconfirmed EIA candidate","")))</f>
        <v/>
      </c>
      <c r="AE289" t="s">
        <v>65</v>
      </c>
      <c r="AF289" t="s">
        <v>66</v>
      </c>
      <c r="AG289" s="24">
        <f>IF(ISBLANK(S289),S289,I289)</f>
        <v>0</v>
      </c>
      <c r="AH289" s="34">
        <f t="shared" si="14"/>
        <v>6082.699999999998</v>
      </c>
      <c r="AI289">
        <f t="shared" si="13"/>
        <v>3798.5396448136084</v>
      </c>
      <c r="AJ289" t="b" cm="1">
        <f t="array" ref="AJ289">OR(D289=$AT$2:$AT$8)</f>
        <v>1</v>
      </c>
    </row>
    <row r="290" spans="1:36" x14ac:dyDescent="0.25">
      <c r="A290" s="2" t="s">
        <v>180</v>
      </c>
      <c r="B290" s="3">
        <v>78</v>
      </c>
      <c r="C290" s="2" t="s">
        <v>80</v>
      </c>
      <c r="D290" s="2" t="s">
        <v>81</v>
      </c>
      <c r="E290" s="2" t="s">
        <v>70</v>
      </c>
      <c r="F290" s="4" t="s">
        <v>60</v>
      </c>
      <c r="G290" s="4" t="s">
        <v>61</v>
      </c>
      <c r="H290" s="5"/>
      <c r="I290" s="5"/>
      <c r="J290" s="5"/>
      <c r="K290" s="4" t="s">
        <v>62</v>
      </c>
      <c r="L290" s="4" t="s">
        <v>63</v>
      </c>
      <c r="M290" s="6" t="str">
        <f>IF(OR(B290="",I290=""),"",B290*I290)</f>
        <v/>
      </c>
      <c r="N290" s="8" t="s">
        <v>64</v>
      </c>
      <c r="O290" s="9"/>
      <c r="P290" s="9"/>
      <c r="Q290" s="22"/>
      <c r="R290" s="22"/>
      <c r="S290" s="23" t="str">
        <f>IF(AND(ISNUMBER(Q290),Q290&gt;0,ISNUMBER(R290),R290&gt;0),R290/Q290,"")</f>
        <v/>
      </c>
      <c r="T290" s="9"/>
      <c r="U290" s="9"/>
      <c r="V290" s="9"/>
      <c r="W290" s="9"/>
      <c r="X290" s="23" t="str">
        <f>IF(ISNUMBER(S290),S290,IF(ISNUMBER(I290),I290,""))</f>
        <v/>
      </c>
      <c r="Y290" t="str">
        <f>IF(ISNUMBER(S290),"2025 EIA-923 plant/group proxy",IF(ISNUMBER(I290),"Technology estimate","No thermal heat rate"))</f>
        <v>No thermal heat rate</v>
      </c>
      <c r="Z290" t="str">
        <f>IF(ISNUMBER(S290),"Review: NOT unit verified",IF(AE290="No match","No EIA match",IF(AF290="Unconfirmed","Unconfirmed EIA candidate","")))</f>
        <v/>
      </c>
      <c r="AE290" t="s">
        <v>65</v>
      </c>
      <c r="AF290" t="s">
        <v>66</v>
      </c>
      <c r="AG290" s="24">
        <f>IF(ISBLANK(S290),S290,I290)</f>
        <v>0</v>
      </c>
      <c r="AH290" s="34">
        <f t="shared" si="14"/>
        <v>6160.699999999998</v>
      </c>
      <c r="AI290">
        <f t="shared" si="13"/>
        <v>3847.2492790706756</v>
      </c>
      <c r="AJ290" t="b" cm="1">
        <f t="array" ref="AJ290">OR(D290=$AT$2:$AT$8)</f>
        <v>0</v>
      </c>
    </row>
    <row r="291" spans="1:36" x14ac:dyDescent="0.25">
      <c r="A291" s="2" t="s">
        <v>219</v>
      </c>
      <c r="B291" s="3">
        <v>60</v>
      </c>
      <c r="C291" s="2" t="s">
        <v>86</v>
      </c>
      <c r="D291" s="2" t="s">
        <v>76</v>
      </c>
      <c r="E291" s="2" t="s">
        <v>70</v>
      </c>
      <c r="F291" s="4" t="s">
        <v>60</v>
      </c>
      <c r="G291" s="4" t="s">
        <v>61</v>
      </c>
      <c r="H291" s="5"/>
      <c r="I291" s="5"/>
      <c r="J291" s="5"/>
      <c r="K291" s="4" t="s">
        <v>62</v>
      </c>
      <c r="L291" s="4" t="s">
        <v>63</v>
      </c>
      <c r="M291" s="6" t="str">
        <f>IF(OR(B291="",I291=""),"",B291*I291)</f>
        <v/>
      </c>
      <c r="N291" s="8" t="s">
        <v>64</v>
      </c>
      <c r="O291" s="9"/>
      <c r="P291" s="9"/>
      <c r="Q291" s="22"/>
      <c r="R291" s="22"/>
      <c r="S291" s="23" t="str">
        <f>IF(AND(ISNUMBER(Q291),Q291&gt;0,ISNUMBER(R291),R291&gt;0),R291/Q291,"")</f>
        <v/>
      </c>
      <c r="T291" s="9"/>
      <c r="U291" s="9"/>
      <c r="V291" s="9"/>
      <c r="W291" s="9"/>
      <c r="X291" s="23" t="str">
        <f>IF(ISNUMBER(S291),S291,IF(ISNUMBER(I291),I291,""))</f>
        <v/>
      </c>
      <c r="Y291" t="str">
        <f>IF(ISNUMBER(S291),"2025 EIA-923 plant/group proxy",IF(ISNUMBER(I291),"Technology estimate","No thermal heat rate"))</f>
        <v>No thermal heat rate</v>
      </c>
      <c r="Z291" t="str">
        <f>IF(ISNUMBER(S291),"Review: NOT unit verified",IF(AE291="No match","No EIA match",IF(AF291="Unconfirmed","Unconfirmed EIA candidate","")))</f>
        <v/>
      </c>
      <c r="AE291" t="s">
        <v>65</v>
      </c>
      <c r="AF291" t="s">
        <v>66</v>
      </c>
      <c r="AG291" s="24">
        <f>IF(ISBLANK(S291),S291,I291)</f>
        <v>0</v>
      </c>
      <c r="AH291" s="34">
        <f t="shared" si="14"/>
        <v>6220.699999999998</v>
      </c>
      <c r="AI291">
        <f t="shared" si="13"/>
        <v>3884.7182284991886</v>
      </c>
      <c r="AJ291" t="b" cm="1">
        <f t="array" ref="AJ291">OR(D291=$AT$2:$AT$8)</f>
        <v>0</v>
      </c>
    </row>
    <row r="292" spans="1:36" x14ac:dyDescent="0.25">
      <c r="A292" s="2" t="s">
        <v>229</v>
      </c>
      <c r="B292" s="3">
        <v>42</v>
      </c>
      <c r="C292" s="2" t="s">
        <v>78</v>
      </c>
      <c r="D292" s="2" t="s">
        <v>78</v>
      </c>
      <c r="E292" s="2" t="s">
        <v>70</v>
      </c>
      <c r="F292" s="4" t="s">
        <v>60</v>
      </c>
      <c r="G292" s="4" t="s">
        <v>61</v>
      </c>
      <c r="H292" s="5"/>
      <c r="I292" s="5"/>
      <c r="J292" s="5"/>
      <c r="K292" s="4" t="s">
        <v>62</v>
      </c>
      <c r="L292" s="4" t="s">
        <v>63</v>
      </c>
      <c r="M292" s="6" t="str">
        <f>IF(OR(B292="",I292=""),"",B292*I292)</f>
        <v/>
      </c>
      <c r="N292" s="8" t="s">
        <v>64</v>
      </c>
      <c r="O292" s="9"/>
      <c r="P292" s="9"/>
      <c r="Q292" s="22"/>
      <c r="R292" s="22"/>
      <c r="S292" s="23" t="str">
        <f>IF(AND(ISNUMBER(Q292),Q292&gt;0,ISNUMBER(R292),R292&gt;0),R292/Q292,"")</f>
        <v/>
      </c>
      <c r="T292" s="9"/>
      <c r="U292" s="9"/>
      <c r="V292" s="9"/>
      <c r="W292" s="9"/>
      <c r="X292" s="23" t="str">
        <f>IF(ISNUMBER(S292),S292,IF(ISNUMBER(I292),I292,""))</f>
        <v/>
      </c>
      <c r="Y292" t="str">
        <f>IF(ISNUMBER(S292),"2025 EIA-923 plant/group proxy",IF(ISNUMBER(I292),"Technology estimate","No thermal heat rate"))</f>
        <v>No thermal heat rate</v>
      </c>
      <c r="Z292" t="str">
        <f>IF(ISNUMBER(S292),"Review: NOT unit verified",IF(AE292="No match","No EIA match",IF(AF292="Unconfirmed","Unconfirmed EIA candidate","")))</f>
        <v/>
      </c>
      <c r="AE292" t="s">
        <v>65</v>
      </c>
      <c r="AF292" t="s">
        <v>66</v>
      </c>
      <c r="AG292" s="24">
        <f>IF(ISBLANK(S292),S292,I292)</f>
        <v>0</v>
      </c>
      <c r="AH292" s="34">
        <f t="shared" si="14"/>
        <v>6262.699999999998</v>
      </c>
      <c r="AI292">
        <f t="shared" si="13"/>
        <v>3910.9464930991476</v>
      </c>
      <c r="AJ292" t="b" cm="1">
        <f t="array" ref="AJ292">OR(D292=$AT$2:$AT$8)</f>
        <v>1</v>
      </c>
    </row>
    <row r="293" spans="1:36" x14ac:dyDescent="0.25">
      <c r="A293" s="2" t="s">
        <v>231</v>
      </c>
      <c r="B293" s="3">
        <v>61</v>
      </c>
      <c r="C293" s="2" t="s">
        <v>78</v>
      </c>
      <c r="D293" s="2" t="s">
        <v>78</v>
      </c>
      <c r="E293" s="2" t="s">
        <v>70</v>
      </c>
      <c r="F293" s="4" t="s">
        <v>60</v>
      </c>
      <c r="G293" s="4" t="s">
        <v>61</v>
      </c>
      <c r="H293" s="5"/>
      <c r="I293" s="5"/>
      <c r="J293" s="5"/>
      <c r="K293" s="4" t="s">
        <v>62</v>
      </c>
      <c r="L293" s="4" t="s">
        <v>63</v>
      </c>
      <c r="M293" s="6" t="str">
        <f>IF(OR(B293="",I293=""),"",B293*I293)</f>
        <v/>
      </c>
      <c r="N293" s="8" t="s">
        <v>64</v>
      </c>
      <c r="O293" s="9"/>
      <c r="P293" s="9"/>
      <c r="Q293" s="22"/>
      <c r="R293" s="22"/>
      <c r="S293" s="23" t="str">
        <f>IF(AND(ISNUMBER(Q293),Q293&gt;0,ISNUMBER(R293),R293&gt;0),R293/Q293,"")</f>
        <v/>
      </c>
      <c r="T293" s="9"/>
      <c r="U293" s="9"/>
      <c r="V293" s="9"/>
      <c r="W293" s="9"/>
      <c r="X293" s="23" t="str">
        <f>IF(ISNUMBER(S293),S293,IF(ISNUMBER(I293),I293,""))</f>
        <v/>
      </c>
      <c r="Y293" t="str">
        <f>IF(ISNUMBER(S293),"2025 EIA-923 plant/group proxy",IF(ISNUMBER(I293),"Technology estimate","No thermal heat rate"))</f>
        <v>No thermal heat rate</v>
      </c>
      <c r="Z293" t="str">
        <f>IF(ISNUMBER(S293),"Review: NOT unit verified",IF(AE293="No match","No EIA match",IF(AF293="Unconfirmed","Unconfirmed EIA candidate","")))</f>
        <v/>
      </c>
      <c r="AE293" t="s">
        <v>65</v>
      </c>
      <c r="AF293" t="s">
        <v>66</v>
      </c>
      <c r="AG293" s="24">
        <f>IF(ISBLANK(S293),S293,I293)</f>
        <v>0</v>
      </c>
      <c r="AH293" s="34">
        <f t="shared" si="14"/>
        <v>6323.699999999998</v>
      </c>
      <c r="AI293">
        <f t="shared" si="13"/>
        <v>3949.0399250181363</v>
      </c>
      <c r="AJ293" t="b" cm="1">
        <f t="array" ref="AJ293">OR(D293=$AT$2:$AT$8)</f>
        <v>1</v>
      </c>
    </row>
    <row r="294" spans="1:36" x14ac:dyDescent="0.25">
      <c r="A294" s="2" t="s">
        <v>234</v>
      </c>
      <c r="B294" s="3">
        <v>102.1</v>
      </c>
      <c r="C294" s="2" t="s">
        <v>99</v>
      </c>
      <c r="D294" s="2" t="s">
        <v>81</v>
      </c>
      <c r="E294" s="2" t="s">
        <v>70</v>
      </c>
      <c r="F294" s="4" t="s">
        <v>60</v>
      </c>
      <c r="G294" s="4" t="s">
        <v>61</v>
      </c>
      <c r="H294" s="5"/>
      <c r="I294" s="5"/>
      <c r="J294" s="5"/>
      <c r="K294" s="4" t="s">
        <v>62</v>
      </c>
      <c r="L294" s="4" t="s">
        <v>63</v>
      </c>
      <c r="M294" s="6" t="str">
        <f>IF(OR(B294="",I294=""),"",B294*I294)</f>
        <v/>
      </c>
      <c r="N294" s="8" t="s">
        <v>64</v>
      </c>
      <c r="O294" s="9"/>
      <c r="P294" s="9"/>
      <c r="Q294" s="22"/>
      <c r="R294" s="22"/>
      <c r="S294" s="23" t="str">
        <f>IF(AND(ISNUMBER(Q294),Q294&gt;0,ISNUMBER(R294),R294&gt;0),R294/Q294,"")</f>
        <v/>
      </c>
      <c r="T294" s="9"/>
      <c r="U294" s="9"/>
      <c r="V294" s="9"/>
      <c r="W294" s="9"/>
      <c r="X294" s="23" t="str">
        <f>IF(ISNUMBER(S294),S294,IF(ISNUMBER(I294),I294,""))</f>
        <v/>
      </c>
      <c r="Y294" t="str">
        <f>IF(ISNUMBER(S294),"2025 EIA-923 plant/group proxy",IF(ISNUMBER(I294),"Technology estimate","No thermal heat rate"))</f>
        <v>No thermal heat rate</v>
      </c>
      <c r="Z294" t="str">
        <f>IF(ISNUMBER(S294),"Review: NOT unit verified",IF(AE294="No match","No EIA match",IF(AF294="Unconfirmed","Unconfirmed EIA candidate","")))</f>
        <v/>
      </c>
      <c r="AE294" t="s">
        <v>65</v>
      </c>
      <c r="AF294" t="s">
        <v>66</v>
      </c>
      <c r="AG294" s="24">
        <f>IF(ISBLANK(S294),S294,I294)</f>
        <v>0</v>
      </c>
      <c r="AH294" s="34">
        <f t="shared" si="14"/>
        <v>6425.7999999999984</v>
      </c>
      <c r="AI294">
        <f t="shared" si="13"/>
        <v>4012.7995872956562</v>
      </c>
      <c r="AJ294" t="b" cm="1">
        <f t="array" ref="AJ294">OR(D294=$AT$2:$AT$8)</f>
        <v>0</v>
      </c>
    </row>
    <row r="295" spans="1:36" x14ac:dyDescent="0.25">
      <c r="A295" s="2" t="s">
        <v>262</v>
      </c>
      <c r="B295" s="3">
        <v>110.9</v>
      </c>
      <c r="C295" s="2" t="s">
        <v>147</v>
      </c>
      <c r="D295" s="2" t="s">
        <v>147</v>
      </c>
      <c r="E295" s="2" t="s">
        <v>70</v>
      </c>
      <c r="F295" s="4" t="s">
        <v>60</v>
      </c>
      <c r="G295" s="4" t="s">
        <v>61</v>
      </c>
      <c r="H295" s="5"/>
      <c r="I295" s="5"/>
      <c r="J295" s="5"/>
      <c r="K295" s="4" t="s">
        <v>62</v>
      </c>
      <c r="L295" s="4" t="s">
        <v>63</v>
      </c>
      <c r="M295" s="6" t="str">
        <f>IF(OR(B295="",I295=""),"",B295*I295)</f>
        <v/>
      </c>
      <c r="N295" s="8" t="s">
        <v>64</v>
      </c>
      <c r="O295" s="9"/>
      <c r="P295" s="9"/>
      <c r="Q295" s="22"/>
      <c r="R295" s="22"/>
      <c r="S295" s="23" t="str">
        <f>IF(AND(ISNUMBER(Q295),Q295&gt;0,ISNUMBER(R295),R295&gt;0),R295/Q295,"")</f>
        <v/>
      </c>
      <c r="T295" s="9"/>
      <c r="U295" s="9"/>
      <c r="V295" s="9"/>
      <c r="W295" s="9"/>
      <c r="X295" s="23" t="str">
        <f>IF(ISNUMBER(S295),S295,IF(ISNUMBER(I295),I295,""))</f>
        <v/>
      </c>
      <c r="Y295" t="str">
        <f>IF(ISNUMBER(S295),"2025 EIA-923 plant/group proxy",IF(ISNUMBER(I295),"Technology estimate","No thermal heat rate"))</f>
        <v>No thermal heat rate</v>
      </c>
      <c r="Z295" t="str">
        <f>IF(ISNUMBER(S295),"Review: NOT unit verified",IF(AE295="No match","No EIA match",IF(AF295="Unconfirmed","Unconfirmed EIA candidate","")))</f>
        <v/>
      </c>
      <c r="AE295" t="s">
        <v>65</v>
      </c>
      <c r="AF295" t="s">
        <v>66</v>
      </c>
      <c r="AG295" s="24">
        <f>IF(ISBLANK(S295),S295,I295)</f>
        <v>0</v>
      </c>
      <c r="AH295" s="34">
        <f t="shared" si="14"/>
        <v>6536.699999999998</v>
      </c>
      <c r="AI295">
        <f t="shared" si="13"/>
        <v>4082.0546954893575</v>
      </c>
      <c r="AJ295" t="b" cm="1">
        <f t="array" ref="AJ295">OR(D295=$AT$2:$AT$8)</f>
        <v>0</v>
      </c>
    </row>
    <row r="296" spans="1:36" x14ac:dyDescent="0.25">
      <c r="A296" s="2" t="s">
        <v>286</v>
      </c>
      <c r="B296" s="3">
        <v>12</v>
      </c>
      <c r="C296" s="2" t="s">
        <v>80</v>
      </c>
      <c r="D296" s="2" t="s">
        <v>81</v>
      </c>
      <c r="E296" s="2" t="s">
        <v>70</v>
      </c>
      <c r="F296" s="4" t="s">
        <v>60</v>
      </c>
      <c r="G296" s="4" t="s">
        <v>61</v>
      </c>
      <c r="H296" s="5"/>
      <c r="I296" s="5"/>
      <c r="J296" s="5"/>
      <c r="K296" s="4" t="s">
        <v>62</v>
      </c>
      <c r="L296" s="4" t="s">
        <v>63</v>
      </c>
      <c r="M296" s="6" t="str">
        <f>IF(OR(B296="",I296=""),"",B296*I296)</f>
        <v/>
      </c>
      <c r="N296" s="8" t="s">
        <v>64</v>
      </c>
      <c r="O296" s="9"/>
      <c r="P296" s="9"/>
      <c r="Q296" s="22"/>
      <c r="R296" s="22"/>
      <c r="S296" s="23" t="str">
        <f>IF(AND(ISNUMBER(Q296),Q296&gt;0,ISNUMBER(R296),R296&gt;0),R296/Q296,"")</f>
        <v/>
      </c>
      <c r="T296" s="9"/>
      <c r="U296" s="9"/>
      <c r="V296" s="9"/>
      <c r="W296" s="9"/>
      <c r="X296" s="23" t="str">
        <f>IF(ISNUMBER(S296),S296,IF(ISNUMBER(I296),I296,""))</f>
        <v/>
      </c>
      <c r="Y296" t="str">
        <f>IF(ISNUMBER(S296),"2025 EIA-923 plant/group proxy",IF(ISNUMBER(I296),"Technology estimate","No thermal heat rate"))</f>
        <v>No thermal heat rate</v>
      </c>
      <c r="Z296" t="str">
        <f>IF(ISNUMBER(S296),"Review: NOT unit verified",IF(AE296="No match","No EIA match",IF(AF296="Unconfirmed","Unconfirmed EIA candidate","")))</f>
        <v/>
      </c>
      <c r="AE296" t="s">
        <v>65</v>
      </c>
      <c r="AF296" t="s">
        <v>66</v>
      </c>
      <c r="AG296" s="24">
        <f>IF(ISBLANK(S296),S296,I296)</f>
        <v>0</v>
      </c>
      <c r="AH296" s="34">
        <f t="shared" si="14"/>
        <v>6548.699999999998</v>
      </c>
      <c r="AI296">
        <f t="shared" si="13"/>
        <v>4089.54848537506</v>
      </c>
      <c r="AJ296" t="b" cm="1">
        <f t="array" ref="AJ296">OR(D296=$AT$2:$AT$8)</f>
        <v>0</v>
      </c>
    </row>
    <row r="297" spans="1:36" x14ac:dyDescent="0.25">
      <c r="A297" s="2" t="s">
        <v>287</v>
      </c>
      <c r="B297" s="3">
        <v>40.4</v>
      </c>
      <c r="C297" s="2" t="s">
        <v>80</v>
      </c>
      <c r="D297" s="2" t="s">
        <v>81</v>
      </c>
      <c r="E297" s="2" t="s">
        <v>70</v>
      </c>
      <c r="F297" s="4" t="s">
        <v>60</v>
      </c>
      <c r="G297" s="4" t="s">
        <v>61</v>
      </c>
      <c r="H297" s="5"/>
      <c r="I297" s="5"/>
      <c r="J297" s="5"/>
      <c r="K297" s="4" t="s">
        <v>62</v>
      </c>
      <c r="L297" s="4" t="s">
        <v>63</v>
      </c>
      <c r="M297" s="6" t="str">
        <f>IF(OR(B297="",I297=""),"",B297*I297)</f>
        <v/>
      </c>
      <c r="N297" s="8" t="s">
        <v>64</v>
      </c>
      <c r="O297" s="9"/>
      <c r="P297" s="9"/>
      <c r="Q297" s="22"/>
      <c r="R297" s="22"/>
      <c r="S297" s="23" t="str">
        <f>IF(AND(ISNUMBER(Q297),Q297&gt;0,ISNUMBER(R297),R297&gt;0),R297/Q297,"")</f>
        <v/>
      </c>
      <c r="T297" s="9"/>
      <c r="U297" s="9"/>
      <c r="V297" s="9"/>
      <c r="W297" s="9"/>
      <c r="X297" s="23" t="str">
        <f>IF(ISNUMBER(S297),S297,IF(ISNUMBER(I297),I297,""))</f>
        <v/>
      </c>
      <c r="Y297" t="str">
        <f>IF(ISNUMBER(S297),"2025 EIA-923 plant/group proxy",IF(ISNUMBER(I297),"Technology estimate","No thermal heat rate"))</f>
        <v>No thermal heat rate</v>
      </c>
      <c r="Z297" t="str">
        <f>IF(ISNUMBER(S297),"Review: NOT unit verified",IF(AE297="No match","No EIA match",IF(AF297="Unconfirmed","Unconfirmed EIA candidate","")))</f>
        <v/>
      </c>
      <c r="AE297" t="s">
        <v>65</v>
      </c>
      <c r="AF297" t="s">
        <v>66</v>
      </c>
      <c r="AG297" s="24">
        <f>IF(ISBLANK(S297),S297,I297)</f>
        <v>0</v>
      </c>
      <c r="AH297" s="34">
        <f t="shared" si="14"/>
        <v>6589.0999999999976</v>
      </c>
      <c r="AI297">
        <f t="shared" si="13"/>
        <v>4114.7775779902586</v>
      </c>
      <c r="AJ297" t="b" cm="1">
        <f t="array" ref="AJ297">OR(D297=$AT$2:$AT$8)</f>
        <v>0</v>
      </c>
    </row>
    <row r="298" spans="1:36" x14ac:dyDescent="0.25">
      <c r="A298" s="2" t="s">
        <v>292</v>
      </c>
      <c r="B298" s="3">
        <v>32</v>
      </c>
      <c r="C298" s="2" t="s">
        <v>99</v>
      </c>
      <c r="D298" s="2" t="s">
        <v>81</v>
      </c>
      <c r="E298" s="2" t="s">
        <v>70</v>
      </c>
      <c r="F298" s="4" t="s">
        <v>60</v>
      </c>
      <c r="G298" s="4" t="s">
        <v>61</v>
      </c>
      <c r="H298" s="5"/>
      <c r="I298" s="5"/>
      <c r="J298" s="5"/>
      <c r="K298" s="4" t="s">
        <v>62</v>
      </c>
      <c r="L298" s="4" t="s">
        <v>63</v>
      </c>
      <c r="M298" s="6" t="str">
        <f>IF(OR(B298="",I298=""),"",B298*I298)</f>
        <v/>
      </c>
      <c r="N298" s="8" t="s">
        <v>64</v>
      </c>
      <c r="O298" s="9"/>
      <c r="P298" s="9"/>
      <c r="Q298" s="22"/>
      <c r="R298" s="22"/>
      <c r="S298" s="23" t="str">
        <f>IF(AND(ISNUMBER(Q298),Q298&gt;0,ISNUMBER(R298),R298&gt;0),R298/Q298,"")</f>
        <v/>
      </c>
      <c r="T298" s="9"/>
      <c r="U298" s="9"/>
      <c r="V298" s="9"/>
      <c r="W298" s="9"/>
      <c r="X298" s="23" t="str">
        <f>IF(ISNUMBER(S298),S298,IF(ISNUMBER(I298),I298,""))</f>
        <v/>
      </c>
      <c r="Y298" t="str">
        <f>IF(ISNUMBER(S298),"2025 EIA-923 plant/group proxy",IF(ISNUMBER(I298),"Technology estimate","No thermal heat rate"))</f>
        <v>No thermal heat rate</v>
      </c>
      <c r="Z298" t="str">
        <f>IF(ISNUMBER(S298),"Review: NOT unit verified",IF(AE298="No match","No EIA match",IF(AF298="Unconfirmed","Unconfirmed EIA candidate","")))</f>
        <v/>
      </c>
      <c r="AE298" t="s">
        <v>65</v>
      </c>
      <c r="AF298" t="s">
        <v>66</v>
      </c>
      <c r="AG298" s="24">
        <f>IF(ISBLANK(S298),S298,I298)</f>
        <v>0</v>
      </c>
      <c r="AH298" s="34">
        <f t="shared" si="14"/>
        <v>6621.0999999999976</v>
      </c>
      <c r="AI298">
        <f t="shared" si="13"/>
        <v>4134.761017685466</v>
      </c>
      <c r="AJ298" t="b" cm="1">
        <f t="array" ref="AJ298">OR(D298=$AT$2:$AT$8)</f>
        <v>0</v>
      </c>
    </row>
    <row r="299" spans="1:36" x14ac:dyDescent="0.25">
      <c r="A299" s="2" t="s">
        <v>301</v>
      </c>
      <c r="B299" s="3">
        <v>76.2</v>
      </c>
      <c r="C299" s="2" t="s">
        <v>78</v>
      </c>
      <c r="D299" s="2" t="s">
        <v>78</v>
      </c>
      <c r="E299" s="2" t="s">
        <v>70</v>
      </c>
      <c r="F299" s="4" t="s">
        <v>60</v>
      </c>
      <c r="G299" s="4" t="s">
        <v>61</v>
      </c>
      <c r="H299" s="5"/>
      <c r="I299" s="5"/>
      <c r="J299" s="5"/>
      <c r="K299" s="4" t="s">
        <v>62</v>
      </c>
      <c r="L299" s="4" t="s">
        <v>63</v>
      </c>
      <c r="M299" s="6" t="str">
        <f>IF(OR(B299="",I299=""),"",B299*I299)</f>
        <v/>
      </c>
      <c r="N299" s="8" t="s">
        <v>64</v>
      </c>
      <c r="O299" s="9"/>
      <c r="P299" s="9"/>
      <c r="Q299" s="22"/>
      <c r="R299" s="22"/>
      <c r="S299" s="23" t="str">
        <f>IF(AND(ISNUMBER(Q299),Q299&gt;0,ISNUMBER(R299),R299&gt;0),R299/Q299,"")</f>
        <v/>
      </c>
      <c r="T299" s="9"/>
      <c r="U299" s="9"/>
      <c r="V299" s="9"/>
      <c r="W299" s="9"/>
      <c r="X299" s="23" t="str">
        <f>IF(ISNUMBER(S299),S299,IF(ISNUMBER(I299),I299,""))</f>
        <v/>
      </c>
      <c r="Y299" t="str">
        <f>IF(ISNUMBER(S299),"2025 EIA-923 plant/group proxy",IF(ISNUMBER(I299),"Technology estimate","No thermal heat rate"))</f>
        <v>No thermal heat rate</v>
      </c>
      <c r="Z299" t="str">
        <f>IF(ISNUMBER(S299),"Review: NOT unit verified",IF(AE299="No match","No EIA match",IF(AF299="Unconfirmed","Unconfirmed EIA candidate","")))</f>
        <v/>
      </c>
      <c r="AE299" t="s">
        <v>65</v>
      </c>
      <c r="AF299" t="s">
        <v>66</v>
      </c>
      <c r="AG299" s="24">
        <f>IF(ISBLANK(S299),S299,I299)</f>
        <v>0</v>
      </c>
      <c r="AH299" s="34">
        <f t="shared" si="14"/>
        <v>6697.2999999999975</v>
      </c>
      <c r="AI299">
        <f t="shared" si="13"/>
        <v>4182.3465834596773</v>
      </c>
      <c r="AJ299" t="b" cm="1">
        <f t="array" ref="AJ299">OR(D299=$AT$2:$AT$8)</f>
        <v>1</v>
      </c>
    </row>
    <row r="300" spans="1:36" x14ac:dyDescent="0.25">
      <c r="A300" s="2" t="s">
        <v>313</v>
      </c>
      <c r="B300" s="3">
        <v>44</v>
      </c>
      <c r="C300" s="2" t="s">
        <v>78</v>
      </c>
      <c r="D300" s="2" t="s">
        <v>78</v>
      </c>
      <c r="E300" s="2" t="s">
        <v>70</v>
      </c>
      <c r="F300" s="4" t="s">
        <v>60</v>
      </c>
      <c r="G300" s="4" t="s">
        <v>61</v>
      </c>
      <c r="H300" s="5"/>
      <c r="I300" s="5"/>
      <c r="J300" s="5"/>
      <c r="K300" s="4" t="s">
        <v>62</v>
      </c>
      <c r="L300" s="4" t="s">
        <v>63</v>
      </c>
      <c r="M300" s="6" t="str">
        <f>IF(OR(B300="",I300=""),"",B300*I300)</f>
        <v/>
      </c>
      <c r="N300" s="8" t="s">
        <v>64</v>
      </c>
      <c r="O300" s="9"/>
      <c r="P300" s="9"/>
      <c r="Q300" s="22"/>
      <c r="R300" s="22"/>
      <c r="S300" s="23" t="str">
        <f>IF(AND(ISNUMBER(Q300),Q300&gt;0,ISNUMBER(R300),R300&gt;0),R300/Q300,"")</f>
        <v/>
      </c>
      <c r="T300" s="9"/>
      <c r="U300" s="9"/>
      <c r="V300" s="9"/>
      <c r="W300" s="9"/>
      <c r="X300" s="23" t="str">
        <f>IF(ISNUMBER(S300),S300,IF(ISNUMBER(I300),I300,""))</f>
        <v/>
      </c>
      <c r="Y300" t="str">
        <f>IF(ISNUMBER(S300),"2025 EIA-923 plant/group proxy",IF(ISNUMBER(I300),"Technology estimate","No thermal heat rate"))</f>
        <v>No thermal heat rate</v>
      </c>
      <c r="Z300" t="str">
        <f>IF(ISNUMBER(S300),"Review: NOT unit verified",IF(AE300="No match","No EIA match",IF(AF300="Unconfirmed","Unconfirmed EIA candidate","")))</f>
        <v/>
      </c>
      <c r="AE300" t="s">
        <v>65</v>
      </c>
      <c r="AF300" t="s">
        <v>66</v>
      </c>
      <c r="AG300" s="24">
        <f>IF(ISBLANK(S300),S300,I300)</f>
        <v>0</v>
      </c>
      <c r="AH300" s="34">
        <f t="shared" si="14"/>
        <v>6741.2999999999975</v>
      </c>
      <c r="AI300">
        <f t="shared" si="13"/>
        <v>4209.8238130405871</v>
      </c>
      <c r="AJ300" t="b" cm="1">
        <f t="array" ref="AJ300">OR(D300=$AT$2:$AT$8)</f>
        <v>1</v>
      </c>
    </row>
    <row r="301" spans="1:36" x14ac:dyDescent="0.25">
      <c r="A301" s="2" t="s">
        <v>346</v>
      </c>
      <c r="B301" s="3">
        <v>33.6</v>
      </c>
      <c r="C301" s="2" t="s">
        <v>347</v>
      </c>
      <c r="D301" s="2" t="s">
        <v>347</v>
      </c>
      <c r="E301" s="2" t="s">
        <v>70</v>
      </c>
      <c r="F301" s="4" t="s">
        <v>60</v>
      </c>
      <c r="G301" s="4" t="s">
        <v>61</v>
      </c>
      <c r="H301" s="5"/>
      <c r="I301" s="5"/>
      <c r="J301" s="5"/>
      <c r="K301" s="4" t="s">
        <v>62</v>
      </c>
      <c r="L301" s="4" t="s">
        <v>63</v>
      </c>
      <c r="M301" s="6" t="str">
        <f>IF(OR(B301="",I301=""),"",B301*I301)</f>
        <v/>
      </c>
      <c r="N301" s="8" t="s">
        <v>64</v>
      </c>
      <c r="O301" s="9"/>
      <c r="P301" s="9"/>
      <c r="Q301" s="22"/>
      <c r="R301" s="22"/>
      <c r="S301" s="23" t="str">
        <f>IF(AND(ISNUMBER(Q301),Q301&gt;0,ISNUMBER(R301),R301&gt;0),R301/Q301,"")</f>
        <v/>
      </c>
      <c r="T301" s="9"/>
      <c r="U301" s="9"/>
      <c r="V301" s="9"/>
      <c r="W301" s="9"/>
      <c r="X301" s="23" t="str">
        <f>IF(ISNUMBER(S301),S301,IF(ISNUMBER(I301),I301,""))</f>
        <v/>
      </c>
      <c r="Y301" t="str">
        <f>IF(ISNUMBER(S301),"2025 EIA-923 plant/group proxy",IF(ISNUMBER(I301),"Technology estimate","No thermal heat rate"))</f>
        <v>No thermal heat rate</v>
      </c>
      <c r="Z301" t="str">
        <f>IF(ISNUMBER(S301),"Review: NOT unit verified",IF(AE301="No match","No EIA match",IF(AF301="Unconfirmed","Unconfirmed EIA candidate","")))</f>
        <v/>
      </c>
      <c r="AE301" t="s">
        <v>65</v>
      </c>
      <c r="AF301" t="s">
        <v>66</v>
      </c>
      <c r="AG301" s="24">
        <f>IF(ISBLANK(S301),S301,I301)</f>
        <v>0</v>
      </c>
      <c r="AH301" s="34">
        <f t="shared" si="14"/>
        <v>6774.8999999999978</v>
      </c>
      <c r="AI301">
        <f t="shared" si="13"/>
        <v>4230.8064247205548</v>
      </c>
      <c r="AJ301" t="b" cm="1">
        <f t="array" ref="AJ301">OR(D301=$AT$2:$AT$8)</f>
        <v>0</v>
      </c>
    </row>
    <row r="302" spans="1:36" x14ac:dyDescent="0.25">
      <c r="A302" s="2" t="s">
        <v>348</v>
      </c>
      <c r="B302" s="3">
        <v>33.6</v>
      </c>
      <c r="C302" s="2" t="s">
        <v>347</v>
      </c>
      <c r="D302" s="2" t="s">
        <v>347</v>
      </c>
      <c r="E302" s="2" t="s">
        <v>70</v>
      </c>
      <c r="F302" s="4" t="s">
        <v>60</v>
      </c>
      <c r="G302" s="4" t="s">
        <v>61</v>
      </c>
      <c r="H302" s="5"/>
      <c r="I302" s="5"/>
      <c r="J302" s="5"/>
      <c r="K302" s="4" t="s">
        <v>62</v>
      </c>
      <c r="L302" s="4" t="s">
        <v>63</v>
      </c>
      <c r="M302" s="6" t="str">
        <f>IF(OR(B302="",I302=""),"",B302*I302)</f>
        <v/>
      </c>
      <c r="N302" s="8" t="s">
        <v>64</v>
      </c>
      <c r="O302" s="9"/>
      <c r="P302" s="9"/>
      <c r="Q302" s="22"/>
      <c r="R302" s="22"/>
      <c r="S302" s="23" t="str">
        <f>IF(AND(ISNUMBER(Q302),Q302&gt;0,ISNUMBER(R302),R302&gt;0),R302/Q302,"")</f>
        <v/>
      </c>
      <c r="T302" s="9"/>
      <c r="U302" s="9"/>
      <c r="V302" s="9"/>
      <c r="W302" s="9"/>
      <c r="X302" s="23" t="str">
        <f>IF(ISNUMBER(S302),S302,IF(ISNUMBER(I302),I302,""))</f>
        <v/>
      </c>
      <c r="Y302" t="str">
        <f>IF(ISNUMBER(S302),"2025 EIA-923 plant/group proxy",IF(ISNUMBER(I302),"Technology estimate","No thermal heat rate"))</f>
        <v>No thermal heat rate</v>
      </c>
      <c r="Z302" t="str">
        <f>IF(ISNUMBER(S302),"Review: NOT unit verified",IF(AE302="No match","No EIA match",IF(AF302="Unconfirmed","Unconfirmed EIA candidate","")))</f>
        <v/>
      </c>
      <c r="AE302" t="s">
        <v>65</v>
      </c>
      <c r="AF302" t="s">
        <v>66</v>
      </c>
      <c r="AG302" s="24">
        <f>IF(ISBLANK(S302),S302,I302)</f>
        <v>0</v>
      </c>
      <c r="AH302" s="34">
        <f t="shared" si="14"/>
        <v>6808.4999999999982</v>
      </c>
      <c r="AI302">
        <f t="shared" si="13"/>
        <v>4251.7890364005216</v>
      </c>
      <c r="AJ302" t="b" cm="1">
        <f t="array" ref="AJ302">OR(D302=$AT$2:$AT$8)</f>
        <v>0</v>
      </c>
    </row>
    <row r="303" spans="1:36" x14ac:dyDescent="0.25">
      <c r="A303" s="2" t="s">
        <v>349</v>
      </c>
      <c r="B303" s="3">
        <v>11.4</v>
      </c>
      <c r="C303" s="2" t="s">
        <v>78</v>
      </c>
      <c r="D303" s="2" t="s">
        <v>78</v>
      </c>
      <c r="E303" s="2" t="s">
        <v>70</v>
      </c>
      <c r="F303" s="4" t="s">
        <v>60</v>
      </c>
      <c r="G303" s="4" t="s">
        <v>61</v>
      </c>
      <c r="H303" s="5"/>
      <c r="I303" s="5"/>
      <c r="J303" s="5"/>
      <c r="K303" s="4" t="s">
        <v>62</v>
      </c>
      <c r="L303" s="4" t="s">
        <v>63</v>
      </c>
      <c r="M303" s="6" t="str">
        <f>IF(OR(B303="",I303=""),"",B303*I303)</f>
        <v/>
      </c>
      <c r="N303" s="8" t="s">
        <v>64</v>
      </c>
      <c r="O303" s="9"/>
      <c r="P303" s="9"/>
      <c r="Q303" s="22"/>
      <c r="R303" s="22"/>
      <c r="S303" s="23" t="str">
        <f>IF(AND(ISNUMBER(Q303),Q303&gt;0,ISNUMBER(R303),R303&gt;0),R303/Q303,"")</f>
        <v/>
      </c>
      <c r="T303" s="9"/>
      <c r="U303" s="9"/>
      <c r="V303" s="9"/>
      <c r="W303" s="9"/>
      <c r="X303" s="23" t="str">
        <f>IF(ISNUMBER(S303),S303,IF(ISNUMBER(I303),I303,""))</f>
        <v/>
      </c>
      <c r="Y303" t="str">
        <f>IF(ISNUMBER(S303),"2025 EIA-923 plant/group proxy",IF(ISNUMBER(I303),"Technology estimate","No thermal heat rate"))</f>
        <v>No thermal heat rate</v>
      </c>
      <c r="Z303" t="str">
        <f>IF(ISNUMBER(S303),"Review: NOT unit verified",IF(AE303="No match","No EIA match",IF(AF303="Unconfirmed","Unconfirmed EIA candidate","")))</f>
        <v/>
      </c>
      <c r="AE303" t="s">
        <v>65</v>
      </c>
      <c r="AF303" t="s">
        <v>66</v>
      </c>
      <c r="AG303" s="24">
        <f>IF(ISBLANK(S303),S303,I303)</f>
        <v>0</v>
      </c>
      <c r="AH303" s="34">
        <f t="shared" si="14"/>
        <v>6819.8999999999978</v>
      </c>
      <c r="AI303">
        <f t="shared" si="13"/>
        <v>4258.9081367919389</v>
      </c>
      <c r="AJ303" t="b" cm="1">
        <f t="array" ref="AJ303">OR(D303=$AT$2:$AT$8)</f>
        <v>1</v>
      </c>
    </row>
    <row r="304" spans="1:36" x14ac:dyDescent="0.25">
      <c r="A304" s="2" t="s">
        <v>371</v>
      </c>
      <c r="B304" s="3">
        <v>13</v>
      </c>
      <c r="C304" s="2" t="s">
        <v>78</v>
      </c>
      <c r="D304" s="2" t="s">
        <v>78</v>
      </c>
      <c r="E304" s="2" t="s">
        <v>70</v>
      </c>
      <c r="F304" s="4" t="s">
        <v>60</v>
      </c>
      <c r="G304" s="4" t="s">
        <v>61</v>
      </c>
      <c r="H304" s="5"/>
      <c r="I304" s="5"/>
      <c r="J304" s="5"/>
      <c r="K304" s="4" t="s">
        <v>62</v>
      </c>
      <c r="L304" s="4" t="s">
        <v>63</v>
      </c>
      <c r="M304" s="6" t="str">
        <f>IF(OR(B304="",I304=""),"",B304*I304)</f>
        <v/>
      </c>
      <c r="N304" s="8" t="s">
        <v>64</v>
      </c>
      <c r="O304" s="9"/>
      <c r="P304" s="9"/>
      <c r="Q304" s="22"/>
      <c r="R304" s="22"/>
      <c r="S304" s="23" t="str">
        <f>IF(AND(ISNUMBER(Q304),Q304&gt;0,ISNUMBER(R304),R304&gt;0),R304/Q304,"")</f>
        <v/>
      </c>
      <c r="T304" s="9"/>
      <c r="U304" s="9"/>
      <c r="V304" s="9"/>
      <c r="W304" s="9"/>
      <c r="X304" s="23" t="str">
        <f>IF(ISNUMBER(S304),S304,IF(ISNUMBER(I304),I304,""))</f>
        <v/>
      </c>
      <c r="Y304" t="str">
        <f>IF(ISNUMBER(S304),"2025 EIA-923 plant/group proxy",IF(ISNUMBER(I304),"Technology estimate","No thermal heat rate"))</f>
        <v>No thermal heat rate</v>
      </c>
      <c r="Z304" t="str">
        <f>IF(ISNUMBER(S304),"Review: NOT unit verified",IF(AE304="No match","No EIA match",IF(AF304="Unconfirmed","Unconfirmed EIA candidate","")))</f>
        <v/>
      </c>
      <c r="AE304" t="s">
        <v>65</v>
      </c>
      <c r="AF304" t="s">
        <v>66</v>
      </c>
      <c r="AG304" s="24">
        <f>IF(ISBLANK(S304),S304,I304)</f>
        <v>0</v>
      </c>
      <c r="AH304" s="34">
        <f t="shared" si="14"/>
        <v>6832.8999999999978</v>
      </c>
      <c r="AI304">
        <f t="shared" si="13"/>
        <v>4267.0264091681174</v>
      </c>
      <c r="AJ304" t="b" cm="1">
        <f t="array" ref="AJ304">OR(D304=$AT$2:$AT$8)</f>
        <v>1</v>
      </c>
    </row>
    <row r="305" spans="1:36" x14ac:dyDescent="0.25">
      <c r="A305" s="2" t="s">
        <v>377</v>
      </c>
      <c r="B305" s="3">
        <v>12</v>
      </c>
      <c r="C305" s="2" t="s">
        <v>99</v>
      </c>
      <c r="D305" s="2" t="s">
        <v>81</v>
      </c>
      <c r="E305" s="2" t="s">
        <v>70</v>
      </c>
      <c r="F305" s="4" t="s">
        <v>60</v>
      </c>
      <c r="G305" s="4" t="s">
        <v>61</v>
      </c>
      <c r="H305" s="5"/>
      <c r="I305" s="5"/>
      <c r="J305" s="5"/>
      <c r="K305" s="4" t="s">
        <v>62</v>
      </c>
      <c r="L305" s="4" t="s">
        <v>63</v>
      </c>
      <c r="M305" s="6" t="str">
        <f>IF(OR(B305="",I305=""),"",B305*I305)</f>
        <v/>
      </c>
      <c r="N305" s="8" t="s">
        <v>64</v>
      </c>
      <c r="O305" s="9"/>
      <c r="P305" s="9"/>
      <c r="Q305" s="22"/>
      <c r="R305" s="22"/>
      <c r="S305" s="23" t="str">
        <f>IF(AND(ISNUMBER(Q305),Q305&gt;0,ISNUMBER(R305),R305&gt;0),R305/Q305,"")</f>
        <v/>
      </c>
      <c r="T305" s="9"/>
      <c r="U305" s="9"/>
      <c r="V305" s="9"/>
      <c r="W305" s="9"/>
      <c r="X305" s="23" t="str">
        <f>IF(ISNUMBER(S305),S305,IF(ISNUMBER(I305),I305,""))</f>
        <v/>
      </c>
      <c r="Y305" t="str">
        <f>IF(ISNUMBER(S305),"2025 EIA-923 plant/group proxy",IF(ISNUMBER(I305),"Technology estimate","No thermal heat rate"))</f>
        <v>No thermal heat rate</v>
      </c>
      <c r="Z305" t="str">
        <f>IF(ISNUMBER(S305),"Review: NOT unit verified",IF(AE305="No match","No EIA match",IF(AF305="Unconfirmed","Unconfirmed EIA candidate","")))</f>
        <v/>
      </c>
      <c r="AE305" t="s">
        <v>65</v>
      </c>
      <c r="AF305" t="s">
        <v>66</v>
      </c>
      <c r="AG305" s="24">
        <f>IF(ISBLANK(S305),S305,I305)</f>
        <v>0</v>
      </c>
      <c r="AH305" s="34">
        <f t="shared" si="14"/>
        <v>6844.8999999999978</v>
      </c>
      <c r="AI305">
        <f t="shared" si="13"/>
        <v>4274.5201990538199</v>
      </c>
      <c r="AJ305" t="b" cm="1">
        <f t="array" ref="AJ305">OR(D305=$AT$2:$AT$8)</f>
        <v>0</v>
      </c>
    </row>
    <row r="306" spans="1:36" x14ac:dyDescent="0.25">
      <c r="A306" s="2" t="s">
        <v>384</v>
      </c>
      <c r="B306" s="3">
        <v>11.3</v>
      </c>
      <c r="C306" s="2" t="s">
        <v>86</v>
      </c>
      <c r="D306" s="2" t="s">
        <v>76</v>
      </c>
      <c r="E306" s="2" t="s">
        <v>70</v>
      </c>
      <c r="F306" s="4" t="s">
        <v>60</v>
      </c>
      <c r="G306" s="4" t="s">
        <v>61</v>
      </c>
      <c r="H306" s="5"/>
      <c r="I306" s="5"/>
      <c r="J306" s="5"/>
      <c r="K306" s="4" t="s">
        <v>62</v>
      </c>
      <c r="L306" s="4" t="s">
        <v>63</v>
      </c>
      <c r="M306" s="6" t="str">
        <f>IF(OR(B306="",I306=""),"",B306*I306)</f>
        <v/>
      </c>
      <c r="N306" s="8" t="s">
        <v>64</v>
      </c>
      <c r="O306" s="9"/>
      <c r="P306" s="9"/>
      <c r="Q306" s="22"/>
      <c r="R306" s="22"/>
      <c r="S306" s="23" t="str">
        <f>IF(AND(ISNUMBER(Q306),Q306&gt;0,ISNUMBER(R306),R306&gt;0),R306/Q306,"")</f>
        <v/>
      </c>
      <c r="T306" s="9"/>
      <c r="U306" s="9"/>
      <c r="V306" s="9"/>
      <c r="W306" s="9"/>
      <c r="X306" s="23" t="str">
        <f>IF(ISNUMBER(S306),S306,IF(ISNUMBER(I306),I306,""))</f>
        <v/>
      </c>
      <c r="Y306" t="str">
        <f>IF(ISNUMBER(S306),"2025 EIA-923 plant/group proxy",IF(ISNUMBER(I306),"Technology estimate","No thermal heat rate"))</f>
        <v>No thermal heat rate</v>
      </c>
      <c r="Z306" t="str">
        <f>IF(ISNUMBER(S306),"Review: NOT unit verified",IF(AE306="No match","No EIA match",IF(AF306="Unconfirmed","Unconfirmed EIA candidate","")))</f>
        <v/>
      </c>
      <c r="AE306" t="s">
        <v>65</v>
      </c>
      <c r="AF306" t="s">
        <v>66</v>
      </c>
      <c r="AG306" s="24">
        <f>IF(ISBLANK(S306),S306,I306)</f>
        <v>0</v>
      </c>
      <c r="AH306" s="34">
        <f t="shared" si="14"/>
        <v>6856.199999999998</v>
      </c>
      <c r="AI306">
        <f t="shared" si="13"/>
        <v>4281.5768511961896</v>
      </c>
      <c r="AJ306" t="b" cm="1">
        <f t="array" ref="AJ306">OR(D306=$AT$2:$AT$8)</f>
        <v>0</v>
      </c>
    </row>
    <row r="307" spans="1:36" x14ac:dyDescent="0.25">
      <c r="A307" s="2" t="s">
        <v>387</v>
      </c>
      <c r="B307" s="3">
        <v>73</v>
      </c>
      <c r="C307" s="2" t="s">
        <v>78</v>
      </c>
      <c r="D307" s="2" t="s">
        <v>78</v>
      </c>
      <c r="E307" s="2" t="s">
        <v>70</v>
      </c>
      <c r="F307" s="4" t="s">
        <v>60</v>
      </c>
      <c r="G307" s="4" t="s">
        <v>61</v>
      </c>
      <c r="H307" s="5"/>
      <c r="I307" s="5"/>
      <c r="J307" s="5"/>
      <c r="K307" s="4" t="s">
        <v>62</v>
      </c>
      <c r="L307" s="4" t="s">
        <v>63</v>
      </c>
      <c r="M307" s="6" t="str">
        <f>IF(OR(B307="",I307=""),"",B307*I307)</f>
        <v/>
      </c>
      <c r="N307" s="8" t="s">
        <v>64</v>
      </c>
      <c r="O307" s="9"/>
      <c r="P307" s="9"/>
      <c r="Q307" s="22"/>
      <c r="R307" s="22"/>
      <c r="S307" s="23" t="str">
        <f>IF(AND(ISNUMBER(Q307),Q307&gt;0,ISNUMBER(R307),R307&gt;0),R307/Q307,"")</f>
        <v/>
      </c>
      <c r="T307" s="9"/>
      <c r="U307" s="9"/>
      <c r="V307" s="9"/>
      <c r="W307" s="9"/>
      <c r="X307" s="23" t="str">
        <f>IF(ISNUMBER(S307),S307,IF(ISNUMBER(I307),I307,""))</f>
        <v/>
      </c>
      <c r="Y307" t="str">
        <f>IF(ISNUMBER(S307),"2025 EIA-923 plant/group proxy",IF(ISNUMBER(I307),"Technology estimate","No thermal heat rate"))</f>
        <v>No thermal heat rate</v>
      </c>
      <c r="Z307" t="str">
        <f>IF(ISNUMBER(S307),"Review: NOT unit verified",IF(AE307="No match","No EIA match",IF(AF307="Unconfirmed","Unconfirmed EIA candidate","")))</f>
        <v/>
      </c>
      <c r="AE307" t="s">
        <v>65</v>
      </c>
      <c r="AF307" t="s">
        <v>66</v>
      </c>
      <c r="AG307" s="24">
        <f>IF(ISBLANK(S307),S307,I307)</f>
        <v>0</v>
      </c>
      <c r="AH307" s="34">
        <f t="shared" si="14"/>
        <v>6929.199999999998</v>
      </c>
      <c r="AI307">
        <f t="shared" si="13"/>
        <v>4327.1640730008803</v>
      </c>
      <c r="AJ307" t="b" cm="1">
        <f t="array" ref="AJ307">OR(D307=$AT$2:$AT$8)</f>
        <v>1</v>
      </c>
    </row>
    <row r="308" spans="1:36" x14ac:dyDescent="0.25">
      <c r="A308" s="2" t="s">
        <v>391</v>
      </c>
      <c r="B308" s="3">
        <v>168.2</v>
      </c>
      <c r="C308" s="2" t="s">
        <v>78</v>
      </c>
      <c r="D308" s="2" t="s">
        <v>78</v>
      </c>
      <c r="E308" s="2" t="s">
        <v>70</v>
      </c>
      <c r="F308" s="4" t="s">
        <v>60</v>
      </c>
      <c r="G308" s="4" t="s">
        <v>61</v>
      </c>
      <c r="H308" s="5"/>
      <c r="I308" s="5"/>
      <c r="J308" s="5"/>
      <c r="K308" s="4" t="s">
        <v>62</v>
      </c>
      <c r="L308" s="4" t="s">
        <v>63</v>
      </c>
      <c r="M308" s="6" t="str">
        <f>IF(OR(B308="",I308=""),"",B308*I308)</f>
        <v/>
      </c>
      <c r="N308" s="8" t="s">
        <v>64</v>
      </c>
      <c r="O308" s="9"/>
      <c r="P308" s="9"/>
      <c r="Q308" s="22"/>
      <c r="R308" s="22"/>
      <c r="S308" s="23" t="str">
        <f>IF(AND(ISNUMBER(Q308),Q308&gt;0,ISNUMBER(R308),R308&gt;0),R308/Q308,"")</f>
        <v/>
      </c>
      <c r="T308" s="9"/>
      <c r="U308" s="9"/>
      <c r="V308" s="9"/>
      <c r="W308" s="9"/>
      <c r="X308" s="23" t="str">
        <f>IF(ISNUMBER(S308),S308,IF(ISNUMBER(I308),I308,""))</f>
        <v/>
      </c>
      <c r="Y308" t="str">
        <f>IF(ISNUMBER(S308),"2025 EIA-923 plant/group proxy",IF(ISNUMBER(I308),"Technology estimate","No thermal heat rate"))</f>
        <v>No thermal heat rate</v>
      </c>
      <c r="Z308" t="str">
        <f>IF(ISNUMBER(S308),"Review: NOT unit verified",IF(AE308="No match","No EIA match",IF(AF308="Unconfirmed","Unconfirmed EIA candidate","")))</f>
        <v/>
      </c>
      <c r="AE308" t="s">
        <v>65</v>
      </c>
      <c r="AF308" t="s">
        <v>66</v>
      </c>
      <c r="AG308" s="24">
        <f>IF(ISBLANK(S308),S308,I308)</f>
        <v>0</v>
      </c>
      <c r="AH308" s="34">
        <f t="shared" si="14"/>
        <v>7097.3999999999978</v>
      </c>
      <c r="AI308">
        <f t="shared" si="13"/>
        <v>4432.202027898812</v>
      </c>
      <c r="AJ308" t="b" cm="1">
        <f t="array" ref="AJ308">OR(D308=$AT$2:$AT$8)</f>
        <v>1</v>
      </c>
    </row>
    <row r="309" spans="1:36" x14ac:dyDescent="0.25">
      <c r="A309" s="2" t="s">
        <v>418</v>
      </c>
      <c r="B309" s="3">
        <v>155.30000000000001</v>
      </c>
      <c r="C309" s="2" t="s">
        <v>78</v>
      </c>
      <c r="D309" s="2" t="s">
        <v>78</v>
      </c>
      <c r="E309" s="2" t="s">
        <v>70</v>
      </c>
      <c r="F309" s="4" t="s">
        <v>60</v>
      </c>
      <c r="G309" s="4" t="s">
        <v>61</v>
      </c>
      <c r="H309" s="5"/>
      <c r="I309" s="5"/>
      <c r="J309" s="5"/>
      <c r="K309" s="4" t="s">
        <v>62</v>
      </c>
      <c r="L309" s="4" t="s">
        <v>63</v>
      </c>
      <c r="M309" s="6" t="str">
        <f>IF(OR(B309="",I309=""),"",B309*I309)</f>
        <v/>
      </c>
      <c r="N309" s="8" t="s">
        <v>64</v>
      </c>
      <c r="O309" s="9"/>
      <c r="P309" s="9"/>
      <c r="Q309" s="22"/>
      <c r="R309" s="22"/>
      <c r="S309" s="23" t="str">
        <f>IF(AND(ISNUMBER(Q309),Q309&gt;0,ISNUMBER(R309),R309&gt;0),R309/Q309,"")</f>
        <v/>
      </c>
      <c r="T309" s="9"/>
      <c r="U309" s="9"/>
      <c r="V309" s="9"/>
      <c r="W309" s="9"/>
      <c r="X309" s="23" t="str">
        <f>IF(ISNUMBER(S309),S309,IF(ISNUMBER(I309),I309,""))</f>
        <v/>
      </c>
      <c r="Y309" t="str">
        <f>IF(ISNUMBER(S309),"2025 EIA-923 plant/group proxy",IF(ISNUMBER(I309),"Technology estimate","No thermal heat rate"))</f>
        <v>No thermal heat rate</v>
      </c>
      <c r="Z309" t="str">
        <f>IF(ISNUMBER(S309),"Review: NOT unit verified",IF(AE309="No match","No EIA match",IF(AF309="Unconfirmed","Unconfirmed EIA candidate","")))</f>
        <v/>
      </c>
      <c r="AE309" t="s">
        <v>65</v>
      </c>
      <c r="AF309" t="s">
        <v>66</v>
      </c>
      <c r="AG309" s="24">
        <f>IF(ISBLANK(S309),S309,I309)</f>
        <v>0</v>
      </c>
      <c r="AH309" s="34">
        <f t="shared" si="14"/>
        <v>7252.699999999998</v>
      </c>
      <c r="AI309">
        <f t="shared" si="13"/>
        <v>4529.1841586696137</v>
      </c>
      <c r="AJ309" t="b" cm="1">
        <f t="array" ref="AJ309">OR(D309=$AT$2:$AT$8)</f>
        <v>1</v>
      </c>
    </row>
    <row r="310" spans="1:36" x14ac:dyDescent="0.25">
      <c r="A310" s="2" t="s">
        <v>420</v>
      </c>
      <c r="B310" s="3">
        <v>18.899999999999999</v>
      </c>
      <c r="C310" s="2" t="s">
        <v>78</v>
      </c>
      <c r="D310" s="2" t="s">
        <v>78</v>
      </c>
      <c r="E310" s="2" t="s">
        <v>70</v>
      </c>
      <c r="F310" s="4" t="s">
        <v>60</v>
      </c>
      <c r="G310" s="4" t="s">
        <v>61</v>
      </c>
      <c r="H310" s="5"/>
      <c r="I310" s="5"/>
      <c r="J310" s="5"/>
      <c r="K310" s="4" t="s">
        <v>62</v>
      </c>
      <c r="L310" s="4" t="s">
        <v>63</v>
      </c>
      <c r="M310" s="6" t="str">
        <f>IF(OR(B310="",I310=""),"",B310*I310)</f>
        <v/>
      </c>
      <c r="N310" s="8" t="s">
        <v>64</v>
      </c>
      <c r="O310" s="9"/>
      <c r="P310" s="9"/>
      <c r="Q310" s="22"/>
      <c r="R310" s="22"/>
      <c r="S310" s="23" t="str">
        <f>IF(AND(ISNUMBER(Q310),Q310&gt;0,ISNUMBER(R310),R310&gt;0),R310/Q310,"")</f>
        <v/>
      </c>
      <c r="T310" s="9"/>
      <c r="U310" s="9"/>
      <c r="V310" s="9"/>
      <c r="W310" s="9"/>
      <c r="X310" s="23" t="str">
        <f>IF(ISNUMBER(S310),S310,IF(ISNUMBER(I310),I310,""))</f>
        <v/>
      </c>
      <c r="Y310" t="str">
        <f>IF(ISNUMBER(S310),"2025 EIA-923 plant/group proxy",IF(ISNUMBER(I310),"Technology estimate","No thermal heat rate"))</f>
        <v>No thermal heat rate</v>
      </c>
      <c r="Z310" t="str">
        <f>IF(ISNUMBER(S310),"Review: NOT unit verified",IF(AE310="No match","No EIA match",IF(AF310="Unconfirmed","Unconfirmed EIA candidate","")))</f>
        <v/>
      </c>
      <c r="AE310" t="s">
        <v>65</v>
      </c>
      <c r="AF310" t="s">
        <v>66</v>
      </c>
      <c r="AG310" s="24">
        <f>IF(ISBLANK(S310),S310,I310)</f>
        <v>0</v>
      </c>
      <c r="AH310" s="34">
        <f t="shared" si="14"/>
        <v>7271.5999999999976</v>
      </c>
      <c r="AI310">
        <f t="shared" si="13"/>
        <v>4540.986877739595</v>
      </c>
      <c r="AJ310" t="b" cm="1">
        <f t="array" ref="AJ310">OR(D310=$AT$2:$AT$8)</f>
        <v>1</v>
      </c>
    </row>
    <row r="311" spans="1:36" x14ac:dyDescent="0.25">
      <c r="A311" s="2" t="s">
        <v>421</v>
      </c>
      <c r="B311" s="3">
        <v>7.6</v>
      </c>
      <c r="C311" s="2" t="s">
        <v>68</v>
      </c>
      <c r="D311" s="2" t="s">
        <v>69</v>
      </c>
      <c r="E311" s="2" t="s">
        <v>70</v>
      </c>
      <c r="F311" s="4" t="s">
        <v>60</v>
      </c>
      <c r="G311" s="4" t="s">
        <v>61</v>
      </c>
      <c r="H311" s="5"/>
      <c r="I311" s="5"/>
      <c r="J311" s="5"/>
      <c r="K311" s="4" t="s">
        <v>62</v>
      </c>
      <c r="L311" s="4" t="s">
        <v>63</v>
      </c>
      <c r="M311" s="6" t="str">
        <f>IF(OR(B311="",I311=""),"",B311*I311)</f>
        <v/>
      </c>
      <c r="N311" s="8" t="s">
        <v>64</v>
      </c>
      <c r="O311" s="9"/>
      <c r="P311" s="9"/>
      <c r="Q311" s="22"/>
      <c r="R311" s="22"/>
      <c r="S311" s="23" t="str">
        <f>IF(AND(ISNUMBER(Q311),Q311&gt;0,ISNUMBER(R311),R311&gt;0),R311/Q311,"")</f>
        <v/>
      </c>
      <c r="T311" s="9"/>
      <c r="U311" s="9"/>
      <c r="V311" s="9"/>
      <c r="W311" s="9"/>
      <c r="X311" s="23" t="str">
        <f>IF(ISNUMBER(S311),S311,IF(ISNUMBER(I311),I311,""))</f>
        <v/>
      </c>
      <c r="Y311" t="str">
        <f>IF(ISNUMBER(S311),"2025 EIA-923 plant/group proxy",IF(ISNUMBER(I311),"Technology estimate","No thermal heat rate"))</f>
        <v>No thermal heat rate</v>
      </c>
      <c r="Z311" t="str">
        <f>IF(ISNUMBER(S311),"Review: NOT unit verified",IF(AE311="No match","No EIA match",IF(AF311="Unconfirmed","Unconfirmed EIA candidate","")))</f>
        <v/>
      </c>
      <c r="AE311" t="s">
        <v>65</v>
      </c>
      <c r="AF311" t="s">
        <v>66</v>
      </c>
      <c r="AG311" s="24">
        <f>IF(ISBLANK(S311),S311,I311)</f>
        <v>0</v>
      </c>
      <c r="AH311" s="34">
        <f t="shared" si="14"/>
        <v>7279.199999999998</v>
      </c>
      <c r="AI311">
        <f t="shared" si="13"/>
        <v>4545.7329446672074</v>
      </c>
      <c r="AJ311" t="b" cm="1">
        <f t="array" ref="AJ311">OR(D311=$AT$2:$AT$8)</f>
        <v>0</v>
      </c>
    </row>
    <row r="312" spans="1:36" x14ac:dyDescent="0.25">
      <c r="A312" s="2" t="s">
        <v>445</v>
      </c>
      <c r="B312" s="3">
        <v>17.2</v>
      </c>
      <c r="C312" s="2" t="s">
        <v>86</v>
      </c>
      <c r="D312" s="2" t="s">
        <v>76</v>
      </c>
      <c r="E312" s="2" t="s">
        <v>70</v>
      </c>
      <c r="F312" s="4" t="s">
        <v>60</v>
      </c>
      <c r="G312" s="4" t="s">
        <v>61</v>
      </c>
      <c r="H312" s="5"/>
      <c r="I312" s="5"/>
      <c r="J312" s="5"/>
      <c r="K312" s="4" t="s">
        <v>62</v>
      </c>
      <c r="L312" s="4" t="s">
        <v>63</v>
      </c>
      <c r="M312" s="6" t="str">
        <f>IF(OR(B312="",I312=""),"",B312*I312)</f>
        <v/>
      </c>
      <c r="N312" s="8" t="s">
        <v>64</v>
      </c>
      <c r="O312" s="9"/>
      <c r="P312" s="9"/>
      <c r="Q312" s="22"/>
      <c r="R312" s="22"/>
      <c r="S312" s="23" t="str">
        <f>IF(AND(ISNUMBER(Q312),Q312&gt;0,ISNUMBER(R312),R312&gt;0),R312/Q312,"")</f>
        <v/>
      </c>
      <c r="T312" s="9"/>
      <c r="U312" s="9"/>
      <c r="V312" s="9"/>
      <c r="W312" s="9"/>
      <c r="X312" s="23" t="str">
        <f>IF(ISNUMBER(S312),S312,IF(ISNUMBER(I312),I312,""))</f>
        <v/>
      </c>
      <c r="Y312" t="str">
        <f>IF(ISNUMBER(S312),"2025 EIA-923 plant/group proxy",IF(ISNUMBER(I312),"Technology estimate","No thermal heat rate"))</f>
        <v>No thermal heat rate</v>
      </c>
      <c r="Z312" t="str">
        <f>IF(ISNUMBER(S312),"Review: NOT unit verified",IF(AE312="No match","No EIA match",IF(AF312="Unconfirmed","Unconfirmed EIA candidate","")))</f>
        <v/>
      </c>
      <c r="AE312" t="s">
        <v>65</v>
      </c>
      <c r="AF312" t="s">
        <v>66</v>
      </c>
      <c r="AG312" s="24">
        <f>IF(ISBLANK(S312),S312,I312)</f>
        <v>0</v>
      </c>
      <c r="AH312" s="34">
        <f t="shared" si="14"/>
        <v>7296.3999999999978</v>
      </c>
      <c r="AI312">
        <f t="shared" si="13"/>
        <v>4556.4740435033809</v>
      </c>
      <c r="AJ312" t="b" cm="1">
        <f t="array" ref="AJ312">OR(D312=$AT$2:$AT$8)</f>
        <v>0</v>
      </c>
    </row>
    <row r="313" spans="1:36" x14ac:dyDescent="0.25">
      <c r="A313" s="2" t="s">
        <v>453</v>
      </c>
      <c r="B313" s="3">
        <v>17.2</v>
      </c>
      <c r="C313" s="2" t="s">
        <v>86</v>
      </c>
      <c r="D313" s="2" t="s">
        <v>76</v>
      </c>
      <c r="E313" s="2" t="s">
        <v>70</v>
      </c>
      <c r="F313" s="4" t="s">
        <v>60</v>
      </c>
      <c r="G313" s="4" t="s">
        <v>61</v>
      </c>
      <c r="H313" s="5"/>
      <c r="I313" s="5"/>
      <c r="J313" s="5"/>
      <c r="K313" s="4" t="s">
        <v>62</v>
      </c>
      <c r="L313" s="4" t="s">
        <v>63</v>
      </c>
      <c r="M313" s="6" t="str">
        <f>IF(OR(B313="",I313=""),"",B313*I313)</f>
        <v/>
      </c>
      <c r="N313" s="8" t="s">
        <v>64</v>
      </c>
      <c r="O313" s="9"/>
      <c r="P313" s="9"/>
      <c r="Q313" s="22"/>
      <c r="R313" s="22"/>
      <c r="S313" s="23" t="str">
        <f>IF(AND(ISNUMBER(Q313),Q313&gt;0,ISNUMBER(R313),R313&gt;0),R313/Q313,"")</f>
        <v/>
      </c>
      <c r="T313" s="9"/>
      <c r="U313" s="9"/>
      <c r="V313" s="9"/>
      <c r="W313" s="9"/>
      <c r="X313" s="23" t="str">
        <f>IF(ISNUMBER(S313),S313,IF(ISNUMBER(I313),I313,""))</f>
        <v/>
      </c>
      <c r="Y313" t="str">
        <f>IF(ISNUMBER(S313),"2025 EIA-923 plant/group proxy",IF(ISNUMBER(I313),"Technology estimate","No thermal heat rate"))</f>
        <v>No thermal heat rate</v>
      </c>
      <c r="Z313" t="str">
        <f>IF(ISNUMBER(S313),"Review: NOT unit verified",IF(AE313="No match","No EIA match",IF(AF313="Unconfirmed","Unconfirmed EIA candidate","")))</f>
        <v/>
      </c>
      <c r="AE313" t="s">
        <v>65</v>
      </c>
      <c r="AF313" t="s">
        <v>66</v>
      </c>
      <c r="AG313" s="24">
        <f>IF(ISBLANK(S313),S313,I313)</f>
        <v>0</v>
      </c>
      <c r="AH313" s="34">
        <f t="shared" si="14"/>
        <v>7313.5999999999976</v>
      </c>
      <c r="AI313">
        <f t="shared" si="13"/>
        <v>4567.2151423395544</v>
      </c>
      <c r="AJ313" t="b" cm="1">
        <f t="array" ref="AJ313">OR(D313=$AT$2:$AT$8)</f>
        <v>0</v>
      </c>
    </row>
    <row r="314" spans="1:36" x14ac:dyDescent="0.25">
      <c r="A314" s="2" t="s">
        <v>454</v>
      </c>
      <c r="B314" s="3">
        <v>60.5</v>
      </c>
      <c r="C314" s="2" t="s">
        <v>347</v>
      </c>
      <c r="D314" s="2" t="s">
        <v>347</v>
      </c>
      <c r="E314" s="2" t="s">
        <v>70</v>
      </c>
      <c r="F314" s="4" t="s">
        <v>60</v>
      </c>
      <c r="G314" s="4" t="s">
        <v>61</v>
      </c>
      <c r="H314" s="5"/>
      <c r="I314" s="5"/>
      <c r="J314" s="5"/>
      <c r="K314" s="4" t="s">
        <v>62</v>
      </c>
      <c r="L314" s="4" t="s">
        <v>63</v>
      </c>
      <c r="M314" s="6" t="str">
        <f>IF(OR(B314="",I314=""),"",B314*I314)</f>
        <v/>
      </c>
      <c r="N314" s="8" t="s">
        <v>64</v>
      </c>
      <c r="O314" s="9"/>
      <c r="P314" s="9"/>
      <c r="Q314" s="22"/>
      <c r="R314" s="22"/>
      <c r="S314" s="23" t="str">
        <f>IF(AND(ISNUMBER(Q314),Q314&gt;0,ISNUMBER(R314),R314&gt;0),R314/Q314,"")</f>
        <v/>
      </c>
      <c r="T314" s="9"/>
      <c r="U314" s="9"/>
      <c r="V314" s="9"/>
      <c r="W314" s="9"/>
      <c r="X314" s="23" t="str">
        <f>IF(ISNUMBER(S314),S314,IF(ISNUMBER(I314),I314,""))</f>
        <v/>
      </c>
      <c r="Y314" t="str">
        <f>IF(ISNUMBER(S314),"2025 EIA-923 plant/group proxy",IF(ISNUMBER(I314),"Technology estimate","No thermal heat rate"))</f>
        <v>No thermal heat rate</v>
      </c>
      <c r="Z314" t="str">
        <f>IF(ISNUMBER(S314),"Review: NOT unit verified",IF(AE314="No match","No EIA match",IF(AF314="Unconfirmed","Unconfirmed EIA candidate","")))</f>
        <v/>
      </c>
      <c r="AE314" t="s">
        <v>65</v>
      </c>
      <c r="AF314" t="s">
        <v>66</v>
      </c>
      <c r="AG314" s="24">
        <f>IF(ISBLANK(S314),S314,I314)</f>
        <v>0</v>
      </c>
      <c r="AH314" s="34">
        <f t="shared" si="14"/>
        <v>7374.0999999999976</v>
      </c>
      <c r="AI314">
        <f t="shared" si="13"/>
        <v>4604.996333013305</v>
      </c>
      <c r="AJ314" t="b" cm="1">
        <f t="array" ref="AJ314">OR(D314=$AT$2:$AT$8)</f>
        <v>0</v>
      </c>
    </row>
    <row r="315" spans="1:36" x14ac:dyDescent="0.25">
      <c r="A315" s="2" t="s">
        <v>468</v>
      </c>
      <c r="B315" s="3">
        <v>29.9</v>
      </c>
      <c r="C315" s="2" t="s">
        <v>347</v>
      </c>
      <c r="D315" s="2" t="s">
        <v>347</v>
      </c>
      <c r="E315" s="2" t="s">
        <v>70</v>
      </c>
      <c r="F315" s="4" t="s">
        <v>60</v>
      </c>
      <c r="G315" s="4" t="s">
        <v>61</v>
      </c>
      <c r="H315" s="5"/>
      <c r="I315" s="5"/>
      <c r="J315" s="5"/>
      <c r="K315" s="4" t="s">
        <v>62</v>
      </c>
      <c r="L315" s="4" t="s">
        <v>63</v>
      </c>
      <c r="M315" s="6" t="str">
        <f>IF(OR(B315="",I315=""),"",B315*I315)</f>
        <v/>
      </c>
      <c r="N315" s="8" t="s">
        <v>64</v>
      </c>
      <c r="O315" s="9"/>
      <c r="P315" s="9"/>
      <c r="Q315" s="22"/>
      <c r="R315" s="22"/>
      <c r="S315" s="23" t="str">
        <f>IF(AND(ISNUMBER(Q315),Q315&gt;0,ISNUMBER(R315),R315&gt;0),R315/Q315,"")</f>
        <v/>
      </c>
      <c r="T315" s="9"/>
      <c r="U315" s="9"/>
      <c r="V315" s="9"/>
      <c r="W315" s="9"/>
      <c r="X315" s="23" t="str">
        <f>IF(ISNUMBER(S315),S315,IF(ISNUMBER(I315),I315,""))</f>
        <v/>
      </c>
      <c r="Y315" t="str">
        <f>IF(ISNUMBER(S315),"2025 EIA-923 plant/group proxy",IF(ISNUMBER(I315),"Technology estimate","No thermal heat rate"))</f>
        <v>No thermal heat rate</v>
      </c>
      <c r="Z315" t="str">
        <f>IF(ISNUMBER(S315),"Review: NOT unit verified",IF(AE315="No match","No EIA match",IF(AF315="Unconfirmed","Unconfirmed EIA candidate","")))</f>
        <v/>
      </c>
      <c r="AE315" t="s">
        <v>65</v>
      </c>
      <c r="AF315" t="s">
        <v>66</v>
      </c>
      <c r="AG315" s="24">
        <f>IF(ISBLANK(S315),S315,I315)</f>
        <v>0</v>
      </c>
      <c r="AH315" s="34">
        <f t="shared" si="14"/>
        <v>7403.9999999999973</v>
      </c>
      <c r="AI315">
        <f t="shared" si="13"/>
        <v>4623.6683594785136</v>
      </c>
      <c r="AJ315" t="b" cm="1">
        <f t="array" ref="AJ315">OR(D315=$AT$2:$AT$8)</f>
        <v>0</v>
      </c>
    </row>
    <row r="316" spans="1:36" x14ac:dyDescent="0.25">
      <c r="A316" s="2" t="s">
        <v>473</v>
      </c>
      <c r="B316" s="3">
        <v>11.3</v>
      </c>
      <c r="C316" s="2" t="s">
        <v>86</v>
      </c>
      <c r="D316" s="2" t="s">
        <v>76</v>
      </c>
      <c r="E316" s="2" t="s">
        <v>70</v>
      </c>
      <c r="F316" s="4" t="s">
        <v>60</v>
      </c>
      <c r="G316" s="4" t="s">
        <v>61</v>
      </c>
      <c r="H316" s="5"/>
      <c r="I316" s="5"/>
      <c r="J316" s="5"/>
      <c r="K316" s="4" t="s">
        <v>62</v>
      </c>
      <c r="L316" s="4" t="s">
        <v>63</v>
      </c>
      <c r="M316" s="6" t="str">
        <f>IF(OR(B316="",I316=""),"",B316*I316)</f>
        <v/>
      </c>
      <c r="N316" s="8" t="s">
        <v>64</v>
      </c>
      <c r="O316" s="9"/>
      <c r="P316" s="9"/>
      <c r="Q316" s="22"/>
      <c r="R316" s="22"/>
      <c r="S316" s="23" t="str">
        <f>IF(AND(ISNUMBER(Q316),Q316&gt;0,ISNUMBER(R316),R316&gt;0),R316/Q316,"")</f>
        <v/>
      </c>
      <c r="T316" s="9"/>
      <c r="U316" s="9"/>
      <c r="V316" s="9"/>
      <c r="W316" s="9"/>
      <c r="X316" s="23" t="str">
        <f>IF(ISNUMBER(S316),S316,IF(ISNUMBER(I316),I316,""))</f>
        <v/>
      </c>
      <c r="Y316" t="str">
        <f>IF(ISNUMBER(S316),"2025 EIA-923 plant/group proxy",IF(ISNUMBER(I316),"Technology estimate","No thermal heat rate"))</f>
        <v>No thermal heat rate</v>
      </c>
      <c r="Z316" t="str">
        <f>IF(ISNUMBER(S316),"Review: NOT unit verified",IF(AE316="No match","No EIA match",IF(AF316="Unconfirmed","Unconfirmed EIA candidate","")))</f>
        <v/>
      </c>
      <c r="AE316" t="s">
        <v>65</v>
      </c>
      <c r="AF316" t="s">
        <v>66</v>
      </c>
      <c r="AG316" s="24">
        <f>IF(ISBLANK(S316),S316,I316)</f>
        <v>0</v>
      </c>
      <c r="AH316" s="34">
        <f t="shared" si="14"/>
        <v>7415.2999999999975</v>
      </c>
      <c r="AI316">
        <f t="shared" si="13"/>
        <v>4630.7250116208843</v>
      </c>
      <c r="AJ316" t="b" cm="1">
        <f t="array" ref="AJ316">OR(D316=$AT$2:$AT$8)</f>
        <v>0</v>
      </c>
    </row>
    <row r="317" spans="1:36" x14ac:dyDescent="0.25">
      <c r="A317" s="2" t="s">
        <v>480</v>
      </c>
      <c r="B317" s="3">
        <v>44.5</v>
      </c>
      <c r="C317" s="2" t="s">
        <v>78</v>
      </c>
      <c r="D317" s="2" t="s">
        <v>78</v>
      </c>
      <c r="E317" s="2" t="s">
        <v>70</v>
      </c>
      <c r="F317" s="4" t="s">
        <v>60</v>
      </c>
      <c r="G317" s="4" t="s">
        <v>61</v>
      </c>
      <c r="H317" s="5"/>
      <c r="I317" s="5"/>
      <c r="J317" s="5"/>
      <c r="K317" s="4" t="s">
        <v>62</v>
      </c>
      <c r="L317" s="4" t="s">
        <v>63</v>
      </c>
      <c r="M317" s="6" t="str">
        <f>IF(OR(B317="",I317=""),"",B317*I317)</f>
        <v/>
      </c>
      <c r="N317" s="8" t="s">
        <v>64</v>
      </c>
      <c r="O317" s="9"/>
      <c r="P317" s="9"/>
      <c r="Q317" s="22"/>
      <c r="R317" s="22"/>
      <c r="S317" s="23" t="str">
        <f>IF(AND(ISNUMBER(Q317),Q317&gt;0,ISNUMBER(R317),R317&gt;0),R317/Q317,"")</f>
        <v/>
      </c>
      <c r="T317" s="9"/>
      <c r="U317" s="9"/>
      <c r="V317" s="9"/>
      <c r="W317" s="9"/>
      <c r="X317" s="23" t="str">
        <f>IF(ISNUMBER(S317),S317,IF(ISNUMBER(I317),I317,""))</f>
        <v/>
      </c>
      <c r="Y317" t="str">
        <f>IF(ISNUMBER(S317),"2025 EIA-923 plant/group proxy",IF(ISNUMBER(I317),"Technology estimate","No thermal heat rate"))</f>
        <v>No thermal heat rate</v>
      </c>
      <c r="Z317" t="str">
        <f>IF(ISNUMBER(S317),"Review: NOT unit verified",IF(AE317="No match","No EIA match",IF(AF317="Unconfirmed","Unconfirmed EIA candidate","")))</f>
        <v/>
      </c>
      <c r="AE317" t="s">
        <v>65</v>
      </c>
      <c r="AF317" t="s">
        <v>66</v>
      </c>
      <c r="AG317" s="24">
        <f>IF(ISBLANK(S317),S317,I317)</f>
        <v>0</v>
      </c>
      <c r="AH317" s="34">
        <f t="shared" si="14"/>
        <v>7459.7999999999975</v>
      </c>
      <c r="AI317">
        <f t="shared" si="13"/>
        <v>4658.5144824470308</v>
      </c>
      <c r="AJ317" t="b" cm="1">
        <f t="array" ref="AJ317">OR(D317=$AT$2:$AT$8)</f>
        <v>1</v>
      </c>
    </row>
    <row r="318" spans="1:36" x14ac:dyDescent="0.25">
      <c r="A318" s="2" t="s">
        <v>482</v>
      </c>
      <c r="B318" s="3">
        <v>71.8</v>
      </c>
      <c r="C318" s="2" t="s">
        <v>78</v>
      </c>
      <c r="D318" s="2" t="s">
        <v>78</v>
      </c>
      <c r="E318" s="2" t="s">
        <v>70</v>
      </c>
      <c r="F318" s="4" t="s">
        <v>60</v>
      </c>
      <c r="G318" s="4" t="s">
        <v>61</v>
      </c>
      <c r="H318" s="5"/>
      <c r="I318" s="5"/>
      <c r="J318" s="5"/>
      <c r="K318" s="4" t="s">
        <v>62</v>
      </c>
      <c r="L318" s="4" t="s">
        <v>63</v>
      </c>
      <c r="M318" s="6" t="str">
        <f>IF(OR(B318="",I318=""),"",B318*I318)</f>
        <v/>
      </c>
      <c r="N318" s="8" t="s">
        <v>64</v>
      </c>
      <c r="O318" s="9"/>
      <c r="P318" s="9"/>
      <c r="Q318" s="22"/>
      <c r="R318" s="22"/>
      <c r="S318" s="23" t="str">
        <f>IF(AND(ISNUMBER(Q318),Q318&gt;0,ISNUMBER(R318),R318&gt;0),R318/Q318,"")</f>
        <v/>
      </c>
      <c r="T318" s="9"/>
      <c r="U318" s="9"/>
      <c r="V318" s="9"/>
      <c r="W318" s="9"/>
      <c r="X318" s="23" t="str">
        <f>IF(ISNUMBER(S318),S318,IF(ISNUMBER(I318),I318,""))</f>
        <v/>
      </c>
      <c r="Y318" t="str">
        <f>IF(ISNUMBER(S318),"2025 EIA-923 plant/group proxy",IF(ISNUMBER(I318),"Technology estimate","No thermal heat rate"))</f>
        <v>No thermal heat rate</v>
      </c>
      <c r="Z318" t="str">
        <f>IF(ISNUMBER(S318),"Review: NOT unit verified",IF(AE318="No match","No EIA match",IF(AF318="Unconfirmed","Unconfirmed EIA candidate","")))</f>
        <v/>
      </c>
      <c r="AE318" t="s">
        <v>65</v>
      </c>
      <c r="AF318" t="s">
        <v>66</v>
      </c>
      <c r="AG318" s="24">
        <f>IF(ISBLANK(S318),S318,I318)</f>
        <v>0</v>
      </c>
      <c r="AH318" s="34">
        <f t="shared" si="14"/>
        <v>7531.5999999999976</v>
      </c>
      <c r="AI318">
        <f t="shared" si="13"/>
        <v>4703.3523252631521</v>
      </c>
      <c r="AJ318" t="b" cm="1">
        <f t="array" ref="AJ318">OR(D318=$AT$2:$AT$8)</f>
        <v>1</v>
      </c>
    </row>
    <row r="319" spans="1:36" x14ac:dyDescent="0.25">
      <c r="A319" s="2" t="s">
        <v>495</v>
      </c>
      <c r="B319" s="3">
        <v>48.8</v>
      </c>
      <c r="C319" s="2" t="s">
        <v>78</v>
      </c>
      <c r="D319" s="2" t="s">
        <v>78</v>
      </c>
      <c r="E319" s="2" t="s">
        <v>70</v>
      </c>
      <c r="F319" s="4" t="s">
        <v>60</v>
      </c>
      <c r="G319" s="4" t="s">
        <v>61</v>
      </c>
      <c r="H319" s="5"/>
      <c r="I319" s="5"/>
      <c r="J319" s="5"/>
      <c r="K319" s="4" t="s">
        <v>62</v>
      </c>
      <c r="L319" s="4" t="s">
        <v>63</v>
      </c>
      <c r="M319" s="6" t="str">
        <f>IF(OR(B319="",I319=""),"",B319*I319)</f>
        <v/>
      </c>
      <c r="N319" s="8" t="s">
        <v>64</v>
      </c>
      <c r="O319" s="9"/>
      <c r="P319" s="9"/>
      <c r="Q319" s="22"/>
      <c r="R319" s="22"/>
      <c r="S319" s="23" t="str">
        <f>IF(AND(ISNUMBER(Q319),Q319&gt;0,ISNUMBER(R319),R319&gt;0),R319/Q319,"")</f>
        <v/>
      </c>
      <c r="T319" s="9"/>
      <c r="U319" s="9"/>
      <c r="V319" s="9"/>
      <c r="W319" s="9"/>
      <c r="X319" s="23" t="str">
        <f>IF(ISNUMBER(S319),S319,IF(ISNUMBER(I319),I319,""))</f>
        <v/>
      </c>
      <c r="Y319" t="str">
        <f>IF(ISNUMBER(S319),"2025 EIA-923 plant/group proxy",IF(ISNUMBER(I319),"Technology estimate","No thermal heat rate"))</f>
        <v>No thermal heat rate</v>
      </c>
      <c r="Z319" t="str">
        <f>IF(ISNUMBER(S319),"Review: NOT unit verified",IF(AE319="No match","No EIA match",IF(AF319="Unconfirmed","Unconfirmed EIA candidate","")))</f>
        <v/>
      </c>
      <c r="AE319" t="s">
        <v>65</v>
      </c>
      <c r="AF319" t="s">
        <v>66</v>
      </c>
      <c r="AG319" s="24">
        <f>IF(ISBLANK(S319),S319,I319)</f>
        <v>0</v>
      </c>
      <c r="AH319" s="34">
        <f t="shared" si="14"/>
        <v>7580.3999999999978</v>
      </c>
      <c r="AI319">
        <f t="shared" si="13"/>
        <v>4733.8270707983429</v>
      </c>
      <c r="AJ319" t="b" cm="1">
        <f t="array" ref="AJ319">OR(D319=$AT$2:$AT$8)</f>
        <v>1</v>
      </c>
    </row>
    <row r="320" spans="1:36" x14ac:dyDescent="0.25">
      <c r="A320" s="2" t="s">
        <v>518</v>
      </c>
      <c r="B320" s="3">
        <v>12.6</v>
      </c>
      <c r="C320" s="2" t="s">
        <v>75</v>
      </c>
      <c r="D320" s="2" t="s">
        <v>76</v>
      </c>
      <c r="E320" s="2" t="s">
        <v>70</v>
      </c>
      <c r="F320" s="4" t="s">
        <v>60</v>
      </c>
      <c r="G320" s="4" t="s">
        <v>61</v>
      </c>
      <c r="H320" s="5"/>
      <c r="I320" s="5"/>
      <c r="J320" s="5"/>
      <c r="K320" s="4" t="s">
        <v>62</v>
      </c>
      <c r="L320" s="4" t="s">
        <v>63</v>
      </c>
      <c r="M320" s="6" t="str">
        <f>IF(OR(B320="",I320=""),"",B320*I320)</f>
        <v/>
      </c>
      <c r="N320" s="8" t="s">
        <v>64</v>
      </c>
      <c r="O320" s="9"/>
      <c r="P320" s="9"/>
      <c r="Q320" s="22"/>
      <c r="R320" s="22"/>
      <c r="S320" s="23" t="str">
        <f>IF(AND(ISNUMBER(Q320),Q320&gt;0,ISNUMBER(R320),R320&gt;0),R320/Q320,"")</f>
        <v/>
      </c>
      <c r="T320" s="9"/>
      <c r="U320" s="9"/>
      <c r="V320" s="9"/>
      <c r="W320" s="9"/>
      <c r="X320" s="23" t="str">
        <f>IF(ISNUMBER(S320),S320,IF(ISNUMBER(I320),I320,""))</f>
        <v/>
      </c>
      <c r="Y320" t="str">
        <f>IF(ISNUMBER(S320),"2025 EIA-923 plant/group proxy",IF(ISNUMBER(I320),"Technology estimate","No thermal heat rate"))</f>
        <v>No thermal heat rate</v>
      </c>
      <c r="Z320" t="str">
        <f>IF(ISNUMBER(S320),"Review: NOT unit verified",IF(AE320="No match","No EIA match",IF(AF320="Unconfirmed","Unconfirmed EIA candidate","")))</f>
        <v/>
      </c>
      <c r="AE320" t="s">
        <v>65</v>
      </c>
      <c r="AF320" t="s">
        <v>66</v>
      </c>
      <c r="AG320" s="24">
        <f>IF(ISBLANK(S320),S320,I320)</f>
        <v>0</v>
      </c>
      <c r="AH320" s="34">
        <f t="shared" si="14"/>
        <v>7592.9999999999982</v>
      </c>
      <c r="AI320">
        <f t="shared" si="13"/>
        <v>4741.6955501783304</v>
      </c>
      <c r="AJ320" t="b" cm="1">
        <f t="array" ref="AJ320">OR(D320=$AT$2:$AT$8)</f>
        <v>0</v>
      </c>
    </row>
    <row r="321" spans="1:36" x14ac:dyDescent="0.25">
      <c r="A321" s="2" t="s">
        <v>519</v>
      </c>
      <c r="B321" s="3">
        <v>13</v>
      </c>
      <c r="C321" s="2" t="s">
        <v>75</v>
      </c>
      <c r="D321" s="2" t="s">
        <v>76</v>
      </c>
      <c r="E321" s="2" t="s">
        <v>70</v>
      </c>
      <c r="F321" s="4" t="s">
        <v>60</v>
      </c>
      <c r="G321" s="4" t="s">
        <v>61</v>
      </c>
      <c r="H321" s="5"/>
      <c r="I321" s="5"/>
      <c r="J321" s="5"/>
      <c r="K321" s="4" t="s">
        <v>62</v>
      </c>
      <c r="L321" s="4" t="s">
        <v>63</v>
      </c>
      <c r="M321" s="6" t="str">
        <f>IF(OR(B321="",I321=""),"",B321*I321)</f>
        <v/>
      </c>
      <c r="N321" s="8" t="s">
        <v>64</v>
      </c>
      <c r="O321" s="9"/>
      <c r="P321" s="9"/>
      <c r="Q321" s="22"/>
      <c r="R321" s="22"/>
      <c r="S321" s="23" t="str">
        <f>IF(AND(ISNUMBER(Q321),Q321&gt;0,ISNUMBER(R321),R321&gt;0),R321/Q321,"")</f>
        <v/>
      </c>
      <c r="T321" s="9"/>
      <c r="U321" s="9"/>
      <c r="V321" s="9"/>
      <c r="W321" s="9"/>
      <c r="X321" s="23" t="str">
        <f>IF(ISNUMBER(S321),S321,IF(ISNUMBER(I321),I321,""))</f>
        <v/>
      </c>
      <c r="Y321" t="str">
        <f>IF(ISNUMBER(S321),"2025 EIA-923 plant/group proxy",IF(ISNUMBER(I321),"Technology estimate","No thermal heat rate"))</f>
        <v>No thermal heat rate</v>
      </c>
      <c r="Z321" t="str">
        <f>IF(ISNUMBER(S321),"Review: NOT unit verified",IF(AE321="No match","No EIA match",IF(AF321="Unconfirmed","Unconfirmed EIA candidate","")))</f>
        <v/>
      </c>
      <c r="AE321" t="s">
        <v>65</v>
      </c>
      <c r="AF321" t="s">
        <v>66</v>
      </c>
      <c r="AG321" s="24">
        <f>IF(ISBLANK(S321),S321,I321)</f>
        <v>0</v>
      </c>
      <c r="AH321" s="34">
        <f t="shared" si="14"/>
        <v>7605.9999999999982</v>
      </c>
      <c r="AI321">
        <f t="shared" si="13"/>
        <v>4749.8138225545081</v>
      </c>
      <c r="AJ321" t="b" cm="1">
        <f t="array" ref="AJ321">OR(D321=$AT$2:$AT$8)</f>
        <v>0</v>
      </c>
    </row>
    <row r="322" spans="1:36" x14ac:dyDescent="0.25">
      <c r="A322" s="2" t="s">
        <v>520</v>
      </c>
      <c r="B322" s="3">
        <v>12.5</v>
      </c>
      <c r="C322" s="2" t="s">
        <v>136</v>
      </c>
      <c r="D322" s="2" t="s">
        <v>136</v>
      </c>
      <c r="E322" s="2" t="s">
        <v>70</v>
      </c>
      <c r="F322" s="4" t="s">
        <v>60</v>
      </c>
      <c r="G322" s="4" t="s">
        <v>61</v>
      </c>
      <c r="H322" s="5"/>
      <c r="I322" s="5"/>
      <c r="J322" s="5"/>
      <c r="K322" s="4" t="s">
        <v>62</v>
      </c>
      <c r="L322" s="4" t="s">
        <v>63</v>
      </c>
      <c r="M322" s="6" t="str">
        <f>IF(OR(B322="",I322=""),"",B322*I322)</f>
        <v/>
      </c>
      <c r="N322" s="8" t="s">
        <v>64</v>
      </c>
      <c r="O322" s="9"/>
      <c r="P322" s="9"/>
      <c r="Q322" s="22"/>
      <c r="R322" s="22"/>
      <c r="S322" s="23" t="str">
        <f>IF(AND(ISNUMBER(Q322),Q322&gt;0,ISNUMBER(R322),R322&gt;0),R322/Q322,"")</f>
        <v/>
      </c>
      <c r="T322" s="9"/>
      <c r="U322" s="9"/>
      <c r="V322" s="9"/>
      <c r="W322" s="9"/>
      <c r="X322" s="23" t="str">
        <f>IF(ISNUMBER(S322),S322,IF(ISNUMBER(I322),I322,""))</f>
        <v/>
      </c>
      <c r="Y322" t="str">
        <f>IF(ISNUMBER(S322),"2025 EIA-923 plant/group proxy",IF(ISNUMBER(I322),"Technology estimate","No thermal heat rate"))</f>
        <v>No thermal heat rate</v>
      </c>
      <c r="Z322" t="str">
        <f>IF(ISNUMBER(S322),"Review: NOT unit verified",IF(AE322="No match","No EIA match",IF(AF322="Unconfirmed","Unconfirmed EIA candidate","")))</f>
        <v/>
      </c>
      <c r="AE322" t="s">
        <v>65</v>
      </c>
      <c r="AF322" t="s">
        <v>66</v>
      </c>
      <c r="AG322" s="24">
        <f>IF(ISBLANK(S322),S322,I322)</f>
        <v>0</v>
      </c>
      <c r="AH322" s="34">
        <f t="shared" si="14"/>
        <v>7618.4999999999982</v>
      </c>
      <c r="AI322">
        <f t="shared" si="13"/>
        <v>4757.619853685449</v>
      </c>
      <c r="AJ322" t="b" cm="1">
        <f t="array" ref="AJ322">OR(D322=$AT$2:$AT$8)</f>
        <v>0</v>
      </c>
    </row>
    <row r="323" spans="1:36" x14ac:dyDescent="0.25">
      <c r="A323" s="2" t="s">
        <v>521</v>
      </c>
      <c r="B323" s="3">
        <v>13</v>
      </c>
      <c r="C323" s="2" t="s">
        <v>136</v>
      </c>
      <c r="D323" s="2" t="s">
        <v>136</v>
      </c>
      <c r="E323" s="2" t="s">
        <v>70</v>
      </c>
      <c r="F323" s="4" t="s">
        <v>60</v>
      </c>
      <c r="G323" s="4" t="s">
        <v>61</v>
      </c>
      <c r="H323" s="5"/>
      <c r="I323" s="5"/>
      <c r="J323" s="5"/>
      <c r="K323" s="4" t="s">
        <v>62</v>
      </c>
      <c r="L323" s="4" t="s">
        <v>63</v>
      </c>
      <c r="M323" s="6" t="str">
        <f>IF(OR(B323="",I323=""),"",B323*I323)</f>
        <v/>
      </c>
      <c r="N323" s="8" t="s">
        <v>64</v>
      </c>
      <c r="O323" s="9"/>
      <c r="P323" s="9"/>
      <c r="Q323" s="22"/>
      <c r="R323" s="22"/>
      <c r="S323" s="23" t="str">
        <f>IF(AND(ISNUMBER(Q323),Q323&gt;0,ISNUMBER(R323),R323&gt;0),R323/Q323,"")</f>
        <v/>
      </c>
      <c r="T323" s="9"/>
      <c r="U323" s="9"/>
      <c r="V323" s="9"/>
      <c r="W323" s="9"/>
      <c r="X323" s="23" t="str">
        <f>IF(ISNUMBER(S323),S323,IF(ISNUMBER(I323),I323,""))</f>
        <v/>
      </c>
      <c r="Y323" t="str">
        <f>IF(ISNUMBER(S323),"2025 EIA-923 plant/group proxy",IF(ISNUMBER(I323),"Technology estimate","No thermal heat rate"))</f>
        <v>No thermal heat rate</v>
      </c>
      <c r="Z323" t="str">
        <f>IF(ISNUMBER(S323),"Review: NOT unit verified",IF(AE323="No match","No EIA match",IF(AF323="Unconfirmed","Unconfirmed EIA candidate","")))</f>
        <v/>
      </c>
      <c r="AE323" t="s">
        <v>65</v>
      </c>
      <c r="AF323" t="s">
        <v>66</v>
      </c>
      <c r="AG323" s="24">
        <f>IF(ISBLANK(S323),S323,I323)</f>
        <v>0</v>
      </c>
      <c r="AH323" s="34">
        <f t="shared" si="14"/>
        <v>7631.4999999999982</v>
      </c>
      <c r="AI323">
        <f t="shared" ref="AI323:AI386" si="15">AH323*$AK$1</f>
        <v>4765.7381260616266</v>
      </c>
      <c r="AJ323" t="b" cm="1">
        <f t="array" ref="AJ323">OR(D323=$AT$2:$AT$8)</f>
        <v>0</v>
      </c>
    </row>
    <row r="324" spans="1:36" x14ac:dyDescent="0.25">
      <c r="A324" s="2" t="s">
        <v>522</v>
      </c>
      <c r="B324" s="3">
        <v>12.5</v>
      </c>
      <c r="C324" s="2" t="s">
        <v>136</v>
      </c>
      <c r="D324" s="2" t="s">
        <v>136</v>
      </c>
      <c r="E324" s="2" t="s">
        <v>70</v>
      </c>
      <c r="F324" s="4" t="s">
        <v>60</v>
      </c>
      <c r="G324" s="4" t="s">
        <v>61</v>
      </c>
      <c r="H324" s="5"/>
      <c r="I324" s="5"/>
      <c r="J324" s="5"/>
      <c r="K324" s="4" t="s">
        <v>62</v>
      </c>
      <c r="L324" s="4" t="s">
        <v>63</v>
      </c>
      <c r="M324" s="6" t="str">
        <f>IF(OR(B324="",I324=""),"",B324*I324)</f>
        <v/>
      </c>
      <c r="N324" s="8" t="s">
        <v>64</v>
      </c>
      <c r="O324" s="9"/>
      <c r="P324" s="9"/>
      <c r="Q324" s="22"/>
      <c r="R324" s="22"/>
      <c r="S324" s="23" t="str">
        <f>IF(AND(ISNUMBER(Q324),Q324&gt;0,ISNUMBER(R324),R324&gt;0),R324/Q324,"")</f>
        <v/>
      </c>
      <c r="T324" s="9"/>
      <c r="U324" s="9"/>
      <c r="V324" s="9"/>
      <c r="W324" s="9"/>
      <c r="X324" s="23" t="str">
        <f>IF(ISNUMBER(S324),S324,IF(ISNUMBER(I324),I324,""))</f>
        <v/>
      </c>
      <c r="Y324" t="str">
        <f>IF(ISNUMBER(S324),"2025 EIA-923 plant/group proxy",IF(ISNUMBER(I324),"Technology estimate","No thermal heat rate"))</f>
        <v>No thermal heat rate</v>
      </c>
      <c r="Z324" t="str">
        <f>IF(ISNUMBER(S324),"Review: NOT unit verified",IF(AE324="No match","No EIA match",IF(AF324="Unconfirmed","Unconfirmed EIA candidate","")))</f>
        <v/>
      </c>
      <c r="AE324" t="s">
        <v>65</v>
      </c>
      <c r="AF324" t="s">
        <v>66</v>
      </c>
      <c r="AG324" s="24">
        <f>IF(ISBLANK(S324),S324,I324)</f>
        <v>0</v>
      </c>
      <c r="AH324" s="34">
        <f t="shared" ref="AH324:AH387" si="16">AH323+B324</f>
        <v>7643.9999999999982</v>
      </c>
      <c r="AI324">
        <f t="shared" si="15"/>
        <v>4773.5441571925667</v>
      </c>
      <c r="AJ324" t="b" cm="1">
        <f t="array" ref="AJ324">OR(D324=$AT$2:$AT$8)</f>
        <v>0</v>
      </c>
    </row>
    <row r="325" spans="1:36" x14ac:dyDescent="0.25">
      <c r="A325" s="2" t="s">
        <v>523</v>
      </c>
      <c r="B325" s="3">
        <v>12.6</v>
      </c>
      <c r="C325" s="2" t="s">
        <v>75</v>
      </c>
      <c r="D325" s="2" t="s">
        <v>76</v>
      </c>
      <c r="E325" s="2" t="s">
        <v>70</v>
      </c>
      <c r="F325" s="4" t="s">
        <v>60</v>
      </c>
      <c r="G325" s="4" t="s">
        <v>61</v>
      </c>
      <c r="H325" s="5"/>
      <c r="I325" s="5"/>
      <c r="J325" s="5"/>
      <c r="K325" s="4" t="s">
        <v>62</v>
      </c>
      <c r="L325" s="4" t="s">
        <v>63</v>
      </c>
      <c r="M325" s="6" t="str">
        <f>IF(OR(B325="",I325=""),"",B325*I325)</f>
        <v/>
      </c>
      <c r="N325" s="8" t="s">
        <v>64</v>
      </c>
      <c r="O325" s="9"/>
      <c r="P325" s="9"/>
      <c r="Q325" s="22"/>
      <c r="R325" s="22"/>
      <c r="S325" s="23" t="str">
        <f>IF(AND(ISNUMBER(Q325),Q325&gt;0,ISNUMBER(R325),R325&gt;0),R325/Q325,"")</f>
        <v/>
      </c>
      <c r="T325" s="9"/>
      <c r="U325" s="9"/>
      <c r="V325" s="9"/>
      <c r="W325" s="9"/>
      <c r="X325" s="23" t="str">
        <f>IF(ISNUMBER(S325),S325,IF(ISNUMBER(I325),I325,""))</f>
        <v/>
      </c>
      <c r="Y325" t="str">
        <f>IF(ISNUMBER(S325),"2025 EIA-923 plant/group proxy",IF(ISNUMBER(I325),"Technology estimate","No thermal heat rate"))</f>
        <v>No thermal heat rate</v>
      </c>
      <c r="Z325" t="str">
        <f>IF(ISNUMBER(S325),"Review: NOT unit verified",IF(AE325="No match","No EIA match",IF(AF325="Unconfirmed","Unconfirmed EIA candidate","")))</f>
        <v/>
      </c>
      <c r="AE325" t="s">
        <v>65</v>
      </c>
      <c r="AF325" t="s">
        <v>66</v>
      </c>
      <c r="AG325" s="24">
        <f>IF(ISBLANK(S325),S325,I325)</f>
        <v>0</v>
      </c>
      <c r="AH325" s="34">
        <f t="shared" si="16"/>
        <v>7656.5999999999985</v>
      </c>
      <c r="AI325">
        <f t="shared" si="15"/>
        <v>4781.4126365725551</v>
      </c>
      <c r="AJ325" t="b" cm="1">
        <f t="array" ref="AJ325">OR(D325=$AT$2:$AT$8)</f>
        <v>0</v>
      </c>
    </row>
    <row r="326" spans="1:36" x14ac:dyDescent="0.25">
      <c r="A326" s="2" t="s">
        <v>551</v>
      </c>
      <c r="B326" s="3">
        <v>38.799999999999997</v>
      </c>
      <c r="C326" s="2" t="s">
        <v>78</v>
      </c>
      <c r="D326" s="2" t="s">
        <v>78</v>
      </c>
      <c r="E326" s="2" t="s">
        <v>70</v>
      </c>
      <c r="F326" s="4" t="s">
        <v>60</v>
      </c>
      <c r="G326" s="4" t="s">
        <v>61</v>
      </c>
      <c r="H326" s="5"/>
      <c r="I326" s="5"/>
      <c r="J326" s="5"/>
      <c r="K326" s="4" t="s">
        <v>62</v>
      </c>
      <c r="L326" s="4" t="s">
        <v>63</v>
      </c>
      <c r="M326" s="6" t="str">
        <f>IF(OR(B326="",I326=""),"",B326*I326)</f>
        <v/>
      </c>
      <c r="N326" s="8" t="s">
        <v>64</v>
      </c>
      <c r="O326" s="9"/>
      <c r="P326" s="9"/>
      <c r="Q326" s="22"/>
      <c r="R326" s="22"/>
      <c r="S326" s="23" t="str">
        <f>IF(AND(ISNUMBER(Q326),Q326&gt;0,ISNUMBER(R326),R326&gt;0),R326/Q326,"")</f>
        <v/>
      </c>
      <c r="T326" s="9"/>
      <c r="U326" s="9"/>
      <c r="V326" s="9"/>
      <c r="W326" s="9"/>
      <c r="X326" s="23" t="str">
        <f>IF(ISNUMBER(S326),S326,IF(ISNUMBER(I326),I326,""))</f>
        <v/>
      </c>
      <c r="Y326" t="str">
        <f>IF(ISNUMBER(S326),"2025 EIA-923 plant/group proxy",IF(ISNUMBER(I326),"Technology estimate","No thermal heat rate"))</f>
        <v>No thermal heat rate</v>
      </c>
      <c r="Z326" t="str">
        <f>IF(ISNUMBER(S326),"Review: NOT unit verified",IF(AE326="No match","No EIA match",IF(AF326="Unconfirmed","Unconfirmed EIA candidate","")))</f>
        <v/>
      </c>
      <c r="AE326" t="s">
        <v>65</v>
      </c>
      <c r="AF326" t="s">
        <v>66</v>
      </c>
      <c r="AG326" s="24">
        <f>IF(ISBLANK(S326),S326,I326)</f>
        <v>0</v>
      </c>
      <c r="AH326" s="34">
        <f t="shared" si="16"/>
        <v>7695.3999999999987</v>
      </c>
      <c r="AI326">
        <f t="shared" si="15"/>
        <v>4805.642557202993</v>
      </c>
      <c r="AJ326" t="b" cm="1">
        <f t="array" ref="AJ326">OR(D326=$AT$2:$AT$8)</f>
        <v>1</v>
      </c>
    </row>
    <row r="327" spans="1:36" x14ac:dyDescent="0.25">
      <c r="A327" s="2" t="s">
        <v>613</v>
      </c>
      <c r="B327" s="3">
        <v>78.099999999999994</v>
      </c>
      <c r="C327" s="2" t="s">
        <v>99</v>
      </c>
      <c r="D327" s="2" t="s">
        <v>81</v>
      </c>
      <c r="E327" s="2" t="s">
        <v>70</v>
      </c>
      <c r="F327" s="4" t="s">
        <v>60</v>
      </c>
      <c r="G327" s="4" t="s">
        <v>61</v>
      </c>
      <c r="H327" s="5"/>
      <c r="I327" s="5"/>
      <c r="J327" s="5"/>
      <c r="K327" s="4" t="s">
        <v>62</v>
      </c>
      <c r="L327" s="4" t="s">
        <v>63</v>
      </c>
      <c r="M327" s="6" t="str">
        <f>IF(OR(B327="",I327=""),"",B327*I327)</f>
        <v/>
      </c>
      <c r="N327" s="8" t="s">
        <v>64</v>
      </c>
      <c r="O327" s="9"/>
      <c r="P327" s="9"/>
      <c r="Q327" s="22"/>
      <c r="R327" s="22"/>
      <c r="S327" s="23" t="str">
        <f>IF(AND(ISNUMBER(Q327),Q327&gt;0,ISNUMBER(R327),R327&gt;0),R327/Q327,"")</f>
        <v/>
      </c>
      <c r="T327" s="9"/>
      <c r="U327" s="9"/>
      <c r="V327" s="9"/>
      <c r="W327" s="9"/>
      <c r="X327" s="23" t="str">
        <f>IF(ISNUMBER(S327),S327,IF(ISNUMBER(I327),I327,""))</f>
        <v/>
      </c>
      <c r="Y327" t="str">
        <f>IF(ISNUMBER(S327),"2025 EIA-923 plant/group proxy",IF(ISNUMBER(I327),"Technology estimate","No thermal heat rate"))</f>
        <v>No thermal heat rate</v>
      </c>
      <c r="Z327" t="str">
        <f>IF(ISNUMBER(S327),"Review: NOT unit verified",IF(AE327="No match","No EIA match",IF(AF327="Unconfirmed","Unconfirmed EIA candidate","")))</f>
        <v/>
      </c>
      <c r="AE327" t="s">
        <v>65</v>
      </c>
      <c r="AF327" t="s">
        <v>66</v>
      </c>
      <c r="AG327" s="24">
        <f>IF(ISBLANK(S327),S327,I327)</f>
        <v>0</v>
      </c>
      <c r="AH327" s="34">
        <f t="shared" si="16"/>
        <v>7773.4999999999991</v>
      </c>
      <c r="AI327">
        <f t="shared" si="15"/>
        <v>4854.4146397091081</v>
      </c>
      <c r="AJ327" t="b" cm="1">
        <f t="array" ref="AJ327">OR(D327=$AT$2:$AT$8)</f>
        <v>0</v>
      </c>
    </row>
    <row r="328" spans="1:36" x14ac:dyDescent="0.25">
      <c r="A328" s="2" t="s">
        <v>616</v>
      </c>
      <c r="B328" s="3">
        <v>19</v>
      </c>
      <c r="C328" s="2" t="s">
        <v>68</v>
      </c>
      <c r="D328" s="2" t="s">
        <v>69</v>
      </c>
      <c r="E328" s="2" t="s">
        <v>70</v>
      </c>
      <c r="F328" s="4" t="s">
        <v>60</v>
      </c>
      <c r="G328" s="4" t="s">
        <v>61</v>
      </c>
      <c r="H328" s="5"/>
      <c r="I328" s="5"/>
      <c r="J328" s="5"/>
      <c r="K328" s="4" t="s">
        <v>62</v>
      </c>
      <c r="L328" s="4" t="s">
        <v>63</v>
      </c>
      <c r="M328" s="6" t="str">
        <f>IF(OR(B328="",I328=""),"",B328*I328)</f>
        <v/>
      </c>
      <c r="N328" s="8" t="s">
        <v>64</v>
      </c>
      <c r="O328" s="9"/>
      <c r="P328" s="9"/>
      <c r="Q328" s="22"/>
      <c r="R328" s="22"/>
      <c r="S328" s="23" t="str">
        <f>IF(AND(ISNUMBER(Q328),Q328&gt;0,ISNUMBER(R328),R328&gt;0),R328/Q328,"")</f>
        <v/>
      </c>
      <c r="T328" s="9"/>
      <c r="U328" s="9"/>
      <c r="V328" s="9"/>
      <c r="W328" s="9"/>
      <c r="X328" s="23" t="str">
        <f>IF(ISNUMBER(S328),S328,IF(ISNUMBER(I328),I328,""))</f>
        <v/>
      </c>
      <c r="Y328" t="str">
        <f>IF(ISNUMBER(S328),"2025 EIA-923 plant/group proxy",IF(ISNUMBER(I328),"Technology estimate","No thermal heat rate"))</f>
        <v>No thermal heat rate</v>
      </c>
      <c r="Z328" t="str">
        <f>IF(ISNUMBER(S328),"Review: NOT unit verified",IF(AE328="No match","No EIA match",IF(AF328="Unconfirmed","Unconfirmed EIA candidate","")))</f>
        <v/>
      </c>
      <c r="AE328" t="s">
        <v>65</v>
      </c>
      <c r="AF328" t="s">
        <v>66</v>
      </c>
      <c r="AG328" s="24">
        <f>IF(ISBLANK(S328),S328,I328)</f>
        <v>0</v>
      </c>
      <c r="AH328" s="34">
        <f t="shared" si="16"/>
        <v>7792.4999999999991</v>
      </c>
      <c r="AI328">
        <f t="shared" si="15"/>
        <v>4866.2798070281369</v>
      </c>
      <c r="AJ328" t="b" cm="1">
        <f t="array" ref="AJ328">OR(D328=$AT$2:$AT$8)</f>
        <v>0</v>
      </c>
    </row>
    <row r="329" spans="1:36" x14ac:dyDescent="0.25">
      <c r="A329" s="2" t="s">
        <v>618</v>
      </c>
      <c r="B329" s="3">
        <v>3.8</v>
      </c>
      <c r="C329" s="2" t="s">
        <v>80</v>
      </c>
      <c r="D329" s="2" t="s">
        <v>81</v>
      </c>
      <c r="E329" s="2" t="s">
        <v>70</v>
      </c>
      <c r="F329" s="4" t="s">
        <v>60</v>
      </c>
      <c r="G329" s="4" t="s">
        <v>61</v>
      </c>
      <c r="H329" s="5"/>
      <c r="I329" s="5"/>
      <c r="J329" s="5"/>
      <c r="K329" s="4" t="s">
        <v>62</v>
      </c>
      <c r="L329" s="4" t="s">
        <v>63</v>
      </c>
      <c r="M329" s="6" t="str">
        <f>IF(OR(B329="",I329=""),"",B329*I329)</f>
        <v/>
      </c>
      <c r="N329" s="8" t="s">
        <v>64</v>
      </c>
      <c r="O329" s="9"/>
      <c r="P329" s="9"/>
      <c r="Q329" s="22"/>
      <c r="R329" s="22"/>
      <c r="S329" s="23" t="str">
        <f>IF(AND(ISNUMBER(Q329),Q329&gt;0,ISNUMBER(R329),R329&gt;0),R329/Q329,"")</f>
        <v/>
      </c>
      <c r="T329" s="9"/>
      <c r="U329" s="9"/>
      <c r="V329" s="9"/>
      <c r="W329" s="9"/>
      <c r="X329" s="23" t="str">
        <f>IF(ISNUMBER(S329),S329,IF(ISNUMBER(I329),I329,""))</f>
        <v/>
      </c>
      <c r="Y329" t="str">
        <f>IF(ISNUMBER(S329),"2025 EIA-923 plant/group proxy",IF(ISNUMBER(I329),"Technology estimate","No thermal heat rate"))</f>
        <v>No thermal heat rate</v>
      </c>
      <c r="Z329" t="str">
        <f>IF(ISNUMBER(S329),"Review: NOT unit verified",IF(AE329="No match","No EIA match",IF(AF329="Unconfirmed","Unconfirmed EIA candidate","")))</f>
        <v/>
      </c>
      <c r="AE329" t="s">
        <v>65</v>
      </c>
      <c r="AF329" t="s">
        <v>66</v>
      </c>
      <c r="AG329" s="24">
        <f>IF(ISBLANK(S329),S329,I329)</f>
        <v>0</v>
      </c>
      <c r="AH329" s="34">
        <f t="shared" si="16"/>
        <v>7796.2999999999993</v>
      </c>
      <c r="AI329">
        <f t="shared" si="15"/>
        <v>4868.6528404919436</v>
      </c>
      <c r="AJ329" t="b" cm="1">
        <f t="array" ref="AJ329">OR(D329=$AT$2:$AT$8)</f>
        <v>0</v>
      </c>
    </row>
    <row r="330" spans="1:36" x14ac:dyDescent="0.25">
      <c r="A330" s="2" t="s">
        <v>683</v>
      </c>
      <c r="B330" s="3">
        <v>12.6</v>
      </c>
      <c r="C330" s="2" t="s">
        <v>78</v>
      </c>
      <c r="D330" s="2" t="s">
        <v>78</v>
      </c>
      <c r="E330" s="2" t="s">
        <v>70</v>
      </c>
      <c r="F330" s="4" t="s">
        <v>60</v>
      </c>
      <c r="G330" s="4" t="s">
        <v>61</v>
      </c>
      <c r="H330" s="5"/>
      <c r="I330" s="5"/>
      <c r="J330" s="5"/>
      <c r="K330" s="4" t="s">
        <v>62</v>
      </c>
      <c r="L330" s="4" t="s">
        <v>63</v>
      </c>
      <c r="M330" s="6" t="str">
        <f>IF(OR(B330="",I330=""),"",B330*I330)</f>
        <v/>
      </c>
      <c r="N330" s="8" t="s">
        <v>64</v>
      </c>
      <c r="O330" s="9"/>
      <c r="P330" s="9"/>
      <c r="Q330" s="22"/>
      <c r="R330" s="22"/>
      <c r="S330" s="23" t="str">
        <f>IF(AND(ISNUMBER(Q330),Q330&gt;0,ISNUMBER(R330),R330&gt;0),R330/Q330,"")</f>
        <v/>
      </c>
      <c r="T330" s="9"/>
      <c r="U330" s="9"/>
      <c r="V330" s="9"/>
      <c r="W330" s="9"/>
      <c r="X330" s="23" t="str">
        <f>IF(ISNUMBER(S330),S330,IF(ISNUMBER(I330),I330,""))</f>
        <v/>
      </c>
      <c r="Y330" t="str">
        <f>IF(ISNUMBER(S330),"2025 EIA-923 plant/group proxy",IF(ISNUMBER(I330),"Technology estimate","No thermal heat rate"))</f>
        <v>No thermal heat rate</v>
      </c>
      <c r="Z330" t="str">
        <f>IF(ISNUMBER(S330),"Review: NOT unit verified",IF(AE330="No match","No EIA match",IF(AF330="Unconfirmed","Unconfirmed EIA candidate","")))</f>
        <v/>
      </c>
      <c r="AE330" t="s">
        <v>65</v>
      </c>
      <c r="AF330" t="s">
        <v>66</v>
      </c>
      <c r="AG330" s="24">
        <f>IF(ISBLANK(S330),S330,I330)</f>
        <v>0</v>
      </c>
      <c r="AH330" s="34">
        <f t="shared" si="16"/>
        <v>7808.9</v>
      </c>
      <c r="AI330">
        <f t="shared" si="15"/>
        <v>4876.5213198719312</v>
      </c>
      <c r="AJ330" t="b" cm="1">
        <f t="array" ref="AJ330">OR(D330=$AT$2:$AT$8)</f>
        <v>1</v>
      </c>
    </row>
    <row r="331" spans="1:36" x14ac:dyDescent="0.25">
      <c r="A331" s="2" t="s">
        <v>689</v>
      </c>
      <c r="B331" s="3">
        <v>13.4</v>
      </c>
      <c r="C331" s="2" t="s">
        <v>80</v>
      </c>
      <c r="D331" s="2" t="s">
        <v>81</v>
      </c>
      <c r="E331" s="2" t="s">
        <v>70</v>
      </c>
      <c r="F331" s="4" t="s">
        <v>60</v>
      </c>
      <c r="G331" s="4" t="s">
        <v>61</v>
      </c>
      <c r="H331" s="5"/>
      <c r="I331" s="5"/>
      <c r="J331" s="5"/>
      <c r="K331" s="4" t="s">
        <v>62</v>
      </c>
      <c r="L331" s="4" t="s">
        <v>63</v>
      </c>
      <c r="M331" s="6" t="str">
        <f>IF(OR(B331="",I331=""),"",B331*I331)</f>
        <v/>
      </c>
      <c r="N331" s="8" t="s">
        <v>64</v>
      </c>
      <c r="O331" s="9"/>
      <c r="P331" s="9"/>
      <c r="Q331" s="22"/>
      <c r="R331" s="22"/>
      <c r="S331" s="23" t="str">
        <f>IF(AND(ISNUMBER(Q331),Q331&gt;0,ISNUMBER(R331),R331&gt;0),R331/Q331,"")</f>
        <v/>
      </c>
      <c r="T331" s="9"/>
      <c r="U331" s="9"/>
      <c r="V331" s="9"/>
      <c r="W331" s="9"/>
      <c r="X331" s="23" t="str">
        <f>IF(ISNUMBER(S331),S331,IF(ISNUMBER(I331),I331,""))</f>
        <v/>
      </c>
      <c r="Y331" t="str">
        <f>IF(ISNUMBER(S331),"2025 EIA-923 plant/group proxy",IF(ISNUMBER(I331),"Technology estimate","No thermal heat rate"))</f>
        <v>No thermal heat rate</v>
      </c>
      <c r="Z331" t="str">
        <f>IF(ISNUMBER(S331),"Review: NOT unit verified",IF(AE331="No match","No EIA match",IF(AF331="Unconfirmed","Unconfirmed EIA candidate","")))</f>
        <v/>
      </c>
      <c r="AE331" t="s">
        <v>65</v>
      </c>
      <c r="AF331" t="s">
        <v>66</v>
      </c>
      <c r="AG331" s="24">
        <f>IF(ISBLANK(S331),S331,I331)</f>
        <v>0</v>
      </c>
      <c r="AH331" s="34">
        <f t="shared" si="16"/>
        <v>7822.2999999999993</v>
      </c>
      <c r="AI331">
        <f t="shared" si="15"/>
        <v>4884.8893852442989</v>
      </c>
      <c r="AJ331" t="b" cm="1">
        <f t="array" ref="AJ331">OR(D331=$AT$2:$AT$8)</f>
        <v>0</v>
      </c>
    </row>
    <row r="332" spans="1:36" x14ac:dyDescent="0.25">
      <c r="A332" s="2" t="s">
        <v>702</v>
      </c>
      <c r="B332" s="3">
        <v>48.1</v>
      </c>
      <c r="C332" s="2" t="s">
        <v>78</v>
      </c>
      <c r="D332" s="2" t="s">
        <v>78</v>
      </c>
      <c r="E332" s="2" t="s">
        <v>70</v>
      </c>
      <c r="F332" s="4" t="s">
        <v>60</v>
      </c>
      <c r="G332" s="4" t="s">
        <v>61</v>
      </c>
      <c r="H332" s="5"/>
      <c r="I332" s="5"/>
      <c r="J332" s="5"/>
      <c r="K332" s="4" t="s">
        <v>62</v>
      </c>
      <c r="L332" s="4" t="s">
        <v>63</v>
      </c>
      <c r="M332" s="6" t="str">
        <f>IF(OR(B332="",I332=""),"",B332*I332)</f>
        <v/>
      </c>
      <c r="N332" s="8" t="s">
        <v>64</v>
      </c>
      <c r="O332" s="9"/>
      <c r="P332" s="9"/>
      <c r="Q332" s="22"/>
      <c r="R332" s="22"/>
      <c r="S332" s="23" t="str">
        <f>IF(AND(ISNUMBER(Q332),Q332&gt;0,ISNUMBER(R332),R332&gt;0),R332/Q332,"")</f>
        <v/>
      </c>
      <c r="T332" s="9"/>
      <c r="U332" s="9"/>
      <c r="V332" s="9"/>
      <c r="W332" s="9"/>
      <c r="X332" s="23" t="str">
        <f>IF(ISNUMBER(S332),S332,IF(ISNUMBER(I332),I332,""))</f>
        <v/>
      </c>
      <c r="Y332" t="str">
        <f>IF(ISNUMBER(S332),"2025 EIA-923 plant/group proxy",IF(ISNUMBER(I332),"Technology estimate","No thermal heat rate"))</f>
        <v>No thermal heat rate</v>
      </c>
      <c r="Z332" t="str">
        <f>IF(ISNUMBER(S332),"Review: NOT unit verified",IF(AE332="No match","No EIA match",IF(AF332="Unconfirmed","Unconfirmed EIA candidate","")))</f>
        <v/>
      </c>
      <c r="AE332" t="s">
        <v>65</v>
      </c>
      <c r="AF332" t="s">
        <v>66</v>
      </c>
      <c r="AG332" s="24">
        <f>IF(ISBLANK(S332),S332,I332)</f>
        <v>0</v>
      </c>
      <c r="AH332" s="34">
        <f t="shared" si="16"/>
        <v>7870.4</v>
      </c>
      <c r="AI332">
        <f t="shared" si="15"/>
        <v>4914.926993036157</v>
      </c>
      <c r="AJ332" t="b" cm="1">
        <f t="array" ref="AJ332">OR(D332=$AT$2:$AT$8)</f>
        <v>1</v>
      </c>
    </row>
    <row r="333" spans="1:36" x14ac:dyDescent="0.25">
      <c r="A333" s="2" t="s">
        <v>709</v>
      </c>
      <c r="B333" s="3">
        <v>12.8</v>
      </c>
      <c r="C333" s="2" t="s">
        <v>86</v>
      </c>
      <c r="D333" s="2" t="s">
        <v>76</v>
      </c>
      <c r="E333" s="2" t="s">
        <v>70</v>
      </c>
      <c r="F333" s="4" t="s">
        <v>60</v>
      </c>
      <c r="G333" s="4" t="s">
        <v>61</v>
      </c>
      <c r="H333" s="5"/>
      <c r="I333" s="5"/>
      <c r="J333" s="5"/>
      <c r="K333" s="4" t="s">
        <v>62</v>
      </c>
      <c r="L333" s="4" t="s">
        <v>63</v>
      </c>
      <c r="M333" s="6" t="str">
        <f>IF(OR(B333="",I333=""),"",B333*I333)</f>
        <v/>
      </c>
      <c r="N333" s="8" t="s">
        <v>64</v>
      </c>
      <c r="O333" s="9"/>
      <c r="P333" s="9"/>
      <c r="Q333" s="22"/>
      <c r="R333" s="22"/>
      <c r="S333" s="23" t="str">
        <f>IF(AND(ISNUMBER(Q333),Q333&gt;0,ISNUMBER(R333),R333&gt;0),R333/Q333,"")</f>
        <v/>
      </c>
      <c r="T333" s="9"/>
      <c r="U333" s="9"/>
      <c r="V333" s="9"/>
      <c r="W333" s="9"/>
      <c r="X333" s="23" t="str">
        <f>IF(ISNUMBER(S333),S333,IF(ISNUMBER(I333),I333,""))</f>
        <v/>
      </c>
      <c r="Y333" t="str">
        <f>IF(ISNUMBER(S333),"2025 EIA-923 plant/group proxy",IF(ISNUMBER(I333),"Technology estimate","No thermal heat rate"))</f>
        <v>No thermal heat rate</v>
      </c>
      <c r="Z333" t="str">
        <f>IF(ISNUMBER(S333),"Review: NOT unit verified",IF(AE333="No match","No EIA match",IF(AF333="Unconfirmed","Unconfirmed EIA candidate","")))</f>
        <v/>
      </c>
      <c r="AE333" t="s">
        <v>65</v>
      </c>
      <c r="AF333" t="s">
        <v>66</v>
      </c>
      <c r="AG333" s="24">
        <f>IF(ISBLANK(S333),S333,I333)</f>
        <v>0</v>
      </c>
      <c r="AH333" s="34">
        <f t="shared" si="16"/>
        <v>7883.2</v>
      </c>
      <c r="AI333">
        <f t="shared" si="15"/>
        <v>4922.9203689142396</v>
      </c>
      <c r="AJ333" t="b" cm="1">
        <f t="array" ref="AJ333">OR(D333=$AT$2:$AT$8)</f>
        <v>0</v>
      </c>
    </row>
    <row r="334" spans="1:36" x14ac:dyDescent="0.25">
      <c r="A334" s="2" t="s">
        <v>720</v>
      </c>
      <c r="B334" s="3">
        <v>9</v>
      </c>
      <c r="C334" s="2" t="s">
        <v>305</v>
      </c>
      <c r="D334" s="2" t="s">
        <v>305</v>
      </c>
      <c r="E334" s="2" t="s">
        <v>70</v>
      </c>
      <c r="F334" s="4" t="s">
        <v>60</v>
      </c>
      <c r="G334" s="4" t="s">
        <v>61</v>
      </c>
      <c r="H334" s="5"/>
      <c r="I334" s="5"/>
      <c r="J334" s="5"/>
      <c r="K334" s="4" t="s">
        <v>62</v>
      </c>
      <c r="L334" s="4" t="s">
        <v>63</v>
      </c>
      <c r="M334" s="6" t="str">
        <f>IF(OR(B334="",I334=""),"",B334*I334)</f>
        <v/>
      </c>
      <c r="N334" s="8" t="s">
        <v>64</v>
      </c>
      <c r="O334" s="9"/>
      <c r="P334" s="9"/>
      <c r="Q334" s="22"/>
      <c r="R334" s="22"/>
      <c r="S334" s="23" t="str">
        <f>IF(AND(ISNUMBER(Q334),Q334&gt;0,ISNUMBER(R334),R334&gt;0),R334/Q334,"")</f>
        <v/>
      </c>
      <c r="T334" s="9"/>
      <c r="U334" s="9"/>
      <c r="V334" s="9"/>
      <c r="W334" s="9"/>
      <c r="X334" s="23" t="str">
        <f>IF(ISNUMBER(S334),S334,IF(ISNUMBER(I334),I334,""))</f>
        <v/>
      </c>
      <c r="Y334" t="str">
        <f>IF(ISNUMBER(S334),"2025 EIA-923 plant/group proxy",IF(ISNUMBER(I334),"Technology estimate","No thermal heat rate"))</f>
        <v>No thermal heat rate</v>
      </c>
      <c r="Z334" t="str">
        <f>IF(ISNUMBER(S334),"Review: NOT unit verified",IF(AE334="No match","No EIA match",IF(AF334="Unconfirmed","Unconfirmed EIA candidate","")))</f>
        <v/>
      </c>
      <c r="AE334" t="s">
        <v>65</v>
      </c>
      <c r="AF334" t="s">
        <v>66</v>
      </c>
      <c r="AG334" s="24">
        <f>IF(ISBLANK(S334),S334,I334)</f>
        <v>0</v>
      </c>
      <c r="AH334" s="34">
        <f t="shared" si="16"/>
        <v>7892.2</v>
      </c>
      <c r="AI334">
        <f t="shared" si="15"/>
        <v>4928.5407113285173</v>
      </c>
      <c r="AJ334" t="b" cm="1">
        <f t="array" ref="AJ334">OR(D334=$AT$2:$AT$8)</f>
        <v>1</v>
      </c>
    </row>
    <row r="335" spans="1:36" x14ac:dyDescent="0.25">
      <c r="A335" s="2" t="s">
        <v>721</v>
      </c>
      <c r="B335" s="3">
        <v>9</v>
      </c>
      <c r="C335" s="2" t="s">
        <v>305</v>
      </c>
      <c r="D335" s="2" t="s">
        <v>305</v>
      </c>
      <c r="E335" s="2" t="s">
        <v>70</v>
      </c>
      <c r="F335" s="4" t="s">
        <v>60</v>
      </c>
      <c r="G335" s="4" t="s">
        <v>61</v>
      </c>
      <c r="H335" s="5"/>
      <c r="I335" s="5"/>
      <c r="J335" s="5"/>
      <c r="K335" s="4" t="s">
        <v>62</v>
      </c>
      <c r="L335" s="4" t="s">
        <v>63</v>
      </c>
      <c r="M335" s="6" t="str">
        <f>IF(OR(B335="",I335=""),"",B335*I335)</f>
        <v/>
      </c>
      <c r="N335" s="8" t="s">
        <v>64</v>
      </c>
      <c r="O335" s="9"/>
      <c r="P335" s="9"/>
      <c r="Q335" s="22"/>
      <c r="R335" s="22"/>
      <c r="S335" s="23" t="str">
        <f>IF(AND(ISNUMBER(Q335),Q335&gt;0,ISNUMBER(R335),R335&gt;0),R335/Q335,"")</f>
        <v/>
      </c>
      <c r="T335" s="9"/>
      <c r="U335" s="9"/>
      <c r="V335" s="9"/>
      <c r="W335" s="9"/>
      <c r="X335" s="23" t="str">
        <f>IF(ISNUMBER(S335),S335,IF(ISNUMBER(I335),I335,""))</f>
        <v/>
      </c>
      <c r="Y335" t="str">
        <f>IF(ISNUMBER(S335),"2025 EIA-923 plant/group proxy",IF(ISNUMBER(I335),"Technology estimate","No thermal heat rate"))</f>
        <v>No thermal heat rate</v>
      </c>
      <c r="Z335" t="str">
        <f>IF(ISNUMBER(S335),"Review: NOT unit verified",IF(AE335="No match","No EIA match",IF(AF335="Unconfirmed","Unconfirmed EIA candidate","")))</f>
        <v/>
      </c>
      <c r="AE335" t="s">
        <v>65</v>
      </c>
      <c r="AF335" t="s">
        <v>66</v>
      </c>
      <c r="AG335" s="24">
        <f>IF(ISBLANK(S335),S335,I335)</f>
        <v>0</v>
      </c>
      <c r="AH335" s="34">
        <f t="shared" si="16"/>
        <v>7901.2</v>
      </c>
      <c r="AI335">
        <f t="shared" si="15"/>
        <v>4934.1610537427941</v>
      </c>
      <c r="AJ335" t="b" cm="1">
        <f t="array" ref="AJ335">OR(D335=$AT$2:$AT$8)</f>
        <v>1</v>
      </c>
    </row>
    <row r="336" spans="1:36" x14ac:dyDescent="0.25">
      <c r="A336" s="2" t="s">
        <v>722</v>
      </c>
      <c r="B336" s="3">
        <v>41.3</v>
      </c>
      <c r="C336" s="2" t="s">
        <v>347</v>
      </c>
      <c r="D336" s="2" t="s">
        <v>347</v>
      </c>
      <c r="E336" s="2" t="s">
        <v>70</v>
      </c>
      <c r="F336" s="4" t="s">
        <v>60</v>
      </c>
      <c r="G336" s="4" t="s">
        <v>61</v>
      </c>
      <c r="H336" s="5"/>
      <c r="I336" s="5"/>
      <c r="J336" s="5"/>
      <c r="K336" s="4" t="s">
        <v>62</v>
      </c>
      <c r="L336" s="4" t="s">
        <v>63</v>
      </c>
      <c r="M336" s="6" t="str">
        <f>IF(OR(B336="",I336=""),"",B336*I336)</f>
        <v/>
      </c>
      <c r="N336" s="8" t="s">
        <v>64</v>
      </c>
      <c r="O336" s="9"/>
      <c r="P336" s="9"/>
      <c r="Q336" s="22"/>
      <c r="R336" s="22"/>
      <c r="S336" s="23" t="str">
        <f>IF(AND(ISNUMBER(Q336),Q336&gt;0,ISNUMBER(R336),R336&gt;0),R336/Q336,"")</f>
        <v/>
      </c>
      <c r="T336" s="9"/>
      <c r="U336" s="9"/>
      <c r="V336" s="9"/>
      <c r="W336" s="9"/>
      <c r="X336" s="23" t="str">
        <f>IF(ISNUMBER(S336),S336,IF(ISNUMBER(I336),I336,""))</f>
        <v/>
      </c>
      <c r="Y336" t="str">
        <f>IF(ISNUMBER(S336),"2025 EIA-923 plant/group proxy",IF(ISNUMBER(I336),"Technology estimate","No thermal heat rate"))</f>
        <v>No thermal heat rate</v>
      </c>
      <c r="Z336" t="str">
        <f>IF(ISNUMBER(S336),"Review: NOT unit verified",IF(AE336="No match","No EIA match",IF(AF336="Unconfirmed","Unconfirmed EIA candidate","")))</f>
        <v/>
      </c>
      <c r="AE336" t="s">
        <v>65</v>
      </c>
      <c r="AF336" t="s">
        <v>66</v>
      </c>
      <c r="AG336" s="24">
        <f>IF(ISBLANK(S336),S336,I336)</f>
        <v>0</v>
      </c>
      <c r="AH336" s="34">
        <f t="shared" si="16"/>
        <v>7942.5</v>
      </c>
      <c r="AI336">
        <f t="shared" si="15"/>
        <v>4959.9521805994209</v>
      </c>
      <c r="AJ336" t="b" cm="1">
        <f t="array" ref="AJ336">OR(D336=$AT$2:$AT$8)</f>
        <v>0</v>
      </c>
    </row>
    <row r="337" spans="1:36" x14ac:dyDescent="0.25">
      <c r="A337" s="2" t="s">
        <v>753</v>
      </c>
      <c r="B337" s="3">
        <v>105</v>
      </c>
      <c r="C337" s="2" t="s">
        <v>78</v>
      </c>
      <c r="D337" s="2" t="s">
        <v>78</v>
      </c>
      <c r="E337" s="2" t="s">
        <v>70</v>
      </c>
      <c r="F337" s="4" t="s">
        <v>60</v>
      </c>
      <c r="G337" s="4" t="s">
        <v>61</v>
      </c>
      <c r="H337" s="5"/>
      <c r="I337" s="5"/>
      <c r="J337" s="5"/>
      <c r="K337" s="4" t="s">
        <v>62</v>
      </c>
      <c r="L337" s="4" t="s">
        <v>63</v>
      </c>
      <c r="M337" s="6" t="str">
        <f>IF(OR(B337="",I337=""),"",B337*I337)</f>
        <v/>
      </c>
      <c r="N337" s="8" t="s">
        <v>64</v>
      </c>
      <c r="O337" s="9"/>
      <c r="P337" s="9"/>
      <c r="Q337" s="22"/>
      <c r="R337" s="22"/>
      <c r="S337" s="23" t="str">
        <f>IF(AND(ISNUMBER(Q337),Q337&gt;0,ISNUMBER(R337),R337&gt;0),R337/Q337,"")</f>
        <v/>
      </c>
      <c r="T337" s="9"/>
      <c r="U337" s="9"/>
      <c r="V337" s="9"/>
      <c r="W337" s="9"/>
      <c r="X337" s="23" t="str">
        <f>IF(ISNUMBER(S337),S337,IF(ISNUMBER(I337),I337,""))</f>
        <v/>
      </c>
      <c r="Y337" t="str">
        <f>IF(ISNUMBER(S337),"2025 EIA-923 plant/group proxy",IF(ISNUMBER(I337),"Technology estimate","No thermal heat rate"))</f>
        <v>No thermal heat rate</v>
      </c>
      <c r="Z337" t="str">
        <f>IF(ISNUMBER(S337),"Review: NOT unit verified",IF(AE337="No match","No EIA match",IF(AF337="Unconfirmed","Unconfirmed EIA candidate","")))</f>
        <v/>
      </c>
      <c r="AE337" t="s">
        <v>65</v>
      </c>
      <c r="AF337" t="s">
        <v>66</v>
      </c>
      <c r="AG337" s="24">
        <f>IF(ISBLANK(S337),S337,I337)</f>
        <v>0</v>
      </c>
      <c r="AH337" s="34">
        <f t="shared" si="16"/>
        <v>8047.5</v>
      </c>
      <c r="AI337">
        <f t="shared" si="15"/>
        <v>5025.522842099318</v>
      </c>
      <c r="AJ337" t="b" cm="1">
        <f t="array" ref="AJ337">OR(D337=$AT$2:$AT$8)</f>
        <v>1</v>
      </c>
    </row>
    <row r="338" spans="1:36" x14ac:dyDescent="0.25">
      <c r="A338" s="2" t="s">
        <v>758</v>
      </c>
      <c r="B338" s="3">
        <v>8.3000000000000007</v>
      </c>
      <c r="C338" s="2" t="s">
        <v>91</v>
      </c>
      <c r="D338" s="2" t="s">
        <v>91</v>
      </c>
      <c r="E338" s="2" t="s">
        <v>70</v>
      </c>
      <c r="F338" s="4" t="s">
        <v>60</v>
      </c>
      <c r="G338" s="4" t="s">
        <v>61</v>
      </c>
      <c r="H338" s="5"/>
      <c r="I338" s="5"/>
      <c r="J338" s="5"/>
      <c r="K338" s="4" t="s">
        <v>62</v>
      </c>
      <c r="L338" s="4" t="s">
        <v>63</v>
      </c>
      <c r="M338" s="6" t="str">
        <f>IF(OR(B338="",I338=""),"",B338*I338)</f>
        <v/>
      </c>
      <c r="N338" s="8" t="s">
        <v>64</v>
      </c>
      <c r="O338" s="9"/>
      <c r="P338" s="9"/>
      <c r="Q338" s="22"/>
      <c r="R338" s="22"/>
      <c r="S338" s="23" t="str">
        <f>IF(AND(ISNUMBER(Q338),Q338&gt;0,ISNUMBER(R338),R338&gt;0),R338/Q338,"")</f>
        <v/>
      </c>
      <c r="T338" s="9"/>
      <c r="U338" s="9"/>
      <c r="V338" s="9"/>
      <c r="W338" s="9"/>
      <c r="X338" s="23" t="str">
        <f>IF(ISNUMBER(S338),S338,IF(ISNUMBER(I338),I338,""))</f>
        <v/>
      </c>
      <c r="Y338" t="str">
        <f>IF(ISNUMBER(S338),"2025 EIA-923 plant/group proxy",IF(ISNUMBER(I338),"Technology estimate","No thermal heat rate"))</f>
        <v>No thermal heat rate</v>
      </c>
      <c r="Z338" t="str">
        <f>IF(ISNUMBER(S338),"Review: NOT unit verified",IF(AE338="No match","No EIA match",IF(AF338="Unconfirmed","Unconfirmed EIA candidate","")))</f>
        <v/>
      </c>
      <c r="AE338" t="s">
        <v>65</v>
      </c>
      <c r="AF338" t="s">
        <v>66</v>
      </c>
      <c r="AG338" s="24">
        <f>IF(ISBLANK(S338),S338,I338)</f>
        <v>0</v>
      </c>
      <c r="AH338" s="34">
        <f t="shared" si="16"/>
        <v>8055.8</v>
      </c>
      <c r="AI338">
        <f t="shared" si="15"/>
        <v>5030.7060467702631</v>
      </c>
      <c r="AJ338" t="b" cm="1">
        <f t="array" ref="AJ338">OR(D338=$AT$2:$AT$8)</f>
        <v>1</v>
      </c>
    </row>
    <row r="339" spans="1:36" x14ac:dyDescent="0.25">
      <c r="A339" s="2" t="s">
        <v>769</v>
      </c>
      <c r="B339" s="3">
        <v>484.7</v>
      </c>
      <c r="C339" s="2" t="s">
        <v>99</v>
      </c>
      <c r="D339" s="2" t="s">
        <v>81</v>
      </c>
      <c r="E339" s="2" t="s">
        <v>70</v>
      </c>
      <c r="F339" s="4" t="s">
        <v>60</v>
      </c>
      <c r="G339" s="4" t="s">
        <v>61</v>
      </c>
      <c r="H339" s="5"/>
      <c r="I339" s="5"/>
      <c r="J339" s="5"/>
      <c r="K339" s="4" t="s">
        <v>62</v>
      </c>
      <c r="L339" s="4" t="s">
        <v>63</v>
      </c>
      <c r="M339" s="6" t="str">
        <f>IF(OR(B339="",I339=""),"",B339*I339)</f>
        <v/>
      </c>
      <c r="N339" s="8" t="s">
        <v>64</v>
      </c>
      <c r="O339" s="9"/>
      <c r="P339" s="9"/>
      <c r="Q339" s="22"/>
      <c r="R339" s="22"/>
      <c r="S339" s="23" t="str">
        <f>IF(AND(ISNUMBER(Q339),Q339&gt;0,ISNUMBER(R339),R339&gt;0),R339/Q339,"")</f>
        <v/>
      </c>
      <c r="T339" s="9"/>
      <c r="U339" s="9"/>
      <c r="V339" s="9"/>
      <c r="W339" s="9"/>
      <c r="X339" s="23" t="str">
        <f>IF(ISNUMBER(S339),S339,IF(ISNUMBER(I339),I339,""))</f>
        <v/>
      </c>
      <c r="Y339" t="str">
        <f>IF(ISNUMBER(S339),"2025 EIA-923 plant/group proxy",IF(ISNUMBER(I339),"Technology estimate","No thermal heat rate"))</f>
        <v>No thermal heat rate</v>
      </c>
      <c r="Z339" t="str">
        <f>IF(ISNUMBER(S339),"Review: NOT unit verified",IF(AE339="No match","No EIA match",IF(AF339="Unconfirmed","Unconfirmed EIA candidate","")))</f>
        <v/>
      </c>
      <c r="AE339" t="s">
        <v>65</v>
      </c>
      <c r="AF339" t="s">
        <v>66</v>
      </c>
      <c r="AG339" s="24">
        <f>IF(ISBLANK(S339),S339,I339)</f>
        <v>0</v>
      </c>
      <c r="AH339" s="34">
        <f t="shared" si="16"/>
        <v>8540.5</v>
      </c>
      <c r="AI339">
        <f t="shared" si="15"/>
        <v>5333.3927099036009</v>
      </c>
      <c r="AJ339" t="b" cm="1">
        <f t="array" ref="AJ339">OR(D339=$AT$2:$AT$8)</f>
        <v>0</v>
      </c>
    </row>
    <row r="340" spans="1:36" x14ac:dyDescent="0.25">
      <c r="A340" s="2" t="s">
        <v>770</v>
      </c>
      <c r="B340" s="3">
        <v>37.200000000000003</v>
      </c>
      <c r="C340" s="2" t="s">
        <v>80</v>
      </c>
      <c r="D340" s="2" t="s">
        <v>81</v>
      </c>
      <c r="E340" s="2" t="s">
        <v>70</v>
      </c>
      <c r="F340" s="4" t="s">
        <v>60</v>
      </c>
      <c r="G340" s="4" t="s">
        <v>61</v>
      </c>
      <c r="H340" s="5"/>
      <c r="I340" s="5"/>
      <c r="J340" s="5"/>
      <c r="K340" s="4" t="s">
        <v>62</v>
      </c>
      <c r="L340" s="4" t="s">
        <v>63</v>
      </c>
      <c r="M340" s="6" t="str">
        <f>IF(OR(B340="",I340=""),"",B340*I340)</f>
        <v/>
      </c>
      <c r="N340" s="8" t="s">
        <v>64</v>
      </c>
      <c r="O340" s="9"/>
      <c r="P340" s="9"/>
      <c r="Q340" s="22"/>
      <c r="R340" s="22"/>
      <c r="S340" s="23" t="str">
        <f>IF(AND(ISNUMBER(Q340),Q340&gt;0,ISNUMBER(R340),R340&gt;0),R340/Q340,"")</f>
        <v/>
      </c>
      <c r="T340" s="9"/>
      <c r="U340" s="9"/>
      <c r="V340" s="9"/>
      <c r="W340" s="9"/>
      <c r="X340" s="23" t="str">
        <f>IF(ISNUMBER(S340),S340,IF(ISNUMBER(I340),I340,""))</f>
        <v/>
      </c>
      <c r="Y340" t="str">
        <f>IF(ISNUMBER(S340),"2025 EIA-923 plant/group proxy",IF(ISNUMBER(I340),"Technology estimate","No thermal heat rate"))</f>
        <v>No thermal heat rate</v>
      </c>
      <c r="Z340" t="str">
        <f>IF(ISNUMBER(S340),"Review: NOT unit verified",IF(AE340="No match","No EIA match",IF(AF340="Unconfirmed","Unconfirmed EIA candidate","")))</f>
        <v/>
      </c>
      <c r="AE340" t="s">
        <v>65</v>
      </c>
      <c r="AF340" t="s">
        <v>66</v>
      </c>
      <c r="AG340" s="24">
        <f>IF(ISBLANK(S340),S340,I340)</f>
        <v>0</v>
      </c>
      <c r="AH340" s="34">
        <f t="shared" si="16"/>
        <v>8577.7000000000007</v>
      </c>
      <c r="AI340">
        <f t="shared" si="15"/>
        <v>5356.6234585492793</v>
      </c>
      <c r="AJ340" t="b" cm="1">
        <f t="array" ref="AJ340">OR(D340=$AT$2:$AT$8)</f>
        <v>0</v>
      </c>
    </row>
    <row r="341" spans="1:36" x14ac:dyDescent="0.25">
      <c r="A341" s="2" t="s">
        <v>771</v>
      </c>
      <c r="B341" s="3">
        <v>56.5</v>
      </c>
      <c r="C341" s="2" t="s">
        <v>78</v>
      </c>
      <c r="D341" s="2" t="s">
        <v>78</v>
      </c>
      <c r="E341" s="2" t="s">
        <v>70</v>
      </c>
      <c r="F341" s="4" t="s">
        <v>60</v>
      </c>
      <c r="G341" s="4" t="s">
        <v>61</v>
      </c>
      <c r="H341" s="5"/>
      <c r="I341" s="5"/>
      <c r="J341" s="5"/>
      <c r="K341" s="4" t="s">
        <v>62</v>
      </c>
      <c r="L341" s="4" t="s">
        <v>63</v>
      </c>
      <c r="M341" s="6" t="str">
        <f>IF(OR(B341="",I341=""),"",B341*I341)</f>
        <v/>
      </c>
      <c r="N341" s="8" t="s">
        <v>64</v>
      </c>
      <c r="O341" s="9"/>
      <c r="P341" s="9"/>
      <c r="Q341" s="22"/>
      <c r="R341" s="22"/>
      <c r="S341" s="23" t="str">
        <f>IF(AND(ISNUMBER(Q341),Q341&gt;0,ISNUMBER(R341),R341&gt;0),R341/Q341,"")</f>
        <v/>
      </c>
      <c r="T341" s="9"/>
      <c r="U341" s="9"/>
      <c r="V341" s="9"/>
      <c r="W341" s="9"/>
      <c r="X341" s="23" t="str">
        <f>IF(ISNUMBER(S341),S341,IF(ISNUMBER(I341),I341,""))</f>
        <v/>
      </c>
      <c r="Y341" t="str">
        <f>IF(ISNUMBER(S341),"2025 EIA-923 plant/group proxy",IF(ISNUMBER(I341),"Technology estimate","No thermal heat rate"))</f>
        <v>No thermal heat rate</v>
      </c>
      <c r="Z341" t="str">
        <f>IF(ISNUMBER(S341),"Review: NOT unit verified",IF(AE341="No match","No EIA match",IF(AF341="Unconfirmed","Unconfirmed EIA candidate","")))</f>
        <v/>
      </c>
      <c r="AE341" t="s">
        <v>65</v>
      </c>
      <c r="AF341" t="s">
        <v>66</v>
      </c>
      <c r="AG341" s="24">
        <f>IF(ISBLANK(S341),S341,I341)</f>
        <v>0</v>
      </c>
      <c r="AH341" s="34">
        <f t="shared" si="16"/>
        <v>8634.2000000000007</v>
      </c>
      <c r="AI341">
        <f t="shared" si="15"/>
        <v>5391.9067192611292</v>
      </c>
      <c r="AJ341" t="b" cm="1">
        <f t="array" ref="AJ341">OR(D341=$AT$2:$AT$8)</f>
        <v>1</v>
      </c>
    </row>
    <row r="342" spans="1:36" x14ac:dyDescent="0.25">
      <c r="A342" s="2" t="s">
        <v>790</v>
      </c>
      <c r="B342" s="3">
        <v>8.4</v>
      </c>
      <c r="C342" s="2" t="s">
        <v>78</v>
      </c>
      <c r="D342" s="2" t="s">
        <v>78</v>
      </c>
      <c r="E342" s="2" t="s">
        <v>70</v>
      </c>
      <c r="F342" s="4" t="s">
        <v>60</v>
      </c>
      <c r="G342" s="4" t="s">
        <v>61</v>
      </c>
      <c r="H342" s="5"/>
      <c r="I342" s="5"/>
      <c r="J342" s="5"/>
      <c r="K342" s="4" t="s">
        <v>62</v>
      </c>
      <c r="L342" s="4" t="s">
        <v>63</v>
      </c>
      <c r="M342" s="6" t="str">
        <f>IF(OR(B342="",I342=""),"",B342*I342)</f>
        <v/>
      </c>
      <c r="N342" s="8" t="s">
        <v>64</v>
      </c>
      <c r="O342" s="9"/>
      <c r="P342" s="9"/>
      <c r="Q342" s="22"/>
      <c r="R342" s="22"/>
      <c r="S342" s="23" t="str">
        <f>IF(AND(ISNUMBER(Q342),Q342&gt;0,ISNUMBER(R342),R342&gt;0),R342/Q342,"")</f>
        <v/>
      </c>
      <c r="T342" s="9"/>
      <c r="U342" s="9"/>
      <c r="V342" s="9"/>
      <c r="W342" s="9"/>
      <c r="X342" s="23" t="str">
        <f>IF(ISNUMBER(S342),S342,IF(ISNUMBER(I342),I342,""))</f>
        <v/>
      </c>
      <c r="Y342" t="str">
        <f>IF(ISNUMBER(S342),"2025 EIA-923 plant/group proxy",IF(ISNUMBER(I342),"Technology estimate","No thermal heat rate"))</f>
        <v>No thermal heat rate</v>
      </c>
      <c r="Z342" t="str">
        <f>IF(ISNUMBER(S342),"Review: NOT unit verified",IF(AE342="No match","No EIA match",IF(AF342="Unconfirmed","Unconfirmed EIA candidate","")))</f>
        <v/>
      </c>
      <c r="AE342" t="s">
        <v>65</v>
      </c>
      <c r="AF342" t="s">
        <v>66</v>
      </c>
      <c r="AG342" s="24">
        <f>IF(ISBLANK(S342),S342,I342)</f>
        <v>0</v>
      </c>
      <c r="AH342" s="34">
        <f t="shared" si="16"/>
        <v>8642.6</v>
      </c>
      <c r="AI342">
        <f t="shared" si="15"/>
        <v>5397.1523721811209</v>
      </c>
      <c r="AJ342" t="b" cm="1">
        <f t="array" ref="AJ342">OR(D342=$AT$2:$AT$8)</f>
        <v>1</v>
      </c>
    </row>
    <row r="343" spans="1:36" x14ac:dyDescent="0.25">
      <c r="A343" s="2" t="s">
        <v>794</v>
      </c>
      <c r="B343" s="3">
        <v>52.6</v>
      </c>
      <c r="C343" s="2" t="s">
        <v>78</v>
      </c>
      <c r="D343" s="2" t="s">
        <v>78</v>
      </c>
      <c r="E343" s="2" t="s">
        <v>70</v>
      </c>
      <c r="F343" s="4" t="s">
        <v>60</v>
      </c>
      <c r="G343" s="4" t="s">
        <v>61</v>
      </c>
      <c r="H343" s="5"/>
      <c r="I343" s="5"/>
      <c r="J343" s="5"/>
      <c r="K343" s="4" t="s">
        <v>62</v>
      </c>
      <c r="L343" s="4" t="s">
        <v>63</v>
      </c>
      <c r="M343" s="6" t="str">
        <f>IF(OR(B343="",I343=""),"",B343*I343)</f>
        <v/>
      </c>
      <c r="N343" s="8" t="s">
        <v>64</v>
      </c>
      <c r="O343" s="9"/>
      <c r="P343" s="9"/>
      <c r="Q343" s="22"/>
      <c r="R343" s="22"/>
      <c r="S343" s="23" t="str">
        <f>IF(AND(ISNUMBER(Q343),Q343&gt;0,ISNUMBER(R343),R343&gt;0),R343/Q343,"")</f>
        <v/>
      </c>
      <c r="T343" s="9"/>
      <c r="U343" s="9"/>
      <c r="V343" s="9"/>
      <c r="W343" s="9"/>
      <c r="X343" s="23" t="str">
        <f>IF(ISNUMBER(S343),S343,IF(ISNUMBER(I343),I343,""))</f>
        <v/>
      </c>
      <c r="Y343" t="str">
        <f>IF(ISNUMBER(S343),"2025 EIA-923 plant/group proxy",IF(ISNUMBER(I343),"Technology estimate","No thermal heat rate"))</f>
        <v>No thermal heat rate</v>
      </c>
      <c r="Z343" t="str">
        <f>IF(ISNUMBER(S343),"Review: NOT unit verified",IF(AE343="No match","No EIA match",IF(AF343="Unconfirmed","Unconfirmed EIA candidate","")))</f>
        <v/>
      </c>
      <c r="AE343" t="s">
        <v>65</v>
      </c>
      <c r="AF343" t="s">
        <v>66</v>
      </c>
      <c r="AG343" s="24">
        <f>IF(ISBLANK(S343),S343,I343)</f>
        <v>0</v>
      </c>
      <c r="AH343" s="34">
        <f t="shared" si="16"/>
        <v>8695.2000000000007</v>
      </c>
      <c r="AI343">
        <f t="shared" si="15"/>
        <v>5430.0001511801174</v>
      </c>
      <c r="AJ343" t="b" cm="1">
        <f t="array" ref="AJ343">OR(D343=$AT$2:$AT$8)</f>
        <v>1</v>
      </c>
    </row>
    <row r="344" spans="1:36" x14ac:dyDescent="0.25">
      <c r="A344" s="2" t="s">
        <v>822</v>
      </c>
      <c r="B344" s="3">
        <v>13.1</v>
      </c>
      <c r="C344" s="2" t="s">
        <v>78</v>
      </c>
      <c r="D344" s="2" t="s">
        <v>78</v>
      </c>
      <c r="E344" s="2" t="s">
        <v>70</v>
      </c>
      <c r="F344" s="4" t="s">
        <v>60</v>
      </c>
      <c r="G344" s="4" t="s">
        <v>61</v>
      </c>
      <c r="H344" s="5"/>
      <c r="I344" s="5"/>
      <c r="J344" s="5"/>
      <c r="K344" s="4" t="s">
        <v>62</v>
      </c>
      <c r="L344" s="4" t="s">
        <v>63</v>
      </c>
      <c r="M344" s="6" t="str">
        <f>IF(OR(B344="",I344=""),"",B344*I344)</f>
        <v/>
      </c>
      <c r="N344" s="8" t="s">
        <v>64</v>
      </c>
      <c r="O344" s="9"/>
      <c r="P344" s="9"/>
      <c r="Q344" s="22"/>
      <c r="R344" s="22"/>
      <c r="S344" s="23" t="str">
        <f>IF(AND(ISNUMBER(Q344),Q344&gt;0,ISNUMBER(R344),R344&gt;0),R344/Q344,"")</f>
        <v/>
      </c>
      <c r="T344" s="9"/>
      <c r="U344" s="9"/>
      <c r="V344" s="9"/>
      <c r="W344" s="9"/>
      <c r="X344" s="23" t="str">
        <f>IF(ISNUMBER(S344),S344,IF(ISNUMBER(I344),I344,""))</f>
        <v/>
      </c>
      <c r="Y344" t="str">
        <f>IF(ISNUMBER(S344),"2025 EIA-923 plant/group proxy",IF(ISNUMBER(I344),"Technology estimate","No thermal heat rate"))</f>
        <v>No thermal heat rate</v>
      </c>
      <c r="Z344" t="str">
        <f>IF(ISNUMBER(S344),"Review: NOT unit verified",IF(AE344="No match","No EIA match",IF(AF344="Unconfirmed","Unconfirmed EIA candidate","")))</f>
        <v/>
      </c>
      <c r="AE344" t="s">
        <v>65</v>
      </c>
      <c r="AF344" t="s">
        <v>66</v>
      </c>
      <c r="AG344" s="24">
        <f>IF(ISBLANK(S344),S344,I344)</f>
        <v>0</v>
      </c>
      <c r="AH344" s="34">
        <f t="shared" si="16"/>
        <v>8708.3000000000011</v>
      </c>
      <c r="AI344">
        <f t="shared" si="15"/>
        <v>5438.1808718053435</v>
      </c>
      <c r="AJ344" t="b" cm="1">
        <f t="array" ref="AJ344">OR(D344=$AT$2:$AT$8)</f>
        <v>1</v>
      </c>
    </row>
    <row r="345" spans="1:36" x14ac:dyDescent="0.25">
      <c r="A345" s="2" t="s">
        <v>823</v>
      </c>
      <c r="B345" s="3">
        <v>47.3</v>
      </c>
      <c r="C345" s="2" t="s">
        <v>294</v>
      </c>
      <c r="D345" s="2" t="s">
        <v>81</v>
      </c>
      <c r="E345" s="2" t="s">
        <v>70</v>
      </c>
      <c r="F345" s="4" t="s">
        <v>60</v>
      </c>
      <c r="G345" s="4" t="s">
        <v>61</v>
      </c>
      <c r="H345" s="5"/>
      <c r="I345" s="5"/>
      <c r="J345" s="5"/>
      <c r="K345" s="4" t="s">
        <v>62</v>
      </c>
      <c r="L345" s="4" t="s">
        <v>63</v>
      </c>
      <c r="M345" s="6" t="str">
        <f>IF(OR(B345="",I345=""),"",B345*I345)</f>
        <v/>
      </c>
      <c r="N345" s="8" t="s">
        <v>64</v>
      </c>
      <c r="O345" s="9"/>
      <c r="P345" s="9"/>
      <c r="Q345" s="22"/>
      <c r="R345" s="22"/>
      <c r="S345" s="23" t="str">
        <f>IF(AND(ISNUMBER(Q345),Q345&gt;0,ISNUMBER(R345),R345&gt;0),R345/Q345,"")</f>
        <v/>
      </c>
      <c r="T345" s="9"/>
      <c r="U345" s="9"/>
      <c r="V345" s="9"/>
      <c r="W345" s="9"/>
      <c r="X345" s="23" t="str">
        <f>IF(ISNUMBER(S345),S345,IF(ISNUMBER(I345),I345,""))</f>
        <v/>
      </c>
      <c r="Y345" t="str">
        <f>IF(ISNUMBER(S345),"2025 EIA-923 plant/group proxy",IF(ISNUMBER(I345),"Technology estimate","No thermal heat rate"))</f>
        <v>No thermal heat rate</v>
      </c>
      <c r="Z345" t="str">
        <f>IF(ISNUMBER(S345),"Review: NOT unit verified",IF(AE345="No match","No EIA match",IF(AF345="Unconfirmed","Unconfirmed EIA candidate","")))</f>
        <v/>
      </c>
      <c r="AE345" t="s">
        <v>65</v>
      </c>
      <c r="AF345" t="s">
        <v>66</v>
      </c>
      <c r="AG345" s="24">
        <f>IF(ISBLANK(S345),S345,I345)</f>
        <v>0</v>
      </c>
      <c r="AH345" s="34">
        <f t="shared" si="16"/>
        <v>8755.6</v>
      </c>
      <c r="AI345">
        <f t="shared" si="15"/>
        <v>5467.7188936048206</v>
      </c>
      <c r="AJ345" t="b" cm="1">
        <f t="array" ref="AJ345">OR(D345=$AT$2:$AT$8)</f>
        <v>0</v>
      </c>
    </row>
    <row r="346" spans="1:36" x14ac:dyDescent="0.25">
      <c r="A346" s="2" t="s">
        <v>832</v>
      </c>
      <c r="B346" s="3">
        <v>12.6</v>
      </c>
      <c r="C346" s="2" t="s">
        <v>78</v>
      </c>
      <c r="D346" s="2" t="s">
        <v>78</v>
      </c>
      <c r="E346" s="2" t="s">
        <v>70</v>
      </c>
      <c r="F346" s="4" t="s">
        <v>60</v>
      </c>
      <c r="G346" s="4" t="s">
        <v>61</v>
      </c>
      <c r="H346" s="5"/>
      <c r="I346" s="5"/>
      <c r="J346" s="5"/>
      <c r="K346" s="4" t="s">
        <v>62</v>
      </c>
      <c r="L346" s="4" t="s">
        <v>63</v>
      </c>
      <c r="M346" s="6" t="str">
        <f>IF(OR(B346="",I346=""),"",B346*I346)</f>
        <v/>
      </c>
      <c r="N346" s="8" t="s">
        <v>64</v>
      </c>
      <c r="O346" s="9"/>
      <c r="P346" s="9"/>
      <c r="Q346" s="22"/>
      <c r="R346" s="22"/>
      <c r="S346" s="23" t="str">
        <f>IF(AND(ISNUMBER(Q346),Q346&gt;0,ISNUMBER(R346),R346&gt;0),R346/Q346,"")</f>
        <v/>
      </c>
      <c r="T346" s="9"/>
      <c r="U346" s="9"/>
      <c r="V346" s="9"/>
      <c r="W346" s="9"/>
      <c r="X346" s="23" t="str">
        <f>IF(ISNUMBER(S346),S346,IF(ISNUMBER(I346),I346,""))</f>
        <v/>
      </c>
      <c r="Y346" t="str">
        <f>IF(ISNUMBER(S346),"2025 EIA-923 plant/group proxy",IF(ISNUMBER(I346),"Technology estimate","No thermal heat rate"))</f>
        <v>No thermal heat rate</v>
      </c>
      <c r="Z346" t="str">
        <f>IF(ISNUMBER(S346),"Review: NOT unit verified",IF(AE346="No match","No EIA match",IF(AF346="Unconfirmed","Unconfirmed EIA candidate","")))</f>
        <v/>
      </c>
      <c r="AE346" t="s">
        <v>65</v>
      </c>
      <c r="AF346" t="s">
        <v>66</v>
      </c>
      <c r="AG346" s="24">
        <f>IF(ISBLANK(S346),S346,I346)</f>
        <v>0</v>
      </c>
      <c r="AH346" s="34">
        <f t="shared" si="16"/>
        <v>8768.2000000000007</v>
      </c>
      <c r="AI346">
        <f t="shared" si="15"/>
        <v>5475.587372984809</v>
      </c>
      <c r="AJ346" t="b" cm="1">
        <f t="array" ref="AJ346">OR(D346=$AT$2:$AT$8)</f>
        <v>1</v>
      </c>
    </row>
    <row r="347" spans="1:36" x14ac:dyDescent="0.25">
      <c r="A347" s="2" t="s">
        <v>833</v>
      </c>
      <c r="B347" s="3">
        <v>53.1</v>
      </c>
      <c r="C347" s="2" t="s">
        <v>78</v>
      </c>
      <c r="D347" s="2" t="s">
        <v>78</v>
      </c>
      <c r="E347" s="2" t="s">
        <v>70</v>
      </c>
      <c r="F347" s="4" t="s">
        <v>60</v>
      </c>
      <c r="G347" s="4" t="s">
        <v>61</v>
      </c>
      <c r="H347" s="5"/>
      <c r="I347" s="5"/>
      <c r="J347" s="5"/>
      <c r="K347" s="4" t="s">
        <v>62</v>
      </c>
      <c r="L347" s="4" t="s">
        <v>63</v>
      </c>
      <c r="M347" s="6" t="str">
        <f>IF(OR(B347="",I347=""),"",B347*I347)</f>
        <v/>
      </c>
      <c r="N347" s="8" t="s">
        <v>64</v>
      </c>
      <c r="O347" s="9"/>
      <c r="P347" s="9"/>
      <c r="Q347" s="22"/>
      <c r="R347" s="22"/>
      <c r="S347" s="23" t="str">
        <f>IF(AND(ISNUMBER(Q347),Q347&gt;0,ISNUMBER(R347),R347&gt;0),R347/Q347,"")</f>
        <v/>
      </c>
      <c r="T347" s="9"/>
      <c r="U347" s="9"/>
      <c r="V347" s="9"/>
      <c r="W347" s="9"/>
      <c r="X347" s="23" t="str">
        <f>IF(ISNUMBER(S347),S347,IF(ISNUMBER(I347),I347,""))</f>
        <v/>
      </c>
      <c r="Y347" t="str">
        <f>IF(ISNUMBER(S347),"2025 EIA-923 plant/group proxy",IF(ISNUMBER(I347),"Technology estimate","No thermal heat rate"))</f>
        <v>No thermal heat rate</v>
      </c>
      <c r="Z347" t="str">
        <f>IF(ISNUMBER(S347),"Review: NOT unit verified",IF(AE347="No match","No EIA match",IF(AF347="Unconfirmed","Unconfirmed EIA candidate","")))</f>
        <v/>
      </c>
      <c r="AE347" t="s">
        <v>65</v>
      </c>
      <c r="AF347" t="s">
        <v>66</v>
      </c>
      <c r="AG347" s="24">
        <f>IF(ISBLANK(S347),S347,I347)</f>
        <v>0</v>
      </c>
      <c r="AH347" s="34">
        <f t="shared" si="16"/>
        <v>8821.3000000000011</v>
      </c>
      <c r="AI347">
        <f t="shared" si="15"/>
        <v>5508.7473932290432</v>
      </c>
      <c r="AJ347" t="b" cm="1">
        <f t="array" ref="AJ347">OR(D347=$AT$2:$AT$8)</f>
        <v>1</v>
      </c>
    </row>
    <row r="348" spans="1:36" x14ac:dyDescent="0.25">
      <c r="A348" s="2" t="s">
        <v>845</v>
      </c>
      <c r="B348" s="3">
        <v>60.2</v>
      </c>
      <c r="C348" s="2" t="s">
        <v>80</v>
      </c>
      <c r="D348" s="2" t="s">
        <v>81</v>
      </c>
      <c r="E348" s="2" t="s">
        <v>70</v>
      </c>
      <c r="F348" s="4" t="s">
        <v>60</v>
      </c>
      <c r="G348" s="4" t="s">
        <v>61</v>
      </c>
      <c r="H348" s="5"/>
      <c r="I348" s="5"/>
      <c r="J348" s="5"/>
      <c r="K348" s="4" t="s">
        <v>62</v>
      </c>
      <c r="L348" s="4" t="s">
        <v>63</v>
      </c>
      <c r="M348" s="6" t="str">
        <f>IF(OR(B348="",I348=""),"",B348*I348)</f>
        <v/>
      </c>
      <c r="N348" s="8" t="s">
        <v>64</v>
      </c>
      <c r="O348" s="9"/>
      <c r="P348" s="9"/>
      <c r="Q348" s="22"/>
      <c r="R348" s="22"/>
      <c r="S348" s="23" t="str">
        <f>IF(AND(ISNUMBER(Q348),Q348&gt;0,ISNUMBER(R348),R348&gt;0),R348/Q348,"")</f>
        <v/>
      </c>
      <c r="T348" s="9"/>
      <c r="U348" s="9"/>
      <c r="V348" s="9"/>
      <c r="W348" s="9"/>
      <c r="X348" s="23" t="str">
        <f>IF(ISNUMBER(S348),S348,IF(ISNUMBER(I348),I348,""))</f>
        <v/>
      </c>
      <c r="Y348" t="str">
        <f>IF(ISNUMBER(S348),"2025 EIA-923 plant/group proxy",IF(ISNUMBER(I348),"Technology estimate","No thermal heat rate"))</f>
        <v>No thermal heat rate</v>
      </c>
      <c r="Z348" t="str">
        <f>IF(ISNUMBER(S348),"Review: NOT unit verified",IF(AE348="No match","No EIA match",IF(AF348="Unconfirmed","Unconfirmed EIA candidate","")))</f>
        <v/>
      </c>
      <c r="AE348" t="s">
        <v>65</v>
      </c>
      <c r="AF348" t="s">
        <v>66</v>
      </c>
      <c r="AG348" s="24">
        <f>IF(ISBLANK(S348),S348,I348)</f>
        <v>0</v>
      </c>
      <c r="AH348" s="34">
        <f t="shared" si="16"/>
        <v>8881.5000000000018</v>
      </c>
      <c r="AI348">
        <f t="shared" si="15"/>
        <v>5546.3412391556512</v>
      </c>
      <c r="AJ348" t="b" cm="1">
        <f t="array" ref="AJ348">OR(D348=$AT$2:$AT$8)</f>
        <v>0</v>
      </c>
    </row>
    <row r="349" spans="1:36" x14ac:dyDescent="0.25">
      <c r="A349" s="2" t="s">
        <v>846</v>
      </c>
      <c r="B349" s="3">
        <v>129</v>
      </c>
      <c r="C349" s="2" t="s">
        <v>80</v>
      </c>
      <c r="D349" s="2" t="s">
        <v>81</v>
      </c>
      <c r="E349" s="2" t="s">
        <v>70</v>
      </c>
      <c r="F349" s="4" t="s">
        <v>60</v>
      </c>
      <c r="G349" s="4" t="s">
        <v>61</v>
      </c>
      <c r="H349" s="5"/>
      <c r="I349" s="5"/>
      <c r="J349" s="5"/>
      <c r="K349" s="4" t="s">
        <v>62</v>
      </c>
      <c r="L349" s="4" t="s">
        <v>63</v>
      </c>
      <c r="M349" s="6" t="str">
        <f>IF(OR(B349="",I349=""),"",B349*I349)</f>
        <v/>
      </c>
      <c r="N349" s="8" t="s">
        <v>64</v>
      </c>
      <c r="O349" s="9"/>
      <c r="P349" s="9"/>
      <c r="Q349" s="22"/>
      <c r="R349" s="22"/>
      <c r="S349" s="23" t="str">
        <f>IF(AND(ISNUMBER(Q349),Q349&gt;0,ISNUMBER(R349),R349&gt;0),R349/Q349,"")</f>
        <v/>
      </c>
      <c r="T349" s="9"/>
      <c r="U349" s="9"/>
      <c r="V349" s="9"/>
      <c r="W349" s="9"/>
      <c r="X349" s="23" t="str">
        <f>IF(ISNUMBER(S349),S349,IF(ISNUMBER(I349),I349,""))</f>
        <v/>
      </c>
      <c r="Y349" t="str">
        <f>IF(ISNUMBER(S349),"2025 EIA-923 plant/group proxy",IF(ISNUMBER(I349),"Technology estimate","No thermal heat rate"))</f>
        <v>No thermal heat rate</v>
      </c>
      <c r="Z349" t="str">
        <f>IF(ISNUMBER(S349),"Review: NOT unit verified",IF(AE349="No match","No EIA match",IF(AF349="Unconfirmed","Unconfirmed EIA candidate","")))</f>
        <v/>
      </c>
      <c r="AE349" t="s">
        <v>65</v>
      </c>
      <c r="AF349" t="s">
        <v>66</v>
      </c>
      <c r="AG349" s="24">
        <f>IF(ISBLANK(S349),S349,I349)</f>
        <v>0</v>
      </c>
      <c r="AH349" s="34">
        <f t="shared" si="16"/>
        <v>9010.5000000000018</v>
      </c>
      <c r="AI349">
        <f t="shared" si="15"/>
        <v>5626.8994804269551</v>
      </c>
      <c r="AJ349" t="b" cm="1">
        <f t="array" ref="AJ349">OR(D349=$AT$2:$AT$8)</f>
        <v>0</v>
      </c>
    </row>
    <row r="350" spans="1:36" x14ac:dyDescent="0.25">
      <c r="A350" s="2" t="s">
        <v>892</v>
      </c>
      <c r="B350" s="3">
        <v>102</v>
      </c>
      <c r="C350" s="2" t="s">
        <v>99</v>
      </c>
      <c r="D350" s="2" t="s">
        <v>81</v>
      </c>
      <c r="E350" s="2" t="s">
        <v>70</v>
      </c>
      <c r="F350" s="4" t="s">
        <v>60</v>
      </c>
      <c r="G350" s="4" t="s">
        <v>61</v>
      </c>
      <c r="H350" s="5"/>
      <c r="I350" s="5"/>
      <c r="J350" s="5"/>
      <c r="K350" s="4" t="s">
        <v>62</v>
      </c>
      <c r="L350" s="4" t="s">
        <v>63</v>
      </c>
      <c r="M350" s="6" t="str">
        <f>IF(OR(B350="",I350=""),"",B350*I350)</f>
        <v/>
      </c>
      <c r="N350" s="8" t="s">
        <v>64</v>
      </c>
      <c r="O350" s="9"/>
      <c r="P350" s="9"/>
      <c r="Q350" s="22"/>
      <c r="R350" s="22"/>
      <c r="S350" s="23" t="str">
        <f>IF(AND(ISNUMBER(Q350),Q350&gt;0,ISNUMBER(R350),R350&gt;0),R350/Q350,"")</f>
        <v/>
      </c>
      <c r="T350" s="9"/>
      <c r="U350" s="9"/>
      <c r="V350" s="9"/>
      <c r="W350" s="9"/>
      <c r="X350" s="23" t="str">
        <f>IF(ISNUMBER(S350),S350,IF(ISNUMBER(I350),I350,""))</f>
        <v/>
      </c>
      <c r="Y350" t="str">
        <f>IF(ISNUMBER(S350),"2025 EIA-923 plant/group proxy",IF(ISNUMBER(I350),"Technology estimate","No thermal heat rate"))</f>
        <v>No thermal heat rate</v>
      </c>
      <c r="Z350" t="str">
        <f>IF(ISNUMBER(S350),"Review: NOT unit verified",IF(AE350="No match","No EIA match",IF(AF350="Unconfirmed","Unconfirmed EIA candidate","")))</f>
        <v/>
      </c>
      <c r="AE350" t="s">
        <v>65</v>
      </c>
      <c r="AF350" t="s">
        <v>66</v>
      </c>
      <c r="AG350" s="24">
        <f>IF(ISBLANK(S350),S350,I350)</f>
        <v>0</v>
      </c>
      <c r="AH350" s="34">
        <f t="shared" si="16"/>
        <v>9112.5000000000018</v>
      </c>
      <c r="AI350">
        <f t="shared" si="15"/>
        <v>5690.5966944554266</v>
      </c>
      <c r="AJ350" t="b" cm="1">
        <f t="array" ref="AJ350">OR(D350=$AT$2:$AT$8)</f>
        <v>0</v>
      </c>
    </row>
    <row r="351" spans="1:36" x14ac:dyDescent="0.25">
      <c r="A351" s="2" t="s">
        <v>893</v>
      </c>
      <c r="B351" s="3">
        <v>129</v>
      </c>
      <c r="C351" s="2" t="s">
        <v>99</v>
      </c>
      <c r="D351" s="2" t="s">
        <v>81</v>
      </c>
      <c r="E351" s="2" t="s">
        <v>70</v>
      </c>
      <c r="F351" s="4" t="s">
        <v>60</v>
      </c>
      <c r="G351" s="4" t="s">
        <v>61</v>
      </c>
      <c r="H351" s="5"/>
      <c r="I351" s="5"/>
      <c r="J351" s="5"/>
      <c r="K351" s="4" t="s">
        <v>62</v>
      </c>
      <c r="L351" s="4" t="s">
        <v>63</v>
      </c>
      <c r="M351" s="6" t="str">
        <f>IF(OR(B351="",I351=""),"",B351*I351)</f>
        <v/>
      </c>
      <c r="N351" s="8" t="s">
        <v>64</v>
      </c>
      <c r="O351" s="9"/>
      <c r="P351" s="9"/>
      <c r="Q351" s="22"/>
      <c r="R351" s="22"/>
      <c r="S351" s="23" t="str">
        <f>IF(AND(ISNUMBER(Q351),Q351&gt;0,ISNUMBER(R351),R351&gt;0),R351/Q351,"")</f>
        <v/>
      </c>
      <c r="T351" s="9"/>
      <c r="U351" s="9"/>
      <c r="V351" s="9"/>
      <c r="W351" s="9"/>
      <c r="X351" s="23" t="str">
        <f>IF(ISNUMBER(S351),S351,IF(ISNUMBER(I351),I351,""))</f>
        <v/>
      </c>
      <c r="Y351" t="str">
        <f>IF(ISNUMBER(S351),"2025 EIA-923 plant/group proxy",IF(ISNUMBER(I351),"Technology estimate","No thermal heat rate"))</f>
        <v>No thermal heat rate</v>
      </c>
      <c r="Z351" t="str">
        <f>IF(ISNUMBER(S351),"Review: NOT unit verified",IF(AE351="No match","No EIA match",IF(AF351="Unconfirmed","Unconfirmed EIA candidate","")))</f>
        <v/>
      </c>
      <c r="AE351" t="s">
        <v>65</v>
      </c>
      <c r="AF351" t="s">
        <v>66</v>
      </c>
      <c r="AG351" s="24">
        <f>IF(ISBLANK(S351),S351,I351)</f>
        <v>0</v>
      </c>
      <c r="AH351" s="34">
        <f t="shared" si="16"/>
        <v>9241.5000000000018</v>
      </c>
      <c r="AI351">
        <f t="shared" si="15"/>
        <v>5771.1549357267304</v>
      </c>
      <c r="AJ351" t="b" cm="1">
        <f t="array" ref="AJ351">OR(D351=$AT$2:$AT$8)</f>
        <v>0</v>
      </c>
    </row>
    <row r="352" spans="1:36" x14ac:dyDescent="0.25">
      <c r="A352" s="2" t="s">
        <v>894</v>
      </c>
      <c r="B352" s="3">
        <v>150</v>
      </c>
      <c r="C352" s="2" t="s">
        <v>99</v>
      </c>
      <c r="D352" s="2" t="s">
        <v>81</v>
      </c>
      <c r="E352" s="2" t="s">
        <v>70</v>
      </c>
      <c r="F352" s="4" t="s">
        <v>60</v>
      </c>
      <c r="G352" s="4" t="s">
        <v>61</v>
      </c>
      <c r="H352" s="5"/>
      <c r="I352" s="5"/>
      <c r="J352" s="5"/>
      <c r="K352" s="4" t="s">
        <v>62</v>
      </c>
      <c r="L352" s="4" t="s">
        <v>63</v>
      </c>
      <c r="M352" s="6" t="str">
        <f>IF(OR(B352="",I352=""),"",B352*I352)</f>
        <v/>
      </c>
      <c r="N352" s="8" t="s">
        <v>64</v>
      </c>
      <c r="O352" s="9"/>
      <c r="P352" s="9"/>
      <c r="Q352" s="22"/>
      <c r="R352" s="22"/>
      <c r="S352" s="23" t="str">
        <f>IF(AND(ISNUMBER(Q352),Q352&gt;0,ISNUMBER(R352),R352&gt;0),R352/Q352,"")</f>
        <v/>
      </c>
      <c r="T352" s="9"/>
      <c r="U352" s="9"/>
      <c r="V352" s="9"/>
      <c r="W352" s="9"/>
      <c r="X352" s="23" t="str">
        <f>IF(ISNUMBER(S352),S352,IF(ISNUMBER(I352),I352,""))</f>
        <v/>
      </c>
      <c r="Y352" t="str">
        <f>IF(ISNUMBER(S352),"2025 EIA-923 plant/group proxy",IF(ISNUMBER(I352),"Technology estimate","No thermal heat rate"))</f>
        <v>No thermal heat rate</v>
      </c>
      <c r="Z352" t="str">
        <f>IF(ISNUMBER(S352),"Review: NOT unit verified",IF(AE352="No match","No EIA match",IF(AF352="Unconfirmed","Unconfirmed EIA candidate","")))</f>
        <v/>
      </c>
      <c r="AE352" t="s">
        <v>65</v>
      </c>
      <c r="AF352" t="s">
        <v>66</v>
      </c>
      <c r="AG352" s="24">
        <f>IF(ISBLANK(S352),S352,I352)</f>
        <v>0</v>
      </c>
      <c r="AH352" s="34">
        <f t="shared" si="16"/>
        <v>9391.5000000000018</v>
      </c>
      <c r="AI352">
        <f t="shared" si="15"/>
        <v>5864.8273092980126</v>
      </c>
      <c r="AJ352" t="b" cm="1">
        <f t="array" ref="AJ352">OR(D352=$AT$2:$AT$8)</f>
        <v>0</v>
      </c>
    </row>
    <row r="353" spans="1:36" x14ac:dyDescent="0.25">
      <c r="A353" s="2" t="s">
        <v>900</v>
      </c>
      <c r="B353" s="3">
        <v>56</v>
      </c>
      <c r="C353" s="2" t="s">
        <v>78</v>
      </c>
      <c r="D353" s="2" t="s">
        <v>78</v>
      </c>
      <c r="E353" s="2" t="s">
        <v>70</v>
      </c>
      <c r="F353" s="4" t="s">
        <v>60</v>
      </c>
      <c r="G353" s="4" t="s">
        <v>61</v>
      </c>
      <c r="H353" s="5"/>
      <c r="I353" s="5"/>
      <c r="J353" s="5"/>
      <c r="K353" s="4" t="s">
        <v>62</v>
      </c>
      <c r="L353" s="4" t="s">
        <v>63</v>
      </c>
      <c r="M353" s="6" t="str">
        <f>IF(OR(B353="",I353=""),"",B353*I353)</f>
        <v/>
      </c>
      <c r="N353" s="8" t="s">
        <v>64</v>
      </c>
      <c r="O353" s="9"/>
      <c r="P353" s="9"/>
      <c r="Q353" s="22"/>
      <c r="R353" s="22"/>
      <c r="S353" s="23" t="str">
        <f>IF(AND(ISNUMBER(Q353),Q353&gt;0,ISNUMBER(R353),R353&gt;0),R353/Q353,"")</f>
        <v/>
      </c>
      <c r="T353" s="9"/>
      <c r="U353" s="9"/>
      <c r="V353" s="9"/>
      <c r="W353" s="9"/>
      <c r="X353" s="23" t="str">
        <f>IF(ISNUMBER(S353),S353,IF(ISNUMBER(I353),I353,""))</f>
        <v/>
      </c>
      <c r="Y353" t="str">
        <f>IF(ISNUMBER(S353),"2025 EIA-923 plant/group proxy",IF(ISNUMBER(I353),"Technology estimate","No thermal heat rate"))</f>
        <v>No thermal heat rate</v>
      </c>
      <c r="Z353" t="str">
        <f>IF(ISNUMBER(S353),"Review: NOT unit verified",IF(AE353="No match","No EIA match",IF(AF353="Unconfirmed","Unconfirmed EIA candidate","")))</f>
        <v/>
      </c>
      <c r="AE353" t="s">
        <v>65</v>
      </c>
      <c r="AF353" t="s">
        <v>66</v>
      </c>
      <c r="AG353" s="24">
        <f>IF(ISBLANK(S353),S353,I353)</f>
        <v>0</v>
      </c>
      <c r="AH353" s="34">
        <f t="shared" si="16"/>
        <v>9447.5000000000018</v>
      </c>
      <c r="AI353">
        <f t="shared" si="15"/>
        <v>5899.7983287646248</v>
      </c>
      <c r="AJ353" t="b" cm="1">
        <f t="array" ref="AJ353">OR(D353=$AT$2:$AT$8)</f>
        <v>1</v>
      </c>
    </row>
    <row r="354" spans="1:36" x14ac:dyDescent="0.25">
      <c r="A354" s="2" t="s">
        <v>925</v>
      </c>
      <c r="B354" s="3">
        <v>42</v>
      </c>
      <c r="C354" s="2" t="s">
        <v>97</v>
      </c>
      <c r="D354" s="2" t="s">
        <v>97</v>
      </c>
      <c r="E354" s="2" t="s">
        <v>70</v>
      </c>
      <c r="F354" s="4" t="s">
        <v>60</v>
      </c>
      <c r="G354" s="4" t="s">
        <v>61</v>
      </c>
      <c r="H354" s="5"/>
      <c r="I354" s="5"/>
      <c r="J354" s="5"/>
      <c r="K354" s="4" t="s">
        <v>62</v>
      </c>
      <c r="L354" s="4" t="s">
        <v>63</v>
      </c>
      <c r="M354" s="6" t="str">
        <f>IF(OR(B354="",I354=""),"",B354*I354)</f>
        <v/>
      </c>
      <c r="N354" s="8" t="s">
        <v>64</v>
      </c>
      <c r="O354" s="9"/>
      <c r="P354" s="9"/>
      <c r="Q354" s="22"/>
      <c r="R354" s="22"/>
      <c r="S354" s="23" t="str">
        <f>IF(AND(ISNUMBER(Q354),Q354&gt;0,ISNUMBER(R354),R354&gt;0),R354/Q354,"")</f>
        <v/>
      </c>
      <c r="T354" s="9"/>
      <c r="U354" s="9"/>
      <c r="V354" s="9"/>
      <c r="W354" s="9"/>
      <c r="X354" s="23" t="str">
        <f>IF(ISNUMBER(S354),S354,IF(ISNUMBER(I354),I354,""))</f>
        <v/>
      </c>
      <c r="Y354" t="str">
        <f>IF(ISNUMBER(S354),"2025 EIA-923 plant/group proxy",IF(ISNUMBER(I354),"Technology estimate","No thermal heat rate"))</f>
        <v>No thermal heat rate</v>
      </c>
      <c r="Z354" t="str">
        <f>IF(ISNUMBER(S354),"Review: NOT unit verified",IF(AE354="No match","No EIA match",IF(AF354="Unconfirmed","Unconfirmed EIA candidate","")))</f>
        <v/>
      </c>
      <c r="AE354" t="s">
        <v>65</v>
      </c>
      <c r="AF354" t="s">
        <v>66</v>
      </c>
      <c r="AG354" s="24">
        <f>IF(ISBLANK(S354),S354,I354)</f>
        <v>0</v>
      </c>
      <c r="AH354" s="34">
        <f t="shared" si="16"/>
        <v>9489.5000000000018</v>
      </c>
      <c r="AI354">
        <f t="shared" si="15"/>
        <v>5926.0265933645842</v>
      </c>
      <c r="AJ354" t="b" cm="1">
        <f t="array" ref="AJ354">OR(D354=$AT$2:$AT$8)</f>
        <v>0</v>
      </c>
    </row>
    <row r="355" spans="1:36" x14ac:dyDescent="0.25">
      <c r="A355" s="2" t="s">
        <v>928</v>
      </c>
      <c r="B355" s="3">
        <v>13.3</v>
      </c>
      <c r="C355" s="2" t="s">
        <v>347</v>
      </c>
      <c r="D355" s="2" t="s">
        <v>347</v>
      </c>
      <c r="E355" s="2" t="s">
        <v>70</v>
      </c>
      <c r="F355" s="4" t="s">
        <v>60</v>
      </c>
      <c r="G355" s="4" t="s">
        <v>61</v>
      </c>
      <c r="H355" s="5"/>
      <c r="I355" s="5"/>
      <c r="J355" s="5"/>
      <c r="K355" s="4" t="s">
        <v>62</v>
      </c>
      <c r="L355" s="4" t="s">
        <v>63</v>
      </c>
      <c r="M355" s="6" t="str">
        <f>IF(OR(B355="",I355=""),"",B355*I355)</f>
        <v/>
      </c>
      <c r="N355" s="8" t="s">
        <v>64</v>
      </c>
      <c r="O355" s="9"/>
      <c r="P355" s="9"/>
      <c r="Q355" s="22"/>
      <c r="R355" s="22"/>
      <c r="S355" s="23" t="str">
        <f>IF(AND(ISNUMBER(Q355),Q355&gt;0,ISNUMBER(R355),R355&gt;0),R355/Q355,"")</f>
        <v/>
      </c>
      <c r="T355" s="9"/>
      <c r="U355" s="9"/>
      <c r="V355" s="9"/>
      <c r="W355" s="9"/>
      <c r="X355" s="23" t="str">
        <f>IF(ISNUMBER(S355),S355,IF(ISNUMBER(I355),I355,""))</f>
        <v/>
      </c>
      <c r="Y355" t="str">
        <f>IF(ISNUMBER(S355),"2025 EIA-923 plant/group proxy",IF(ISNUMBER(I355),"Technology estimate","No thermal heat rate"))</f>
        <v>No thermal heat rate</v>
      </c>
      <c r="Z355" t="str">
        <f>IF(ISNUMBER(S355),"Review: NOT unit verified",IF(AE355="No match","No EIA match",IF(AF355="Unconfirmed","Unconfirmed EIA candidate","")))</f>
        <v/>
      </c>
      <c r="AE355" t="s">
        <v>65</v>
      </c>
      <c r="AF355" t="s">
        <v>66</v>
      </c>
      <c r="AG355" s="24">
        <f>IF(ISBLANK(S355),S355,I355)</f>
        <v>0</v>
      </c>
      <c r="AH355" s="34">
        <f t="shared" si="16"/>
        <v>9502.8000000000011</v>
      </c>
      <c r="AI355">
        <f t="shared" si="15"/>
        <v>5934.3322104879044</v>
      </c>
      <c r="AJ355" t="b" cm="1">
        <f t="array" ref="AJ355">OR(D355=$AT$2:$AT$8)</f>
        <v>0</v>
      </c>
    </row>
    <row r="356" spans="1:36" x14ac:dyDescent="0.25">
      <c r="A356" s="2" t="s">
        <v>929</v>
      </c>
      <c r="B356" s="3">
        <v>24.7</v>
      </c>
      <c r="C356" s="2" t="s">
        <v>347</v>
      </c>
      <c r="D356" s="2" t="s">
        <v>347</v>
      </c>
      <c r="E356" s="2" t="s">
        <v>70</v>
      </c>
      <c r="F356" s="4" t="s">
        <v>60</v>
      </c>
      <c r="G356" s="4" t="s">
        <v>61</v>
      </c>
      <c r="H356" s="5"/>
      <c r="I356" s="5"/>
      <c r="J356" s="5"/>
      <c r="K356" s="4" t="s">
        <v>62</v>
      </c>
      <c r="L356" s="4" t="s">
        <v>63</v>
      </c>
      <c r="M356" s="6" t="str">
        <f>IF(OR(B356="",I356=""),"",B356*I356)</f>
        <v/>
      </c>
      <c r="N356" s="8" t="s">
        <v>64</v>
      </c>
      <c r="O356" s="9"/>
      <c r="P356" s="9"/>
      <c r="Q356" s="22"/>
      <c r="R356" s="22"/>
      <c r="S356" s="23" t="str">
        <f>IF(AND(ISNUMBER(Q356),Q356&gt;0,ISNUMBER(R356),R356&gt;0),R356/Q356,"")</f>
        <v/>
      </c>
      <c r="T356" s="9"/>
      <c r="U356" s="9"/>
      <c r="V356" s="9"/>
      <c r="W356" s="9"/>
      <c r="X356" s="23" t="str">
        <f>IF(ISNUMBER(S356),S356,IF(ISNUMBER(I356),I356,""))</f>
        <v/>
      </c>
      <c r="Y356" t="str">
        <f>IF(ISNUMBER(S356),"2025 EIA-923 plant/group proxy",IF(ISNUMBER(I356),"Technology estimate","No thermal heat rate"))</f>
        <v>No thermal heat rate</v>
      </c>
      <c r="Z356" t="str">
        <f>IF(ISNUMBER(S356),"Review: NOT unit verified",IF(AE356="No match","No EIA match",IF(AF356="Unconfirmed","Unconfirmed EIA candidate","")))</f>
        <v/>
      </c>
      <c r="AE356" t="s">
        <v>65</v>
      </c>
      <c r="AF356" t="s">
        <v>66</v>
      </c>
      <c r="AG356" s="24">
        <f>IF(ISBLANK(S356),S356,I356)</f>
        <v>0</v>
      </c>
      <c r="AH356" s="34">
        <f t="shared" si="16"/>
        <v>9527.5000000000018</v>
      </c>
      <c r="AI356">
        <f t="shared" si="15"/>
        <v>5949.7569280026428</v>
      </c>
      <c r="AJ356" t="b" cm="1">
        <f t="array" ref="AJ356">OR(D356=$AT$2:$AT$8)</f>
        <v>0</v>
      </c>
    </row>
    <row r="357" spans="1:36" x14ac:dyDescent="0.25">
      <c r="A357" s="2" t="s">
        <v>930</v>
      </c>
      <c r="B357" s="3">
        <v>114</v>
      </c>
      <c r="C357" s="2" t="s">
        <v>347</v>
      </c>
      <c r="D357" s="2" t="s">
        <v>347</v>
      </c>
      <c r="E357" s="2" t="s">
        <v>70</v>
      </c>
      <c r="F357" s="4" t="s">
        <v>60</v>
      </c>
      <c r="G357" s="4" t="s">
        <v>61</v>
      </c>
      <c r="H357" s="5"/>
      <c r="I357" s="5"/>
      <c r="J357" s="5"/>
      <c r="K357" s="4" t="s">
        <v>62</v>
      </c>
      <c r="L357" s="4" t="s">
        <v>63</v>
      </c>
      <c r="M357" s="6" t="str">
        <f>IF(OR(B357="",I357=""),"",B357*I357)</f>
        <v/>
      </c>
      <c r="N357" s="8" t="s">
        <v>64</v>
      </c>
      <c r="O357" s="9"/>
      <c r="P357" s="9"/>
      <c r="Q357" s="22"/>
      <c r="R357" s="22"/>
      <c r="S357" s="23" t="str">
        <f>IF(AND(ISNUMBER(Q357),Q357&gt;0,ISNUMBER(R357),R357&gt;0),R357/Q357,"")</f>
        <v/>
      </c>
      <c r="T357" s="9"/>
      <c r="U357" s="9"/>
      <c r="V357" s="9"/>
      <c r="W357" s="9"/>
      <c r="X357" s="23" t="str">
        <f>IF(ISNUMBER(S357),S357,IF(ISNUMBER(I357),I357,""))</f>
        <v/>
      </c>
      <c r="Y357" t="str">
        <f>IF(ISNUMBER(S357),"2025 EIA-923 plant/group proxy",IF(ISNUMBER(I357),"Technology estimate","No thermal heat rate"))</f>
        <v>No thermal heat rate</v>
      </c>
      <c r="Z357" t="str">
        <f>IF(ISNUMBER(S357),"Review: NOT unit verified",IF(AE357="No match","No EIA match",IF(AF357="Unconfirmed","Unconfirmed EIA candidate","")))</f>
        <v/>
      </c>
      <c r="AE357" t="s">
        <v>65</v>
      </c>
      <c r="AF357" t="s">
        <v>66</v>
      </c>
      <c r="AG357" s="24">
        <f>IF(ISBLANK(S357),S357,I357)</f>
        <v>0</v>
      </c>
      <c r="AH357" s="34">
        <f t="shared" si="16"/>
        <v>9641.5000000000018</v>
      </c>
      <c r="AI357">
        <f t="shared" si="15"/>
        <v>6020.9479319168177</v>
      </c>
      <c r="AJ357" t="b" cm="1">
        <f t="array" ref="AJ357">OR(D357=$AT$2:$AT$8)</f>
        <v>0</v>
      </c>
    </row>
    <row r="358" spans="1:36" x14ac:dyDescent="0.25">
      <c r="A358" s="2" t="s">
        <v>933</v>
      </c>
      <c r="B358" s="3">
        <v>120</v>
      </c>
      <c r="C358" s="2" t="s">
        <v>319</v>
      </c>
      <c r="D358" s="2" t="s">
        <v>319</v>
      </c>
      <c r="E358" s="2" t="s">
        <v>70</v>
      </c>
      <c r="F358" s="4" t="s">
        <v>60</v>
      </c>
      <c r="G358" s="4" t="s">
        <v>61</v>
      </c>
      <c r="H358" s="5"/>
      <c r="I358" s="5"/>
      <c r="J358" s="5"/>
      <c r="K358" s="4" t="s">
        <v>62</v>
      </c>
      <c r="L358" s="4" t="s">
        <v>63</v>
      </c>
      <c r="M358" s="6" t="str">
        <f>IF(OR(B358="",I358=""),"",B358*I358)</f>
        <v/>
      </c>
      <c r="N358" s="8" t="s">
        <v>64</v>
      </c>
      <c r="O358" s="9"/>
      <c r="P358" s="9"/>
      <c r="Q358" s="22"/>
      <c r="R358" s="22"/>
      <c r="S358" s="23" t="str">
        <f>IF(AND(ISNUMBER(Q358),Q358&gt;0,ISNUMBER(R358),R358&gt;0),R358/Q358,"")</f>
        <v/>
      </c>
      <c r="T358" s="9"/>
      <c r="U358" s="9"/>
      <c r="V358" s="9"/>
      <c r="W358" s="9"/>
      <c r="X358" s="23" t="str">
        <f>IF(ISNUMBER(S358),S358,IF(ISNUMBER(I358),I358,""))</f>
        <v/>
      </c>
      <c r="Y358" t="str">
        <f>IF(ISNUMBER(S358),"2025 EIA-923 plant/group proxy",IF(ISNUMBER(I358),"Technology estimate","No thermal heat rate"))</f>
        <v>No thermal heat rate</v>
      </c>
      <c r="Z358" t="str">
        <f>IF(ISNUMBER(S358),"Review: NOT unit verified",IF(AE358="No match","No EIA match",IF(AF358="Unconfirmed","Unconfirmed EIA candidate","")))</f>
        <v/>
      </c>
      <c r="AE358" t="s">
        <v>65</v>
      </c>
      <c r="AF358" t="s">
        <v>66</v>
      </c>
      <c r="AG358" s="24">
        <f>IF(ISBLANK(S358),S358,I358)</f>
        <v>0</v>
      </c>
      <c r="AH358" s="34">
        <f t="shared" si="16"/>
        <v>9761.5000000000018</v>
      </c>
      <c r="AI358">
        <f t="shared" si="15"/>
        <v>6095.8858307738437</v>
      </c>
      <c r="AJ358" t="b" cm="1">
        <f t="array" ref="AJ358">OR(D358=$AT$2:$AT$8)</f>
        <v>0</v>
      </c>
    </row>
    <row r="359" spans="1:36" x14ac:dyDescent="0.25">
      <c r="A359" s="2" t="s">
        <v>937</v>
      </c>
      <c r="B359" s="3">
        <v>10.9</v>
      </c>
      <c r="C359" s="2" t="s">
        <v>78</v>
      </c>
      <c r="D359" s="2" t="s">
        <v>78</v>
      </c>
      <c r="E359" s="2" t="s">
        <v>70</v>
      </c>
      <c r="F359" s="4" t="s">
        <v>60</v>
      </c>
      <c r="G359" s="4" t="s">
        <v>61</v>
      </c>
      <c r="H359" s="5"/>
      <c r="I359" s="5"/>
      <c r="J359" s="5"/>
      <c r="K359" s="4" t="s">
        <v>62</v>
      </c>
      <c r="L359" s="4" t="s">
        <v>63</v>
      </c>
      <c r="M359" s="6" t="str">
        <f>IF(OR(B359="",I359=""),"",B359*I359)</f>
        <v/>
      </c>
      <c r="N359" s="8" t="s">
        <v>64</v>
      </c>
      <c r="O359" s="9"/>
      <c r="P359" s="9"/>
      <c r="Q359" s="22"/>
      <c r="R359" s="22"/>
      <c r="S359" s="23" t="str">
        <f>IF(AND(ISNUMBER(Q359),Q359&gt;0,ISNUMBER(R359),R359&gt;0),R359/Q359,"")</f>
        <v/>
      </c>
      <c r="T359" s="9"/>
      <c r="U359" s="9"/>
      <c r="V359" s="9"/>
      <c r="W359" s="9"/>
      <c r="X359" s="23" t="str">
        <f>IF(ISNUMBER(S359),S359,IF(ISNUMBER(I359),I359,""))</f>
        <v/>
      </c>
      <c r="Y359" t="str">
        <f>IF(ISNUMBER(S359),"2025 EIA-923 plant/group proxy",IF(ISNUMBER(I359),"Technology estimate","No thermal heat rate"))</f>
        <v>No thermal heat rate</v>
      </c>
      <c r="Z359" t="str">
        <f>IF(ISNUMBER(S359),"Review: NOT unit verified",IF(AE359="No match","No EIA match",IF(AF359="Unconfirmed","Unconfirmed EIA candidate","")))</f>
        <v/>
      </c>
      <c r="AE359" t="s">
        <v>65</v>
      </c>
      <c r="AF359" t="s">
        <v>66</v>
      </c>
      <c r="AG359" s="24">
        <f>IF(ISBLANK(S359),S359,I359)</f>
        <v>0</v>
      </c>
      <c r="AH359" s="34">
        <f t="shared" si="16"/>
        <v>9772.4000000000015</v>
      </c>
      <c r="AI359">
        <f t="shared" si="15"/>
        <v>6102.6926899200234</v>
      </c>
      <c r="AJ359" t="b" cm="1">
        <f t="array" ref="AJ359">OR(D359=$AT$2:$AT$8)</f>
        <v>1</v>
      </c>
    </row>
    <row r="360" spans="1:36" x14ac:dyDescent="0.25">
      <c r="A360" s="2" t="s">
        <v>940</v>
      </c>
      <c r="B360" s="3">
        <v>100.5</v>
      </c>
      <c r="C360" s="2" t="s">
        <v>99</v>
      </c>
      <c r="D360" s="2" t="s">
        <v>81</v>
      </c>
      <c r="E360" s="2" t="s">
        <v>70</v>
      </c>
      <c r="F360" s="4" t="s">
        <v>60</v>
      </c>
      <c r="G360" s="4" t="s">
        <v>61</v>
      </c>
      <c r="H360" s="5"/>
      <c r="I360" s="5"/>
      <c r="J360" s="5"/>
      <c r="K360" s="4" t="s">
        <v>62</v>
      </c>
      <c r="L360" s="4" t="s">
        <v>63</v>
      </c>
      <c r="M360" s="6" t="str">
        <f>IF(OR(B360="",I360=""),"",B360*I360)</f>
        <v/>
      </c>
      <c r="N360" s="8" t="s">
        <v>64</v>
      </c>
      <c r="O360" s="9"/>
      <c r="P360" s="9"/>
      <c r="Q360" s="22"/>
      <c r="R360" s="22"/>
      <c r="S360" s="23" t="str">
        <f>IF(AND(ISNUMBER(Q360),Q360&gt;0,ISNUMBER(R360),R360&gt;0),R360/Q360,"")</f>
        <v/>
      </c>
      <c r="T360" s="9"/>
      <c r="U360" s="9"/>
      <c r="V360" s="9"/>
      <c r="W360" s="9"/>
      <c r="X360" s="23" t="str">
        <f>IF(ISNUMBER(S360),S360,IF(ISNUMBER(I360),I360,""))</f>
        <v/>
      </c>
      <c r="Y360" t="str">
        <f>IF(ISNUMBER(S360),"2025 EIA-923 plant/group proxy",IF(ISNUMBER(I360),"Technology estimate","No thermal heat rate"))</f>
        <v>No thermal heat rate</v>
      </c>
      <c r="Z360" t="str">
        <f>IF(ISNUMBER(S360),"Review: NOT unit verified",IF(AE360="No match","No EIA match",IF(AF360="Unconfirmed","Unconfirmed EIA candidate","")))</f>
        <v/>
      </c>
      <c r="AE360" t="s">
        <v>65</v>
      </c>
      <c r="AF360" t="s">
        <v>66</v>
      </c>
      <c r="AG360" s="24">
        <f>IF(ISBLANK(S360),S360,I360)</f>
        <v>0</v>
      </c>
      <c r="AH360" s="34">
        <f t="shared" si="16"/>
        <v>9872.9000000000015</v>
      </c>
      <c r="AI360">
        <f t="shared" si="15"/>
        <v>6165.4531802127831</v>
      </c>
      <c r="AJ360" t="b" cm="1">
        <f t="array" ref="AJ360">OR(D360=$AT$2:$AT$8)</f>
        <v>0</v>
      </c>
    </row>
    <row r="361" spans="1:36" x14ac:dyDescent="0.25">
      <c r="A361" s="2" t="s">
        <v>985</v>
      </c>
      <c r="B361" s="3">
        <v>29.9</v>
      </c>
      <c r="C361" s="2" t="s">
        <v>68</v>
      </c>
      <c r="D361" s="2" t="s">
        <v>69</v>
      </c>
      <c r="E361" s="2" t="s">
        <v>70</v>
      </c>
      <c r="F361" s="4" t="s">
        <v>60</v>
      </c>
      <c r="G361" s="4" t="s">
        <v>61</v>
      </c>
      <c r="H361" s="5"/>
      <c r="I361" s="5"/>
      <c r="J361" s="5"/>
      <c r="K361" s="4" t="s">
        <v>62</v>
      </c>
      <c r="L361" s="4" t="s">
        <v>63</v>
      </c>
      <c r="M361" s="6" t="str">
        <f>IF(OR(B361="",I361=""),"",B361*I361)</f>
        <v/>
      </c>
      <c r="N361" s="8" t="s">
        <v>64</v>
      </c>
      <c r="O361" s="9"/>
      <c r="P361" s="9"/>
      <c r="Q361" s="22"/>
      <c r="R361" s="22"/>
      <c r="S361" s="23" t="str">
        <f>IF(AND(ISNUMBER(Q361),Q361&gt;0,ISNUMBER(R361),R361&gt;0),R361/Q361,"")</f>
        <v/>
      </c>
      <c r="T361" s="9"/>
      <c r="U361" s="9"/>
      <c r="V361" s="9"/>
      <c r="W361" s="9"/>
      <c r="X361" s="23" t="str">
        <f>IF(ISNUMBER(S361),S361,IF(ISNUMBER(I361),I361,""))</f>
        <v/>
      </c>
      <c r="Y361" t="str">
        <f>IF(ISNUMBER(S361),"2025 EIA-923 plant/group proxy",IF(ISNUMBER(I361),"Technology estimate","No thermal heat rate"))</f>
        <v>No thermal heat rate</v>
      </c>
      <c r="Z361" t="str">
        <f>IF(ISNUMBER(S361),"Review: NOT unit verified",IF(AE361="No match","No EIA match",IF(AF361="Unconfirmed","Unconfirmed EIA candidate","")))</f>
        <v/>
      </c>
      <c r="AE361" t="s">
        <v>65</v>
      </c>
      <c r="AF361" t="s">
        <v>66</v>
      </c>
      <c r="AG361" s="24">
        <f>IF(ISBLANK(S361),S361,I361)</f>
        <v>0</v>
      </c>
      <c r="AH361" s="34">
        <f t="shared" si="16"/>
        <v>9902.8000000000011</v>
      </c>
      <c r="AI361">
        <f t="shared" si="15"/>
        <v>6184.1252066779916</v>
      </c>
      <c r="AJ361" t="b" cm="1">
        <f t="array" ref="AJ361">OR(D361=$AT$2:$AT$8)</f>
        <v>0</v>
      </c>
    </row>
    <row r="362" spans="1:36" x14ac:dyDescent="0.25">
      <c r="A362" s="2" t="s">
        <v>995</v>
      </c>
      <c r="B362" s="3">
        <v>12.4</v>
      </c>
      <c r="C362" s="2" t="s">
        <v>78</v>
      </c>
      <c r="D362" s="2" t="s">
        <v>78</v>
      </c>
      <c r="E362" s="2" t="s">
        <v>70</v>
      </c>
      <c r="F362" s="4" t="s">
        <v>60</v>
      </c>
      <c r="G362" s="4" t="s">
        <v>61</v>
      </c>
      <c r="H362" s="5"/>
      <c r="I362" s="5"/>
      <c r="J362" s="5"/>
      <c r="K362" s="4" t="s">
        <v>62</v>
      </c>
      <c r="L362" s="4" t="s">
        <v>63</v>
      </c>
      <c r="M362" s="6" t="str">
        <f>IF(OR(B362="",I362=""),"",B362*I362)</f>
        <v/>
      </c>
      <c r="N362" s="8" t="s">
        <v>64</v>
      </c>
      <c r="O362" s="9"/>
      <c r="P362" s="9"/>
      <c r="Q362" s="22"/>
      <c r="R362" s="22"/>
      <c r="S362" s="23" t="str">
        <f>IF(AND(ISNUMBER(Q362),Q362&gt;0,ISNUMBER(R362),R362&gt;0),R362/Q362,"")</f>
        <v/>
      </c>
      <c r="T362" s="9"/>
      <c r="U362" s="9"/>
      <c r="V362" s="9"/>
      <c r="W362" s="9"/>
      <c r="X362" s="23" t="str">
        <f>IF(ISNUMBER(S362),S362,IF(ISNUMBER(I362),I362,""))</f>
        <v/>
      </c>
      <c r="Y362" t="str">
        <f>IF(ISNUMBER(S362),"2025 EIA-923 plant/group proxy",IF(ISNUMBER(I362),"Technology estimate","No thermal heat rate"))</f>
        <v>No thermal heat rate</v>
      </c>
      <c r="Z362" t="str">
        <f>IF(ISNUMBER(S362),"Review: NOT unit verified",IF(AE362="No match","No EIA match",IF(AF362="Unconfirmed","Unconfirmed EIA candidate","")))</f>
        <v/>
      </c>
      <c r="AE362" t="s">
        <v>65</v>
      </c>
      <c r="AF362" t="s">
        <v>66</v>
      </c>
      <c r="AG362" s="24">
        <f>IF(ISBLANK(S362),S362,I362)</f>
        <v>0</v>
      </c>
      <c r="AH362" s="34">
        <f t="shared" si="16"/>
        <v>9915.2000000000007</v>
      </c>
      <c r="AI362">
        <f t="shared" si="15"/>
        <v>6191.8687895598841</v>
      </c>
      <c r="AJ362" t="b" cm="1">
        <f t="array" ref="AJ362">OR(D362=$AT$2:$AT$8)</f>
        <v>1</v>
      </c>
    </row>
    <row r="363" spans="1:36" x14ac:dyDescent="0.25">
      <c r="A363" s="2" t="s">
        <v>1015</v>
      </c>
      <c r="B363" s="3">
        <v>1.9</v>
      </c>
      <c r="C363" s="2" t="s">
        <v>136</v>
      </c>
      <c r="D363" s="2" t="s">
        <v>136</v>
      </c>
      <c r="E363" s="2" t="s">
        <v>70</v>
      </c>
      <c r="F363" s="4" t="s">
        <v>60</v>
      </c>
      <c r="G363" s="4" t="s">
        <v>61</v>
      </c>
      <c r="H363" s="5"/>
      <c r="I363" s="5"/>
      <c r="J363" s="5"/>
      <c r="K363" s="4" t="s">
        <v>62</v>
      </c>
      <c r="L363" s="4" t="s">
        <v>63</v>
      </c>
      <c r="M363" s="6" t="str">
        <f>IF(OR(B363="",I363=""),"",B363*I363)</f>
        <v/>
      </c>
      <c r="N363" s="8" t="s">
        <v>64</v>
      </c>
      <c r="O363" s="9"/>
      <c r="P363" s="9"/>
      <c r="Q363" s="22"/>
      <c r="R363" s="22"/>
      <c r="S363" s="23" t="str">
        <f>IF(AND(ISNUMBER(Q363),Q363&gt;0,ISNUMBER(R363),R363&gt;0),R363/Q363,"")</f>
        <v/>
      </c>
      <c r="T363" s="9"/>
      <c r="U363" s="9"/>
      <c r="V363" s="9"/>
      <c r="W363" s="9"/>
      <c r="X363" s="23" t="str">
        <f>IF(ISNUMBER(S363),S363,IF(ISNUMBER(I363),I363,""))</f>
        <v/>
      </c>
      <c r="Y363" t="str">
        <f>IF(ISNUMBER(S363),"2025 EIA-923 plant/group proxy",IF(ISNUMBER(I363),"Technology estimate","No thermal heat rate"))</f>
        <v>No thermal heat rate</v>
      </c>
      <c r="Z363" t="str">
        <f>IF(ISNUMBER(S363),"Review: NOT unit verified",IF(AE363="No match","No EIA match",IF(AF363="Unconfirmed","Unconfirmed EIA candidate","")))</f>
        <v/>
      </c>
      <c r="AE363" t="s">
        <v>65</v>
      </c>
      <c r="AF363" t="s">
        <v>66</v>
      </c>
      <c r="AG363" s="24">
        <f>IF(ISBLANK(S363),S363,I363)</f>
        <v>0</v>
      </c>
      <c r="AH363" s="34">
        <f t="shared" si="16"/>
        <v>9917.1</v>
      </c>
      <c r="AI363">
        <f t="shared" si="15"/>
        <v>6193.055306291787</v>
      </c>
      <c r="AJ363" t="b" cm="1">
        <f t="array" ref="AJ363">OR(D363=$AT$2:$AT$8)</f>
        <v>0</v>
      </c>
    </row>
    <row r="364" spans="1:36" x14ac:dyDescent="0.25">
      <c r="A364" s="2" t="s">
        <v>1023</v>
      </c>
      <c r="B364" s="3">
        <v>9.6999999999999993</v>
      </c>
      <c r="C364" s="2" t="s">
        <v>78</v>
      </c>
      <c r="D364" s="2" t="s">
        <v>78</v>
      </c>
      <c r="E364" s="2" t="s">
        <v>70</v>
      </c>
      <c r="F364" s="4" t="s">
        <v>60</v>
      </c>
      <c r="G364" s="4" t="s">
        <v>61</v>
      </c>
      <c r="H364" s="5"/>
      <c r="I364" s="5"/>
      <c r="J364" s="5"/>
      <c r="K364" s="4" t="s">
        <v>62</v>
      </c>
      <c r="L364" s="4" t="s">
        <v>63</v>
      </c>
      <c r="M364" s="6" t="str">
        <f>IF(OR(B364="",I364=""),"",B364*I364)</f>
        <v/>
      </c>
      <c r="N364" s="8" t="s">
        <v>64</v>
      </c>
      <c r="O364" s="9"/>
      <c r="P364" s="9"/>
      <c r="Q364" s="22"/>
      <c r="R364" s="22"/>
      <c r="S364" s="23" t="str">
        <f>IF(AND(ISNUMBER(Q364),Q364&gt;0,ISNUMBER(R364),R364&gt;0),R364/Q364,"")</f>
        <v/>
      </c>
      <c r="T364" s="9"/>
      <c r="U364" s="9"/>
      <c r="V364" s="9"/>
      <c r="W364" s="9"/>
      <c r="X364" s="23" t="str">
        <f>IF(ISNUMBER(S364),S364,IF(ISNUMBER(I364),I364,""))</f>
        <v/>
      </c>
      <c r="Y364" t="str">
        <f>IF(ISNUMBER(S364),"2025 EIA-923 plant/group proxy",IF(ISNUMBER(I364),"Technology estimate","No thermal heat rate"))</f>
        <v>No thermal heat rate</v>
      </c>
      <c r="Z364" t="str">
        <f>IF(ISNUMBER(S364),"Review: NOT unit verified",IF(AE364="No match","No EIA match",IF(AF364="Unconfirmed","Unconfirmed EIA candidate","")))</f>
        <v/>
      </c>
      <c r="AE364" t="s">
        <v>65</v>
      </c>
      <c r="AF364" t="s">
        <v>66</v>
      </c>
      <c r="AG364" s="24">
        <f>IF(ISBLANK(S364),S364,I364)</f>
        <v>0</v>
      </c>
      <c r="AH364" s="34">
        <f t="shared" si="16"/>
        <v>9926.8000000000011</v>
      </c>
      <c r="AI364">
        <f t="shared" si="15"/>
        <v>6199.1127864493965</v>
      </c>
      <c r="AJ364" t="b" cm="1">
        <f t="array" ref="AJ364">OR(D364=$AT$2:$AT$8)</f>
        <v>1</v>
      </c>
    </row>
    <row r="365" spans="1:36" x14ac:dyDescent="0.25">
      <c r="A365" s="2" t="s">
        <v>1024</v>
      </c>
      <c r="B365" s="3">
        <v>1.1000000000000001</v>
      </c>
      <c r="C365" s="2" t="s">
        <v>68</v>
      </c>
      <c r="D365" s="2" t="s">
        <v>69</v>
      </c>
      <c r="E365" s="2" t="s">
        <v>70</v>
      </c>
      <c r="F365" s="4" t="s">
        <v>60</v>
      </c>
      <c r="G365" s="4" t="s">
        <v>61</v>
      </c>
      <c r="H365" s="5"/>
      <c r="I365" s="5"/>
      <c r="J365" s="5"/>
      <c r="K365" s="4" t="s">
        <v>62</v>
      </c>
      <c r="L365" s="4" t="s">
        <v>63</v>
      </c>
      <c r="M365" s="6" t="str">
        <f>IF(OR(B365="",I365=""),"",B365*I365)</f>
        <v/>
      </c>
      <c r="N365" s="8" t="s">
        <v>64</v>
      </c>
      <c r="O365" s="9"/>
      <c r="P365" s="9"/>
      <c r="Q365" s="22"/>
      <c r="R365" s="22"/>
      <c r="S365" s="23" t="str">
        <f>IF(AND(ISNUMBER(Q365),Q365&gt;0,ISNUMBER(R365),R365&gt;0),R365/Q365,"")</f>
        <v/>
      </c>
      <c r="T365" s="9"/>
      <c r="U365" s="9"/>
      <c r="V365" s="9"/>
      <c r="W365" s="9"/>
      <c r="X365" s="23" t="str">
        <f>IF(ISNUMBER(S365),S365,IF(ISNUMBER(I365),I365,""))</f>
        <v/>
      </c>
      <c r="Y365" t="str">
        <f>IF(ISNUMBER(S365),"2025 EIA-923 plant/group proxy",IF(ISNUMBER(I365),"Technology estimate","No thermal heat rate"))</f>
        <v>No thermal heat rate</v>
      </c>
      <c r="Z365" t="str">
        <f>IF(ISNUMBER(S365),"Review: NOT unit verified",IF(AE365="No match","No EIA match",IF(AF365="Unconfirmed","Unconfirmed EIA candidate","")))</f>
        <v/>
      </c>
      <c r="AE365" t="s">
        <v>65</v>
      </c>
      <c r="AF365" t="s">
        <v>66</v>
      </c>
      <c r="AG365" s="24">
        <f>IF(ISBLANK(S365),S365,I365)</f>
        <v>0</v>
      </c>
      <c r="AH365" s="34">
        <f t="shared" si="16"/>
        <v>9927.9000000000015</v>
      </c>
      <c r="AI365">
        <f t="shared" si="15"/>
        <v>6199.7997171889201</v>
      </c>
      <c r="AJ365" t="b" cm="1">
        <f t="array" ref="AJ365">OR(D365=$AT$2:$AT$8)</f>
        <v>0</v>
      </c>
    </row>
    <row r="366" spans="1:36" x14ac:dyDescent="0.25">
      <c r="A366" s="2" t="s">
        <v>1077</v>
      </c>
      <c r="B366" s="3">
        <v>10.1</v>
      </c>
      <c r="C366" s="2" t="s">
        <v>80</v>
      </c>
      <c r="D366" s="2" t="s">
        <v>81</v>
      </c>
      <c r="E366" s="2" t="s">
        <v>70</v>
      </c>
      <c r="F366" s="4" t="s">
        <v>60</v>
      </c>
      <c r="G366" s="4" t="s">
        <v>61</v>
      </c>
      <c r="H366" s="5"/>
      <c r="I366" s="5"/>
      <c r="J366" s="5"/>
      <c r="K366" s="4" t="s">
        <v>62</v>
      </c>
      <c r="L366" s="4" t="s">
        <v>63</v>
      </c>
      <c r="M366" s="6" t="str">
        <f>IF(OR(B366="",I366=""),"",B366*I366)</f>
        <v/>
      </c>
      <c r="N366" s="8" t="s">
        <v>64</v>
      </c>
      <c r="O366" s="9"/>
      <c r="P366" s="9"/>
      <c r="Q366" s="22"/>
      <c r="R366" s="22"/>
      <c r="S366" s="23" t="str">
        <f>IF(AND(ISNUMBER(Q366),Q366&gt;0,ISNUMBER(R366),R366&gt;0),R366/Q366,"")</f>
        <v/>
      </c>
      <c r="T366" s="9"/>
      <c r="U366" s="9"/>
      <c r="V366" s="9"/>
      <c r="W366" s="9"/>
      <c r="X366" s="23" t="str">
        <f>IF(ISNUMBER(S366),S366,IF(ISNUMBER(I366),I366,""))</f>
        <v/>
      </c>
      <c r="Y366" t="str">
        <f>IF(ISNUMBER(S366),"2025 EIA-923 plant/group proxy",IF(ISNUMBER(I366),"Technology estimate","No thermal heat rate"))</f>
        <v>No thermal heat rate</v>
      </c>
      <c r="Z366" t="str">
        <f>IF(ISNUMBER(S366),"Review: NOT unit verified",IF(AE366="No match","No EIA match",IF(AF366="Unconfirmed","Unconfirmed EIA candidate","")))</f>
        <v/>
      </c>
      <c r="AE366" t="s">
        <v>65</v>
      </c>
      <c r="AF366" t="s">
        <v>66</v>
      </c>
      <c r="AG366" s="24">
        <f>IF(ISBLANK(S366),S366,I366)</f>
        <v>0</v>
      </c>
      <c r="AH366" s="34">
        <f t="shared" si="16"/>
        <v>9938.0000000000018</v>
      </c>
      <c r="AI366">
        <f t="shared" si="15"/>
        <v>6206.1069903427197</v>
      </c>
      <c r="AJ366" t="b" cm="1">
        <f t="array" ref="AJ366">OR(D366=$AT$2:$AT$8)</f>
        <v>0</v>
      </c>
    </row>
    <row r="367" spans="1:36" x14ac:dyDescent="0.25">
      <c r="A367" s="2" t="s">
        <v>1083</v>
      </c>
      <c r="B367" s="3">
        <v>13.3</v>
      </c>
      <c r="C367" s="2" t="s">
        <v>78</v>
      </c>
      <c r="D367" s="2" t="s">
        <v>78</v>
      </c>
      <c r="E367" s="2" t="s">
        <v>70</v>
      </c>
      <c r="F367" s="4" t="s">
        <v>60</v>
      </c>
      <c r="G367" s="4" t="s">
        <v>61</v>
      </c>
      <c r="H367" s="5"/>
      <c r="I367" s="5"/>
      <c r="J367" s="5"/>
      <c r="K367" s="4" t="s">
        <v>62</v>
      </c>
      <c r="L367" s="4" t="s">
        <v>63</v>
      </c>
      <c r="M367" s="6" t="str">
        <f>IF(OR(B367="",I367=""),"",B367*I367)</f>
        <v/>
      </c>
      <c r="N367" s="8" t="s">
        <v>64</v>
      </c>
      <c r="O367" s="9"/>
      <c r="P367" s="9"/>
      <c r="Q367" s="22"/>
      <c r="R367" s="22"/>
      <c r="S367" s="23" t="str">
        <f>IF(AND(ISNUMBER(Q367),Q367&gt;0,ISNUMBER(R367),R367&gt;0),R367/Q367,"")</f>
        <v/>
      </c>
      <c r="T367" s="9"/>
      <c r="U367" s="9"/>
      <c r="V367" s="9"/>
      <c r="W367" s="9"/>
      <c r="X367" s="23" t="str">
        <f>IF(ISNUMBER(S367),S367,IF(ISNUMBER(I367),I367,""))</f>
        <v/>
      </c>
      <c r="Y367" t="str">
        <f>IF(ISNUMBER(S367),"2025 EIA-923 plant/group proxy",IF(ISNUMBER(I367),"Technology estimate","No thermal heat rate"))</f>
        <v>No thermal heat rate</v>
      </c>
      <c r="Z367" t="str">
        <f>IF(ISNUMBER(S367),"Review: NOT unit verified",IF(AE367="No match","No EIA match",IF(AF367="Unconfirmed","Unconfirmed EIA candidate","")))</f>
        <v/>
      </c>
      <c r="AE367" t="s">
        <v>65</v>
      </c>
      <c r="AF367" t="s">
        <v>66</v>
      </c>
      <c r="AG367" s="24">
        <f>IF(ISBLANK(S367),S367,I367)</f>
        <v>0</v>
      </c>
      <c r="AH367" s="34">
        <f t="shared" si="16"/>
        <v>9951.3000000000011</v>
      </c>
      <c r="AI367">
        <f t="shared" si="15"/>
        <v>6214.4126074660398</v>
      </c>
      <c r="AJ367" t="b" cm="1">
        <f t="array" ref="AJ367">OR(D367=$AT$2:$AT$8)</f>
        <v>1</v>
      </c>
    </row>
    <row r="368" spans="1:36" x14ac:dyDescent="0.25">
      <c r="A368" s="2" t="s">
        <v>1130</v>
      </c>
      <c r="B368" s="3">
        <v>13</v>
      </c>
      <c r="C368" s="2" t="s">
        <v>75</v>
      </c>
      <c r="D368" s="2" t="s">
        <v>76</v>
      </c>
      <c r="E368" s="2" t="s">
        <v>70</v>
      </c>
      <c r="F368" s="4" t="s">
        <v>60</v>
      </c>
      <c r="G368" s="4" t="s">
        <v>61</v>
      </c>
      <c r="H368" s="5"/>
      <c r="I368" s="5"/>
      <c r="J368" s="5"/>
      <c r="K368" s="4" t="s">
        <v>62</v>
      </c>
      <c r="L368" s="4" t="s">
        <v>63</v>
      </c>
      <c r="M368" s="6" t="str">
        <f>IF(OR(B368="",I368=""),"",B368*I368)</f>
        <v/>
      </c>
      <c r="N368" s="8" t="s">
        <v>64</v>
      </c>
      <c r="O368" s="9"/>
      <c r="P368" s="9"/>
      <c r="Q368" s="22"/>
      <c r="R368" s="22"/>
      <c r="S368" s="23" t="str">
        <f>IF(AND(ISNUMBER(Q368),Q368&gt;0,ISNUMBER(R368),R368&gt;0),R368/Q368,"")</f>
        <v/>
      </c>
      <c r="T368" s="9"/>
      <c r="U368" s="9"/>
      <c r="V368" s="9"/>
      <c r="W368" s="9"/>
      <c r="X368" s="23" t="str">
        <f>IF(ISNUMBER(S368),S368,IF(ISNUMBER(I368),I368,""))</f>
        <v/>
      </c>
      <c r="Y368" t="str">
        <f>IF(ISNUMBER(S368),"2025 EIA-923 plant/group proxy",IF(ISNUMBER(I368),"Technology estimate","No thermal heat rate"))</f>
        <v>No thermal heat rate</v>
      </c>
      <c r="Z368" t="str">
        <f>IF(ISNUMBER(S368),"Review: NOT unit verified",IF(AE368="No match","No EIA match",IF(AF368="Unconfirmed","Unconfirmed EIA candidate","")))</f>
        <v/>
      </c>
      <c r="AE368" t="s">
        <v>65</v>
      </c>
      <c r="AF368" t="s">
        <v>66</v>
      </c>
      <c r="AG368" s="24">
        <f>IF(ISBLANK(S368),S368,I368)</f>
        <v>0</v>
      </c>
      <c r="AH368" s="34">
        <f t="shared" si="16"/>
        <v>9964.3000000000011</v>
      </c>
      <c r="AI368">
        <f t="shared" si="15"/>
        <v>6222.5308798422175</v>
      </c>
      <c r="AJ368" t="b" cm="1">
        <f t="array" ref="AJ368">OR(D368=$AT$2:$AT$8)</f>
        <v>0</v>
      </c>
    </row>
    <row r="369" spans="1:36" x14ac:dyDescent="0.25">
      <c r="A369" s="2" t="s">
        <v>1131</v>
      </c>
      <c r="B369" s="3">
        <v>150.69999999999999</v>
      </c>
      <c r="C369" s="2" t="s">
        <v>147</v>
      </c>
      <c r="D369" s="2" t="s">
        <v>147</v>
      </c>
      <c r="E369" s="2" t="s">
        <v>70</v>
      </c>
      <c r="F369" s="4" t="s">
        <v>60</v>
      </c>
      <c r="G369" s="4" t="s">
        <v>61</v>
      </c>
      <c r="H369" s="5"/>
      <c r="I369" s="5"/>
      <c r="J369" s="5"/>
      <c r="K369" s="4" t="s">
        <v>62</v>
      </c>
      <c r="L369" s="4" t="s">
        <v>63</v>
      </c>
      <c r="M369" s="6" t="str">
        <f>IF(OR(B369="",I369=""),"",B369*I369)</f>
        <v/>
      </c>
      <c r="N369" s="8" t="s">
        <v>64</v>
      </c>
      <c r="O369" s="9"/>
      <c r="P369" s="9"/>
      <c r="Q369" s="22"/>
      <c r="R369" s="22"/>
      <c r="S369" s="23" t="str">
        <f>IF(AND(ISNUMBER(Q369),Q369&gt;0,ISNUMBER(R369),R369&gt;0),R369/Q369,"")</f>
        <v/>
      </c>
      <c r="T369" s="9"/>
      <c r="U369" s="9"/>
      <c r="V369" s="9"/>
      <c r="W369" s="9"/>
      <c r="X369" s="23" t="str">
        <f>IF(ISNUMBER(S369),S369,IF(ISNUMBER(I369),I369,""))</f>
        <v/>
      </c>
      <c r="Y369" t="str">
        <f>IF(ISNUMBER(S369),"2025 EIA-923 plant/group proxy",IF(ISNUMBER(I369),"Technology estimate","No thermal heat rate"))</f>
        <v>No thermal heat rate</v>
      </c>
      <c r="Z369" t="str">
        <f>IF(ISNUMBER(S369),"Review: NOT unit verified",IF(AE369="No match","No EIA match",IF(AF369="Unconfirmed","Unconfirmed EIA candidate","")))</f>
        <v/>
      </c>
      <c r="AE369" t="s">
        <v>65</v>
      </c>
      <c r="AF369" t="s">
        <v>66</v>
      </c>
      <c r="AG369" s="24">
        <f>IF(ISBLANK(S369),S369,I369)</f>
        <v>0</v>
      </c>
      <c r="AH369" s="34">
        <f t="shared" si="16"/>
        <v>10115.000000000002</v>
      </c>
      <c r="AI369">
        <f t="shared" si="15"/>
        <v>6316.6403911568332</v>
      </c>
      <c r="AJ369" t="b" cm="1">
        <f t="array" ref="AJ369">OR(D369=$AT$2:$AT$8)</f>
        <v>0</v>
      </c>
    </row>
    <row r="370" spans="1:36" x14ac:dyDescent="0.25">
      <c r="A370" s="2" t="s">
        <v>1136</v>
      </c>
      <c r="B370" s="3">
        <v>60</v>
      </c>
      <c r="C370" s="2" t="s">
        <v>99</v>
      </c>
      <c r="D370" s="2" t="s">
        <v>81</v>
      </c>
      <c r="E370" s="2" t="s">
        <v>70</v>
      </c>
      <c r="F370" s="4" t="s">
        <v>60</v>
      </c>
      <c r="G370" s="4" t="s">
        <v>61</v>
      </c>
      <c r="H370" s="5"/>
      <c r="I370" s="5"/>
      <c r="J370" s="5"/>
      <c r="K370" s="4" t="s">
        <v>62</v>
      </c>
      <c r="L370" s="4" t="s">
        <v>63</v>
      </c>
      <c r="M370" s="6" t="str">
        <f>IF(OR(B370="",I370=""),"",B370*I370)</f>
        <v/>
      </c>
      <c r="N370" s="8" t="s">
        <v>64</v>
      </c>
      <c r="O370" s="9"/>
      <c r="P370" s="9"/>
      <c r="Q370" s="22"/>
      <c r="R370" s="22"/>
      <c r="S370" s="23" t="str">
        <f>IF(AND(ISNUMBER(Q370),Q370&gt;0,ISNUMBER(R370),R370&gt;0),R370/Q370,"")</f>
        <v/>
      </c>
      <c r="T370" s="9"/>
      <c r="U370" s="9"/>
      <c r="V370" s="9"/>
      <c r="W370" s="9"/>
      <c r="X370" s="23" t="str">
        <f>IF(ISNUMBER(S370),S370,IF(ISNUMBER(I370),I370,""))</f>
        <v/>
      </c>
      <c r="Y370" t="str">
        <f>IF(ISNUMBER(S370),"2025 EIA-923 plant/group proxy",IF(ISNUMBER(I370),"Technology estimate","No thermal heat rate"))</f>
        <v>No thermal heat rate</v>
      </c>
      <c r="Z370" t="str">
        <f>IF(ISNUMBER(S370),"Review: NOT unit verified",IF(AE370="No match","No EIA match",IF(AF370="Unconfirmed","Unconfirmed EIA candidate","")))</f>
        <v/>
      </c>
      <c r="AE370" t="s">
        <v>65</v>
      </c>
      <c r="AF370" t="s">
        <v>66</v>
      </c>
      <c r="AG370" s="24">
        <f>IF(ISBLANK(S370),S370,I370)</f>
        <v>0</v>
      </c>
      <c r="AH370" s="34">
        <f t="shared" si="16"/>
        <v>10175.000000000002</v>
      </c>
      <c r="AI370">
        <f t="shared" si="15"/>
        <v>6354.1093405853462</v>
      </c>
      <c r="AJ370" t="b" cm="1">
        <f t="array" ref="AJ370">OR(D370=$AT$2:$AT$8)</f>
        <v>0</v>
      </c>
    </row>
    <row r="371" spans="1:36" x14ac:dyDescent="0.25">
      <c r="A371" s="2" t="s">
        <v>1143</v>
      </c>
      <c r="B371" s="3">
        <v>102.9</v>
      </c>
      <c r="C371" s="2" t="s">
        <v>99</v>
      </c>
      <c r="D371" s="2" t="s">
        <v>81</v>
      </c>
      <c r="E371" s="2" t="s">
        <v>70</v>
      </c>
      <c r="F371" s="4" t="s">
        <v>60</v>
      </c>
      <c r="G371" s="4" t="s">
        <v>61</v>
      </c>
      <c r="H371" s="5"/>
      <c r="I371" s="5"/>
      <c r="J371" s="5"/>
      <c r="K371" s="4" t="s">
        <v>62</v>
      </c>
      <c r="L371" s="4" t="s">
        <v>63</v>
      </c>
      <c r="M371" s="6" t="str">
        <f>IF(OR(B371="",I371=""),"",B371*I371)</f>
        <v/>
      </c>
      <c r="N371" s="8" t="s">
        <v>64</v>
      </c>
      <c r="O371" s="9"/>
      <c r="P371" s="9"/>
      <c r="Q371" s="22"/>
      <c r="R371" s="22"/>
      <c r="S371" s="23" t="str">
        <f>IF(AND(ISNUMBER(Q371),Q371&gt;0,ISNUMBER(R371),R371&gt;0),R371/Q371,"")</f>
        <v/>
      </c>
      <c r="T371" s="9"/>
      <c r="U371" s="9"/>
      <c r="V371" s="9"/>
      <c r="W371" s="9"/>
      <c r="X371" s="23" t="str">
        <f>IF(ISNUMBER(S371),S371,IF(ISNUMBER(I371),I371,""))</f>
        <v/>
      </c>
      <c r="Y371" t="str">
        <f>IF(ISNUMBER(S371),"2025 EIA-923 plant/group proxy",IF(ISNUMBER(I371),"Technology estimate","No thermal heat rate"))</f>
        <v>No thermal heat rate</v>
      </c>
      <c r="Z371" t="str">
        <f>IF(ISNUMBER(S371),"Review: NOT unit verified",IF(AE371="No match","No EIA match",IF(AF371="Unconfirmed","Unconfirmed EIA candidate","")))</f>
        <v/>
      </c>
      <c r="AE371" t="s">
        <v>65</v>
      </c>
      <c r="AF371" t="s">
        <v>66</v>
      </c>
      <c r="AG371" s="24">
        <f>IF(ISBLANK(S371),S371,I371)</f>
        <v>0</v>
      </c>
      <c r="AH371" s="34">
        <f t="shared" si="16"/>
        <v>10277.900000000001</v>
      </c>
      <c r="AI371">
        <f t="shared" si="15"/>
        <v>6418.3685888552463</v>
      </c>
      <c r="AJ371" t="b" cm="1">
        <f t="array" ref="AJ371">OR(D371=$AT$2:$AT$8)</f>
        <v>0</v>
      </c>
    </row>
    <row r="372" spans="1:36" x14ac:dyDescent="0.25">
      <c r="A372" s="2" t="s">
        <v>1154</v>
      </c>
      <c r="B372" s="3">
        <v>12.7</v>
      </c>
      <c r="C372" s="2" t="s">
        <v>78</v>
      </c>
      <c r="D372" s="2" t="s">
        <v>78</v>
      </c>
      <c r="E372" s="2" t="s">
        <v>70</v>
      </c>
      <c r="F372" s="4" t="s">
        <v>60</v>
      </c>
      <c r="G372" s="4" t="s">
        <v>61</v>
      </c>
      <c r="H372" s="5"/>
      <c r="I372" s="5"/>
      <c r="J372" s="5"/>
      <c r="K372" s="4" t="s">
        <v>62</v>
      </c>
      <c r="L372" s="4" t="s">
        <v>63</v>
      </c>
      <c r="M372" s="6" t="str">
        <f>IF(OR(B372="",I372=""),"",B372*I372)</f>
        <v/>
      </c>
      <c r="N372" s="8" t="s">
        <v>64</v>
      </c>
      <c r="O372" s="9"/>
      <c r="P372" s="9"/>
      <c r="Q372" s="22"/>
      <c r="R372" s="22"/>
      <c r="S372" s="23" t="str">
        <f>IF(AND(ISNUMBER(Q372),Q372&gt;0,ISNUMBER(R372),R372&gt;0),R372/Q372,"")</f>
        <v/>
      </c>
      <c r="T372" s="9"/>
      <c r="U372" s="9"/>
      <c r="V372" s="9"/>
      <c r="W372" s="9"/>
      <c r="X372" s="23" t="str">
        <f>IF(ISNUMBER(S372),S372,IF(ISNUMBER(I372),I372,""))</f>
        <v/>
      </c>
      <c r="Y372" t="str">
        <f>IF(ISNUMBER(S372),"2025 EIA-923 plant/group proxy",IF(ISNUMBER(I372),"Technology estimate","No thermal heat rate"))</f>
        <v>No thermal heat rate</v>
      </c>
      <c r="Z372" t="str">
        <f>IF(ISNUMBER(S372),"Review: NOT unit verified",IF(AE372="No match","No EIA match",IF(AF372="Unconfirmed","Unconfirmed EIA candidate","")))</f>
        <v/>
      </c>
      <c r="AE372" t="s">
        <v>65</v>
      </c>
      <c r="AF372" t="s">
        <v>66</v>
      </c>
      <c r="AG372" s="24">
        <f>IF(ISBLANK(S372),S372,I372)</f>
        <v>0</v>
      </c>
      <c r="AH372" s="34">
        <f t="shared" si="16"/>
        <v>10290.600000000002</v>
      </c>
      <c r="AI372">
        <f t="shared" si="15"/>
        <v>6426.2995164842814</v>
      </c>
      <c r="AJ372" t="b" cm="1">
        <f t="array" ref="AJ372">OR(D372=$AT$2:$AT$8)</f>
        <v>1</v>
      </c>
    </row>
    <row r="373" spans="1:36" x14ac:dyDescent="0.25">
      <c r="A373" s="2" t="s">
        <v>1155</v>
      </c>
      <c r="B373" s="3">
        <v>17.5</v>
      </c>
      <c r="C373" s="2" t="s">
        <v>78</v>
      </c>
      <c r="D373" s="2" t="s">
        <v>78</v>
      </c>
      <c r="E373" s="2" t="s">
        <v>70</v>
      </c>
      <c r="F373" s="4" t="s">
        <v>60</v>
      </c>
      <c r="G373" s="4" t="s">
        <v>61</v>
      </c>
      <c r="H373" s="5"/>
      <c r="I373" s="5"/>
      <c r="J373" s="5"/>
      <c r="K373" s="4" t="s">
        <v>62</v>
      </c>
      <c r="L373" s="4" t="s">
        <v>63</v>
      </c>
      <c r="M373" s="6" t="str">
        <f>IF(OR(B373="",I373=""),"",B373*I373)</f>
        <v/>
      </c>
      <c r="N373" s="8" t="s">
        <v>64</v>
      </c>
      <c r="O373" s="9"/>
      <c r="P373" s="9"/>
      <c r="Q373" s="22"/>
      <c r="R373" s="22"/>
      <c r="S373" s="23" t="str">
        <f>IF(AND(ISNUMBER(Q373),Q373&gt;0,ISNUMBER(R373),R373&gt;0),R373/Q373,"")</f>
        <v/>
      </c>
      <c r="T373" s="9"/>
      <c r="U373" s="9"/>
      <c r="V373" s="9"/>
      <c r="W373" s="9"/>
      <c r="X373" s="23" t="str">
        <f>IF(ISNUMBER(S373),S373,IF(ISNUMBER(I373),I373,""))</f>
        <v/>
      </c>
      <c r="Y373" t="str">
        <f>IF(ISNUMBER(S373),"2025 EIA-923 plant/group proxy",IF(ISNUMBER(I373),"Technology estimate","No thermal heat rate"))</f>
        <v>No thermal heat rate</v>
      </c>
      <c r="Z373" t="str">
        <f>IF(ISNUMBER(S373),"Review: NOT unit verified",IF(AE373="No match","No EIA match",IF(AF373="Unconfirmed","Unconfirmed EIA candidate","")))</f>
        <v/>
      </c>
      <c r="AE373" t="s">
        <v>65</v>
      </c>
      <c r="AF373" t="s">
        <v>66</v>
      </c>
      <c r="AG373" s="24">
        <f>IF(ISBLANK(S373),S373,I373)</f>
        <v>0</v>
      </c>
      <c r="AH373" s="34">
        <f t="shared" si="16"/>
        <v>10308.100000000002</v>
      </c>
      <c r="AI373">
        <f t="shared" si="15"/>
        <v>6437.2279600675984</v>
      </c>
      <c r="AJ373" t="b" cm="1">
        <f t="array" ref="AJ373">OR(D373=$AT$2:$AT$8)</f>
        <v>1</v>
      </c>
    </row>
    <row r="374" spans="1:36" x14ac:dyDescent="0.25">
      <c r="A374" s="2" t="s">
        <v>1157</v>
      </c>
      <c r="B374" s="3">
        <v>40.4</v>
      </c>
      <c r="C374" s="2" t="s">
        <v>78</v>
      </c>
      <c r="D374" s="2" t="s">
        <v>78</v>
      </c>
      <c r="E374" s="2" t="s">
        <v>70</v>
      </c>
      <c r="F374" s="4" t="s">
        <v>60</v>
      </c>
      <c r="G374" s="4" t="s">
        <v>61</v>
      </c>
      <c r="H374" s="5"/>
      <c r="I374" s="5"/>
      <c r="J374" s="5"/>
      <c r="K374" s="4" t="s">
        <v>62</v>
      </c>
      <c r="L374" s="4" t="s">
        <v>63</v>
      </c>
      <c r="M374" s="6" t="str">
        <f>IF(OR(B374="",I374=""),"",B374*I374)</f>
        <v/>
      </c>
      <c r="N374" s="8" t="s">
        <v>64</v>
      </c>
      <c r="O374" s="9"/>
      <c r="P374" s="9"/>
      <c r="Q374" s="22"/>
      <c r="R374" s="22"/>
      <c r="S374" s="23" t="str">
        <f>IF(AND(ISNUMBER(Q374),Q374&gt;0,ISNUMBER(R374),R374&gt;0),R374/Q374,"")</f>
        <v/>
      </c>
      <c r="T374" s="9"/>
      <c r="U374" s="9"/>
      <c r="V374" s="9"/>
      <c r="W374" s="9"/>
      <c r="X374" s="23" t="str">
        <f>IF(ISNUMBER(S374),S374,IF(ISNUMBER(I374),I374,""))</f>
        <v/>
      </c>
      <c r="Y374" t="str">
        <f>IF(ISNUMBER(S374),"2025 EIA-923 plant/group proxy",IF(ISNUMBER(I374),"Technology estimate","No thermal heat rate"))</f>
        <v>No thermal heat rate</v>
      </c>
      <c r="Z374" t="str">
        <f>IF(ISNUMBER(S374),"Review: NOT unit verified",IF(AE374="No match","No EIA match",IF(AF374="Unconfirmed","Unconfirmed EIA candidate","")))</f>
        <v/>
      </c>
      <c r="AE374" t="s">
        <v>65</v>
      </c>
      <c r="AF374" t="s">
        <v>66</v>
      </c>
      <c r="AG374" s="24">
        <f>IF(ISBLANK(S374),S374,I374)</f>
        <v>0</v>
      </c>
      <c r="AH374" s="34">
        <f t="shared" si="16"/>
        <v>10348.500000000002</v>
      </c>
      <c r="AI374">
        <f t="shared" si="15"/>
        <v>6462.4570526827965</v>
      </c>
      <c r="AJ374" t="b" cm="1">
        <f t="array" ref="AJ374">OR(D374=$AT$2:$AT$8)</f>
        <v>1</v>
      </c>
    </row>
    <row r="375" spans="1:36" x14ac:dyDescent="0.25">
      <c r="A375" s="2" t="s">
        <v>1192</v>
      </c>
      <c r="B375" s="3">
        <v>1.5</v>
      </c>
      <c r="C375" s="2" t="s">
        <v>57</v>
      </c>
      <c r="D375" s="2" t="s">
        <v>58</v>
      </c>
      <c r="E375" s="2" t="s">
        <v>70</v>
      </c>
      <c r="F375" s="4" t="s">
        <v>60</v>
      </c>
      <c r="G375" s="4" t="s">
        <v>61</v>
      </c>
      <c r="H375" s="5"/>
      <c r="I375" s="5"/>
      <c r="J375" s="5"/>
      <c r="K375" s="4" t="s">
        <v>62</v>
      </c>
      <c r="L375" s="4" t="s">
        <v>63</v>
      </c>
      <c r="M375" s="6" t="str">
        <f>IF(OR(B375="",I375=""),"",B375*I375)</f>
        <v/>
      </c>
      <c r="N375" s="8" t="s">
        <v>64</v>
      </c>
      <c r="O375" s="9"/>
      <c r="P375" s="9"/>
      <c r="Q375" s="22"/>
      <c r="R375" s="22"/>
      <c r="S375" s="23" t="str">
        <f>IF(AND(ISNUMBER(Q375),Q375&gt;0,ISNUMBER(R375),R375&gt;0),R375/Q375,"")</f>
        <v/>
      </c>
      <c r="T375" s="9"/>
      <c r="U375" s="9"/>
      <c r="V375" s="9"/>
      <c r="W375" s="9"/>
      <c r="X375" s="23" t="str">
        <f>IF(ISNUMBER(S375),S375,IF(ISNUMBER(I375),I375,""))</f>
        <v/>
      </c>
      <c r="Y375" t="str">
        <f>IF(ISNUMBER(S375),"2025 EIA-923 plant/group proxy",IF(ISNUMBER(I375),"Technology estimate","No thermal heat rate"))</f>
        <v>No thermal heat rate</v>
      </c>
      <c r="Z375" t="str">
        <f>IF(ISNUMBER(S375),"Review: NOT unit verified",IF(AE375="No match","No EIA match",IF(AF375="Unconfirmed","Unconfirmed EIA candidate","")))</f>
        <v/>
      </c>
      <c r="AE375" t="s">
        <v>65</v>
      </c>
      <c r="AF375" t="s">
        <v>66</v>
      </c>
      <c r="AG375" s="24">
        <f>IF(ISBLANK(S375),S375,I375)</f>
        <v>0</v>
      </c>
      <c r="AH375" s="34">
        <f t="shared" si="16"/>
        <v>10350.000000000002</v>
      </c>
      <c r="AI375">
        <f t="shared" si="15"/>
        <v>6463.3937764185093</v>
      </c>
      <c r="AJ375" t="b" cm="1">
        <f t="array" ref="AJ375">OR(D375=$AT$2:$AT$8)</f>
        <v>0</v>
      </c>
    </row>
    <row r="376" spans="1:36" x14ac:dyDescent="0.25">
      <c r="A376" s="2" t="s">
        <v>1210</v>
      </c>
      <c r="B376" s="3">
        <v>13.2</v>
      </c>
      <c r="C376" s="2" t="s">
        <v>78</v>
      </c>
      <c r="D376" s="2" t="s">
        <v>78</v>
      </c>
      <c r="E376" s="2" t="s">
        <v>70</v>
      </c>
      <c r="F376" s="4" t="s">
        <v>60</v>
      </c>
      <c r="G376" s="4" t="s">
        <v>61</v>
      </c>
      <c r="H376" s="5"/>
      <c r="I376" s="5"/>
      <c r="J376" s="5"/>
      <c r="K376" s="4" t="s">
        <v>62</v>
      </c>
      <c r="L376" s="4" t="s">
        <v>63</v>
      </c>
      <c r="M376" s="6" t="str">
        <f>IF(OR(B376="",I376=""),"",B376*I376)</f>
        <v/>
      </c>
      <c r="N376" s="8" t="s">
        <v>64</v>
      </c>
      <c r="O376" s="9"/>
      <c r="P376" s="9"/>
      <c r="Q376" s="22"/>
      <c r="R376" s="22"/>
      <c r="S376" s="23" t="str">
        <f>IF(AND(ISNUMBER(Q376),Q376&gt;0,ISNUMBER(R376),R376&gt;0),R376/Q376,"")</f>
        <v/>
      </c>
      <c r="T376" s="9"/>
      <c r="U376" s="9"/>
      <c r="V376" s="9"/>
      <c r="W376" s="9"/>
      <c r="X376" s="23" t="str">
        <f>IF(ISNUMBER(S376),S376,IF(ISNUMBER(I376),I376,""))</f>
        <v/>
      </c>
      <c r="Y376" t="str">
        <f>IF(ISNUMBER(S376),"2025 EIA-923 plant/group proxy",IF(ISNUMBER(I376),"Technology estimate","No thermal heat rate"))</f>
        <v>No thermal heat rate</v>
      </c>
      <c r="Z376" t="str">
        <f>IF(ISNUMBER(S376),"Review: NOT unit verified",IF(AE376="No match","No EIA match",IF(AF376="Unconfirmed","Unconfirmed EIA candidate","")))</f>
        <v/>
      </c>
      <c r="AE376" t="s">
        <v>65</v>
      </c>
      <c r="AF376" t="s">
        <v>66</v>
      </c>
      <c r="AG376" s="24">
        <f>IF(ISBLANK(S376),S376,I376)</f>
        <v>0</v>
      </c>
      <c r="AH376" s="34">
        <f t="shared" si="16"/>
        <v>10363.200000000003</v>
      </c>
      <c r="AI376">
        <f t="shared" si="15"/>
        <v>6471.6369452927829</v>
      </c>
      <c r="AJ376" t="b" cm="1">
        <f t="array" ref="AJ376">OR(D376=$AT$2:$AT$8)</f>
        <v>1</v>
      </c>
    </row>
    <row r="377" spans="1:36" x14ac:dyDescent="0.25">
      <c r="A377" s="2" t="s">
        <v>1250</v>
      </c>
      <c r="B377" s="3">
        <v>2.9</v>
      </c>
      <c r="C377" s="2" t="s">
        <v>78</v>
      </c>
      <c r="D377" s="2" t="s">
        <v>78</v>
      </c>
      <c r="E377" s="2" t="s">
        <v>70</v>
      </c>
      <c r="F377" s="4" t="s">
        <v>60</v>
      </c>
      <c r="G377" s="4" t="s">
        <v>61</v>
      </c>
      <c r="H377" s="5"/>
      <c r="I377" s="5"/>
      <c r="J377" s="5"/>
      <c r="K377" s="4" t="s">
        <v>62</v>
      </c>
      <c r="L377" s="4" t="s">
        <v>63</v>
      </c>
      <c r="M377" s="6" t="str">
        <f>IF(OR(B377="",I377=""),"",B377*I377)</f>
        <v/>
      </c>
      <c r="N377" s="8" t="s">
        <v>64</v>
      </c>
      <c r="O377" s="9"/>
      <c r="P377" s="9"/>
      <c r="Q377" s="22"/>
      <c r="R377" s="22"/>
      <c r="S377" s="23" t="str">
        <f>IF(AND(ISNUMBER(Q377),Q377&gt;0,ISNUMBER(R377),R377&gt;0),R377/Q377,"")</f>
        <v/>
      </c>
      <c r="T377" s="9"/>
      <c r="U377" s="9"/>
      <c r="V377" s="9"/>
      <c r="W377" s="9"/>
      <c r="X377" s="23" t="str">
        <f>IF(ISNUMBER(S377),S377,IF(ISNUMBER(I377),I377,""))</f>
        <v/>
      </c>
      <c r="Y377" t="str">
        <f>IF(ISNUMBER(S377),"2025 EIA-923 plant/group proxy",IF(ISNUMBER(I377),"Technology estimate","No thermal heat rate"))</f>
        <v>No thermal heat rate</v>
      </c>
      <c r="Z377" t="str">
        <f>IF(ISNUMBER(S377),"Review: NOT unit verified",IF(AE377="No match","No EIA match",IF(AF377="Unconfirmed","Unconfirmed EIA candidate","")))</f>
        <v/>
      </c>
      <c r="AE377" t="s">
        <v>65</v>
      </c>
      <c r="AF377" t="s">
        <v>66</v>
      </c>
      <c r="AG377" s="24">
        <f>IF(ISBLANK(S377),S377,I377)</f>
        <v>0</v>
      </c>
      <c r="AH377" s="34">
        <f t="shared" si="16"/>
        <v>10366.100000000002</v>
      </c>
      <c r="AI377">
        <f t="shared" si="15"/>
        <v>6473.447944515161</v>
      </c>
      <c r="AJ377" t="b" cm="1">
        <f t="array" ref="AJ377">OR(D377=$AT$2:$AT$8)</f>
        <v>1</v>
      </c>
    </row>
    <row r="378" spans="1:36" x14ac:dyDescent="0.25">
      <c r="A378" s="2" t="s">
        <v>1260</v>
      </c>
      <c r="B378" s="3">
        <v>43.8</v>
      </c>
      <c r="C378" s="2" t="s">
        <v>319</v>
      </c>
      <c r="D378" s="2" t="s">
        <v>319</v>
      </c>
      <c r="E378" s="2" t="s">
        <v>70</v>
      </c>
      <c r="F378" s="4" t="s">
        <v>60</v>
      </c>
      <c r="G378" s="4" t="s">
        <v>61</v>
      </c>
      <c r="H378" s="5"/>
      <c r="I378" s="5"/>
      <c r="J378" s="5"/>
      <c r="K378" s="4" t="s">
        <v>62</v>
      </c>
      <c r="L378" s="4" t="s">
        <v>63</v>
      </c>
      <c r="M378" s="6" t="str">
        <f>IF(OR(B378="",I378=""),"",B378*I378)</f>
        <v/>
      </c>
      <c r="N378" s="8" t="s">
        <v>64</v>
      </c>
      <c r="O378" s="9"/>
      <c r="P378" s="9"/>
      <c r="Q378" s="22"/>
      <c r="R378" s="22"/>
      <c r="S378" s="23" t="str">
        <f>IF(AND(ISNUMBER(Q378),Q378&gt;0,ISNUMBER(R378),R378&gt;0),R378/Q378,"")</f>
        <v/>
      </c>
      <c r="T378" s="9"/>
      <c r="U378" s="9"/>
      <c r="V378" s="9"/>
      <c r="W378" s="9"/>
      <c r="X378" s="23" t="str">
        <f>IF(ISNUMBER(S378),S378,IF(ISNUMBER(I378),I378,""))</f>
        <v/>
      </c>
      <c r="Y378" t="str">
        <f>IF(ISNUMBER(S378),"2025 EIA-923 plant/group proxy",IF(ISNUMBER(I378),"Technology estimate","No thermal heat rate"))</f>
        <v>No thermal heat rate</v>
      </c>
      <c r="Z378" t="str">
        <f>IF(ISNUMBER(S378),"Review: NOT unit verified",IF(AE378="No match","No EIA match",IF(AF378="Unconfirmed","Unconfirmed EIA candidate","")))</f>
        <v/>
      </c>
      <c r="AE378" t="s">
        <v>65</v>
      </c>
      <c r="AF378" t="s">
        <v>66</v>
      </c>
      <c r="AG378" s="24">
        <f>IF(ISBLANK(S378),S378,I378)</f>
        <v>0</v>
      </c>
      <c r="AH378" s="34">
        <f t="shared" si="16"/>
        <v>10409.900000000001</v>
      </c>
      <c r="AI378">
        <f t="shared" si="15"/>
        <v>6500.8002775979749</v>
      </c>
      <c r="AJ378" t="b" cm="1">
        <f t="array" ref="AJ378">OR(D378=$AT$2:$AT$8)</f>
        <v>0</v>
      </c>
    </row>
    <row r="379" spans="1:36" x14ac:dyDescent="0.25">
      <c r="A379" s="2" t="s">
        <v>1267</v>
      </c>
      <c r="B379" s="3">
        <v>37.6</v>
      </c>
      <c r="C379" s="2" t="s">
        <v>68</v>
      </c>
      <c r="D379" s="2" t="s">
        <v>69</v>
      </c>
      <c r="E379" s="2" t="s">
        <v>70</v>
      </c>
      <c r="F379" s="4" t="s">
        <v>60</v>
      </c>
      <c r="G379" s="4" t="s">
        <v>61</v>
      </c>
      <c r="H379" s="5"/>
      <c r="I379" s="5"/>
      <c r="J379" s="5"/>
      <c r="K379" s="4" t="s">
        <v>62</v>
      </c>
      <c r="L379" s="4" t="s">
        <v>63</v>
      </c>
      <c r="M379" s="6" t="str">
        <f>IF(OR(B379="",I379=""),"",B379*I379)</f>
        <v/>
      </c>
      <c r="N379" s="8" t="s">
        <v>64</v>
      </c>
      <c r="O379" s="9"/>
      <c r="P379" s="9"/>
      <c r="Q379" s="22"/>
      <c r="R379" s="22"/>
      <c r="S379" s="23" t="str">
        <f>IF(AND(ISNUMBER(Q379),Q379&gt;0,ISNUMBER(R379),R379&gt;0),R379/Q379,"")</f>
        <v/>
      </c>
      <c r="T379" s="9"/>
      <c r="U379" s="9"/>
      <c r="V379" s="9"/>
      <c r="W379" s="9"/>
      <c r="X379" s="23" t="str">
        <f>IF(ISNUMBER(S379),S379,IF(ISNUMBER(I379),I379,""))</f>
        <v/>
      </c>
      <c r="Y379" t="str">
        <f>IF(ISNUMBER(S379),"2025 EIA-923 plant/group proxy",IF(ISNUMBER(I379),"Technology estimate","No thermal heat rate"))</f>
        <v>No thermal heat rate</v>
      </c>
      <c r="Z379" t="str">
        <f>IF(ISNUMBER(S379),"Review: NOT unit verified",IF(AE379="No match","No EIA match",IF(AF379="Unconfirmed","Unconfirmed EIA candidate","")))</f>
        <v/>
      </c>
      <c r="AE379" t="s">
        <v>65</v>
      </c>
      <c r="AF379" t="s">
        <v>66</v>
      </c>
      <c r="AG379" s="24">
        <f>IF(ISBLANK(S379),S379,I379)</f>
        <v>0</v>
      </c>
      <c r="AH379" s="34">
        <f t="shared" si="16"/>
        <v>10447.500000000002</v>
      </c>
      <c r="AI379">
        <f t="shared" si="15"/>
        <v>6524.2808192398434</v>
      </c>
      <c r="AJ379" t="b" cm="1">
        <f t="array" ref="AJ379">OR(D379=$AT$2:$AT$8)</f>
        <v>0</v>
      </c>
    </row>
    <row r="380" spans="1:36" x14ac:dyDescent="0.25">
      <c r="A380" s="2" t="s">
        <v>1268</v>
      </c>
      <c r="B380" s="3">
        <v>10</v>
      </c>
      <c r="C380" s="2" t="s">
        <v>78</v>
      </c>
      <c r="D380" s="2" t="s">
        <v>78</v>
      </c>
      <c r="E380" s="2" t="s">
        <v>70</v>
      </c>
      <c r="F380" s="4" t="s">
        <v>60</v>
      </c>
      <c r="G380" s="4" t="s">
        <v>61</v>
      </c>
      <c r="H380" s="5"/>
      <c r="I380" s="5"/>
      <c r="J380" s="5"/>
      <c r="K380" s="4" t="s">
        <v>62</v>
      </c>
      <c r="L380" s="4" t="s">
        <v>63</v>
      </c>
      <c r="M380" s="6" t="str">
        <f>IF(OR(B380="",I380=""),"",B380*I380)</f>
        <v/>
      </c>
      <c r="N380" s="8" t="s">
        <v>64</v>
      </c>
      <c r="O380" s="9"/>
      <c r="P380" s="9"/>
      <c r="Q380" s="22"/>
      <c r="R380" s="22"/>
      <c r="S380" s="23" t="str">
        <f>IF(AND(ISNUMBER(Q380),Q380&gt;0,ISNUMBER(R380),R380&gt;0),R380/Q380,"")</f>
        <v/>
      </c>
      <c r="T380" s="9"/>
      <c r="U380" s="9"/>
      <c r="V380" s="9"/>
      <c r="W380" s="9"/>
      <c r="X380" s="23" t="str">
        <f>IF(ISNUMBER(S380),S380,IF(ISNUMBER(I380),I380,""))</f>
        <v/>
      </c>
      <c r="Y380" t="str">
        <f>IF(ISNUMBER(S380),"2025 EIA-923 plant/group proxy",IF(ISNUMBER(I380),"Technology estimate","No thermal heat rate"))</f>
        <v>No thermal heat rate</v>
      </c>
      <c r="Z380" t="str">
        <f>IF(ISNUMBER(S380),"Review: NOT unit verified",IF(AE380="No match","No EIA match",IF(AF380="Unconfirmed","Unconfirmed EIA candidate","")))</f>
        <v/>
      </c>
      <c r="AE380" t="s">
        <v>65</v>
      </c>
      <c r="AF380" t="s">
        <v>66</v>
      </c>
      <c r="AG380" s="24">
        <f>IF(ISBLANK(S380),S380,I380)</f>
        <v>0</v>
      </c>
      <c r="AH380" s="34">
        <f t="shared" si="16"/>
        <v>10457.500000000002</v>
      </c>
      <c r="AI380">
        <f t="shared" si="15"/>
        <v>6530.5256441445954</v>
      </c>
      <c r="AJ380" t="b" cm="1">
        <f t="array" ref="AJ380">OR(D380=$AT$2:$AT$8)</f>
        <v>1</v>
      </c>
    </row>
    <row r="381" spans="1:36" x14ac:dyDescent="0.25">
      <c r="A381" s="2" t="s">
        <v>1273</v>
      </c>
      <c r="B381" s="3">
        <v>38</v>
      </c>
      <c r="C381" s="2" t="s">
        <v>78</v>
      </c>
      <c r="D381" s="2" t="s">
        <v>78</v>
      </c>
      <c r="E381" s="2" t="s">
        <v>70</v>
      </c>
      <c r="F381" s="4" t="s">
        <v>60</v>
      </c>
      <c r="G381" s="4" t="s">
        <v>61</v>
      </c>
      <c r="H381" s="5"/>
      <c r="I381" s="5"/>
      <c r="J381" s="5"/>
      <c r="K381" s="4" t="s">
        <v>62</v>
      </c>
      <c r="L381" s="4" t="s">
        <v>63</v>
      </c>
      <c r="M381" s="6" t="str">
        <f>IF(OR(B381="",I381=""),"",B381*I381)</f>
        <v/>
      </c>
      <c r="N381" s="8" t="s">
        <v>64</v>
      </c>
      <c r="O381" s="9"/>
      <c r="P381" s="9"/>
      <c r="Q381" s="22"/>
      <c r="R381" s="22"/>
      <c r="S381" s="23" t="str">
        <f>IF(AND(ISNUMBER(Q381),Q381&gt;0,ISNUMBER(R381),R381&gt;0),R381/Q381,"")</f>
        <v/>
      </c>
      <c r="T381" s="9"/>
      <c r="U381" s="9"/>
      <c r="V381" s="9"/>
      <c r="W381" s="9"/>
      <c r="X381" s="23" t="str">
        <f>IF(ISNUMBER(S381),S381,IF(ISNUMBER(I381),I381,""))</f>
        <v/>
      </c>
      <c r="Y381" t="str">
        <f>IF(ISNUMBER(S381),"2025 EIA-923 plant/group proxy",IF(ISNUMBER(I381),"Technology estimate","No thermal heat rate"))</f>
        <v>No thermal heat rate</v>
      </c>
      <c r="Z381" t="str">
        <f>IF(ISNUMBER(S381),"Review: NOT unit verified",IF(AE381="No match","No EIA match",IF(AF381="Unconfirmed","Unconfirmed EIA candidate","")))</f>
        <v/>
      </c>
      <c r="AE381" t="s">
        <v>65</v>
      </c>
      <c r="AF381" t="s">
        <v>66</v>
      </c>
      <c r="AG381" s="24">
        <f>IF(ISBLANK(S381),S381,I381)</f>
        <v>0</v>
      </c>
      <c r="AH381" s="34">
        <f t="shared" si="16"/>
        <v>10495.500000000002</v>
      </c>
      <c r="AI381">
        <f t="shared" si="15"/>
        <v>6554.255978782654</v>
      </c>
      <c r="AJ381" t="b" cm="1">
        <f t="array" ref="AJ381">OR(D381=$AT$2:$AT$8)</f>
        <v>1</v>
      </c>
    </row>
    <row r="382" spans="1:36" x14ac:dyDescent="0.25">
      <c r="A382" s="2" t="s">
        <v>1276</v>
      </c>
      <c r="B382" s="3">
        <v>14</v>
      </c>
      <c r="C382" s="2" t="s">
        <v>319</v>
      </c>
      <c r="D382" s="2" t="s">
        <v>319</v>
      </c>
      <c r="E382" s="2" t="s">
        <v>70</v>
      </c>
      <c r="F382" s="4" t="s">
        <v>60</v>
      </c>
      <c r="G382" s="4" t="s">
        <v>61</v>
      </c>
      <c r="H382" s="5"/>
      <c r="I382" s="5"/>
      <c r="J382" s="5"/>
      <c r="K382" s="4" t="s">
        <v>62</v>
      </c>
      <c r="L382" s="4" t="s">
        <v>63</v>
      </c>
      <c r="M382" s="6" t="str">
        <f>IF(OR(B382="",I382=""),"",B382*I382)</f>
        <v/>
      </c>
      <c r="N382" s="8" t="s">
        <v>64</v>
      </c>
      <c r="O382" s="9"/>
      <c r="P382" s="9"/>
      <c r="Q382" s="22"/>
      <c r="R382" s="22"/>
      <c r="S382" s="23" t="str">
        <f>IF(AND(ISNUMBER(Q382),Q382&gt;0,ISNUMBER(R382),R382&gt;0),R382/Q382,"")</f>
        <v/>
      </c>
      <c r="T382" s="9"/>
      <c r="U382" s="9"/>
      <c r="V382" s="9"/>
      <c r="W382" s="9"/>
      <c r="X382" s="23" t="str">
        <f>IF(ISNUMBER(S382),S382,IF(ISNUMBER(I382),I382,""))</f>
        <v/>
      </c>
      <c r="Y382" t="str">
        <f>IF(ISNUMBER(S382),"2025 EIA-923 plant/group proxy",IF(ISNUMBER(I382),"Technology estimate","No thermal heat rate"))</f>
        <v>No thermal heat rate</v>
      </c>
      <c r="Z382" t="str">
        <f>IF(ISNUMBER(S382),"Review: NOT unit verified",IF(AE382="No match","No EIA match",IF(AF382="Unconfirmed","Unconfirmed EIA candidate","")))</f>
        <v/>
      </c>
      <c r="AE382" t="s">
        <v>65</v>
      </c>
      <c r="AF382" t="s">
        <v>66</v>
      </c>
      <c r="AG382" s="24">
        <f>IF(ISBLANK(S382),S382,I382)</f>
        <v>0</v>
      </c>
      <c r="AH382" s="34">
        <f t="shared" si="16"/>
        <v>10509.500000000002</v>
      </c>
      <c r="AI382">
        <f t="shared" si="15"/>
        <v>6562.9987336493068</v>
      </c>
      <c r="AJ382" t="b" cm="1">
        <f t="array" ref="AJ382">OR(D382=$AT$2:$AT$8)</f>
        <v>0</v>
      </c>
    </row>
    <row r="383" spans="1:36" x14ac:dyDescent="0.25">
      <c r="A383" s="2" t="s">
        <v>1279</v>
      </c>
      <c r="B383" s="3">
        <v>12</v>
      </c>
      <c r="C383" s="2" t="s">
        <v>78</v>
      </c>
      <c r="D383" s="2" t="s">
        <v>78</v>
      </c>
      <c r="E383" s="2" t="s">
        <v>70</v>
      </c>
      <c r="F383" s="4" t="s">
        <v>60</v>
      </c>
      <c r="G383" s="4" t="s">
        <v>61</v>
      </c>
      <c r="H383" s="5"/>
      <c r="I383" s="5"/>
      <c r="J383" s="5"/>
      <c r="K383" s="4" t="s">
        <v>62</v>
      </c>
      <c r="L383" s="4" t="s">
        <v>63</v>
      </c>
      <c r="M383" s="6" t="str">
        <f>IF(OR(B383="",I383=""),"",B383*I383)</f>
        <v/>
      </c>
      <c r="N383" s="8" t="s">
        <v>64</v>
      </c>
      <c r="O383" s="9"/>
      <c r="P383" s="9"/>
      <c r="Q383" s="22"/>
      <c r="R383" s="22"/>
      <c r="S383" s="23" t="str">
        <f>IF(AND(ISNUMBER(Q383),Q383&gt;0,ISNUMBER(R383),R383&gt;0),R383/Q383,"")</f>
        <v/>
      </c>
      <c r="T383" s="9"/>
      <c r="U383" s="9"/>
      <c r="V383" s="9"/>
      <c r="W383" s="9"/>
      <c r="X383" s="23" t="str">
        <f>IF(ISNUMBER(S383),S383,IF(ISNUMBER(I383),I383,""))</f>
        <v/>
      </c>
      <c r="Y383" t="str">
        <f>IF(ISNUMBER(S383),"2025 EIA-923 plant/group proxy",IF(ISNUMBER(I383),"Technology estimate","No thermal heat rate"))</f>
        <v>No thermal heat rate</v>
      </c>
      <c r="Z383" t="str">
        <f>IF(ISNUMBER(S383),"Review: NOT unit verified",IF(AE383="No match","No EIA match",IF(AF383="Unconfirmed","Unconfirmed EIA candidate","")))</f>
        <v/>
      </c>
      <c r="AE383" t="s">
        <v>65</v>
      </c>
      <c r="AF383" t="s">
        <v>66</v>
      </c>
      <c r="AG383" s="24">
        <f>IF(ISBLANK(S383),S383,I383)</f>
        <v>0</v>
      </c>
      <c r="AH383" s="34">
        <f t="shared" si="16"/>
        <v>10521.500000000002</v>
      </c>
      <c r="AI383">
        <f t="shared" si="15"/>
        <v>6570.4925235350092</v>
      </c>
      <c r="AJ383" t="b" cm="1">
        <f t="array" ref="AJ383">OR(D383=$AT$2:$AT$8)</f>
        <v>1</v>
      </c>
    </row>
    <row r="384" spans="1:36" x14ac:dyDescent="0.25">
      <c r="A384" s="2" t="s">
        <v>1290</v>
      </c>
      <c r="B384" s="3">
        <v>48.7</v>
      </c>
      <c r="C384" s="2" t="s">
        <v>78</v>
      </c>
      <c r="D384" s="2" t="s">
        <v>78</v>
      </c>
      <c r="E384" s="2" t="s">
        <v>70</v>
      </c>
      <c r="F384" s="4" t="s">
        <v>60</v>
      </c>
      <c r="G384" s="4" t="s">
        <v>61</v>
      </c>
      <c r="H384" s="5"/>
      <c r="I384" s="5"/>
      <c r="J384" s="5"/>
      <c r="K384" s="4" t="s">
        <v>62</v>
      </c>
      <c r="L384" s="4" t="s">
        <v>63</v>
      </c>
      <c r="M384" s="6" t="str">
        <f>IF(OR(B384="",I384=""),"",B384*I384)</f>
        <v/>
      </c>
      <c r="N384" s="8" t="s">
        <v>64</v>
      </c>
      <c r="O384" s="9"/>
      <c r="P384" s="9"/>
      <c r="Q384" s="22"/>
      <c r="R384" s="22"/>
      <c r="S384" s="23" t="str">
        <f>IF(AND(ISNUMBER(Q384),Q384&gt;0,ISNUMBER(R384),R384&gt;0),R384/Q384,"")</f>
        <v/>
      </c>
      <c r="T384" s="9"/>
      <c r="U384" s="9"/>
      <c r="V384" s="9"/>
      <c r="W384" s="9"/>
      <c r="X384" s="23" t="str">
        <f>IF(ISNUMBER(S384),S384,IF(ISNUMBER(I384),I384,""))</f>
        <v/>
      </c>
      <c r="Y384" t="str">
        <f>IF(ISNUMBER(S384),"2025 EIA-923 plant/group proxy",IF(ISNUMBER(I384),"Technology estimate","No thermal heat rate"))</f>
        <v>No thermal heat rate</v>
      </c>
      <c r="Z384" t="str">
        <f>IF(ISNUMBER(S384),"Review: NOT unit verified",IF(AE384="No match","No EIA match",IF(AF384="Unconfirmed","Unconfirmed EIA candidate","")))</f>
        <v/>
      </c>
      <c r="AE384" t="s">
        <v>65</v>
      </c>
      <c r="AF384" t="s">
        <v>66</v>
      </c>
      <c r="AG384" s="24">
        <f>IF(ISBLANK(S384),S384,I384)</f>
        <v>0</v>
      </c>
      <c r="AH384" s="34">
        <f t="shared" si="16"/>
        <v>10570.200000000003</v>
      </c>
      <c r="AI384">
        <f t="shared" si="15"/>
        <v>6600.9048208211534</v>
      </c>
      <c r="AJ384" t="b" cm="1">
        <f t="array" ref="AJ384">OR(D384=$AT$2:$AT$8)</f>
        <v>1</v>
      </c>
    </row>
    <row r="385" spans="1:36" x14ac:dyDescent="0.25">
      <c r="A385" s="2" t="s">
        <v>1300</v>
      </c>
      <c r="B385" s="3">
        <v>43.5</v>
      </c>
      <c r="C385" s="2" t="s">
        <v>136</v>
      </c>
      <c r="D385" s="2" t="s">
        <v>136</v>
      </c>
      <c r="E385" s="2" t="s">
        <v>70</v>
      </c>
      <c r="F385" s="4" t="s">
        <v>60</v>
      </c>
      <c r="G385" s="4" t="s">
        <v>61</v>
      </c>
      <c r="H385" s="5"/>
      <c r="I385" s="5"/>
      <c r="J385" s="5"/>
      <c r="K385" s="4" t="s">
        <v>62</v>
      </c>
      <c r="L385" s="4" t="s">
        <v>63</v>
      </c>
      <c r="M385" s="6" t="str">
        <f>IF(OR(B385="",I385=""),"",B385*I385)</f>
        <v/>
      </c>
      <c r="N385" s="8" t="s">
        <v>64</v>
      </c>
      <c r="O385" s="9"/>
      <c r="P385" s="9"/>
      <c r="Q385" s="22"/>
      <c r="R385" s="22"/>
      <c r="S385" s="23" t="str">
        <f>IF(AND(ISNUMBER(Q385),Q385&gt;0,ISNUMBER(R385),R385&gt;0),R385/Q385,"")</f>
        <v/>
      </c>
      <c r="T385" s="9"/>
      <c r="U385" s="9"/>
      <c r="V385" s="9"/>
      <c r="W385" s="9"/>
      <c r="X385" s="23" t="str">
        <f>IF(ISNUMBER(S385),S385,IF(ISNUMBER(I385),I385,""))</f>
        <v/>
      </c>
      <c r="Y385" t="str">
        <f>IF(ISNUMBER(S385),"2025 EIA-923 plant/group proxy",IF(ISNUMBER(I385),"Technology estimate","No thermal heat rate"))</f>
        <v>No thermal heat rate</v>
      </c>
      <c r="Z385" t="str">
        <f>IF(ISNUMBER(S385),"Review: NOT unit verified",IF(AE385="No match","No EIA match",IF(AF385="Unconfirmed","Unconfirmed EIA candidate","")))</f>
        <v/>
      </c>
      <c r="AE385" t="s">
        <v>65</v>
      </c>
      <c r="AF385" t="s">
        <v>66</v>
      </c>
      <c r="AG385" s="24">
        <f>IF(ISBLANK(S385),S385,I385)</f>
        <v>0</v>
      </c>
      <c r="AH385" s="34">
        <f t="shared" si="16"/>
        <v>10613.700000000003</v>
      </c>
      <c r="AI385">
        <f t="shared" si="15"/>
        <v>6628.0698091568247</v>
      </c>
      <c r="AJ385" t="b" cm="1">
        <f t="array" ref="AJ385">OR(D385=$AT$2:$AT$8)</f>
        <v>0</v>
      </c>
    </row>
    <row r="386" spans="1:36" x14ac:dyDescent="0.25">
      <c r="A386" s="2" t="s">
        <v>1303</v>
      </c>
      <c r="B386" s="3">
        <v>67.3</v>
      </c>
      <c r="C386" s="2" t="s">
        <v>78</v>
      </c>
      <c r="D386" s="2" t="s">
        <v>78</v>
      </c>
      <c r="E386" s="2" t="s">
        <v>70</v>
      </c>
      <c r="F386" s="4" t="s">
        <v>60</v>
      </c>
      <c r="G386" s="4" t="s">
        <v>61</v>
      </c>
      <c r="H386" s="5"/>
      <c r="I386" s="5"/>
      <c r="J386" s="5"/>
      <c r="K386" s="4" t="s">
        <v>62</v>
      </c>
      <c r="L386" s="4" t="s">
        <v>63</v>
      </c>
      <c r="M386" s="6" t="str">
        <f>IF(OR(B386="",I386=""),"",B386*I386)</f>
        <v/>
      </c>
      <c r="N386" s="8" t="s">
        <v>64</v>
      </c>
      <c r="O386" s="9"/>
      <c r="P386" s="9"/>
      <c r="Q386" s="22"/>
      <c r="R386" s="22"/>
      <c r="S386" s="23" t="str">
        <f>IF(AND(ISNUMBER(Q386),Q386&gt;0,ISNUMBER(R386),R386&gt;0),R386/Q386,"")</f>
        <v/>
      </c>
      <c r="T386" s="9"/>
      <c r="U386" s="9"/>
      <c r="V386" s="9"/>
      <c r="W386" s="9"/>
      <c r="X386" s="23" t="str">
        <f>IF(ISNUMBER(S386),S386,IF(ISNUMBER(I386),I386,""))</f>
        <v/>
      </c>
      <c r="Y386" t="str">
        <f>IF(ISNUMBER(S386),"2025 EIA-923 plant/group proxy",IF(ISNUMBER(I386),"Technology estimate","No thermal heat rate"))</f>
        <v>No thermal heat rate</v>
      </c>
      <c r="Z386" t="str">
        <f>IF(ISNUMBER(S386),"Review: NOT unit verified",IF(AE386="No match","No EIA match",IF(AF386="Unconfirmed","Unconfirmed EIA candidate","")))</f>
        <v/>
      </c>
      <c r="AE386" t="s">
        <v>65</v>
      </c>
      <c r="AF386" t="s">
        <v>66</v>
      </c>
      <c r="AG386" s="24">
        <f>IF(ISBLANK(S386),S386,I386)</f>
        <v>0</v>
      </c>
      <c r="AH386" s="34">
        <f t="shared" si="16"/>
        <v>10681.000000000002</v>
      </c>
      <c r="AI386">
        <f t="shared" si="15"/>
        <v>6670.0974807658067</v>
      </c>
      <c r="AJ386" t="b" cm="1">
        <f t="array" ref="AJ386">OR(D386=$AT$2:$AT$8)</f>
        <v>1</v>
      </c>
    </row>
    <row r="387" spans="1:36" x14ac:dyDescent="0.25">
      <c r="A387" s="2" t="s">
        <v>1304</v>
      </c>
      <c r="B387" s="3">
        <v>10.4</v>
      </c>
      <c r="C387" s="2" t="s">
        <v>78</v>
      </c>
      <c r="D387" s="2" t="s">
        <v>78</v>
      </c>
      <c r="E387" s="2" t="s">
        <v>70</v>
      </c>
      <c r="F387" s="4" t="s">
        <v>60</v>
      </c>
      <c r="G387" s="4" t="s">
        <v>61</v>
      </c>
      <c r="H387" s="5"/>
      <c r="I387" s="5"/>
      <c r="J387" s="5"/>
      <c r="K387" s="4" t="s">
        <v>62</v>
      </c>
      <c r="L387" s="4" t="s">
        <v>63</v>
      </c>
      <c r="M387" s="6" t="str">
        <f>IF(OR(B387="",I387=""),"",B387*I387)</f>
        <v/>
      </c>
      <c r="N387" s="8" t="s">
        <v>64</v>
      </c>
      <c r="O387" s="9"/>
      <c r="P387" s="9"/>
      <c r="Q387" s="22"/>
      <c r="R387" s="22"/>
      <c r="S387" s="23" t="str">
        <f>IF(AND(ISNUMBER(Q387),Q387&gt;0,ISNUMBER(R387),R387&gt;0),R387/Q387,"")</f>
        <v/>
      </c>
      <c r="T387" s="9"/>
      <c r="U387" s="9"/>
      <c r="V387" s="9"/>
      <c r="W387" s="9"/>
      <c r="X387" s="23" t="str">
        <f>IF(ISNUMBER(S387),S387,IF(ISNUMBER(I387),I387,""))</f>
        <v/>
      </c>
      <c r="Y387" t="str">
        <f>IF(ISNUMBER(S387),"2025 EIA-923 plant/group proxy",IF(ISNUMBER(I387),"Technology estimate","No thermal heat rate"))</f>
        <v>No thermal heat rate</v>
      </c>
      <c r="Z387" t="str">
        <f>IF(ISNUMBER(S387),"Review: NOT unit verified",IF(AE387="No match","No EIA match",IF(AF387="Unconfirmed","Unconfirmed EIA candidate","")))</f>
        <v/>
      </c>
      <c r="AE387" t="s">
        <v>65</v>
      </c>
      <c r="AF387" t="s">
        <v>66</v>
      </c>
      <c r="AG387" s="24">
        <f>IF(ISBLANK(S387),S387,I387)</f>
        <v>0</v>
      </c>
      <c r="AH387" s="34">
        <f t="shared" si="16"/>
        <v>10691.400000000001</v>
      </c>
      <c r="AI387">
        <f t="shared" ref="AI387:AI450" si="17">AH387*$AK$1</f>
        <v>6676.5920986667488</v>
      </c>
      <c r="AJ387" t="b" cm="1">
        <f t="array" ref="AJ387">OR(D387=$AT$2:$AT$8)</f>
        <v>1</v>
      </c>
    </row>
    <row r="388" spans="1:36" x14ac:dyDescent="0.25">
      <c r="A388" s="2" t="s">
        <v>1366</v>
      </c>
      <c r="B388" s="3">
        <v>34</v>
      </c>
      <c r="C388" s="2" t="s">
        <v>347</v>
      </c>
      <c r="D388" s="2" t="s">
        <v>347</v>
      </c>
      <c r="E388" s="2" t="s">
        <v>70</v>
      </c>
      <c r="F388" s="4" t="s">
        <v>60</v>
      </c>
      <c r="G388" s="4" t="s">
        <v>61</v>
      </c>
      <c r="H388" s="5"/>
      <c r="I388" s="5"/>
      <c r="J388" s="5"/>
      <c r="K388" s="4" t="s">
        <v>62</v>
      </c>
      <c r="L388" s="4" t="s">
        <v>63</v>
      </c>
      <c r="M388" s="6" t="str">
        <f>IF(OR(B388="",I388=""),"",B388*I388)</f>
        <v/>
      </c>
      <c r="N388" s="8" t="s">
        <v>64</v>
      </c>
      <c r="O388" s="9"/>
      <c r="P388" s="9"/>
      <c r="Q388" s="22"/>
      <c r="R388" s="22"/>
      <c r="S388" s="23" t="str">
        <f>IF(AND(ISNUMBER(Q388),Q388&gt;0,ISNUMBER(R388),R388&gt;0),R388/Q388,"")</f>
        <v/>
      </c>
      <c r="T388" s="9"/>
      <c r="U388" s="9"/>
      <c r="V388" s="9"/>
      <c r="W388" s="9"/>
      <c r="X388" s="23" t="str">
        <f>IF(ISNUMBER(S388),S388,IF(ISNUMBER(I388),I388,""))</f>
        <v/>
      </c>
      <c r="Y388" t="str">
        <f>IF(ISNUMBER(S388),"2025 EIA-923 plant/group proxy",IF(ISNUMBER(I388),"Technology estimate","No thermal heat rate"))</f>
        <v>No thermal heat rate</v>
      </c>
      <c r="Z388" t="str">
        <f>IF(ISNUMBER(S388),"Review: NOT unit verified",IF(AE388="No match","No EIA match",IF(AF388="Unconfirmed","Unconfirmed EIA candidate","")))</f>
        <v/>
      </c>
      <c r="AE388" t="s">
        <v>65</v>
      </c>
      <c r="AF388" t="s">
        <v>66</v>
      </c>
      <c r="AG388" s="24">
        <f>IF(ISBLANK(S388),S388,I388)</f>
        <v>0</v>
      </c>
      <c r="AH388" s="34">
        <f t="shared" ref="AH388:AH451" si="18">AH387+B388</f>
        <v>10725.400000000001</v>
      </c>
      <c r="AI388">
        <f t="shared" si="17"/>
        <v>6697.8245033429066</v>
      </c>
      <c r="AJ388" t="b" cm="1">
        <f t="array" ref="AJ388">OR(D388=$AT$2:$AT$8)</f>
        <v>0</v>
      </c>
    </row>
    <row r="389" spans="1:36" x14ac:dyDescent="0.25">
      <c r="A389" s="2" t="s">
        <v>1367</v>
      </c>
      <c r="B389" s="3">
        <v>34</v>
      </c>
      <c r="C389" s="2" t="s">
        <v>347</v>
      </c>
      <c r="D389" s="2" t="s">
        <v>347</v>
      </c>
      <c r="E389" s="2" t="s">
        <v>70</v>
      </c>
      <c r="F389" s="4" t="s">
        <v>60</v>
      </c>
      <c r="G389" s="4" t="s">
        <v>61</v>
      </c>
      <c r="H389" s="5"/>
      <c r="I389" s="5"/>
      <c r="J389" s="5"/>
      <c r="K389" s="4" t="s">
        <v>62</v>
      </c>
      <c r="L389" s="4" t="s">
        <v>63</v>
      </c>
      <c r="M389" s="6" t="str">
        <f>IF(OR(B389="",I389=""),"",B389*I389)</f>
        <v/>
      </c>
      <c r="N389" s="8" t="s">
        <v>64</v>
      </c>
      <c r="O389" s="9"/>
      <c r="P389" s="9"/>
      <c r="Q389" s="22"/>
      <c r="R389" s="22"/>
      <c r="S389" s="23" t="str">
        <f>IF(AND(ISNUMBER(Q389),Q389&gt;0,ISNUMBER(R389),R389&gt;0),R389/Q389,"")</f>
        <v/>
      </c>
      <c r="T389" s="9"/>
      <c r="U389" s="9"/>
      <c r="V389" s="9"/>
      <c r="W389" s="9"/>
      <c r="X389" s="23" t="str">
        <f>IF(ISNUMBER(S389),S389,IF(ISNUMBER(I389),I389,""))</f>
        <v/>
      </c>
      <c r="Y389" t="str">
        <f>IF(ISNUMBER(S389),"2025 EIA-923 plant/group proxy",IF(ISNUMBER(I389),"Technology estimate","No thermal heat rate"))</f>
        <v>No thermal heat rate</v>
      </c>
      <c r="Z389" t="str">
        <f>IF(ISNUMBER(S389),"Review: NOT unit verified",IF(AE389="No match","No EIA match",IF(AF389="Unconfirmed","Unconfirmed EIA candidate","")))</f>
        <v/>
      </c>
      <c r="AE389" t="s">
        <v>65</v>
      </c>
      <c r="AF389" t="s">
        <v>66</v>
      </c>
      <c r="AG389" s="24">
        <f>IF(ISBLANK(S389),S389,I389)</f>
        <v>0</v>
      </c>
      <c r="AH389" s="34">
        <f t="shared" si="18"/>
        <v>10759.400000000001</v>
      </c>
      <c r="AI389">
        <f t="shared" si="17"/>
        <v>6719.0569080190635</v>
      </c>
      <c r="AJ389" t="b" cm="1">
        <f t="array" ref="AJ389">OR(D389=$AT$2:$AT$8)</f>
        <v>0</v>
      </c>
    </row>
    <row r="390" spans="1:36" x14ac:dyDescent="0.25">
      <c r="A390" s="2" t="s">
        <v>1370</v>
      </c>
      <c r="B390" s="3">
        <v>40.299999999999997</v>
      </c>
      <c r="C390" s="2" t="s">
        <v>78</v>
      </c>
      <c r="D390" s="2" t="s">
        <v>78</v>
      </c>
      <c r="E390" s="2" t="s">
        <v>70</v>
      </c>
      <c r="F390" s="4" t="s">
        <v>60</v>
      </c>
      <c r="G390" s="4" t="s">
        <v>61</v>
      </c>
      <c r="H390" s="5"/>
      <c r="I390" s="5"/>
      <c r="J390" s="5"/>
      <c r="K390" s="4" t="s">
        <v>62</v>
      </c>
      <c r="L390" s="4" t="s">
        <v>63</v>
      </c>
      <c r="M390" s="6" t="str">
        <f>IF(OR(B390="",I390=""),"",B390*I390)</f>
        <v/>
      </c>
      <c r="N390" s="8" t="s">
        <v>64</v>
      </c>
      <c r="O390" s="9"/>
      <c r="P390" s="9"/>
      <c r="Q390" s="22"/>
      <c r="R390" s="22"/>
      <c r="S390" s="23" t="str">
        <f>IF(AND(ISNUMBER(Q390),Q390&gt;0,ISNUMBER(R390),R390&gt;0),R390/Q390,"")</f>
        <v/>
      </c>
      <c r="T390" s="9"/>
      <c r="U390" s="9"/>
      <c r="V390" s="9"/>
      <c r="W390" s="9"/>
      <c r="X390" s="23" t="str">
        <f>IF(ISNUMBER(S390),S390,IF(ISNUMBER(I390),I390,""))</f>
        <v/>
      </c>
      <c r="Y390" t="str">
        <f>IF(ISNUMBER(S390),"2025 EIA-923 plant/group proxy",IF(ISNUMBER(I390),"Technology estimate","No thermal heat rate"))</f>
        <v>No thermal heat rate</v>
      </c>
      <c r="Z390" t="str">
        <f>IF(ISNUMBER(S390),"Review: NOT unit verified",IF(AE390="No match","No EIA match",IF(AF390="Unconfirmed","Unconfirmed EIA candidate","")))</f>
        <v/>
      </c>
      <c r="AE390" t="s">
        <v>65</v>
      </c>
      <c r="AF390" t="s">
        <v>66</v>
      </c>
      <c r="AG390" s="24">
        <f>IF(ISBLANK(S390),S390,I390)</f>
        <v>0</v>
      </c>
      <c r="AH390" s="34">
        <f t="shared" si="18"/>
        <v>10799.7</v>
      </c>
      <c r="AI390">
        <f t="shared" si="17"/>
        <v>6744.2235523852141</v>
      </c>
      <c r="AJ390" t="b" cm="1">
        <f t="array" ref="AJ390">OR(D390=$AT$2:$AT$8)</f>
        <v>1</v>
      </c>
    </row>
    <row r="391" spans="1:36" x14ac:dyDescent="0.25">
      <c r="A391" s="2" t="s">
        <v>1372</v>
      </c>
      <c r="B391" s="3">
        <v>2.5</v>
      </c>
      <c r="C391" s="2" t="s">
        <v>80</v>
      </c>
      <c r="D391" s="2" t="s">
        <v>81</v>
      </c>
      <c r="E391" s="2" t="s">
        <v>70</v>
      </c>
      <c r="F391" s="4" t="s">
        <v>60</v>
      </c>
      <c r="G391" s="4" t="s">
        <v>61</v>
      </c>
      <c r="H391" s="5"/>
      <c r="I391" s="5"/>
      <c r="J391" s="5"/>
      <c r="K391" s="4" t="s">
        <v>62</v>
      </c>
      <c r="L391" s="4" t="s">
        <v>63</v>
      </c>
      <c r="M391" s="6" t="str">
        <f>IF(OR(B391="",I391=""),"",B391*I391)</f>
        <v/>
      </c>
      <c r="N391" s="8" t="s">
        <v>64</v>
      </c>
      <c r="O391" s="9"/>
      <c r="P391" s="9"/>
      <c r="Q391" s="22"/>
      <c r="R391" s="22"/>
      <c r="S391" s="23" t="str">
        <f>IF(AND(ISNUMBER(Q391),Q391&gt;0,ISNUMBER(R391),R391&gt;0),R391/Q391,"")</f>
        <v/>
      </c>
      <c r="T391" s="9"/>
      <c r="U391" s="9"/>
      <c r="V391" s="9"/>
      <c r="W391" s="9"/>
      <c r="X391" s="23" t="str">
        <f>IF(ISNUMBER(S391),S391,IF(ISNUMBER(I391),I391,""))</f>
        <v/>
      </c>
      <c r="Y391" t="str">
        <f>IF(ISNUMBER(S391),"2025 EIA-923 plant/group proxy",IF(ISNUMBER(I391),"Technology estimate","No thermal heat rate"))</f>
        <v>No thermal heat rate</v>
      </c>
      <c r="Z391" t="str">
        <f>IF(ISNUMBER(S391),"Review: NOT unit verified",IF(AE391="No match","No EIA match",IF(AF391="Unconfirmed","Unconfirmed EIA candidate","")))</f>
        <v/>
      </c>
      <c r="AE391" t="s">
        <v>65</v>
      </c>
      <c r="AF391" t="s">
        <v>66</v>
      </c>
      <c r="AG391" s="24">
        <f>IF(ISBLANK(S391),S391,I391)</f>
        <v>0</v>
      </c>
      <c r="AH391" s="34">
        <f t="shared" si="18"/>
        <v>10802.2</v>
      </c>
      <c r="AI391">
        <f t="shared" si="17"/>
        <v>6745.7847586114021</v>
      </c>
      <c r="AJ391" t="b" cm="1">
        <f t="array" ref="AJ391">OR(D391=$AT$2:$AT$8)</f>
        <v>0</v>
      </c>
    </row>
    <row r="392" spans="1:36" x14ac:dyDescent="0.25">
      <c r="A392" s="2" t="s">
        <v>1374</v>
      </c>
      <c r="B392" s="3">
        <v>48</v>
      </c>
      <c r="C392" s="2" t="s">
        <v>78</v>
      </c>
      <c r="D392" s="2" t="s">
        <v>78</v>
      </c>
      <c r="E392" s="2" t="s">
        <v>70</v>
      </c>
      <c r="F392" s="4" t="s">
        <v>60</v>
      </c>
      <c r="G392" s="4" t="s">
        <v>61</v>
      </c>
      <c r="H392" s="5"/>
      <c r="I392" s="5"/>
      <c r="J392" s="5"/>
      <c r="K392" s="4" t="s">
        <v>62</v>
      </c>
      <c r="L392" s="4" t="s">
        <v>63</v>
      </c>
      <c r="M392" s="6" t="str">
        <f>IF(OR(B392="",I392=""),"",B392*I392)</f>
        <v/>
      </c>
      <c r="N392" s="8" t="s">
        <v>64</v>
      </c>
      <c r="O392" s="9"/>
      <c r="P392" s="9"/>
      <c r="Q392" s="22"/>
      <c r="R392" s="22"/>
      <c r="S392" s="23" t="str">
        <f>IF(AND(ISNUMBER(Q392),Q392&gt;0,ISNUMBER(R392),R392&gt;0),R392/Q392,"")</f>
        <v/>
      </c>
      <c r="T392" s="9"/>
      <c r="U392" s="9"/>
      <c r="V392" s="9"/>
      <c r="W392" s="9"/>
      <c r="X392" s="23" t="str">
        <f>IF(ISNUMBER(S392),S392,IF(ISNUMBER(I392),I392,""))</f>
        <v/>
      </c>
      <c r="Y392" t="str">
        <f>IF(ISNUMBER(S392),"2025 EIA-923 plant/group proxy",IF(ISNUMBER(I392),"Technology estimate","No thermal heat rate"))</f>
        <v>No thermal heat rate</v>
      </c>
      <c r="Z392" t="str">
        <f>IF(ISNUMBER(S392),"Review: NOT unit verified",IF(AE392="No match","No EIA match",IF(AF392="Unconfirmed","Unconfirmed EIA candidate","")))</f>
        <v/>
      </c>
      <c r="AE392" t="s">
        <v>65</v>
      </c>
      <c r="AF392" t="s">
        <v>66</v>
      </c>
      <c r="AG392" s="24">
        <f>IF(ISBLANK(S392),S392,I392)</f>
        <v>0</v>
      </c>
      <c r="AH392" s="34">
        <f t="shared" si="18"/>
        <v>10850.2</v>
      </c>
      <c r="AI392">
        <f t="shared" si="17"/>
        <v>6775.7599181542128</v>
      </c>
      <c r="AJ392" t="b" cm="1">
        <f t="array" ref="AJ392">OR(D392=$AT$2:$AT$8)</f>
        <v>1</v>
      </c>
    </row>
    <row r="393" spans="1:36" x14ac:dyDescent="0.25">
      <c r="A393" s="2" t="s">
        <v>1384</v>
      </c>
      <c r="B393" s="3">
        <v>19</v>
      </c>
      <c r="C393" s="2" t="s">
        <v>78</v>
      </c>
      <c r="D393" s="2" t="s">
        <v>78</v>
      </c>
      <c r="E393" s="2" t="s">
        <v>70</v>
      </c>
      <c r="F393" s="4" t="s">
        <v>60</v>
      </c>
      <c r="G393" s="4" t="s">
        <v>61</v>
      </c>
      <c r="H393" s="5"/>
      <c r="I393" s="5"/>
      <c r="J393" s="5"/>
      <c r="K393" s="4" t="s">
        <v>62</v>
      </c>
      <c r="L393" s="4" t="s">
        <v>63</v>
      </c>
      <c r="M393" s="6" t="str">
        <f>IF(OR(B393="",I393=""),"",B393*I393)</f>
        <v/>
      </c>
      <c r="N393" s="8" t="s">
        <v>64</v>
      </c>
      <c r="O393" s="9"/>
      <c r="P393" s="9"/>
      <c r="Q393" s="22"/>
      <c r="R393" s="22"/>
      <c r="S393" s="23" t="str">
        <f>IF(AND(ISNUMBER(Q393),Q393&gt;0,ISNUMBER(R393),R393&gt;0),R393/Q393,"")</f>
        <v/>
      </c>
      <c r="T393" s="9"/>
      <c r="U393" s="9"/>
      <c r="V393" s="9"/>
      <c r="W393" s="9"/>
      <c r="X393" s="23" t="str">
        <f>IF(ISNUMBER(S393),S393,IF(ISNUMBER(I393),I393,""))</f>
        <v/>
      </c>
      <c r="Y393" t="str">
        <f>IF(ISNUMBER(S393),"2025 EIA-923 plant/group proxy",IF(ISNUMBER(I393),"Technology estimate","No thermal heat rate"))</f>
        <v>No thermal heat rate</v>
      </c>
      <c r="Z393" t="str">
        <f>IF(ISNUMBER(S393),"Review: NOT unit verified",IF(AE393="No match","No EIA match",IF(AF393="Unconfirmed","Unconfirmed EIA candidate","")))</f>
        <v/>
      </c>
      <c r="AE393" t="s">
        <v>65</v>
      </c>
      <c r="AF393" t="s">
        <v>66</v>
      </c>
      <c r="AG393" s="24">
        <f>IF(ISBLANK(S393),S393,I393)</f>
        <v>0</v>
      </c>
      <c r="AH393" s="34">
        <f t="shared" si="18"/>
        <v>10869.2</v>
      </c>
      <c r="AI393">
        <f t="shared" si="17"/>
        <v>6787.6250854732425</v>
      </c>
      <c r="AJ393" t="b" cm="1">
        <f t="array" ref="AJ393">OR(D393=$AT$2:$AT$8)</f>
        <v>1</v>
      </c>
    </row>
    <row r="394" spans="1:36" x14ac:dyDescent="0.25">
      <c r="A394" s="2" t="s">
        <v>1385</v>
      </c>
      <c r="B394" s="3">
        <v>12</v>
      </c>
      <c r="C394" s="2" t="s">
        <v>78</v>
      </c>
      <c r="D394" s="2" t="s">
        <v>78</v>
      </c>
      <c r="E394" s="2" t="s">
        <v>70</v>
      </c>
      <c r="F394" s="4" t="s">
        <v>60</v>
      </c>
      <c r="G394" s="4" t="s">
        <v>61</v>
      </c>
      <c r="H394" s="5"/>
      <c r="I394" s="5"/>
      <c r="J394" s="5"/>
      <c r="K394" s="4" t="s">
        <v>62</v>
      </c>
      <c r="L394" s="4" t="s">
        <v>63</v>
      </c>
      <c r="M394" s="6" t="str">
        <f>IF(OR(B394="",I394=""),"",B394*I394)</f>
        <v/>
      </c>
      <c r="N394" s="8" t="s">
        <v>64</v>
      </c>
      <c r="O394" s="9"/>
      <c r="P394" s="9"/>
      <c r="Q394" s="22"/>
      <c r="R394" s="22"/>
      <c r="S394" s="23" t="str">
        <f>IF(AND(ISNUMBER(Q394),Q394&gt;0,ISNUMBER(R394),R394&gt;0),R394/Q394,"")</f>
        <v/>
      </c>
      <c r="T394" s="9"/>
      <c r="U394" s="9"/>
      <c r="V394" s="9"/>
      <c r="W394" s="9"/>
      <c r="X394" s="23" t="str">
        <f>IF(ISNUMBER(S394),S394,IF(ISNUMBER(I394),I394,""))</f>
        <v/>
      </c>
      <c r="Y394" t="str">
        <f>IF(ISNUMBER(S394),"2025 EIA-923 plant/group proxy",IF(ISNUMBER(I394),"Technology estimate","No thermal heat rate"))</f>
        <v>No thermal heat rate</v>
      </c>
      <c r="Z394" t="str">
        <f>IF(ISNUMBER(S394),"Review: NOT unit verified",IF(AE394="No match","No EIA match",IF(AF394="Unconfirmed","Unconfirmed EIA candidate","")))</f>
        <v/>
      </c>
      <c r="AE394" t="s">
        <v>65</v>
      </c>
      <c r="AF394" t="s">
        <v>66</v>
      </c>
      <c r="AG394" s="24">
        <f>IF(ISBLANK(S394),S394,I394)</f>
        <v>0</v>
      </c>
      <c r="AH394" s="34">
        <f t="shared" si="18"/>
        <v>10881.2</v>
      </c>
      <c r="AI394">
        <f t="shared" si="17"/>
        <v>6795.1188753589449</v>
      </c>
      <c r="AJ394" t="b" cm="1">
        <f t="array" ref="AJ394">OR(D394=$AT$2:$AT$8)</f>
        <v>1</v>
      </c>
    </row>
    <row r="395" spans="1:36" x14ac:dyDescent="0.25">
      <c r="A395" s="2" t="s">
        <v>1391</v>
      </c>
      <c r="B395" s="3">
        <v>27</v>
      </c>
      <c r="C395" s="2" t="s">
        <v>68</v>
      </c>
      <c r="D395" s="2" t="s">
        <v>69</v>
      </c>
      <c r="E395" s="2" t="s">
        <v>70</v>
      </c>
      <c r="F395" s="4" t="s">
        <v>60</v>
      </c>
      <c r="G395" s="4" t="s">
        <v>61</v>
      </c>
      <c r="H395" s="5"/>
      <c r="I395" s="5"/>
      <c r="J395" s="5"/>
      <c r="K395" s="4" t="s">
        <v>62</v>
      </c>
      <c r="L395" s="4" t="s">
        <v>63</v>
      </c>
      <c r="M395" s="6" t="str">
        <f>IF(OR(B395="",I395=""),"",B395*I395)</f>
        <v/>
      </c>
      <c r="N395" s="8" t="s">
        <v>64</v>
      </c>
      <c r="O395" s="9"/>
      <c r="P395" s="9"/>
      <c r="Q395" s="22"/>
      <c r="R395" s="22"/>
      <c r="S395" s="23" t="str">
        <f>IF(AND(ISNUMBER(Q395),Q395&gt;0,ISNUMBER(R395),R395&gt;0),R395/Q395,"")</f>
        <v/>
      </c>
      <c r="T395" s="9"/>
      <c r="U395" s="9"/>
      <c r="V395" s="9"/>
      <c r="W395" s="9"/>
      <c r="X395" s="23" t="str">
        <f>IF(ISNUMBER(S395),S395,IF(ISNUMBER(I395),I395,""))</f>
        <v/>
      </c>
      <c r="Y395" t="str">
        <f>IF(ISNUMBER(S395),"2025 EIA-923 plant/group proxy",IF(ISNUMBER(I395),"Technology estimate","No thermal heat rate"))</f>
        <v>No thermal heat rate</v>
      </c>
      <c r="Z395" t="str">
        <f>IF(ISNUMBER(S395),"Review: NOT unit verified",IF(AE395="No match","No EIA match",IF(AF395="Unconfirmed","Unconfirmed EIA candidate","")))</f>
        <v/>
      </c>
      <c r="AE395" t="s">
        <v>65</v>
      </c>
      <c r="AF395" t="s">
        <v>66</v>
      </c>
      <c r="AG395" s="24">
        <f>IF(ISBLANK(S395),S395,I395)</f>
        <v>0</v>
      </c>
      <c r="AH395" s="34">
        <f t="shared" si="18"/>
        <v>10908.2</v>
      </c>
      <c r="AI395">
        <f t="shared" si="17"/>
        <v>6811.9799026017754</v>
      </c>
      <c r="AJ395" t="b" cm="1">
        <f t="array" ref="AJ395">OR(D395=$AT$2:$AT$8)</f>
        <v>0</v>
      </c>
    </row>
    <row r="396" spans="1:36" x14ac:dyDescent="0.25">
      <c r="A396" s="2" t="s">
        <v>1392</v>
      </c>
      <c r="B396" s="3">
        <v>21.2</v>
      </c>
      <c r="C396" s="2" t="s">
        <v>68</v>
      </c>
      <c r="D396" s="2" t="s">
        <v>69</v>
      </c>
      <c r="E396" s="2" t="s">
        <v>70</v>
      </c>
      <c r="F396" s="4" t="s">
        <v>60</v>
      </c>
      <c r="G396" s="4" t="s">
        <v>61</v>
      </c>
      <c r="H396" s="5"/>
      <c r="I396" s="5"/>
      <c r="J396" s="5"/>
      <c r="K396" s="4" t="s">
        <v>62</v>
      </c>
      <c r="L396" s="4" t="s">
        <v>63</v>
      </c>
      <c r="M396" s="6" t="str">
        <f>IF(OR(B396="",I396=""),"",B396*I396)</f>
        <v/>
      </c>
      <c r="N396" s="8" t="s">
        <v>64</v>
      </c>
      <c r="O396" s="9"/>
      <c r="P396" s="9"/>
      <c r="Q396" s="22"/>
      <c r="R396" s="22"/>
      <c r="S396" s="23" t="str">
        <f>IF(AND(ISNUMBER(Q396),Q396&gt;0,ISNUMBER(R396),R396&gt;0),R396/Q396,"")</f>
        <v/>
      </c>
      <c r="T396" s="9"/>
      <c r="U396" s="9"/>
      <c r="V396" s="9"/>
      <c r="W396" s="9"/>
      <c r="X396" s="23" t="str">
        <f>IF(ISNUMBER(S396),S396,IF(ISNUMBER(I396),I396,""))</f>
        <v/>
      </c>
      <c r="Y396" t="str">
        <f>IF(ISNUMBER(S396),"2025 EIA-923 plant/group proxy",IF(ISNUMBER(I396),"Technology estimate","No thermal heat rate"))</f>
        <v>No thermal heat rate</v>
      </c>
      <c r="Z396" t="str">
        <f>IF(ISNUMBER(S396),"Review: NOT unit verified",IF(AE396="No match","No EIA match",IF(AF396="Unconfirmed","Unconfirmed EIA candidate","")))</f>
        <v/>
      </c>
      <c r="AE396" t="s">
        <v>65</v>
      </c>
      <c r="AF396" t="s">
        <v>66</v>
      </c>
      <c r="AG396" s="24">
        <f>IF(ISBLANK(S396),S396,I396)</f>
        <v>0</v>
      </c>
      <c r="AH396" s="34">
        <f t="shared" si="18"/>
        <v>10929.400000000001</v>
      </c>
      <c r="AI396">
        <f t="shared" si="17"/>
        <v>6825.2189313998506</v>
      </c>
      <c r="AJ396" t="b" cm="1">
        <f t="array" ref="AJ396">OR(D396=$AT$2:$AT$8)</f>
        <v>0</v>
      </c>
    </row>
    <row r="397" spans="1:36" x14ac:dyDescent="0.25">
      <c r="A397" s="2" t="s">
        <v>1402</v>
      </c>
      <c r="B397" s="3">
        <v>129</v>
      </c>
      <c r="C397" s="2" t="s">
        <v>99</v>
      </c>
      <c r="D397" s="2" t="s">
        <v>81</v>
      </c>
      <c r="E397" s="2" t="s">
        <v>70</v>
      </c>
      <c r="F397" s="4" t="s">
        <v>60</v>
      </c>
      <c r="G397" s="4" t="s">
        <v>61</v>
      </c>
      <c r="H397" s="5"/>
      <c r="I397" s="5"/>
      <c r="J397" s="5"/>
      <c r="K397" s="4" t="s">
        <v>62</v>
      </c>
      <c r="L397" s="4" t="s">
        <v>63</v>
      </c>
      <c r="M397" s="6" t="str">
        <f>IF(OR(B397="",I397=""),"",B397*I397)</f>
        <v/>
      </c>
      <c r="N397" s="8" t="s">
        <v>64</v>
      </c>
      <c r="O397" s="9"/>
      <c r="P397" s="9"/>
      <c r="Q397" s="22"/>
      <c r="R397" s="22"/>
      <c r="S397" s="23" t="str">
        <f>IF(AND(ISNUMBER(Q397),Q397&gt;0,ISNUMBER(R397),R397&gt;0),R397/Q397,"")</f>
        <v/>
      </c>
      <c r="T397" s="9"/>
      <c r="U397" s="9"/>
      <c r="V397" s="9"/>
      <c r="W397" s="9"/>
      <c r="X397" s="23" t="str">
        <f>IF(ISNUMBER(S397),S397,IF(ISNUMBER(I397),I397,""))</f>
        <v/>
      </c>
      <c r="Y397" t="str">
        <f>IF(ISNUMBER(S397),"2025 EIA-923 plant/group proxy",IF(ISNUMBER(I397),"Technology estimate","No thermal heat rate"))</f>
        <v>No thermal heat rate</v>
      </c>
      <c r="Z397" t="str">
        <f>IF(ISNUMBER(S397),"Review: NOT unit verified",IF(AE397="No match","No EIA match",IF(AF397="Unconfirmed","Unconfirmed EIA candidate","")))</f>
        <v/>
      </c>
      <c r="AE397" t="s">
        <v>65</v>
      </c>
      <c r="AF397" t="s">
        <v>66</v>
      </c>
      <c r="AG397" s="24">
        <f>IF(ISBLANK(S397),S397,I397)</f>
        <v>0</v>
      </c>
      <c r="AH397" s="34">
        <f t="shared" si="18"/>
        <v>11058.400000000001</v>
      </c>
      <c r="AI397">
        <f t="shared" si="17"/>
        <v>6905.7771726711535</v>
      </c>
      <c r="AJ397" t="b" cm="1">
        <f t="array" ref="AJ397">OR(D397=$AT$2:$AT$8)</f>
        <v>0</v>
      </c>
    </row>
    <row r="398" spans="1:36" x14ac:dyDescent="0.25">
      <c r="A398" s="2" t="s">
        <v>1403</v>
      </c>
      <c r="B398" s="3">
        <v>45.6</v>
      </c>
      <c r="C398" s="2" t="s">
        <v>78</v>
      </c>
      <c r="D398" s="2" t="s">
        <v>78</v>
      </c>
      <c r="E398" s="2" t="s">
        <v>70</v>
      </c>
      <c r="F398" s="4" t="s">
        <v>60</v>
      </c>
      <c r="G398" s="4" t="s">
        <v>61</v>
      </c>
      <c r="H398" s="5"/>
      <c r="I398" s="5"/>
      <c r="J398" s="5"/>
      <c r="K398" s="4" t="s">
        <v>62</v>
      </c>
      <c r="L398" s="4" t="s">
        <v>63</v>
      </c>
      <c r="M398" s="6" t="str">
        <f>IF(OR(B398="",I398=""),"",B398*I398)</f>
        <v/>
      </c>
      <c r="N398" s="8" t="s">
        <v>64</v>
      </c>
      <c r="O398" s="9"/>
      <c r="P398" s="9"/>
      <c r="Q398" s="22"/>
      <c r="R398" s="22"/>
      <c r="S398" s="23" t="str">
        <f>IF(AND(ISNUMBER(Q398),Q398&gt;0,ISNUMBER(R398),R398&gt;0),R398/Q398,"")</f>
        <v/>
      </c>
      <c r="T398" s="9"/>
      <c r="U398" s="9"/>
      <c r="V398" s="9"/>
      <c r="W398" s="9"/>
      <c r="X398" s="23" t="str">
        <f>IF(ISNUMBER(S398),S398,IF(ISNUMBER(I398),I398,""))</f>
        <v/>
      </c>
      <c r="Y398" t="str">
        <f>IF(ISNUMBER(S398),"2025 EIA-923 plant/group proxy",IF(ISNUMBER(I398),"Technology estimate","No thermal heat rate"))</f>
        <v>No thermal heat rate</v>
      </c>
      <c r="Z398" t="str">
        <f>IF(ISNUMBER(S398),"Review: NOT unit verified",IF(AE398="No match","No EIA match",IF(AF398="Unconfirmed","Unconfirmed EIA candidate","")))</f>
        <v/>
      </c>
      <c r="AE398" t="s">
        <v>65</v>
      </c>
      <c r="AF398" t="s">
        <v>66</v>
      </c>
      <c r="AG398" s="24">
        <f>IF(ISBLANK(S398),S398,I398)</f>
        <v>0</v>
      </c>
      <c r="AH398" s="34">
        <f t="shared" si="18"/>
        <v>11104.000000000002</v>
      </c>
      <c r="AI398">
        <f t="shared" si="17"/>
        <v>6934.2535742368236</v>
      </c>
      <c r="AJ398" t="b" cm="1">
        <f t="array" ref="AJ398">OR(D398=$AT$2:$AT$8)</f>
        <v>1</v>
      </c>
    </row>
    <row r="399" spans="1:36" x14ac:dyDescent="0.25">
      <c r="A399" s="2" t="s">
        <v>1408</v>
      </c>
      <c r="B399" s="3">
        <v>13.1</v>
      </c>
      <c r="C399" s="2" t="s">
        <v>78</v>
      </c>
      <c r="D399" s="2" t="s">
        <v>78</v>
      </c>
      <c r="E399" s="2" t="s">
        <v>70</v>
      </c>
      <c r="F399" s="4" t="s">
        <v>60</v>
      </c>
      <c r="G399" s="4" t="s">
        <v>61</v>
      </c>
      <c r="H399" s="5"/>
      <c r="I399" s="5"/>
      <c r="J399" s="5"/>
      <c r="K399" s="4" t="s">
        <v>62</v>
      </c>
      <c r="L399" s="4" t="s">
        <v>63</v>
      </c>
      <c r="M399" s="6" t="str">
        <f>IF(OR(B399="",I399=""),"",B399*I399)</f>
        <v/>
      </c>
      <c r="N399" s="8" t="s">
        <v>64</v>
      </c>
      <c r="O399" s="9"/>
      <c r="P399" s="9"/>
      <c r="Q399" s="22"/>
      <c r="R399" s="22"/>
      <c r="S399" s="23" t="str">
        <f>IF(AND(ISNUMBER(Q399),Q399&gt;0,ISNUMBER(R399),R399&gt;0),R399/Q399,"")</f>
        <v/>
      </c>
      <c r="T399" s="9"/>
      <c r="U399" s="9"/>
      <c r="V399" s="9"/>
      <c r="W399" s="9"/>
      <c r="X399" s="23" t="str">
        <f>IF(ISNUMBER(S399),S399,IF(ISNUMBER(I399),I399,""))</f>
        <v/>
      </c>
      <c r="Y399" t="str">
        <f>IF(ISNUMBER(S399),"2025 EIA-923 plant/group proxy",IF(ISNUMBER(I399),"Technology estimate","No thermal heat rate"))</f>
        <v>No thermal heat rate</v>
      </c>
      <c r="Z399" t="str">
        <f>IF(ISNUMBER(S399),"Review: NOT unit verified",IF(AE399="No match","No EIA match",IF(AF399="Unconfirmed","Unconfirmed EIA candidate","")))</f>
        <v/>
      </c>
      <c r="AE399" t="s">
        <v>65</v>
      </c>
      <c r="AF399" t="s">
        <v>66</v>
      </c>
      <c r="AG399" s="24">
        <f>IF(ISBLANK(S399),S399,I399)</f>
        <v>0</v>
      </c>
      <c r="AH399" s="34">
        <f t="shared" si="18"/>
        <v>11117.100000000002</v>
      </c>
      <c r="AI399">
        <f t="shared" si="17"/>
        <v>6942.4342948620497</v>
      </c>
      <c r="AJ399" t="b" cm="1">
        <f t="array" ref="AJ399">OR(D399=$AT$2:$AT$8)</f>
        <v>1</v>
      </c>
    </row>
    <row r="400" spans="1:36" x14ac:dyDescent="0.25">
      <c r="A400" s="2" t="s">
        <v>1437</v>
      </c>
      <c r="B400" s="3">
        <v>9</v>
      </c>
      <c r="C400" s="2" t="s">
        <v>78</v>
      </c>
      <c r="D400" s="2" t="s">
        <v>78</v>
      </c>
      <c r="E400" s="2" t="s">
        <v>70</v>
      </c>
      <c r="F400" s="4" t="s">
        <v>60</v>
      </c>
      <c r="G400" s="4" t="s">
        <v>61</v>
      </c>
      <c r="H400" s="5"/>
      <c r="I400" s="5"/>
      <c r="J400" s="5"/>
      <c r="K400" s="4" t="s">
        <v>62</v>
      </c>
      <c r="L400" s="4" t="s">
        <v>63</v>
      </c>
      <c r="M400" s="6" t="str">
        <f>IF(OR(B400="",I400=""),"",B400*I400)</f>
        <v/>
      </c>
      <c r="N400" s="8" t="s">
        <v>64</v>
      </c>
      <c r="O400" s="9"/>
      <c r="P400" s="9"/>
      <c r="Q400" s="22"/>
      <c r="R400" s="22"/>
      <c r="S400" s="23" t="str">
        <f>IF(AND(ISNUMBER(Q400),Q400&gt;0,ISNUMBER(R400),R400&gt;0),R400/Q400,"")</f>
        <v/>
      </c>
      <c r="T400" s="9"/>
      <c r="U400" s="9"/>
      <c r="V400" s="9"/>
      <c r="W400" s="9"/>
      <c r="X400" s="23" t="str">
        <f>IF(ISNUMBER(S400),S400,IF(ISNUMBER(I400),I400,""))</f>
        <v/>
      </c>
      <c r="Y400" t="str">
        <f>IF(ISNUMBER(S400),"2025 EIA-923 plant/group proxy",IF(ISNUMBER(I400),"Technology estimate","No thermal heat rate"))</f>
        <v>No thermal heat rate</v>
      </c>
      <c r="Z400" t="str">
        <f>IF(ISNUMBER(S400),"Review: NOT unit verified",IF(AE400="No match","No EIA match",IF(AF400="Unconfirmed","Unconfirmed EIA candidate","")))</f>
        <v/>
      </c>
      <c r="AE400" t="s">
        <v>65</v>
      </c>
      <c r="AF400" t="s">
        <v>66</v>
      </c>
      <c r="AG400" s="24">
        <f>IF(ISBLANK(S400),S400,I400)</f>
        <v>0</v>
      </c>
      <c r="AH400" s="34">
        <f t="shared" si="18"/>
        <v>11126.100000000002</v>
      </c>
      <c r="AI400">
        <f t="shared" si="17"/>
        <v>6948.0546372763265</v>
      </c>
      <c r="AJ400" t="b" cm="1">
        <f t="array" ref="AJ400">OR(D400=$AT$2:$AT$8)</f>
        <v>1</v>
      </c>
    </row>
    <row r="401" spans="1:36" x14ac:dyDescent="0.25">
      <c r="A401" s="2" t="s">
        <v>1441</v>
      </c>
      <c r="B401" s="3">
        <v>12</v>
      </c>
      <c r="C401" s="2" t="s">
        <v>78</v>
      </c>
      <c r="D401" s="2" t="s">
        <v>78</v>
      </c>
      <c r="E401" s="2" t="s">
        <v>70</v>
      </c>
      <c r="F401" s="4" t="s">
        <v>60</v>
      </c>
      <c r="G401" s="4" t="s">
        <v>61</v>
      </c>
      <c r="H401" s="5"/>
      <c r="I401" s="5"/>
      <c r="J401" s="5"/>
      <c r="K401" s="4" t="s">
        <v>62</v>
      </c>
      <c r="L401" s="4" t="s">
        <v>63</v>
      </c>
      <c r="M401" s="6" t="str">
        <f>IF(OR(B401="",I401=""),"",B401*I401)</f>
        <v/>
      </c>
      <c r="N401" s="8" t="s">
        <v>64</v>
      </c>
      <c r="O401" s="9"/>
      <c r="P401" s="9"/>
      <c r="Q401" s="22"/>
      <c r="R401" s="22"/>
      <c r="S401" s="23" t="str">
        <f>IF(AND(ISNUMBER(Q401),Q401&gt;0,ISNUMBER(R401),R401&gt;0),R401/Q401,"")</f>
        <v/>
      </c>
      <c r="T401" s="9"/>
      <c r="U401" s="9"/>
      <c r="V401" s="9"/>
      <c r="W401" s="9"/>
      <c r="X401" s="23" t="str">
        <f>IF(ISNUMBER(S401),S401,IF(ISNUMBER(I401),I401,""))</f>
        <v/>
      </c>
      <c r="Y401" t="str">
        <f>IF(ISNUMBER(S401),"2025 EIA-923 plant/group proxy",IF(ISNUMBER(I401),"Technology estimate","No thermal heat rate"))</f>
        <v>No thermal heat rate</v>
      </c>
      <c r="Z401" t="str">
        <f>IF(ISNUMBER(S401),"Review: NOT unit verified",IF(AE401="No match","No EIA match",IF(AF401="Unconfirmed","Unconfirmed EIA candidate","")))</f>
        <v/>
      </c>
      <c r="AE401" t="s">
        <v>65</v>
      </c>
      <c r="AF401" t="s">
        <v>66</v>
      </c>
      <c r="AG401" s="24">
        <f>IF(ISBLANK(S401),S401,I401)</f>
        <v>0</v>
      </c>
      <c r="AH401" s="34">
        <f t="shared" si="18"/>
        <v>11138.100000000002</v>
      </c>
      <c r="AI401">
        <f t="shared" si="17"/>
        <v>6955.5484271620289</v>
      </c>
      <c r="AJ401" t="b" cm="1">
        <f t="array" ref="AJ401">OR(D401=$AT$2:$AT$8)</f>
        <v>1</v>
      </c>
    </row>
    <row r="402" spans="1:36" x14ac:dyDescent="0.25">
      <c r="A402" s="2" t="s">
        <v>1450</v>
      </c>
      <c r="B402" s="3">
        <v>37.799999999999997</v>
      </c>
      <c r="C402" s="2" t="s">
        <v>78</v>
      </c>
      <c r="D402" s="2" t="s">
        <v>78</v>
      </c>
      <c r="E402" s="2" t="s">
        <v>70</v>
      </c>
      <c r="F402" s="4" t="s">
        <v>60</v>
      </c>
      <c r="G402" s="4" t="s">
        <v>61</v>
      </c>
      <c r="H402" s="5"/>
      <c r="I402" s="5"/>
      <c r="J402" s="5"/>
      <c r="K402" s="4" t="s">
        <v>62</v>
      </c>
      <c r="L402" s="4" t="s">
        <v>63</v>
      </c>
      <c r="M402" s="6" t="str">
        <f>IF(OR(B402="",I402=""),"",B402*I402)</f>
        <v/>
      </c>
      <c r="N402" s="8" t="s">
        <v>64</v>
      </c>
      <c r="O402" s="9"/>
      <c r="P402" s="9"/>
      <c r="Q402" s="22"/>
      <c r="R402" s="22"/>
      <c r="S402" s="23" t="str">
        <f>IF(AND(ISNUMBER(Q402),Q402&gt;0,ISNUMBER(R402),R402&gt;0),R402/Q402,"")</f>
        <v/>
      </c>
      <c r="T402" s="9"/>
      <c r="U402" s="9"/>
      <c r="V402" s="9"/>
      <c r="W402" s="9"/>
      <c r="X402" s="23" t="str">
        <f>IF(ISNUMBER(S402),S402,IF(ISNUMBER(I402),I402,""))</f>
        <v/>
      </c>
      <c r="Y402" t="str">
        <f>IF(ISNUMBER(S402),"2025 EIA-923 plant/group proxy",IF(ISNUMBER(I402),"Technology estimate","No thermal heat rate"))</f>
        <v>No thermal heat rate</v>
      </c>
      <c r="Z402" t="str">
        <f>IF(ISNUMBER(S402),"Review: NOT unit verified",IF(AE402="No match","No EIA match",IF(AF402="Unconfirmed","Unconfirmed EIA candidate","")))</f>
        <v/>
      </c>
      <c r="AE402" t="s">
        <v>65</v>
      </c>
      <c r="AF402" t="s">
        <v>66</v>
      </c>
      <c r="AG402" s="24">
        <f>IF(ISBLANK(S402),S402,I402)</f>
        <v>0</v>
      </c>
      <c r="AH402" s="34">
        <f t="shared" si="18"/>
        <v>11175.900000000001</v>
      </c>
      <c r="AI402">
        <f t="shared" si="17"/>
        <v>6979.1538653019916</v>
      </c>
      <c r="AJ402" t="b" cm="1">
        <f t="array" ref="AJ402">OR(D402=$AT$2:$AT$8)</f>
        <v>1</v>
      </c>
    </row>
    <row r="403" spans="1:36" x14ac:dyDescent="0.25">
      <c r="A403" s="2" t="s">
        <v>1474</v>
      </c>
      <c r="B403" s="3">
        <v>258</v>
      </c>
      <c r="C403" s="2" t="s">
        <v>99</v>
      </c>
      <c r="D403" s="2" t="s">
        <v>81</v>
      </c>
      <c r="E403" s="2" t="s">
        <v>70</v>
      </c>
      <c r="F403" s="4" t="s">
        <v>60</v>
      </c>
      <c r="G403" s="4" t="s">
        <v>61</v>
      </c>
      <c r="H403" s="5"/>
      <c r="I403" s="5"/>
      <c r="J403" s="5"/>
      <c r="K403" s="4" t="s">
        <v>62</v>
      </c>
      <c r="L403" s="4" t="s">
        <v>63</v>
      </c>
      <c r="M403" s="6" t="str">
        <f>IF(OR(B403="",I403=""),"",B403*I403)</f>
        <v/>
      </c>
      <c r="N403" s="8" t="s">
        <v>64</v>
      </c>
      <c r="O403" s="9"/>
      <c r="P403" s="9"/>
      <c r="Q403" s="22"/>
      <c r="R403" s="22"/>
      <c r="S403" s="23" t="str">
        <f>IF(AND(ISNUMBER(Q403),Q403&gt;0,ISNUMBER(R403),R403&gt;0),R403/Q403,"")</f>
        <v/>
      </c>
      <c r="T403" s="9"/>
      <c r="U403" s="9"/>
      <c r="V403" s="9"/>
      <c r="W403" s="9"/>
      <c r="X403" s="23" t="str">
        <f>IF(ISNUMBER(S403),S403,IF(ISNUMBER(I403),I403,""))</f>
        <v/>
      </c>
      <c r="Y403" t="str">
        <f>IF(ISNUMBER(S403),"2025 EIA-923 plant/group proxy",IF(ISNUMBER(I403),"Technology estimate","No thermal heat rate"))</f>
        <v>No thermal heat rate</v>
      </c>
      <c r="Z403" t="str">
        <f>IF(ISNUMBER(S403),"Review: NOT unit verified",IF(AE403="No match","No EIA match",IF(AF403="Unconfirmed","Unconfirmed EIA candidate","")))</f>
        <v/>
      </c>
      <c r="AE403" t="s">
        <v>65</v>
      </c>
      <c r="AF403" t="s">
        <v>66</v>
      </c>
      <c r="AG403" s="24">
        <f>IF(ISBLANK(S403),S403,I403)</f>
        <v>0</v>
      </c>
      <c r="AH403" s="34">
        <f t="shared" si="18"/>
        <v>11433.900000000001</v>
      </c>
      <c r="AI403">
        <f t="shared" si="17"/>
        <v>7140.2703478445983</v>
      </c>
      <c r="AJ403" t="b" cm="1">
        <f t="array" ref="AJ403">OR(D403=$AT$2:$AT$8)</f>
        <v>0</v>
      </c>
    </row>
    <row r="404" spans="1:36" x14ac:dyDescent="0.25">
      <c r="A404" s="2" t="s">
        <v>1475</v>
      </c>
      <c r="B404" s="3">
        <v>86</v>
      </c>
      <c r="C404" s="2" t="s">
        <v>99</v>
      </c>
      <c r="D404" s="2" t="s">
        <v>81</v>
      </c>
      <c r="E404" s="2" t="s">
        <v>70</v>
      </c>
      <c r="F404" s="4" t="s">
        <v>60</v>
      </c>
      <c r="G404" s="4" t="s">
        <v>61</v>
      </c>
      <c r="H404" s="5"/>
      <c r="I404" s="5"/>
      <c r="J404" s="5"/>
      <c r="K404" s="4" t="s">
        <v>62</v>
      </c>
      <c r="L404" s="4" t="s">
        <v>63</v>
      </c>
      <c r="M404" s="6" t="str">
        <f>IF(OR(B404="",I404=""),"",B404*I404)</f>
        <v/>
      </c>
      <c r="N404" s="8" t="s">
        <v>64</v>
      </c>
      <c r="O404" s="9"/>
      <c r="P404" s="9"/>
      <c r="Q404" s="22"/>
      <c r="R404" s="22"/>
      <c r="S404" s="23" t="str">
        <f>IF(AND(ISNUMBER(Q404),Q404&gt;0,ISNUMBER(R404),R404&gt;0),R404/Q404,"")</f>
        <v/>
      </c>
      <c r="T404" s="9"/>
      <c r="U404" s="9"/>
      <c r="V404" s="9"/>
      <c r="W404" s="9"/>
      <c r="X404" s="23" t="str">
        <f>IF(ISNUMBER(S404),S404,IF(ISNUMBER(I404),I404,""))</f>
        <v/>
      </c>
      <c r="Y404" t="str">
        <f>IF(ISNUMBER(S404),"2025 EIA-923 plant/group proxy",IF(ISNUMBER(I404),"Technology estimate","No thermal heat rate"))</f>
        <v>No thermal heat rate</v>
      </c>
      <c r="Z404" t="str">
        <f>IF(ISNUMBER(S404),"Review: NOT unit verified",IF(AE404="No match","No EIA match",IF(AF404="Unconfirmed","Unconfirmed EIA candidate","")))</f>
        <v/>
      </c>
      <c r="AE404" t="s">
        <v>65</v>
      </c>
      <c r="AF404" t="s">
        <v>66</v>
      </c>
      <c r="AG404" s="24">
        <f>IF(ISBLANK(S404),S404,I404)</f>
        <v>0</v>
      </c>
      <c r="AH404" s="34">
        <f t="shared" si="18"/>
        <v>11519.900000000001</v>
      </c>
      <c r="AI404">
        <f t="shared" si="17"/>
        <v>7193.9758420254666</v>
      </c>
      <c r="AJ404" t="b" cm="1">
        <f t="array" ref="AJ404">OR(D404=$AT$2:$AT$8)</f>
        <v>0</v>
      </c>
    </row>
    <row r="405" spans="1:36" x14ac:dyDescent="0.25">
      <c r="A405" s="2" t="s">
        <v>1490</v>
      </c>
      <c r="B405" s="3">
        <v>10.4</v>
      </c>
      <c r="C405" s="2" t="s">
        <v>405</v>
      </c>
      <c r="D405" s="2" t="s">
        <v>405</v>
      </c>
      <c r="E405" s="2" t="s">
        <v>70</v>
      </c>
      <c r="F405" s="4" t="s">
        <v>60</v>
      </c>
      <c r="G405" s="4" t="s">
        <v>61</v>
      </c>
      <c r="H405" s="5"/>
      <c r="I405" s="5"/>
      <c r="J405" s="5"/>
      <c r="K405" s="4" t="s">
        <v>62</v>
      </c>
      <c r="L405" s="4" t="s">
        <v>63</v>
      </c>
      <c r="M405" s="6" t="str">
        <f>IF(OR(B405="",I405=""),"",B405*I405)</f>
        <v/>
      </c>
      <c r="N405" s="8" t="s">
        <v>64</v>
      </c>
      <c r="O405" s="9"/>
      <c r="P405" s="9"/>
      <c r="Q405" s="22"/>
      <c r="R405" s="22"/>
      <c r="S405" s="23" t="str">
        <f>IF(AND(ISNUMBER(Q405),Q405&gt;0,ISNUMBER(R405),R405&gt;0),R405/Q405,"")</f>
        <v/>
      </c>
      <c r="T405" s="9"/>
      <c r="U405" s="9"/>
      <c r="V405" s="9"/>
      <c r="W405" s="9"/>
      <c r="X405" s="23" t="str">
        <f>IF(ISNUMBER(S405),S405,IF(ISNUMBER(I405),I405,""))</f>
        <v/>
      </c>
      <c r="Y405" t="str">
        <f>IF(ISNUMBER(S405),"2025 EIA-923 plant/group proxy",IF(ISNUMBER(I405),"Technology estimate","No thermal heat rate"))</f>
        <v>No thermal heat rate</v>
      </c>
      <c r="Z405" t="str">
        <f>IF(ISNUMBER(S405),"Review: NOT unit verified",IF(AE405="No match","No EIA match",IF(AF405="Unconfirmed","Unconfirmed EIA candidate","")))</f>
        <v/>
      </c>
      <c r="AE405" t="s">
        <v>65</v>
      </c>
      <c r="AF405" t="s">
        <v>66</v>
      </c>
      <c r="AG405" s="24">
        <f>IF(ISBLANK(S405),S405,I405)</f>
        <v>0</v>
      </c>
      <c r="AH405" s="34">
        <f t="shared" si="18"/>
        <v>11530.300000000001</v>
      </c>
      <c r="AI405">
        <f t="shared" si="17"/>
        <v>7200.4704599264087</v>
      </c>
      <c r="AJ405" t="b" cm="1">
        <f t="array" ref="AJ405">OR(D405=$AT$2:$AT$8)</f>
        <v>1</v>
      </c>
    </row>
    <row r="406" spans="1:36" x14ac:dyDescent="0.25">
      <c r="A406" s="2" t="s">
        <v>1495</v>
      </c>
      <c r="B406" s="3">
        <v>168</v>
      </c>
      <c r="C406" s="2" t="s">
        <v>99</v>
      </c>
      <c r="D406" s="2" t="s">
        <v>81</v>
      </c>
      <c r="E406" s="2" t="s">
        <v>70</v>
      </c>
      <c r="F406" s="4" t="s">
        <v>60</v>
      </c>
      <c r="G406" s="4" t="s">
        <v>61</v>
      </c>
      <c r="H406" s="5"/>
      <c r="I406" s="5"/>
      <c r="J406" s="5"/>
      <c r="K406" s="4" t="s">
        <v>62</v>
      </c>
      <c r="L406" s="4" t="s">
        <v>63</v>
      </c>
      <c r="M406" s="6" t="str">
        <f>IF(OR(B406="",I406=""),"",B406*I406)</f>
        <v/>
      </c>
      <c r="N406" s="8" t="s">
        <v>64</v>
      </c>
      <c r="O406" s="9"/>
      <c r="P406" s="9"/>
      <c r="Q406" s="22"/>
      <c r="R406" s="22"/>
      <c r="S406" s="23" t="str">
        <f>IF(AND(ISNUMBER(Q406),Q406&gt;0,ISNUMBER(R406),R406&gt;0),R406/Q406,"")</f>
        <v/>
      </c>
      <c r="T406" s="9"/>
      <c r="U406" s="9"/>
      <c r="V406" s="9"/>
      <c r="W406" s="9"/>
      <c r="X406" s="23" t="str">
        <f>IF(ISNUMBER(S406),S406,IF(ISNUMBER(I406),I406,""))</f>
        <v/>
      </c>
      <c r="Y406" t="str">
        <f>IF(ISNUMBER(S406),"2025 EIA-923 plant/group proxy",IF(ISNUMBER(I406),"Technology estimate","No thermal heat rate"))</f>
        <v>No thermal heat rate</v>
      </c>
      <c r="Z406" t="str">
        <f>IF(ISNUMBER(S406),"Review: NOT unit verified",IF(AE406="No match","No EIA match",IF(AF406="Unconfirmed","Unconfirmed EIA candidate","")))</f>
        <v/>
      </c>
      <c r="AE406" t="s">
        <v>65</v>
      </c>
      <c r="AF406" t="s">
        <v>66</v>
      </c>
      <c r="AG406" s="24">
        <f>IF(ISBLANK(S406),S406,I406)</f>
        <v>0</v>
      </c>
      <c r="AH406" s="34">
        <f t="shared" si="18"/>
        <v>11698.300000000001</v>
      </c>
      <c r="AI406">
        <f t="shared" si="17"/>
        <v>7305.3835183262454</v>
      </c>
      <c r="AJ406" t="b" cm="1">
        <f t="array" ref="AJ406">OR(D406=$AT$2:$AT$8)</f>
        <v>0</v>
      </c>
    </row>
    <row r="407" spans="1:36" x14ac:dyDescent="0.25">
      <c r="A407" s="2" t="s">
        <v>1496</v>
      </c>
      <c r="B407" s="3">
        <v>73</v>
      </c>
      <c r="C407" s="2" t="s">
        <v>99</v>
      </c>
      <c r="D407" s="2" t="s">
        <v>81</v>
      </c>
      <c r="E407" s="2" t="s">
        <v>70</v>
      </c>
      <c r="F407" s="4" t="s">
        <v>60</v>
      </c>
      <c r="G407" s="4" t="s">
        <v>61</v>
      </c>
      <c r="H407" s="5"/>
      <c r="I407" s="5"/>
      <c r="J407" s="5"/>
      <c r="K407" s="4" t="s">
        <v>62</v>
      </c>
      <c r="L407" s="4" t="s">
        <v>63</v>
      </c>
      <c r="M407" s="6" t="str">
        <f>IF(OR(B407="",I407=""),"",B407*I407)</f>
        <v/>
      </c>
      <c r="N407" s="8" t="s">
        <v>64</v>
      </c>
      <c r="O407" s="9"/>
      <c r="P407" s="9"/>
      <c r="Q407" s="22"/>
      <c r="R407" s="22"/>
      <c r="S407" s="23" t="str">
        <f>IF(AND(ISNUMBER(Q407),Q407&gt;0,ISNUMBER(R407),R407&gt;0),R407/Q407,"")</f>
        <v/>
      </c>
      <c r="T407" s="9"/>
      <c r="U407" s="9"/>
      <c r="V407" s="9"/>
      <c r="W407" s="9"/>
      <c r="X407" s="23" t="str">
        <f>IF(ISNUMBER(S407),S407,IF(ISNUMBER(I407),I407,""))</f>
        <v/>
      </c>
      <c r="Y407" t="str">
        <f>IF(ISNUMBER(S407),"2025 EIA-923 plant/group proxy",IF(ISNUMBER(I407),"Technology estimate","No thermal heat rate"))</f>
        <v>No thermal heat rate</v>
      </c>
      <c r="Z407" t="str">
        <f>IF(ISNUMBER(S407),"Review: NOT unit verified",IF(AE407="No match","No EIA match",IF(AF407="Unconfirmed","Unconfirmed EIA candidate","")))</f>
        <v/>
      </c>
      <c r="AE407" t="s">
        <v>65</v>
      </c>
      <c r="AF407" t="s">
        <v>66</v>
      </c>
      <c r="AG407" s="24">
        <f>IF(ISBLANK(S407),S407,I407)</f>
        <v>0</v>
      </c>
      <c r="AH407" s="34">
        <f t="shared" si="18"/>
        <v>11771.300000000001</v>
      </c>
      <c r="AI407">
        <f t="shared" si="17"/>
        <v>7350.970740130937</v>
      </c>
      <c r="AJ407" t="b" cm="1">
        <f t="array" ref="AJ407">OR(D407=$AT$2:$AT$8)</f>
        <v>0</v>
      </c>
    </row>
    <row r="408" spans="1:36" x14ac:dyDescent="0.25">
      <c r="A408" s="2" t="s">
        <v>1498</v>
      </c>
      <c r="B408" s="3">
        <v>42</v>
      </c>
      <c r="C408" s="2" t="s">
        <v>78</v>
      </c>
      <c r="D408" s="2" t="s">
        <v>78</v>
      </c>
      <c r="E408" s="2" t="s">
        <v>70</v>
      </c>
      <c r="F408" s="4" t="s">
        <v>60</v>
      </c>
      <c r="G408" s="4" t="s">
        <v>61</v>
      </c>
      <c r="H408" s="5"/>
      <c r="I408" s="5"/>
      <c r="J408" s="5"/>
      <c r="K408" s="4" t="s">
        <v>62</v>
      </c>
      <c r="L408" s="4" t="s">
        <v>63</v>
      </c>
      <c r="M408" s="6" t="str">
        <f>IF(OR(B408="",I408=""),"",B408*I408)</f>
        <v/>
      </c>
      <c r="N408" s="8" t="s">
        <v>64</v>
      </c>
      <c r="O408" s="9"/>
      <c r="P408" s="9"/>
      <c r="Q408" s="22"/>
      <c r="R408" s="22"/>
      <c r="S408" s="23" t="str">
        <f>IF(AND(ISNUMBER(Q408),Q408&gt;0,ISNUMBER(R408),R408&gt;0),R408/Q408,"")</f>
        <v/>
      </c>
      <c r="T408" s="9"/>
      <c r="U408" s="9"/>
      <c r="V408" s="9"/>
      <c r="W408" s="9"/>
      <c r="X408" s="23" t="str">
        <f>IF(ISNUMBER(S408),S408,IF(ISNUMBER(I408),I408,""))</f>
        <v/>
      </c>
      <c r="Y408" t="str">
        <f>IF(ISNUMBER(S408),"2025 EIA-923 plant/group proxy",IF(ISNUMBER(I408),"Technology estimate","No thermal heat rate"))</f>
        <v>No thermal heat rate</v>
      </c>
      <c r="Z408" t="str">
        <f>IF(ISNUMBER(S408),"Review: NOT unit verified",IF(AE408="No match","No EIA match",IF(AF408="Unconfirmed","Unconfirmed EIA candidate","")))</f>
        <v/>
      </c>
      <c r="AE408" t="s">
        <v>65</v>
      </c>
      <c r="AF408" t="s">
        <v>66</v>
      </c>
      <c r="AG408" s="24">
        <f>IF(ISBLANK(S408),S408,I408)</f>
        <v>0</v>
      </c>
      <c r="AH408" s="34">
        <f t="shared" si="18"/>
        <v>11813.300000000001</v>
      </c>
      <c r="AI408">
        <f t="shared" si="17"/>
        <v>7377.1990047308955</v>
      </c>
      <c r="AJ408" t="b" cm="1">
        <f t="array" ref="AJ408">OR(D408=$AT$2:$AT$8)</f>
        <v>1</v>
      </c>
    </row>
    <row r="409" spans="1:36" x14ac:dyDescent="0.25">
      <c r="A409" s="2" t="s">
        <v>1522</v>
      </c>
      <c r="B409" s="3">
        <v>87.2</v>
      </c>
      <c r="C409" s="2" t="s">
        <v>99</v>
      </c>
      <c r="D409" s="2" t="s">
        <v>81</v>
      </c>
      <c r="E409" s="2" t="s">
        <v>70</v>
      </c>
      <c r="F409" s="4" t="s">
        <v>60</v>
      </c>
      <c r="G409" s="4" t="s">
        <v>61</v>
      </c>
      <c r="H409" s="5"/>
      <c r="I409" s="5"/>
      <c r="J409" s="5"/>
      <c r="K409" s="4" t="s">
        <v>62</v>
      </c>
      <c r="L409" s="4" t="s">
        <v>63</v>
      </c>
      <c r="M409" s="6" t="str">
        <f>IF(OR(B409="",I409=""),"",B409*I409)</f>
        <v/>
      </c>
      <c r="N409" s="8" t="s">
        <v>64</v>
      </c>
      <c r="O409" s="9"/>
      <c r="P409" s="9"/>
      <c r="Q409" s="22"/>
      <c r="R409" s="22"/>
      <c r="S409" s="23" t="str">
        <f>IF(AND(ISNUMBER(Q409),Q409&gt;0,ISNUMBER(R409),R409&gt;0),R409/Q409,"")</f>
        <v/>
      </c>
      <c r="T409" s="9"/>
      <c r="U409" s="9"/>
      <c r="V409" s="9"/>
      <c r="W409" s="9"/>
      <c r="X409" s="23" t="str">
        <f>IF(ISNUMBER(S409),S409,IF(ISNUMBER(I409),I409,""))</f>
        <v/>
      </c>
      <c r="Y409" t="str">
        <f>IF(ISNUMBER(S409),"2025 EIA-923 plant/group proxy",IF(ISNUMBER(I409),"Technology estimate","No thermal heat rate"))</f>
        <v>No thermal heat rate</v>
      </c>
      <c r="Z409" t="str">
        <f>IF(ISNUMBER(S409),"Review: NOT unit verified",IF(AE409="No match","No EIA match",IF(AF409="Unconfirmed","Unconfirmed EIA candidate","")))</f>
        <v/>
      </c>
      <c r="AE409" t="s">
        <v>65</v>
      </c>
      <c r="AF409" t="s">
        <v>66</v>
      </c>
      <c r="AG409" s="24">
        <f>IF(ISBLANK(S409),S409,I409)</f>
        <v>0</v>
      </c>
      <c r="AH409" s="34">
        <f t="shared" si="18"/>
        <v>11900.500000000002</v>
      </c>
      <c r="AI409">
        <f t="shared" si="17"/>
        <v>7431.6538779003349</v>
      </c>
      <c r="AJ409" t="b" cm="1">
        <f t="array" ref="AJ409">OR(D409=$AT$2:$AT$8)</f>
        <v>0</v>
      </c>
    </row>
    <row r="410" spans="1:36" x14ac:dyDescent="0.25">
      <c r="A410" s="2" t="s">
        <v>1524</v>
      </c>
      <c r="B410" s="3">
        <v>9</v>
      </c>
      <c r="C410" s="2" t="s">
        <v>86</v>
      </c>
      <c r="D410" s="2" t="s">
        <v>76</v>
      </c>
      <c r="E410" s="2" t="s">
        <v>70</v>
      </c>
      <c r="F410" s="4" t="s">
        <v>60</v>
      </c>
      <c r="G410" s="4" t="s">
        <v>61</v>
      </c>
      <c r="H410" s="5"/>
      <c r="I410" s="5"/>
      <c r="J410" s="5"/>
      <c r="K410" s="4" t="s">
        <v>62</v>
      </c>
      <c r="L410" s="4" t="s">
        <v>63</v>
      </c>
      <c r="M410" s="6" t="str">
        <f>IF(OR(B410="",I410=""),"",B410*I410)</f>
        <v/>
      </c>
      <c r="N410" s="8" t="s">
        <v>64</v>
      </c>
      <c r="O410" s="9"/>
      <c r="P410" s="9"/>
      <c r="Q410" s="22"/>
      <c r="R410" s="22"/>
      <c r="S410" s="23" t="str">
        <f>IF(AND(ISNUMBER(Q410),Q410&gt;0,ISNUMBER(R410),R410&gt;0),R410/Q410,"")</f>
        <v/>
      </c>
      <c r="T410" s="9"/>
      <c r="U410" s="9"/>
      <c r="V410" s="9"/>
      <c r="W410" s="9"/>
      <c r="X410" s="23" t="str">
        <f>IF(ISNUMBER(S410),S410,IF(ISNUMBER(I410),I410,""))</f>
        <v/>
      </c>
      <c r="Y410" t="str">
        <f>IF(ISNUMBER(S410),"2025 EIA-923 plant/group proxy",IF(ISNUMBER(I410),"Technology estimate","No thermal heat rate"))</f>
        <v>No thermal heat rate</v>
      </c>
      <c r="Z410" t="str">
        <f>IF(ISNUMBER(S410),"Review: NOT unit verified",IF(AE410="No match","No EIA match",IF(AF410="Unconfirmed","Unconfirmed EIA candidate","")))</f>
        <v/>
      </c>
      <c r="AE410" t="s">
        <v>65</v>
      </c>
      <c r="AF410" t="s">
        <v>66</v>
      </c>
      <c r="AG410" s="24">
        <f>IF(ISBLANK(S410),S410,I410)</f>
        <v>0</v>
      </c>
      <c r="AH410" s="34">
        <f t="shared" si="18"/>
        <v>11909.500000000002</v>
      </c>
      <c r="AI410">
        <f t="shared" si="17"/>
        <v>7437.2742203146126</v>
      </c>
      <c r="AJ410" t="b" cm="1">
        <f t="array" ref="AJ410">OR(D410=$AT$2:$AT$8)</f>
        <v>0</v>
      </c>
    </row>
    <row r="411" spans="1:36" x14ac:dyDescent="0.25">
      <c r="A411" s="2" t="s">
        <v>1525</v>
      </c>
      <c r="B411" s="3">
        <v>67</v>
      </c>
      <c r="C411" s="2" t="s">
        <v>78</v>
      </c>
      <c r="D411" s="2" t="s">
        <v>78</v>
      </c>
      <c r="E411" s="2" t="s">
        <v>70</v>
      </c>
      <c r="F411" s="4" t="s">
        <v>60</v>
      </c>
      <c r="G411" s="4" t="s">
        <v>61</v>
      </c>
      <c r="H411" s="5"/>
      <c r="I411" s="5"/>
      <c r="J411" s="5"/>
      <c r="K411" s="4" t="s">
        <v>62</v>
      </c>
      <c r="L411" s="4" t="s">
        <v>63</v>
      </c>
      <c r="M411" s="6" t="str">
        <f>IF(OR(B411="",I411=""),"",B411*I411)</f>
        <v/>
      </c>
      <c r="N411" s="8" t="s">
        <v>64</v>
      </c>
      <c r="O411" s="9"/>
      <c r="P411" s="9"/>
      <c r="Q411" s="22"/>
      <c r="R411" s="22"/>
      <c r="S411" s="23" t="str">
        <f>IF(AND(ISNUMBER(Q411),Q411&gt;0,ISNUMBER(R411),R411&gt;0),R411/Q411,"")</f>
        <v/>
      </c>
      <c r="T411" s="9"/>
      <c r="U411" s="9"/>
      <c r="V411" s="9"/>
      <c r="W411" s="9"/>
      <c r="X411" s="23" t="str">
        <f>IF(ISNUMBER(S411),S411,IF(ISNUMBER(I411),I411,""))</f>
        <v/>
      </c>
      <c r="Y411" t="str">
        <f>IF(ISNUMBER(S411),"2025 EIA-923 plant/group proxy",IF(ISNUMBER(I411),"Technology estimate","No thermal heat rate"))</f>
        <v>No thermal heat rate</v>
      </c>
      <c r="Z411" t="str">
        <f>IF(ISNUMBER(S411),"Review: NOT unit verified",IF(AE411="No match","No EIA match",IF(AF411="Unconfirmed","Unconfirmed EIA candidate","")))</f>
        <v/>
      </c>
      <c r="AE411" t="s">
        <v>65</v>
      </c>
      <c r="AF411" t="s">
        <v>66</v>
      </c>
      <c r="AG411" s="24">
        <f>IF(ISBLANK(S411),S411,I411)</f>
        <v>0</v>
      </c>
      <c r="AH411" s="34">
        <f t="shared" si="18"/>
        <v>11976.500000000002</v>
      </c>
      <c r="AI411">
        <f t="shared" si="17"/>
        <v>7479.1145471764521</v>
      </c>
      <c r="AJ411" t="b" cm="1">
        <f t="array" ref="AJ411">OR(D411=$AT$2:$AT$8)</f>
        <v>1</v>
      </c>
    </row>
    <row r="412" spans="1:36" x14ac:dyDescent="0.25">
      <c r="A412" s="2" t="s">
        <v>1527</v>
      </c>
      <c r="B412" s="3">
        <v>13.4</v>
      </c>
      <c r="C412" s="2" t="s">
        <v>80</v>
      </c>
      <c r="D412" s="2" t="s">
        <v>81</v>
      </c>
      <c r="E412" s="2" t="s">
        <v>70</v>
      </c>
      <c r="F412" s="4" t="s">
        <v>60</v>
      </c>
      <c r="G412" s="4" t="s">
        <v>61</v>
      </c>
      <c r="H412" s="5"/>
      <c r="I412" s="5"/>
      <c r="J412" s="5"/>
      <c r="K412" s="4" t="s">
        <v>62</v>
      </c>
      <c r="L412" s="4" t="s">
        <v>63</v>
      </c>
      <c r="M412" s="6" t="str">
        <f>IF(OR(B412="",I412=""),"",B412*I412)</f>
        <v/>
      </c>
      <c r="N412" s="8" t="s">
        <v>64</v>
      </c>
      <c r="O412" s="9"/>
      <c r="P412" s="9"/>
      <c r="Q412" s="22"/>
      <c r="R412" s="22"/>
      <c r="S412" s="23" t="str">
        <f>IF(AND(ISNUMBER(Q412),Q412&gt;0,ISNUMBER(R412),R412&gt;0),R412/Q412,"")</f>
        <v/>
      </c>
      <c r="T412" s="9"/>
      <c r="U412" s="9"/>
      <c r="V412" s="9"/>
      <c r="W412" s="9"/>
      <c r="X412" s="23" t="str">
        <f>IF(ISNUMBER(S412),S412,IF(ISNUMBER(I412),I412,""))</f>
        <v/>
      </c>
      <c r="Y412" t="str">
        <f>IF(ISNUMBER(S412),"2025 EIA-923 plant/group proxy",IF(ISNUMBER(I412),"Technology estimate","No thermal heat rate"))</f>
        <v>No thermal heat rate</v>
      </c>
      <c r="Z412" t="str">
        <f>IF(ISNUMBER(S412),"Review: NOT unit verified",IF(AE412="No match","No EIA match",IF(AF412="Unconfirmed","Unconfirmed EIA candidate","")))</f>
        <v/>
      </c>
      <c r="AE412" t="s">
        <v>65</v>
      </c>
      <c r="AF412" t="s">
        <v>66</v>
      </c>
      <c r="AG412" s="24">
        <f>IF(ISBLANK(S412),S412,I412)</f>
        <v>0</v>
      </c>
      <c r="AH412" s="34">
        <f t="shared" si="18"/>
        <v>11989.900000000001</v>
      </c>
      <c r="AI412">
        <f t="shared" si="17"/>
        <v>7487.4826125488198</v>
      </c>
      <c r="AJ412" t="b" cm="1">
        <f t="array" ref="AJ412">OR(D412=$AT$2:$AT$8)</f>
        <v>0</v>
      </c>
    </row>
    <row r="413" spans="1:36" x14ac:dyDescent="0.25">
      <c r="A413" s="2" t="s">
        <v>1528</v>
      </c>
      <c r="B413" s="3">
        <v>13.4</v>
      </c>
      <c r="C413" s="2" t="s">
        <v>80</v>
      </c>
      <c r="D413" s="2" t="s">
        <v>81</v>
      </c>
      <c r="E413" s="2" t="s">
        <v>70</v>
      </c>
      <c r="F413" s="4" t="s">
        <v>60</v>
      </c>
      <c r="G413" s="4" t="s">
        <v>61</v>
      </c>
      <c r="H413" s="5"/>
      <c r="I413" s="5"/>
      <c r="J413" s="5"/>
      <c r="K413" s="4" t="s">
        <v>62</v>
      </c>
      <c r="L413" s="4" t="s">
        <v>63</v>
      </c>
      <c r="M413" s="6" t="str">
        <f>IF(OR(B413="",I413=""),"",B413*I413)</f>
        <v/>
      </c>
      <c r="N413" s="8" t="s">
        <v>64</v>
      </c>
      <c r="O413" s="9"/>
      <c r="P413" s="9"/>
      <c r="Q413" s="22"/>
      <c r="R413" s="22"/>
      <c r="S413" s="23" t="str">
        <f>IF(AND(ISNUMBER(Q413),Q413&gt;0,ISNUMBER(R413),R413&gt;0),R413/Q413,"")</f>
        <v/>
      </c>
      <c r="T413" s="9"/>
      <c r="U413" s="9"/>
      <c r="V413" s="9"/>
      <c r="W413" s="9"/>
      <c r="X413" s="23" t="str">
        <f>IF(ISNUMBER(S413),S413,IF(ISNUMBER(I413),I413,""))</f>
        <v/>
      </c>
      <c r="Y413" t="str">
        <f>IF(ISNUMBER(S413),"2025 EIA-923 plant/group proxy",IF(ISNUMBER(I413),"Technology estimate","No thermal heat rate"))</f>
        <v>No thermal heat rate</v>
      </c>
      <c r="Z413" t="str">
        <f>IF(ISNUMBER(S413),"Review: NOT unit verified",IF(AE413="No match","No EIA match",IF(AF413="Unconfirmed","Unconfirmed EIA candidate","")))</f>
        <v/>
      </c>
      <c r="AE413" t="s">
        <v>65</v>
      </c>
      <c r="AF413" t="s">
        <v>66</v>
      </c>
      <c r="AG413" s="24">
        <f>IF(ISBLANK(S413),S413,I413)</f>
        <v>0</v>
      </c>
      <c r="AH413" s="34">
        <f t="shared" si="18"/>
        <v>12003.300000000001</v>
      </c>
      <c r="AI413">
        <f t="shared" si="17"/>
        <v>7495.8506779211875</v>
      </c>
      <c r="AJ413" t="b" cm="1">
        <f t="array" ref="AJ413">OR(D413=$AT$2:$AT$8)</f>
        <v>0</v>
      </c>
    </row>
    <row r="414" spans="1:36" x14ac:dyDescent="0.25">
      <c r="A414" s="2" t="s">
        <v>1531</v>
      </c>
      <c r="B414" s="3">
        <v>33.9</v>
      </c>
      <c r="C414" s="2" t="s">
        <v>99</v>
      </c>
      <c r="D414" s="2" t="s">
        <v>81</v>
      </c>
      <c r="E414" s="2" t="s">
        <v>70</v>
      </c>
      <c r="F414" s="4" t="s">
        <v>60</v>
      </c>
      <c r="G414" s="4" t="s">
        <v>61</v>
      </c>
      <c r="H414" s="5"/>
      <c r="I414" s="5"/>
      <c r="J414" s="5"/>
      <c r="K414" s="4" t="s">
        <v>62</v>
      </c>
      <c r="L414" s="4" t="s">
        <v>63</v>
      </c>
      <c r="M414" s="6" t="str">
        <f>IF(OR(B414="",I414=""),"",B414*I414)</f>
        <v/>
      </c>
      <c r="N414" s="8" t="s">
        <v>64</v>
      </c>
      <c r="O414" s="9"/>
      <c r="P414" s="9"/>
      <c r="Q414" s="22"/>
      <c r="R414" s="22"/>
      <c r="S414" s="23" t="str">
        <f>IF(AND(ISNUMBER(Q414),Q414&gt;0,ISNUMBER(R414),R414&gt;0),R414/Q414,"")</f>
        <v/>
      </c>
      <c r="T414" s="9"/>
      <c r="U414" s="9"/>
      <c r="V414" s="9"/>
      <c r="W414" s="9"/>
      <c r="X414" s="23" t="str">
        <f>IF(ISNUMBER(S414),S414,IF(ISNUMBER(I414),I414,""))</f>
        <v/>
      </c>
      <c r="Y414" t="str">
        <f>IF(ISNUMBER(S414),"2025 EIA-923 plant/group proxy",IF(ISNUMBER(I414),"Technology estimate","No thermal heat rate"))</f>
        <v>No thermal heat rate</v>
      </c>
      <c r="Z414" t="str">
        <f>IF(ISNUMBER(S414),"Review: NOT unit verified",IF(AE414="No match","No EIA match",IF(AF414="Unconfirmed","Unconfirmed EIA candidate","")))</f>
        <v/>
      </c>
      <c r="AE414" t="s">
        <v>65</v>
      </c>
      <c r="AF414" t="s">
        <v>66</v>
      </c>
      <c r="AG414" s="24">
        <f>IF(ISBLANK(S414),S414,I414)</f>
        <v>0</v>
      </c>
      <c r="AH414" s="34">
        <f t="shared" si="18"/>
        <v>12037.2</v>
      </c>
      <c r="AI414">
        <f t="shared" si="17"/>
        <v>7517.0206343482969</v>
      </c>
      <c r="AJ414" t="b" cm="1">
        <f t="array" ref="AJ414">OR(D414=$AT$2:$AT$8)</f>
        <v>0</v>
      </c>
    </row>
    <row r="415" spans="1:36" x14ac:dyDescent="0.25">
      <c r="A415" s="2" t="s">
        <v>1573</v>
      </c>
      <c r="B415" s="3">
        <v>44.8</v>
      </c>
      <c r="C415" s="2" t="s">
        <v>78</v>
      </c>
      <c r="D415" s="2" t="s">
        <v>78</v>
      </c>
      <c r="E415" s="2" t="s">
        <v>70</v>
      </c>
      <c r="F415" s="4" t="s">
        <v>60</v>
      </c>
      <c r="G415" s="4" t="s">
        <v>61</v>
      </c>
      <c r="H415" s="5"/>
      <c r="I415" s="5"/>
      <c r="J415" s="5"/>
      <c r="K415" s="4" t="s">
        <v>62</v>
      </c>
      <c r="L415" s="4" t="s">
        <v>63</v>
      </c>
      <c r="M415" s="6" t="str">
        <f>IF(OR(B415="",I415=""),"",B415*I415)</f>
        <v/>
      </c>
      <c r="N415" s="8" t="s">
        <v>64</v>
      </c>
      <c r="O415" s="9"/>
      <c r="P415" s="9"/>
      <c r="Q415" s="22"/>
      <c r="R415" s="22"/>
      <c r="S415" s="23" t="str">
        <f>IF(AND(ISNUMBER(Q415),Q415&gt;0,ISNUMBER(R415),R415&gt;0),R415/Q415,"")</f>
        <v/>
      </c>
      <c r="T415" s="9"/>
      <c r="U415" s="9"/>
      <c r="V415" s="9"/>
      <c r="W415" s="9"/>
      <c r="X415" s="23" t="str">
        <f>IF(ISNUMBER(S415),S415,IF(ISNUMBER(I415),I415,""))</f>
        <v/>
      </c>
      <c r="Y415" t="str">
        <f>IF(ISNUMBER(S415),"2025 EIA-923 plant/group proxy",IF(ISNUMBER(I415),"Technology estimate","No thermal heat rate"))</f>
        <v>No thermal heat rate</v>
      </c>
      <c r="Z415" t="str">
        <f>IF(ISNUMBER(S415),"Review: NOT unit verified",IF(AE415="No match","No EIA match",IF(AF415="Unconfirmed","Unconfirmed EIA candidate","")))</f>
        <v/>
      </c>
      <c r="AE415" t="s">
        <v>65</v>
      </c>
      <c r="AF415" t="s">
        <v>66</v>
      </c>
      <c r="AG415" s="24">
        <f>IF(ISBLANK(S415),S415,I415)</f>
        <v>0</v>
      </c>
      <c r="AH415" s="34">
        <f t="shared" si="18"/>
        <v>12082</v>
      </c>
      <c r="AI415">
        <f t="shared" si="17"/>
        <v>7544.9974499215859</v>
      </c>
      <c r="AJ415" t="b" cm="1">
        <f t="array" ref="AJ415">OR(D415=$AT$2:$AT$8)</f>
        <v>1</v>
      </c>
    </row>
    <row r="416" spans="1:36" x14ac:dyDescent="0.25">
      <c r="A416" s="2" t="s">
        <v>1590</v>
      </c>
      <c r="B416" s="3">
        <v>15.4</v>
      </c>
      <c r="C416" s="2" t="s">
        <v>80</v>
      </c>
      <c r="D416" s="2" t="s">
        <v>81</v>
      </c>
      <c r="E416" s="2" t="s">
        <v>70</v>
      </c>
      <c r="F416" s="4" t="s">
        <v>60</v>
      </c>
      <c r="G416" s="4" t="s">
        <v>61</v>
      </c>
      <c r="H416" s="5"/>
      <c r="I416" s="5"/>
      <c r="J416" s="5"/>
      <c r="K416" s="4" t="s">
        <v>62</v>
      </c>
      <c r="L416" s="4" t="s">
        <v>63</v>
      </c>
      <c r="M416" s="6" t="str">
        <f>IF(OR(B416="",I416=""),"",B416*I416)</f>
        <v/>
      </c>
      <c r="N416" s="8" t="s">
        <v>64</v>
      </c>
      <c r="O416" s="9"/>
      <c r="P416" s="9"/>
      <c r="Q416" s="22"/>
      <c r="R416" s="22"/>
      <c r="S416" s="23" t="str">
        <f>IF(AND(ISNUMBER(Q416),Q416&gt;0,ISNUMBER(R416),R416&gt;0),R416/Q416,"")</f>
        <v/>
      </c>
      <c r="T416" s="9"/>
      <c r="U416" s="9"/>
      <c r="V416" s="9"/>
      <c r="W416" s="9"/>
      <c r="X416" s="23" t="str">
        <f>IF(ISNUMBER(S416),S416,IF(ISNUMBER(I416),I416,""))</f>
        <v/>
      </c>
      <c r="Y416" t="str">
        <f>IF(ISNUMBER(S416),"2025 EIA-923 plant/group proxy",IF(ISNUMBER(I416),"Technology estimate","No thermal heat rate"))</f>
        <v>No thermal heat rate</v>
      </c>
      <c r="Z416" t="str">
        <f>IF(ISNUMBER(S416),"Review: NOT unit verified",IF(AE416="No match","No EIA match",IF(AF416="Unconfirmed","Unconfirmed EIA candidate","")))</f>
        <v/>
      </c>
      <c r="AE416" t="s">
        <v>65</v>
      </c>
      <c r="AF416" t="s">
        <v>66</v>
      </c>
      <c r="AG416" s="24">
        <f>IF(ISBLANK(S416),S416,I416)</f>
        <v>0</v>
      </c>
      <c r="AH416" s="34">
        <f t="shared" si="18"/>
        <v>12097.4</v>
      </c>
      <c r="AI416">
        <f t="shared" si="17"/>
        <v>7554.6144802749041</v>
      </c>
      <c r="AJ416" t="b" cm="1">
        <f t="array" ref="AJ416">OR(D416=$AT$2:$AT$8)</f>
        <v>0</v>
      </c>
    </row>
    <row r="417" spans="1:36" x14ac:dyDescent="0.25">
      <c r="A417" s="2" t="s">
        <v>1596</v>
      </c>
      <c r="B417" s="3">
        <v>12</v>
      </c>
      <c r="C417" s="2" t="s">
        <v>78</v>
      </c>
      <c r="D417" s="2" t="s">
        <v>78</v>
      </c>
      <c r="E417" s="2" t="s">
        <v>70</v>
      </c>
      <c r="F417" s="4" t="s">
        <v>60</v>
      </c>
      <c r="G417" s="4" t="s">
        <v>61</v>
      </c>
      <c r="H417" s="5"/>
      <c r="I417" s="5"/>
      <c r="J417" s="5"/>
      <c r="K417" s="4" t="s">
        <v>62</v>
      </c>
      <c r="L417" s="4" t="s">
        <v>63</v>
      </c>
      <c r="M417" s="6" t="str">
        <f>IF(OR(B417="",I417=""),"",B417*I417)</f>
        <v/>
      </c>
      <c r="N417" s="8" t="s">
        <v>64</v>
      </c>
      <c r="O417" s="9"/>
      <c r="P417" s="9"/>
      <c r="Q417" s="22"/>
      <c r="R417" s="22"/>
      <c r="S417" s="23" t="str">
        <f>IF(AND(ISNUMBER(Q417),Q417&gt;0,ISNUMBER(R417),R417&gt;0),R417/Q417,"")</f>
        <v/>
      </c>
      <c r="T417" s="9"/>
      <c r="U417" s="9"/>
      <c r="V417" s="9"/>
      <c r="W417" s="9"/>
      <c r="X417" s="23" t="str">
        <f>IF(ISNUMBER(S417),S417,IF(ISNUMBER(I417),I417,""))</f>
        <v/>
      </c>
      <c r="Y417" t="str">
        <f>IF(ISNUMBER(S417),"2025 EIA-923 plant/group proxy",IF(ISNUMBER(I417),"Technology estimate","No thermal heat rate"))</f>
        <v>No thermal heat rate</v>
      </c>
      <c r="Z417" t="str">
        <f>IF(ISNUMBER(S417),"Review: NOT unit verified",IF(AE417="No match","No EIA match",IF(AF417="Unconfirmed","Unconfirmed EIA candidate","")))</f>
        <v/>
      </c>
      <c r="AE417" t="s">
        <v>65</v>
      </c>
      <c r="AF417" t="s">
        <v>66</v>
      </c>
      <c r="AG417" s="24">
        <f>IF(ISBLANK(S417),S417,I417)</f>
        <v>0</v>
      </c>
      <c r="AH417" s="34">
        <f t="shared" si="18"/>
        <v>12109.4</v>
      </c>
      <c r="AI417">
        <f t="shared" si="17"/>
        <v>7562.1082701606074</v>
      </c>
      <c r="AJ417" t="b" cm="1">
        <f t="array" ref="AJ417">OR(D417=$AT$2:$AT$8)</f>
        <v>1</v>
      </c>
    </row>
    <row r="418" spans="1:36" x14ac:dyDescent="0.25">
      <c r="A418" s="2" t="s">
        <v>1620</v>
      </c>
      <c r="B418" s="3">
        <v>36</v>
      </c>
      <c r="C418" s="2" t="s">
        <v>78</v>
      </c>
      <c r="D418" s="2" t="s">
        <v>78</v>
      </c>
      <c r="E418" s="2" t="s">
        <v>70</v>
      </c>
      <c r="F418" s="4" t="s">
        <v>60</v>
      </c>
      <c r="G418" s="4" t="s">
        <v>61</v>
      </c>
      <c r="H418" s="5"/>
      <c r="I418" s="5"/>
      <c r="J418" s="5"/>
      <c r="K418" s="4" t="s">
        <v>62</v>
      </c>
      <c r="L418" s="4" t="s">
        <v>63</v>
      </c>
      <c r="M418" s="6" t="str">
        <f>IF(OR(B418="",I418=""),"",B418*I418)</f>
        <v/>
      </c>
      <c r="N418" s="8" t="s">
        <v>64</v>
      </c>
      <c r="O418" s="9"/>
      <c r="P418" s="9"/>
      <c r="Q418" s="22"/>
      <c r="R418" s="22"/>
      <c r="S418" s="23" t="str">
        <f>IF(AND(ISNUMBER(Q418),Q418&gt;0,ISNUMBER(R418),R418&gt;0),R418/Q418,"")</f>
        <v/>
      </c>
      <c r="T418" s="9"/>
      <c r="U418" s="9"/>
      <c r="V418" s="9"/>
      <c r="W418" s="9"/>
      <c r="X418" s="23" t="str">
        <f>IF(ISNUMBER(S418),S418,IF(ISNUMBER(I418),I418,""))</f>
        <v/>
      </c>
      <c r="Y418" t="str">
        <f>IF(ISNUMBER(S418),"2025 EIA-923 plant/group proxy",IF(ISNUMBER(I418),"Technology estimate","No thermal heat rate"))</f>
        <v>No thermal heat rate</v>
      </c>
      <c r="Z418" t="str">
        <f>IF(ISNUMBER(S418),"Review: NOT unit verified",IF(AE418="No match","No EIA match",IF(AF418="Unconfirmed","Unconfirmed EIA candidate","")))</f>
        <v/>
      </c>
      <c r="AE418" t="s">
        <v>65</v>
      </c>
      <c r="AF418" t="s">
        <v>66</v>
      </c>
      <c r="AG418" s="24">
        <f>IF(ISBLANK(S418),S418,I418)</f>
        <v>0</v>
      </c>
      <c r="AH418" s="34">
        <f t="shared" si="18"/>
        <v>12145.4</v>
      </c>
      <c r="AI418">
        <f t="shared" si="17"/>
        <v>7584.5896398177147</v>
      </c>
      <c r="AJ418" t="b" cm="1">
        <f t="array" ref="AJ418">OR(D418=$AT$2:$AT$8)</f>
        <v>1</v>
      </c>
    </row>
    <row r="419" spans="1:36" x14ac:dyDescent="0.25">
      <c r="A419" s="2" t="s">
        <v>1622</v>
      </c>
      <c r="B419" s="3">
        <v>337</v>
      </c>
      <c r="C419" s="2" t="s">
        <v>78</v>
      </c>
      <c r="D419" s="2" t="s">
        <v>78</v>
      </c>
      <c r="E419" s="2" t="s">
        <v>70</v>
      </c>
      <c r="F419" s="4" t="s">
        <v>60</v>
      </c>
      <c r="G419" s="4" t="s">
        <v>61</v>
      </c>
      <c r="H419" s="5"/>
      <c r="I419" s="5"/>
      <c r="J419" s="5"/>
      <c r="K419" s="4" t="s">
        <v>62</v>
      </c>
      <c r="L419" s="4" t="s">
        <v>63</v>
      </c>
      <c r="M419" s="6" t="str">
        <f>IF(OR(B419="",I419=""),"",B419*I419)</f>
        <v/>
      </c>
      <c r="N419" s="8" t="s">
        <v>64</v>
      </c>
      <c r="O419" s="9"/>
      <c r="P419" s="9"/>
      <c r="Q419" s="22"/>
      <c r="R419" s="22"/>
      <c r="S419" s="23" t="str">
        <f>IF(AND(ISNUMBER(Q419),Q419&gt;0,ISNUMBER(R419),R419&gt;0),R419/Q419,"")</f>
        <v/>
      </c>
      <c r="T419" s="9"/>
      <c r="U419" s="9"/>
      <c r="V419" s="9"/>
      <c r="W419" s="9"/>
      <c r="X419" s="23" t="str">
        <f>IF(ISNUMBER(S419),S419,IF(ISNUMBER(I419),I419,""))</f>
        <v/>
      </c>
      <c r="Y419" t="str">
        <f>IF(ISNUMBER(S419),"2025 EIA-923 plant/group proxy",IF(ISNUMBER(I419),"Technology estimate","No thermal heat rate"))</f>
        <v>No thermal heat rate</v>
      </c>
      <c r="Z419" t="str">
        <f>IF(ISNUMBER(S419),"Review: NOT unit verified",IF(AE419="No match","No EIA match",IF(AF419="Unconfirmed","Unconfirmed EIA candidate","")))</f>
        <v/>
      </c>
      <c r="AE419" t="s">
        <v>65</v>
      </c>
      <c r="AF419" t="s">
        <v>66</v>
      </c>
      <c r="AG419" s="24">
        <f>IF(ISBLANK(S419),S419,I419)</f>
        <v>0</v>
      </c>
      <c r="AH419" s="34">
        <f t="shared" si="18"/>
        <v>12482.4</v>
      </c>
      <c r="AI419">
        <f t="shared" si="17"/>
        <v>7795.0402391078633</v>
      </c>
      <c r="AJ419" t="b" cm="1">
        <f t="array" ref="AJ419">OR(D419=$AT$2:$AT$8)</f>
        <v>1</v>
      </c>
    </row>
    <row r="420" spans="1:36" x14ac:dyDescent="0.25">
      <c r="A420" s="2" t="s">
        <v>1623</v>
      </c>
      <c r="B420" s="3">
        <v>54.8</v>
      </c>
      <c r="C420" s="2" t="s">
        <v>78</v>
      </c>
      <c r="D420" s="2" t="s">
        <v>78</v>
      </c>
      <c r="E420" s="2" t="s">
        <v>70</v>
      </c>
      <c r="F420" s="4" t="s">
        <v>60</v>
      </c>
      <c r="G420" s="4" t="s">
        <v>61</v>
      </c>
      <c r="H420" s="5"/>
      <c r="I420" s="5"/>
      <c r="J420" s="5"/>
      <c r="K420" s="4" t="s">
        <v>62</v>
      </c>
      <c r="L420" s="4" t="s">
        <v>63</v>
      </c>
      <c r="M420" s="6" t="str">
        <f>IF(OR(B420="",I420=""),"",B420*I420)</f>
        <v/>
      </c>
      <c r="N420" s="8" t="s">
        <v>64</v>
      </c>
      <c r="O420" s="9"/>
      <c r="P420" s="9"/>
      <c r="Q420" s="22"/>
      <c r="R420" s="22"/>
      <c r="S420" s="23" t="str">
        <f>IF(AND(ISNUMBER(Q420),Q420&gt;0,ISNUMBER(R420),R420&gt;0),R420/Q420,"")</f>
        <v/>
      </c>
      <c r="T420" s="9"/>
      <c r="U420" s="9"/>
      <c r="V420" s="9"/>
      <c r="W420" s="9"/>
      <c r="X420" s="23" t="str">
        <f>IF(ISNUMBER(S420),S420,IF(ISNUMBER(I420),I420,""))</f>
        <v/>
      </c>
      <c r="Y420" t="str">
        <f>IF(ISNUMBER(S420),"2025 EIA-923 plant/group proxy",IF(ISNUMBER(I420),"Technology estimate","No thermal heat rate"))</f>
        <v>No thermal heat rate</v>
      </c>
      <c r="Z420" t="str">
        <f>IF(ISNUMBER(S420),"Review: NOT unit verified",IF(AE420="No match","No EIA match",IF(AF420="Unconfirmed","Unconfirmed EIA candidate","")))</f>
        <v/>
      </c>
      <c r="AE420" t="s">
        <v>65</v>
      </c>
      <c r="AF420" t="s">
        <v>66</v>
      </c>
      <c r="AG420" s="24">
        <f>IF(ISBLANK(S420),S420,I420)</f>
        <v>0</v>
      </c>
      <c r="AH420" s="34">
        <f t="shared" si="18"/>
        <v>12537.199999999999</v>
      </c>
      <c r="AI420">
        <f t="shared" si="17"/>
        <v>7829.2618795859053</v>
      </c>
      <c r="AJ420" t="b" cm="1">
        <f t="array" ref="AJ420">OR(D420=$AT$2:$AT$8)</f>
        <v>1</v>
      </c>
    </row>
    <row r="421" spans="1:36" x14ac:dyDescent="0.25">
      <c r="A421" s="2" t="s">
        <v>1641</v>
      </c>
      <c r="B421" s="3">
        <v>51.1</v>
      </c>
      <c r="C421" s="2" t="s">
        <v>78</v>
      </c>
      <c r="D421" s="2" t="s">
        <v>78</v>
      </c>
      <c r="E421" s="2" t="s">
        <v>70</v>
      </c>
      <c r="F421" s="4" t="s">
        <v>60</v>
      </c>
      <c r="G421" s="4" t="s">
        <v>61</v>
      </c>
      <c r="H421" s="5"/>
      <c r="I421" s="5"/>
      <c r="J421" s="5"/>
      <c r="K421" s="4" t="s">
        <v>62</v>
      </c>
      <c r="L421" s="4" t="s">
        <v>63</v>
      </c>
      <c r="M421" s="6" t="str">
        <f>IF(OR(B421="",I421=""),"",B421*I421)</f>
        <v/>
      </c>
      <c r="N421" s="8" t="s">
        <v>64</v>
      </c>
      <c r="O421" s="9"/>
      <c r="P421" s="9"/>
      <c r="Q421" s="22"/>
      <c r="R421" s="22"/>
      <c r="S421" s="23" t="str">
        <f>IF(AND(ISNUMBER(Q421),Q421&gt;0,ISNUMBER(R421),R421&gt;0),R421/Q421,"")</f>
        <v/>
      </c>
      <c r="T421" s="9"/>
      <c r="U421" s="9"/>
      <c r="V421" s="9"/>
      <c r="W421" s="9"/>
      <c r="X421" s="23" t="str">
        <f>IF(ISNUMBER(S421),S421,IF(ISNUMBER(I421),I421,""))</f>
        <v/>
      </c>
      <c r="Y421" t="str">
        <f>IF(ISNUMBER(S421),"2025 EIA-923 plant/group proxy",IF(ISNUMBER(I421),"Technology estimate","No thermal heat rate"))</f>
        <v>No thermal heat rate</v>
      </c>
      <c r="Z421" t="str">
        <f>IF(ISNUMBER(S421),"Review: NOT unit verified",IF(AE421="No match","No EIA match",IF(AF421="Unconfirmed","Unconfirmed EIA candidate","")))</f>
        <v/>
      </c>
      <c r="AE421" t="s">
        <v>65</v>
      </c>
      <c r="AF421" t="s">
        <v>66</v>
      </c>
      <c r="AG421" s="24">
        <f>IF(ISBLANK(S421),S421,I421)</f>
        <v>0</v>
      </c>
      <c r="AH421" s="34">
        <f t="shared" si="18"/>
        <v>12588.3</v>
      </c>
      <c r="AI421">
        <f t="shared" si="17"/>
        <v>7861.172934849189</v>
      </c>
      <c r="AJ421" t="b" cm="1">
        <f t="array" ref="AJ421">OR(D421=$AT$2:$AT$8)</f>
        <v>1</v>
      </c>
    </row>
    <row r="422" spans="1:36" x14ac:dyDescent="0.25">
      <c r="A422" s="2" t="s">
        <v>1642</v>
      </c>
      <c r="B422" s="3">
        <v>8.3000000000000007</v>
      </c>
      <c r="C422" s="2" t="s">
        <v>80</v>
      </c>
      <c r="D422" s="2" t="s">
        <v>81</v>
      </c>
      <c r="E422" s="2" t="s">
        <v>70</v>
      </c>
      <c r="F422" s="4" t="s">
        <v>60</v>
      </c>
      <c r="G422" s="4" t="s">
        <v>61</v>
      </c>
      <c r="H422" s="5"/>
      <c r="I422" s="5"/>
      <c r="J422" s="5"/>
      <c r="K422" s="4" t="s">
        <v>62</v>
      </c>
      <c r="L422" s="4" t="s">
        <v>63</v>
      </c>
      <c r="M422" s="6" t="str">
        <f>IF(OR(B422="",I422=""),"",B422*I422)</f>
        <v/>
      </c>
      <c r="N422" s="8" t="s">
        <v>64</v>
      </c>
      <c r="O422" s="9"/>
      <c r="P422" s="9"/>
      <c r="Q422" s="22"/>
      <c r="R422" s="22"/>
      <c r="S422" s="23" t="str">
        <f>IF(AND(ISNUMBER(Q422),Q422&gt;0,ISNUMBER(R422),R422&gt;0),R422/Q422,"")</f>
        <v/>
      </c>
      <c r="T422" s="9"/>
      <c r="U422" s="9"/>
      <c r="V422" s="9"/>
      <c r="W422" s="9"/>
      <c r="X422" s="23" t="str">
        <f>IF(ISNUMBER(S422),S422,IF(ISNUMBER(I422),I422,""))</f>
        <v/>
      </c>
      <c r="Y422" t="str">
        <f>IF(ISNUMBER(S422),"2025 EIA-923 plant/group proxy",IF(ISNUMBER(I422),"Technology estimate","No thermal heat rate"))</f>
        <v>No thermal heat rate</v>
      </c>
      <c r="Z422" t="str">
        <f>IF(ISNUMBER(S422),"Review: NOT unit verified",IF(AE422="No match","No EIA match",IF(AF422="Unconfirmed","Unconfirmed EIA candidate","")))</f>
        <v/>
      </c>
      <c r="AE422" t="s">
        <v>65</v>
      </c>
      <c r="AF422" t="s">
        <v>66</v>
      </c>
      <c r="AG422" s="24">
        <f>IF(ISBLANK(S422),S422,I422)</f>
        <v>0</v>
      </c>
      <c r="AH422" s="34">
        <f t="shared" si="18"/>
        <v>12596.599999999999</v>
      </c>
      <c r="AI422">
        <f t="shared" si="17"/>
        <v>7866.3561395201323</v>
      </c>
      <c r="AJ422" t="b" cm="1">
        <f t="array" ref="AJ422">OR(D422=$AT$2:$AT$8)</f>
        <v>0</v>
      </c>
    </row>
    <row r="423" spans="1:36" x14ac:dyDescent="0.25">
      <c r="A423" s="2" t="s">
        <v>1656</v>
      </c>
      <c r="B423" s="3">
        <v>34.5</v>
      </c>
      <c r="C423" s="2" t="s">
        <v>78</v>
      </c>
      <c r="D423" s="2" t="s">
        <v>78</v>
      </c>
      <c r="E423" s="2" t="s">
        <v>70</v>
      </c>
      <c r="F423" s="4" t="s">
        <v>60</v>
      </c>
      <c r="G423" s="4" t="s">
        <v>61</v>
      </c>
      <c r="H423" s="5"/>
      <c r="I423" s="5"/>
      <c r="J423" s="5"/>
      <c r="K423" s="4" t="s">
        <v>62</v>
      </c>
      <c r="L423" s="4" t="s">
        <v>63</v>
      </c>
      <c r="M423" s="6" t="str">
        <f>IF(OR(B423="",I423=""),"",B423*I423)</f>
        <v/>
      </c>
      <c r="N423" s="8" t="s">
        <v>64</v>
      </c>
      <c r="O423" s="9"/>
      <c r="P423" s="9"/>
      <c r="Q423" s="22"/>
      <c r="R423" s="22"/>
      <c r="S423" s="23" t="str">
        <f>IF(AND(ISNUMBER(Q423),Q423&gt;0,ISNUMBER(R423),R423&gt;0),R423/Q423,"")</f>
        <v/>
      </c>
      <c r="T423" s="9"/>
      <c r="U423" s="9"/>
      <c r="V423" s="9"/>
      <c r="W423" s="9"/>
      <c r="X423" s="23" t="str">
        <f>IF(ISNUMBER(S423),S423,IF(ISNUMBER(I423),I423,""))</f>
        <v/>
      </c>
      <c r="Y423" t="str">
        <f>IF(ISNUMBER(S423),"2025 EIA-923 plant/group proxy",IF(ISNUMBER(I423),"Technology estimate","No thermal heat rate"))</f>
        <v>No thermal heat rate</v>
      </c>
      <c r="Z423" t="str">
        <f>IF(ISNUMBER(S423),"Review: NOT unit verified",IF(AE423="No match","No EIA match",IF(AF423="Unconfirmed","Unconfirmed EIA candidate","")))</f>
        <v/>
      </c>
      <c r="AE423" t="s">
        <v>65</v>
      </c>
      <c r="AF423" t="s">
        <v>66</v>
      </c>
      <c r="AG423" s="24">
        <f>IF(ISBLANK(S423),S423,I423)</f>
        <v>0</v>
      </c>
      <c r="AH423" s="34">
        <f t="shared" si="18"/>
        <v>12631.099999999999</v>
      </c>
      <c r="AI423">
        <f t="shared" si="17"/>
        <v>7887.9007854415277</v>
      </c>
      <c r="AJ423" t="b" cm="1">
        <f t="array" ref="AJ423">OR(D423=$AT$2:$AT$8)</f>
        <v>1</v>
      </c>
    </row>
    <row r="424" spans="1:36" x14ac:dyDescent="0.25">
      <c r="A424" s="2" t="s">
        <v>1661</v>
      </c>
      <c r="B424" s="3">
        <v>13.3</v>
      </c>
      <c r="C424" s="2" t="s">
        <v>78</v>
      </c>
      <c r="D424" s="2" t="s">
        <v>78</v>
      </c>
      <c r="E424" s="2" t="s">
        <v>70</v>
      </c>
      <c r="F424" s="4" t="s">
        <v>60</v>
      </c>
      <c r="G424" s="4" t="s">
        <v>61</v>
      </c>
      <c r="H424" s="5"/>
      <c r="I424" s="5"/>
      <c r="J424" s="5"/>
      <c r="K424" s="4" t="s">
        <v>62</v>
      </c>
      <c r="L424" s="4" t="s">
        <v>63</v>
      </c>
      <c r="M424" s="6" t="str">
        <f>IF(OR(B424="",I424=""),"",B424*I424)</f>
        <v/>
      </c>
      <c r="N424" s="8" t="s">
        <v>64</v>
      </c>
      <c r="O424" s="9"/>
      <c r="P424" s="9"/>
      <c r="Q424" s="22"/>
      <c r="R424" s="22"/>
      <c r="S424" s="23" t="str">
        <f>IF(AND(ISNUMBER(Q424),Q424&gt;0,ISNUMBER(R424),R424&gt;0),R424/Q424,"")</f>
        <v/>
      </c>
      <c r="T424" s="9"/>
      <c r="U424" s="9"/>
      <c r="V424" s="9"/>
      <c r="W424" s="9"/>
      <c r="X424" s="23" t="str">
        <f>IF(ISNUMBER(S424),S424,IF(ISNUMBER(I424),I424,""))</f>
        <v/>
      </c>
      <c r="Y424" t="str">
        <f>IF(ISNUMBER(S424),"2025 EIA-923 plant/group proxy",IF(ISNUMBER(I424),"Technology estimate","No thermal heat rate"))</f>
        <v>No thermal heat rate</v>
      </c>
      <c r="Z424" t="str">
        <f>IF(ISNUMBER(S424),"Review: NOT unit verified",IF(AE424="No match","No EIA match",IF(AF424="Unconfirmed","Unconfirmed EIA candidate","")))</f>
        <v/>
      </c>
      <c r="AE424" t="s">
        <v>65</v>
      </c>
      <c r="AF424" t="s">
        <v>66</v>
      </c>
      <c r="AG424" s="24">
        <f>IF(ISBLANK(S424),S424,I424)</f>
        <v>0</v>
      </c>
      <c r="AH424" s="34">
        <f t="shared" si="18"/>
        <v>12644.399999999998</v>
      </c>
      <c r="AI424">
        <f t="shared" si="17"/>
        <v>7896.2064025648478</v>
      </c>
      <c r="AJ424" t="b" cm="1">
        <f t="array" ref="AJ424">OR(D424=$AT$2:$AT$8)</f>
        <v>1</v>
      </c>
    </row>
    <row r="425" spans="1:36" x14ac:dyDescent="0.25">
      <c r="A425" s="2" t="s">
        <v>1662</v>
      </c>
      <c r="B425" s="3">
        <v>21</v>
      </c>
      <c r="C425" s="2" t="s">
        <v>78</v>
      </c>
      <c r="D425" s="2" t="s">
        <v>78</v>
      </c>
      <c r="E425" s="2" t="s">
        <v>70</v>
      </c>
      <c r="F425" s="4" t="s">
        <v>60</v>
      </c>
      <c r="G425" s="4" t="s">
        <v>61</v>
      </c>
      <c r="H425" s="5"/>
      <c r="I425" s="5"/>
      <c r="J425" s="5"/>
      <c r="K425" s="4" t="s">
        <v>62</v>
      </c>
      <c r="L425" s="4" t="s">
        <v>63</v>
      </c>
      <c r="M425" s="6" t="str">
        <f>IF(OR(B425="",I425=""),"",B425*I425)</f>
        <v/>
      </c>
      <c r="N425" s="8" t="s">
        <v>64</v>
      </c>
      <c r="O425" s="9"/>
      <c r="P425" s="9"/>
      <c r="Q425" s="22"/>
      <c r="R425" s="22"/>
      <c r="S425" s="23" t="str">
        <f>IF(AND(ISNUMBER(Q425),Q425&gt;0,ISNUMBER(R425),R425&gt;0),R425/Q425,"")</f>
        <v/>
      </c>
      <c r="T425" s="9"/>
      <c r="U425" s="9"/>
      <c r="V425" s="9"/>
      <c r="W425" s="9"/>
      <c r="X425" s="23" t="str">
        <f>IF(ISNUMBER(S425),S425,IF(ISNUMBER(I425),I425,""))</f>
        <v/>
      </c>
      <c r="Y425" t="str">
        <f>IF(ISNUMBER(S425),"2025 EIA-923 plant/group proxy",IF(ISNUMBER(I425),"Technology estimate","No thermal heat rate"))</f>
        <v>No thermal heat rate</v>
      </c>
      <c r="Z425" t="str">
        <f>IF(ISNUMBER(S425),"Review: NOT unit verified",IF(AE425="No match","No EIA match",IF(AF425="Unconfirmed","Unconfirmed EIA candidate","")))</f>
        <v/>
      </c>
      <c r="AE425" t="s">
        <v>65</v>
      </c>
      <c r="AF425" t="s">
        <v>66</v>
      </c>
      <c r="AG425" s="24">
        <f>IF(ISBLANK(S425),S425,I425)</f>
        <v>0</v>
      </c>
      <c r="AH425" s="34">
        <f t="shared" si="18"/>
        <v>12665.399999999998</v>
      </c>
      <c r="AI425">
        <f t="shared" si="17"/>
        <v>7909.3205348648271</v>
      </c>
      <c r="AJ425" t="b" cm="1">
        <f t="array" ref="AJ425">OR(D425=$AT$2:$AT$8)</f>
        <v>1</v>
      </c>
    </row>
    <row r="426" spans="1:36" x14ac:dyDescent="0.25">
      <c r="A426" s="2" t="s">
        <v>1676</v>
      </c>
      <c r="B426" s="3">
        <v>66</v>
      </c>
      <c r="C426" s="2" t="s">
        <v>78</v>
      </c>
      <c r="D426" s="2" t="s">
        <v>78</v>
      </c>
      <c r="E426" s="2" t="s">
        <v>70</v>
      </c>
      <c r="F426" s="4" t="s">
        <v>60</v>
      </c>
      <c r="G426" s="4" t="s">
        <v>61</v>
      </c>
      <c r="H426" s="5"/>
      <c r="I426" s="5"/>
      <c r="J426" s="5"/>
      <c r="K426" s="4" t="s">
        <v>62</v>
      </c>
      <c r="L426" s="4" t="s">
        <v>63</v>
      </c>
      <c r="M426" s="6" t="str">
        <f>IF(OR(B426="",I426=""),"",B426*I426)</f>
        <v/>
      </c>
      <c r="N426" s="8" t="s">
        <v>64</v>
      </c>
      <c r="O426" s="9"/>
      <c r="P426" s="9"/>
      <c r="Q426" s="22"/>
      <c r="R426" s="22"/>
      <c r="S426" s="23" t="str">
        <f>IF(AND(ISNUMBER(Q426),Q426&gt;0,ISNUMBER(R426),R426&gt;0),R426/Q426,"")</f>
        <v/>
      </c>
      <c r="T426" s="9"/>
      <c r="U426" s="9"/>
      <c r="V426" s="9"/>
      <c r="W426" s="9"/>
      <c r="X426" s="23" t="str">
        <f>IF(ISNUMBER(S426),S426,IF(ISNUMBER(I426),I426,""))</f>
        <v/>
      </c>
      <c r="Y426" t="str">
        <f>IF(ISNUMBER(S426),"2025 EIA-923 plant/group proxy",IF(ISNUMBER(I426),"Technology estimate","No thermal heat rate"))</f>
        <v>No thermal heat rate</v>
      </c>
      <c r="Z426" t="str">
        <f>IF(ISNUMBER(S426),"Review: NOT unit verified",IF(AE426="No match","No EIA match",IF(AF426="Unconfirmed","Unconfirmed EIA candidate","")))</f>
        <v/>
      </c>
      <c r="AE426" t="s">
        <v>65</v>
      </c>
      <c r="AF426" t="s">
        <v>66</v>
      </c>
      <c r="AG426" s="24">
        <f>IF(ISBLANK(S426),S426,I426)</f>
        <v>0</v>
      </c>
      <c r="AH426" s="34">
        <f t="shared" si="18"/>
        <v>12731.399999999998</v>
      </c>
      <c r="AI426">
        <f t="shared" si="17"/>
        <v>7950.5363792361914</v>
      </c>
      <c r="AJ426" t="b" cm="1">
        <f t="array" ref="AJ426">OR(D426=$AT$2:$AT$8)</f>
        <v>1</v>
      </c>
    </row>
    <row r="427" spans="1:36" x14ac:dyDescent="0.25">
      <c r="A427" s="2" t="s">
        <v>1684</v>
      </c>
      <c r="B427" s="3">
        <v>32</v>
      </c>
      <c r="C427" s="2" t="s">
        <v>99</v>
      </c>
      <c r="D427" s="2" t="s">
        <v>81</v>
      </c>
      <c r="E427" s="2" t="s">
        <v>70</v>
      </c>
      <c r="F427" s="4" t="s">
        <v>60</v>
      </c>
      <c r="G427" s="4" t="s">
        <v>61</v>
      </c>
      <c r="H427" s="5"/>
      <c r="I427" s="5"/>
      <c r="J427" s="5"/>
      <c r="K427" s="4" t="s">
        <v>62</v>
      </c>
      <c r="L427" s="4" t="s">
        <v>63</v>
      </c>
      <c r="M427" s="6" t="str">
        <f>IF(OR(B427="",I427=""),"",B427*I427)</f>
        <v/>
      </c>
      <c r="N427" s="8" t="s">
        <v>64</v>
      </c>
      <c r="O427" s="9"/>
      <c r="P427" s="9"/>
      <c r="Q427" s="22"/>
      <c r="R427" s="22"/>
      <c r="S427" s="23" t="str">
        <f>IF(AND(ISNUMBER(Q427),Q427&gt;0,ISNUMBER(R427),R427&gt;0),R427/Q427,"")</f>
        <v/>
      </c>
      <c r="T427" s="9"/>
      <c r="U427" s="9"/>
      <c r="V427" s="9"/>
      <c r="W427" s="9"/>
      <c r="X427" s="23" t="str">
        <f>IF(ISNUMBER(S427),S427,IF(ISNUMBER(I427),I427,""))</f>
        <v/>
      </c>
      <c r="Y427" t="str">
        <f>IF(ISNUMBER(S427),"2025 EIA-923 plant/group proxy",IF(ISNUMBER(I427),"Technology estimate","No thermal heat rate"))</f>
        <v>No thermal heat rate</v>
      </c>
      <c r="Z427" t="str">
        <f>IF(ISNUMBER(S427),"Review: NOT unit verified",IF(AE427="No match","No EIA match",IF(AF427="Unconfirmed","Unconfirmed EIA candidate","")))</f>
        <v/>
      </c>
      <c r="AE427" t="s">
        <v>65</v>
      </c>
      <c r="AF427" t="s">
        <v>66</v>
      </c>
      <c r="AG427" s="24">
        <f>IF(ISBLANK(S427),S427,I427)</f>
        <v>0</v>
      </c>
      <c r="AH427" s="34">
        <f t="shared" si="18"/>
        <v>12763.399999999998</v>
      </c>
      <c r="AI427">
        <f t="shared" si="17"/>
        <v>7970.5198189313987</v>
      </c>
      <c r="AJ427" t="b" cm="1">
        <f t="array" ref="AJ427">OR(D427=$AT$2:$AT$8)</f>
        <v>0</v>
      </c>
    </row>
    <row r="428" spans="1:36" x14ac:dyDescent="0.25">
      <c r="A428" s="2" t="s">
        <v>1700</v>
      </c>
      <c r="B428" s="3">
        <v>30</v>
      </c>
      <c r="C428" s="2" t="s">
        <v>294</v>
      </c>
      <c r="D428" s="2" t="s">
        <v>81</v>
      </c>
      <c r="E428" s="2" t="s">
        <v>70</v>
      </c>
      <c r="F428" s="4" t="s">
        <v>60</v>
      </c>
      <c r="G428" s="4" t="s">
        <v>61</v>
      </c>
      <c r="H428" s="5"/>
      <c r="I428" s="5"/>
      <c r="J428" s="5"/>
      <c r="K428" s="4" t="s">
        <v>62</v>
      </c>
      <c r="L428" s="4" t="s">
        <v>63</v>
      </c>
      <c r="M428" s="6" t="str">
        <f>IF(OR(B428="",I428=""),"",B428*I428)</f>
        <v/>
      </c>
      <c r="N428" s="8" t="s">
        <v>64</v>
      </c>
      <c r="O428" s="9"/>
      <c r="P428" s="9"/>
      <c r="Q428" s="22"/>
      <c r="R428" s="22"/>
      <c r="S428" s="23" t="str">
        <f>IF(AND(ISNUMBER(Q428),Q428&gt;0,ISNUMBER(R428),R428&gt;0),R428/Q428,"")</f>
        <v/>
      </c>
      <c r="T428" s="9"/>
      <c r="U428" s="9"/>
      <c r="V428" s="9"/>
      <c r="W428" s="9"/>
      <c r="X428" s="23" t="str">
        <f>IF(ISNUMBER(S428),S428,IF(ISNUMBER(I428),I428,""))</f>
        <v/>
      </c>
      <c r="Y428" t="str">
        <f>IF(ISNUMBER(S428),"2025 EIA-923 plant/group proxy",IF(ISNUMBER(I428),"Technology estimate","No thermal heat rate"))</f>
        <v>No thermal heat rate</v>
      </c>
      <c r="Z428" t="str">
        <f>IF(ISNUMBER(S428),"Review: NOT unit verified",IF(AE428="No match","No EIA match",IF(AF428="Unconfirmed","Unconfirmed EIA candidate","")))</f>
        <v/>
      </c>
      <c r="AE428" t="s">
        <v>65</v>
      </c>
      <c r="AF428" t="s">
        <v>66</v>
      </c>
      <c r="AG428" s="24">
        <f>IF(ISBLANK(S428),S428,I428)</f>
        <v>0</v>
      </c>
      <c r="AH428" s="34">
        <f t="shared" si="18"/>
        <v>12793.399999999998</v>
      </c>
      <c r="AI428">
        <f t="shared" si="17"/>
        <v>7989.2542936456548</v>
      </c>
      <c r="AJ428" t="b" cm="1">
        <f t="array" ref="AJ428">OR(D428=$AT$2:$AT$8)</f>
        <v>0</v>
      </c>
    </row>
    <row r="429" spans="1:36" x14ac:dyDescent="0.25">
      <c r="A429" s="2" t="s">
        <v>1704</v>
      </c>
      <c r="B429" s="3">
        <v>8.6</v>
      </c>
      <c r="C429" s="2" t="s">
        <v>78</v>
      </c>
      <c r="D429" s="2" t="s">
        <v>78</v>
      </c>
      <c r="E429" s="2" t="s">
        <v>70</v>
      </c>
      <c r="F429" s="4" t="s">
        <v>60</v>
      </c>
      <c r="G429" s="4" t="s">
        <v>61</v>
      </c>
      <c r="H429" s="5"/>
      <c r="I429" s="5"/>
      <c r="J429" s="5"/>
      <c r="K429" s="4" t="s">
        <v>62</v>
      </c>
      <c r="L429" s="4" t="s">
        <v>63</v>
      </c>
      <c r="M429" s="6" t="str">
        <f>IF(OR(B429="",I429=""),"",B429*I429)</f>
        <v/>
      </c>
      <c r="N429" s="8" t="s">
        <v>64</v>
      </c>
      <c r="O429" s="9"/>
      <c r="P429" s="9"/>
      <c r="Q429" s="22"/>
      <c r="R429" s="22"/>
      <c r="S429" s="23" t="str">
        <f>IF(AND(ISNUMBER(Q429),Q429&gt;0,ISNUMBER(R429),R429&gt;0),R429/Q429,"")</f>
        <v/>
      </c>
      <c r="T429" s="9"/>
      <c r="U429" s="9"/>
      <c r="V429" s="9"/>
      <c r="W429" s="9"/>
      <c r="X429" s="23" t="str">
        <f>IF(ISNUMBER(S429),S429,IF(ISNUMBER(I429),I429,""))</f>
        <v/>
      </c>
      <c r="Y429" t="str">
        <f>IF(ISNUMBER(S429),"2025 EIA-923 plant/group proxy",IF(ISNUMBER(I429),"Technology estimate","No thermal heat rate"))</f>
        <v>No thermal heat rate</v>
      </c>
      <c r="Z429" t="str">
        <f>IF(ISNUMBER(S429),"Review: NOT unit verified",IF(AE429="No match","No EIA match",IF(AF429="Unconfirmed","Unconfirmed EIA candidate","")))</f>
        <v/>
      </c>
      <c r="AE429" t="s">
        <v>65</v>
      </c>
      <c r="AF429" t="s">
        <v>66</v>
      </c>
      <c r="AG429" s="24">
        <f>IF(ISBLANK(S429),S429,I429)</f>
        <v>0</v>
      </c>
      <c r="AH429" s="34">
        <f t="shared" si="18"/>
        <v>12801.999999999998</v>
      </c>
      <c r="AI429">
        <f t="shared" si="17"/>
        <v>7994.6248430637424</v>
      </c>
      <c r="AJ429" t="b" cm="1">
        <f t="array" ref="AJ429">OR(D429=$AT$2:$AT$8)</f>
        <v>1</v>
      </c>
    </row>
    <row r="430" spans="1:36" x14ac:dyDescent="0.25">
      <c r="A430" s="2" t="s">
        <v>1707</v>
      </c>
      <c r="B430" s="3">
        <v>195</v>
      </c>
      <c r="C430" s="2" t="s">
        <v>99</v>
      </c>
      <c r="D430" s="2" t="s">
        <v>81</v>
      </c>
      <c r="E430" s="2" t="s">
        <v>70</v>
      </c>
      <c r="F430" s="4" t="s">
        <v>60</v>
      </c>
      <c r="G430" s="4" t="s">
        <v>61</v>
      </c>
      <c r="H430" s="5"/>
      <c r="I430" s="5"/>
      <c r="J430" s="5"/>
      <c r="K430" s="4" t="s">
        <v>62</v>
      </c>
      <c r="L430" s="4" t="s">
        <v>63</v>
      </c>
      <c r="M430" s="6" t="str">
        <f>IF(OR(B430="",I430=""),"",B430*I430)</f>
        <v/>
      </c>
      <c r="N430" s="8" t="s">
        <v>64</v>
      </c>
      <c r="O430" s="9"/>
      <c r="P430" s="9"/>
      <c r="Q430" s="22"/>
      <c r="R430" s="22"/>
      <c r="S430" s="23" t="str">
        <f>IF(AND(ISNUMBER(Q430),Q430&gt;0,ISNUMBER(R430),R430&gt;0),R430/Q430,"")</f>
        <v/>
      </c>
      <c r="T430" s="9"/>
      <c r="U430" s="9"/>
      <c r="V430" s="9"/>
      <c r="W430" s="9"/>
      <c r="X430" s="23" t="str">
        <f>IF(ISNUMBER(S430),S430,IF(ISNUMBER(I430),I430,""))</f>
        <v/>
      </c>
      <c r="Y430" t="str">
        <f>IF(ISNUMBER(S430),"2025 EIA-923 plant/group proxy",IF(ISNUMBER(I430),"Technology estimate","No thermal heat rate"))</f>
        <v>No thermal heat rate</v>
      </c>
      <c r="Z430" t="str">
        <f>IF(ISNUMBER(S430),"Review: NOT unit verified",IF(AE430="No match","No EIA match",IF(AF430="Unconfirmed","Unconfirmed EIA candidate","")))</f>
        <v/>
      </c>
      <c r="AE430" t="s">
        <v>65</v>
      </c>
      <c r="AF430" t="s">
        <v>66</v>
      </c>
      <c r="AG430" s="24">
        <f>IF(ISBLANK(S430),S430,I430)</f>
        <v>0</v>
      </c>
      <c r="AH430" s="34">
        <f t="shared" si="18"/>
        <v>12996.999999999998</v>
      </c>
      <c r="AI430">
        <f t="shared" si="17"/>
        <v>8116.3989287064096</v>
      </c>
      <c r="AJ430" t="b" cm="1">
        <f t="array" ref="AJ430">OR(D430=$AT$2:$AT$8)</f>
        <v>0</v>
      </c>
    </row>
    <row r="431" spans="1:36" x14ac:dyDescent="0.25">
      <c r="A431" s="2" t="s">
        <v>1746</v>
      </c>
      <c r="B431" s="3">
        <v>11.9</v>
      </c>
      <c r="C431" s="2" t="s">
        <v>78</v>
      </c>
      <c r="D431" s="2" t="s">
        <v>78</v>
      </c>
      <c r="E431" s="2" t="s">
        <v>70</v>
      </c>
      <c r="F431" s="4" t="s">
        <v>60</v>
      </c>
      <c r="G431" s="4" t="s">
        <v>61</v>
      </c>
      <c r="H431" s="5"/>
      <c r="I431" s="5"/>
      <c r="J431" s="5"/>
      <c r="K431" s="4" t="s">
        <v>62</v>
      </c>
      <c r="L431" s="4" t="s">
        <v>63</v>
      </c>
      <c r="M431" s="6" t="str">
        <f>IF(OR(B431="",I431=""),"",B431*I431)</f>
        <v/>
      </c>
      <c r="N431" s="8" t="s">
        <v>64</v>
      </c>
      <c r="O431" s="9"/>
      <c r="P431" s="9"/>
      <c r="Q431" s="22"/>
      <c r="R431" s="22"/>
      <c r="S431" s="23" t="str">
        <f>IF(AND(ISNUMBER(Q431),Q431&gt;0,ISNUMBER(R431),R431&gt;0),R431/Q431,"")</f>
        <v/>
      </c>
      <c r="T431" s="9"/>
      <c r="U431" s="9"/>
      <c r="V431" s="9"/>
      <c r="W431" s="9"/>
      <c r="X431" s="23" t="str">
        <f>IF(ISNUMBER(S431),S431,IF(ISNUMBER(I431),I431,""))</f>
        <v/>
      </c>
      <c r="Y431" t="str">
        <f>IF(ISNUMBER(S431),"2025 EIA-923 plant/group proxy",IF(ISNUMBER(I431),"Technology estimate","No thermal heat rate"))</f>
        <v>No thermal heat rate</v>
      </c>
      <c r="Z431" t="str">
        <f>IF(ISNUMBER(S431),"Review: NOT unit verified",IF(AE431="No match","No EIA match",IF(AF431="Unconfirmed","Unconfirmed EIA candidate","")))</f>
        <v/>
      </c>
      <c r="AE431" t="s">
        <v>65</v>
      </c>
      <c r="AF431" t="s">
        <v>66</v>
      </c>
      <c r="AG431" s="24">
        <f>IF(ISBLANK(S431),S431,I431)</f>
        <v>0</v>
      </c>
      <c r="AH431" s="34">
        <f t="shared" si="18"/>
        <v>13008.899999999998</v>
      </c>
      <c r="AI431">
        <f t="shared" si="17"/>
        <v>8123.8302703430645</v>
      </c>
      <c r="AJ431" t="b" cm="1">
        <f t="array" ref="AJ431">OR(D431=$AT$2:$AT$8)</f>
        <v>1</v>
      </c>
    </row>
    <row r="432" spans="1:36" x14ac:dyDescent="0.25">
      <c r="A432" s="2" t="s">
        <v>1750</v>
      </c>
      <c r="B432" s="3">
        <v>0.3</v>
      </c>
      <c r="C432" s="2" t="s">
        <v>91</v>
      </c>
      <c r="D432" s="2" t="s">
        <v>91</v>
      </c>
      <c r="E432" s="2" t="s">
        <v>70</v>
      </c>
      <c r="F432" s="4" t="s">
        <v>60</v>
      </c>
      <c r="G432" s="4" t="s">
        <v>61</v>
      </c>
      <c r="H432" s="5"/>
      <c r="I432" s="5"/>
      <c r="J432" s="5"/>
      <c r="K432" s="4" t="s">
        <v>62</v>
      </c>
      <c r="L432" s="4" t="s">
        <v>63</v>
      </c>
      <c r="M432" s="6" t="str">
        <f>IF(OR(B432="",I432=""),"",B432*I432)</f>
        <v/>
      </c>
      <c r="N432" s="8" t="s">
        <v>64</v>
      </c>
      <c r="O432" s="9"/>
      <c r="P432" s="9"/>
      <c r="Q432" s="22"/>
      <c r="R432" s="22"/>
      <c r="S432" s="23" t="str">
        <f>IF(AND(ISNUMBER(Q432),Q432&gt;0,ISNUMBER(R432),R432&gt;0),R432/Q432,"")</f>
        <v/>
      </c>
      <c r="T432" s="9"/>
      <c r="U432" s="9"/>
      <c r="V432" s="9"/>
      <c r="W432" s="9"/>
      <c r="X432" s="23" t="str">
        <f>IF(ISNUMBER(S432),S432,IF(ISNUMBER(I432),I432,""))</f>
        <v/>
      </c>
      <c r="Y432" t="str">
        <f>IF(ISNUMBER(S432),"2025 EIA-923 plant/group proxy",IF(ISNUMBER(I432),"Technology estimate","No thermal heat rate"))</f>
        <v>No thermal heat rate</v>
      </c>
      <c r="Z432" t="str">
        <f>IF(ISNUMBER(S432),"Review: NOT unit verified",IF(AE432="No match","No EIA match",IF(AF432="Unconfirmed","Unconfirmed EIA candidate","")))</f>
        <v/>
      </c>
      <c r="AE432" t="s">
        <v>65</v>
      </c>
      <c r="AF432" t="s">
        <v>66</v>
      </c>
      <c r="AG432" s="24">
        <f>IF(ISBLANK(S432),S432,I432)</f>
        <v>0</v>
      </c>
      <c r="AH432" s="34">
        <f t="shared" si="18"/>
        <v>13009.199999999997</v>
      </c>
      <c r="AI432">
        <f t="shared" si="17"/>
        <v>8124.0176150902071</v>
      </c>
      <c r="AJ432" t="b" cm="1">
        <f t="array" ref="AJ432">OR(D432=$AT$2:$AT$8)</f>
        <v>1</v>
      </c>
    </row>
    <row r="433" spans="1:36" x14ac:dyDescent="0.25">
      <c r="A433" s="2" t="s">
        <v>1766</v>
      </c>
      <c r="B433" s="3">
        <v>12</v>
      </c>
      <c r="C433" s="2" t="s">
        <v>78</v>
      </c>
      <c r="D433" s="2" t="s">
        <v>78</v>
      </c>
      <c r="E433" s="2" t="s">
        <v>70</v>
      </c>
      <c r="F433" s="4" t="s">
        <v>60</v>
      </c>
      <c r="G433" s="4" t="s">
        <v>61</v>
      </c>
      <c r="H433" s="5"/>
      <c r="I433" s="5"/>
      <c r="J433" s="5"/>
      <c r="K433" s="4" t="s">
        <v>62</v>
      </c>
      <c r="L433" s="4" t="s">
        <v>63</v>
      </c>
      <c r="M433" s="6" t="str">
        <f>IF(OR(B433="",I433=""),"",B433*I433)</f>
        <v/>
      </c>
      <c r="N433" s="8" t="s">
        <v>64</v>
      </c>
      <c r="O433" s="9"/>
      <c r="P433" s="9"/>
      <c r="Q433" s="22"/>
      <c r="R433" s="22"/>
      <c r="S433" s="23" t="str">
        <f>IF(AND(ISNUMBER(Q433),Q433&gt;0,ISNUMBER(R433),R433&gt;0),R433/Q433,"")</f>
        <v/>
      </c>
      <c r="T433" s="9"/>
      <c r="U433" s="9"/>
      <c r="V433" s="9"/>
      <c r="W433" s="9"/>
      <c r="X433" s="23" t="str">
        <f>IF(ISNUMBER(S433),S433,IF(ISNUMBER(I433),I433,""))</f>
        <v/>
      </c>
      <c r="Y433" t="str">
        <f>IF(ISNUMBER(S433),"2025 EIA-923 plant/group proxy",IF(ISNUMBER(I433),"Technology estimate","No thermal heat rate"))</f>
        <v>No thermal heat rate</v>
      </c>
      <c r="Z433" t="str">
        <f>IF(ISNUMBER(S433),"Review: NOT unit verified",IF(AE433="No match","No EIA match",IF(AF433="Unconfirmed","Unconfirmed EIA candidate","")))</f>
        <v/>
      </c>
      <c r="AE433" t="s">
        <v>65</v>
      </c>
      <c r="AF433" t="s">
        <v>66</v>
      </c>
      <c r="AG433" s="24">
        <f>IF(ISBLANK(S433),S433,I433)</f>
        <v>0</v>
      </c>
      <c r="AH433" s="34">
        <f t="shared" si="18"/>
        <v>13021.199999999997</v>
      </c>
      <c r="AI433">
        <f t="shared" si="17"/>
        <v>8131.5114049759095</v>
      </c>
      <c r="AJ433" t="b" cm="1">
        <f t="array" ref="AJ433">OR(D433=$AT$2:$AT$8)</f>
        <v>1</v>
      </c>
    </row>
    <row r="434" spans="1:36" x14ac:dyDescent="0.25">
      <c r="A434" s="2" t="s">
        <v>1780</v>
      </c>
      <c r="B434" s="3">
        <v>1.9</v>
      </c>
      <c r="C434" s="2" t="s">
        <v>97</v>
      </c>
      <c r="D434" s="2" t="s">
        <v>97</v>
      </c>
      <c r="E434" s="2" t="s">
        <v>70</v>
      </c>
      <c r="F434" s="4" t="s">
        <v>60</v>
      </c>
      <c r="G434" s="4" t="s">
        <v>61</v>
      </c>
      <c r="H434" s="5"/>
      <c r="I434" s="5"/>
      <c r="J434" s="5"/>
      <c r="K434" s="4" t="s">
        <v>62</v>
      </c>
      <c r="L434" s="4" t="s">
        <v>63</v>
      </c>
      <c r="M434" s="6" t="str">
        <f>IF(OR(B434="",I434=""),"",B434*I434)</f>
        <v/>
      </c>
      <c r="N434" s="8" t="s">
        <v>64</v>
      </c>
      <c r="O434" s="9"/>
      <c r="P434" s="9"/>
      <c r="Q434" s="22"/>
      <c r="R434" s="22"/>
      <c r="S434" s="23" t="str">
        <f>IF(AND(ISNUMBER(Q434),Q434&gt;0,ISNUMBER(R434),R434&gt;0),R434/Q434,"")</f>
        <v/>
      </c>
      <c r="T434" s="9"/>
      <c r="U434" s="9"/>
      <c r="V434" s="9"/>
      <c r="W434" s="9"/>
      <c r="X434" s="23" t="str">
        <f>IF(ISNUMBER(S434),S434,IF(ISNUMBER(I434),I434,""))</f>
        <v/>
      </c>
      <c r="Y434" t="str">
        <f>IF(ISNUMBER(S434),"2025 EIA-923 plant/group proxy",IF(ISNUMBER(I434),"Technology estimate","No thermal heat rate"))</f>
        <v>No thermal heat rate</v>
      </c>
      <c r="Z434" t="str">
        <f>IF(ISNUMBER(S434),"Review: NOT unit verified",IF(AE434="No match","No EIA match",IF(AF434="Unconfirmed","Unconfirmed EIA candidate","")))</f>
        <v/>
      </c>
      <c r="AE434" t="s">
        <v>65</v>
      </c>
      <c r="AF434" t="s">
        <v>66</v>
      </c>
      <c r="AG434" s="24">
        <f>IF(ISBLANK(S434),S434,I434)</f>
        <v>0</v>
      </c>
      <c r="AH434" s="34">
        <f t="shared" si="18"/>
        <v>13023.099999999997</v>
      </c>
      <c r="AI434">
        <f t="shared" si="17"/>
        <v>8132.6979217078124</v>
      </c>
      <c r="AJ434" t="b" cm="1">
        <f t="array" ref="AJ434">OR(D434=$AT$2:$AT$8)</f>
        <v>0</v>
      </c>
    </row>
    <row r="435" spans="1:36" x14ac:dyDescent="0.25">
      <c r="A435" s="2" t="s">
        <v>1781</v>
      </c>
      <c r="B435" s="3">
        <v>1.5</v>
      </c>
      <c r="C435" s="2" t="s">
        <v>97</v>
      </c>
      <c r="D435" s="2" t="s">
        <v>97</v>
      </c>
      <c r="E435" s="2" t="s">
        <v>70</v>
      </c>
      <c r="F435" s="4" t="s">
        <v>60</v>
      </c>
      <c r="G435" s="4" t="s">
        <v>61</v>
      </c>
      <c r="H435" s="5"/>
      <c r="I435" s="5"/>
      <c r="J435" s="5"/>
      <c r="K435" s="4" t="s">
        <v>62</v>
      </c>
      <c r="L435" s="4" t="s">
        <v>63</v>
      </c>
      <c r="M435" s="6" t="str">
        <f>IF(OR(B435="",I435=""),"",B435*I435)</f>
        <v/>
      </c>
      <c r="N435" s="8" t="s">
        <v>64</v>
      </c>
      <c r="O435" s="9"/>
      <c r="P435" s="9"/>
      <c r="Q435" s="22"/>
      <c r="R435" s="22"/>
      <c r="S435" s="23" t="str">
        <f>IF(AND(ISNUMBER(Q435),Q435&gt;0,ISNUMBER(R435),R435&gt;0),R435/Q435,"")</f>
        <v/>
      </c>
      <c r="T435" s="9"/>
      <c r="U435" s="9"/>
      <c r="V435" s="9"/>
      <c r="W435" s="9"/>
      <c r="X435" s="23" t="str">
        <f>IF(ISNUMBER(S435),S435,IF(ISNUMBER(I435),I435,""))</f>
        <v/>
      </c>
      <c r="Y435" t="str">
        <f>IF(ISNUMBER(S435),"2025 EIA-923 plant/group proxy",IF(ISNUMBER(I435),"Technology estimate","No thermal heat rate"))</f>
        <v>No thermal heat rate</v>
      </c>
      <c r="Z435" t="str">
        <f>IF(ISNUMBER(S435),"Review: NOT unit verified",IF(AE435="No match","No EIA match",IF(AF435="Unconfirmed","Unconfirmed EIA candidate","")))</f>
        <v/>
      </c>
      <c r="AE435" t="s">
        <v>65</v>
      </c>
      <c r="AF435" t="s">
        <v>66</v>
      </c>
      <c r="AG435" s="24">
        <f>IF(ISBLANK(S435),S435,I435)</f>
        <v>0</v>
      </c>
      <c r="AH435" s="34">
        <f t="shared" si="18"/>
        <v>13024.599999999997</v>
      </c>
      <c r="AI435">
        <f t="shared" si="17"/>
        <v>8133.6346454435252</v>
      </c>
      <c r="AJ435" t="b" cm="1">
        <f t="array" ref="AJ435">OR(D435=$AT$2:$AT$8)</f>
        <v>0</v>
      </c>
    </row>
    <row r="436" spans="1:36" x14ac:dyDescent="0.25">
      <c r="A436" s="2" t="s">
        <v>1790</v>
      </c>
      <c r="B436" s="3">
        <v>7.5</v>
      </c>
      <c r="C436" s="2" t="s">
        <v>78</v>
      </c>
      <c r="D436" s="2" t="s">
        <v>78</v>
      </c>
      <c r="E436" s="2" t="s">
        <v>70</v>
      </c>
      <c r="F436" s="4" t="s">
        <v>60</v>
      </c>
      <c r="G436" s="4" t="s">
        <v>61</v>
      </c>
      <c r="H436" s="5"/>
      <c r="I436" s="5"/>
      <c r="J436" s="5"/>
      <c r="K436" s="4" t="s">
        <v>62</v>
      </c>
      <c r="L436" s="4" t="s">
        <v>63</v>
      </c>
      <c r="M436" s="6" t="str">
        <f>IF(OR(B436="",I436=""),"",B436*I436)</f>
        <v/>
      </c>
      <c r="N436" s="8" t="s">
        <v>64</v>
      </c>
      <c r="O436" s="9"/>
      <c r="P436" s="9"/>
      <c r="Q436" s="22"/>
      <c r="R436" s="22"/>
      <c r="S436" s="23" t="str">
        <f>IF(AND(ISNUMBER(Q436),Q436&gt;0,ISNUMBER(R436),R436&gt;0),R436/Q436,"")</f>
        <v/>
      </c>
      <c r="T436" s="9"/>
      <c r="U436" s="9"/>
      <c r="V436" s="9"/>
      <c r="W436" s="9"/>
      <c r="X436" s="23" t="str">
        <f>IF(ISNUMBER(S436),S436,IF(ISNUMBER(I436),I436,""))</f>
        <v/>
      </c>
      <c r="Y436" t="str">
        <f>IF(ISNUMBER(S436),"2025 EIA-923 plant/group proxy",IF(ISNUMBER(I436),"Technology estimate","No thermal heat rate"))</f>
        <v>No thermal heat rate</v>
      </c>
      <c r="Z436" t="str">
        <f>IF(ISNUMBER(S436),"Review: NOT unit verified",IF(AE436="No match","No EIA match",IF(AF436="Unconfirmed","Unconfirmed EIA candidate","")))</f>
        <v/>
      </c>
      <c r="AE436" t="s">
        <v>65</v>
      </c>
      <c r="AF436" t="s">
        <v>66</v>
      </c>
      <c r="AG436" s="24">
        <f>IF(ISBLANK(S436),S436,I436)</f>
        <v>0</v>
      </c>
      <c r="AH436" s="34">
        <f t="shared" si="18"/>
        <v>13032.099999999997</v>
      </c>
      <c r="AI436">
        <f t="shared" si="17"/>
        <v>8138.3182641220892</v>
      </c>
      <c r="AJ436" t="b" cm="1">
        <f t="array" ref="AJ436">OR(D436=$AT$2:$AT$8)</f>
        <v>1</v>
      </c>
    </row>
    <row r="437" spans="1:36" x14ac:dyDescent="0.25">
      <c r="A437" s="2" t="s">
        <v>1791</v>
      </c>
      <c r="B437" s="3">
        <v>9.8000000000000007</v>
      </c>
      <c r="C437" s="2" t="s">
        <v>78</v>
      </c>
      <c r="D437" s="2" t="s">
        <v>78</v>
      </c>
      <c r="E437" s="2" t="s">
        <v>70</v>
      </c>
      <c r="F437" s="4" t="s">
        <v>60</v>
      </c>
      <c r="G437" s="4" t="s">
        <v>61</v>
      </c>
      <c r="H437" s="5"/>
      <c r="I437" s="5"/>
      <c r="J437" s="5"/>
      <c r="K437" s="4" t="s">
        <v>62</v>
      </c>
      <c r="L437" s="4" t="s">
        <v>63</v>
      </c>
      <c r="M437" s="6" t="str">
        <f>IF(OR(B437="",I437=""),"",B437*I437)</f>
        <v/>
      </c>
      <c r="N437" s="8" t="s">
        <v>64</v>
      </c>
      <c r="O437" s="9"/>
      <c r="P437" s="9"/>
      <c r="Q437" s="22"/>
      <c r="R437" s="22"/>
      <c r="S437" s="23" t="str">
        <f>IF(AND(ISNUMBER(Q437),Q437&gt;0,ISNUMBER(R437),R437&gt;0),R437/Q437,"")</f>
        <v/>
      </c>
      <c r="T437" s="9"/>
      <c r="U437" s="9"/>
      <c r="V437" s="9"/>
      <c r="W437" s="9"/>
      <c r="X437" s="23" t="str">
        <f>IF(ISNUMBER(S437),S437,IF(ISNUMBER(I437),I437,""))</f>
        <v/>
      </c>
      <c r="Y437" t="str">
        <f>IF(ISNUMBER(S437),"2025 EIA-923 plant/group proxy",IF(ISNUMBER(I437),"Technology estimate","No thermal heat rate"))</f>
        <v>No thermal heat rate</v>
      </c>
      <c r="Z437" t="str">
        <f>IF(ISNUMBER(S437),"Review: NOT unit verified",IF(AE437="No match","No EIA match",IF(AF437="Unconfirmed","Unconfirmed EIA candidate","")))</f>
        <v/>
      </c>
      <c r="AE437" t="s">
        <v>65</v>
      </c>
      <c r="AF437" t="s">
        <v>66</v>
      </c>
      <c r="AG437" s="24">
        <f>IF(ISBLANK(S437),S437,I437)</f>
        <v>0</v>
      </c>
      <c r="AH437" s="34">
        <f t="shared" si="18"/>
        <v>13041.899999999996</v>
      </c>
      <c r="AI437">
        <f t="shared" si="17"/>
        <v>8144.4381925287462</v>
      </c>
      <c r="AJ437" t="b" cm="1">
        <f t="array" ref="AJ437">OR(D437=$AT$2:$AT$8)</f>
        <v>1</v>
      </c>
    </row>
    <row r="438" spans="1:36" x14ac:dyDescent="0.25">
      <c r="A438" s="2" t="s">
        <v>1793</v>
      </c>
      <c r="B438" s="3">
        <v>8.9</v>
      </c>
      <c r="C438" s="2" t="s">
        <v>68</v>
      </c>
      <c r="D438" s="2" t="s">
        <v>69</v>
      </c>
      <c r="E438" s="2" t="s">
        <v>70</v>
      </c>
      <c r="F438" s="4" t="s">
        <v>60</v>
      </c>
      <c r="G438" s="4" t="s">
        <v>61</v>
      </c>
      <c r="H438" s="5"/>
      <c r="I438" s="5"/>
      <c r="J438" s="5"/>
      <c r="K438" s="4" t="s">
        <v>62</v>
      </c>
      <c r="L438" s="4" t="s">
        <v>63</v>
      </c>
      <c r="M438" s="6" t="str">
        <f>IF(OR(B438="",I438=""),"",B438*I438)</f>
        <v/>
      </c>
      <c r="N438" s="8" t="s">
        <v>64</v>
      </c>
      <c r="O438" s="9"/>
      <c r="P438" s="9"/>
      <c r="Q438" s="22"/>
      <c r="R438" s="22"/>
      <c r="S438" s="23" t="str">
        <f>IF(AND(ISNUMBER(Q438),Q438&gt;0,ISNUMBER(R438),R438&gt;0),R438/Q438,"")</f>
        <v/>
      </c>
      <c r="T438" s="9"/>
      <c r="U438" s="9"/>
      <c r="V438" s="9"/>
      <c r="W438" s="9"/>
      <c r="X438" s="23" t="str">
        <f>IF(ISNUMBER(S438),S438,IF(ISNUMBER(I438),I438,""))</f>
        <v/>
      </c>
      <c r="Y438" t="str">
        <f>IF(ISNUMBER(S438),"2025 EIA-923 plant/group proxy",IF(ISNUMBER(I438),"Technology estimate","No thermal heat rate"))</f>
        <v>No thermal heat rate</v>
      </c>
      <c r="Z438" t="str">
        <f>IF(ISNUMBER(S438),"Review: NOT unit verified",IF(AE438="No match","No EIA match",IF(AF438="Unconfirmed","Unconfirmed EIA candidate","")))</f>
        <v/>
      </c>
      <c r="AE438" t="s">
        <v>65</v>
      </c>
      <c r="AF438" t="s">
        <v>66</v>
      </c>
      <c r="AG438" s="24">
        <f>IF(ISBLANK(S438),S438,I438)</f>
        <v>0</v>
      </c>
      <c r="AH438" s="34">
        <f t="shared" si="18"/>
        <v>13050.799999999996</v>
      </c>
      <c r="AI438">
        <f t="shared" si="17"/>
        <v>8149.9960866939746</v>
      </c>
      <c r="AJ438" t="b" cm="1">
        <f t="array" ref="AJ438">OR(D438=$AT$2:$AT$8)</f>
        <v>0</v>
      </c>
    </row>
    <row r="439" spans="1:36" x14ac:dyDescent="0.25">
      <c r="A439" s="2" t="s">
        <v>1798</v>
      </c>
      <c r="B439" s="3">
        <v>36.6</v>
      </c>
      <c r="C439" s="2" t="s">
        <v>78</v>
      </c>
      <c r="D439" s="2" t="s">
        <v>78</v>
      </c>
      <c r="E439" s="2" t="s">
        <v>70</v>
      </c>
      <c r="F439" s="4" t="s">
        <v>60</v>
      </c>
      <c r="G439" s="4" t="s">
        <v>61</v>
      </c>
      <c r="H439" s="5"/>
      <c r="I439" s="5"/>
      <c r="J439" s="5"/>
      <c r="K439" s="4" t="s">
        <v>62</v>
      </c>
      <c r="L439" s="4" t="s">
        <v>63</v>
      </c>
      <c r="M439" s="6" t="str">
        <f>IF(OR(B439="",I439=""),"",B439*I439)</f>
        <v/>
      </c>
      <c r="N439" s="8" t="s">
        <v>64</v>
      </c>
      <c r="O439" s="9"/>
      <c r="P439" s="9"/>
      <c r="Q439" s="22"/>
      <c r="R439" s="22"/>
      <c r="S439" s="23" t="str">
        <f>IF(AND(ISNUMBER(Q439),Q439&gt;0,ISNUMBER(R439),R439&gt;0),R439/Q439,"")</f>
        <v/>
      </c>
      <c r="T439" s="9"/>
      <c r="U439" s="9"/>
      <c r="V439" s="9"/>
      <c r="W439" s="9"/>
      <c r="X439" s="23" t="str">
        <f>IF(ISNUMBER(S439),S439,IF(ISNUMBER(I439),I439,""))</f>
        <v/>
      </c>
      <c r="Y439" t="str">
        <f>IF(ISNUMBER(S439),"2025 EIA-923 plant/group proxy",IF(ISNUMBER(I439),"Technology estimate","No thermal heat rate"))</f>
        <v>No thermal heat rate</v>
      </c>
      <c r="Z439" t="str">
        <f>IF(ISNUMBER(S439),"Review: NOT unit verified",IF(AE439="No match","No EIA match",IF(AF439="Unconfirmed","Unconfirmed EIA candidate","")))</f>
        <v/>
      </c>
      <c r="AE439" t="s">
        <v>65</v>
      </c>
      <c r="AF439" t="s">
        <v>66</v>
      </c>
      <c r="AG439" s="24">
        <f>IF(ISBLANK(S439),S439,I439)</f>
        <v>0</v>
      </c>
      <c r="AH439" s="34">
        <f t="shared" si="18"/>
        <v>13087.399999999996</v>
      </c>
      <c r="AI439">
        <f t="shared" si="17"/>
        <v>8172.8521458453679</v>
      </c>
      <c r="AJ439" t="b" cm="1">
        <f t="array" ref="AJ439">OR(D439=$AT$2:$AT$8)</f>
        <v>1</v>
      </c>
    </row>
    <row r="440" spans="1:36" x14ac:dyDescent="0.25">
      <c r="A440" s="2" t="s">
        <v>1799</v>
      </c>
      <c r="B440" s="3">
        <v>39</v>
      </c>
      <c r="C440" s="2" t="s">
        <v>78</v>
      </c>
      <c r="D440" s="2" t="s">
        <v>78</v>
      </c>
      <c r="E440" s="2" t="s">
        <v>70</v>
      </c>
      <c r="F440" s="4" t="s">
        <v>60</v>
      </c>
      <c r="G440" s="4" t="s">
        <v>61</v>
      </c>
      <c r="H440" s="5"/>
      <c r="I440" s="5"/>
      <c r="J440" s="5"/>
      <c r="K440" s="4" t="s">
        <v>62</v>
      </c>
      <c r="L440" s="4" t="s">
        <v>63</v>
      </c>
      <c r="M440" s="6" t="str">
        <f>IF(OR(B440="",I440=""),"",B440*I440)</f>
        <v/>
      </c>
      <c r="N440" s="8" t="s">
        <v>64</v>
      </c>
      <c r="O440" s="9"/>
      <c r="P440" s="9"/>
      <c r="Q440" s="22"/>
      <c r="R440" s="22"/>
      <c r="S440" s="23" t="str">
        <f>IF(AND(ISNUMBER(Q440),Q440&gt;0,ISNUMBER(R440),R440&gt;0),R440/Q440,"")</f>
        <v/>
      </c>
      <c r="T440" s="9"/>
      <c r="U440" s="9"/>
      <c r="V440" s="9"/>
      <c r="W440" s="9"/>
      <c r="X440" s="23" t="str">
        <f>IF(ISNUMBER(S440),S440,IF(ISNUMBER(I440),I440,""))</f>
        <v/>
      </c>
      <c r="Y440" t="str">
        <f>IF(ISNUMBER(S440),"2025 EIA-923 plant/group proxy",IF(ISNUMBER(I440),"Technology estimate","No thermal heat rate"))</f>
        <v>No thermal heat rate</v>
      </c>
      <c r="Z440" t="str">
        <f>IF(ISNUMBER(S440),"Review: NOT unit verified",IF(AE440="No match","No EIA match",IF(AF440="Unconfirmed","Unconfirmed EIA candidate","")))</f>
        <v/>
      </c>
      <c r="AE440" t="s">
        <v>65</v>
      </c>
      <c r="AF440" t="s">
        <v>66</v>
      </c>
      <c r="AG440" s="24">
        <f>IF(ISBLANK(S440),S440,I440)</f>
        <v>0</v>
      </c>
      <c r="AH440" s="34">
        <f t="shared" si="18"/>
        <v>13126.399999999996</v>
      </c>
      <c r="AI440">
        <f t="shared" si="17"/>
        <v>8197.2069629739017</v>
      </c>
      <c r="AJ440" t="b" cm="1">
        <f t="array" ref="AJ440">OR(D440=$AT$2:$AT$8)</f>
        <v>1</v>
      </c>
    </row>
    <row r="441" spans="1:36" x14ac:dyDescent="0.25">
      <c r="A441" s="2" t="s">
        <v>1808</v>
      </c>
      <c r="B441" s="3">
        <v>12</v>
      </c>
      <c r="C441" s="2" t="s">
        <v>78</v>
      </c>
      <c r="D441" s="2" t="s">
        <v>78</v>
      </c>
      <c r="E441" s="2" t="s">
        <v>70</v>
      </c>
      <c r="F441" s="4" t="s">
        <v>60</v>
      </c>
      <c r="G441" s="4" t="s">
        <v>61</v>
      </c>
      <c r="H441" s="5"/>
      <c r="I441" s="5"/>
      <c r="J441" s="5"/>
      <c r="K441" s="4" t="s">
        <v>62</v>
      </c>
      <c r="L441" s="4" t="s">
        <v>63</v>
      </c>
      <c r="M441" s="6" t="str">
        <f>IF(OR(B441="",I441=""),"",B441*I441)</f>
        <v/>
      </c>
      <c r="N441" s="8" t="s">
        <v>64</v>
      </c>
      <c r="O441" s="9"/>
      <c r="P441" s="9"/>
      <c r="Q441" s="22"/>
      <c r="R441" s="22"/>
      <c r="S441" s="23" t="str">
        <f>IF(AND(ISNUMBER(Q441),Q441&gt;0,ISNUMBER(R441),R441&gt;0),R441/Q441,"")</f>
        <v/>
      </c>
      <c r="T441" s="9"/>
      <c r="U441" s="9"/>
      <c r="V441" s="9"/>
      <c r="W441" s="9"/>
      <c r="X441" s="23" t="str">
        <f>IF(ISNUMBER(S441),S441,IF(ISNUMBER(I441),I441,""))</f>
        <v/>
      </c>
      <c r="Y441" t="str">
        <f>IF(ISNUMBER(S441),"2025 EIA-923 plant/group proxy",IF(ISNUMBER(I441),"Technology estimate","No thermal heat rate"))</f>
        <v>No thermal heat rate</v>
      </c>
      <c r="Z441" t="str">
        <f>IF(ISNUMBER(S441),"Review: NOT unit verified",IF(AE441="No match","No EIA match",IF(AF441="Unconfirmed","Unconfirmed EIA candidate","")))</f>
        <v/>
      </c>
      <c r="AE441" t="s">
        <v>65</v>
      </c>
      <c r="AF441" t="s">
        <v>66</v>
      </c>
      <c r="AG441" s="24">
        <f>IF(ISBLANK(S441),S441,I441)</f>
        <v>0</v>
      </c>
      <c r="AH441" s="34">
        <f t="shared" si="18"/>
        <v>13138.399999999996</v>
      </c>
      <c r="AI441">
        <f t="shared" si="17"/>
        <v>8204.7007528596041</v>
      </c>
      <c r="AJ441" t="b" cm="1">
        <f t="array" ref="AJ441">OR(D441=$AT$2:$AT$8)</f>
        <v>1</v>
      </c>
    </row>
    <row r="442" spans="1:36" x14ac:dyDescent="0.25">
      <c r="A442" s="2" t="s">
        <v>1817</v>
      </c>
      <c r="B442" s="3">
        <v>13.3</v>
      </c>
      <c r="C442" s="2" t="s">
        <v>78</v>
      </c>
      <c r="D442" s="2" t="s">
        <v>78</v>
      </c>
      <c r="E442" s="2" t="s">
        <v>70</v>
      </c>
      <c r="F442" s="4" t="s">
        <v>60</v>
      </c>
      <c r="G442" s="4" t="s">
        <v>61</v>
      </c>
      <c r="H442" s="5"/>
      <c r="I442" s="5"/>
      <c r="J442" s="5"/>
      <c r="K442" s="4" t="s">
        <v>62</v>
      </c>
      <c r="L442" s="4" t="s">
        <v>63</v>
      </c>
      <c r="M442" s="6" t="str">
        <f>IF(OR(B442="",I442=""),"",B442*I442)</f>
        <v/>
      </c>
      <c r="N442" s="8" t="s">
        <v>64</v>
      </c>
      <c r="O442" s="9"/>
      <c r="P442" s="9"/>
      <c r="Q442" s="22"/>
      <c r="R442" s="22"/>
      <c r="S442" s="23" t="str">
        <f>IF(AND(ISNUMBER(Q442),Q442&gt;0,ISNUMBER(R442),R442&gt;0),R442/Q442,"")</f>
        <v/>
      </c>
      <c r="T442" s="9"/>
      <c r="U442" s="9"/>
      <c r="V442" s="9"/>
      <c r="W442" s="9"/>
      <c r="X442" s="23" t="str">
        <f>IF(ISNUMBER(S442),S442,IF(ISNUMBER(I442),I442,""))</f>
        <v/>
      </c>
      <c r="Y442" t="str">
        <f>IF(ISNUMBER(S442),"2025 EIA-923 plant/group proxy",IF(ISNUMBER(I442),"Technology estimate","No thermal heat rate"))</f>
        <v>No thermal heat rate</v>
      </c>
      <c r="Z442" t="str">
        <f>IF(ISNUMBER(S442),"Review: NOT unit verified",IF(AE442="No match","No EIA match",IF(AF442="Unconfirmed","Unconfirmed EIA candidate","")))</f>
        <v/>
      </c>
      <c r="AE442" t="s">
        <v>65</v>
      </c>
      <c r="AF442" t="s">
        <v>66</v>
      </c>
      <c r="AG442" s="24">
        <f>IF(ISBLANK(S442),S442,I442)</f>
        <v>0</v>
      </c>
      <c r="AH442" s="34">
        <f t="shared" si="18"/>
        <v>13151.699999999995</v>
      </c>
      <c r="AI442">
        <f t="shared" si="17"/>
        <v>8213.0063699829243</v>
      </c>
      <c r="AJ442" t="b" cm="1">
        <f t="array" ref="AJ442">OR(D442=$AT$2:$AT$8)</f>
        <v>1</v>
      </c>
    </row>
    <row r="443" spans="1:36" x14ac:dyDescent="0.25">
      <c r="A443" s="2" t="s">
        <v>1825</v>
      </c>
      <c r="B443" s="3">
        <v>3.3</v>
      </c>
      <c r="C443" s="2" t="s">
        <v>68</v>
      </c>
      <c r="D443" s="2" t="s">
        <v>69</v>
      </c>
      <c r="E443" s="2" t="s">
        <v>70</v>
      </c>
      <c r="F443" s="4" t="s">
        <v>60</v>
      </c>
      <c r="G443" s="4" t="s">
        <v>61</v>
      </c>
      <c r="H443" s="5"/>
      <c r="I443" s="5"/>
      <c r="J443" s="5"/>
      <c r="K443" s="4" t="s">
        <v>62</v>
      </c>
      <c r="L443" s="4" t="s">
        <v>63</v>
      </c>
      <c r="M443" s="6" t="str">
        <f>IF(OR(B443="",I443=""),"",B443*I443)</f>
        <v/>
      </c>
      <c r="N443" s="8" t="s">
        <v>64</v>
      </c>
      <c r="O443" s="9"/>
      <c r="P443" s="9"/>
      <c r="Q443" s="22"/>
      <c r="R443" s="22"/>
      <c r="S443" s="23" t="str">
        <f>IF(AND(ISNUMBER(Q443),Q443&gt;0,ISNUMBER(R443),R443&gt;0),R443/Q443,"")</f>
        <v/>
      </c>
      <c r="T443" s="9"/>
      <c r="U443" s="9"/>
      <c r="V443" s="9"/>
      <c r="W443" s="9"/>
      <c r="X443" s="23" t="str">
        <f>IF(ISNUMBER(S443),S443,IF(ISNUMBER(I443),I443,""))</f>
        <v/>
      </c>
      <c r="Y443" t="str">
        <f>IF(ISNUMBER(S443),"2025 EIA-923 plant/group proxy",IF(ISNUMBER(I443),"Technology estimate","No thermal heat rate"))</f>
        <v>No thermal heat rate</v>
      </c>
      <c r="Z443" t="str">
        <f>IF(ISNUMBER(S443),"Review: NOT unit verified",IF(AE443="No match","No EIA match",IF(AF443="Unconfirmed","Unconfirmed EIA candidate","")))</f>
        <v/>
      </c>
      <c r="AE443" t="s">
        <v>65</v>
      </c>
      <c r="AF443" t="s">
        <v>66</v>
      </c>
      <c r="AG443" s="24">
        <f>IF(ISBLANK(S443),S443,I443)</f>
        <v>0</v>
      </c>
      <c r="AH443" s="34">
        <f t="shared" si="18"/>
        <v>13154.999999999995</v>
      </c>
      <c r="AI443">
        <f t="shared" si="17"/>
        <v>8215.0671622014925</v>
      </c>
      <c r="AJ443" t="b" cm="1">
        <f t="array" ref="AJ443">OR(D443=$AT$2:$AT$8)</f>
        <v>0</v>
      </c>
    </row>
    <row r="444" spans="1:36" x14ac:dyDescent="0.25">
      <c r="A444" s="2" t="s">
        <v>1826</v>
      </c>
      <c r="B444" s="3">
        <v>1.8</v>
      </c>
      <c r="C444" s="2" t="s">
        <v>68</v>
      </c>
      <c r="D444" s="2" t="s">
        <v>69</v>
      </c>
      <c r="E444" s="2" t="s">
        <v>70</v>
      </c>
      <c r="F444" s="4" t="s">
        <v>60</v>
      </c>
      <c r="G444" s="4" t="s">
        <v>61</v>
      </c>
      <c r="H444" s="5"/>
      <c r="I444" s="5"/>
      <c r="J444" s="5"/>
      <c r="K444" s="4" t="s">
        <v>62</v>
      </c>
      <c r="L444" s="4" t="s">
        <v>63</v>
      </c>
      <c r="M444" s="6" t="str">
        <f>IF(OR(B444="",I444=""),"",B444*I444)</f>
        <v/>
      </c>
      <c r="N444" s="8" t="s">
        <v>64</v>
      </c>
      <c r="O444" s="9"/>
      <c r="P444" s="9"/>
      <c r="Q444" s="22"/>
      <c r="R444" s="22"/>
      <c r="S444" s="23" t="str">
        <f>IF(AND(ISNUMBER(Q444),Q444&gt;0,ISNUMBER(R444),R444&gt;0),R444/Q444,"")</f>
        <v/>
      </c>
      <c r="T444" s="9"/>
      <c r="U444" s="9"/>
      <c r="V444" s="9"/>
      <c r="W444" s="9"/>
      <c r="X444" s="23" t="str">
        <f>IF(ISNUMBER(S444),S444,IF(ISNUMBER(I444),I444,""))</f>
        <v/>
      </c>
      <c r="Y444" t="str">
        <f>IF(ISNUMBER(S444),"2025 EIA-923 plant/group proxy",IF(ISNUMBER(I444),"Technology estimate","No thermal heat rate"))</f>
        <v>No thermal heat rate</v>
      </c>
      <c r="Z444" t="str">
        <f>IF(ISNUMBER(S444),"Review: NOT unit verified",IF(AE444="No match","No EIA match",IF(AF444="Unconfirmed","Unconfirmed EIA candidate","")))</f>
        <v/>
      </c>
      <c r="AE444" t="s">
        <v>65</v>
      </c>
      <c r="AF444" t="s">
        <v>66</v>
      </c>
      <c r="AG444" s="24">
        <f>IF(ISBLANK(S444),S444,I444)</f>
        <v>0</v>
      </c>
      <c r="AH444" s="34">
        <f t="shared" si="18"/>
        <v>13156.799999999994</v>
      </c>
      <c r="AI444">
        <f t="shared" si="17"/>
        <v>8216.1912306843478</v>
      </c>
      <c r="AJ444" t="b" cm="1">
        <f t="array" ref="AJ444">OR(D444=$AT$2:$AT$8)</f>
        <v>0</v>
      </c>
    </row>
    <row r="445" spans="1:36" x14ac:dyDescent="0.25">
      <c r="A445" s="2" t="s">
        <v>1828</v>
      </c>
      <c r="B445" s="3">
        <v>44.6</v>
      </c>
      <c r="C445" s="2" t="s">
        <v>99</v>
      </c>
      <c r="D445" s="2" t="s">
        <v>81</v>
      </c>
      <c r="E445" s="2" t="s">
        <v>70</v>
      </c>
      <c r="F445" s="4" t="s">
        <v>60</v>
      </c>
      <c r="G445" s="4" t="s">
        <v>61</v>
      </c>
      <c r="H445" s="5"/>
      <c r="I445" s="5"/>
      <c r="J445" s="5"/>
      <c r="K445" s="4" t="s">
        <v>62</v>
      </c>
      <c r="L445" s="4" t="s">
        <v>63</v>
      </c>
      <c r="M445" s="6" t="str">
        <f>IF(OR(B445="",I445=""),"",B445*I445)</f>
        <v/>
      </c>
      <c r="N445" s="8" t="s">
        <v>64</v>
      </c>
      <c r="O445" s="9"/>
      <c r="P445" s="9"/>
      <c r="Q445" s="22"/>
      <c r="R445" s="22"/>
      <c r="S445" s="23" t="str">
        <f>IF(AND(ISNUMBER(Q445),Q445&gt;0,ISNUMBER(R445),R445&gt;0),R445/Q445,"")</f>
        <v/>
      </c>
      <c r="T445" s="9"/>
      <c r="U445" s="9"/>
      <c r="V445" s="9"/>
      <c r="W445" s="9"/>
      <c r="X445" s="23" t="str">
        <f>IF(ISNUMBER(S445),S445,IF(ISNUMBER(I445),I445,""))</f>
        <v/>
      </c>
      <c r="Y445" t="str">
        <f>IF(ISNUMBER(S445),"2025 EIA-923 plant/group proxy",IF(ISNUMBER(I445),"Technology estimate","No thermal heat rate"))</f>
        <v>No thermal heat rate</v>
      </c>
      <c r="Z445" t="str">
        <f>IF(ISNUMBER(S445),"Review: NOT unit verified",IF(AE445="No match","No EIA match",IF(AF445="Unconfirmed","Unconfirmed EIA candidate","")))</f>
        <v/>
      </c>
      <c r="AE445" t="s">
        <v>65</v>
      </c>
      <c r="AF445" t="s">
        <v>66</v>
      </c>
      <c r="AG445" s="24">
        <f>IF(ISBLANK(S445),S445,I445)</f>
        <v>0</v>
      </c>
      <c r="AH445" s="34">
        <f t="shared" si="18"/>
        <v>13201.399999999994</v>
      </c>
      <c r="AI445">
        <f t="shared" si="17"/>
        <v>8244.0431497595418</v>
      </c>
      <c r="AJ445" t="b" cm="1">
        <f t="array" ref="AJ445">OR(D445=$AT$2:$AT$8)</f>
        <v>0</v>
      </c>
    </row>
    <row r="446" spans="1:36" x14ac:dyDescent="0.25">
      <c r="A446" s="2" t="s">
        <v>1842</v>
      </c>
      <c r="B446" s="3">
        <v>178.7</v>
      </c>
      <c r="C446" s="2" t="s">
        <v>99</v>
      </c>
      <c r="D446" s="2" t="s">
        <v>81</v>
      </c>
      <c r="E446" s="2" t="s">
        <v>70</v>
      </c>
      <c r="F446" s="4" t="s">
        <v>60</v>
      </c>
      <c r="G446" s="4" t="s">
        <v>61</v>
      </c>
      <c r="H446" s="5"/>
      <c r="I446" s="5"/>
      <c r="J446" s="5"/>
      <c r="K446" s="4" t="s">
        <v>62</v>
      </c>
      <c r="L446" s="4" t="s">
        <v>63</v>
      </c>
      <c r="M446" s="6" t="str">
        <f>IF(OR(B446="",I446=""),"",B446*I446)</f>
        <v/>
      </c>
      <c r="N446" s="8" t="s">
        <v>64</v>
      </c>
      <c r="O446" s="9"/>
      <c r="P446" s="9"/>
      <c r="Q446" s="22"/>
      <c r="R446" s="22"/>
      <c r="S446" s="23" t="str">
        <f>IF(AND(ISNUMBER(Q446),Q446&gt;0,ISNUMBER(R446),R446&gt;0),R446/Q446,"")</f>
        <v/>
      </c>
      <c r="T446" s="9"/>
      <c r="U446" s="9"/>
      <c r="V446" s="9"/>
      <c r="W446" s="9"/>
      <c r="X446" s="23" t="str">
        <f>IF(ISNUMBER(S446),S446,IF(ISNUMBER(I446),I446,""))</f>
        <v/>
      </c>
      <c r="Y446" t="str">
        <f>IF(ISNUMBER(S446),"2025 EIA-923 plant/group proxy",IF(ISNUMBER(I446),"Technology estimate","No thermal heat rate"))</f>
        <v>No thermal heat rate</v>
      </c>
      <c r="Z446" t="str">
        <f>IF(ISNUMBER(S446),"Review: NOT unit verified",IF(AE446="No match","No EIA match",IF(AF446="Unconfirmed","Unconfirmed EIA candidate","")))</f>
        <v/>
      </c>
      <c r="AE446" t="s">
        <v>65</v>
      </c>
      <c r="AF446" t="s">
        <v>66</v>
      </c>
      <c r="AG446" s="24">
        <f>IF(ISBLANK(S446),S446,I446)</f>
        <v>0</v>
      </c>
      <c r="AH446" s="34">
        <f t="shared" si="18"/>
        <v>13380.099999999995</v>
      </c>
      <c r="AI446">
        <f t="shared" si="17"/>
        <v>8355.6381708074641</v>
      </c>
      <c r="AJ446" t="b" cm="1">
        <f t="array" ref="AJ446">OR(D446=$AT$2:$AT$8)</f>
        <v>0</v>
      </c>
    </row>
    <row r="447" spans="1:36" x14ac:dyDescent="0.25">
      <c r="A447" s="2" t="s">
        <v>221</v>
      </c>
      <c r="B447" s="3">
        <v>898.5</v>
      </c>
      <c r="C447" s="2" t="s">
        <v>209</v>
      </c>
      <c r="D447" s="2" t="s">
        <v>81</v>
      </c>
      <c r="E447" s="2" t="s">
        <v>222</v>
      </c>
      <c r="F447" s="4" t="s">
        <v>223</v>
      </c>
      <c r="G447" s="4" t="s">
        <v>224</v>
      </c>
      <c r="H447" s="5">
        <v>0</v>
      </c>
      <c r="I447" s="5">
        <v>0</v>
      </c>
      <c r="J447" s="5">
        <v>0</v>
      </c>
      <c r="K447" s="4" t="s">
        <v>111</v>
      </c>
      <c r="L447" s="4" t="s">
        <v>225</v>
      </c>
      <c r="M447" s="6">
        <f>IF(OR(B447="",I447=""),"",B447*I447)</f>
        <v>0</v>
      </c>
      <c r="N447" s="10" t="s">
        <v>10</v>
      </c>
      <c r="O447" s="9"/>
      <c r="P447" s="9"/>
      <c r="Q447" s="22"/>
      <c r="R447" s="22"/>
      <c r="S447" s="23" t="str">
        <f>IF(AND(ISNUMBER(Q447),Q447&gt;0,ISNUMBER(R447),R447&gt;0),R447/Q447,"")</f>
        <v/>
      </c>
      <c r="T447" s="9"/>
      <c r="U447" s="9"/>
      <c r="V447" s="9"/>
      <c r="W447" s="9"/>
      <c r="X447" s="23">
        <f>IF(ISNUMBER(S447),S447,IF(ISNUMBER(I447),I447,""))</f>
        <v>0</v>
      </c>
      <c r="Y447" t="str">
        <f>IF(ISNUMBER(S447),"2025 EIA-923 plant/group proxy",IF(ISNUMBER(I447),"Technology estimate","No thermal heat rate"))</f>
        <v>Technology estimate</v>
      </c>
      <c r="Z447" t="str">
        <f>IF(ISNUMBER(S447),"Review: NOT unit verified",IF(AE447="No match","No EIA match",IF(AF447="Unconfirmed","Unconfirmed EIA candidate","")))</f>
        <v>No EIA match</v>
      </c>
      <c r="AE447" t="s">
        <v>107</v>
      </c>
      <c r="AG447" s="24">
        <f>IF(ISBLANK(S447),S447,I447)</f>
        <v>0</v>
      </c>
      <c r="AH447" s="34">
        <f t="shared" si="18"/>
        <v>14278.599999999995</v>
      </c>
      <c r="AI447">
        <f t="shared" si="17"/>
        <v>8916.7356884994479</v>
      </c>
      <c r="AJ447" t="b" cm="1">
        <f t="array" ref="AJ447">OR(D447=$AT$2:$AT$8)</f>
        <v>0</v>
      </c>
    </row>
    <row r="448" spans="1:36" x14ac:dyDescent="0.25">
      <c r="A448" s="2" t="s">
        <v>226</v>
      </c>
      <c r="B448" s="3">
        <v>892</v>
      </c>
      <c r="C448" s="2" t="s">
        <v>209</v>
      </c>
      <c r="D448" s="2" t="s">
        <v>81</v>
      </c>
      <c r="E448" s="2" t="s">
        <v>222</v>
      </c>
      <c r="F448" s="4" t="s">
        <v>223</v>
      </c>
      <c r="G448" s="4" t="s">
        <v>224</v>
      </c>
      <c r="H448" s="5">
        <v>0</v>
      </c>
      <c r="I448" s="5">
        <v>0</v>
      </c>
      <c r="J448" s="5">
        <v>0</v>
      </c>
      <c r="K448" s="4" t="s">
        <v>111</v>
      </c>
      <c r="L448" s="4" t="s">
        <v>225</v>
      </c>
      <c r="M448" s="6">
        <f>IF(OR(B448="",I448=""),"",B448*I448)</f>
        <v>0</v>
      </c>
      <c r="N448" s="10" t="s">
        <v>10</v>
      </c>
      <c r="O448" s="9"/>
      <c r="P448" s="9"/>
      <c r="Q448" s="22"/>
      <c r="R448" s="22"/>
      <c r="S448" s="23" t="str">
        <f>IF(AND(ISNUMBER(Q448),Q448&gt;0,ISNUMBER(R448),R448&gt;0),R448/Q448,"")</f>
        <v/>
      </c>
      <c r="T448" s="9"/>
      <c r="U448" s="9"/>
      <c r="V448" s="9"/>
      <c r="W448" s="9"/>
      <c r="X448" s="23">
        <f>IF(ISNUMBER(S448),S448,IF(ISNUMBER(I448),I448,""))</f>
        <v>0</v>
      </c>
      <c r="Y448" t="str">
        <f>IF(ISNUMBER(S448),"2025 EIA-923 plant/group proxy",IF(ISNUMBER(I448),"Technology estimate","No thermal heat rate"))</f>
        <v>Technology estimate</v>
      </c>
      <c r="Z448" t="str">
        <f>IF(ISNUMBER(S448),"Review: NOT unit verified",IF(AE448="No match","No EIA match",IF(AF448="Unconfirmed","Unconfirmed EIA candidate","")))</f>
        <v>No EIA match</v>
      </c>
      <c r="AE448" t="s">
        <v>107</v>
      </c>
      <c r="AG448" s="24">
        <f>IF(ISBLANK(S448),S448,I448)</f>
        <v>0</v>
      </c>
      <c r="AH448" s="34">
        <f t="shared" si="18"/>
        <v>15170.599999999995</v>
      </c>
      <c r="AI448">
        <f t="shared" si="17"/>
        <v>9473.7740700033428</v>
      </c>
      <c r="AJ448" t="b" cm="1">
        <f t="array" ref="AJ448">OR(D448=$AT$2:$AT$8)</f>
        <v>0</v>
      </c>
    </row>
    <row r="449" spans="1:36" x14ac:dyDescent="0.25">
      <c r="A449" s="2" t="s">
        <v>302</v>
      </c>
      <c r="B449" s="3">
        <v>1183</v>
      </c>
      <c r="C449" s="2" t="s">
        <v>97</v>
      </c>
      <c r="D449" s="2" t="s">
        <v>97</v>
      </c>
      <c r="E449" s="2" t="s">
        <v>222</v>
      </c>
      <c r="F449" s="4" t="s">
        <v>223</v>
      </c>
      <c r="G449" s="4" t="s">
        <v>224</v>
      </c>
      <c r="H449" s="5">
        <v>0</v>
      </c>
      <c r="I449" s="5">
        <v>0</v>
      </c>
      <c r="J449" s="5">
        <v>0</v>
      </c>
      <c r="K449" s="4" t="s">
        <v>111</v>
      </c>
      <c r="L449" s="4" t="s">
        <v>225</v>
      </c>
      <c r="M449" s="6">
        <f>IF(OR(B449="",I449=""),"",B449*I449)</f>
        <v>0</v>
      </c>
      <c r="N449" s="10" t="s">
        <v>10</v>
      </c>
      <c r="O449" s="9"/>
      <c r="P449" s="9"/>
      <c r="Q449" s="22"/>
      <c r="R449" s="22"/>
      <c r="S449" s="23" t="str">
        <f>IF(AND(ISNUMBER(Q449),Q449&gt;0,ISNUMBER(R449),R449&gt;0),R449/Q449,"")</f>
        <v/>
      </c>
      <c r="T449" s="9"/>
      <c r="U449" s="9"/>
      <c r="V449" s="9"/>
      <c r="W449" s="9"/>
      <c r="X449" s="23">
        <f>IF(ISNUMBER(S449),S449,IF(ISNUMBER(I449),I449,""))</f>
        <v>0</v>
      </c>
      <c r="Y449" t="str">
        <f>IF(ISNUMBER(S449),"2025 EIA-923 plant/group proxy",IF(ISNUMBER(I449),"Technology estimate","No thermal heat rate"))</f>
        <v>Technology estimate</v>
      </c>
      <c r="Z449" t="str">
        <f>IF(ISNUMBER(S449),"Review: NOT unit verified",IF(AE449="No match","No EIA match",IF(AF449="Unconfirmed","Unconfirmed EIA candidate","")))</f>
        <v>No EIA match</v>
      </c>
      <c r="AE449" t="s">
        <v>107</v>
      </c>
      <c r="AG449" s="24">
        <f>IF(ISBLANK(S449),S449,I449)</f>
        <v>0</v>
      </c>
      <c r="AH449" s="34">
        <f t="shared" si="18"/>
        <v>16353.599999999995</v>
      </c>
      <c r="AI449">
        <f t="shared" si="17"/>
        <v>10212.536856235525</v>
      </c>
      <c r="AJ449" t="b" cm="1">
        <f t="array" ref="AJ449">OR(D449=$AT$2:$AT$8)</f>
        <v>0</v>
      </c>
    </row>
    <row r="450" spans="1:36" x14ac:dyDescent="0.25">
      <c r="A450" s="2" t="s">
        <v>303</v>
      </c>
      <c r="B450" s="3">
        <v>1149.3</v>
      </c>
      <c r="C450" s="2" t="s">
        <v>97</v>
      </c>
      <c r="D450" s="2" t="s">
        <v>97</v>
      </c>
      <c r="E450" s="2" t="s">
        <v>222</v>
      </c>
      <c r="F450" s="4" t="s">
        <v>223</v>
      </c>
      <c r="G450" s="4" t="s">
        <v>224</v>
      </c>
      <c r="H450" s="5">
        <v>0</v>
      </c>
      <c r="I450" s="5">
        <v>0</v>
      </c>
      <c r="J450" s="5">
        <v>0</v>
      </c>
      <c r="K450" s="4" t="s">
        <v>111</v>
      </c>
      <c r="L450" s="4" t="s">
        <v>225</v>
      </c>
      <c r="M450" s="6">
        <f>IF(OR(B450="",I450=""),"",B450*I450)</f>
        <v>0</v>
      </c>
      <c r="N450" s="10" t="s">
        <v>10</v>
      </c>
      <c r="O450" s="9"/>
      <c r="P450" s="9"/>
      <c r="Q450" s="22"/>
      <c r="R450" s="22"/>
      <c r="S450" s="23" t="str">
        <f>IF(AND(ISNUMBER(Q450),Q450&gt;0,ISNUMBER(R450),R450&gt;0),R450/Q450,"")</f>
        <v/>
      </c>
      <c r="T450" s="9"/>
      <c r="U450" s="9"/>
      <c r="V450" s="9"/>
      <c r="W450" s="9"/>
      <c r="X450" s="23">
        <f>IF(ISNUMBER(S450),S450,IF(ISNUMBER(I450),I450,""))</f>
        <v>0</v>
      </c>
      <c r="Y450" t="str">
        <f>IF(ISNUMBER(S450),"2025 EIA-923 plant/group proxy",IF(ISNUMBER(I450),"Technology estimate","No thermal heat rate"))</f>
        <v>Technology estimate</v>
      </c>
      <c r="Z450" t="str">
        <f>IF(ISNUMBER(S450),"Review: NOT unit verified",IF(AE450="No match","No EIA match",IF(AF450="Unconfirmed","Unconfirmed EIA candidate","")))</f>
        <v>No EIA match</v>
      </c>
      <c r="AE450" t="s">
        <v>107</v>
      </c>
      <c r="AG450" s="24">
        <f>IF(ISBLANK(S450),S450,I450)</f>
        <v>0</v>
      </c>
      <c r="AH450" s="34">
        <f t="shared" si="18"/>
        <v>17502.899999999994</v>
      </c>
      <c r="AI450">
        <f t="shared" si="17"/>
        <v>10930.254582538693</v>
      </c>
      <c r="AJ450" t="b" cm="1">
        <f t="array" ref="AJ450">OR(D450=$AT$2:$AT$8)</f>
        <v>0</v>
      </c>
    </row>
    <row r="451" spans="1:36" x14ac:dyDescent="0.25">
      <c r="A451" s="2" t="s">
        <v>357</v>
      </c>
      <c r="B451" s="3">
        <v>1164</v>
      </c>
      <c r="C451" s="2" t="s">
        <v>97</v>
      </c>
      <c r="D451" s="2" t="s">
        <v>97</v>
      </c>
      <c r="E451" s="2" t="s">
        <v>222</v>
      </c>
      <c r="F451" s="4" t="s">
        <v>223</v>
      </c>
      <c r="G451" s="4" t="s">
        <v>224</v>
      </c>
      <c r="H451" s="5">
        <v>0</v>
      </c>
      <c r="I451" s="5">
        <v>0</v>
      </c>
      <c r="J451" s="5">
        <v>0</v>
      </c>
      <c r="K451" s="4" t="s">
        <v>111</v>
      </c>
      <c r="L451" s="4" t="s">
        <v>225</v>
      </c>
      <c r="M451" s="6">
        <f>IF(OR(B451="",I451=""),"",B451*I451)</f>
        <v>0</v>
      </c>
      <c r="N451" s="10" t="s">
        <v>10</v>
      </c>
      <c r="O451" s="9"/>
      <c r="P451" s="9"/>
      <c r="Q451" s="22"/>
      <c r="R451" s="22"/>
      <c r="S451" s="23" t="str">
        <f>IF(AND(ISNUMBER(Q451),Q451&gt;0,ISNUMBER(R451),R451&gt;0),R451/Q451,"")</f>
        <v/>
      </c>
      <c r="T451" s="9"/>
      <c r="U451" s="9"/>
      <c r="V451" s="9"/>
      <c r="W451" s="9"/>
      <c r="X451" s="23">
        <f>IF(ISNUMBER(S451),S451,IF(ISNUMBER(I451),I451,""))</f>
        <v>0</v>
      </c>
      <c r="Y451" t="str">
        <f>IF(ISNUMBER(S451),"2025 EIA-923 plant/group proxy",IF(ISNUMBER(I451),"Technology estimate","No thermal heat rate"))</f>
        <v>Technology estimate</v>
      </c>
      <c r="Z451" t="str">
        <f>IF(ISNUMBER(S451),"Review: NOT unit verified",IF(AE451="No match","No EIA match",IF(AF451="Unconfirmed","Unconfirmed EIA candidate","")))</f>
        <v>No EIA match</v>
      </c>
      <c r="AE451" t="s">
        <v>107</v>
      </c>
      <c r="AG451" s="24">
        <f>IF(ISBLANK(S451),S451,I451)</f>
        <v>0</v>
      </c>
      <c r="AH451" s="34">
        <f t="shared" si="18"/>
        <v>18666.899999999994</v>
      </c>
      <c r="AI451">
        <f t="shared" ref="AI451:AI514" si="19">AH451*$AK$1</f>
        <v>11657.152201451847</v>
      </c>
      <c r="AJ451" t="b" cm="1">
        <f t="array" ref="AJ451">OR(D451=$AT$2:$AT$8)</f>
        <v>0</v>
      </c>
    </row>
    <row r="452" spans="1:36" x14ac:dyDescent="0.25">
      <c r="A452" s="2" t="s">
        <v>358</v>
      </c>
      <c r="B452" s="3">
        <v>1136</v>
      </c>
      <c r="C452" s="2" t="s">
        <v>97</v>
      </c>
      <c r="D452" s="2" t="s">
        <v>97</v>
      </c>
      <c r="E452" s="2" t="s">
        <v>222</v>
      </c>
      <c r="F452" s="4" t="s">
        <v>223</v>
      </c>
      <c r="G452" s="4" t="s">
        <v>224</v>
      </c>
      <c r="H452" s="5">
        <v>0</v>
      </c>
      <c r="I452" s="5">
        <v>0</v>
      </c>
      <c r="J452" s="5">
        <v>0</v>
      </c>
      <c r="K452" s="4" t="s">
        <v>111</v>
      </c>
      <c r="L452" s="4" t="s">
        <v>225</v>
      </c>
      <c r="M452" s="6">
        <f>IF(OR(B452="",I452=""),"",B452*I452)</f>
        <v>0</v>
      </c>
      <c r="N452" s="10" t="s">
        <v>10</v>
      </c>
      <c r="O452" s="9"/>
      <c r="P452" s="9"/>
      <c r="Q452" s="22"/>
      <c r="R452" s="22"/>
      <c r="S452" s="23" t="str">
        <f>IF(AND(ISNUMBER(Q452),Q452&gt;0,ISNUMBER(R452),R452&gt;0),R452/Q452,"")</f>
        <v/>
      </c>
      <c r="T452" s="9"/>
      <c r="U452" s="9"/>
      <c r="V452" s="9"/>
      <c r="W452" s="9"/>
      <c r="X452" s="23">
        <f>IF(ISNUMBER(S452),S452,IF(ISNUMBER(I452),I452,""))</f>
        <v>0</v>
      </c>
      <c r="Y452" t="str">
        <f>IF(ISNUMBER(S452),"2025 EIA-923 plant/group proxy",IF(ISNUMBER(I452),"Technology estimate","No thermal heat rate"))</f>
        <v>Technology estimate</v>
      </c>
      <c r="Z452" t="str">
        <f>IF(ISNUMBER(S452),"Review: NOT unit verified",IF(AE452="No match","No EIA match",IF(AF452="Unconfirmed","Unconfirmed EIA candidate","")))</f>
        <v>No EIA match</v>
      </c>
      <c r="AE452" t="s">
        <v>107</v>
      </c>
      <c r="AG452" s="24">
        <f>IF(ISBLANK(S452),S452,I452)</f>
        <v>0</v>
      </c>
      <c r="AH452" s="34">
        <f t="shared" ref="AH452:AH515" si="20">AH451+B452</f>
        <v>19802.899999999994</v>
      </c>
      <c r="AI452">
        <f t="shared" si="19"/>
        <v>12366.564310631695</v>
      </c>
      <c r="AJ452" t="b" cm="1">
        <f t="array" ref="AJ452">OR(D452=$AT$2:$AT$8)</f>
        <v>0</v>
      </c>
    </row>
    <row r="453" spans="1:36" x14ac:dyDescent="0.25">
      <c r="A453" s="2" t="s">
        <v>360</v>
      </c>
      <c r="B453" s="3">
        <v>884.2</v>
      </c>
      <c r="C453" s="2" t="s">
        <v>305</v>
      </c>
      <c r="D453" s="2" t="s">
        <v>361</v>
      </c>
      <c r="E453" s="2" t="s">
        <v>222</v>
      </c>
      <c r="F453" s="4" t="s">
        <v>223</v>
      </c>
      <c r="G453" s="4" t="s">
        <v>224</v>
      </c>
      <c r="H453" s="5">
        <v>0</v>
      </c>
      <c r="I453" s="5">
        <v>0</v>
      </c>
      <c r="J453" s="5">
        <v>0</v>
      </c>
      <c r="K453" s="4" t="s">
        <v>111</v>
      </c>
      <c r="L453" s="4" t="s">
        <v>225</v>
      </c>
      <c r="M453" s="6">
        <f>IF(OR(B453="",I453=""),"",B453*I453)</f>
        <v>0</v>
      </c>
      <c r="N453" s="10" t="s">
        <v>10</v>
      </c>
      <c r="O453" s="9"/>
      <c r="P453" s="9"/>
      <c r="Q453" s="22"/>
      <c r="R453" s="22"/>
      <c r="S453" s="23" t="str">
        <f>IF(AND(ISNUMBER(Q453),Q453&gt;0,ISNUMBER(R453),R453&gt;0),R453/Q453,"")</f>
        <v/>
      </c>
      <c r="T453" s="9"/>
      <c r="U453" s="9"/>
      <c r="V453" s="9"/>
      <c r="W453" s="9"/>
      <c r="X453" s="23">
        <f>IF(ISNUMBER(S453),S453,IF(ISNUMBER(I453),I453,""))</f>
        <v>0</v>
      </c>
      <c r="Y453" t="str">
        <f>IF(ISNUMBER(S453),"2025 EIA-923 plant/group proxy",IF(ISNUMBER(I453),"Technology estimate","No thermal heat rate"))</f>
        <v>Technology estimate</v>
      </c>
      <c r="Z453" t="str">
        <f>IF(ISNUMBER(S453),"Review: NOT unit verified",IF(AE453="No match","No EIA match",IF(AF453="Unconfirmed","Unconfirmed EIA candidate","")))</f>
        <v>No EIA match</v>
      </c>
      <c r="AE453" t="s">
        <v>107</v>
      </c>
      <c r="AG453" s="24">
        <f>IF(ISBLANK(S453),S453,I453)</f>
        <v>0</v>
      </c>
      <c r="AH453" s="34">
        <f t="shared" si="20"/>
        <v>20687.099999999995</v>
      </c>
      <c r="AI453">
        <f t="shared" si="19"/>
        <v>12918.731728709883</v>
      </c>
      <c r="AJ453" t="b" cm="1">
        <f t="array" ref="AJ453">OR(D453=$AT$2:$AT$8)</f>
        <v>0</v>
      </c>
    </row>
    <row r="454" spans="1:36" x14ac:dyDescent="0.25">
      <c r="A454" s="2" t="s">
        <v>362</v>
      </c>
      <c r="B454" s="3">
        <v>861</v>
      </c>
      <c r="C454" s="2" t="s">
        <v>305</v>
      </c>
      <c r="D454" s="2" t="s">
        <v>361</v>
      </c>
      <c r="E454" s="2" t="s">
        <v>222</v>
      </c>
      <c r="F454" s="4" t="s">
        <v>223</v>
      </c>
      <c r="G454" s="4" t="s">
        <v>224</v>
      </c>
      <c r="H454" s="5">
        <v>0</v>
      </c>
      <c r="I454" s="5">
        <v>0</v>
      </c>
      <c r="J454" s="5">
        <v>0</v>
      </c>
      <c r="K454" s="4" t="s">
        <v>111</v>
      </c>
      <c r="L454" s="4" t="s">
        <v>225</v>
      </c>
      <c r="M454" s="6">
        <f>IF(OR(B454="",I454=""),"",B454*I454)</f>
        <v>0</v>
      </c>
      <c r="N454" s="10" t="s">
        <v>10</v>
      </c>
      <c r="O454" s="9"/>
      <c r="P454" s="9"/>
      <c r="Q454" s="22"/>
      <c r="R454" s="22"/>
      <c r="S454" s="23" t="str">
        <f>IF(AND(ISNUMBER(Q454),Q454&gt;0,ISNUMBER(R454),R454&gt;0),R454/Q454,"")</f>
        <v/>
      </c>
      <c r="T454" s="9"/>
      <c r="U454" s="9"/>
      <c r="V454" s="9"/>
      <c r="W454" s="9"/>
      <c r="X454" s="23">
        <f>IF(ISNUMBER(S454),S454,IF(ISNUMBER(I454),I454,""))</f>
        <v>0</v>
      </c>
      <c r="Y454" t="str">
        <f>IF(ISNUMBER(S454),"2025 EIA-923 plant/group proxy",IF(ISNUMBER(I454),"Technology estimate","No thermal heat rate"))</f>
        <v>Technology estimate</v>
      </c>
      <c r="Z454" t="str">
        <f>IF(ISNUMBER(S454),"Review: NOT unit verified",IF(AE454="No match","No EIA match",IF(AF454="Unconfirmed","Unconfirmed EIA candidate","")))</f>
        <v>No EIA match</v>
      </c>
      <c r="AE454" t="s">
        <v>107</v>
      </c>
      <c r="AG454" s="24">
        <f>IF(ISBLANK(S454),S454,I454)</f>
        <v>0</v>
      </c>
      <c r="AH454" s="34">
        <f t="shared" si="20"/>
        <v>21548.099999999995</v>
      </c>
      <c r="AI454">
        <f t="shared" si="19"/>
        <v>13456.411153009047</v>
      </c>
      <c r="AJ454" t="b" cm="1">
        <f t="array" ref="AJ454">OR(D454=$AT$2:$AT$8)</f>
        <v>0</v>
      </c>
    </row>
    <row r="455" spans="1:36" x14ac:dyDescent="0.25">
      <c r="A455" s="2" t="s">
        <v>508</v>
      </c>
      <c r="B455" s="3">
        <v>1014</v>
      </c>
      <c r="C455" s="2" t="s">
        <v>99</v>
      </c>
      <c r="D455" s="2" t="s">
        <v>81</v>
      </c>
      <c r="E455" s="2" t="s">
        <v>222</v>
      </c>
      <c r="F455" s="4" t="s">
        <v>223</v>
      </c>
      <c r="G455" s="4" t="s">
        <v>224</v>
      </c>
      <c r="H455" s="5">
        <v>0</v>
      </c>
      <c r="I455" s="5">
        <v>0</v>
      </c>
      <c r="J455" s="5">
        <v>0</v>
      </c>
      <c r="K455" s="4" t="s">
        <v>111</v>
      </c>
      <c r="L455" s="4" t="s">
        <v>225</v>
      </c>
      <c r="M455" s="6">
        <f>IF(OR(B455="",I455=""),"",B455*I455)</f>
        <v>0</v>
      </c>
      <c r="N455" s="10" t="s">
        <v>10</v>
      </c>
      <c r="O455" s="9"/>
      <c r="P455" s="9"/>
      <c r="Q455" s="22"/>
      <c r="R455" s="22"/>
      <c r="S455" s="23" t="str">
        <f>IF(AND(ISNUMBER(Q455),Q455&gt;0,ISNUMBER(R455),R455&gt;0),R455/Q455,"")</f>
        <v/>
      </c>
      <c r="T455" s="9"/>
      <c r="U455" s="9"/>
      <c r="V455" s="9"/>
      <c r="W455" s="9"/>
      <c r="X455" s="23">
        <f>IF(ISNUMBER(S455),S455,IF(ISNUMBER(I455),I455,""))</f>
        <v>0</v>
      </c>
      <c r="Y455" t="str">
        <f>IF(ISNUMBER(S455),"2025 EIA-923 plant/group proxy",IF(ISNUMBER(I455),"Technology estimate","No thermal heat rate"))</f>
        <v>Technology estimate</v>
      </c>
      <c r="Z455" t="str">
        <f>IF(ISNUMBER(S455),"Review: NOT unit verified",IF(AE455="No match","No EIA match",IF(AF455="Unconfirmed","Unconfirmed EIA candidate","")))</f>
        <v>No EIA match</v>
      </c>
      <c r="AE455" t="s">
        <v>107</v>
      </c>
      <c r="AG455" s="24">
        <f>IF(ISBLANK(S455),S455,I455)</f>
        <v>0</v>
      </c>
      <c r="AH455" s="34">
        <f t="shared" si="20"/>
        <v>22562.099999999995</v>
      </c>
      <c r="AI455">
        <f t="shared" si="19"/>
        <v>14089.636398350918</v>
      </c>
      <c r="AJ455" t="b" cm="1">
        <f t="array" ref="AJ455">OR(D455=$AT$2:$AT$8)</f>
        <v>0</v>
      </c>
    </row>
    <row r="456" spans="1:36" x14ac:dyDescent="0.25">
      <c r="A456" s="2" t="s">
        <v>509</v>
      </c>
      <c r="B456" s="3">
        <v>1167</v>
      </c>
      <c r="C456" s="2" t="s">
        <v>99</v>
      </c>
      <c r="D456" s="2" t="s">
        <v>81</v>
      </c>
      <c r="E456" s="2" t="s">
        <v>222</v>
      </c>
      <c r="F456" s="4" t="s">
        <v>223</v>
      </c>
      <c r="G456" s="4" t="s">
        <v>224</v>
      </c>
      <c r="H456" s="5">
        <v>0</v>
      </c>
      <c r="I456" s="5">
        <v>0</v>
      </c>
      <c r="J456" s="5">
        <v>0</v>
      </c>
      <c r="K456" s="4" t="s">
        <v>111</v>
      </c>
      <c r="L456" s="4" t="s">
        <v>225</v>
      </c>
      <c r="M456" s="6">
        <f>IF(OR(B456="",I456=""),"",B456*I456)</f>
        <v>0</v>
      </c>
      <c r="N456" s="10" t="s">
        <v>10</v>
      </c>
      <c r="O456" s="9"/>
      <c r="P456" s="9"/>
      <c r="Q456" s="22"/>
      <c r="R456" s="22"/>
      <c r="S456" s="23" t="str">
        <f>IF(AND(ISNUMBER(Q456),Q456&gt;0,ISNUMBER(R456),R456&gt;0),R456/Q456,"")</f>
        <v/>
      </c>
      <c r="T456" s="9"/>
      <c r="U456" s="9"/>
      <c r="V456" s="9"/>
      <c r="W456" s="9"/>
      <c r="X456" s="23">
        <f>IF(ISNUMBER(S456),S456,IF(ISNUMBER(I456),I456,""))</f>
        <v>0</v>
      </c>
      <c r="Y456" t="str">
        <f>IF(ISNUMBER(S456),"2025 EIA-923 plant/group proxy",IF(ISNUMBER(I456),"Technology estimate","No thermal heat rate"))</f>
        <v>Technology estimate</v>
      </c>
      <c r="Z456" t="str">
        <f>IF(ISNUMBER(S456),"Review: NOT unit verified",IF(AE456="No match","No EIA match",IF(AF456="Unconfirmed","Unconfirmed EIA candidate","")))</f>
        <v>No EIA match</v>
      </c>
      <c r="AE456" t="s">
        <v>107</v>
      </c>
      <c r="AG456" s="24">
        <f>IF(ISBLANK(S456),S456,I456)</f>
        <v>0</v>
      </c>
      <c r="AH456" s="34">
        <f t="shared" si="20"/>
        <v>23729.099999999995</v>
      </c>
      <c r="AI456">
        <f t="shared" si="19"/>
        <v>14818.407464735497</v>
      </c>
      <c r="AJ456" t="b" cm="1">
        <f t="array" ref="AJ456">OR(D456=$AT$2:$AT$8)</f>
        <v>0</v>
      </c>
    </row>
    <row r="457" spans="1:36" x14ac:dyDescent="0.25">
      <c r="A457" s="2" t="s">
        <v>571</v>
      </c>
      <c r="B457" s="3">
        <v>896</v>
      </c>
      <c r="C457" s="2" t="s">
        <v>147</v>
      </c>
      <c r="D457" s="2" t="s">
        <v>147</v>
      </c>
      <c r="E457" s="2" t="s">
        <v>222</v>
      </c>
      <c r="F457" s="4" t="s">
        <v>223</v>
      </c>
      <c r="G457" s="4" t="s">
        <v>224</v>
      </c>
      <c r="H457" s="5">
        <v>0</v>
      </c>
      <c r="I457" s="5">
        <v>0</v>
      </c>
      <c r="J457" s="5">
        <v>0</v>
      </c>
      <c r="K457" s="4" t="s">
        <v>111</v>
      </c>
      <c r="L457" s="4" t="s">
        <v>225</v>
      </c>
      <c r="M457" s="6">
        <f>IF(OR(B457="",I457=""),"",B457*I457)</f>
        <v>0</v>
      </c>
      <c r="N457" s="10" t="s">
        <v>10</v>
      </c>
      <c r="O457" s="9"/>
      <c r="P457" s="9"/>
      <c r="Q457" s="22"/>
      <c r="R457" s="22"/>
      <c r="S457" s="23" t="str">
        <f>IF(AND(ISNUMBER(Q457),Q457&gt;0,ISNUMBER(R457),R457&gt;0),R457/Q457,"")</f>
        <v/>
      </c>
      <c r="T457" s="9"/>
      <c r="U457" s="9"/>
      <c r="V457" s="9"/>
      <c r="W457" s="9"/>
      <c r="X457" s="23">
        <f>IF(ISNUMBER(S457),S457,IF(ISNUMBER(I457),I457,""))</f>
        <v>0</v>
      </c>
      <c r="Y457" t="str">
        <f>IF(ISNUMBER(S457),"2025 EIA-923 plant/group proxy",IF(ISNUMBER(I457),"Technology estimate","No thermal heat rate"))</f>
        <v>Technology estimate</v>
      </c>
      <c r="Z457" t="str">
        <f>IF(ISNUMBER(S457),"Review: NOT unit verified",IF(AE457="No match","No EIA match",IF(AF457="Unconfirmed","Unconfirmed EIA candidate","")))</f>
        <v>No EIA match</v>
      </c>
      <c r="AE457" t="s">
        <v>107</v>
      </c>
      <c r="AG457" s="24">
        <f>IF(ISBLANK(S457),S457,I457)</f>
        <v>0</v>
      </c>
      <c r="AH457" s="34">
        <f t="shared" si="20"/>
        <v>24625.099999999995</v>
      </c>
      <c r="AI457">
        <f t="shared" si="19"/>
        <v>15377.943776201293</v>
      </c>
      <c r="AJ457" t="b" cm="1">
        <f t="array" ref="AJ457">OR(D457=$AT$2:$AT$8)</f>
        <v>0</v>
      </c>
    </row>
    <row r="458" spans="1:36" x14ac:dyDescent="0.25">
      <c r="A458" s="2" t="s">
        <v>622</v>
      </c>
      <c r="B458" s="3">
        <v>902</v>
      </c>
      <c r="C458" s="2" t="s">
        <v>97</v>
      </c>
      <c r="D458" s="2" t="s">
        <v>97</v>
      </c>
      <c r="E458" s="2" t="s">
        <v>222</v>
      </c>
      <c r="F458" s="4" t="s">
        <v>223</v>
      </c>
      <c r="G458" s="4" t="s">
        <v>224</v>
      </c>
      <c r="H458" s="5">
        <v>0</v>
      </c>
      <c r="I458" s="5">
        <v>0</v>
      </c>
      <c r="J458" s="5">
        <v>0</v>
      </c>
      <c r="K458" s="4" t="s">
        <v>111</v>
      </c>
      <c r="L458" s="4" t="s">
        <v>225</v>
      </c>
      <c r="M458" s="6">
        <f>IF(OR(B458="",I458=""),"",B458*I458)</f>
        <v>0</v>
      </c>
      <c r="N458" s="10" t="s">
        <v>10</v>
      </c>
      <c r="O458" s="9"/>
      <c r="P458" s="9"/>
      <c r="Q458" s="22"/>
      <c r="R458" s="22"/>
      <c r="S458" s="23" t="str">
        <f>IF(AND(ISNUMBER(Q458),Q458&gt;0,ISNUMBER(R458),R458&gt;0),R458/Q458,"")</f>
        <v/>
      </c>
      <c r="T458" s="9"/>
      <c r="U458" s="9"/>
      <c r="V458" s="9"/>
      <c r="W458" s="9"/>
      <c r="X458" s="23">
        <f>IF(ISNUMBER(S458),S458,IF(ISNUMBER(I458),I458,""))</f>
        <v>0</v>
      </c>
      <c r="Y458" t="str">
        <f>IF(ISNUMBER(S458),"2025 EIA-923 plant/group proxy",IF(ISNUMBER(I458),"Technology estimate","No thermal heat rate"))</f>
        <v>Technology estimate</v>
      </c>
      <c r="Z458" t="str">
        <f>IF(ISNUMBER(S458),"Review: NOT unit verified",IF(AE458="No match","No EIA match",IF(AF458="Unconfirmed","Unconfirmed EIA candidate","")))</f>
        <v>No EIA match</v>
      </c>
      <c r="AE458" t="s">
        <v>107</v>
      </c>
      <c r="AG458" s="24">
        <f>IF(ISBLANK(S458),S458,I458)</f>
        <v>0</v>
      </c>
      <c r="AH458" s="34">
        <f t="shared" si="20"/>
        <v>25527.099999999995</v>
      </c>
      <c r="AI458">
        <f t="shared" si="19"/>
        <v>15941.22698260994</v>
      </c>
      <c r="AJ458" t="b" cm="1">
        <f t="array" ref="AJ458">OR(D458=$AT$2:$AT$8)</f>
        <v>0</v>
      </c>
    </row>
    <row r="459" spans="1:36" x14ac:dyDescent="0.25">
      <c r="A459" s="2" t="s">
        <v>623</v>
      </c>
      <c r="B459" s="3">
        <v>895</v>
      </c>
      <c r="C459" s="2" t="s">
        <v>97</v>
      </c>
      <c r="D459" s="2" t="s">
        <v>97</v>
      </c>
      <c r="E459" s="2" t="s">
        <v>222</v>
      </c>
      <c r="F459" s="4" t="s">
        <v>223</v>
      </c>
      <c r="G459" s="4" t="s">
        <v>224</v>
      </c>
      <c r="H459" s="5">
        <v>0</v>
      </c>
      <c r="I459" s="5">
        <v>0</v>
      </c>
      <c r="J459" s="5">
        <v>0</v>
      </c>
      <c r="K459" s="4" t="s">
        <v>111</v>
      </c>
      <c r="L459" s="4" t="s">
        <v>225</v>
      </c>
      <c r="M459" s="6">
        <f>IF(OR(B459="",I459=""),"",B459*I459)</f>
        <v>0</v>
      </c>
      <c r="N459" s="10" t="s">
        <v>10</v>
      </c>
      <c r="O459" s="9"/>
      <c r="P459" s="9"/>
      <c r="Q459" s="22"/>
      <c r="R459" s="22"/>
      <c r="S459" s="23" t="str">
        <f>IF(AND(ISNUMBER(Q459),Q459&gt;0,ISNUMBER(R459),R459&gt;0),R459/Q459,"")</f>
        <v/>
      </c>
      <c r="T459" s="9"/>
      <c r="U459" s="9"/>
      <c r="V459" s="9"/>
      <c r="W459" s="9"/>
      <c r="X459" s="23">
        <f>IF(ISNUMBER(S459),S459,IF(ISNUMBER(I459),I459,""))</f>
        <v>0</v>
      </c>
      <c r="Y459" t="str">
        <f>IF(ISNUMBER(S459),"2025 EIA-923 plant/group proxy",IF(ISNUMBER(I459),"Technology estimate","No thermal heat rate"))</f>
        <v>Technology estimate</v>
      </c>
      <c r="Z459" t="str">
        <f>IF(ISNUMBER(S459),"Review: NOT unit verified",IF(AE459="No match","No EIA match",IF(AF459="Unconfirmed","Unconfirmed EIA candidate","")))</f>
        <v>No EIA match</v>
      </c>
      <c r="AE459" t="s">
        <v>107</v>
      </c>
      <c r="AG459" s="24">
        <f>IF(ISBLANK(S459),S459,I459)</f>
        <v>0</v>
      </c>
      <c r="AH459" s="34">
        <f t="shared" si="20"/>
        <v>26422.099999999995</v>
      </c>
      <c r="AI459">
        <f t="shared" si="19"/>
        <v>16500.138811585261</v>
      </c>
      <c r="AJ459" t="b" cm="1">
        <f t="array" ref="AJ459">OR(D459=$AT$2:$AT$8)</f>
        <v>0</v>
      </c>
    </row>
    <row r="460" spans="1:36" x14ac:dyDescent="0.25">
      <c r="A460" s="2" t="s">
        <v>941</v>
      </c>
      <c r="B460" s="3">
        <v>1178.3</v>
      </c>
      <c r="C460" s="2" t="s">
        <v>228</v>
      </c>
      <c r="D460" s="2" t="s">
        <v>58</v>
      </c>
      <c r="E460" s="2" t="s">
        <v>222</v>
      </c>
      <c r="F460" s="4" t="s">
        <v>223</v>
      </c>
      <c r="G460" s="4" t="s">
        <v>224</v>
      </c>
      <c r="H460" s="5">
        <v>0</v>
      </c>
      <c r="I460" s="5">
        <v>0</v>
      </c>
      <c r="J460" s="5">
        <v>0</v>
      </c>
      <c r="K460" s="4" t="s">
        <v>111</v>
      </c>
      <c r="L460" s="4" t="s">
        <v>225</v>
      </c>
      <c r="M460" s="6">
        <f>IF(OR(B460="",I460=""),"",B460*I460)</f>
        <v>0</v>
      </c>
      <c r="N460" s="10" t="s">
        <v>10</v>
      </c>
      <c r="O460" s="9"/>
      <c r="P460" s="9"/>
      <c r="Q460" s="22"/>
      <c r="R460" s="22"/>
      <c r="S460" s="23" t="str">
        <f>IF(AND(ISNUMBER(Q460),Q460&gt;0,ISNUMBER(R460),R460&gt;0),R460/Q460,"")</f>
        <v/>
      </c>
      <c r="T460" s="9"/>
      <c r="U460" s="9"/>
      <c r="V460" s="9"/>
      <c r="W460" s="9"/>
      <c r="X460" s="23">
        <f>IF(ISNUMBER(S460),S460,IF(ISNUMBER(I460),I460,""))</f>
        <v>0</v>
      </c>
      <c r="Y460" t="str">
        <f>IF(ISNUMBER(S460),"2025 EIA-923 plant/group proxy",IF(ISNUMBER(I460),"Technology estimate","No thermal heat rate"))</f>
        <v>Technology estimate</v>
      </c>
      <c r="Z460" t="str">
        <f>IF(ISNUMBER(S460),"Review: NOT unit verified",IF(AE460="No match","No EIA match",IF(AF460="Unconfirmed","Unconfirmed EIA candidate","")))</f>
        <v>No EIA match</v>
      </c>
      <c r="AE460" t="s">
        <v>107</v>
      </c>
      <c r="AG460" s="24">
        <f>IF(ISBLANK(S460),S460,I460)</f>
        <v>0</v>
      </c>
      <c r="AH460" s="34">
        <f t="shared" si="20"/>
        <v>27600.399999999994</v>
      </c>
      <c r="AI460">
        <f t="shared" si="19"/>
        <v>17235.966530112208</v>
      </c>
      <c r="AJ460" t="b" cm="1">
        <f t="array" ref="AJ460">OR(D460=$AT$2:$AT$8)</f>
        <v>0</v>
      </c>
    </row>
    <row r="461" spans="1:36" x14ac:dyDescent="0.25">
      <c r="A461" s="2" t="s">
        <v>1053</v>
      </c>
      <c r="B461" s="3">
        <v>1130.5</v>
      </c>
      <c r="C461" s="2" t="s">
        <v>97</v>
      </c>
      <c r="D461" s="2" t="s">
        <v>97</v>
      </c>
      <c r="E461" s="2" t="s">
        <v>222</v>
      </c>
      <c r="F461" s="4" t="s">
        <v>223</v>
      </c>
      <c r="G461" s="4" t="s">
        <v>224</v>
      </c>
      <c r="H461" s="5">
        <v>0</v>
      </c>
      <c r="I461" s="5">
        <v>0</v>
      </c>
      <c r="J461" s="5">
        <v>0</v>
      </c>
      <c r="K461" s="4" t="s">
        <v>111</v>
      </c>
      <c r="L461" s="4" t="s">
        <v>225</v>
      </c>
      <c r="M461" s="6">
        <f>IF(OR(B461="",I461=""),"",B461*I461)</f>
        <v>0</v>
      </c>
      <c r="N461" s="10" t="s">
        <v>10</v>
      </c>
      <c r="O461" s="9"/>
      <c r="P461" s="9"/>
      <c r="Q461" s="22"/>
      <c r="R461" s="22"/>
      <c r="S461" s="23" t="str">
        <f>IF(AND(ISNUMBER(Q461),Q461&gt;0,ISNUMBER(R461),R461&gt;0),R461/Q461,"")</f>
        <v/>
      </c>
      <c r="T461" s="9"/>
      <c r="U461" s="9"/>
      <c r="V461" s="9"/>
      <c r="W461" s="9"/>
      <c r="X461" s="23">
        <f>IF(ISNUMBER(S461),S461,IF(ISNUMBER(I461),I461,""))</f>
        <v>0</v>
      </c>
      <c r="Y461" t="str">
        <f>IF(ISNUMBER(S461),"2025 EIA-923 plant/group proxy",IF(ISNUMBER(I461),"Technology estimate","No thermal heat rate"))</f>
        <v>Technology estimate</v>
      </c>
      <c r="Z461" t="str">
        <f>IF(ISNUMBER(S461),"Review: NOT unit verified",IF(AE461="No match","No EIA match",IF(AF461="Unconfirmed","Unconfirmed EIA candidate","")))</f>
        <v>No EIA match</v>
      </c>
      <c r="AE461" t="s">
        <v>107</v>
      </c>
      <c r="AG461" s="24">
        <f>IF(ISBLANK(S461),S461,I461)</f>
        <v>0</v>
      </c>
      <c r="AH461" s="34">
        <f t="shared" si="20"/>
        <v>28730.899999999994</v>
      </c>
      <c r="AI461">
        <f t="shared" si="19"/>
        <v>17941.943985594444</v>
      </c>
      <c r="AJ461" t="b" cm="1">
        <f t="array" ref="AJ461">OR(D461=$AT$2:$AT$8)</f>
        <v>0</v>
      </c>
    </row>
    <row r="462" spans="1:36" x14ac:dyDescent="0.25">
      <c r="A462" s="2" t="s">
        <v>1054</v>
      </c>
      <c r="B462" s="3">
        <v>1133.9000000000001</v>
      </c>
      <c r="C462" s="2" t="s">
        <v>97</v>
      </c>
      <c r="D462" s="2" t="s">
        <v>97</v>
      </c>
      <c r="E462" s="2" t="s">
        <v>222</v>
      </c>
      <c r="F462" s="4" t="s">
        <v>223</v>
      </c>
      <c r="G462" s="4" t="s">
        <v>224</v>
      </c>
      <c r="H462" s="5">
        <v>0</v>
      </c>
      <c r="I462" s="5">
        <v>0</v>
      </c>
      <c r="J462" s="5">
        <v>0</v>
      </c>
      <c r="K462" s="4" t="s">
        <v>111</v>
      </c>
      <c r="L462" s="4" t="s">
        <v>225</v>
      </c>
      <c r="M462" s="6">
        <f>IF(OR(B462="",I462=""),"",B462*I462)</f>
        <v>0</v>
      </c>
      <c r="N462" s="10" t="s">
        <v>10</v>
      </c>
      <c r="O462" s="9"/>
      <c r="P462" s="9"/>
      <c r="Q462" s="22"/>
      <c r="R462" s="22"/>
      <c r="S462" s="23" t="str">
        <f>IF(AND(ISNUMBER(Q462),Q462&gt;0,ISNUMBER(R462),R462&gt;0),R462/Q462,"")</f>
        <v/>
      </c>
      <c r="T462" s="9"/>
      <c r="U462" s="9"/>
      <c r="V462" s="9"/>
      <c r="W462" s="9"/>
      <c r="X462" s="23">
        <f>IF(ISNUMBER(S462),S462,IF(ISNUMBER(I462),I462,""))</f>
        <v>0</v>
      </c>
      <c r="Y462" t="str">
        <f>IF(ISNUMBER(S462),"2025 EIA-923 plant/group proxy",IF(ISNUMBER(I462),"Technology estimate","No thermal heat rate"))</f>
        <v>Technology estimate</v>
      </c>
      <c r="Z462" t="str">
        <f>IF(ISNUMBER(S462),"Review: NOT unit verified",IF(AE462="No match","No EIA match",IF(AF462="Unconfirmed","Unconfirmed EIA candidate","")))</f>
        <v>No EIA match</v>
      </c>
      <c r="AE462" t="s">
        <v>107</v>
      </c>
      <c r="AG462" s="24">
        <f>IF(ISBLANK(S462),S462,I462)</f>
        <v>0</v>
      </c>
      <c r="AH462" s="34">
        <f t="shared" si="20"/>
        <v>29864.799999999996</v>
      </c>
      <c r="AI462">
        <f t="shared" si="19"/>
        <v>18650.044681544292</v>
      </c>
      <c r="AJ462" t="b" cm="1">
        <f t="array" ref="AJ462">OR(D462=$AT$2:$AT$8)</f>
        <v>0</v>
      </c>
    </row>
    <row r="463" spans="1:36" x14ac:dyDescent="0.25">
      <c r="A463" s="2" t="s">
        <v>1084</v>
      </c>
      <c r="B463" s="3">
        <v>1119.7</v>
      </c>
      <c r="C463" s="2" t="s">
        <v>432</v>
      </c>
      <c r="D463" s="2" t="s">
        <v>58</v>
      </c>
      <c r="E463" s="2" t="s">
        <v>222</v>
      </c>
      <c r="F463" s="4" t="s">
        <v>223</v>
      </c>
      <c r="G463" s="4" t="s">
        <v>224</v>
      </c>
      <c r="H463" s="5">
        <v>0</v>
      </c>
      <c r="I463" s="5">
        <v>0</v>
      </c>
      <c r="J463" s="5">
        <v>0</v>
      </c>
      <c r="K463" s="4" t="s">
        <v>111</v>
      </c>
      <c r="L463" s="4" t="s">
        <v>225</v>
      </c>
      <c r="M463" s="6">
        <f>IF(OR(B463="",I463=""),"",B463*I463)</f>
        <v>0</v>
      </c>
      <c r="N463" s="10" t="s">
        <v>10</v>
      </c>
      <c r="O463" s="9"/>
      <c r="P463" s="9"/>
      <c r="Q463" s="22"/>
      <c r="R463" s="22"/>
      <c r="S463" s="23" t="str">
        <f>IF(AND(ISNUMBER(Q463),Q463&gt;0,ISNUMBER(R463),R463&gt;0),R463/Q463,"")</f>
        <v/>
      </c>
      <c r="T463" s="9"/>
      <c r="U463" s="9"/>
      <c r="V463" s="9"/>
      <c r="W463" s="9"/>
      <c r="X463" s="23">
        <f>IF(ISNUMBER(S463),S463,IF(ISNUMBER(I463),I463,""))</f>
        <v>0</v>
      </c>
      <c r="Y463" t="str">
        <f>IF(ISNUMBER(S463),"2025 EIA-923 plant/group proxy",IF(ISNUMBER(I463),"Technology estimate","No thermal heat rate"))</f>
        <v>Technology estimate</v>
      </c>
      <c r="Z463" t="str">
        <f>IF(ISNUMBER(S463),"Review: NOT unit verified",IF(AE463="No match","No EIA match",IF(AF463="Unconfirmed","Unconfirmed EIA candidate","")))</f>
        <v>No EIA match</v>
      </c>
      <c r="AE463" t="s">
        <v>107</v>
      </c>
      <c r="AG463" s="24">
        <f>IF(ISBLANK(S463),S463,I463)</f>
        <v>0</v>
      </c>
      <c r="AH463" s="34">
        <f t="shared" si="20"/>
        <v>30984.499999999996</v>
      </c>
      <c r="AI463">
        <f t="shared" si="19"/>
        <v>19349.277726129396</v>
      </c>
      <c r="AJ463" t="b" cm="1">
        <f t="array" ref="AJ463">OR(D463=$AT$2:$AT$8)</f>
        <v>0</v>
      </c>
    </row>
    <row r="464" spans="1:36" x14ac:dyDescent="0.25">
      <c r="A464" s="2" t="s">
        <v>1085</v>
      </c>
      <c r="B464" s="3">
        <v>1122.0999999999999</v>
      </c>
      <c r="C464" s="2" t="s">
        <v>432</v>
      </c>
      <c r="D464" s="2" t="s">
        <v>58</v>
      </c>
      <c r="E464" s="2" t="s">
        <v>222</v>
      </c>
      <c r="F464" s="4" t="s">
        <v>223</v>
      </c>
      <c r="G464" s="4" t="s">
        <v>224</v>
      </c>
      <c r="H464" s="5">
        <v>0</v>
      </c>
      <c r="I464" s="5">
        <v>0</v>
      </c>
      <c r="J464" s="5">
        <v>0</v>
      </c>
      <c r="K464" s="4" t="s">
        <v>111</v>
      </c>
      <c r="L464" s="4" t="s">
        <v>225</v>
      </c>
      <c r="M464" s="6">
        <f>IF(OR(B464="",I464=""),"",B464*I464)</f>
        <v>0</v>
      </c>
      <c r="N464" s="10" t="s">
        <v>10</v>
      </c>
      <c r="O464" s="9"/>
      <c r="P464" s="9"/>
      <c r="Q464" s="22"/>
      <c r="R464" s="22"/>
      <c r="S464" s="23" t="str">
        <f>IF(AND(ISNUMBER(Q464),Q464&gt;0,ISNUMBER(R464),R464&gt;0),R464/Q464,"")</f>
        <v/>
      </c>
      <c r="T464" s="9"/>
      <c r="U464" s="9"/>
      <c r="V464" s="9"/>
      <c r="W464" s="9"/>
      <c r="X464" s="23">
        <f>IF(ISNUMBER(S464),S464,IF(ISNUMBER(I464),I464,""))</f>
        <v>0</v>
      </c>
      <c r="Y464" t="str">
        <f>IF(ISNUMBER(S464),"2025 EIA-923 plant/group proxy",IF(ISNUMBER(I464),"Technology estimate","No thermal heat rate"))</f>
        <v>Technology estimate</v>
      </c>
      <c r="Z464" t="str">
        <f>IF(ISNUMBER(S464),"Review: NOT unit verified",IF(AE464="No match","No EIA match",IF(AF464="Unconfirmed","Unconfirmed EIA candidate","")))</f>
        <v>No EIA match</v>
      </c>
      <c r="AE464" t="s">
        <v>107</v>
      </c>
      <c r="AG464" s="24">
        <f>IF(ISBLANK(S464),S464,I464)</f>
        <v>0</v>
      </c>
      <c r="AH464" s="34">
        <f t="shared" si="20"/>
        <v>32106.599999999995</v>
      </c>
      <c r="AI464">
        <f t="shared" si="19"/>
        <v>20050.009528691637</v>
      </c>
      <c r="AJ464" t="b" cm="1">
        <f t="array" ref="AJ464">OR(D464=$AT$2:$AT$8)</f>
        <v>0</v>
      </c>
    </row>
    <row r="465" spans="1:36" x14ac:dyDescent="0.25">
      <c r="A465" s="2" t="s">
        <v>1281</v>
      </c>
      <c r="B465" s="3">
        <v>947.7</v>
      </c>
      <c r="C465" s="2" t="s">
        <v>78</v>
      </c>
      <c r="D465" s="2" t="s">
        <v>78</v>
      </c>
      <c r="E465" s="2" t="s">
        <v>222</v>
      </c>
      <c r="F465" s="4" t="s">
        <v>223</v>
      </c>
      <c r="G465" s="4" t="s">
        <v>224</v>
      </c>
      <c r="H465" s="5">
        <v>0</v>
      </c>
      <c r="I465" s="5">
        <v>0</v>
      </c>
      <c r="J465" s="5">
        <v>0</v>
      </c>
      <c r="K465" s="4" t="s">
        <v>111</v>
      </c>
      <c r="L465" s="4" t="s">
        <v>225</v>
      </c>
      <c r="M465" s="6">
        <f>IF(OR(B465="",I465=""),"",B465*I465)</f>
        <v>0</v>
      </c>
      <c r="N465" s="10" t="s">
        <v>10</v>
      </c>
      <c r="O465" s="9"/>
      <c r="P465" s="9"/>
      <c r="Q465" s="22"/>
      <c r="R465" s="22"/>
      <c r="S465" s="23" t="str">
        <f>IF(AND(ISNUMBER(Q465),Q465&gt;0,ISNUMBER(R465),R465&gt;0),R465/Q465,"")</f>
        <v/>
      </c>
      <c r="T465" s="9"/>
      <c r="U465" s="9"/>
      <c r="V465" s="9"/>
      <c r="W465" s="9"/>
      <c r="X465" s="23">
        <f>IF(ISNUMBER(S465),S465,IF(ISNUMBER(I465),I465,""))</f>
        <v>0</v>
      </c>
      <c r="Y465" t="str">
        <f>IF(ISNUMBER(S465),"2025 EIA-923 plant/group proxy",IF(ISNUMBER(I465),"Technology estimate","No thermal heat rate"))</f>
        <v>Technology estimate</v>
      </c>
      <c r="Z465" t="str">
        <f>IF(ISNUMBER(S465),"Review: NOT unit verified",IF(AE465="No match","No EIA match",IF(AF465="Unconfirmed","Unconfirmed EIA candidate","")))</f>
        <v>No EIA match</v>
      </c>
      <c r="AE465" t="s">
        <v>107</v>
      </c>
      <c r="AG465" s="24">
        <f>IF(ISBLANK(S465),S465,I465)</f>
        <v>0</v>
      </c>
      <c r="AH465" s="34">
        <f t="shared" si="20"/>
        <v>33054.299999999996</v>
      </c>
      <c r="AI465">
        <f t="shared" si="19"/>
        <v>20641.831584915002</v>
      </c>
      <c r="AJ465" t="b" cm="1">
        <f t="array" ref="AJ465">OR(D465=$AT$2:$AT$8)</f>
        <v>1</v>
      </c>
    </row>
    <row r="466" spans="1:36" x14ac:dyDescent="0.25">
      <c r="A466" s="2" t="s">
        <v>1282</v>
      </c>
      <c r="B466" s="3">
        <v>944</v>
      </c>
      <c r="C466" s="2" t="s">
        <v>78</v>
      </c>
      <c r="D466" s="2" t="s">
        <v>78</v>
      </c>
      <c r="E466" s="2" t="s">
        <v>222</v>
      </c>
      <c r="F466" s="4" t="s">
        <v>223</v>
      </c>
      <c r="G466" s="4" t="s">
        <v>224</v>
      </c>
      <c r="H466" s="5">
        <v>0</v>
      </c>
      <c r="I466" s="5">
        <v>0</v>
      </c>
      <c r="J466" s="5">
        <v>0</v>
      </c>
      <c r="K466" s="4" t="s">
        <v>111</v>
      </c>
      <c r="L466" s="4" t="s">
        <v>225</v>
      </c>
      <c r="M466" s="6">
        <f>IF(OR(B466="",I466=""),"",B466*I466)</f>
        <v>0</v>
      </c>
      <c r="N466" s="10" t="s">
        <v>10</v>
      </c>
      <c r="O466" s="9"/>
      <c r="P466" s="9"/>
      <c r="Q466" s="22"/>
      <c r="R466" s="22"/>
      <c r="S466" s="23" t="str">
        <f>IF(AND(ISNUMBER(Q466),Q466&gt;0,ISNUMBER(R466),R466&gt;0),R466/Q466,"")</f>
        <v/>
      </c>
      <c r="T466" s="9"/>
      <c r="U466" s="9"/>
      <c r="V466" s="9"/>
      <c r="W466" s="9"/>
      <c r="X466" s="23">
        <f>IF(ISNUMBER(S466),S466,IF(ISNUMBER(I466),I466,""))</f>
        <v>0</v>
      </c>
      <c r="Y466" t="str">
        <f>IF(ISNUMBER(S466),"2025 EIA-923 plant/group proxy",IF(ISNUMBER(I466),"Technology estimate","No thermal heat rate"))</f>
        <v>Technology estimate</v>
      </c>
      <c r="Z466" t="str">
        <f>IF(ISNUMBER(S466),"Review: NOT unit verified",IF(AE466="No match","No EIA match",IF(AF466="Unconfirmed","Unconfirmed EIA candidate","")))</f>
        <v>No EIA match</v>
      </c>
      <c r="AE466" t="s">
        <v>107</v>
      </c>
      <c r="AG466" s="24">
        <f>IF(ISBLANK(S466),S466,I466)</f>
        <v>0</v>
      </c>
      <c r="AH466" s="34">
        <f t="shared" si="20"/>
        <v>33998.299999999996</v>
      </c>
      <c r="AI466">
        <f t="shared" si="19"/>
        <v>21231.343055923608</v>
      </c>
      <c r="AJ466" t="b" cm="1">
        <f t="array" ref="AJ466">OR(D466=$AT$2:$AT$8)</f>
        <v>1</v>
      </c>
    </row>
    <row r="467" spans="1:36" x14ac:dyDescent="0.25">
      <c r="A467" s="2" t="s">
        <v>1338</v>
      </c>
      <c r="B467" s="3">
        <v>1264.7</v>
      </c>
      <c r="C467" s="2" t="s">
        <v>432</v>
      </c>
      <c r="D467" s="2" t="s">
        <v>58</v>
      </c>
      <c r="E467" s="2" t="s">
        <v>222</v>
      </c>
      <c r="F467" s="4" t="s">
        <v>223</v>
      </c>
      <c r="G467" s="4" t="s">
        <v>224</v>
      </c>
      <c r="H467" s="5">
        <v>0</v>
      </c>
      <c r="I467" s="5">
        <v>0</v>
      </c>
      <c r="J467" s="5">
        <v>0</v>
      </c>
      <c r="K467" s="4" t="s">
        <v>111</v>
      </c>
      <c r="L467" s="4" t="s">
        <v>225</v>
      </c>
      <c r="M467" s="6">
        <f>IF(OR(B467="",I467=""),"",B467*I467)</f>
        <v>0</v>
      </c>
      <c r="N467" s="10" t="s">
        <v>10</v>
      </c>
      <c r="O467" s="9"/>
      <c r="P467" s="9"/>
      <c r="Q467" s="22"/>
      <c r="R467" s="22"/>
      <c r="S467" s="23" t="str">
        <f>IF(AND(ISNUMBER(Q467),Q467&gt;0,ISNUMBER(R467),R467&gt;0),R467/Q467,"")</f>
        <v/>
      </c>
      <c r="T467" s="9"/>
      <c r="U467" s="9"/>
      <c r="V467" s="9"/>
      <c r="W467" s="9"/>
      <c r="X467" s="23">
        <f>IF(ISNUMBER(S467),S467,IF(ISNUMBER(I467),I467,""))</f>
        <v>0</v>
      </c>
      <c r="Y467" t="str">
        <f>IF(ISNUMBER(S467),"2025 EIA-923 plant/group proxy",IF(ISNUMBER(I467),"Technology estimate","No thermal heat rate"))</f>
        <v>Technology estimate</v>
      </c>
      <c r="Z467" t="str">
        <f>IF(ISNUMBER(S467),"Review: NOT unit verified",IF(AE467="No match","No EIA match",IF(AF467="Unconfirmed","Unconfirmed EIA candidate","")))</f>
        <v>No EIA match</v>
      </c>
      <c r="AE467" t="s">
        <v>107</v>
      </c>
      <c r="AG467" s="24">
        <f>IF(ISBLANK(S467),S467,I467)</f>
        <v>0</v>
      </c>
      <c r="AH467" s="34">
        <f t="shared" si="20"/>
        <v>35262.999999999993</v>
      </c>
      <c r="AI467">
        <f t="shared" si="19"/>
        <v>22021.126061627616</v>
      </c>
      <c r="AJ467" t="b" cm="1">
        <f t="array" ref="AJ467">OR(D467=$AT$2:$AT$8)</f>
        <v>0</v>
      </c>
    </row>
    <row r="468" spans="1:36" x14ac:dyDescent="0.25">
      <c r="A468" s="2" t="s">
        <v>1339</v>
      </c>
      <c r="B468" s="3">
        <v>1284.7</v>
      </c>
      <c r="C468" s="2" t="s">
        <v>432</v>
      </c>
      <c r="D468" s="2" t="s">
        <v>58</v>
      </c>
      <c r="E468" s="2" t="s">
        <v>222</v>
      </c>
      <c r="F468" s="4" t="s">
        <v>223</v>
      </c>
      <c r="G468" s="4" t="s">
        <v>224</v>
      </c>
      <c r="H468" s="5">
        <v>0</v>
      </c>
      <c r="I468" s="5">
        <v>0</v>
      </c>
      <c r="J468" s="5">
        <v>0</v>
      </c>
      <c r="K468" s="4" t="s">
        <v>111</v>
      </c>
      <c r="L468" s="4" t="s">
        <v>225</v>
      </c>
      <c r="M468" s="6">
        <f>IF(OR(B468="",I468=""),"",B468*I468)</f>
        <v>0</v>
      </c>
      <c r="N468" s="10" t="s">
        <v>10</v>
      </c>
      <c r="O468" s="9"/>
      <c r="P468" s="9"/>
      <c r="Q468" s="22"/>
      <c r="R468" s="22"/>
      <c r="S468" s="23" t="str">
        <f>IF(AND(ISNUMBER(Q468),Q468&gt;0,ISNUMBER(R468),R468&gt;0),R468/Q468,"")</f>
        <v/>
      </c>
      <c r="T468" s="9"/>
      <c r="U468" s="9"/>
      <c r="V468" s="9"/>
      <c r="W468" s="9"/>
      <c r="X468" s="23">
        <f>IF(ISNUMBER(S468),S468,IF(ISNUMBER(I468),I468,""))</f>
        <v>0</v>
      </c>
      <c r="Y468" t="str">
        <f>IF(ISNUMBER(S468),"2025 EIA-923 plant/group proxy",IF(ISNUMBER(I468),"Technology estimate","No thermal heat rate"))</f>
        <v>Technology estimate</v>
      </c>
      <c r="Z468" t="str">
        <f>IF(ISNUMBER(S468),"Review: NOT unit verified",IF(AE468="No match","No EIA match",IF(AF468="Unconfirmed","Unconfirmed EIA candidate","")))</f>
        <v>No EIA match</v>
      </c>
      <c r="AE468" t="s">
        <v>107</v>
      </c>
      <c r="AG468" s="24">
        <f>IF(ISBLANK(S468),S468,I468)</f>
        <v>0</v>
      </c>
      <c r="AH468" s="34">
        <f t="shared" si="20"/>
        <v>36547.69999999999</v>
      </c>
      <c r="AI468">
        <f t="shared" si="19"/>
        <v>22823.398717141125</v>
      </c>
      <c r="AJ468" t="b" cm="1">
        <f t="array" ref="AJ468">OR(D468=$AT$2:$AT$8)</f>
        <v>0</v>
      </c>
    </row>
    <row r="469" spans="1:36" x14ac:dyDescent="0.25">
      <c r="A469" s="2" t="s">
        <v>1345</v>
      </c>
      <c r="B469" s="3">
        <v>1241.8</v>
      </c>
      <c r="C469" s="2" t="s">
        <v>147</v>
      </c>
      <c r="D469" s="2" t="s">
        <v>803</v>
      </c>
      <c r="E469" s="2" t="s">
        <v>222</v>
      </c>
      <c r="F469" s="4" t="s">
        <v>223</v>
      </c>
      <c r="G469" s="4" t="s">
        <v>224</v>
      </c>
      <c r="H469" s="5">
        <v>0</v>
      </c>
      <c r="I469" s="5">
        <v>0</v>
      </c>
      <c r="J469" s="5">
        <v>0</v>
      </c>
      <c r="K469" s="4" t="s">
        <v>111</v>
      </c>
      <c r="L469" s="4" t="s">
        <v>225</v>
      </c>
      <c r="M469" s="6">
        <f>IF(OR(B469="",I469=""),"",B469*I469)</f>
        <v>0</v>
      </c>
      <c r="N469" s="10" t="s">
        <v>10</v>
      </c>
      <c r="O469" s="9"/>
      <c r="P469" s="9"/>
      <c r="Q469" s="22"/>
      <c r="R469" s="22"/>
      <c r="S469" s="23" t="str">
        <f>IF(AND(ISNUMBER(Q469),Q469&gt;0,ISNUMBER(R469),R469&gt;0),R469/Q469,"")</f>
        <v/>
      </c>
      <c r="T469" s="9"/>
      <c r="U469" s="9"/>
      <c r="V469" s="9"/>
      <c r="W469" s="9"/>
      <c r="X469" s="23">
        <f>IF(ISNUMBER(S469),S469,IF(ISNUMBER(I469),I469,""))</f>
        <v>0</v>
      </c>
      <c r="Y469" t="str">
        <f>IF(ISNUMBER(S469),"2025 EIA-923 plant/group proxy",IF(ISNUMBER(I469),"Technology estimate","No thermal heat rate"))</f>
        <v>Technology estimate</v>
      </c>
      <c r="Z469" t="str">
        <f>IF(ISNUMBER(S469),"Review: NOT unit verified",IF(AE469="No match","No EIA match",IF(AF469="Unconfirmed","Unconfirmed EIA candidate","")))</f>
        <v>No EIA match</v>
      </c>
      <c r="AE469" t="s">
        <v>107</v>
      </c>
      <c r="AG469" s="24">
        <f>IF(ISBLANK(S469),S469,I469)</f>
        <v>0</v>
      </c>
      <c r="AH469" s="34">
        <f t="shared" si="20"/>
        <v>37789.499999999993</v>
      </c>
      <c r="AI469">
        <f t="shared" si="19"/>
        <v>23598.881073813252</v>
      </c>
      <c r="AJ469" t="b" cm="1">
        <f t="array" ref="AJ469">OR(D469=$AT$2:$AT$8)</f>
        <v>0</v>
      </c>
    </row>
    <row r="470" spans="1:36" x14ac:dyDescent="0.25">
      <c r="A470" s="2" t="s">
        <v>1438</v>
      </c>
      <c r="B470" s="3">
        <v>908</v>
      </c>
      <c r="C470" s="2" t="s">
        <v>97</v>
      </c>
      <c r="D470" s="2" t="s">
        <v>97</v>
      </c>
      <c r="E470" s="2" t="s">
        <v>222</v>
      </c>
      <c r="F470" s="4" t="s">
        <v>223</v>
      </c>
      <c r="G470" s="4" t="s">
        <v>224</v>
      </c>
      <c r="H470" s="5">
        <v>0</v>
      </c>
      <c r="I470" s="5">
        <v>0</v>
      </c>
      <c r="J470" s="5">
        <v>0</v>
      </c>
      <c r="K470" s="4" t="s">
        <v>111</v>
      </c>
      <c r="L470" s="4" t="s">
        <v>225</v>
      </c>
      <c r="M470" s="6">
        <f>IF(OR(B470="",I470=""),"",B470*I470)</f>
        <v>0</v>
      </c>
      <c r="N470" s="10" t="s">
        <v>10</v>
      </c>
      <c r="O470" s="9"/>
      <c r="P470" s="9"/>
      <c r="Q470" s="22"/>
      <c r="R470" s="22"/>
      <c r="S470" s="23" t="str">
        <f>IF(AND(ISNUMBER(Q470),Q470&gt;0,ISNUMBER(R470),R470&gt;0),R470/Q470,"")</f>
        <v/>
      </c>
      <c r="T470" s="9"/>
      <c r="U470" s="9"/>
      <c r="V470" s="9"/>
      <c r="W470" s="9"/>
      <c r="X470" s="23">
        <f>IF(ISNUMBER(S470),S470,IF(ISNUMBER(I470),I470,""))</f>
        <v>0</v>
      </c>
      <c r="Y470" t="str">
        <f>IF(ISNUMBER(S470),"2025 EIA-923 plant/group proxy",IF(ISNUMBER(I470),"Technology estimate","No thermal heat rate"))</f>
        <v>Technology estimate</v>
      </c>
      <c r="Z470" t="str">
        <f>IF(ISNUMBER(S470),"Review: NOT unit verified",IF(AE470="No match","No EIA match",IF(AF470="Unconfirmed","Unconfirmed EIA candidate","")))</f>
        <v>No EIA match</v>
      </c>
      <c r="AE470" t="s">
        <v>107</v>
      </c>
      <c r="AG470" s="24">
        <f>IF(ISBLANK(S470),S470,I470)</f>
        <v>0</v>
      </c>
      <c r="AH470" s="34">
        <f t="shared" si="20"/>
        <v>38697.499999999993</v>
      </c>
      <c r="AI470">
        <f t="shared" si="19"/>
        <v>24165.911175164751</v>
      </c>
      <c r="AJ470" t="b" cm="1">
        <f t="array" ref="AJ470">OR(D470=$AT$2:$AT$8)</f>
        <v>0</v>
      </c>
    </row>
    <row r="471" spans="1:36" x14ac:dyDescent="0.25">
      <c r="A471" s="2" t="s">
        <v>1439</v>
      </c>
      <c r="B471" s="3">
        <v>911</v>
      </c>
      <c r="C471" s="2" t="s">
        <v>97</v>
      </c>
      <c r="D471" s="2" t="s">
        <v>97</v>
      </c>
      <c r="E471" s="2" t="s">
        <v>222</v>
      </c>
      <c r="F471" s="4" t="s">
        <v>223</v>
      </c>
      <c r="G471" s="4" t="s">
        <v>224</v>
      </c>
      <c r="H471" s="5">
        <v>0</v>
      </c>
      <c r="I471" s="5">
        <v>0</v>
      </c>
      <c r="J471" s="5">
        <v>0</v>
      </c>
      <c r="K471" s="4" t="s">
        <v>111</v>
      </c>
      <c r="L471" s="4" t="s">
        <v>225</v>
      </c>
      <c r="M471" s="6">
        <f>IF(OR(B471="",I471=""),"",B471*I471)</f>
        <v>0</v>
      </c>
      <c r="N471" s="10" t="s">
        <v>10</v>
      </c>
      <c r="O471" s="9"/>
      <c r="P471" s="9"/>
      <c r="Q471" s="22"/>
      <c r="R471" s="22"/>
      <c r="S471" s="23" t="str">
        <f>IF(AND(ISNUMBER(Q471),Q471&gt;0,ISNUMBER(R471),R471&gt;0),R471/Q471,"")</f>
        <v/>
      </c>
      <c r="T471" s="9"/>
      <c r="U471" s="9"/>
      <c r="V471" s="9"/>
      <c r="W471" s="9"/>
      <c r="X471" s="23">
        <f>IF(ISNUMBER(S471),S471,IF(ISNUMBER(I471),I471,""))</f>
        <v>0</v>
      </c>
      <c r="Y471" t="str">
        <f>IF(ISNUMBER(S471),"2025 EIA-923 plant/group proxy",IF(ISNUMBER(I471),"Technology estimate","No thermal heat rate"))</f>
        <v>Technology estimate</v>
      </c>
      <c r="Z471" t="str">
        <f>IF(ISNUMBER(S471),"Review: NOT unit verified",IF(AE471="No match","No EIA match",IF(AF471="Unconfirmed","Unconfirmed EIA candidate","")))</f>
        <v>No EIA match</v>
      </c>
      <c r="AE471" t="s">
        <v>107</v>
      </c>
      <c r="AG471" s="24">
        <f>IF(ISBLANK(S471),S471,I471)</f>
        <v>0</v>
      </c>
      <c r="AH471" s="34">
        <f t="shared" si="20"/>
        <v>39608.499999999993</v>
      </c>
      <c r="AI471">
        <f t="shared" si="19"/>
        <v>24734.814723987674</v>
      </c>
      <c r="AJ471" t="b" cm="1">
        <f t="array" ref="AJ471">OR(D471=$AT$2:$AT$8)</f>
        <v>0</v>
      </c>
    </row>
    <row r="472" spans="1:36" x14ac:dyDescent="0.25">
      <c r="A472" s="2" t="s">
        <v>1529</v>
      </c>
      <c r="B472" s="3">
        <v>1145.8</v>
      </c>
      <c r="C472" s="2" t="s">
        <v>228</v>
      </c>
      <c r="D472" s="2" t="s">
        <v>58</v>
      </c>
      <c r="E472" s="2" t="s">
        <v>222</v>
      </c>
      <c r="F472" s="4" t="s">
        <v>223</v>
      </c>
      <c r="G472" s="4" t="s">
        <v>224</v>
      </c>
      <c r="H472" s="5">
        <v>0</v>
      </c>
      <c r="I472" s="5">
        <v>0</v>
      </c>
      <c r="J472" s="5">
        <v>0</v>
      </c>
      <c r="K472" s="4" t="s">
        <v>111</v>
      </c>
      <c r="L472" s="4" t="s">
        <v>225</v>
      </c>
      <c r="M472" s="6">
        <f>IF(OR(B472="",I472=""),"",B472*I472)</f>
        <v>0</v>
      </c>
      <c r="N472" s="10" t="s">
        <v>10</v>
      </c>
      <c r="O472" s="9"/>
      <c r="P472" s="9"/>
      <c r="Q472" s="22"/>
      <c r="R472" s="22"/>
      <c r="S472" s="23" t="str">
        <f>IF(AND(ISNUMBER(Q472),Q472&gt;0,ISNUMBER(R472),R472&gt;0),R472/Q472,"")</f>
        <v/>
      </c>
      <c r="T472" s="9"/>
      <c r="U472" s="9"/>
      <c r="V472" s="9"/>
      <c r="W472" s="9"/>
      <c r="X472" s="23">
        <f>IF(ISNUMBER(S472),S472,IF(ISNUMBER(I472),I472,""))</f>
        <v>0</v>
      </c>
      <c r="Y472" t="str">
        <f>IF(ISNUMBER(S472),"2025 EIA-923 plant/group proxy",IF(ISNUMBER(I472),"Technology estimate","No thermal heat rate"))</f>
        <v>Technology estimate</v>
      </c>
      <c r="Z472" t="str">
        <f>IF(ISNUMBER(S472),"Review: NOT unit verified",IF(AE472="No match","No EIA match",IF(AF472="Unconfirmed","Unconfirmed EIA candidate","")))</f>
        <v>No EIA match</v>
      </c>
      <c r="AE472" t="s">
        <v>107</v>
      </c>
      <c r="AG472" s="24">
        <f>IF(ISBLANK(S472),S472,I472)</f>
        <v>0</v>
      </c>
      <c r="AH472" s="34">
        <f t="shared" si="20"/>
        <v>40754.299999999996</v>
      </c>
      <c r="AI472">
        <f t="shared" si="19"/>
        <v>25450.346761574183</v>
      </c>
      <c r="AJ472" t="b" cm="1">
        <f t="array" ref="AJ472">OR(D472=$AT$2:$AT$8)</f>
        <v>0</v>
      </c>
    </row>
    <row r="473" spans="1:36" x14ac:dyDescent="0.25">
      <c r="A473" s="2" t="s">
        <v>1530</v>
      </c>
      <c r="B473" s="3">
        <v>1134.4000000000001</v>
      </c>
      <c r="C473" s="2" t="s">
        <v>228</v>
      </c>
      <c r="D473" s="2" t="s">
        <v>58</v>
      </c>
      <c r="E473" s="2" t="s">
        <v>222</v>
      </c>
      <c r="F473" s="4" t="s">
        <v>223</v>
      </c>
      <c r="G473" s="4" t="s">
        <v>224</v>
      </c>
      <c r="H473" s="5">
        <v>0</v>
      </c>
      <c r="I473" s="5">
        <v>0</v>
      </c>
      <c r="J473" s="5">
        <v>0</v>
      </c>
      <c r="K473" s="4" t="s">
        <v>111</v>
      </c>
      <c r="L473" s="4" t="s">
        <v>225</v>
      </c>
      <c r="M473" s="6">
        <f>IF(OR(B473="",I473=""),"",B473*I473)</f>
        <v>0</v>
      </c>
      <c r="N473" s="10" t="s">
        <v>10</v>
      </c>
      <c r="O473" s="9"/>
      <c r="P473" s="9"/>
      <c r="Q473" s="22"/>
      <c r="R473" s="22"/>
      <c r="S473" s="23" t="str">
        <f>IF(AND(ISNUMBER(Q473),Q473&gt;0,ISNUMBER(R473),R473&gt;0),R473/Q473,"")</f>
        <v/>
      </c>
      <c r="T473" s="9"/>
      <c r="U473" s="9"/>
      <c r="V473" s="9"/>
      <c r="W473" s="9"/>
      <c r="X473" s="23">
        <f>IF(ISNUMBER(S473),S473,IF(ISNUMBER(I473),I473,""))</f>
        <v>0</v>
      </c>
      <c r="Y473" t="str">
        <f>IF(ISNUMBER(S473),"2025 EIA-923 plant/group proxy",IF(ISNUMBER(I473),"Technology estimate","No thermal heat rate"))</f>
        <v>Technology estimate</v>
      </c>
      <c r="Z473" t="str">
        <f>IF(ISNUMBER(S473),"Review: NOT unit verified",IF(AE473="No match","No EIA match",IF(AF473="Unconfirmed","Unconfirmed EIA candidate","")))</f>
        <v>No EIA match</v>
      </c>
      <c r="AE473" t="s">
        <v>107</v>
      </c>
      <c r="AG473" s="24">
        <f>IF(ISBLANK(S473),S473,I473)</f>
        <v>0</v>
      </c>
      <c r="AH473" s="34">
        <f t="shared" si="20"/>
        <v>41888.699999999997</v>
      </c>
      <c r="AI473">
        <f t="shared" si="19"/>
        <v>26158.75969876927</v>
      </c>
      <c r="AJ473" t="b" cm="1">
        <f t="array" ref="AJ473">OR(D473=$AT$2:$AT$8)</f>
        <v>0</v>
      </c>
    </row>
    <row r="474" spans="1:36" x14ac:dyDescent="0.25">
      <c r="A474" s="2" t="s">
        <v>1657</v>
      </c>
      <c r="B474" s="3">
        <v>838.7</v>
      </c>
      <c r="C474" s="2" t="s">
        <v>78</v>
      </c>
      <c r="D474" s="2" t="s">
        <v>78</v>
      </c>
      <c r="E474" s="2" t="s">
        <v>222</v>
      </c>
      <c r="F474" s="4" t="s">
        <v>223</v>
      </c>
      <c r="G474" s="4" t="s">
        <v>224</v>
      </c>
      <c r="H474" s="5">
        <v>0</v>
      </c>
      <c r="I474" s="5">
        <v>0</v>
      </c>
      <c r="J474" s="5">
        <v>0</v>
      </c>
      <c r="K474" s="4" t="s">
        <v>111</v>
      </c>
      <c r="L474" s="4" t="s">
        <v>225</v>
      </c>
      <c r="M474" s="6">
        <f>IF(OR(B474="",I474=""),"",B474*I474)</f>
        <v>0</v>
      </c>
      <c r="N474" s="10" t="s">
        <v>10</v>
      </c>
      <c r="O474" s="9"/>
      <c r="P474" s="9"/>
      <c r="Q474" s="22"/>
      <c r="R474" s="22"/>
      <c r="S474" s="23" t="str">
        <f>IF(AND(ISNUMBER(Q474),Q474&gt;0,ISNUMBER(R474),R474&gt;0),R474/Q474,"")</f>
        <v/>
      </c>
      <c r="T474" s="9"/>
      <c r="U474" s="9"/>
      <c r="V474" s="9"/>
      <c r="W474" s="9"/>
      <c r="X474" s="23">
        <f>IF(ISNUMBER(S474),S474,IF(ISNUMBER(I474),I474,""))</f>
        <v>0</v>
      </c>
      <c r="Y474" t="str">
        <f>IF(ISNUMBER(S474),"2025 EIA-923 plant/group proxy",IF(ISNUMBER(I474),"Technology estimate","No thermal heat rate"))</f>
        <v>Technology estimate</v>
      </c>
      <c r="Z474" t="str">
        <f>IF(ISNUMBER(S474),"Review: NOT unit verified",IF(AE474="No match","No EIA match",IF(AF474="Unconfirmed","Unconfirmed EIA candidate","")))</f>
        <v>No EIA match</v>
      </c>
      <c r="AE474" t="s">
        <v>107</v>
      </c>
      <c r="AG474" s="24">
        <f>IF(ISBLANK(S474),S474,I474)</f>
        <v>0</v>
      </c>
      <c r="AH474" s="34">
        <f t="shared" si="20"/>
        <v>42727.399999999994</v>
      </c>
      <c r="AI474">
        <f t="shared" si="19"/>
        <v>26682.513163530835</v>
      </c>
      <c r="AJ474" t="b" cm="1">
        <f t="array" ref="AJ474">OR(D474=$AT$2:$AT$8)</f>
        <v>1</v>
      </c>
    </row>
    <row r="475" spans="1:36" x14ac:dyDescent="0.25">
      <c r="A475" s="2" t="s">
        <v>1658</v>
      </c>
      <c r="B475" s="3">
        <v>842</v>
      </c>
      <c r="C475" s="2" t="s">
        <v>78</v>
      </c>
      <c r="D475" s="2" t="s">
        <v>78</v>
      </c>
      <c r="E475" s="2" t="s">
        <v>222</v>
      </c>
      <c r="F475" s="4" t="s">
        <v>223</v>
      </c>
      <c r="G475" s="4" t="s">
        <v>224</v>
      </c>
      <c r="H475" s="5">
        <v>0</v>
      </c>
      <c r="I475" s="5">
        <v>0</v>
      </c>
      <c r="J475" s="5">
        <v>0</v>
      </c>
      <c r="K475" s="4" t="s">
        <v>111</v>
      </c>
      <c r="L475" s="4" t="s">
        <v>225</v>
      </c>
      <c r="M475" s="6">
        <f>IF(OR(B475="",I475=""),"",B475*I475)</f>
        <v>0</v>
      </c>
      <c r="N475" s="10" t="s">
        <v>10</v>
      </c>
      <c r="O475" s="9"/>
      <c r="P475" s="9"/>
      <c r="Q475" s="22"/>
      <c r="R475" s="22"/>
      <c r="S475" s="23" t="str">
        <f>IF(AND(ISNUMBER(Q475),Q475&gt;0,ISNUMBER(R475),R475&gt;0),R475/Q475,"")</f>
        <v/>
      </c>
      <c r="T475" s="9"/>
      <c r="U475" s="9"/>
      <c r="V475" s="9"/>
      <c r="W475" s="9"/>
      <c r="X475" s="23">
        <f>IF(ISNUMBER(S475),S475,IF(ISNUMBER(I475),I475,""))</f>
        <v>0</v>
      </c>
      <c r="Y475" t="str">
        <f>IF(ISNUMBER(S475),"2025 EIA-923 plant/group proxy",IF(ISNUMBER(I475),"Technology estimate","No thermal heat rate"))</f>
        <v>Technology estimate</v>
      </c>
      <c r="Z475" t="str">
        <f>IF(ISNUMBER(S475),"Review: NOT unit verified",IF(AE475="No match","No EIA match",IF(AF475="Unconfirmed","Unconfirmed EIA candidate","")))</f>
        <v>No EIA match</v>
      </c>
      <c r="AE475" t="s">
        <v>107</v>
      </c>
      <c r="AG475" s="24">
        <f>IF(ISBLANK(S475),S475,I475)</f>
        <v>0</v>
      </c>
      <c r="AH475" s="34">
        <f t="shared" si="20"/>
        <v>43569.399999999994</v>
      </c>
      <c r="AI475">
        <f t="shared" si="19"/>
        <v>27208.327420510966</v>
      </c>
      <c r="AJ475" t="b" cm="1">
        <f t="array" ref="AJ475">OR(D475=$AT$2:$AT$8)</f>
        <v>1</v>
      </c>
    </row>
    <row r="476" spans="1:36" x14ac:dyDescent="0.25">
      <c r="A476" s="2" t="s">
        <v>1659</v>
      </c>
      <c r="B476" s="3">
        <v>1099</v>
      </c>
      <c r="C476" s="2" t="s">
        <v>136</v>
      </c>
      <c r="D476" s="2" t="s">
        <v>136</v>
      </c>
      <c r="E476" s="2" t="s">
        <v>222</v>
      </c>
      <c r="F476" s="4" t="s">
        <v>223</v>
      </c>
      <c r="G476" s="4" t="s">
        <v>224</v>
      </c>
      <c r="H476" s="5">
        <v>0</v>
      </c>
      <c r="I476" s="5">
        <v>0</v>
      </c>
      <c r="J476" s="5">
        <v>0</v>
      </c>
      <c r="K476" s="4" t="s">
        <v>111</v>
      </c>
      <c r="L476" s="4" t="s">
        <v>225</v>
      </c>
      <c r="M476" s="6">
        <f>IF(OR(B476="",I476=""),"",B476*I476)</f>
        <v>0</v>
      </c>
      <c r="N476" s="10" t="s">
        <v>10</v>
      </c>
      <c r="O476" s="9"/>
      <c r="P476" s="9"/>
      <c r="Q476" s="22"/>
      <c r="R476" s="22"/>
      <c r="S476" s="23" t="str">
        <f>IF(AND(ISNUMBER(Q476),Q476&gt;0,ISNUMBER(R476),R476&gt;0),R476/Q476,"")</f>
        <v/>
      </c>
      <c r="T476" s="9"/>
      <c r="U476" s="9"/>
      <c r="V476" s="9"/>
      <c r="W476" s="9"/>
      <c r="X476" s="23">
        <f>IF(ISNUMBER(S476),S476,IF(ISNUMBER(I476),I476,""))</f>
        <v>0</v>
      </c>
      <c r="Y476" t="str">
        <f>IF(ISNUMBER(S476),"2025 EIA-923 plant/group proxy",IF(ISNUMBER(I476),"Technology estimate","No thermal heat rate"))</f>
        <v>Technology estimate</v>
      </c>
      <c r="Z476" t="str">
        <f>IF(ISNUMBER(S476),"Review: NOT unit verified",IF(AE476="No match","No EIA match",IF(AF476="Unconfirmed","Unconfirmed EIA candidate","")))</f>
        <v>No EIA match</v>
      </c>
      <c r="AE476" t="s">
        <v>107</v>
      </c>
      <c r="AG476" s="24">
        <f>IF(ISBLANK(S476),S476,I476)</f>
        <v>0</v>
      </c>
      <c r="AH476" s="34">
        <f t="shared" si="20"/>
        <v>44668.399999999994</v>
      </c>
      <c r="AI476">
        <f t="shared" si="19"/>
        <v>27894.633677543232</v>
      </c>
      <c r="AJ476" t="b" cm="1">
        <f t="array" ref="AJ476">OR(D476=$AT$2:$AT$8)</f>
        <v>0</v>
      </c>
    </row>
    <row r="477" spans="1:36" x14ac:dyDescent="0.25">
      <c r="A477" s="2" t="s">
        <v>1660</v>
      </c>
      <c r="B477" s="3">
        <v>1246.7</v>
      </c>
      <c r="C477" s="2" t="s">
        <v>136</v>
      </c>
      <c r="D477" s="2" t="s">
        <v>76</v>
      </c>
      <c r="E477" s="2" t="s">
        <v>222</v>
      </c>
      <c r="F477" s="4" t="s">
        <v>223</v>
      </c>
      <c r="G477" s="4" t="s">
        <v>224</v>
      </c>
      <c r="H477" s="5">
        <v>0</v>
      </c>
      <c r="I477" s="5">
        <v>0</v>
      </c>
      <c r="J477" s="5">
        <v>0</v>
      </c>
      <c r="K477" s="4" t="s">
        <v>111</v>
      </c>
      <c r="L477" s="4" t="s">
        <v>225</v>
      </c>
      <c r="M477" s="6">
        <f>IF(OR(B477="",I477=""),"",B477*I477)</f>
        <v>0</v>
      </c>
      <c r="N477" s="10" t="s">
        <v>10</v>
      </c>
      <c r="O477" s="9"/>
      <c r="P477" s="9"/>
      <c r="Q477" s="22"/>
      <c r="R477" s="22"/>
      <c r="S477" s="23" t="str">
        <f>IF(AND(ISNUMBER(Q477),Q477&gt;0,ISNUMBER(R477),R477&gt;0),R477/Q477,"")</f>
        <v/>
      </c>
      <c r="T477" s="9"/>
      <c r="U477" s="9"/>
      <c r="V477" s="9"/>
      <c r="W477" s="9"/>
      <c r="X477" s="23">
        <f>IF(ISNUMBER(S477),S477,IF(ISNUMBER(I477),I477,""))</f>
        <v>0</v>
      </c>
      <c r="Y477" t="str">
        <f>IF(ISNUMBER(S477),"2025 EIA-923 plant/group proxy",IF(ISNUMBER(I477),"Technology estimate","No thermal heat rate"))</f>
        <v>Technology estimate</v>
      </c>
      <c r="Z477" t="str">
        <f>IF(ISNUMBER(S477),"Review: NOT unit verified",IF(AE477="No match","No EIA match",IF(AF477="Unconfirmed","Unconfirmed EIA candidate","")))</f>
        <v>No EIA match</v>
      </c>
      <c r="AE477" t="s">
        <v>107</v>
      </c>
      <c r="AG477" s="24">
        <f>IF(ISBLANK(S477),S477,I477)</f>
        <v>0</v>
      </c>
      <c r="AH477" s="34">
        <f t="shared" si="20"/>
        <v>45915.099999999991</v>
      </c>
      <c r="AI477">
        <f t="shared" si="19"/>
        <v>28673.175998418687</v>
      </c>
      <c r="AJ477" t="b" cm="1">
        <f t="array" ref="AJ477">OR(D477=$AT$2:$AT$8)</f>
        <v>0</v>
      </c>
    </row>
    <row r="478" spans="1:36" x14ac:dyDescent="0.25">
      <c r="A478" s="2" t="s">
        <v>79</v>
      </c>
      <c r="B478" s="3">
        <v>12.2</v>
      </c>
      <c r="C478" s="2" t="s">
        <v>80</v>
      </c>
      <c r="D478" s="2" t="s">
        <v>81</v>
      </c>
      <c r="E478" s="2" t="s">
        <v>82</v>
      </c>
      <c r="F478" s="4" t="s">
        <v>83</v>
      </c>
      <c r="G478" s="4" t="s">
        <v>84</v>
      </c>
      <c r="H478" s="5"/>
      <c r="I478" s="5"/>
      <c r="J478" s="5"/>
      <c r="K478" s="4" t="s">
        <v>62</v>
      </c>
      <c r="L478" s="4" t="s">
        <v>63</v>
      </c>
      <c r="M478" s="6" t="str">
        <f>IF(OR(B478="",I478=""),"",B478*I478)</f>
        <v/>
      </c>
      <c r="N478" s="8" t="s">
        <v>64</v>
      </c>
      <c r="O478" s="9"/>
      <c r="P478" s="9"/>
      <c r="Q478" s="22"/>
      <c r="R478" s="22"/>
      <c r="S478" s="23" t="str">
        <f>IF(AND(ISNUMBER(Q478),Q478&gt;0,ISNUMBER(R478),R478&gt;0),R478/Q478,"")</f>
        <v/>
      </c>
      <c r="T478" s="9"/>
      <c r="U478" s="9"/>
      <c r="V478" s="9"/>
      <c r="W478" s="9"/>
      <c r="X478" s="23" t="str">
        <f>IF(ISNUMBER(S478),S478,IF(ISNUMBER(I478),I478,""))</f>
        <v/>
      </c>
      <c r="Y478" t="str">
        <f>IF(ISNUMBER(S478),"2025 EIA-923 plant/group proxy",IF(ISNUMBER(I478),"Technology estimate","No thermal heat rate"))</f>
        <v>No thermal heat rate</v>
      </c>
      <c r="Z478" t="str">
        <f>IF(ISNUMBER(S478),"Review: NOT unit verified",IF(AE478="No match","No EIA match",IF(AF478="Unconfirmed","Unconfirmed EIA candidate","")))</f>
        <v/>
      </c>
      <c r="AE478" t="s">
        <v>65</v>
      </c>
      <c r="AF478" t="s">
        <v>66</v>
      </c>
      <c r="AG478" s="24">
        <f>IF(ISBLANK(S478),S478,I478)</f>
        <v>0</v>
      </c>
      <c r="AH478" s="34">
        <f t="shared" si="20"/>
        <v>45927.299999999988</v>
      </c>
      <c r="AI478">
        <f t="shared" si="19"/>
        <v>28680.79468480248</v>
      </c>
      <c r="AJ478" t="b" cm="1">
        <f t="array" ref="AJ478">OR(D478=$AT$2:$AT$8)</f>
        <v>0</v>
      </c>
    </row>
    <row r="479" spans="1:36" x14ac:dyDescent="0.25">
      <c r="A479" s="2" t="s">
        <v>232</v>
      </c>
      <c r="B479" s="3">
        <v>23.2</v>
      </c>
      <c r="C479" s="2" t="s">
        <v>99</v>
      </c>
      <c r="D479" s="2" t="s">
        <v>81</v>
      </c>
      <c r="E479" s="2" t="s">
        <v>82</v>
      </c>
      <c r="F479" s="4" t="s">
        <v>83</v>
      </c>
      <c r="G479" s="4" t="s">
        <v>84</v>
      </c>
      <c r="H479" s="5"/>
      <c r="I479" s="5"/>
      <c r="J479" s="5"/>
      <c r="K479" s="4" t="s">
        <v>62</v>
      </c>
      <c r="L479" s="4" t="s">
        <v>63</v>
      </c>
      <c r="M479" s="6" t="str">
        <f>IF(OR(B479="",I479=""),"",B479*I479)</f>
        <v/>
      </c>
      <c r="N479" s="8" t="s">
        <v>64</v>
      </c>
      <c r="O479" s="9"/>
      <c r="P479" s="9"/>
      <c r="Q479" s="22"/>
      <c r="R479" s="22"/>
      <c r="S479" s="23" t="str">
        <f>IF(AND(ISNUMBER(Q479),Q479&gt;0,ISNUMBER(R479),R479&gt;0),R479/Q479,"")</f>
        <v/>
      </c>
      <c r="T479" s="9"/>
      <c r="U479" s="9"/>
      <c r="V479" s="9"/>
      <c r="W479" s="9"/>
      <c r="X479" s="23" t="str">
        <f>IF(ISNUMBER(S479),S479,IF(ISNUMBER(I479),I479,""))</f>
        <v/>
      </c>
      <c r="Y479" t="str">
        <f>IF(ISNUMBER(S479),"2025 EIA-923 plant/group proxy",IF(ISNUMBER(I479),"Technology estimate","No thermal heat rate"))</f>
        <v>No thermal heat rate</v>
      </c>
      <c r="Z479" t="str">
        <f>IF(ISNUMBER(S479),"Review: NOT unit verified",IF(AE479="No match","No EIA match",IF(AF479="Unconfirmed","Unconfirmed EIA candidate","")))</f>
        <v/>
      </c>
      <c r="AE479" t="s">
        <v>65</v>
      </c>
      <c r="AF479" t="s">
        <v>66</v>
      </c>
      <c r="AG479" s="24">
        <f>IF(ISBLANK(S479),S479,I479)</f>
        <v>0</v>
      </c>
      <c r="AH479" s="34">
        <f t="shared" si="20"/>
        <v>45950.499999999985</v>
      </c>
      <c r="AI479">
        <f t="shared" si="19"/>
        <v>28695.282678581505</v>
      </c>
      <c r="AJ479" t="b" cm="1">
        <f t="array" ref="AJ479">OR(D479=$AT$2:$AT$8)</f>
        <v>0</v>
      </c>
    </row>
    <row r="480" spans="1:36" x14ac:dyDescent="0.25">
      <c r="A480" s="2" t="s">
        <v>233</v>
      </c>
      <c r="B480" s="3">
        <v>22.7</v>
      </c>
      <c r="C480" s="2" t="s">
        <v>99</v>
      </c>
      <c r="D480" s="2" t="s">
        <v>81</v>
      </c>
      <c r="E480" s="2" t="s">
        <v>82</v>
      </c>
      <c r="F480" s="4" t="s">
        <v>83</v>
      </c>
      <c r="G480" s="4" t="s">
        <v>84</v>
      </c>
      <c r="H480" s="5"/>
      <c r="I480" s="5"/>
      <c r="J480" s="5"/>
      <c r="K480" s="4" t="s">
        <v>62</v>
      </c>
      <c r="L480" s="4" t="s">
        <v>63</v>
      </c>
      <c r="M480" s="6" t="str">
        <f>IF(OR(B480="",I480=""),"",B480*I480)</f>
        <v/>
      </c>
      <c r="N480" s="8" t="s">
        <v>64</v>
      </c>
      <c r="O480" s="9"/>
      <c r="P480" s="9"/>
      <c r="Q480" s="22"/>
      <c r="R480" s="22"/>
      <c r="S480" s="23" t="str">
        <f>IF(AND(ISNUMBER(Q480),Q480&gt;0,ISNUMBER(R480),R480&gt;0),R480/Q480,"")</f>
        <v/>
      </c>
      <c r="T480" s="9"/>
      <c r="U480" s="9"/>
      <c r="V480" s="9"/>
      <c r="W480" s="9"/>
      <c r="X480" s="23" t="str">
        <f>IF(ISNUMBER(S480),S480,IF(ISNUMBER(I480),I480,""))</f>
        <v/>
      </c>
      <c r="Y480" t="str">
        <f>IF(ISNUMBER(S480),"2025 EIA-923 plant/group proxy",IF(ISNUMBER(I480),"Technology estimate","No thermal heat rate"))</f>
        <v>No thermal heat rate</v>
      </c>
      <c r="Z480" t="str">
        <f>IF(ISNUMBER(S480),"Review: NOT unit verified",IF(AE480="No match","No EIA match",IF(AF480="Unconfirmed","Unconfirmed EIA candidate","")))</f>
        <v/>
      </c>
      <c r="AE480" t="s">
        <v>65</v>
      </c>
      <c r="AF480" t="s">
        <v>66</v>
      </c>
      <c r="AG480" s="24">
        <f>IF(ISBLANK(S480),S480,I480)</f>
        <v>0</v>
      </c>
      <c r="AH480" s="34">
        <f t="shared" si="20"/>
        <v>45973.199999999983</v>
      </c>
      <c r="AI480">
        <f t="shared" si="19"/>
        <v>28709.45843111529</v>
      </c>
      <c r="AJ480" t="b" cm="1">
        <f t="array" ref="AJ480">OR(D480=$AT$2:$AT$8)</f>
        <v>0</v>
      </c>
    </row>
    <row r="481" spans="1:36" x14ac:dyDescent="0.25">
      <c r="A481" s="2" t="s">
        <v>247</v>
      </c>
      <c r="B481" s="3">
        <v>3.4</v>
      </c>
      <c r="C481" s="2" t="s">
        <v>99</v>
      </c>
      <c r="D481" s="2" t="s">
        <v>81</v>
      </c>
      <c r="E481" s="2" t="s">
        <v>82</v>
      </c>
      <c r="F481" s="4" t="s">
        <v>83</v>
      </c>
      <c r="G481" s="4" t="s">
        <v>84</v>
      </c>
      <c r="H481" s="5"/>
      <c r="I481" s="5"/>
      <c r="J481" s="5"/>
      <c r="K481" s="4" t="s">
        <v>62</v>
      </c>
      <c r="L481" s="4" t="s">
        <v>63</v>
      </c>
      <c r="M481" s="6" t="str">
        <f>IF(OR(B481="",I481=""),"",B481*I481)</f>
        <v/>
      </c>
      <c r="N481" s="8" t="s">
        <v>64</v>
      </c>
      <c r="O481" s="9"/>
      <c r="P481" s="9"/>
      <c r="Q481" s="22"/>
      <c r="R481" s="22"/>
      <c r="S481" s="23" t="str">
        <f>IF(AND(ISNUMBER(Q481),Q481&gt;0,ISNUMBER(R481),R481&gt;0),R481/Q481,"")</f>
        <v/>
      </c>
      <c r="T481" s="9"/>
      <c r="U481" s="9"/>
      <c r="V481" s="9"/>
      <c r="W481" s="9"/>
      <c r="X481" s="23" t="str">
        <f>IF(ISNUMBER(S481),S481,IF(ISNUMBER(I481),I481,""))</f>
        <v/>
      </c>
      <c r="Y481" t="str">
        <f>IF(ISNUMBER(S481),"2025 EIA-923 plant/group proxy",IF(ISNUMBER(I481),"Technology estimate","No thermal heat rate"))</f>
        <v>No thermal heat rate</v>
      </c>
      <c r="Z481" t="str">
        <f>IF(ISNUMBER(S481),"Review: NOT unit verified",IF(AE481="No match","No EIA match",IF(AF481="Unconfirmed","Unconfirmed EIA candidate","")))</f>
        <v/>
      </c>
      <c r="AE481" t="s">
        <v>65</v>
      </c>
      <c r="AF481" t="s">
        <v>66</v>
      </c>
      <c r="AG481" s="24">
        <f>IF(ISBLANK(S481),S481,I481)</f>
        <v>0</v>
      </c>
      <c r="AH481" s="34">
        <f t="shared" si="20"/>
        <v>45976.599999999984</v>
      </c>
      <c r="AI481">
        <f t="shared" si="19"/>
        <v>28711.581671582906</v>
      </c>
      <c r="AJ481" t="b" cm="1">
        <f t="array" ref="AJ481">OR(D481=$AT$2:$AT$8)</f>
        <v>0</v>
      </c>
    </row>
    <row r="482" spans="1:36" x14ac:dyDescent="0.25">
      <c r="A482" s="2" t="s">
        <v>344</v>
      </c>
      <c r="B482" s="3">
        <v>2</v>
      </c>
      <c r="C482" s="2" t="s">
        <v>99</v>
      </c>
      <c r="D482" s="2" t="s">
        <v>81</v>
      </c>
      <c r="E482" s="2" t="s">
        <v>82</v>
      </c>
      <c r="F482" s="4" t="s">
        <v>83</v>
      </c>
      <c r="G482" s="4" t="s">
        <v>84</v>
      </c>
      <c r="H482" s="5"/>
      <c r="I482" s="5"/>
      <c r="J482" s="5"/>
      <c r="K482" s="4" t="s">
        <v>62</v>
      </c>
      <c r="L482" s="4" t="s">
        <v>63</v>
      </c>
      <c r="M482" s="6" t="str">
        <f>IF(OR(B482="",I482=""),"",B482*I482)</f>
        <v/>
      </c>
      <c r="N482" s="8" t="s">
        <v>64</v>
      </c>
      <c r="O482" s="9"/>
      <c r="P482" s="9"/>
      <c r="Q482" s="22"/>
      <c r="R482" s="22"/>
      <c r="S482" s="23" t="str">
        <f>IF(AND(ISNUMBER(Q482),Q482&gt;0,ISNUMBER(R482),R482&gt;0),R482/Q482,"")</f>
        <v/>
      </c>
      <c r="T482" s="9"/>
      <c r="U482" s="9"/>
      <c r="V482" s="9"/>
      <c r="W482" s="9"/>
      <c r="X482" s="23" t="str">
        <f>IF(ISNUMBER(S482),S482,IF(ISNUMBER(I482),I482,""))</f>
        <v/>
      </c>
      <c r="Y482" t="str">
        <f>IF(ISNUMBER(S482),"2025 EIA-923 plant/group proxy",IF(ISNUMBER(I482),"Technology estimate","No thermal heat rate"))</f>
        <v>No thermal heat rate</v>
      </c>
      <c r="Z482" t="str">
        <f>IF(ISNUMBER(S482),"Review: NOT unit verified",IF(AE482="No match","No EIA match",IF(AF482="Unconfirmed","Unconfirmed EIA candidate","")))</f>
        <v/>
      </c>
      <c r="AE482" t="s">
        <v>65</v>
      </c>
      <c r="AF482" t="s">
        <v>66</v>
      </c>
      <c r="AG482" s="24">
        <f>IF(ISBLANK(S482),S482,I482)</f>
        <v>0</v>
      </c>
      <c r="AH482" s="34">
        <f t="shared" si="20"/>
        <v>45978.599999999984</v>
      </c>
      <c r="AI482">
        <f t="shared" si="19"/>
        <v>28712.830636563856</v>
      </c>
      <c r="AJ482" t="b" cm="1">
        <f t="array" ref="AJ482">OR(D482=$AT$2:$AT$8)</f>
        <v>0</v>
      </c>
    </row>
    <row r="483" spans="1:36" x14ac:dyDescent="0.25">
      <c r="A483" s="2" t="s">
        <v>345</v>
      </c>
      <c r="B483" s="3">
        <v>5.4</v>
      </c>
      <c r="C483" s="2" t="s">
        <v>99</v>
      </c>
      <c r="D483" s="2" t="s">
        <v>81</v>
      </c>
      <c r="E483" s="2" t="s">
        <v>82</v>
      </c>
      <c r="F483" s="4" t="s">
        <v>83</v>
      </c>
      <c r="G483" s="4" t="s">
        <v>84</v>
      </c>
      <c r="H483" s="5"/>
      <c r="I483" s="5"/>
      <c r="J483" s="5"/>
      <c r="K483" s="4" t="s">
        <v>62</v>
      </c>
      <c r="L483" s="4" t="s">
        <v>63</v>
      </c>
      <c r="M483" s="6" t="str">
        <f>IF(OR(B483="",I483=""),"",B483*I483)</f>
        <v/>
      </c>
      <c r="N483" s="8" t="s">
        <v>64</v>
      </c>
      <c r="O483" s="9"/>
      <c r="P483" s="9"/>
      <c r="Q483" s="22"/>
      <c r="R483" s="22"/>
      <c r="S483" s="23" t="str">
        <f>IF(AND(ISNUMBER(Q483),Q483&gt;0,ISNUMBER(R483),R483&gt;0),R483/Q483,"")</f>
        <v/>
      </c>
      <c r="T483" s="9"/>
      <c r="U483" s="9"/>
      <c r="V483" s="9"/>
      <c r="W483" s="9"/>
      <c r="X483" s="23" t="str">
        <f>IF(ISNUMBER(S483),S483,IF(ISNUMBER(I483),I483,""))</f>
        <v/>
      </c>
      <c r="Y483" t="str">
        <f>IF(ISNUMBER(S483),"2025 EIA-923 plant/group proxy",IF(ISNUMBER(I483),"Technology estimate","No thermal heat rate"))</f>
        <v>No thermal heat rate</v>
      </c>
      <c r="Z483" t="str">
        <f>IF(ISNUMBER(S483),"Review: NOT unit verified",IF(AE483="No match","No EIA match",IF(AF483="Unconfirmed","Unconfirmed EIA candidate","")))</f>
        <v/>
      </c>
      <c r="AE483" t="s">
        <v>65</v>
      </c>
      <c r="AF483" t="s">
        <v>66</v>
      </c>
      <c r="AG483" s="24">
        <f>IF(ISBLANK(S483),S483,I483)</f>
        <v>0</v>
      </c>
      <c r="AH483" s="34">
        <f t="shared" si="20"/>
        <v>45983.999999999985</v>
      </c>
      <c r="AI483">
        <f t="shared" si="19"/>
        <v>28716.202842012426</v>
      </c>
      <c r="AJ483" t="b" cm="1">
        <f t="array" ref="AJ483">OR(D483=$AT$2:$AT$8)</f>
        <v>0</v>
      </c>
    </row>
    <row r="484" spans="1:36" x14ac:dyDescent="0.25">
      <c r="A484" s="2" t="s">
        <v>492</v>
      </c>
      <c r="B484" s="3">
        <v>4</v>
      </c>
      <c r="C484" s="2" t="s">
        <v>86</v>
      </c>
      <c r="D484" s="2" t="s">
        <v>76</v>
      </c>
      <c r="E484" s="2" t="s">
        <v>82</v>
      </c>
      <c r="F484" s="4" t="s">
        <v>83</v>
      </c>
      <c r="G484" s="4" t="s">
        <v>84</v>
      </c>
      <c r="H484" s="5"/>
      <c r="I484" s="5"/>
      <c r="J484" s="5"/>
      <c r="K484" s="4" t="s">
        <v>62</v>
      </c>
      <c r="L484" s="4" t="s">
        <v>63</v>
      </c>
      <c r="M484" s="6" t="str">
        <f>IF(OR(B484="",I484=""),"",B484*I484)</f>
        <v/>
      </c>
      <c r="N484" s="8" t="s">
        <v>64</v>
      </c>
      <c r="O484" s="9"/>
      <c r="P484" s="9"/>
      <c r="Q484" s="22"/>
      <c r="R484" s="22"/>
      <c r="S484" s="23" t="str">
        <f>IF(AND(ISNUMBER(Q484),Q484&gt;0,ISNUMBER(R484),R484&gt;0),R484/Q484,"")</f>
        <v/>
      </c>
      <c r="T484" s="9"/>
      <c r="U484" s="9"/>
      <c r="V484" s="9"/>
      <c r="W484" s="9"/>
      <c r="X484" s="23" t="str">
        <f>IF(ISNUMBER(S484),S484,IF(ISNUMBER(I484),I484,""))</f>
        <v/>
      </c>
      <c r="Y484" t="str">
        <f>IF(ISNUMBER(S484),"2025 EIA-923 plant/group proxy",IF(ISNUMBER(I484),"Technology estimate","No thermal heat rate"))</f>
        <v>No thermal heat rate</v>
      </c>
      <c r="Z484" t="str">
        <f>IF(ISNUMBER(S484),"Review: NOT unit verified",IF(AE484="No match","No EIA match",IF(AF484="Unconfirmed","Unconfirmed EIA candidate","")))</f>
        <v/>
      </c>
      <c r="AE484" t="s">
        <v>65</v>
      </c>
      <c r="AF484" t="s">
        <v>66</v>
      </c>
      <c r="AG484" s="24">
        <f>IF(ISBLANK(S484),S484,I484)</f>
        <v>0</v>
      </c>
      <c r="AH484" s="34">
        <f t="shared" si="20"/>
        <v>45987.999999999985</v>
      </c>
      <c r="AI484">
        <f t="shared" si="19"/>
        <v>28718.700771974327</v>
      </c>
      <c r="AJ484" t="b" cm="1">
        <f t="array" ref="AJ484">OR(D484=$AT$2:$AT$8)</f>
        <v>0</v>
      </c>
    </row>
    <row r="485" spans="1:36" x14ac:dyDescent="0.25">
      <c r="A485" s="2" t="s">
        <v>507</v>
      </c>
      <c r="B485" s="3">
        <v>0.4</v>
      </c>
      <c r="C485" s="2" t="s">
        <v>99</v>
      </c>
      <c r="D485" s="2" t="s">
        <v>81</v>
      </c>
      <c r="E485" s="2" t="s">
        <v>82</v>
      </c>
      <c r="F485" s="4" t="s">
        <v>83</v>
      </c>
      <c r="G485" s="4" t="s">
        <v>84</v>
      </c>
      <c r="H485" s="5"/>
      <c r="I485" s="5"/>
      <c r="J485" s="5"/>
      <c r="K485" s="4" t="s">
        <v>62</v>
      </c>
      <c r="L485" s="4" t="s">
        <v>63</v>
      </c>
      <c r="M485" s="6" t="str">
        <f>IF(OR(B485="",I485=""),"",B485*I485)</f>
        <v/>
      </c>
      <c r="N485" s="8" t="s">
        <v>64</v>
      </c>
      <c r="O485" s="9"/>
      <c r="P485" s="9"/>
      <c r="Q485" s="22"/>
      <c r="R485" s="22"/>
      <c r="S485" s="23" t="str">
        <f>IF(AND(ISNUMBER(Q485),Q485&gt;0,ISNUMBER(R485),R485&gt;0),R485/Q485,"")</f>
        <v/>
      </c>
      <c r="T485" s="9"/>
      <c r="U485" s="9"/>
      <c r="V485" s="9"/>
      <c r="W485" s="9"/>
      <c r="X485" s="23" t="str">
        <f>IF(ISNUMBER(S485),S485,IF(ISNUMBER(I485),I485,""))</f>
        <v/>
      </c>
      <c r="Y485" t="str">
        <f>IF(ISNUMBER(S485),"2025 EIA-923 plant/group proxy",IF(ISNUMBER(I485),"Technology estimate","No thermal heat rate"))</f>
        <v>No thermal heat rate</v>
      </c>
      <c r="Z485" t="str">
        <f>IF(ISNUMBER(S485),"Review: NOT unit verified",IF(AE485="No match","No EIA match",IF(AF485="Unconfirmed","Unconfirmed EIA candidate","")))</f>
        <v/>
      </c>
      <c r="AE485" t="s">
        <v>65</v>
      </c>
      <c r="AF485" t="s">
        <v>66</v>
      </c>
      <c r="AG485" s="24">
        <f>IF(ISBLANK(S485),S485,I485)</f>
        <v>0</v>
      </c>
      <c r="AH485" s="34">
        <f t="shared" si="20"/>
        <v>45988.399999999987</v>
      </c>
      <c r="AI485">
        <f t="shared" si="19"/>
        <v>28718.950564970517</v>
      </c>
      <c r="AJ485" t="b" cm="1">
        <f t="array" ref="AJ485">OR(D485=$AT$2:$AT$8)</f>
        <v>0</v>
      </c>
    </row>
    <row r="486" spans="1:36" x14ac:dyDescent="0.25">
      <c r="A486" s="2" t="s">
        <v>556</v>
      </c>
      <c r="B486" s="3">
        <v>4.0999999999999996</v>
      </c>
      <c r="C486" s="2" t="s">
        <v>78</v>
      </c>
      <c r="D486" s="2" t="s">
        <v>78</v>
      </c>
      <c r="E486" s="2" t="s">
        <v>82</v>
      </c>
      <c r="F486" s="4" t="s">
        <v>83</v>
      </c>
      <c r="G486" s="4" t="s">
        <v>84</v>
      </c>
      <c r="H486" s="5"/>
      <c r="I486" s="5"/>
      <c r="J486" s="5"/>
      <c r="K486" s="4" t="s">
        <v>62</v>
      </c>
      <c r="L486" s="4" t="s">
        <v>63</v>
      </c>
      <c r="M486" s="6" t="str">
        <f>IF(OR(B486="",I486=""),"",B486*I486)</f>
        <v/>
      </c>
      <c r="N486" s="8" t="s">
        <v>64</v>
      </c>
      <c r="O486" s="9"/>
      <c r="P486" s="9"/>
      <c r="Q486" s="22"/>
      <c r="R486" s="22"/>
      <c r="S486" s="23" t="str">
        <f>IF(AND(ISNUMBER(Q486),Q486&gt;0,ISNUMBER(R486),R486&gt;0),R486/Q486,"")</f>
        <v/>
      </c>
      <c r="T486" s="9"/>
      <c r="U486" s="9"/>
      <c r="V486" s="9"/>
      <c r="W486" s="9"/>
      <c r="X486" s="23" t="str">
        <f>IF(ISNUMBER(S486),S486,IF(ISNUMBER(I486),I486,""))</f>
        <v/>
      </c>
      <c r="Y486" t="str">
        <f>IF(ISNUMBER(S486),"2025 EIA-923 plant/group proxy",IF(ISNUMBER(I486),"Technology estimate","No thermal heat rate"))</f>
        <v>No thermal heat rate</v>
      </c>
      <c r="Z486" t="str">
        <f>IF(ISNUMBER(S486),"Review: NOT unit verified",IF(AE486="No match","No EIA match",IF(AF486="Unconfirmed","Unconfirmed EIA candidate","")))</f>
        <v/>
      </c>
      <c r="AE486" t="s">
        <v>65</v>
      </c>
      <c r="AF486" t="s">
        <v>66</v>
      </c>
      <c r="AG486" s="24">
        <f>IF(ISBLANK(S486),S486,I486)</f>
        <v>0</v>
      </c>
      <c r="AH486" s="34">
        <f t="shared" si="20"/>
        <v>45992.499999999985</v>
      </c>
      <c r="AI486">
        <f t="shared" si="19"/>
        <v>28721.510943181464</v>
      </c>
      <c r="AJ486" t="b" cm="1">
        <f t="array" ref="AJ486">OR(D486=$AT$2:$AT$8)</f>
        <v>1</v>
      </c>
    </row>
    <row r="487" spans="1:36" x14ac:dyDescent="0.25">
      <c r="A487" s="2" t="s">
        <v>690</v>
      </c>
      <c r="B487" s="3">
        <v>1.4</v>
      </c>
      <c r="C487" s="2" t="s">
        <v>99</v>
      </c>
      <c r="D487" s="2" t="s">
        <v>81</v>
      </c>
      <c r="E487" s="2" t="s">
        <v>82</v>
      </c>
      <c r="F487" s="4" t="s">
        <v>83</v>
      </c>
      <c r="G487" s="4" t="s">
        <v>84</v>
      </c>
      <c r="H487" s="5"/>
      <c r="I487" s="5"/>
      <c r="J487" s="5"/>
      <c r="K487" s="4" t="s">
        <v>62</v>
      </c>
      <c r="L487" s="4" t="s">
        <v>63</v>
      </c>
      <c r="M487" s="6" t="str">
        <f>IF(OR(B487="",I487=""),"",B487*I487)</f>
        <v/>
      </c>
      <c r="N487" s="8" t="s">
        <v>64</v>
      </c>
      <c r="O487" s="9"/>
      <c r="P487" s="9"/>
      <c r="Q487" s="22"/>
      <c r="R487" s="22"/>
      <c r="S487" s="23" t="str">
        <f>IF(AND(ISNUMBER(Q487),Q487&gt;0,ISNUMBER(R487),R487&gt;0),R487/Q487,"")</f>
        <v/>
      </c>
      <c r="T487" s="9"/>
      <c r="U487" s="9"/>
      <c r="V487" s="9"/>
      <c r="W487" s="9"/>
      <c r="X487" s="23" t="str">
        <f>IF(ISNUMBER(S487),S487,IF(ISNUMBER(I487),I487,""))</f>
        <v/>
      </c>
      <c r="Y487" t="str">
        <f>IF(ISNUMBER(S487),"2025 EIA-923 plant/group proxy",IF(ISNUMBER(I487),"Technology estimate","No thermal heat rate"))</f>
        <v>No thermal heat rate</v>
      </c>
      <c r="Z487" t="str">
        <f>IF(ISNUMBER(S487),"Review: NOT unit verified",IF(AE487="No match","No EIA match",IF(AF487="Unconfirmed","Unconfirmed EIA candidate","")))</f>
        <v/>
      </c>
      <c r="AE487" t="s">
        <v>65</v>
      </c>
      <c r="AF487" t="s">
        <v>66</v>
      </c>
      <c r="AG487" s="24">
        <f>IF(ISBLANK(S487),S487,I487)</f>
        <v>0</v>
      </c>
      <c r="AH487" s="34">
        <f t="shared" si="20"/>
        <v>45993.899999999987</v>
      </c>
      <c r="AI487">
        <f t="shared" si="19"/>
        <v>28722.385218668129</v>
      </c>
      <c r="AJ487" t="b" cm="1">
        <f t="array" ref="AJ487">OR(D487=$AT$2:$AT$8)</f>
        <v>0</v>
      </c>
    </row>
    <row r="488" spans="1:36" x14ac:dyDescent="0.25">
      <c r="A488" s="2" t="s">
        <v>818</v>
      </c>
      <c r="B488" s="3">
        <v>3.8</v>
      </c>
      <c r="C488" s="2" t="s">
        <v>99</v>
      </c>
      <c r="D488" s="2" t="s">
        <v>81</v>
      </c>
      <c r="E488" s="2" t="s">
        <v>82</v>
      </c>
      <c r="F488" s="4" t="s">
        <v>83</v>
      </c>
      <c r="G488" s="4" t="s">
        <v>84</v>
      </c>
      <c r="H488" s="5"/>
      <c r="I488" s="5"/>
      <c r="J488" s="5"/>
      <c r="K488" s="4" t="s">
        <v>62</v>
      </c>
      <c r="L488" s="4" t="s">
        <v>63</v>
      </c>
      <c r="M488" s="6" t="str">
        <f>IF(OR(B488="",I488=""),"",B488*I488)</f>
        <v/>
      </c>
      <c r="N488" s="8" t="s">
        <v>64</v>
      </c>
      <c r="O488" s="9"/>
      <c r="P488" s="9"/>
      <c r="Q488" s="22"/>
      <c r="R488" s="22"/>
      <c r="S488" s="23" t="str">
        <f>IF(AND(ISNUMBER(Q488),Q488&gt;0,ISNUMBER(R488),R488&gt;0),R488/Q488,"")</f>
        <v/>
      </c>
      <c r="T488" s="9"/>
      <c r="U488" s="9"/>
      <c r="V488" s="9"/>
      <c r="W488" s="9"/>
      <c r="X488" s="23" t="str">
        <f>IF(ISNUMBER(S488),S488,IF(ISNUMBER(I488),I488,""))</f>
        <v/>
      </c>
      <c r="Y488" t="str">
        <f>IF(ISNUMBER(S488),"2025 EIA-923 plant/group proxy",IF(ISNUMBER(I488),"Technology estimate","No thermal heat rate"))</f>
        <v>No thermal heat rate</v>
      </c>
      <c r="Z488" t="str">
        <f>IF(ISNUMBER(S488),"Review: NOT unit verified",IF(AE488="No match","No EIA match",IF(AF488="Unconfirmed","Unconfirmed EIA candidate","")))</f>
        <v/>
      </c>
      <c r="AE488" t="s">
        <v>65</v>
      </c>
      <c r="AF488" t="s">
        <v>66</v>
      </c>
      <c r="AG488" s="24">
        <f>IF(ISBLANK(S488),S488,I488)</f>
        <v>0</v>
      </c>
      <c r="AH488" s="34">
        <f t="shared" si="20"/>
        <v>45997.69999999999</v>
      </c>
      <c r="AI488">
        <f t="shared" si="19"/>
        <v>28724.758252131938</v>
      </c>
      <c r="AJ488" t="b" cm="1">
        <f t="array" ref="AJ488">OR(D488=$AT$2:$AT$8)</f>
        <v>0</v>
      </c>
    </row>
    <row r="489" spans="1:36" x14ac:dyDescent="0.25">
      <c r="A489" s="2" t="s">
        <v>847</v>
      </c>
      <c r="B489" s="3">
        <v>3.8</v>
      </c>
      <c r="C489" s="2" t="s">
        <v>228</v>
      </c>
      <c r="D489" s="2" t="s">
        <v>237</v>
      </c>
      <c r="E489" s="2" t="s">
        <v>82</v>
      </c>
      <c r="F489" s="4" t="s">
        <v>83</v>
      </c>
      <c r="G489" s="4" t="s">
        <v>84</v>
      </c>
      <c r="H489" s="5"/>
      <c r="I489" s="5"/>
      <c r="J489" s="5"/>
      <c r="K489" s="4" t="s">
        <v>62</v>
      </c>
      <c r="L489" s="4" t="s">
        <v>63</v>
      </c>
      <c r="M489" s="6" t="str">
        <f>IF(OR(B489="",I489=""),"",B489*I489)</f>
        <v/>
      </c>
      <c r="N489" s="8" t="s">
        <v>64</v>
      </c>
      <c r="O489" s="9"/>
      <c r="P489" s="9"/>
      <c r="Q489" s="22"/>
      <c r="R489" s="22"/>
      <c r="S489" s="23" t="str">
        <f>IF(AND(ISNUMBER(Q489),Q489&gt;0,ISNUMBER(R489),R489&gt;0),R489/Q489,"")</f>
        <v/>
      </c>
      <c r="T489" s="9"/>
      <c r="U489" s="9"/>
      <c r="V489" s="9"/>
      <c r="W489" s="9"/>
      <c r="X489" s="23" t="str">
        <f>IF(ISNUMBER(S489),S489,IF(ISNUMBER(I489),I489,""))</f>
        <v/>
      </c>
      <c r="Y489" t="str">
        <f>IF(ISNUMBER(S489),"2025 EIA-923 plant/group proxy",IF(ISNUMBER(I489),"Technology estimate","No thermal heat rate"))</f>
        <v>No thermal heat rate</v>
      </c>
      <c r="Z489" t="str">
        <f>IF(ISNUMBER(S489),"Review: NOT unit verified",IF(AE489="No match","No EIA match",IF(AF489="Unconfirmed","Unconfirmed EIA candidate","")))</f>
        <v/>
      </c>
      <c r="AE489" t="s">
        <v>65</v>
      </c>
      <c r="AF489" t="s">
        <v>66</v>
      </c>
      <c r="AG489" s="24">
        <f>IF(ISBLANK(S489),S489,I489)</f>
        <v>0</v>
      </c>
      <c r="AH489" s="34">
        <f t="shared" si="20"/>
        <v>46001.499999999993</v>
      </c>
      <c r="AI489">
        <f t="shared" si="19"/>
        <v>28727.131285595744</v>
      </c>
      <c r="AJ489" t="b" cm="1">
        <f t="array" ref="AJ489">OR(D489=$AT$2:$AT$8)</f>
        <v>0</v>
      </c>
    </row>
    <row r="490" spans="1:36" x14ac:dyDescent="0.25">
      <c r="A490" s="2" t="s">
        <v>855</v>
      </c>
      <c r="B490" s="3">
        <v>62.1</v>
      </c>
      <c r="C490" s="2" t="s">
        <v>294</v>
      </c>
      <c r="D490" s="2" t="s">
        <v>81</v>
      </c>
      <c r="E490" s="2" t="s">
        <v>82</v>
      </c>
      <c r="F490" s="4" t="s">
        <v>83</v>
      </c>
      <c r="G490" s="4" t="s">
        <v>84</v>
      </c>
      <c r="H490" s="5"/>
      <c r="I490" s="5"/>
      <c r="J490" s="5"/>
      <c r="K490" s="4" t="s">
        <v>62</v>
      </c>
      <c r="L490" s="4" t="s">
        <v>63</v>
      </c>
      <c r="M490" s="6" t="str">
        <f>IF(OR(B490="",I490=""),"",B490*I490)</f>
        <v/>
      </c>
      <c r="N490" s="8" t="s">
        <v>64</v>
      </c>
      <c r="O490" s="9"/>
      <c r="P490" s="9"/>
      <c r="Q490" s="22"/>
      <c r="R490" s="22"/>
      <c r="S490" s="23" t="str">
        <f>IF(AND(ISNUMBER(Q490),Q490&gt;0,ISNUMBER(R490),R490&gt;0),R490/Q490,"")</f>
        <v/>
      </c>
      <c r="T490" s="9"/>
      <c r="U490" s="9"/>
      <c r="V490" s="9"/>
      <c r="W490" s="9"/>
      <c r="X490" s="23" t="str">
        <f>IF(ISNUMBER(S490),S490,IF(ISNUMBER(I490),I490,""))</f>
        <v/>
      </c>
      <c r="Y490" t="str">
        <f>IF(ISNUMBER(S490),"2025 EIA-923 plant/group proxy",IF(ISNUMBER(I490),"Technology estimate","No thermal heat rate"))</f>
        <v>No thermal heat rate</v>
      </c>
      <c r="Z490" t="str">
        <f>IF(ISNUMBER(S490),"Review: NOT unit verified",IF(AE490="No match","No EIA match",IF(AF490="Unconfirmed","Unconfirmed EIA candidate","")))</f>
        <v/>
      </c>
      <c r="AE490" t="s">
        <v>65</v>
      </c>
      <c r="AF490" t="s">
        <v>66</v>
      </c>
      <c r="AG490" s="24">
        <f>IF(ISBLANK(S490),S490,I490)</f>
        <v>0</v>
      </c>
      <c r="AH490" s="34">
        <f t="shared" si="20"/>
        <v>46063.599999999991</v>
      </c>
      <c r="AI490">
        <f t="shared" si="19"/>
        <v>28765.911648254256</v>
      </c>
      <c r="AJ490" t="b" cm="1">
        <f t="array" ref="AJ490">OR(D490=$AT$2:$AT$8)</f>
        <v>0</v>
      </c>
    </row>
    <row r="491" spans="1:36" x14ac:dyDescent="0.25">
      <c r="A491" s="2" t="s">
        <v>888</v>
      </c>
      <c r="B491" s="3">
        <v>19</v>
      </c>
      <c r="C491" s="2" t="s">
        <v>80</v>
      </c>
      <c r="D491" s="2" t="s">
        <v>81</v>
      </c>
      <c r="E491" s="2" t="s">
        <v>82</v>
      </c>
      <c r="F491" s="4" t="s">
        <v>83</v>
      </c>
      <c r="G491" s="4" t="s">
        <v>84</v>
      </c>
      <c r="H491" s="5"/>
      <c r="I491" s="5"/>
      <c r="J491" s="5"/>
      <c r="K491" s="4" t="s">
        <v>62</v>
      </c>
      <c r="L491" s="4" t="s">
        <v>63</v>
      </c>
      <c r="M491" s="6" t="str">
        <f>IF(OR(B491="",I491=""),"",B491*I491)</f>
        <v/>
      </c>
      <c r="N491" s="8" t="s">
        <v>64</v>
      </c>
      <c r="O491" s="9"/>
      <c r="P491" s="9"/>
      <c r="Q491" s="22"/>
      <c r="R491" s="22"/>
      <c r="S491" s="23" t="str">
        <f>IF(AND(ISNUMBER(Q491),Q491&gt;0,ISNUMBER(R491),R491&gt;0),R491/Q491,"")</f>
        <v/>
      </c>
      <c r="T491" s="9"/>
      <c r="U491" s="9"/>
      <c r="V491" s="9"/>
      <c r="W491" s="9"/>
      <c r="X491" s="23" t="str">
        <f>IF(ISNUMBER(S491),S491,IF(ISNUMBER(I491),I491,""))</f>
        <v/>
      </c>
      <c r="Y491" t="str">
        <f>IF(ISNUMBER(S491),"2025 EIA-923 plant/group proxy",IF(ISNUMBER(I491),"Technology estimate","No thermal heat rate"))</f>
        <v>No thermal heat rate</v>
      </c>
      <c r="Z491" t="str">
        <f>IF(ISNUMBER(S491),"Review: NOT unit verified",IF(AE491="No match","No EIA match",IF(AF491="Unconfirmed","Unconfirmed EIA candidate","")))</f>
        <v/>
      </c>
      <c r="AE491" t="s">
        <v>65</v>
      </c>
      <c r="AF491" t="s">
        <v>66</v>
      </c>
      <c r="AG491" s="24">
        <f>IF(ISBLANK(S491),S491,I491)</f>
        <v>0</v>
      </c>
      <c r="AH491" s="34">
        <f t="shared" si="20"/>
        <v>46082.599999999991</v>
      </c>
      <c r="AI491">
        <f t="shared" si="19"/>
        <v>28777.776815573285</v>
      </c>
      <c r="AJ491" t="b" cm="1">
        <f t="array" ref="AJ491">OR(D491=$AT$2:$AT$8)</f>
        <v>0</v>
      </c>
    </row>
    <row r="492" spans="1:36" x14ac:dyDescent="0.25">
      <c r="A492" s="2" t="s">
        <v>1076</v>
      </c>
      <c r="B492" s="3">
        <v>13.2</v>
      </c>
      <c r="C492" s="2" t="s">
        <v>99</v>
      </c>
      <c r="D492" s="2" t="s">
        <v>81</v>
      </c>
      <c r="E492" s="2" t="s">
        <v>82</v>
      </c>
      <c r="F492" s="4" t="s">
        <v>83</v>
      </c>
      <c r="G492" s="4" t="s">
        <v>84</v>
      </c>
      <c r="H492" s="5"/>
      <c r="I492" s="5"/>
      <c r="J492" s="5"/>
      <c r="K492" s="4" t="s">
        <v>62</v>
      </c>
      <c r="L492" s="4" t="s">
        <v>63</v>
      </c>
      <c r="M492" s="6" t="str">
        <f>IF(OR(B492="",I492=""),"",B492*I492)</f>
        <v/>
      </c>
      <c r="N492" s="8" t="s">
        <v>64</v>
      </c>
      <c r="O492" s="9"/>
      <c r="P492" s="9"/>
      <c r="Q492" s="22"/>
      <c r="R492" s="22"/>
      <c r="S492" s="23" t="str">
        <f>IF(AND(ISNUMBER(Q492),Q492&gt;0,ISNUMBER(R492),R492&gt;0),R492/Q492,"")</f>
        <v/>
      </c>
      <c r="T492" s="9"/>
      <c r="U492" s="9"/>
      <c r="V492" s="9"/>
      <c r="W492" s="9"/>
      <c r="X492" s="23" t="str">
        <f>IF(ISNUMBER(S492),S492,IF(ISNUMBER(I492),I492,""))</f>
        <v/>
      </c>
      <c r="Y492" t="str">
        <f>IF(ISNUMBER(S492),"2025 EIA-923 plant/group proxy",IF(ISNUMBER(I492),"Technology estimate","No thermal heat rate"))</f>
        <v>No thermal heat rate</v>
      </c>
      <c r="Z492" t="str">
        <f>IF(ISNUMBER(S492),"Review: NOT unit verified",IF(AE492="No match","No EIA match",IF(AF492="Unconfirmed","Unconfirmed EIA candidate","")))</f>
        <v/>
      </c>
      <c r="AE492" t="s">
        <v>65</v>
      </c>
      <c r="AF492" t="s">
        <v>66</v>
      </c>
      <c r="AG492" s="24">
        <f>IF(ISBLANK(S492),S492,I492)</f>
        <v>0</v>
      </c>
      <c r="AH492" s="34">
        <f t="shared" si="20"/>
        <v>46095.799999999988</v>
      </c>
      <c r="AI492">
        <f t="shared" si="19"/>
        <v>28786.019984447557</v>
      </c>
      <c r="AJ492" t="b" cm="1">
        <f t="array" ref="AJ492">OR(D492=$AT$2:$AT$8)</f>
        <v>0</v>
      </c>
    </row>
    <row r="493" spans="1:36" x14ac:dyDescent="0.25">
      <c r="A493" s="2" t="s">
        <v>1110</v>
      </c>
      <c r="B493" s="3">
        <v>6.5</v>
      </c>
      <c r="C493" s="2" t="s">
        <v>99</v>
      </c>
      <c r="D493" s="2" t="s">
        <v>81</v>
      </c>
      <c r="E493" s="2" t="s">
        <v>82</v>
      </c>
      <c r="F493" s="4" t="s">
        <v>83</v>
      </c>
      <c r="G493" s="4" t="s">
        <v>84</v>
      </c>
      <c r="H493" s="5"/>
      <c r="I493" s="5"/>
      <c r="J493" s="5"/>
      <c r="K493" s="4" t="s">
        <v>62</v>
      </c>
      <c r="L493" s="4" t="s">
        <v>63</v>
      </c>
      <c r="M493" s="6" t="str">
        <f>IF(OR(B493="",I493=""),"",B493*I493)</f>
        <v/>
      </c>
      <c r="N493" s="8" t="s">
        <v>64</v>
      </c>
      <c r="O493" s="9"/>
      <c r="P493" s="9"/>
      <c r="Q493" s="22"/>
      <c r="R493" s="22"/>
      <c r="S493" s="23" t="str">
        <f>IF(AND(ISNUMBER(Q493),Q493&gt;0,ISNUMBER(R493),R493&gt;0),R493/Q493,"")</f>
        <v/>
      </c>
      <c r="T493" s="9"/>
      <c r="U493" s="9"/>
      <c r="V493" s="9"/>
      <c r="W493" s="9"/>
      <c r="X493" s="23" t="str">
        <f>IF(ISNUMBER(S493),S493,IF(ISNUMBER(I493),I493,""))</f>
        <v/>
      </c>
      <c r="Y493" t="str">
        <f>IF(ISNUMBER(S493),"2025 EIA-923 plant/group proxy",IF(ISNUMBER(I493),"Technology estimate","No thermal heat rate"))</f>
        <v>No thermal heat rate</v>
      </c>
      <c r="Z493" t="str">
        <f>IF(ISNUMBER(S493),"Review: NOT unit verified",IF(AE493="No match","No EIA match",IF(AF493="Unconfirmed","Unconfirmed EIA candidate","")))</f>
        <v/>
      </c>
      <c r="AE493" t="s">
        <v>65</v>
      </c>
      <c r="AF493" t="s">
        <v>66</v>
      </c>
      <c r="AG493" s="24">
        <f>IF(ISBLANK(S493),S493,I493)</f>
        <v>0</v>
      </c>
      <c r="AH493" s="34">
        <f t="shared" si="20"/>
        <v>46102.299999999988</v>
      </c>
      <c r="AI493">
        <f t="shared" si="19"/>
        <v>28790.079120635644</v>
      </c>
      <c r="AJ493" t="b" cm="1">
        <f t="array" ref="AJ493">OR(D493=$AT$2:$AT$8)</f>
        <v>0</v>
      </c>
    </row>
    <row r="494" spans="1:36" x14ac:dyDescent="0.25">
      <c r="A494" s="2" t="s">
        <v>1132</v>
      </c>
      <c r="B494" s="3">
        <v>1.4</v>
      </c>
      <c r="C494" s="2" t="s">
        <v>80</v>
      </c>
      <c r="D494" s="2" t="s">
        <v>81</v>
      </c>
      <c r="E494" s="2" t="s">
        <v>82</v>
      </c>
      <c r="F494" s="4" t="s">
        <v>83</v>
      </c>
      <c r="G494" s="4" t="s">
        <v>84</v>
      </c>
      <c r="H494" s="5"/>
      <c r="I494" s="5"/>
      <c r="J494" s="5"/>
      <c r="K494" s="4" t="s">
        <v>62</v>
      </c>
      <c r="L494" s="4" t="s">
        <v>63</v>
      </c>
      <c r="M494" s="6" t="str">
        <f>IF(OR(B494="",I494=""),"",B494*I494)</f>
        <v/>
      </c>
      <c r="N494" s="8" t="s">
        <v>64</v>
      </c>
      <c r="O494" s="9"/>
      <c r="P494" s="9"/>
      <c r="Q494" s="22"/>
      <c r="R494" s="22"/>
      <c r="S494" s="23" t="str">
        <f>IF(AND(ISNUMBER(Q494),Q494&gt;0,ISNUMBER(R494),R494&gt;0),R494/Q494,"")</f>
        <v/>
      </c>
      <c r="T494" s="9"/>
      <c r="U494" s="9"/>
      <c r="V494" s="9"/>
      <c r="W494" s="9"/>
      <c r="X494" s="23" t="str">
        <f>IF(ISNUMBER(S494),S494,IF(ISNUMBER(I494),I494,""))</f>
        <v/>
      </c>
      <c r="Y494" t="str">
        <f>IF(ISNUMBER(S494),"2025 EIA-923 plant/group proxy",IF(ISNUMBER(I494),"Technology estimate","No thermal heat rate"))</f>
        <v>No thermal heat rate</v>
      </c>
      <c r="Z494" t="str">
        <f>IF(ISNUMBER(S494),"Review: NOT unit verified",IF(AE494="No match","No EIA match",IF(AF494="Unconfirmed","Unconfirmed EIA candidate","")))</f>
        <v/>
      </c>
      <c r="AE494" t="s">
        <v>65</v>
      </c>
      <c r="AF494" t="s">
        <v>66</v>
      </c>
      <c r="AG494" s="24">
        <f>IF(ISBLANK(S494),S494,I494)</f>
        <v>0</v>
      </c>
      <c r="AH494" s="34">
        <f t="shared" si="20"/>
        <v>46103.69999999999</v>
      </c>
      <c r="AI494">
        <f t="shared" si="19"/>
        <v>28790.95339612231</v>
      </c>
      <c r="AJ494" t="b" cm="1">
        <f t="array" ref="AJ494">OR(D494=$AT$2:$AT$8)</f>
        <v>0</v>
      </c>
    </row>
    <row r="495" spans="1:36" x14ac:dyDescent="0.25">
      <c r="A495" s="2" t="s">
        <v>1138</v>
      </c>
      <c r="B495" s="3">
        <v>6.3</v>
      </c>
      <c r="C495" s="2" t="s">
        <v>99</v>
      </c>
      <c r="D495" s="2" t="s">
        <v>81</v>
      </c>
      <c r="E495" s="2" t="s">
        <v>82</v>
      </c>
      <c r="F495" s="4" t="s">
        <v>83</v>
      </c>
      <c r="G495" s="4" t="s">
        <v>84</v>
      </c>
      <c r="H495" s="5"/>
      <c r="I495" s="5"/>
      <c r="J495" s="5"/>
      <c r="K495" s="4" t="s">
        <v>62</v>
      </c>
      <c r="L495" s="4" t="s">
        <v>63</v>
      </c>
      <c r="M495" s="6" t="str">
        <f>IF(OR(B495="",I495=""),"",B495*I495)</f>
        <v/>
      </c>
      <c r="N495" s="8" t="s">
        <v>64</v>
      </c>
      <c r="O495" s="9"/>
      <c r="P495" s="9"/>
      <c r="Q495" s="22"/>
      <c r="R495" s="22"/>
      <c r="S495" s="23" t="str">
        <f>IF(AND(ISNUMBER(Q495),Q495&gt;0,ISNUMBER(R495),R495&gt;0),R495/Q495,"")</f>
        <v/>
      </c>
      <c r="T495" s="9"/>
      <c r="U495" s="9"/>
      <c r="V495" s="9"/>
      <c r="W495" s="9"/>
      <c r="X495" s="23" t="str">
        <f>IF(ISNUMBER(S495),S495,IF(ISNUMBER(I495),I495,""))</f>
        <v/>
      </c>
      <c r="Y495" t="str">
        <f>IF(ISNUMBER(S495),"2025 EIA-923 plant/group proxy",IF(ISNUMBER(I495),"Technology estimate","No thermal heat rate"))</f>
        <v>No thermal heat rate</v>
      </c>
      <c r="Z495" t="str">
        <f>IF(ISNUMBER(S495),"Review: NOT unit verified",IF(AE495="No match","No EIA match",IF(AF495="Unconfirmed","Unconfirmed EIA candidate","")))</f>
        <v/>
      </c>
      <c r="AE495" t="s">
        <v>65</v>
      </c>
      <c r="AF495" t="s">
        <v>66</v>
      </c>
      <c r="AG495" s="24">
        <f>IF(ISBLANK(S495),S495,I495)</f>
        <v>0</v>
      </c>
      <c r="AH495" s="34">
        <f t="shared" si="20"/>
        <v>46109.999999999993</v>
      </c>
      <c r="AI495">
        <f t="shared" si="19"/>
        <v>28794.887635812305</v>
      </c>
      <c r="AJ495" t="b" cm="1">
        <f t="array" ref="AJ495">OR(D495=$AT$2:$AT$8)</f>
        <v>0</v>
      </c>
    </row>
    <row r="496" spans="1:36" x14ac:dyDescent="0.25">
      <c r="A496" s="2" t="s">
        <v>1159</v>
      </c>
      <c r="B496" s="3">
        <v>34.200000000000003</v>
      </c>
      <c r="C496" s="2" t="s">
        <v>319</v>
      </c>
      <c r="D496" s="2" t="s">
        <v>319</v>
      </c>
      <c r="E496" s="2" t="s">
        <v>82</v>
      </c>
      <c r="F496" s="4" t="s">
        <v>83</v>
      </c>
      <c r="G496" s="4" t="s">
        <v>84</v>
      </c>
      <c r="H496" s="5"/>
      <c r="I496" s="5"/>
      <c r="J496" s="5"/>
      <c r="K496" s="4" t="s">
        <v>62</v>
      </c>
      <c r="L496" s="4" t="s">
        <v>63</v>
      </c>
      <c r="M496" s="6" t="str">
        <f>IF(OR(B496="",I496=""),"",B496*I496)</f>
        <v/>
      </c>
      <c r="N496" s="8" t="s">
        <v>64</v>
      </c>
      <c r="O496" s="9"/>
      <c r="P496" s="9"/>
      <c r="Q496" s="22"/>
      <c r="R496" s="22"/>
      <c r="S496" s="23" t="str">
        <f>IF(AND(ISNUMBER(Q496),Q496&gt;0,ISNUMBER(R496),R496&gt;0),R496/Q496,"")</f>
        <v/>
      </c>
      <c r="T496" s="9"/>
      <c r="U496" s="9"/>
      <c r="V496" s="9"/>
      <c r="W496" s="9"/>
      <c r="X496" s="23" t="str">
        <f>IF(ISNUMBER(S496),S496,IF(ISNUMBER(I496),I496,""))</f>
        <v/>
      </c>
      <c r="Y496" t="str">
        <f>IF(ISNUMBER(S496),"2025 EIA-923 plant/group proxy",IF(ISNUMBER(I496),"Technology estimate","No thermal heat rate"))</f>
        <v>No thermal heat rate</v>
      </c>
      <c r="Z496" t="str">
        <f>IF(ISNUMBER(S496),"Review: NOT unit verified",IF(AE496="No match","No EIA match",IF(AF496="Unconfirmed","Unconfirmed EIA candidate","")))</f>
        <v/>
      </c>
      <c r="AE496" t="s">
        <v>65</v>
      </c>
      <c r="AF496" t="s">
        <v>66</v>
      </c>
      <c r="AG496" s="24">
        <f>IF(ISBLANK(S496),S496,I496)</f>
        <v>0</v>
      </c>
      <c r="AH496" s="34">
        <f t="shared" si="20"/>
        <v>46144.19999999999</v>
      </c>
      <c r="AI496">
        <f t="shared" si="19"/>
        <v>28816.244936986557</v>
      </c>
      <c r="AJ496" t="b" cm="1">
        <f t="array" ref="AJ496">OR(D496=$AT$2:$AT$8)</f>
        <v>0</v>
      </c>
    </row>
    <row r="497" spans="1:36" x14ac:dyDescent="0.25">
      <c r="A497" s="2" t="s">
        <v>1160</v>
      </c>
      <c r="B497" s="3">
        <v>34.700000000000003</v>
      </c>
      <c r="C497" s="2" t="s">
        <v>319</v>
      </c>
      <c r="D497" s="2" t="s">
        <v>319</v>
      </c>
      <c r="E497" s="2" t="s">
        <v>82</v>
      </c>
      <c r="F497" s="4" t="s">
        <v>83</v>
      </c>
      <c r="G497" s="4" t="s">
        <v>84</v>
      </c>
      <c r="H497" s="5"/>
      <c r="I497" s="5"/>
      <c r="J497" s="5"/>
      <c r="K497" s="4" t="s">
        <v>62</v>
      </c>
      <c r="L497" s="4" t="s">
        <v>63</v>
      </c>
      <c r="M497" s="6" t="str">
        <f>IF(OR(B497="",I497=""),"",B497*I497)</f>
        <v/>
      </c>
      <c r="N497" s="8" t="s">
        <v>64</v>
      </c>
      <c r="O497" s="9"/>
      <c r="P497" s="9"/>
      <c r="Q497" s="22"/>
      <c r="R497" s="22"/>
      <c r="S497" s="23" t="str">
        <f>IF(AND(ISNUMBER(Q497),Q497&gt;0,ISNUMBER(R497),R497&gt;0),R497/Q497,"")</f>
        <v/>
      </c>
      <c r="T497" s="9"/>
      <c r="U497" s="9"/>
      <c r="V497" s="9"/>
      <c r="W497" s="9"/>
      <c r="X497" s="23" t="str">
        <f>IF(ISNUMBER(S497),S497,IF(ISNUMBER(I497),I497,""))</f>
        <v/>
      </c>
      <c r="Y497" t="str">
        <f>IF(ISNUMBER(S497),"2025 EIA-923 plant/group proxy",IF(ISNUMBER(I497),"Technology estimate","No thermal heat rate"))</f>
        <v>No thermal heat rate</v>
      </c>
      <c r="Z497" t="str">
        <f>IF(ISNUMBER(S497),"Review: NOT unit verified",IF(AE497="No match","No EIA match",IF(AF497="Unconfirmed","Unconfirmed EIA candidate","")))</f>
        <v/>
      </c>
      <c r="AE497" t="s">
        <v>65</v>
      </c>
      <c r="AF497" t="s">
        <v>66</v>
      </c>
      <c r="AG497" s="24">
        <f>IF(ISBLANK(S497),S497,I497)</f>
        <v>0</v>
      </c>
      <c r="AH497" s="34">
        <f t="shared" si="20"/>
        <v>46178.899999999987</v>
      </c>
      <c r="AI497">
        <f t="shared" si="19"/>
        <v>28837.914479406045</v>
      </c>
      <c r="AJ497" t="b" cm="1">
        <f t="array" ref="AJ497">OR(D497=$AT$2:$AT$8)</f>
        <v>0</v>
      </c>
    </row>
    <row r="498" spans="1:36" x14ac:dyDescent="0.25">
      <c r="A498" s="2" t="s">
        <v>1161</v>
      </c>
      <c r="B498" s="3">
        <v>34.4</v>
      </c>
      <c r="C498" s="2" t="s">
        <v>319</v>
      </c>
      <c r="D498" s="2" t="s">
        <v>319</v>
      </c>
      <c r="E498" s="2" t="s">
        <v>82</v>
      </c>
      <c r="F498" s="4" t="s">
        <v>83</v>
      </c>
      <c r="G498" s="4" t="s">
        <v>84</v>
      </c>
      <c r="H498" s="5"/>
      <c r="I498" s="5"/>
      <c r="J498" s="5"/>
      <c r="K498" s="4" t="s">
        <v>62</v>
      </c>
      <c r="L498" s="4" t="s">
        <v>63</v>
      </c>
      <c r="M498" s="6" t="str">
        <f>IF(OR(B498="",I498=""),"",B498*I498)</f>
        <v/>
      </c>
      <c r="N498" s="8" t="s">
        <v>64</v>
      </c>
      <c r="O498" s="9"/>
      <c r="P498" s="9"/>
      <c r="Q498" s="22"/>
      <c r="R498" s="22"/>
      <c r="S498" s="23" t="str">
        <f>IF(AND(ISNUMBER(Q498),Q498&gt;0,ISNUMBER(R498),R498&gt;0),R498/Q498,"")</f>
        <v/>
      </c>
      <c r="T498" s="9"/>
      <c r="U498" s="9"/>
      <c r="V498" s="9"/>
      <c r="W498" s="9"/>
      <c r="X498" s="23" t="str">
        <f>IF(ISNUMBER(S498),S498,IF(ISNUMBER(I498),I498,""))</f>
        <v/>
      </c>
      <c r="Y498" t="str">
        <f>IF(ISNUMBER(S498),"2025 EIA-923 plant/group proxy",IF(ISNUMBER(I498),"Technology estimate","No thermal heat rate"))</f>
        <v>No thermal heat rate</v>
      </c>
      <c r="Z498" t="str">
        <f>IF(ISNUMBER(S498),"Review: NOT unit verified",IF(AE498="No match","No EIA match",IF(AF498="Unconfirmed","Unconfirmed EIA candidate","")))</f>
        <v/>
      </c>
      <c r="AE498" t="s">
        <v>65</v>
      </c>
      <c r="AF498" t="s">
        <v>66</v>
      </c>
      <c r="AG498" s="24">
        <f>IF(ISBLANK(S498),S498,I498)</f>
        <v>0</v>
      </c>
      <c r="AH498" s="34">
        <f t="shared" si="20"/>
        <v>46213.299999999988</v>
      </c>
      <c r="AI498">
        <f t="shared" si="19"/>
        <v>28859.396677078395</v>
      </c>
      <c r="AJ498" t="b" cm="1">
        <f t="array" ref="AJ498">OR(D498=$AT$2:$AT$8)</f>
        <v>0</v>
      </c>
    </row>
    <row r="499" spans="1:36" x14ac:dyDescent="0.25">
      <c r="A499" s="2" t="s">
        <v>1222</v>
      </c>
      <c r="B499" s="3">
        <v>0.6</v>
      </c>
      <c r="C499" s="2" t="s">
        <v>99</v>
      </c>
      <c r="D499" s="2" t="s">
        <v>81</v>
      </c>
      <c r="E499" s="2" t="s">
        <v>82</v>
      </c>
      <c r="F499" s="4" t="s">
        <v>83</v>
      </c>
      <c r="G499" s="4" t="s">
        <v>84</v>
      </c>
      <c r="H499" s="5"/>
      <c r="I499" s="5"/>
      <c r="J499" s="5"/>
      <c r="K499" s="4" t="s">
        <v>62</v>
      </c>
      <c r="L499" s="4" t="s">
        <v>63</v>
      </c>
      <c r="M499" s="6" t="str">
        <f>IF(OR(B499="",I499=""),"",B499*I499)</f>
        <v/>
      </c>
      <c r="N499" s="8" t="s">
        <v>64</v>
      </c>
      <c r="O499" s="9"/>
      <c r="P499" s="9"/>
      <c r="Q499" s="22"/>
      <c r="R499" s="22"/>
      <c r="S499" s="23" t="str">
        <f>IF(AND(ISNUMBER(Q499),Q499&gt;0,ISNUMBER(R499),R499&gt;0),R499/Q499,"")</f>
        <v/>
      </c>
      <c r="T499" s="9"/>
      <c r="U499" s="9"/>
      <c r="V499" s="9"/>
      <c r="W499" s="9"/>
      <c r="X499" s="23" t="str">
        <f>IF(ISNUMBER(S499),S499,IF(ISNUMBER(I499),I499,""))</f>
        <v/>
      </c>
      <c r="Y499" t="str">
        <f>IF(ISNUMBER(S499),"2025 EIA-923 plant/group proxy",IF(ISNUMBER(I499),"Technology estimate","No thermal heat rate"))</f>
        <v>No thermal heat rate</v>
      </c>
      <c r="Z499" t="str">
        <f>IF(ISNUMBER(S499),"Review: NOT unit verified",IF(AE499="No match","No EIA match",IF(AF499="Unconfirmed","Unconfirmed EIA candidate","")))</f>
        <v/>
      </c>
      <c r="AE499" t="s">
        <v>65</v>
      </c>
      <c r="AF499" t="s">
        <v>66</v>
      </c>
      <c r="AG499" s="24">
        <f>IF(ISBLANK(S499),S499,I499)</f>
        <v>0</v>
      </c>
      <c r="AH499" s="34">
        <f t="shared" si="20"/>
        <v>46213.899999999987</v>
      </c>
      <c r="AI499">
        <f t="shared" si="19"/>
        <v>28859.771366572677</v>
      </c>
      <c r="AJ499" t="b" cm="1">
        <f t="array" ref="AJ499">OR(D499=$AT$2:$AT$8)</f>
        <v>0</v>
      </c>
    </row>
    <row r="500" spans="1:36" x14ac:dyDescent="0.25">
      <c r="A500" s="2" t="s">
        <v>1275</v>
      </c>
      <c r="B500" s="3">
        <v>0.6</v>
      </c>
      <c r="C500" s="2" t="s">
        <v>99</v>
      </c>
      <c r="D500" s="2" t="s">
        <v>81</v>
      </c>
      <c r="E500" s="2" t="s">
        <v>82</v>
      </c>
      <c r="F500" s="4" t="s">
        <v>83</v>
      </c>
      <c r="G500" s="4" t="s">
        <v>84</v>
      </c>
      <c r="H500" s="5"/>
      <c r="I500" s="5"/>
      <c r="J500" s="5"/>
      <c r="K500" s="4" t="s">
        <v>62</v>
      </c>
      <c r="L500" s="4" t="s">
        <v>63</v>
      </c>
      <c r="M500" s="6" t="str">
        <f>IF(OR(B500="",I500=""),"",B500*I500)</f>
        <v/>
      </c>
      <c r="N500" s="8" t="s">
        <v>64</v>
      </c>
      <c r="O500" s="9"/>
      <c r="P500" s="9"/>
      <c r="Q500" s="22"/>
      <c r="R500" s="22"/>
      <c r="S500" s="23" t="str">
        <f>IF(AND(ISNUMBER(Q500),Q500&gt;0,ISNUMBER(R500),R500&gt;0),R500/Q500,"")</f>
        <v/>
      </c>
      <c r="T500" s="9"/>
      <c r="U500" s="9"/>
      <c r="V500" s="9"/>
      <c r="W500" s="9"/>
      <c r="X500" s="23" t="str">
        <f>IF(ISNUMBER(S500),S500,IF(ISNUMBER(I500),I500,""))</f>
        <v/>
      </c>
      <c r="Y500" t="str">
        <f>IF(ISNUMBER(S500),"2025 EIA-923 plant/group proxy",IF(ISNUMBER(I500),"Technology estimate","No thermal heat rate"))</f>
        <v>No thermal heat rate</v>
      </c>
      <c r="Z500" t="str">
        <f>IF(ISNUMBER(S500),"Review: NOT unit verified",IF(AE500="No match","No EIA match",IF(AF500="Unconfirmed","Unconfirmed EIA candidate","")))</f>
        <v/>
      </c>
      <c r="AE500" t="s">
        <v>65</v>
      </c>
      <c r="AF500" t="s">
        <v>66</v>
      </c>
      <c r="AG500" s="24">
        <f>IF(ISBLANK(S500),S500,I500)</f>
        <v>0</v>
      </c>
      <c r="AH500" s="34">
        <f t="shared" si="20"/>
        <v>46214.499999999985</v>
      </c>
      <c r="AI500">
        <f t="shared" si="19"/>
        <v>28860.146056066962</v>
      </c>
      <c r="AJ500" t="b" cm="1">
        <f t="array" ref="AJ500">OR(D500=$AT$2:$AT$8)</f>
        <v>0</v>
      </c>
    </row>
    <row r="501" spans="1:36" x14ac:dyDescent="0.25">
      <c r="A501" s="2" t="s">
        <v>1337</v>
      </c>
      <c r="B501" s="3">
        <v>7.1</v>
      </c>
      <c r="C501" s="2" t="s">
        <v>80</v>
      </c>
      <c r="D501" s="2" t="s">
        <v>81</v>
      </c>
      <c r="E501" s="2" t="s">
        <v>82</v>
      </c>
      <c r="F501" s="4" t="s">
        <v>83</v>
      </c>
      <c r="G501" s="4" t="s">
        <v>84</v>
      </c>
      <c r="H501" s="5"/>
      <c r="I501" s="5"/>
      <c r="J501" s="5"/>
      <c r="K501" s="4" t="s">
        <v>62</v>
      </c>
      <c r="L501" s="4" t="s">
        <v>63</v>
      </c>
      <c r="M501" s="6" t="str">
        <f>IF(OR(B501="",I501=""),"",B501*I501)</f>
        <v/>
      </c>
      <c r="N501" s="8" t="s">
        <v>64</v>
      </c>
      <c r="O501" s="9"/>
      <c r="P501" s="9"/>
      <c r="Q501" s="22"/>
      <c r="R501" s="22"/>
      <c r="S501" s="23" t="str">
        <f>IF(AND(ISNUMBER(Q501),Q501&gt;0,ISNUMBER(R501),R501&gt;0),R501/Q501,"")</f>
        <v/>
      </c>
      <c r="T501" s="9"/>
      <c r="U501" s="9"/>
      <c r="V501" s="9"/>
      <c r="W501" s="9"/>
      <c r="X501" s="23" t="str">
        <f>IF(ISNUMBER(S501),S501,IF(ISNUMBER(I501),I501,""))</f>
        <v/>
      </c>
      <c r="Y501" t="str">
        <f>IF(ISNUMBER(S501),"2025 EIA-923 plant/group proxy",IF(ISNUMBER(I501),"Technology estimate","No thermal heat rate"))</f>
        <v>No thermal heat rate</v>
      </c>
      <c r="Z501" t="str">
        <f>IF(ISNUMBER(S501),"Review: NOT unit verified",IF(AE501="No match","No EIA match",IF(AF501="Unconfirmed","Unconfirmed EIA candidate","")))</f>
        <v/>
      </c>
      <c r="AE501" t="s">
        <v>65</v>
      </c>
      <c r="AF501" t="s">
        <v>66</v>
      </c>
      <c r="AG501" s="24">
        <f>IF(ISBLANK(S501),S501,I501)</f>
        <v>0</v>
      </c>
      <c r="AH501" s="34">
        <f t="shared" si="20"/>
        <v>46221.599999999984</v>
      </c>
      <c r="AI501">
        <f t="shared" si="19"/>
        <v>28864.579881749334</v>
      </c>
      <c r="AJ501" t="b" cm="1">
        <f t="array" ref="AJ501">OR(D501=$AT$2:$AT$8)</f>
        <v>0</v>
      </c>
    </row>
    <row r="502" spans="1:36" x14ac:dyDescent="0.25">
      <c r="A502" s="2" t="s">
        <v>1446</v>
      </c>
      <c r="B502" s="3">
        <v>42.8</v>
      </c>
      <c r="C502" s="2" t="s">
        <v>99</v>
      </c>
      <c r="D502" s="2" t="s">
        <v>81</v>
      </c>
      <c r="E502" s="2" t="s">
        <v>82</v>
      </c>
      <c r="F502" s="4" t="s">
        <v>83</v>
      </c>
      <c r="G502" s="4" t="s">
        <v>84</v>
      </c>
      <c r="H502" s="5"/>
      <c r="I502" s="5"/>
      <c r="J502" s="5"/>
      <c r="K502" s="4" t="s">
        <v>62</v>
      </c>
      <c r="L502" s="4" t="s">
        <v>63</v>
      </c>
      <c r="M502" s="6" t="str">
        <f>IF(OR(B502="",I502=""),"",B502*I502)</f>
        <v/>
      </c>
      <c r="N502" s="8" t="s">
        <v>64</v>
      </c>
      <c r="O502" s="9"/>
      <c r="P502" s="9"/>
      <c r="Q502" s="22"/>
      <c r="R502" s="22"/>
      <c r="S502" s="23" t="str">
        <f>IF(AND(ISNUMBER(Q502),Q502&gt;0,ISNUMBER(R502),R502&gt;0),R502/Q502,"")</f>
        <v/>
      </c>
      <c r="T502" s="9"/>
      <c r="U502" s="9"/>
      <c r="V502" s="9"/>
      <c r="W502" s="9"/>
      <c r="X502" s="23" t="str">
        <f>IF(ISNUMBER(S502),S502,IF(ISNUMBER(I502),I502,""))</f>
        <v/>
      </c>
      <c r="Y502" t="str">
        <f>IF(ISNUMBER(S502),"2025 EIA-923 plant/group proxy",IF(ISNUMBER(I502),"Technology estimate","No thermal heat rate"))</f>
        <v>No thermal heat rate</v>
      </c>
      <c r="Z502" t="str">
        <f>IF(ISNUMBER(S502),"Review: NOT unit verified",IF(AE502="No match","No EIA match",IF(AF502="Unconfirmed","Unconfirmed EIA candidate","")))</f>
        <v/>
      </c>
      <c r="AE502" t="s">
        <v>65</v>
      </c>
      <c r="AF502" t="s">
        <v>66</v>
      </c>
      <c r="AG502" s="24">
        <f>IF(ISBLANK(S502),S502,I502)</f>
        <v>0</v>
      </c>
      <c r="AH502" s="34">
        <f t="shared" si="20"/>
        <v>46264.399999999987</v>
      </c>
      <c r="AI502">
        <f t="shared" si="19"/>
        <v>28891.307732341676</v>
      </c>
      <c r="AJ502" t="b" cm="1">
        <f t="array" ref="AJ502">OR(D502=$AT$2:$AT$8)</f>
        <v>0</v>
      </c>
    </row>
    <row r="503" spans="1:36" x14ac:dyDescent="0.25">
      <c r="A503" s="2" t="s">
        <v>1455</v>
      </c>
      <c r="B503" s="3">
        <v>12.6</v>
      </c>
      <c r="C503" s="2" t="s">
        <v>86</v>
      </c>
      <c r="D503" s="2" t="s">
        <v>76</v>
      </c>
      <c r="E503" s="2" t="s">
        <v>82</v>
      </c>
      <c r="F503" s="4" t="s">
        <v>83</v>
      </c>
      <c r="G503" s="4" t="s">
        <v>84</v>
      </c>
      <c r="H503" s="5"/>
      <c r="I503" s="5"/>
      <c r="J503" s="5"/>
      <c r="K503" s="4" t="s">
        <v>62</v>
      </c>
      <c r="L503" s="4" t="s">
        <v>63</v>
      </c>
      <c r="M503" s="6" t="str">
        <f>IF(OR(B503="",I503=""),"",B503*I503)</f>
        <v/>
      </c>
      <c r="N503" s="8" t="s">
        <v>64</v>
      </c>
      <c r="O503" s="9"/>
      <c r="P503" s="9"/>
      <c r="Q503" s="22"/>
      <c r="R503" s="22"/>
      <c r="S503" s="23" t="str">
        <f>IF(AND(ISNUMBER(Q503),Q503&gt;0,ISNUMBER(R503),R503&gt;0),R503/Q503,"")</f>
        <v/>
      </c>
      <c r="T503" s="9"/>
      <c r="U503" s="9"/>
      <c r="V503" s="9"/>
      <c r="W503" s="9"/>
      <c r="X503" s="23" t="str">
        <f>IF(ISNUMBER(S503),S503,IF(ISNUMBER(I503),I503,""))</f>
        <v/>
      </c>
      <c r="Y503" t="str">
        <f>IF(ISNUMBER(S503),"2025 EIA-923 plant/group proxy",IF(ISNUMBER(I503),"Technology estimate","No thermal heat rate"))</f>
        <v>No thermal heat rate</v>
      </c>
      <c r="Z503" t="str">
        <f>IF(ISNUMBER(S503),"Review: NOT unit verified",IF(AE503="No match","No EIA match",IF(AF503="Unconfirmed","Unconfirmed EIA candidate","")))</f>
        <v/>
      </c>
      <c r="AE503" t="s">
        <v>65</v>
      </c>
      <c r="AF503" t="s">
        <v>66</v>
      </c>
      <c r="AG503" s="24">
        <f>IF(ISBLANK(S503),S503,I503)</f>
        <v>0</v>
      </c>
      <c r="AH503" s="34">
        <f t="shared" si="20"/>
        <v>46276.999999999985</v>
      </c>
      <c r="AI503">
        <f t="shared" si="19"/>
        <v>28899.176211721664</v>
      </c>
      <c r="AJ503" t="b" cm="1">
        <f t="array" ref="AJ503">OR(D503=$AT$2:$AT$8)</f>
        <v>0</v>
      </c>
    </row>
    <row r="504" spans="1:36" x14ac:dyDescent="0.25">
      <c r="A504" s="2" t="s">
        <v>1650</v>
      </c>
      <c r="B504" s="3">
        <v>78</v>
      </c>
      <c r="C504" s="2" t="s">
        <v>99</v>
      </c>
      <c r="D504" s="2" t="s">
        <v>81</v>
      </c>
      <c r="E504" s="2" t="s">
        <v>82</v>
      </c>
      <c r="F504" s="4" t="s">
        <v>83</v>
      </c>
      <c r="G504" s="4" t="s">
        <v>84</v>
      </c>
      <c r="H504" s="5"/>
      <c r="I504" s="5"/>
      <c r="J504" s="5"/>
      <c r="K504" s="4" t="s">
        <v>62</v>
      </c>
      <c r="L504" s="4" t="s">
        <v>63</v>
      </c>
      <c r="M504" s="6" t="str">
        <f>IF(OR(B504="",I504=""),"",B504*I504)</f>
        <v/>
      </c>
      <c r="N504" s="8" t="s">
        <v>64</v>
      </c>
      <c r="O504" s="9"/>
      <c r="P504" s="9"/>
      <c r="Q504" s="22"/>
      <c r="R504" s="22"/>
      <c r="S504" s="23" t="str">
        <f>IF(AND(ISNUMBER(Q504),Q504&gt;0,ISNUMBER(R504),R504&gt;0),R504/Q504,"")</f>
        <v/>
      </c>
      <c r="T504" s="9"/>
      <c r="U504" s="9"/>
      <c r="V504" s="9"/>
      <c r="W504" s="9"/>
      <c r="X504" s="23" t="str">
        <f>IF(ISNUMBER(S504),S504,IF(ISNUMBER(I504),I504,""))</f>
        <v/>
      </c>
      <c r="Y504" t="str">
        <f>IF(ISNUMBER(S504),"2025 EIA-923 plant/group proxy",IF(ISNUMBER(I504),"Technology estimate","No thermal heat rate"))</f>
        <v>No thermal heat rate</v>
      </c>
      <c r="Z504" t="str">
        <f>IF(ISNUMBER(S504),"Review: NOT unit verified",IF(AE504="No match","No EIA match",IF(AF504="Unconfirmed","Unconfirmed EIA candidate","")))</f>
        <v/>
      </c>
      <c r="AE504" t="s">
        <v>65</v>
      </c>
      <c r="AF504" t="s">
        <v>66</v>
      </c>
      <c r="AG504" s="24">
        <f>IF(ISBLANK(S504),S504,I504)</f>
        <v>0</v>
      </c>
      <c r="AH504" s="34">
        <f t="shared" si="20"/>
        <v>46354.999999999985</v>
      </c>
      <c r="AI504">
        <f t="shared" si="19"/>
        <v>28947.88584597873</v>
      </c>
      <c r="AJ504" t="b" cm="1">
        <f t="array" ref="AJ504">OR(D504=$AT$2:$AT$8)</f>
        <v>0</v>
      </c>
    </row>
    <row r="505" spans="1:36" x14ac:dyDescent="0.25">
      <c r="A505" s="2" t="s">
        <v>1701</v>
      </c>
      <c r="B505" s="3">
        <v>2.7</v>
      </c>
      <c r="C505" s="2" t="s">
        <v>99</v>
      </c>
      <c r="D505" s="2" t="s">
        <v>81</v>
      </c>
      <c r="E505" s="2" t="s">
        <v>82</v>
      </c>
      <c r="F505" s="4" t="s">
        <v>83</v>
      </c>
      <c r="G505" s="4" t="s">
        <v>84</v>
      </c>
      <c r="H505" s="5"/>
      <c r="I505" s="5"/>
      <c r="J505" s="5"/>
      <c r="K505" s="4" t="s">
        <v>62</v>
      </c>
      <c r="L505" s="4" t="s">
        <v>63</v>
      </c>
      <c r="M505" s="6" t="str">
        <f>IF(OR(B505="",I505=""),"",B505*I505)</f>
        <v/>
      </c>
      <c r="N505" s="8" t="s">
        <v>64</v>
      </c>
      <c r="O505" s="9"/>
      <c r="P505" s="9"/>
      <c r="Q505" s="22"/>
      <c r="R505" s="22"/>
      <c r="S505" s="23" t="str">
        <f>IF(AND(ISNUMBER(Q505),Q505&gt;0,ISNUMBER(R505),R505&gt;0),R505/Q505,"")</f>
        <v/>
      </c>
      <c r="T505" s="9"/>
      <c r="U505" s="9"/>
      <c r="V505" s="9"/>
      <c r="W505" s="9"/>
      <c r="X505" s="23" t="str">
        <f>IF(ISNUMBER(S505),S505,IF(ISNUMBER(I505),I505,""))</f>
        <v/>
      </c>
      <c r="Y505" t="str">
        <f>IF(ISNUMBER(S505),"2025 EIA-923 plant/group proxy",IF(ISNUMBER(I505),"Technology estimate","No thermal heat rate"))</f>
        <v>No thermal heat rate</v>
      </c>
      <c r="Z505" t="str">
        <f>IF(ISNUMBER(S505),"Review: NOT unit verified",IF(AE505="No match","No EIA match",IF(AF505="Unconfirmed","Unconfirmed EIA candidate","")))</f>
        <v/>
      </c>
      <c r="AE505" t="s">
        <v>65</v>
      </c>
      <c r="AF505" t="s">
        <v>66</v>
      </c>
      <c r="AG505" s="24">
        <f>IF(ISBLANK(S505),S505,I505)</f>
        <v>0</v>
      </c>
      <c r="AH505" s="34">
        <f t="shared" si="20"/>
        <v>46357.699999999983</v>
      </c>
      <c r="AI505">
        <f t="shared" si="19"/>
        <v>28949.571948703011</v>
      </c>
      <c r="AJ505" t="b" cm="1">
        <f t="array" ref="AJ505">OR(D505=$AT$2:$AT$8)</f>
        <v>0</v>
      </c>
    </row>
    <row r="506" spans="1:36" x14ac:dyDescent="0.25">
      <c r="A506" s="2" t="s">
        <v>1800</v>
      </c>
      <c r="B506" s="3">
        <v>21.2</v>
      </c>
      <c r="C506" s="2" t="s">
        <v>80</v>
      </c>
      <c r="D506" s="2" t="s">
        <v>81</v>
      </c>
      <c r="E506" s="2" t="s">
        <v>82</v>
      </c>
      <c r="F506" s="4" t="s">
        <v>83</v>
      </c>
      <c r="G506" s="4" t="s">
        <v>84</v>
      </c>
      <c r="H506" s="5"/>
      <c r="I506" s="5"/>
      <c r="J506" s="5"/>
      <c r="K506" s="4" t="s">
        <v>62</v>
      </c>
      <c r="L506" s="4" t="s">
        <v>63</v>
      </c>
      <c r="M506" s="6" t="str">
        <f>IF(OR(B506="",I506=""),"",B506*I506)</f>
        <v/>
      </c>
      <c r="N506" s="8" t="s">
        <v>64</v>
      </c>
      <c r="O506" s="9"/>
      <c r="P506" s="9"/>
      <c r="Q506" s="22"/>
      <c r="R506" s="22"/>
      <c r="S506" s="23" t="str">
        <f>IF(AND(ISNUMBER(Q506),Q506&gt;0,ISNUMBER(R506),R506&gt;0),R506/Q506,"")</f>
        <v/>
      </c>
      <c r="T506" s="9"/>
      <c r="U506" s="9"/>
      <c r="V506" s="9"/>
      <c r="W506" s="9"/>
      <c r="X506" s="23" t="str">
        <f>IF(ISNUMBER(S506),S506,IF(ISNUMBER(I506),I506,""))</f>
        <v/>
      </c>
      <c r="Y506" t="str">
        <f>IF(ISNUMBER(S506),"2025 EIA-923 plant/group proxy",IF(ISNUMBER(I506),"Technology estimate","No thermal heat rate"))</f>
        <v>No thermal heat rate</v>
      </c>
      <c r="Z506" t="str">
        <f>IF(ISNUMBER(S506),"Review: NOT unit verified",IF(AE506="No match","No EIA match",IF(AF506="Unconfirmed","Unconfirmed EIA candidate","")))</f>
        <v/>
      </c>
      <c r="AE506" t="s">
        <v>65</v>
      </c>
      <c r="AF506" t="s">
        <v>66</v>
      </c>
      <c r="AG506" s="24">
        <f>IF(ISBLANK(S506),S506,I506)</f>
        <v>0</v>
      </c>
      <c r="AH506" s="34">
        <f t="shared" si="20"/>
        <v>46378.89999999998</v>
      </c>
      <c r="AI506">
        <f t="shared" si="19"/>
        <v>28962.810977501085</v>
      </c>
      <c r="AJ506" t="b" cm="1">
        <f t="array" ref="AJ506">OR(D506=$AT$2:$AT$8)</f>
        <v>0</v>
      </c>
    </row>
    <row r="507" spans="1:36" x14ac:dyDescent="0.25">
      <c r="A507" s="2" t="s">
        <v>1801</v>
      </c>
      <c r="B507" s="3">
        <v>21.2</v>
      </c>
      <c r="C507" s="2" t="s">
        <v>80</v>
      </c>
      <c r="D507" s="2" t="s">
        <v>81</v>
      </c>
      <c r="E507" s="2" t="s">
        <v>82</v>
      </c>
      <c r="F507" s="4" t="s">
        <v>83</v>
      </c>
      <c r="G507" s="4" t="s">
        <v>84</v>
      </c>
      <c r="H507" s="5"/>
      <c r="I507" s="5"/>
      <c r="J507" s="5"/>
      <c r="K507" s="4" t="s">
        <v>62</v>
      </c>
      <c r="L507" s="4" t="s">
        <v>63</v>
      </c>
      <c r="M507" s="6" t="str">
        <f>IF(OR(B507="",I507=""),"",B507*I507)</f>
        <v/>
      </c>
      <c r="N507" s="8" t="s">
        <v>64</v>
      </c>
      <c r="O507" s="9"/>
      <c r="P507" s="9"/>
      <c r="Q507" s="22"/>
      <c r="R507" s="22"/>
      <c r="S507" s="23" t="str">
        <f>IF(AND(ISNUMBER(Q507),Q507&gt;0,ISNUMBER(R507),R507&gt;0),R507/Q507,"")</f>
        <v/>
      </c>
      <c r="T507" s="9"/>
      <c r="U507" s="9"/>
      <c r="V507" s="9"/>
      <c r="W507" s="9"/>
      <c r="X507" s="23" t="str">
        <f>IF(ISNUMBER(S507),S507,IF(ISNUMBER(I507),I507,""))</f>
        <v/>
      </c>
      <c r="Y507" t="str">
        <f>IF(ISNUMBER(S507),"2025 EIA-923 plant/group proxy",IF(ISNUMBER(I507),"Technology estimate","No thermal heat rate"))</f>
        <v>No thermal heat rate</v>
      </c>
      <c r="Z507" t="str">
        <f>IF(ISNUMBER(S507),"Review: NOT unit verified",IF(AE507="No match","No EIA match",IF(AF507="Unconfirmed","Unconfirmed EIA candidate","")))</f>
        <v/>
      </c>
      <c r="AE507" t="s">
        <v>65</v>
      </c>
      <c r="AF507" t="s">
        <v>66</v>
      </c>
      <c r="AG507" s="24">
        <f>IF(ISBLANK(S507),S507,I507)</f>
        <v>0</v>
      </c>
      <c r="AH507" s="34">
        <f t="shared" si="20"/>
        <v>46400.099999999977</v>
      </c>
      <c r="AI507">
        <f t="shared" si="19"/>
        <v>28976.050006299156</v>
      </c>
      <c r="AJ507" t="b" cm="1">
        <f t="array" ref="AJ507">OR(D507=$AT$2:$AT$8)</f>
        <v>0</v>
      </c>
    </row>
    <row r="508" spans="1:36" x14ac:dyDescent="0.25">
      <c r="A508" s="2" t="s">
        <v>1807</v>
      </c>
      <c r="B508" s="3">
        <v>10.1</v>
      </c>
      <c r="C508" s="2" t="s">
        <v>99</v>
      </c>
      <c r="D508" s="2" t="s">
        <v>81</v>
      </c>
      <c r="E508" s="2" t="s">
        <v>82</v>
      </c>
      <c r="F508" s="4" t="s">
        <v>83</v>
      </c>
      <c r="G508" s="4" t="s">
        <v>84</v>
      </c>
      <c r="H508" s="5"/>
      <c r="I508" s="5"/>
      <c r="J508" s="5"/>
      <c r="K508" s="4" t="s">
        <v>62</v>
      </c>
      <c r="L508" s="4" t="s">
        <v>63</v>
      </c>
      <c r="M508" s="6" t="str">
        <f>IF(OR(B508="",I508=""),"",B508*I508)</f>
        <v/>
      </c>
      <c r="N508" s="8" t="s">
        <v>64</v>
      </c>
      <c r="O508" s="9"/>
      <c r="P508" s="9"/>
      <c r="Q508" s="22"/>
      <c r="R508" s="22"/>
      <c r="S508" s="23" t="str">
        <f>IF(AND(ISNUMBER(Q508),Q508&gt;0,ISNUMBER(R508),R508&gt;0),R508/Q508,"")</f>
        <v/>
      </c>
      <c r="T508" s="9"/>
      <c r="U508" s="9"/>
      <c r="V508" s="9"/>
      <c r="W508" s="9"/>
      <c r="X508" s="23" t="str">
        <f>IF(ISNUMBER(S508),S508,IF(ISNUMBER(I508),I508,""))</f>
        <v/>
      </c>
      <c r="Y508" t="str">
        <f>IF(ISNUMBER(S508),"2025 EIA-923 plant/group proxy",IF(ISNUMBER(I508),"Technology estimate","No thermal heat rate"))</f>
        <v>No thermal heat rate</v>
      </c>
      <c r="Z508" t="str">
        <f>IF(ISNUMBER(S508),"Review: NOT unit verified",IF(AE508="No match","No EIA match",IF(AF508="Unconfirmed","Unconfirmed EIA candidate","")))</f>
        <v/>
      </c>
      <c r="AE508" t="s">
        <v>65</v>
      </c>
      <c r="AF508" t="s">
        <v>66</v>
      </c>
      <c r="AG508" s="24">
        <f>IF(ISBLANK(S508),S508,I508)</f>
        <v>0</v>
      </c>
      <c r="AH508" s="34">
        <f t="shared" si="20"/>
        <v>46410.199999999975</v>
      </c>
      <c r="AI508">
        <f t="shared" si="19"/>
        <v>28982.357279452957</v>
      </c>
      <c r="AJ508" t="b" cm="1">
        <f t="array" ref="AJ508">OR(D508=$AT$2:$AT$8)</f>
        <v>0</v>
      </c>
    </row>
    <row r="509" spans="1:36" x14ac:dyDescent="0.25">
      <c r="A509" s="2" t="s">
        <v>1848</v>
      </c>
      <c r="B509" s="3">
        <v>17.5</v>
      </c>
      <c r="C509" s="2" t="s">
        <v>75</v>
      </c>
      <c r="D509" s="2" t="s">
        <v>76</v>
      </c>
      <c r="E509" s="2" t="s">
        <v>82</v>
      </c>
      <c r="F509" s="4" t="s">
        <v>83</v>
      </c>
      <c r="G509" s="4" t="s">
        <v>84</v>
      </c>
      <c r="H509" s="5"/>
      <c r="I509" s="5"/>
      <c r="J509" s="5"/>
      <c r="K509" s="4" t="s">
        <v>62</v>
      </c>
      <c r="L509" s="4" t="s">
        <v>63</v>
      </c>
      <c r="M509" s="6" t="str">
        <f>IF(OR(B509="",I509=""),"",B509*I509)</f>
        <v/>
      </c>
      <c r="N509" s="8" t="s">
        <v>64</v>
      </c>
      <c r="O509" s="9"/>
      <c r="P509" s="9"/>
      <c r="Q509" s="22"/>
      <c r="R509" s="22"/>
      <c r="S509" s="23" t="str">
        <f>IF(AND(ISNUMBER(Q509),Q509&gt;0,ISNUMBER(R509),R509&gt;0),R509/Q509,"")</f>
        <v/>
      </c>
      <c r="T509" s="9"/>
      <c r="U509" s="9"/>
      <c r="V509" s="9"/>
      <c r="W509" s="9"/>
      <c r="X509" s="23" t="str">
        <f>IF(ISNUMBER(S509),S509,IF(ISNUMBER(I509),I509,""))</f>
        <v/>
      </c>
      <c r="Y509" t="str">
        <f>IF(ISNUMBER(S509),"2025 EIA-923 plant/group proxy",IF(ISNUMBER(I509),"Technology estimate","No thermal heat rate"))</f>
        <v>No thermal heat rate</v>
      </c>
      <c r="Z509" t="str">
        <f>IF(ISNUMBER(S509),"Review: NOT unit verified",IF(AE509="No match","No EIA match",IF(AF509="Unconfirmed","Unconfirmed EIA candidate","")))</f>
        <v/>
      </c>
      <c r="AE509" t="s">
        <v>65</v>
      </c>
      <c r="AF509" t="s">
        <v>66</v>
      </c>
      <c r="AG509" s="24">
        <f>IF(ISBLANK(S509),S509,I509)</f>
        <v>0</v>
      </c>
      <c r="AH509" s="34">
        <f t="shared" si="20"/>
        <v>46427.699999999975</v>
      </c>
      <c r="AI509">
        <f t="shared" si="19"/>
        <v>28993.285723036272</v>
      </c>
      <c r="AJ509" t="b" cm="1">
        <f t="array" ref="AJ509">OR(D509=$AT$2:$AT$8)</f>
        <v>0</v>
      </c>
    </row>
    <row r="510" spans="1:36" x14ac:dyDescent="0.25">
      <c r="A510" s="2" t="s">
        <v>1849</v>
      </c>
      <c r="B510" s="3">
        <v>6</v>
      </c>
      <c r="C510" s="2" t="s">
        <v>86</v>
      </c>
      <c r="D510" s="2" t="s">
        <v>76</v>
      </c>
      <c r="E510" s="2" t="s">
        <v>82</v>
      </c>
      <c r="F510" s="4" t="s">
        <v>83</v>
      </c>
      <c r="G510" s="4" t="s">
        <v>84</v>
      </c>
      <c r="H510" s="5"/>
      <c r="I510" s="5"/>
      <c r="J510" s="5"/>
      <c r="K510" s="4" t="s">
        <v>62</v>
      </c>
      <c r="L510" s="4" t="s">
        <v>63</v>
      </c>
      <c r="M510" s="6" t="str">
        <f>IF(OR(B510="",I510=""),"",B510*I510)</f>
        <v/>
      </c>
      <c r="N510" s="8" t="s">
        <v>64</v>
      </c>
      <c r="O510" s="9"/>
      <c r="P510" s="9"/>
      <c r="Q510" s="22"/>
      <c r="R510" s="22"/>
      <c r="S510" s="23" t="str">
        <f>IF(AND(ISNUMBER(Q510),Q510&gt;0,ISNUMBER(R510),R510&gt;0),R510/Q510,"")</f>
        <v/>
      </c>
      <c r="T510" s="9"/>
      <c r="U510" s="9"/>
      <c r="V510" s="9"/>
      <c r="W510" s="9"/>
      <c r="X510" s="23" t="str">
        <f>IF(ISNUMBER(S510),S510,IF(ISNUMBER(I510),I510,""))</f>
        <v/>
      </c>
      <c r="Y510" t="str">
        <f>IF(ISNUMBER(S510),"2025 EIA-923 plant/group proxy",IF(ISNUMBER(I510),"Technology estimate","No thermal heat rate"))</f>
        <v>No thermal heat rate</v>
      </c>
      <c r="Z510" t="str">
        <f>IF(ISNUMBER(S510),"Review: NOT unit verified",IF(AE510="No match","No EIA match",IF(AF510="Unconfirmed","Unconfirmed EIA candidate","")))</f>
        <v/>
      </c>
      <c r="AE510" t="s">
        <v>65</v>
      </c>
      <c r="AF510" t="s">
        <v>66</v>
      </c>
      <c r="AG510" s="24">
        <f>IF(ISBLANK(S510),S510,I510)</f>
        <v>0</v>
      </c>
      <c r="AH510" s="34">
        <f t="shared" si="20"/>
        <v>46433.699999999975</v>
      </c>
      <c r="AI510">
        <f t="shared" si="19"/>
        <v>28997.032617979123</v>
      </c>
      <c r="AJ510" t="b" cm="1">
        <f t="array" ref="AJ510">OR(D510=$AT$2:$AT$8)</f>
        <v>0</v>
      </c>
    </row>
    <row r="511" spans="1:36" x14ac:dyDescent="0.25">
      <c r="A511" s="2" t="s">
        <v>446</v>
      </c>
      <c r="B511" s="3">
        <v>18.5</v>
      </c>
      <c r="C511" s="2" t="s">
        <v>99</v>
      </c>
      <c r="D511" s="2" t="s">
        <v>81</v>
      </c>
      <c r="E511" s="2" t="s">
        <v>447</v>
      </c>
      <c r="F511" s="4" t="s">
        <v>83</v>
      </c>
      <c r="G511" s="4" t="s">
        <v>84</v>
      </c>
      <c r="H511" s="5"/>
      <c r="I511" s="5"/>
      <c r="J511" s="5"/>
      <c r="K511" s="4" t="s">
        <v>62</v>
      </c>
      <c r="L511" s="4" t="s">
        <v>63</v>
      </c>
      <c r="M511" s="6" t="str">
        <f>IF(OR(B511="",I511=""),"",B511*I511)</f>
        <v/>
      </c>
      <c r="N511" s="8" t="s">
        <v>64</v>
      </c>
      <c r="O511" s="9"/>
      <c r="P511" s="9"/>
      <c r="Q511" s="22"/>
      <c r="R511" s="22"/>
      <c r="S511" s="23" t="str">
        <f>IF(AND(ISNUMBER(Q511),Q511&gt;0,ISNUMBER(R511),R511&gt;0),R511/Q511,"")</f>
        <v/>
      </c>
      <c r="T511" s="9"/>
      <c r="U511" s="9"/>
      <c r="V511" s="9"/>
      <c r="W511" s="9"/>
      <c r="X511" s="23" t="str">
        <f>IF(ISNUMBER(S511),S511,IF(ISNUMBER(I511),I511,""))</f>
        <v/>
      </c>
      <c r="Y511" t="str">
        <f>IF(ISNUMBER(S511),"2025 EIA-923 plant/group proxy",IF(ISNUMBER(I511),"Technology estimate","No thermal heat rate"))</f>
        <v>No thermal heat rate</v>
      </c>
      <c r="Z511" t="str">
        <f>IF(ISNUMBER(S511),"Review: NOT unit verified",IF(AE511="No match","No EIA match",IF(AF511="Unconfirmed","Unconfirmed EIA candidate","")))</f>
        <v/>
      </c>
      <c r="AE511" t="s">
        <v>65</v>
      </c>
      <c r="AF511" t="s">
        <v>66</v>
      </c>
      <c r="AG511" s="24">
        <f>IF(ISBLANK(S511),S511,I511)</f>
        <v>0</v>
      </c>
      <c r="AH511" s="34">
        <f t="shared" si="20"/>
        <v>46452.199999999975</v>
      </c>
      <c r="AI511">
        <f t="shared" si="19"/>
        <v>29008.585544052916</v>
      </c>
      <c r="AJ511" t="b" cm="1">
        <f t="array" ref="AJ511">OR(D511=$AT$2:$AT$8)</f>
        <v>0</v>
      </c>
    </row>
    <row r="512" spans="1:36" x14ac:dyDescent="0.25">
      <c r="A512" s="2" t="s">
        <v>448</v>
      </c>
      <c r="B512" s="3">
        <v>18.8</v>
      </c>
      <c r="C512" s="2" t="s">
        <v>99</v>
      </c>
      <c r="D512" s="2" t="s">
        <v>81</v>
      </c>
      <c r="E512" s="2" t="s">
        <v>447</v>
      </c>
      <c r="F512" s="4" t="s">
        <v>83</v>
      </c>
      <c r="G512" s="4" t="s">
        <v>84</v>
      </c>
      <c r="H512" s="5"/>
      <c r="I512" s="5"/>
      <c r="J512" s="5"/>
      <c r="K512" s="4" t="s">
        <v>62</v>
      </c>
      <c r="L512" s="4" t="s">
        <v>63</v>
      </c>
      <c r="M512" s="6" t="str">
        <f>IF(OR(B512="",I512=""),"",B512*I512)</f>
        <v/>
      </c>
      <c r="N512" s="8" t="s">
        <v>64</v>
      </c>
      <c r="O512" s="9"/>
      <c r="P512" s="9"/>
      <c r="Q512" s="22"/>
      <c r="R512" s="22"/>
      <c r="S512" s="23" t="str">
        <f>IF(AND(ISNUMBER(Q512),Q512&gt;0,ISNUMBER(R512),R512&gt;0),R512/Q512,"")</f>
        <v/>
      </c>
      <c r="T512" s="9"/>
      <c r="U512" s="9"/>
      <c r="V512" s="9"/>
      <c r="W512" s="9"/>
      <c r="X512" s="23" t="str">
        <f>IF(ISNUMBER(S512),S512,IF(ISNUMBER(I512),I512,""))</f>
        <v/>
      </c>
      <c r="Y512" t="str">
        <f>IF(ISNUMBER(S512),"2025 EIA-923 plant/group proxy",IF(ISNUMBER(I512),"Technology estimate","No thermal heat rate"))</f>
        <v>No thermal heat rate</v>
      </c>
      <c r="Z512" t="str">
        <f>IF(ISNUMBER(S512),"Review: NOT unit verified",IF(AE512="No match","No EIA match",IF(AF512="Unconfirmed","Unconfirmed EIA candidate","")))</f>
        <v/>
      </c>
      <c r="AE512" t="s">
        <v>65</v>
      </c>
      <c r="AF512" t="s">
        <v>66</v>
      </c>
      <c r="AG512" s="24">
        <f>IF(ISBLANK(S512),S512,I512)</f>
        <v>0</v>
      </c>
      <c r="AH512" s="34">
        <f t="shared" si="20"/>
        <v>46470.999999999978</v>
      </c>
      <c r="AI512">
        <f t="shared" si="19"/>
        <v>29020.32581487385</v>
      </c>
      <c r="AJ512" t="b" cm="1">
        <f t="array" ref="AJ512">OR(D512=$AT$2:$AT$8)</f>
        <v>0</v>
      </c>
    </row>
    <row r="513" spans="1:36" x14ac:dyDescent="0.25">
      <c r="A513" s="2" t="s">
        <v>449</v>
      </c>
      <c r="B513" s="3">
        <v>17.5</v>
      </c>
      <c r="C513" s="2" t="s">
        <v>99</v>
      </c>
      <c r="D513" s="2" t="s">
        <v>81</v>
      </c>
      <c r="E513" s="2" t="s">
        <v>447</v>
      </c>
      <c r="F513" s="4" t="s">
        <v>83</v>
      </c>
      <c r="G513" s="4" t="s">
        <v>84</v>
      </c>
      <c r="H513" s="5"/>
      <c r="I513" s="5"/>
      <c r="J513" s="5"/>
      <c r="K513" s="4" t="s">
        <v>62</v>
      </c>
      <c r="L513" s="4" t="s">
        <v>63</v>
      </c>
      <c r="M513" s="6" t="str">
        <f>IF(OR(B513="",I513=""),"",B513*I513)</f>
        <v/>
      </c>
      <c r="N513" s="8" t="s">
        <v>64</v>
      </c>
      <c r="O513" s="9"/>
      <c r="P513" s="9"/>
      <c r="Q513" s="22"/>
      <c r="R513" s="22"/>
      <c r="S513" s="23" t="str">
        <f>IF(AND(ISNUMBER(Q513),Q513&gt;0,ISNUMBER(R513),R513&gt;0),R513/Q513,"")</f>
        <v/>
      </c>
      <c r="T513" s="9"/>
      <c r="U513" s="9"/>
      <c r="V513" s="9"/>
      <c r="W513" s="9"/>
      <c r="X513" s="23" t="str">
        <f>IF(ISNUMBER(S513),S513,IF(ISNUMBER(I513),I513,""))</f>
        <v/>
      </c>
      <c r="Y513" t="str">
        <f>IF(ISNUMBER(S513),"2025 EIA-923 plant/group proxy",IF(ISNUMBER(I513),"Technology estimate","No thermal heat rate"))</f>
        <v>No thermal heat rate</v>
      </c>
      <c r="Z513" t="str">
        <f>IF(ISNUMBER(S513),"Review: NOT unit verified",IF(AE513="No match","No EIA match",IF(AF513="Unconfirmed","Unconfirmed EIA candidate","")))</f>
        <v/>
      </c>
      <c r="AE513" t="s">
        <v>65</v>
      </c>
      <c r="AF513" t="s">
        <v>66</v>
      </c>
      <c r="AG513" s="24">
        <f>IF(ISBLANK(S513),S513,I513)</f>
        <v>0</v>
      </c>
      <c r="AH513" s="34">
        <f t="shared" si="20"/>
        <v>46488.499999999978</v>
      </c>
      <c r="AI513">
        <f t="shared" si="19"/>
        <v>29031.254258457167</v>
      </c>
      <c r="AJ513" t="b" cm="1">
        <f t="array" ref="AJ513">OR(D513=$AT$2:$AT$8)</f>
        <v>0</v>
      </c>
    </row>
    <row r="514" spans="1:36" x14ac:dyDescent="0.25">
      <c r="A514" s="2" t="s">
        <v>450</v>
      </c>
      <c r="B514" s="3">
        <v>17.2</v>
      </c>
      <c r="C514" s="2" t="s">
        <v>99</v>
      </c>
      <c r="D514" s="2" t="s">
        <v>81</v>
      </c>
      <c r="E514" s="2" t="s">
        <v>447</v>
      </c>
      <c r="F514" s="4" t="s">
        <v>83</v>
      </c>
      <c r="G514" s="4" t="s">
        <v>84</v>
      </c>
      <c r="H514" s="5"/>
      <c r="I514" s="5"/>
      <c r="J514" s="5"/>
      <c r="K514" s="4" t="s">
        <v>62</v>
      </c>
      <c r="L514" s="4" t="s">
        <v>63</v>
      </c>
      <c r="M514" s="6" t="str">
        <f>IF(OR(B514="",I514=""),"",B514*I514)</f>
        <v/>
      </c>
      <c r="N514" s="8" t="s">
        <v>64</v>
      </c>
      <c r="O514" s="9"/>
      <c r="P514" s="9"/>
      <c r="Q514" s="22"/>
      <c r="R514" s="22"/>
      <c r="S514" s="23" t="str">
        <f>IF(AND(ISNUMBER(Q514),Q514&gt;0,ISNUMBER(R514),R514&gt;0),R514/Q514,"")</f>
        <v/>
      </c>
      <c r="T514" s="9"/>
      <c r="U514" s="9"/>
      <c r="V514" s="9"/>
      <c r="W514" s="9"/>
      <c r="X514" s="23" t="str">
        <f>IF(ISNUMBER(S514),S514,IF(ISNUMBER(I514),I514,""))</f>
        <v/>
      </c>
      <c r="Y514" t="str">
        <f>IF(ISNUMBER(S514),"2025 EIA-923 plant/group proxy",IF(ISNUMBER(I514),"Technology estimate","No thermal heat rate"))</f>
        <v>No thermal heat rate</v>
      </c>
      <c r="Z514" t="str">
        <f>IF(ISNUMBER(S514),"Review: NOT unit verified",IF(AE514="No match","No EIA match",IF(AF514="Unconfirmed","Unconfirmed EIA candidate","")))</f>
        <v/>
      </c>
      <c r="AE514" t="s">
        <v>65</v>
      </c>
      <c r="AF514" t="s">
        <v>66</v>
      </c>
      <c r="AG514" s="24">
        <f>IF(ISBLANK(S514),S514,I514)</f>
        <v>0</v>
      </c>
      <c r="AH514" s="34">
        <f t="shared" si="20"/>
        <v>46505.699999999975</v>
      </c>
      <c r="AI514">
        <f t="shared" si="19"/>
        <v>29041.995357293341</v>
      </c>
      <c r="AJ514" t="b" cm="1">
        <f t="array" ref="AJ514">OR(D514=$AT$2:$AT$8)</f>
        <v>0</v>
      </c>
    </row>
    <row r="515" spans="1:36" x14ac:dyDescent="0.25">
      <c r="A515" s="2" t="s">
        <v>496</v>
      </c>
      <c r="B515" s="3">
        <v>45</v>
      </c>
      <c r="C515" s="2" t="s">
        <v>432</v>
      </c>
      <c r="D515" s="2" t="s">
        <v>58</v>
      </c>
      <c r="E515" s="2" t="s">
        <v>447</v>
      </c>
      <c r="F515" s="4" t="s">
        <v>83</v>
      </c>
      <c r="G515" s="4" t="s">
        <v>84</v>
      </c>
      <c r="H515" s="5"/>
      <c r="I515" s="5"/>
      <c r="J515" s="5"/>
      <c r="K515" s="4" t="s">
        <v>62</v>
      </c>
      <c r="L515" s="4" t="s">
        <v>63</v>
      </c>
      <c r="M515" s="6" t="str">
        <f>IF(OR(B515="",I515=""),"",B515*I515)</f>
        <v/>
      </c>
      <c r="N515" s="8" t="s">
        <v>64</v>
      </c>
      <c r="O515" s="9"/>
      <c r="P515" s="9"/>
      <c r="Q515" s="22"/>
      <c r="R515" s="22"/>
      <c r="S515" s="23" t="str">
        <f>IF(AND(ISNUMBER(Q515),Q515&gt;0,ISNUMBER(R515),R515&gt;0),R515/Q515,"")</f>
        <v/>
      </c>
      <c r="T515" s="9"/>
      <c r="U515" s="9"/>
      <c r="V515" s="9"/>
      <c r="W515" s="9"/>
      <c r="X515" s="23" t="str">
        <f>IF(ISNUMBER(S515),S515,IF(ISNUMBER(I515),I515,""))</f>
        <v/>
      </c>
      <c r="Y515" t="str">
        <f>IF(ISNUMBER(S515),"2025 EIA-923 plant/group proxy",IF(ISNUMBER(I515),"Technology estimate","No thermal heat rate"))</f>
        <v>No thermal heat rate</v>
      </c>
      <c r="Z515" t="str">
        <f>IF(ISNUMBER(S515),"Review: NOT unit verified",IF(AE515="No match","No EIA match",IF(AF515="Unconfirmed","Unconfirmed EIA candidate","")))</f>
        <v/>
      </c>
      <c r="AE515" t="s">
        <v>65</v>
      </c>
      <c r="AF515" t="s">
        <v>66</v>
      </c>
      <c r="AG515" s="24">
        <f>IF(ISBLANK(S515),S515,I515)</f>
        <v>0</v>
      </c>
      <c r="AH515" s="34">
        <f t="shared" si="20"/>
        <v>46550.699999999975</v>
      </c>
      <c r="AI515">
        <f t="shared" ref="AI515:AI578" si="21">AH515*$AK$1</f>
        <v>29070.097069364725</v>
      </c>
      <c r="AJ515" t="b" cm="1">
        <f t="array" ref="AJ515">OR(D515=$AT$2:$AT$8)</f>
        <v>0</v>
      </c>
    </row>
    <row r="516" spans="1:36" x14ac:dyDescent="0.25">
      <c r="A516" s="2" t="s">
        <v>497</v>
      </c>
      <c r="B516" s="3">
        <v>61</v>
      </c>
      <c r="C516" s="2" t="s">
        <v>432</v>
      </c>
      <c r="D516" s="2" t="s">
        <v>58</v>
      </c>
      <c r="E516" s="2" t="s">
        <v>447</v>
      </c>
      <c r="F516" s="4" t="s">
        <v>83</v>
      </c>
      <c r="G516" s="4" t="s">
        <v>84</v>
      </c>
      <c r="H516" s="5"/>
      <c r="I516" s="5"/>
      <c r="J516" s="5"/>
      <c r="K516" s="4" t="s">
        <v>62</v>
      </c>
      <c r="L516" s="4" t="s">
        <v>63</v>
      </c>
      <c r="M516" s="6" t="str">
        <f>IF(OR(B516="",I516=""),"",B516*I516)</f>
        <v/>
      </c>
      <c r="N516" s="8" t="s">
        <v>64</v>
      </c>
      <c r="O516" s="9"/>
      <c r="P516" s="9"/>
      <c r="Q516" s="22"/>
      <c r="R516" s="22"/>
      <c r="S516" s="23" t="str">
        <f>IF(AND(ISNUMBER(Q516),Q516&gt;0,ISNUMBER(R516),R516&gt;0),R516/Q516,"")</f>
        <v/>
      </c>
      <c r="T516" s="9"/>
      <c r="U516" s="9"/>
      <c r="V516" s="9"/>
      <c r="W516" s="9"/>
      <c r="X516" s="23" t="str">
        <f>IF(ISNUMBER(S516),S516,IF(ISNUMBER(I516),I516,""))</f>
        <v/>
      </c>
      <c r="Y516" t="str">
        <f>IF(ISNUMBER(S516),"2025 EIA-923 plant/group proxy",IF(ISNUMBER(I516),"Technology estimate","No thermal heat rate"))</f>
        <v>No thermal heat rate</v>
      </c>
      <c r="Z516" t="str">
        <f>IF(ISNUMBER(S516),"Review: NOT unit verified",IF(AE516="No match","No EIA match",IF(AF516="Unconfirmed","Unconfirmed EIA candidate","")))</f>
        <v/>
      </c>
      <c r="AE516" t="s">
        <v>65</v>
      </c>
      <c r="AF516" t="s">
        <v>66</v>
      </c>
      <c r="AG516" s="24">
        <f>IF(ISBLANK(S516),S516,I516)</f>
        <v>0</v>
      </c>
      <c r="AH516" s="34">
        <f t="shared" ref="AH516:AH579" si="22">AH515+B516</f>
        <v>46611.699999999975</v>
      </c>
      <c r="AI516">
        <f t="shared" si="21"/>
        <v>29108.190501283712</v>
      </c>
      <c r="AJ516" t="b" cm="1">
        <f t="array" ref="AJ516">OR(D516=$AT$2:$AT$8)</f>
        <v>0</v>
      </c>
    </row>
    <row r="517" spans="1:36" x14ac:dyDescent="0.25">
      <c r="A517" s="2" t="s">
        <v>498</v>
      </c>
      <c r="B517" s="3">
        <v>63</v>
      </c>
      <c r="C517" s="2" t="s">
        <v>432</v>
      </c>
      <c r="D517" s="2" t="s">
        <v>58</v>
      </c>
      <c r="E517" s="2" t="s">
        <v>447</v>
      </c>
      <c r="F517" s="4" t="s">
        <v>83</v>
      </c>
      <c r="G517" s="4" t="s">
        <v>84</v>
      </c>
      <c r="H517" s="5"/>
      <c r="I517" s="5"/>
      <c r="J517" s="5"/>
      <c r="K517" s="4" t="s">
        <v>62</v>
      </c>
      <c r="L517" s="4" t="s">
        <v>63</v>
      </c>
      <c r="M517" s="6" t="str">
        <f>IF(OR(B517="",I517=""),"",B517*I517)</f>
        <v/>
      </c>
      <c r="N517" s="8" t="s">
        <v>64</v>
      </c>
      <c r="O517" s="9"/>
      <c r="P517" s="9"/>
      <c r="Q517" s="22"/>
      <c r="R517" s="22"/>
      <c r="S517" s="23" t="str">
        <f>IF(AND(ISNUMBER(Q517),Q517&gt;0,ISNUMBER(R517),R517&gt;0),R517/Q517,"")</f>
        <v/>
      </c>
      <c r="T517" s="9"/>
      <c r="U517" s="9"/>
      <c r="V517" s="9"/>
      <c r="W517" s="9"/>
      <c r="X517" s="23" t="str">
        <f>IF(ISNUMBER(S517),S517,IF(ISNUMBER(I517),I517,""))</f>
        <v/>
      </c>
      <c r="Y517" t="str">
        <f>IF(ISNUMBER(S517),"2025 EIA-923 plant/group proxy",IF(ISNUMBER(I517),"Technology estimate","No thermal heat rate"))</f>
        <v>No thermal heat rate</v>
      </c>
      <c r="Z517" t="str">
        <f>IF(ISNUMBER(S517),"Review: NOT unit verified",IF(AE517="No match","No EIA match",IF(AF517="Unconfirmed","Unconfirmed EIA candidate","")))</f>
        <v/>
      </c>
      <c r="AE517" t="s">
        <v>65</v>
      </c>
      <c r="AF517" t="s">
        <v>66</v>
      </c>
      <c r="AG517" s="24">
        <f>IF(ISBLANK(S517),S517,I517)</f>
        <v>0</v>
      </c>
      <c r="AH517" s="34">
        <f t="shared" si="22"/>
        <v>46674.699999999975</v>
      </c>
      <c r="AI517">
        <f t="shared" si="21"/>
        <v>29147.53289818365</v>
      </c>
      <c r="AJ517" t="b" cm="1">
        <f t="array" ref="AJ517">OR(D517=$AT$2:$AT$8)</f>
        <v>0</v>
      </c>
    </row>
    <row r="518" spans="1:36" x14ac:dyDescent="0.25">
      <c r="A518" s="2" t="s">
        <v>499</v>
      </c>
      <c r="B518" s="3">
        <v>36</v>
      </c>
      <c r="C518" s="2" t="s">
        <v>432</v>
      </c>
      <c r="D518" s="2" t="s">
        <v>58</v>
      </c>
      <c r="E518" s="2" t="s">
        <v>447</v>
      </c>
      <c r="F518" s="4" t="s">
        <v>83</v>
      </c>
      <c r="G518" s="4" t="s">
        <v>84</v>
      </c>
      <c r="H518" s="5"/>
      <c r="I518" s="5"/>
      <c r="J518" s="5"/>
      <c r="K518" s="4" t="s">
        <v>62</v>
      </c>
      <c r="L518" s="4" t="s">
        <v>63</v>
      </c>
      <c r="M518" s="6" t="str">
        <f>IF(OR(B518="",I518=""),"",B518*I518)</f>
        <v/>
      </c>
      <c r="N518" s="8" t="s">
        <v>64</v>
      </c>
      <c r="O518" s="9"/>
      <c r="P518" s="9"/>
      <c r="Q518" s="22"/>
      <c r="R518" s="22"/>
      <c r="S518" s="23" t="str">
        <f>IF(AND(ISNUMBER(Q518),Q518&gt;0,ISNUMBER(R518),R518&gt;0),R518/Q518,"")</f>
        <v/>
      </c>
      <c r="T518" s="9"/>
      <c r="U518" s="9"/>
      <c r="V518" s="9"/>
      <c r="W518" s="9"/>
      <c r="X518" s="23" t="str">
        <f>IF(ISNUMBER(S518),S518,IF(ISNUMBER(I518),I518,""))</f>
        <v/>
      </c>
      <c r="Y518" t="str">
        <f>IF(ISNUMBER(S518),"2025 EIA-923 plant/group proxy",IF(ISNUMBER(I518),"Technology estimate","No thermal heat rate"))</f>
        <v>No thermal heat rate</v>
      </c>
      <c r="Z518" t="str">
        <f>IF(ISNUMBER(S518),"Review: NOT unit verified",IF(AE518="No match","No EIA match",IF(AF518="Unconfirmed","Unconfirmed EIA candidate","")))</f>
        <v/>
      </c>
      <c r="AE518" t="s">
        <v>65</v>
      </c>
      <c r="AF518" t="s">
        <v>66</v>
      </c>
      <c r="AG518" s="24">
        <f>IF(ISBLANK(S518),S518,I518)</f>
        <v>0</v>
      </c>
      <c r="AH518" s="34">
        <f t="shared" si="22"/>
        <v>46710.699999999975</v>
      </c>
      <c r="AI518">
        <f t="shared" si="21"/>
        <v>29170.014267840761</v>
      </c>
      <c r="AJ518" t="b" cm="1">
        <f t="array" ref="AJ518">OR(D518=$AT$2:$AT$8)</f>
        <v>0</v>
      </c>
    </row>
    <row r="519" spans="1:36" x14ac:dyDescent="0.25">
      <c r="A519" s="2" t="s">
        <v>500</v>
      </c>
      <c r="B519" s="3">
        <v>44</v>
      </c>
      <c r="C519" s="2" t="s">
        <v>432</v>
      </c>
      <c r="D519" s="2" t="s">
        <v>58</v>
      </c>
      <c r="E519" s="2" t="s">
        <v>447</v>
      </c>
      <c r="F519" s="4" t="s">
        <v>83</v>
      </c>
      <c r="G519" s="4" t="s">
        <v>84</v>
      </c>
      <c r="H519" s="5"/>
      <c r="I519" s="5"/>
      <c r="J519" s="5"/>
      <c r="K519" s="4" t="s">
        <v>62</v>
      </c>
      <c r="L519" s="4" t="s">
        <v>63</v>
      </c>
      <c r="M519" s="6" t="str">
        <f>IF(OR(B519="",I519=""),"",B519*I519)</f>
        <v/>
      </c>
      <c r="N519" s="8" t="s">
        <v>64</v>
      </c>
      <c r="O519" s="9"/>
      <c r="P519" s="9"/>
      <c r="Q519" s="22"/>
      <c r="R519" s="22"/>
      <c r="S519" s="23" t="str">
        <f>IF(AND(ISNUMBER(Q519),Q519&gt;0,ISNUMBER(R519),R519&gt;0),R519/Q519,"")</f>
        <v/>
      </c>
      <c r="T519" s="9"/>
      <c r="U519" s="9"/>
      <c r="V519" s="9"/>
      <c r="W519" s="9"/>
      <c r="X519" s="23" t="str">
        <f>IF(ISNUMBER(S519),S519,IF(ISNUMBER(I519),I519,""))</f>
        <v/>
      </c>
      <c r="Y519" t="str">
        <f>IF(ISNUMBER(S519),"2025 EIA-923 plant/group proxy",IF(ISNUMBER(I519),"Technology estimate","No thermal heat rate"))</f>
        <v>No thermal heat rate</v>
      </c>
      <c r="Z519" t="str">
        <f>IF(ISNUMBER(S519),"Review: NOT unit verified",IF(AE519="No match","No EIA match",IF(AF519="Unconfirmed","Unconfirmed EIA candidate","")))</f>
        <v/>
      </c>
      <c r="AE519" t="s">
        <v>65</v>
      </c>
      <c r="AF519" t="s">
        <v>66</v>
      </c>
      <c r="AG519" s="24">
        <f>IF(ISBLANK(S519),S519,I519)</f>
        <v>0</v>
      </c>
      <c r="AH519" s="34">
        <f t="shared" si="22"/>
        <v>46754.699999999975</v>
      </c>
      <c r="AI519">
        <f t="shared" si="21"/>
        <v>29197.49149742167</v>
      </c>
      <c r="AJ519" t="b" cm="1">
        <f t="array" ref="AJ519">OR(D519=$AT$2:$AT$8)</f>
        <v>0</v>
      </c>
    </row>
    <row r="520" spans="1:36" x14ac:dyDescent="0.25">
      <c r="A520" s="2" t="s">
        <v>501</v>
      </c>
      <c r="B520" s="3">
        <v>44</v>
      </c>
      <c r="C520" s="2" t="s">
        <v>432</v>
      </c>
      <c r="D520" s="2" t="s">
        <v>58</v>
      </c>
      <c r="E520" s="2" t="s">
        <v>447</v>
      </c>
      <c r="F520" s="4" t="s">
        <v>83</v>
      </c>
      <c r="G520" s="4" t="s">
        <v>84</v>
      </c>
      <c r="H520" s="5"/>
      <c r="I520" s="5"/>
      <c r="J520" s="5"/>
      <c r="K520" s="4" t="s">
        <v>62</v>
      </c>
      <c r="L520" s="4" t="s">
        <v>63</v>
      </c>
      <c r="M520" s="6" t="str">
        <f>IF(OR(B520="",I520=""),"",B520*I520)</f>
        <v/>
      </c>
      <c r="N520" s="8" t="s">
        <v>64</v>
      </c>
      <c r="O520" s="9"/>
      <c r="P520" s="9"/>
      <c r="Q520" s="22"/>
      <c r="R520" s="22"/>
      <c r="S520" s="23" t="str">
        <f>IF(AND(ISNUMBER(Q520),Q520&gt;0,ISNUMBER(R520),R520&gt;0),R520/Q520,"")</f>
        <v/>
      </c>
      <c r="T520" s="9"/>
      <c r="U520" s="9"/>
      <c r="V520" s="9"/>
      <c r="W520" s="9"/>
      <c r="X520" s="23" t="str">
        <f>IF(ISNUMBER(S520),S520,IF(ISNUMBER(I520),I520,""))</f>
        <v/>
      </c>
      <c r="Y520" t="str">
        <f>IF(ISNUMBER(S520),"2025 EIA-923 plant/group proxy",IF(ISNUMBER(I520),"Technology estimate","No thermal heat rate"))</f>
        <v>No thermal heat rate</v>
      </c>
      <c r="Z520" t="str">
        <f>IF(ISNUMBER(S520),"Review: NOT unit verified",IF(AE520="No match","No EIA match",IF(AF520="Unconfirmed","Unconfirmed EIA candidate","")))</f>
        <v/>
      </c>
      <c r="AE520" t="s">
        <v>65</v>
      </c>
      <c r="AF520" t="s">
        <v>66</v>
      </c>
      <c r="AG520" s="24">
        <f>IF(ISBLANK(S520),S520,I520)</f>
        <v>0</v>
      </c>
      <c r="AH520" s="34">
        <f t="shared" si="22"/>
        <v>46798.699999999975</v>
      </c>
      <c r="AI520">
        <f t="shared" si="21"/>
        <v>29224.968727002579</v>
      </c>
      <c r="AJ520" t="b" cm="1">
        <f t="array" ref="AJ520">OR(D520=$AT$2:$AT$8)</f>
        <v>0</v>
      </c>
    </row>
    <row r="521" spans="1:36" x14ac:dyDescent="0.25">
      <c r="A521" s="2" t="s">
        <v>502</v>
      </c>
      <c r="B521" s="3">
        <v>36</v>
      </c>
      <c r="C521" s="2" t="s">
        <v>432</v>
      </c>
      <c r="D521" s="2" t="s">
        <v>58</v>
      </c>
      <c r="E521" s="2" t="s">
        <v>447</v>
      </c>
      <c r="F521" s="4" t="s">
        <v>83</v>
      </c>
      <c r="G521" s="4" t="s">
        <v>84</v>
      </c>
      <c r="H521" s="5"/>
      <c r="I521" s="5"/>
      <c r="J521" s="5"/>
      <c r="K521" s="4" t="s">
        <v>62</v>
      </c>
      <c r="L521" s="4" t="s">
        <v>63</v>
      </c>
      <c r="M521" s="6" t="str">
        <f>IF(OR(B521="",I521=""),"",B521*I521)</f>
        <v/>
      </c>
      <c r="N521" s="8" t="s">
        <v>64</v>
      </c>
      <c r="O521" s="9"/>
      <c r="P521" s="9"/>
      <c r="Q521" s="22"/>
      <c r="R521" s="22"/>
      <c r="S521" s="23" t="str">
        <f>IF(AND(ISNUMBER(Q521),Q521&gt;0,ISNUMBER(R521),R521&gt;0),R521/Q521,"")</f>
        <v/>
      </c>
      <c r="T521" s="9"/>
      <c r="U521" s="9"/>
      <c r="V521" s="9"/>
      <c r="W521" s="9"/>
      <c r="X521" s="23" t="str">
        <f>IF(ISNUMBER(S521),S521,IF(ISNUMBER(I521),I521,""))</f>
        <v/>
      </c>
      <c r="Y521" t="str">
        <f>IF(ISNUMBER(S521),"2025 EIA-923 plant/group proxy",IF(ISNUMBER(I521),"Technology estimate","No thermal heat rate"))</f>
        <v>No thermal heat rate</v>
      </c>
      <c r="Z521" t="str">
        <f>IF(ISNUMBER(S521),"Review: NOT unit verified",IF(AE521="No match","No EIA match",IF(AF521="Unconfirmed","Unconfirmed EIA candidate","")))</f>
        <v/>
      </c>
      <c r="AE521" t="s">
        <v>65</v>
      </c>
      <c r="AF521" t="s">
        <v>66</v>
      </c>
      <c r="AG521" s="24">
        <f>IF(ISBLANK(S521),S521,I521)</f>
        <v>0</v>
      </c>
      <c r="AH521" s="34">
        <f t="shared" si="22"/>
        <v>46834.699999999975</v>
      </c>
      <c r="AI521">
        <f t="shared" si="21"/>
        <v>29247.450096659686</v>
      </c>
      <c r="AJ521" t="b" cm="1">
        <f t="array" ref="AJ521">OR(D521=$AT$2:$AT$8)</f>
        <v>0</v>
      </c>
    </row>
    <row r="522" spans="1:36" x14ac:dyDescent="0.25">
      <c r="A522" s="2" t="s">
        <v>503</v>
      </c>
      <c r="B522" s="3">
        <v>44</v>
      </c>
      <c r="C522" s="2" t="s">
        <v>432</v>
      </c>
      <c r="D522" s="2" t="s">
        <v>58</v>
      </c>
      <c r="E522" s="2" t="s">
        <v>447</v>
      </c>
      <c r="F522" s="4" t="s">
        <v>83</v>
      </c>
      <c r="G522" s="4" t="s">
        <v>84</v>
      </c>
      <c r="H522" s="5"/>
      <c r="I522" s="5"/>
      <c r="J522" s="5"/>
      <c r="K522" s="4" t="s">
        <v>62</v>
      </c>
      <c r="L522" s="4" t="s">
        <v>63</v>
      </c>
      <c r="M522" s="6" t="str">
        <f>IF(OR(B522="",I522=""),"",B522*I522)</f>
        <v/>
      </c>
      <c r="N522" s="8" t="s">
        <v>64</v>
      </c>
      <c r="O522" s="9"/>
      <c r="P522" s="9"/>
      <c r="Q522" s="22"/>
      <c r="R522" s="22"/>
      <c r="S522" s="23" t="str">
        <f>IF(AND(ISNUMBER(Q522),Q522&gt;0,ISNUMBER(R522),R522&gt;0),R522/Q522,"")</f>
        <v/>
      </c>
      <c r="T522" s="9"/>
      <c r="U522" s="9"/>
      <c r="V522" s="9"/>
      <c r="W522" s="9"/>
      <c r="X522" s="23" t="str">
        <f>IF(ISNUMBER(S522),S522,IF(ISNUMBER(I522),I522,""))</f>
        <v/>
      </c>
      <c r="Y522" t="str">
        <f>IF(ISNUMBER(S522),"2025 EIA-923 plant/group proxy",IF(ISNUMBER(I522),"Technology estimate","No thermal heat rate"))</f>
        <v>No thermal heat rate</v>
      </c>
      <c r="Z522" t="str">
        <f>IF(ISNUMBER(S522),"Review: NOT unit verified",IF(AE522="No match","No EIA match",IF(AF522="Unconfirmed","Unconfirmed EIA candidate","")))</f>
        <v/>
      </c>
      <c r="AE522" t="s">
        <v>65</v>
      </c>
      <c r="AF522" t="s">
        <v>66</v>
      </c>
      <c r="AG522" s="24">
        <f>IF(ISBLANK(S522),S522,I522)</f>
        <v>0</v>
      </c>
      <c r="AH522" s="34">
        <f t="shared" si="22"/>
        <v>46878.699999999975</v>
      </c>
      <c r="AI522">
        <f t="shared" si="21"/>
        <v>29274.927326240595</v>
      </c>
      <c r="AJ522" t="b" cm="1">
        <f t="array" ref="AJ522">OR(D522=$AT$2:$AT$8)</f>
        <v>0</v>
      </c>
    </row>
    <row r="523" spans="1:36" x14ac:dyDescent="0.25">
      <c r="A523" s="2" t="s">
        <v>504</v>
      </c>
      <c r="B523" s="3">
        <v>44</v>
      </c>
      <c r="C523" s="2" t="s">
        <v>432</v>
      </c>
      <c r="D523" s="2" t="s">
        <v>58</v>
      </c>
      <c r="E523" s="2" t="s">
        <v>447</v>
      </c>
      <c r="F523" s="4" t="s">
        <v>83</v>
      </c>
      <c r="G523" s="4" t="s">
        <v>84</v>
      </c>
      <c r="H523" s="5"/>
      <c r="I523" s="5"/>
      <c r="J523" s="5"/>
      <c r="K523" s="4" t="s">
        <v>62</v>
      </c>
      <c r="L523" s="4" t="s">
        <v>63</v>
      </c>
      <c r="M523" s="6" t="str">
        <f>IF(OR(B523="",I523=""),"",B523*I523)</f>
        <v/>
      </c>
      <c r="N523" s="8" t="s">
        <v>64</v>
      </c>
      <c r="O523" s="9"/>
      <c r="P523" s="9"/>
      <c r="Q523" s="22"/>
      <c r="R523" s="22"/>
      <c r="S523" s="23" t="str">
        <f>IF(AND(ISNUMBER(Q523),Q523&gt;0,ISNUMBER(R523),R523&gt;0),R523/Q523,"")</f>
        <v/>
      </c>
      <c r="T523" s="9"/>
      <c r="U523" s="9"/>
      <c r="V523" s="9"/>
      <c r="W523" s="9"/>
      <c r="X523" s="23" t="str">
        <f>IF(ISNUMBER(S523),S523,IF(ISNUMBER(I523),I523,""))</f>
        <v/>
      </c>
      <c r="Y523" t="str">
        <f>IF(ISNUMBER(S523),"2025 EIA-923 plant/group proxy",IF(ISNUMBER(I523),"Technology estimate","No thermal heat rate"))</f>
        <v>No thermal heat rate</v>
      </c>
      <c r="Z523" t="str">
        <f>IF(ISNUMBER(S523),"Review: NOT unit verified",IF(AE523="No match","No EIA match",IF(AF523="Unconfirmed","Unconfirmed EIA candidate","")))</f>
        <v/>
      </c>
      <c r="AE523" t="s">
        <v>65</v>
      </c>
      <c r="AF523" t="s">
        <v>66</v>
      </c>
      <c r="AG523" s="24">
        <f>IF(ISBLANK(S523),S523,I523)</f>
        <v>0</v>
      </c>
      <c r="AH523" s="34">
        <f t="shared" si="22"/>
        <v>46922.699999999975</v>
      </c>
      <c r="AI523">
        <f t="shared" si="21"/>
        <v>29302.404555821504</v>
      </c>
      <c r="AJ523" t="b" cm="1">
        <f t="array" ref="AJ523">OR(D523=$AT$2:$AT$8)</f>
        <v>0</v>
      </c>
    </row>
    <row r="524" spans="1:36" x14ac:dyDescent="0.25">
      <c r="A524" s="2" t="s">
        <v>505</v>
      </c>
      <c r="B524" s="3">
        <v>60</v>
      </c>
      <c r="C524" s="2" t="s">
        <v>432</v>
      </c>
      <c r="D524" s="2" t="s">
        <v>58</v>
      </c>
      <c r="E524" s="2" t="s">
        <v>447</v>
      </c>
      <c r="F524" s="4" t="s">
        <v>83</v>
      </c>
      <c r="G524" s="4" t="s">
        <v>84</v>
      </c>
      <c r="H524" s="5"/>
      <c r="I524" s="5"/>
      <c r="J524" s="5"/>
      <c r="K524" s="4" t="s">
        <v>62</v>
      </c>
      <c r="L524" s="4" t="s">
        <v>63</v>
      </c>
      <c r="M524" s="6" t="str">
        <f>IF(OR(B524="",I524=""),"",B524*I524)</f>
        <v/>
      </c>
      <c r="N524" s="8" t="s">
        <v>64</v>
      </c>
      <c r="O524" s="9"/>
      <c r="P524" s="9"/>
      <c r="Q524" s="22"/>
      <c r="R524" s="22"/>
      <c r="S524" s="23" t="str">
        <f>IF(AND(ISNUMBER(Q524),Q524&gt;0,ISNUMBER(R524),R524&gt;0),R524/Q524,"")</f>
        <v/>
      </c>
      <c r="T524" s="9"/>
      <c r="U524" s="9"/>
      <c r="V524" s="9"/>
      <c r="W524" s="9"/>
      <c r="X524" s="23" t="str">
        <f>IF(ISNUMBER(S524),S524,IF(ISNUMBER(I524),I524,""))</f>
        <v/>
      </c>
      <c r="Y524" t="str">
        <f>IF(ISNUMBER(S524),"2025 EIA-923 plant/group proxy",IF(ISNUMBER(I524),"Technology estimate","No thermal heat rate"))</f>
        <v>No thermal heat rate</v>
      </c>
      <c r="Z524" t="str">
        <f>IF(ISNUMBER(S524),"Review: NOT unit verified",IF(AE524="No match","No EIA match",IF(AF524="Unconfirmed","Unconfirmed EIA candidate","")))</f>
        <v/>
      </c>
      <c r="AE524" t="s">
        <v>65</v>
      </c>
      <c r="AF524" t="s">
        <v>66</v>
      </c>
      <c r="AG524" s="24">
        <f>IF(ISBLANK(S524),S524,I524)</f>
        <v>0</v>
      </c>
      <c r="AH524" s="34">
        <f t="shared" si="22"/>
        <v>46982.699999999975</v>
      </c>
      <c r="AI524">
        <f t="shared" si="21"/>
        <v>29339.87350525002</v>
      </c>
      <c r="AJ524" t="b" cm="1">
        <f t="array" ref="AJ524">OR(D524=$AT$2:$AT$8)</f>
        <v>0</v>
      </c>
    </row>
    <row r="525" spans="1:36" x14ac:dyDescent="0.25">
      <c r="A525" s="2" t="s">
        <v>506</v>
      </c>
      <c r="B525" s="3">
        <v>62</v>
      </c>
      <c r="C525" s="2" t="s">
        <v>432</v>
      </c>
      <c r="D525" s="2" t="s">
        <v>58</v>
      </c>
      <c r="E525" s="2" t="s">
        <v>447</v>
      </c>
      <c r="F525" s="4" t="s">
        <v>83</v>
      </c>
      <c r="G525" s="4" t="s">
        <v>84</v>
      </c>
      <c r="H525" s="5"/>
      <c r="I525" s="5"/>
      <c r="J525" s="5"/>
      <c r="K525" s="4" t="s">
        <v>62</v>
      </c>
      <c r="L525" s="4" t="s">
        <v>63</v>
      </c>
      <c r="M525" s="6" t="str">
        <f>IF(OR(B525="",I525=""),"",B525*I525)</f>
        <v/>
      </c>
      <c r="N525" s="8" t="s">
        <v>64</v>
      </c>
      <c r="O525" s="9"/>
      <c r="P525" s="9"/>
      <c r="Q525" s="22"/>
      <c r="R525" s="22"/>
      <c r="S525" s="23" t="str">
        <f>IF(AND(ISNUMBER(Q525),Q525&gt;0,ISNUMBER(R525),R525&gt;0),R525/Q525,"")</f>
        <v/>
      </c>
      <c r="T525" s="9"/>
      <c r="U525" s="9"/>
      <c r="V525" s="9"/>
      <c r="W525" s="9"/>
      <c r="X525" s="23" t="str">
        <f>IF(ISNUMBER(S525),S525,IF(ISNUMBER(I525),I525,""))</f>
        <v/>
      </c>
      <c r="Y525" t="str">
        <f>IF(ISNUMBER(S525),"2025 EIA-923 plant/group proxy",IF(ISNUMBER(I525),"Technology estimate","No thermal heat rate"))</f>
        <v>No thermal heat rate</v>
      </c>
      <c r="Z525" t="str">
        <f>IF(ISNUMBER(S525),"Review: NOT unit verified",IF(AE525="No match","No EIA match",IF(AF525="Unconfirmed","Unconfirmed EIA candidate","")))</f>
        <v/>
      </c>
      <c r="AE525" t="s">
        <v>65</v>
      </c>
      <c r="AF525" t="s">
        <v>66</v>
      </c>
      <c r="AG525" s="24">
        <f>IF(ISBLANK(S525),S525,I525)</f>
        <v>0</v>
      </c>
      <c r="AH525" s="34">
        <f t="shared" si="22"/>
        <v>47044.699999999975</v>
      </c>
      <c r="AI525">
        <f t="shared" si="21"/>
        <v>29378.591419659482</v>
      </c>
      <c r="AJ525" t="b" cm="1">
        <f t="array" ref="AJ525">OR(D525=$AT$2:$AT$8)</f>
        <v>0</v>
      </c>
    </row>
    <row r="526" spans="1:36" x14ac:dyDescent="0.25">
      <c r="A526" s="2" t="s">
        <v>572</v>
      </c>
      <c r="B526" s="3">
        <v>19.600000000000001</v>
      </c>
      <c r="C526" s="2" t="s">
        <v>86</v>
      </c>
      <c r="D526" s="2" t="s">
        <v>76</v>
      </c>
      <c r="E526" s="2" t="s">
        <v>447</v>
      </c>
      <c r="F526" s="4" t="s">
        <v>83</v>
      </c>
      <c r="G526" s="4" t="s">
        <v>84</v>
      </c>
      <c r="H526" s="5"/>
      <c r="I526" s="5"/>
      <c r="J526" s="5"/>
      <c r="K526" s="4" t="s">
        <v>62</v>
      </c>
      <c r="L526" s="4" t="s">
        <v>63</v>
      </c>
      <c r="M526" s="6" t="str">
        <f>IF(OR(B526="",I526=""),"",B526*I526)</f>
        <v/>
      </c>
      <c r="N526" s="8" t="s">
        <v>64</v>
      </c>
      <c r="O526" s="9"/>
      <c r="P526" s="9"/>
      <c r="Q526" s="22"/>
      <c r="R526" s="22"/>
      <c r="S526" s="23" t="str">
        <f>IF(AND(ISNUMBER(Q526),Q526&gt;0,ISNUMBER(R526),R526&gt;0),R526/Q526,"")</f>
        <v/>
      </c>
      <c r="T526" s="9"/>
      <c r="U526" s="9"/>
      <c r="V526" s="9"/>
      <c r="W526" s="9"/>
      <c r="X526" s="23" t="str">
        <f>IF(ISNUMBER(S526),S526,IF(ISNUMBER(I526),I526,""))</f>
        <v/>
      </c>
      <c r="Y526" t="str">
        <f>IF(ISNUMBER(S526),"2025 EIA-923 plant/group proxy",IF(ISNUMBER(I526),"Technology estimate","No thermal heat rate"))</f>
        <v>No thermal heat rate</v>
      </c>
      <c r="Z526" t="str">
        <f>IF(ISNUMBER(S526),"Review: NOT unit verified",IF(AE526="No match","No EIA match",IF(AF526="Unconfirmed","Unconfirmed EIA candidate","")))</f>
        <v/>
      </c>
      <c r="AE526" t="s">
        <v>65</v>
      </c>
      <c r="AF526" t="s">
        <v>66</v>
      </c>
      <c r="AG526" s="24">
        <f>IF(ISBLANK(S526),S526,I526)</f>
        <v>0</v>
      </c>
      <c r="AH526" s="34">
        <f t="shared" si="22"/>
        <v>47064.299999999974</v>
      </c>
      <c r="AI526">
        <f t="shared" si="21"/>
        <v>29390.831276472796</v>
      </c>
      <c r="AJ526" t="b" cm="1">
        <f t="array" ref="AJ526">OR(D526=$AT$2:$AT$8)</f>
        <v>0</v>
      </c>
    </row>
    <row r="527" spans="1:36" x14ac:dyDescent="0.25">
      <c r="A527" s="2" t="s">
        <v>795</v>
      </c>
      <c r="B527" s="3">
        <v>220</v>
      </c>
      <c r="C527" s="2" t="s">
        <v>78</v>
      </c>
      <c r="D527" s="2" t="s">
        <v>78</v>
      </c>
      <c r="E527" s="2" t="s">
        <v>447</v>
      </c>
      <c r="F527" s="4" t="s">
        <v>83</v>
      </c>
      <c r="G527" s="4" t="s">
        <v>84</v>
      </c>
      <c r="H527" s="5"/>
      <c r="I527" s="5"/>
      <c r="J527" s="5"/>
      <c r="K527" s="4" t="s">
        <v>62</v>
      </c>
      <c r="L527" s="4" t="s">
        <v>63</v>
      </c>
      <c r="M527" s="6" t="str">
        <f>IF(OR(B527="",I527=""),"",B527*I527)</f>
        <v/>
      </c>
      <c r="N527" s="8" t="s">
        <v>64</v>
      </c>
      <c r="O527" s="9"/>
      <c r="P527" s="9"/>
      <c r="Q527" s="22"/>
      <c r="R527" s="22"/>
      <c r="S527" s="23" t="str">
        <f>IF(AND(ISNUMBER(Q527),Q527&gt;0,ISNUMBER(R527),R527&gt;0),R527/Q527,"")</f>
        <v/>
      </c>
      <c r="T527" s="9"/>
      <c r="U527" s="9"/>
      <c r="V527" s="9"/>
      <c r="W527" s="9"/>
      <c r="X527" s="23" t="str">
        <f>IF(ISNUMBER(S527),S527,IF(ISNUMBER(I527),I527,""))</f>
        <v/>
      </c>
      <c r="Y527" t="str">
        <f>IF(ISNUMBER(S527),"2025 EIA-923 plant/group proxy",IF(ISNUMBER(I527),"Technology estimate","No thermal heat rate"))</f>
        <v>No thermal heat rate</v>
      </c>
      <c r="Z527" t="str">
        <f>IF(ISNUMBER(S527),"Review: NOT unit verified",IF(AE527="No match","No EIA match",IF(AF527="Unconfirmed","Unconfirmed EIA candidate","")))</f>
        <v/>
      </c>
      <c r="AE527" t="s">
        <v>65</v>
      </c>
      <c r="AF527" t="s">
        <v>66</v>
      </c>
      <c r="AG527" s="24">
        <f>IF(ISBLANK(S527),S527,I527)</f>
        <v>0</v>
      </c>
      <c r="AH527" s="34">
        <f t="shared" si="22"/>
        <v>47284.299999999974</v>
      </c>
      <c r="AI527">
        <f t="shared" si="21"/>
        <v>29528.217424377344</v>
      </c>
      <c r="AJ527" t="b" cm="1">
        <f t="array" ref="AJ527">OR(D527=$AT$2:$AT$8)</f>
        <v>1</v>
      </c>
    </row>
    <row r="528" spans="1:36" x14ac:dyDescent="0.25">
      <c r="A528" s="2" t="s">
        <v>939</v>
      </c>
      <c r="B528" s="3">
        <v>216.5</v>
      </c>
      <c r="C528" s="2" t="s">
        <v>136</v>
      </c>
      <c r="D528" s="2" t="s">
        <v>136</v>
      </c>
      <c r="E528" s="2" t="s">
        <v>447</v>
      </c>
      <c r="F528" s="4" t="s">
        <v>83</v>
      </c>
      <c r="G528" s="4" t="s">
        <v>84</v>
      </c>
      <c r="H528" s="5"/>
      <c r="I528" s="5"/>
      <c r="J528" s="5"/>
      <c r="K528" s="4" t="s">
        <v>62</v>
      </c>
      <c r="L528" s="4" t="s">
        <v>63</v>
      </c>
      <c r="M528" s="6" t="str">
        <f>IF(OR(B528="",I528=""),"",B528*I528)</f>
        <v/>
      </c>
      <c r="N528" s="8" t="s">
        <v>64</v>
      </c>
      <c r="O528" s="9"/>
      <c r="P528" s="9"/>
      <c r="Q528" s="22"/>
      <c r="R528" s="22"/>
      <c r="S528" s="23" t="str">
        <f>IF(AND(ISNUMBER(Q528),Q528&gt;0,ISNUMBER(R528),R528&gt;0),R528/Q528,"")</f>
        <v/>
      </c>
      <c r="T528" s="9"/>
      <c r="U528" s="9"/>
      <c r="V528" s="9"/>
      <c r="W528" s="9"/>
      <c r="X528" s="23" t="str">
        <f>IF(ISNUMBER(S528),S528,IF(ISNUMBER(I528),I528,""))</f>
        <v/>
      </c>
      <c r="Y528" t="str">
        <f>IF(ISNUMBER(S528),"2025 EIA-923 plant/group proxy",IF(ISNUMBER(I528),"Technology estimate","No thermal heat rate"))</f>
        <v>No thermal heat rate</v>
      </c>
      <c r="Z528" t="str">
        <f>IF(ISNUMBER(S528),"Review: NOT unit verified",IF(AE528="No match","No EIA match",IF(AF528="Unconfirmed","Unconfirmed EIA candidate","")))</f>
        <v/>
      </c>
      <c r="AE528" t="s">
        <v>65</v>
      </c>
      <c r="AF528" t="s">
        <v>66</v>
      </c>
      <c r="AG528" s="24">
        <f>IF(ISBLANK(S528),S528,I528)</f>
        <v>0</v>
      </c>
      <c r="AH528" s="34">
        <f t="shared" si="22"/>
        <v>47500.799999999974</v>
      </c>
      <c r="AI528">
        <f t="shared" si="21"/>
        <v>29663.417883565227</v>
      </c>
      <c r="AJ528" t="b" cm="1">
        <f t="array" ref="AJ528">OR(D528=$AT$2:$AT$8)</f>
        <v>0</v>
      </c>
    </row>
    <row r="529" spans="1:36" x14ac:dyDescent="0.25">
      <c r="A529" s="2" t="s">
        <v>1007</v>
      </c>
      <c r="B529" s="3">
        <v>267</v>
      </c>
      <c r="C529" s="2" t="s">
        <v>78</v>
      </c>
      <c r="D529" s="2" t="s">
        <v>78</v>
      </c>
      <c r="E529" s="2" t="s">
        <v>447</v>
      </c>
      <c r="F529" s="4" t="s">
        <v>83</v>
      </c>
      <c r="G529" s="4" t="s">
        <v>84</v>
      </c>
      <c r="H529" s="5"/>
      <c r="I529" s="5"/>
      <c r="J529" s="5"/>
      <c r="K529" s="4" t="s">
        <v>62</v>
      </c>
      <c r="L529" s="4" t="s">
        <v>63</v>
      </c>
      <c r="M529" s="6" t="str">
        <f>IF(OR(B529="",I529=""),"",B529*I529)</f>
        <v/>
      </c>
      <c r="N529" s="8" t="s">
        <v>64</v>
      </c>
      <c r="O529" s="9"/>
      <c r="P529" s="9"/>
      <c r="Q529" s="22"/>
      <c r="R529" s="22"/>
      <c r="S529" s="23" t="str">
        <f>IF(AND(ISNUMBER(Q529),Q529&gt;0,ISNUMBER(R529),R529&gt;0),R529/Q529,"")</f>
        <v/>
      </c>
      <c r="T529" s="9"/>
      <c r="U529" s="9"/>
      <c r="V529" s="9"/>
      <c r="W529" s="9"/>
      <c r="X529" s="23" t="str">
        <f>IF(ISNUMBER(S529),S529,IF(ISNUMBER(I529),I529,""))</f>
        <v/>
      </c>
      <c r="Y529" t="str">
        <f>IF(ISNUMBER(S529),"2025 EIA-923 plant/group proxy",IF(ISNUMBER(I529),"Technology estimate","No thermal heat rate"))</f>
        <v>No thermal heat rate</v>
      </c>
      <c r="Z529" t="str">
        <f>IF(ISNUMBER(S529),"Review: NOT unit verified",IF(AE529="No match","No EIA match",IF(AF529="Unconfirmed","Unconfirmed EIA candidate","")))</f>
        <v/>
      </c>
      <c r="AE529" t="s">
        <v>65</v>
      </c>
      <c r="AF529" t="s">
        <v>66</v>
      </c>
      <c r="AG529" s="24">
        <f>IF(ISBLANK(S529),S529,I529)</f>
        <v>0</v>
      </c>
      <c r="AH529" s="34">
        <f t="shared" si="22"/>
        <v>47767.799999999974</v>
      </c>
      <c r="AI529">
        <f t="shared" si="21"/>
        <v>29830.15470852211</v>
      </c>
      <c r="AJ529" t="b" cm="1">
        <f t="array" ref="AJ529">OR(D529=$AT$2:$AT$8)</f>
        <v>1</v>
      </c>
    </row>
    <row r="530" spans="1:36" x14ac:dyDescent="0.25">
      <c r="A530" s="2" t="s">
        <v>1043</v>
      </c>
      <c r="B530" s="3">
        <v>51</v>
      </c>
      <c r="C530" s="2" t="s">
        <v>80</v>
      </c>
      <c r="D530" s="2" t="s">
        <v>81</v>
      </c>
      <c r="E530" s="2" t="s">
        <v>447</v>
      </c>
      <c r="F530" s="4" t="s">
        <v>83</v>
      </c>
      <c r="G530" s="4" t="s">
        <v>84</v>
      </c>
      <c r="H530" s="5"/>
      <c r="I530" s="5"/>
      <c r="J530" s="5"/>
      <c r="K530" s="4" t="s">
        <v>62</v>
      </c>
      <c r="L530" s="4" t="s">
        <v>63</v>
      </c>
      <c r="M530" s="6" t="str">
        <f>IF(OR(B530="",I530=""),"",B530*I530)</f>
        <v/>
      </c>
      <c r="N530" s="8" t="s">
        <v>64</v>
      </c>
      <c r="O530" s="9"/>
      <c r="P530" s="9"/>
      <c r="Q530" s="22"/>
      <c r="R530" s="22"/>
      <c r="S530" s="23" t="str">
        <f>IF(AND(ISNUMBER(Q530),Q530&gt;0,ISNUMBER(R530),R530&gt;0),R530/Q530,"")</f>
        <v/>
      </c>
      <c r="T530" s="9"/>
      <c r="U530" s="9"/>
      <c r="V530" s="9"/>
      <c r="W530" s="9"/>
      <c r="X530" s="23" t="str">
        <f>IF(ISNUMBER(S530),S530,IF(ISNUMBER(I530),I530,""))</f>
        <v/>
      </c>
      <c r="Y530" t="str">
        <f>IF(ISNUMBER(S530),"2025 EIA-923 plant/group proxy",IF(ISNUMBER(I530),"Technology estimate","No thermal heat rate"))</f>
        <v>No thermal heat rate</v>
      </c>
      <c r="Z530" t="str">
        <f>IF(ISNUMBER(S530),"Review: NOT unit verified",IF(AE530="No match","No EIA match",IF(AF530="Unconfirmed","Unconfirmed EIA candidate","")))</f>
        <v/>
      </c>
      <c r="AE530" t="s">
        <v>65</v>
      </c>
      <c r="AF530" t="s">
        <v>66</v>
      </c>
      <c r="AG530" s="24">
        <f>IF(ISBLANK(S530),S530,I530)</f>
        <v>0</v>
      </c>
      <c r="AH530" s="34">
        <f t="shared" si="22"/>
        <v>47818.799999999974</v>
      </c>
      <c r="AI530">
        <f t="shared" si="21"/>
        <v>29862.003315536349</v>
      </c>
      <c r="AJ530" t="b" cm="1">
        <f t="array" ref="AJ530">OR(D530=$AT$2:$AT$8)</f>
        <v>0</v>
      </c>
    </row>
    <row r="531" spans="1:36" x14ac:dyDescent="0.25">
      <c r="A531" s="2" t="s">
        <v>1055</v>
      </c>
      <c r="B531" s="3">
        <v>70</v>
      </c>
      <c r="C531" s="2" t="s">
        <v>294</v>
      </c>
      <c r="D531" s="2" t="s">
        <v>81</v>
      </c>
      <c r="E531" s="2" t="s">
        <v>447</v>
      </c>
      <c r="F531" s="4" t="s">
        <v>83</v>
      </c>
      <c r="G531" s="4" t="s">
        <v>84</v>
      </c>
      <c r="H531" s="5"/>
      <c r="I531" s="5"/>
      <c r="J531" s="5"/>
      <c r="K531" s="4" t="s">
        <v>62</v>
      </c>
      <c r="L531" s="4" t="s">
        <v>63</v>
      </c>
      <c r="M531" s="6" t="str">
        <f>IF(OR(B531="",I531=""),"",B531*I531)</f>
        <v/>
      </c>
      <c r="N531" s="8" t="s">
        <v>64</v>
      </c>
      <c r="O531" s="9"/>
      <c r="P531" s="9"/>
      <c r="Q531" s="22"/>
      <c r="R531" s="22"/>
      <c r="S531" s="23" t="str">
        <f>IF(AND(ISNUMBER(Q531),Q531&gt;0,ISNUMBER(R531),R531&gt;0),R531/Q531,"")</f>
        <v/>
      </c>
      <c r="T531" s="9"/>
      <c r="U531" s="9"/>
      <c r="V531" s="9"/>
      <c r="W531" s="9"/>
      <c r="X531" s="23" t="str">
        <f>IF(ISNUMBER(S531),S531,IF(ISNUMBER(I531),I531,""))</f>
        <v/>
      </c>
      <c r="Y531" t="str">
        <f>IF(ISNUMBER(S531),"2025 EIA-923 plant/group proxy",IF(ISNUMBER(I531),"Technology estimate","No thermal heat rate"))</f>
        <v>No thermal heat rate</v>
      </c>
      <c r="Z531" t="str">
        <f>IF(ISNUMBER(S531),"Review: NOT unit verified",IF(AE531="No match","No EIA match",IF(AF531="Unconfirmed","Unconfirmed EIA candidate","")))</f>
        <v/>
      </c>
      <c r="AE531" t="s">
        <v>65</v>
      </c>
      <c r="AF531" t="s">
        <v>66</v>
      </c>
      <c r="AG531" s="24">
        <f>IF(ISBLANK(S531),S531,I531)</f>
        <v>0</v>
      </c>
      <c r="AH531" s="34">
        <f t="shared" si="22"/>
        <v>47888.799999999974</v>
      </c>
      <c r="AI531">
        <f t="shared" si="21"/>
        <v>29905.717089869613</v>
      </c>
      <c r="AJ531" t="b" cm="1">
        <f t="array" ref="AJ531">OR(D531=$AT$2:$AT$8)</f>
        <v>0</v>
      </c>
    </row>
    <row r="532" spans="1:36" x14ac:dyDescent="0.25">
      <c r="A532" s="2" t="s">
        <v>1373</v>
      </c>
      <c r="B532" s="3">
        <v>30.2</v>
      </c>
      <c r="C532" s="2" t="s">
        <v>86</v>
      </c>
      <c r="D532" s="2" t="s">
        <v>76</v>
      </c>
      <c r="E532" s="2" t="s">
        <v>447</v>
      </c>
      <c r="F532" s="4" t="s">
        <v>83</v>
      </c>
      <c r="G532" s="4" t="s">
        <v>84</v>
      </c>
      <c r="H532" s="5"/>
      <c r="I532" s="5"/>
      <c r="J532" s="5"/>
      <c r="K532" s="4" t="s">
        <v>62</v>
      </c>
      <c r="L532" s="4" t="s">
        <v>63</v>
      </c>
      <c r="M532" s="6" t="str">
        <f>IF(OR(B532="",I532=""),"",B532*I532)</f>
        <v/>
      </c>
      <c r="N532" s="8" t="s">
        <v>64</v>
      </c>
      <c r="O532" s="9"/>
      <c r="P532" s="9"/>
      <c r="Q532" s="22"/>
      <c r="R532" s="22"/>
      <c r="S532" s="23" t="str">
        <f>IF(AND(ISNUMBER(Q532),Q532&gt;0,ISNUMBER(R532),R532&gt;0),R532/Q532,"")</f>
        <v/>
      </c>
      <c r="T532" s="9"/>
      <c r="U532" s="9"/>
      <c r="V532" s="9"/>
      <c r="W532" s="9"/>
      <c r="X532" s="23" t="str">
        <f>IF(ISNUMBER(S532),S532,IF(ISNUMBER(I532),I532,""))</f>
        <v/>
      </c>
      <c r="Y532" t="str">
        <f>IF(ISNUMBER(S532),"2025 EIA-923 plant/group proxy",IF(ISNUMBER(I532),"Technology estimate","No thermal heat rate"))</f>
        <v>No thermal heat rate</v>
      </c>
      <c r="Z532" t="str">
        <f>IF(ISNUMBER(S532),"Review: NOT unit verified",IF(AE532="No match","No EIA match",IF(AF532="Unconfirmed","Unconfirmed EIA candidate","")))</f>
        <v/>
      </c>
      <c r="AE532" t="s">
        <v>65</v>
      </c>
      <c r="AF532" t="s">
        <v>66</v>
      </c>
      <c r="AG532" s="24">
        <f>IF(ISBLANK(S532),S532,I532)</f>
        <v>0</v>
      </c>
      <c r="AH532" s="34">
        <f t="shared" si="22"/>
        <v>47918.999999999971</v>
      </c>
      <c r="AI532">
        <f t="shared" si="21"/>
        <v>29924.576461081964</v>
      </c>
      <c r="AJ532" t="b" cm="1">
        <f t="array" ref="AJ532">OR(D532=$AT$2:$AT$8)</f>
        <v>0</v>
      </c>
    </row>
    <row r="533" spans="1:36" x14ac:dyDescent="0.25">
      <c r="A533" s="2" t="s">
        <v>1473</v>
      </c>
      <c r="B533" s="3">
        <v>4</v>
      </c>
      <c r="C533" s="2" t="s">
        <v>99</v>
      </c>
      <c r="D533" s="2" t="s">
        <v>81</v>
      </c>
      <c r="E533" s="2" t="s">
        <v>447</v>
      </c>
      <c r="F533" s="4" t="s">
        <v>83</v>
      </c>
      <c r="G533" s="4" t="s">
        <v>84</v>
      </c>
      <c r="H533" s="5"/>
      <c r="I533" s="5"/>
      <c r="J533" s="5"/>
      <c r="K533" s="4" t="s">
        <v>62</v>
      </c>
      <c r="L533" s="4" t="s">
        <v>63</v>
      </c>
      <c r="M533" s="6" t="str">
        <f>IF(OR(B533="",I533=""),"",B533*I533)</f>
        <v/>
      </c>
      <c r="N533" s="8" t="s">
        <v>64</v>
      </c>
      <c r="O533" s="9"/>
      <c r="P533" s="9"/>
      <c r="Q533" s="22"/>
      <c r="R533" s="22"/>
      <c r="S533" s="23" t="str">
        <f>IF(AND(ISNUMBER(Q533),Q533&gt;0,ISNUMBER(R533),R533&gt;0),R533/Q533,"")</f>
        <v/>
      </c>
      <c r="T533" s="9"/>
      <c r="U533" s="9"/>
      <c r="V533" s="9"/>
      <c r="W533" s="9"/>
      <c r="X533" s="23" t="str">
        <f>IF(ISNUMBER(S533),S533,IF(ISNUMBER(I533),I533,""))</f>
        <v/>
      </c>
      <c r="Y533" t="str">
        <f>IF(ISNUMBER(S533),"2025 EIA-923 plant/group proxy",IF(ISNUMBER(I533),"Technology estimate","No thermal heat rate"))</f>
        <v>No thermal heat rate</v>
      </c>
      <c r="Z533" t="str">
        <f>IF(ISNUMBER(S533),"Review: NOT unit verified",IF(AE533="No match","No EIA match",IF(AF533="Unconfirmed","Unconfirmed EIA candidate","")))</f>
        <v/>
      </c>
      <c r="AE533" t="s">
        <v>65</v>
      </c>
      <c r="AF533" t="s">
        <v>66</v>
      </c>
      <c r="AG533" s="24">
        <f>IF(ISBLANK(S533),S533,I533)</f>
        <v>0</v>
      </c>
      <c r="AH533" s="34">
        <f t="shared" si="22"/>
        <v>47922.999999999971</v>
      </c>
      <c r="AI533">
        <f t="shared" si="21"/>
        <v>29927.074391043865</v>
      </c>
      <c r="AJ533" t="b" cm="1">
        <f t="array" ref="AJ533">OR(D533=$AT$2:$AT$8)</f>
        <v>0</v>
      </c>
    </row>
    <row r="534" spans="1:36" x14ac:dyDescent="0.25">
      <c r="A534" s="2" t="s">
        <v>1497</v>
      </c>
      <c r="B534" s="3">
        <v>97.6</v>
      </c>
      <c r="C534" s="2" t="s">
        <v>78</v>
      </c>
      <c r="D534" s="2" t="s">
        <v>78</v>
      </c>
      <c r="E534" s="2" t="s">
        <v>447</v>
      </c>
      <c r="F534" s="4" t="s">
        <v>83</v>
      </c>
      <c r="G534" s="4" t="s">
        <v>84</v>
      </c>
      <c r="H534" s="5"/>
      <c r="I534" s="5"/>
      <c r="J534" s="5"/>
      <c r="K534" s="4" t="s">
        <v>62</v>
      </c>
      <c r="L534" s="4" t="s">
        <v>63</v>
      </c>
      <c r="M534" s="6" t="str">
        <f>IF(OR(B534="",I534=""),"",B534*I534)</f>
        <v/>
      </c>
      <c r="N534" s="8" t="s">
        <v>64</v>
      </c>
      <c r="O534" s="9"/>
      <c r="P534" s="9"/>
      <c r="Q534" s="22"/>
      <c r="R534" s="22"/>
      <c r="S534" s="23" t="str">
        <f>IF(AND(ISNUMBER(Q534),Q534&gt;0,ISNUMBER(R534),R534&gt;0),R534/Q534,"")</f>
        <v/>
      </c>
      <c r="T534" s="9"/>
      <c r="U534" s="9"/>
      <c r="V534" s="9"/>
      <c r="W534" s="9"/>
      <c r="X534" s="23" t="str">
        <f>IF(ISNUMBER(S534),S534,IF(ISNUMBER(I534),I534,""))</f>
        <v/>
      </c>
      <c r="Y534" t="str">
        <f>IF(ISNUMBER(S534),"2025 EIA-923 plant/group proxy",IF(ISNUMBER(I534),"Technology estimate","No thermal heat rate"))</f>
        <v>No thermal heat rate</v>
      </c>
      <c r="Z534" t="str">
        <f>IF(ISNUMBER(S534),"Review: NOT unit verified",IF(AE534="No match","No EIA match",IF(AF534="Unconfirmed","Unconfirmed EIA candidate","")))</f>
        <v/>
      </c>
      <c r="AE534" t="s">
        <v>65</v>
      </c>
      <c r="AF534" t="s">
        <v>66</v>
      </c>
      <c r="AG534" s="24">
        <f>IF(ISBLANK(S534),S534,I534)</f>
        <v>0</v>
      </c>
      <c r="AH534" s="34">
        <f t="shared" si="22"/>
        <v>48020.599999999969</v>
      </c>
      <c r="AI534">
        <f t="shared" si="21"/>
        <v>29988.023882114245</v>
      </c>
      <c r="AJ534" t="b" cm="1">
        <f t="array" ref="AJ534">OR(D534=$AT$2:$AT$8)</f>
        <v>1</v>
      </c>
    </row>
    <row r="535" spans="1:36" x14ac:dyDescent="0.25">
      <c r="A535" s="2" t="s">
        <v>1526</v>
      </c>
      <c r="B535" s="3">
        <v>364.1</v>
      </c>
      <c r="C535" s="2" t="s">
        <v>136</v>
      </c>
      <c r="D535" s="2" t="s">
        <v>136</v>
      </c>
      <c r="E535" s="2" t="s">
        <v>447</v>
      </c>
      <c r="F535" s="4" t="s">
        <v>83</v>
      </c>
      <c r="G535" s="4" t="s">
        <v>84</v>
      </c>
      <c r="H535" s="5"/>
      <c r="I535" s="5"/>
      <c r="J535" s="5"/>
      <c r="K535" s="4" t="s">
        <v>62</v>
      </c>
      <c r="L535" s="4" t="s">
        <v>63</v>
      </c>
      <c r="M535" s="6" t="str">
        <f>IF(OR(B535="",I535=""),"",B535*I535)</f>
        <v/>
      </c>
      <c r="N535" s="8" t="s">
        <v>64</v>
      </c>
      <c r="O535" s="9"/>
      <c r="P535" s="9"/>
      <c r="Q535" s="22"/>
      <c r="R535" s="22"/>
      <c r="S535" s="23" t="str">
        <f>IF(AND(ISNUMBER(Q535),Q535&gt;0,ISNUMBER(R535),R535&gt;0),R535/Q535,"")</f>
        <v/>
      </c>
      <c r="T535" s="9"/>
      <c r="U535" s="9"/>
      <c r="V535" s="9"/>
      <c r="W535" s="9"/>
      <c r="X535" s="23" t="str">
        <f>IF(ISNUMBER(S535),S535,IF(ISNUMBER(I535),I535,""))</f>
        <v/>
      </c>
      <c r="Y535" t="str">
        <f>IF(ISNUMBER(S535),"2025 EIA-923 plant/group proxy",IF(ISNUMBER(I535),"Technology estimate","No thermal heat rate"))</f>
        <v>No thermal heat rate</v>
      </c>
      <c r="Z535" t="str">
        <f>IF(ISNUMBER(S535),"Review: NOT unit verified",IF(AE535="No match","No EIA match",IF(AF535="Unconfirmed","Unconfirmed EIA candidate","")))</f>
        <v/>
      </c>
      <c r="AE535" t="s">
        <v>65</v>
      </c>
      <c r="AF535" t="s">
        <v>66</v>
      </c>
      <c r="AG535" s="24">
        <f>IF(ISBLANK(S535),S535,I535)</f>
        <v>0</v>
      </c>
      <c r="AH535" s="34">
        <f t="shared" si="22"/>
        <v>48384.699999999968</v>
      </c>
      <c r="AI535">
        <f t="shared" si="21"/>
        <v>30215.397956896271</v>
      </c>
      <c r="AJ535" t="b" cm="1">
        <f t="array" ref="AJ535">OR(D535=$AT$2:$AT$8)</f>
        <v>0</v>
      </c>
    </row>
    <row r="536" spans="1:36" x14ac:dyDescent="0.25">
      <c r="A536" s="2" t="s">
        <v>1744</v>
      </c>
      <c r="B536" s="3">
        <v>40.6</v>
      </c>
      <c r="C536" s="2" t="s">
        <v>136</v>
      </c>
      <c r="D536" s="2" t="s">
        <v>136</v>
      </c>
      <c r="E536" s="2" t="s">
        <v>447</v>
      </c>
      <c r="F536" s="4" t="s">
        <v>83</v>
      </c>
      <c r="G536" s="4" t="s">
        <v>84</v>
      </c>
      <c r="H536" s="5"/>
      <c r="I536" s="5"/>
      <c r="J536" s="5"/>
      <c r="K536" s="4" t="s">
        <v>62</v>
      </c>
      <c r="L536" s="4" t="s">
        <v>63</v>
      </c>
      <c r="M536" s="6" t="str">
        <f>IF(OR(B536="",I536=""),"",B536*I536)</f>
        <v/>
      </c>
      <c r="N536" s="8" t="s">
        <v>64</v>
      </c>
      <c r="O536" s="9"/>
      <c r="P536" s="9"/>
      <c r="Q536" s="22"/>
      <c r="R536" s="22"/>
      <c r="S536" s="23" t="str">
        <f>IF(AND(ISNUMBER(Q536),Q536&gt;0,ISNUMBER(R536),R536&gt;0),R536/Q536,"")</f>
        <v/>
      </c>
      <c r="T536" s="9"/>
      <c r="U536" s="9"/>
      <c r="V536" s="9"/>
      <c r="W536" s="9"/>
      <c r="X536" s="23" t="str">
        <f>IF(ISNUMBER(S536),S536,IF(ISNUMBER(I536),I536,""))</f>
        <v/>
      </c>
      <c r="Y536" t="str">
        <f>IF(ISNUMBER(S536),"2025 EIA-923 plant/group proxy",IF(ISNUMBER(I536),"Technology estimate","No thermal heat rate"))</f>
        <v>No thermal heat rate</v>
      </c>
      <c r="Z536" t="str">
        <f>IF(ISNUMBER(S536),"Review: NOT unit verified",IF(AE536="No match","No EIA match",IF(AF536="Unconfirmed","Unconfirmed EIA candidate","")))</f>
        <v/>
      </c>
      <c r="AE536" t="s">
        <v>65</v>
      </c>
      <c r="AF536" t="s">
        <v>66</v>
      </c>
      <c r="AG536" s="24">
        <f>IF(ISBLANK(S536),S536,I536)</f>
        <v>0</v>
      </c>
      <c r="AH536" s="34">
        <f t="shared" si="22"/>
        <v>48425.299999999967</v>
      </c>
      <c r="AI536">
        <f t="shared" si="21"/>
        <v>30240.751946009565</v>
      </c>
      <c r="AJ536" t="b" cm="1">
        <f t="array" ref="AJ536">OR(D536=$AT$2:$AT$8)</f>
        <v>0</v>
      </c>
    </row>
    <row r="537" spans="1:36" x14ac:dyDescent="0.25">
      <c r="A537" s="2" t="s">
        <v>714</v>
      </c>
      <c r="B537" s="3">
        <v>0.7</v>
      </c>
      <c r="C537" s="2" t="s">
        <v>305</v>
      </c>
      <c r="D537" s="2" t="s">
        <v>305</v>
      </c>
      <c r="E537" s="2" t="s">
        <v>715</v>
      </c>
      <c r="F537" s="4" t="s">
        <v>93</v>
      </c>
      <c r="G537" s="4" t="s">
        <v>94</v>
      </c>
      <c r="H537" s="5"/>
      <c r="I537" s="5"/>
      <c r="J537" s="5"/>
      <c r="K537" s="4" t="s">
        <v>62</v>
      </c>
      <c r="L537" s="4" t="s">
        <v>95</v>
      </c>
      <c r="M537" s="6" t="str">
        <f>IF(OR(B537="",I537=""),"",B537*I537)</f>
        <v/>
      </c>
      <c r="N537" s="8" t="s">
        <v>64</v>
      </c>
      <c r="O537" s="9"/>
      <c r="P537" s="9"/>
      <c r="Q537" s="22"/>
      <c r="R537" s="22"/>
      <c r="S537" s="23" t="str">
        <f>IF(AND(ISNUMBER(Q537),Q537&gt;0,ISNUMBER(R537),R537&gt;0),R537/Q537,"")</f>
        <v/>
      </c>
      <c r="T537" s="9"/>
      <c r="U537" s="9"/>
      <c r="V537" s="9"/>
      <c r="W537" s="9"/>
      <c r="X537" s="23" t="str">
        <f>IF(ISNUMBER(S537),S537,IF(ISNUMBER(I537),I537,""))</f>
        <v/>
      </c>
      <c r="Y537" t="str">
        <f>IF(ISNUMBER(S537),"2025 EIA-923 plant/group proxy",IF(ISNUMBER(I537),"Technology estimate","No thermal heat rate"))</f>
        <v>No thermal heat rate</v>
      </c>
      <c r="Z537" t="str">
        <f>IF(ISNUMBER(S537),"Review: NOT unit verified",IF(AE537="No match","No EIA match",IF(AF537="Unconfirmed","Unconfirmed EIA candidate","")))</f>
        <v/>
      </c>
      <c r="AE537" t="s">
        <v>65</v>
      </c>
      <c r="AF537" t="s">
        <v>66</v>
      </c>
      <c r="AG537" s="24">
        <f>IF(ISBLANK(S537),S537,I537)</f>
        <v>0</v>
      </c>
      <c r="AH537" s="34">
        <f t="shared" si="22"/>
        <v>48425.999999999964</v>
      </c>
      <c r="AI537">
        <f t="shared" si="21"/>
        <v>30241.189083752895</v>
      </c>
      <c r="AJ537" t="b" cm="1">
        <f t="array" ref="AJ537">OR(D537=$AT$2:$AT$8)</f>
        <v>1</v>
      </c>
    </row>
    <row r="538" spans="1:36" x14ac:dyDescent="0.25">
      <c r="A538" s="2" t="s">
        <v>1242</v>
      </c>
      <c r="B538" s="3">
        <v>134</v>
      </c>
      <c r="C538" s="2" t="s">
        <v>432</v>
      </c>
      <c r="D538" s="2" t="s">
        <v>58</v>
      </c>
      <c r="E538" s="2" t="s">
        <v>715</v>
      </c>
      <c r="F538" s="4" t="s">
        <v>93</v>
      </c>
      <c r="G538" s="4" t="s">
        <v>94</v>
      </c>
      <c r="H538" s="5"/>
      <c r="I538" s="5"/>
      <c r="J538" s="5"/>
      <c r="K538" s="4" t="s">
        <v>62</v>
      </c>
      <c r="L538" s="4" t="s">
        <v>95</v>
      </c>
      <c r="M538" s="6" t="str">
        <f>IF(OR(B538="",I538=""),"",B538*I538)</f>
        <v/>
      </c>
      <c r="N538" s="8" t="s">
        <v>64</v>
      </c>
      <c r="O538" s="9"/>
      <c r="P538" s="9"/>
      <c r="Q538" s="22"/>
      <c r="R538" s="22"/>
      <c r="S538" s="23" t="str">
        <f>IF(AND(ISNUMBER(Q538),Q538&gt;0,ISNUMBER(R538),R538&gt;0),R538/Q538,"")</f>
        <v/>
      </c>
      <c r="T538" s="9"/>
      <c r="U538" s="9"/>
      <c r="V538" s="9"/>
      <c r="W538" s="9"/>
      <c r="X538" s="23" t="str">
        <f>IF(ISNUMBER(S538),S538,IF(ISNUMBER(I538),I538,""))</f>
        <v/>
      </c>
      <c r="Y538" t="str">
        <f>IF(ISNUMBER(S538),"2025 EIA-923 plant/group proxy",IF(ISNUMBER(I538),"Technology estimate","No thermal heat rate"))</f>
        <v>No thermal heat rate</v>
      </c>
      <c r="Z538" t="str">
        <f>IF(ISNUMBER(S538),"Review: NOT unit verified",IF(AE538="No match","No EIA match",IF(AF538="Unconfirmed","Unconfirmed EIA candidate","")))</f>
        <v/>
      </c>
      <c r="AE538" t="s">
        <v>65</v>
      </c>
      <c r="AF538" t="s">
        <v>66</v>
      </c>
      <c r="AG538" s="24">
        <f>IF(ISBLANK(S538),S538,I538)</f>
        <v>0</v>
      </c>
      <c r="AH538" s="34">
        <f t="shared" si="22"/>
        <v>48559.999999999964</v>
      </c>
      <c r="AI538">
        <f t="shared" si="21"/>
        <v>30324.869737476572</v>
      </c>
      <c r="AJ538" t="b" cm="1">
        <f t="array" ref="AJ538">OR(D538=$AT$2:$AT$8)</f>
        <v>0</v>
      </c>
    </row>
    <row r="539" spans="1:36" x14ac:dyDescent="0.25">
      <c r="A539" s="2" t="s">
        <v>1243</v>
      </c>
      <c r="B539" s="3">
        <v>133</v>
      </c>
      <c r="C539" s="2" t="s">
        <v>432</v>
      </c>
      <c r="D539" s="2" t="s">
        <v>58</v>
      </c>
      <c r="E539" s="2" t="s">
        <v>715</v>
      </c>
      <c r="F539" s="4" t="s">
        <v>93</v>
      </c>
      <c r="G539" s="4" t="s">
        <v>94</v>
      </c>
      <c r="H539" s="5"/>
      <c r="I539" s="5"/>
      <c r="J539" s="5"/>
      <c r="K539" s="4" t="s">
        <v>62</v>
      </c>
      <c r="L539" s="4" t="s">
        <v>95</v>
      </c>
      <c r="M539" s="6" t="str">
        <f>IF(OR(B539="",I539=""),"",B539*I539)</f>
        <v/>
      </c>
      <c r="N539" s="8" t="s">
        <v>64</v>
      </c>
      <c r="O539" s="9"/>
      <c r="P539" s="9"/>
      <c r="Q539" s="22"/>
      <c r="R539" s="22"/>
      <c r="S539" s="23" t="str">
        <f>IF(AND(ISNUMBER(Q539),Q539&gt;0,ISNUMBER(R539),R539&gt;0),R539/Q539,"")</f>
        <v/>
      </c>
      <c r="T539" s="9"/>
      <c r="U539" s="9"/>
      <c r="V539" s="9"/>
      <c r="W539" s="9"/>
      <c r="X539" s="23" t="str">
        <f>IF(ISNUMBER(S539),S539,IF(ISNUMBER(I539),I539,""))</f>
        <v/>
      </c>
      <c r="Y539" t="str">
        <f>IF(ISNUMBER(S539),"2025 EIA-923 plant/group proxy",IF(ISNUMBER(I539),"Technology estimate","No thermal heat rate"))</f>
        <v>No thermal heat rate</v>
      </c>
      <c r="Z539" t="str">
        <f>IF(ISNUMBER(S539),"Review: NOT unit verified",IF(AE539="No match","No EIA match",IF(AF539="Unconfirmed","Unconfirmed EIA candidate","")))</f>
        <v/>
      </c>
      <c r="AE539" t="s">
        <v>65</v>
      </c>
      <c r="AF539" t="s">
        <v>66</v>
      </c>
      <c r="AG539" s="24">
        <f>IF(ISBLANK(S539),S539,I539)</f>
        <v>0</v>
      </c>
      <c r="AH539" s="34">
        <f t="shared" si="22"/>
        <v>48692.999999999964</v>
      </c>
      <c r="AI539">
        <f t="shared" si="21"/>
        <v>30407.925908709778</v>
      </c>
      <c r="AJ539" t="b" cm="1">
        <f t="array" ref="AJ539">OR(D539=$AT$2:$AT$8)</f>
        <v>0</v>
      </c>
    </row>
    <row r="540" spans="1:36" x14ac:dyDescent="0.25">
      <c r="A540" s="2" t="s">
        <v>1244</v>
      </c>
      <c r="B540" s="3">
        <v>134</v>
      </c>
      <c r="C540" s="2" t="s">
        <v>432</v>
      </c>
      <c r="D540" s="2" t="s">
        <v>58</v>
      </c>
      <c r="E540" s="2" t="s">
        <v>715</v>
      </c>
      <c r="F540" s="4" t="s">
        <v>93</v>
      </c>
      <c r="G540" s="4" t="s">
        <v>94</v>
      </c>
      <c r="H540" s="5"/>
      <c r="I540" s="5"/>
      <c r="J540" s="5"/>
      <c r="K540" s="4" t="s">
        <v>62</v>
      </c>
      <c r="L540" s="4" t="s">
        <v>95</v>
      </c>
      <c r="M540" s="6" t="str">
        <f>IF(OR(B540="",I540=""),"",B540*I540)</f>
        <v/>
      </c>
      <c r="N540" s="8" t="s">
        <v>64</v>
      </c>
      <c r="O540" s="9"/>
      <c r="P540" s="9"/>
      <c r="Q540" s="22"/>
      <c r="R540" s="22"/>
      <c r="S540" s="23" t="str">
        <f>IF(AND(ISNUMBER(Q540),Q540&gt;0,ISNUMBER(R540),R540&gt;0),R540/Q540,"")</f>
        <v/>
      </c>
      <c r="T540" s="9"/>
      <c r="U540" s="9"/>
      <c r="V540" s="9"/>
      <c r="W540" s="9"/>
      <c r="X540" s="23" t="str">
        <f>IF(ISNUMBER(S540),S540,IF(ISNUMBER(I540),I540,""))</f>
        <v/>
      </c>
      <c r="Y540" t="str">
        <f>IF(ISNUMBER(S540),"2025 EIA-923 plant/group proxy",IF(ISNUMBER(I540),"Technology estimate","No thermal heat rate"))</f>
        <v>No thermal heat rate</v>
      </c>
      <c r="Z540" t="str">
        <f>IF(ISNUMBER(S540),"Review: NOT unit verified",IF(AE540="No match","No EIA match",IF(AF540="Unconfirmed","Unconfirmed EIA candidate","")))</f>
        <v/>
      </c>
      <c r="AE540" t="s">
        <v>65</v>
      </c>
      <c r="AF540" t="s">
        <v>66</v>
      </c>
      <c r="AG540" s="24">
        <f>IF(ISBLANK(S540),S540,I540)</f>
        <v>0</v>
      </c>
      <c r="AH540" s="34">
        <f t="shared" si="22"/>
        <v>48826.999999999964</v>
      </c>
      <c r="AI540">
        <f t="shared" si="21"/>
        <v>30491.606562433455</v>
      </c>
      <c r="AJ540" t="b" cm="1">
        <f t="array" ref="AJ540">OR(D540=$AT$2:$AT$8)</f>
        <v>0</v>
      </c>
    </row>
    <row r="541" spans="1:36" x14ac:dyDescent="0.25">
      <c r="A541" s="2" t="s">
        <v>1245</v>
      </c>
      <c r="B541" s="3">
        <v>134</v>
      </c>
      <c r="C541" s="2" t="s">
        <v>432</v>
      </c>
      <c r="D541" s="2" t="s">
        <v>58</v>
      </c>
      <c r="E541" s="2" t="s">
        <v>715</v>
      </c>
      <c r="F541" s="4" t="s">
        <v>93</v>
      </c>
      <c r="G541" s="4" t="s">
        <v>94</v>
      </c>
      <c r="H541" s="5"/>
      <c r="I541" s="5"/>
      <c r="J541" s="5"/>
      <c r="K541" s="4" t="s">
        <v>62</v>
      </c>
      <c r="L541" s="4" t="s">
        <v>95</v>
      </c>
      <c r="M541" s="6" t="str">
        <f>IF(OR(B541="",I541=""),"",B541*I541)</f>
        <v/>
      </c>
      <c r="N541" s="8" t="s">
        <v>64</v>
      </c>
      <c r="O541" s="9"/>
      <c r="P541" s="9"/>
      <c r="Q541" s="22"/>
      <c r="R541" s="22"/>
      <c r="S541" s="23" t="str">
        <f>IF(AND(ISNUMBER(Q541),Q541&gt;0,ISNUMBER(R541),R541&gt;0),R541/Q541,"")</f>
        <v/>
      </c>
      <c r="T541" s="9"/>
      <c r="U541" s="9"/>
      <c r="V541" s="9"/>
      <c r="W541" s="9"/>
      <c r="X541" s="23" t="str">
        <f>IF(ISNUMBER(S541),S541,IF(ISNUMBER(I541),I541,""))</f>
        <v/>
      </c>
      <c r="Y541" t="str">
        <f>IF(ISNUMBER(S541),"2025 EIA-923 plant/group proxy",IF(ISNUMBER(I541),"Technology estimate","No thermal heat rate"))</f>
        <v>No thermal heat rate</v>
      </c>
      <c r="Z541" t="str">
        <f>IF(ISNUMBER(S541),"Review: NOT unit verified",IF(AE541="No match","No EIA match",IF(AF541="Unconfirmed","Unconfirmed EIA candidate","")))</f>
        <v/>
      </c>
      <c r="AE541" t="s">
        <v>65</v>
      </c>
      <c r="AF541" t="s">
        <v>66</v>
      </c>
      <c r="AG541" s="24">
        <f>IF(ISBLANK(S541),S541,I541)</f>
        <v>0</v>
      </c>
      <c r="AH541" s="34">
        <f t="shared" si="22"/>
        <v>48960.999999999964</v>
      </c>
      <c r="AI541">
        <f t="shared" si="21"/>
        <v>30575.287216157136</v>
      </c>
      <c r="AJ541" t="b" cm="1">
        <f t="array" ref="AJ541">OR(D541=$AT$2:$AT$8)</f>
        <v>0</v>
      </c>
    </row>
    <row r="542" spans="1:36" x14ac:dyDescent="0.25">
      <c r="A542" s="2" t="s">
        <v>1246</v>
      </c>
      <c r="B542" s="3">
        <v>134</v>
      </c>
      <c r="C542" s="2" t="s">
        <v>432</v>
      </c>
      <c r="D542" s="2" t="s">
        <v>58</v>
      </c>
      <c r="E542" s="2" t="s">
        <v>715</v>
      </c>
      <c r="F542" s="4" t="s">
        <v>93</v>
      </c>
      <c r="G542" s="4" t="s">
        <v>94</v>
      </c>
      <c r="H542" s="5"/>
      <c r="I542" s="5"/>
      <c r="J542" s="5"/>
      <c r="K542" s="4" t="s">
        <v>62</v>
      </c>
      <c r="L542" s="4" t="s">
        <v>95</v>
      </c>
      <c r="M542" s="6" t="str">
        <f>IF(OR(B542="",I542=""),"",B542*I542)</f>
        <v/>
      </c>
      <c r="N542" s="8" t="s">
        <v>64</v>
      </c>
      <c r="O542" s="9"/>
      <c r="P542" s="9"/>
      <c r="Q542" s="22"/>
      <c r="R542" s="22"/>
      <c r="S542" s="23" t="str">
        <f>IF(AND(ISNUMBER(Q542),Q542&gt;0,ISNUMBER(R542),R542&gt;0),R542/Q542,"")</f>
        <v/>
      </c>
      <c r="T542" s="9"/>
      <c r="U542" s="9"/>
      <c r="V542" s="9"/>
      <c r="W542" s="9"/>
      <c r="X542" s="23" t="str">
        <f>IF(ISNUMBER(S542),S542,IF(ISNUMBER(I542),I542,""))</f>
        <v/>
      </c>
      <c r="Y542" t="str">
        <f>IF(ISNUMBER(S542),"2025 EIA-923 plant/group proxy",IF(ISNUMBER(I542),"Technology estimate","No thermal heat rate"))</f>
        <v>No thermal heat rate</v>
      </c>
      <c r="Z542" t="str">
        <f>IF(ISNUMBER(S542),"Review: NOT unit verified",IF(AE542="No match","No EIA match",IF(AF542="Unconfirmed","Unconfirmed EIA candidate","")))</f>
        <v/>
      </c>
      <c r="AE542" t="s">
        <v>65</v>
      </c>
      <c r="AF542" t="s">
        <v>66</v>
      </c>
      <c r="AG542" s="24">
        <f>IF(ISBLANK(S542),S542,I542)</f>
        <v>0</v>
      </c>
      <c r="AH542" s="34">
        <f t="shared" si="22"/>
        <v>49094.999999999964</v>
      </c>
      <c r="AI542">
        <f t="shared" si="21"/>
        <v>30658.967869880817</v>
      </c>
      <c r="AJ542" t="b" cm="1">
        <f t="array" ref="AJ542">OR(D542=$AT$2:$AT$8)</f>
        <v>0</v>
      </c>
    </row>
    <row r="543" spans="1:36" x14ac:dyDescent="0.25">
      <c r="A543" s="2" t="s">
        <v>1247</v>
      </c>
      <c r="B543" s="3">
        <v>133</v>
      </c>
      <c r="C543" s="2" t="s">
        <v>432</v>
      </c>
      <c r="D543" s="2" t="s">
        <v>58</v>
      </c>
      <c r="E543" s="2" t="s">
        <v>715</v>
      </c>
      <c r="F543" s="4" t="s">
        <v>93</v>
      </c>
      <c r="G543" s="4" t="s">
        <v>94</v>
      </c>
      <c r="H543" s="5"/>
      <c r="I543" s="5"/>
      <c r="J543" s="5"/>
      <c r="K543" s="4" t="s">
        <v>62</v>
      </c>
      <c r="L543" s="4" t="s">
        <v>95</v>
      </c>
      <c r="M543" s="6" t="str">
        <f>IF(OR(B543="",I543=""),"",B543*I543)</f>
        <v/>
      </c>
      <c r="N543" s="8" t="s">
        <v>64</v>
      </c>
      <c r="O543" s="9"/>
      <c r="P543" s="9"/>
      <c r="Q543" s="22"/>
      <c r="R543" s="22"/>
      <c r="S543" s="23" t="str">
        <f>IF(AND(ISNUMBER(Q543),Q543&gt;0,ISNUMBER(R543),R543&gt;0),R543/Q543,"")</f>
        <v/>
      </c>
      <c r="T543" s="9"/>
      <c r="U543" s="9"/>
      <c r="V543" s="9"/>
      <c r="W543" s="9"/>
      <c r="X543" s="23" t="str">
        <f>IF(ISNUMBER(S543),S543,IF(ISNUMBER(I543),I543,""))</f>
        <v/>
      </c>
      <c r="Y543" t="str">
        <f>IF(ISNUMBER(S543),"2025 EIA-923 plant/group proxy",IF(ISNUMBER(I543),"Technology estimate","No thermal heat rate"))</f>
        <v>No thermal heat rate</v>
      </c>
      <c r="Z543" t="str">
        <f>IF(ISNUMBER(S543),"Review: NOT unit verified",IF(AE543="No match","No EIA match",IF(AF543="Unconfirmed","Unconfirmed EIA candidate","")))</f>
        <v/>
      </c>
      <c r="AE543" t="s">
        <v>65</v>
      </c>
      <c r="AF543" t="s">
        <v>66</v>
      </c>
      <c r="AG543" s="24">
        <f>IF(ISBLANK(S543),S543,I543)</f>
        <v>0</v>
      </c>
      <c r="AH543" s="34">
        <f t="shared" si="22"/>
        <v>49227.999999999964</v>
      </c>
      <c r="AI543">
        <f t="shared" si="21"/>
        <v>30742.024041114018</v>
      </c>
      <c r="AJ543" t="b" cm="1">
        <f t="array" ref="AJ543">OR(D543=$AT$2:$AT$8)</f>
        <v>0</v>
      </c>
    </row>
    <row r="544" spans="1:36" x14ac:dyDescent="0.25">
      <c r="A544" s="2" t="s">
        <v>1248</v>
      </c>
      <c r="B544" s="3">
        <v>134</v>
      </c>
      <c r="C544" s="2" t="s">
        <v>432</v>
      </c>
      <c r="D544" s="2" t="s">
        <v>58</v>
      </c>
      <c r="E544" s="2" t="s">
        <v>715</v>
      </c>
      <c r="F544" s="4" t="s">
        <v>93</v>
      </c>
      <c r="G544" s="4" t="s">
        <v>94</v>
      </c>
      <c r="H544" s="5"/>
      <c r="I544" s="5"/>
      <c r="J544" s="5"/>
      <c r="K544" s="4" t="s">
        <v>62</v>
      </c>
      <c r="L544" s="4" t="s">
        <v>95</v>
      </c>
      <c r="M544" s="6" t="str">
        <f>IF(OR(B544="",I544=""),"",B544*I544)</f>
        <v/>
      </c>
      <c r="N544" s="8" t="s">
        <v>64</v>
      </c>
      <c r="O544" s="9"/>
      <c r="P544" s="9"/>
      <c r="Q544" s="22"/>
      <c r="R544" s="22"/>
      <c r="S544" s="23" t="str">
        <f>IF(AND(ISNUMBER(Q544),Q544&gt;0,ISNUMBER(R544),R544&gt;0),R544/Q544,"")</f>
        <v/>
      </c>
      <c r="T544" s="9"/>
      <c r="U544" s="9"/>
      <c r="V544" s="9"/>
      <c r="W544" s="9"/>
      <c r="X544" s="23" t="str">
        <f>IF(ISNUMBER(S544),S544,IF(ISNUMBER(I544),I544,""))</f>
        <v/>
      </c>
      <c r="Y544" t="str">
        <f>IF(ISNUMBER(S544),"2025 EIA-923 plant/group proxy",IF(ISNUMBER(I544),"Technology estimate","No thermal heat rate"))</f>
        <v>No thermal heat rate</v>
      </c>
      <c r="Z544" t="str">
        <f>IF(ISNUMBER(S544),"Review: NOT unit verified",IF(AE544="No match","No EIA match",IF(AF544="Unconfirmed","Unconfirmed EIA candidate","")))</f>
        <v/>
      </c>
      <c r="AE544" t="s">
        <v>65</v>
      </c>
      <c r="AF544" t="s">
        <v>66</v>
      </c>
      <c r="AG544" s="24">
        <f>IF(ISBLANK(S544),S544,I544)</f>
        <v>0</v>
      </c>
      <c r="AH544" s="34">
        <f t="shared" si="22"/>
        <v>49361.999999999964</v>
      </c>
      <c r="AI544">
        <f t="shared" si="21"/>
        <v>30825.704694837699</v>
      </c>
      <c r="AJ544" t="b" cm="1">
        <f t="array" ref="AJ544">OR(D544=$AT$2:$AT$8)</f>
        <v>0</v>
      </c>
    </row>
    <row r="545" spans="1:36" x14ac:dyDescent="0.25">
      <c r="A545" s="2" t="s">
        <v>1249</v>
      </c>
      <c r="B545" s="3">
        <v>134</v>
      </c>
      <c r="C545" s="2" t="s">
        <v>432</v>
      </c>
      <c r="D545" s="2" t="s">
        <v>58</v>
      </c>
      <c r="E545" s="2" t="s">
        <v>715</v>
      </c>
      <c r="F545" s="4" t="s">
        <v>93</v>
      </c>
      <c r="G545" s="4" t="s">
        <v>94</v>
      </c>
      <c r="H545" s="5"/>
      <c r="I545" s="5"/>
      <c r="J545" s="5"/>
      <c r="K545" s="4" t="s">
        <v>62</v>
      </c>
      <c r="L545" s="4" t="s">
        <v>95</v>
      </c>
      <c r="M545" s="6" t="str">
        <f>IF(OR(B545="",I545=""),"",B545*I545)</f>
        <v/>
      </c>
      <c r="N545" s="8" t="s">
        <v>64</v>
      </c>
      <c r="O545" s="9"/>
      <c r="P545" s="9"/>
      <c r="Q545" s="22"/>
      <c r="R545" s="22"/>
      <c r="S545" s="23" t="str">
        <f>IF(AND(ISNUMBER(Q545),Q545&gt;0,ISNUMBER(R545),R545&gt;0),R545/Q545,"")</f>
        <v/>
      </c>
      <c r="T545" s="9"/>
      <c r="U545" s="9"/>
      <c r="V545" s="9"/>
      <c r="W545" s="9"/>
      <c r="X545" s="23" t="str">
        <f>IF(ISNUMBER(S545),S545,IF(ISNUMBER(I545),I545,""))</f>
        <v/>
      </c>
      <c r="Y545" t="str">
        <f>IF(ISNUMBER(S545),"2025 EIA-923 plant/group proxy",IF(ISNUMBER(I545),"Technology estimate","No thermal heat rate"))</f>
        <v>No thermal heat rate</v>
      </c>
      <c r="Z545" t="str">
        <f>IF(ISNUMBER(S545),"Review: NOT unit verified",IF(AE545="No match","No EIA match",IF(AF545="Unconfirmed","Unconfirmed EIA candidate","")))</f>
        <v/>
      </c>
      <c r="AE545" t="s">
        <v>65</v>
      </c>
      <c r="AF545" t="s">
        <v>66</v>
      </c>
      <c r="AG545" s="24">
        <f>IF(ISBLANK(S545),S545,I545)</f>
        <v>0</v>
      </c>
      <c r="AH545" s="34">
        <f t="shared" si="22"/>
        <v>49495.999999999964</v>
      </c>
      <c r="AI545">
        <f t="shared" si="21"/>
        <v>30909.385348561376</v>
      </c>
      <c r="AJ545" t="b" cm="1">
        <f t="array" ref="AJ545">OR(D545=$AT$2:$AT$8)</f>
        <v>0</v>
      </c>
    </row>
    <row r="546" spans="1:36" x14ac:dyDescent="0.25">
      <c r="A546" s="2" t="s">
        <v>90</v>
      </c>
      <c r="B546" s="3">
        <v>2</v>
      </c>
      <c r="C546" s="2" t="s">
        <v>91</v>
      </c>
      <c r="D546" s="2" t="s">
        <v>91</v>
      </c>
      <c r="E546" s="2" t="s">
        <v>92</v>
      </c>
      <c r="F546" s="4" t="s">
        <v>93</v>
      </c>
      <c r="G546" s="4" t="s">
        <v>94</v>
      </c>
      <c r="H546" s="5"/>
      <c r="I546" s="5"/>
      <c r="J546" s="5"/>
      <c r="K546" s="4" t="s">
        <v>62</v>
      </c>
      <c r="L546" s="4" t="s">
        <v>95</v>
      </c>
      <c r="M546" s="6" t="str">
        <f>IF(OR(B546="",I546=""),"",B546*I546)</f>
        <v/>
      </c>
      <c r="N546" s="8" t="s">
        <v>64</v>
      </c>
      <c r="O546" s="9"/>
      <c r="P546" s="9"/>
      <c r="Q546" s="22"/>
      <c r="R546" s="22"/>
      <c r="S546" s="23" t="str">
        <f>IF(AND(ISNUMBER(Q546),Q546&gt;0,ISNUMBER(R546),R546&gt;0),R546/Q546,"")</f>
        <v/>
      </c>
      <c r="T546" s="9"/>
      <c r="U546" s="9"/>
      <c r="V546" s="9"/>
      <c r="W546" s="9"/>
      <c r="X546" s="23" t="str">
        <f>IF(ISNUMBER(S546),S546,IF(ISNUMBER(I546),I546,""))</f>
        <v/>
      </c>
      <c r="Y546" t="str">
        <f>IF(ISNUMBER(S546),"2025 EIA-923 plant/group proxy",IF(ISNUMBER(I546),"Technology estimate","No thermal heat rate"))</f>
        <v>No thermal heat rate</v>
      </c>
      <c r="Z546" t="str">
        <f>IF(ISNUMBER(S546),"Review: NOT unit verified",IF(AE546="No match","No EIA match",IF(AF546="Unconfirmed","Unconfirmed EIA candidate","")))</f>
        <v/>
      </c>
      <c r="AE546" t="s">
        <v>65</v>
      </c>
      <c r="AF546" t="s">
        <v>66</v>
      </c>
      <c r="AG546" s="24">
        <f>IF(ISBLANK(S546),S546,I546)</f>
        <v>0</v>
      </c>
      <c r="AH546" s="34">
        <f t="shared" si="22"/>
        <v>49497.999999999964</v>
      </c>
      <c r="AI546">
        <f t="shared" si="21"/>
        <v>30910.634313542327</v>
      </c>
      <c r="AJ546" t="b" cm="1">
        <f t="array" ref="AJ546">OR(D546=$AT$2:$AT$8)</f>
        <v>1</v>
      </c>
    </row>
    <row r="547" spans="1:36" x14ac:dyDescent="0.25">
      <c r="A547" s="2" t="s">
        <v>626</v>
      </c>
      <c r="B547" s="3">
        <v>20</v>
      </c>
      <c r="C547" s="2" t="s">
        <v>78</v>
      </c>
      <c r="D547" s="2" t="s">
        <v>78</v>
      </c>
      <c r="E547" s="2" t="s">
        <v>92</v>
      </c>
      <c r="F547" s="4" t="s">
        <v>93</v>
      </c>
      <c r="G547" s="4" t="s">
        <v>94</v>
      </c>
      <c r="H547" s="5"/>
      <c r="I547" s="5"/>
      <c r="J547" s="5"/>
      <c r="K547" s="4" t="s">
        <v>62</v>
      </c>
      <c r="L547" s="4" t="s">
        <v>95</v>
      </c>
      <c r="M547" s="6" t="str">
        <f>IF(OR(B547="",I547=""),"",B547*I547)</f>
        <v/>
      </c>
      <c r="N547" s="8" t="s">
        <v>64</v>
      </c>
      <c r="O547" s="9"/>
      <c r="P547" s="9"/>
      <c r="Q547" s="22"/>
      <c r="R547" s="22"/>
      <c r="S547" s="23" t="str">
        <f>IF(AND(ISNUMBER(Q547),Q547&gt;0,ISNUMBER(R547),R547&gt;0),R547/Q547,"")</f>
        <v/>
      </c>
      <c r="T547" s="9"/>
      <c r="U547" s="9"/>
      <c r="V547" s="9"/>
      <c r="W547" s="9"/>
      <c r="X547" s="23" t="str">
        <f>IF(ISNUMBER(S547),S547,IF(ISNUMBER(I547),I547,""))</f>
        <v/>
      </c>
      <c r="Y547" t="str">
        <f>IF(ISNUMBER(S547),"2025 EIA-923 plant/group proxy",IF(ISNUMBER(I547),"Technology estimate","No thermal heat rate"))</f>
        <v>No thermal heat rate</v>
      </c>
      <c r="Z547" t="str">
        <f>IF(ISNUMBER(S547),"Review: NOT unit verified",IF(AE547="No match","No EIA match",IF(AF547="Unconfirmed","Unconfirmed EIA candidate","")))</f>
        <v/>
      </c>
      <c r="AE547" t="s">
        <v>65</v>
      </c>
      <c r="AF547" t="s">
        <v>66</v>
      </c>
      <c r="AG547" s="24">
        <f>IF(ISBLANK(S547),S547,I547)</f>
        <v>0</v>
      </c>
      <c r="AH547" s="34">
        <f t="shared" si="22"/>
        <v>49517.999999999964</v>
      </c>
      <c r="AI547">
        <f t="shared" si="21"/>
        <v>30923.123963351831</v>
      </c>
      <c r="AJ547" t="b" cm="1">
        <f t="array" ref="AJ547">OR(D547=$AT$2:$AT$8)</f>
        <v>1</v>
      </c>
    </row>
    <row r="548" spans="1:36" x14ac:dyDescent="0.25">
      <c r="A548" s="2" t="s">
        <v>1388</v>
      </c>
      <c r="B548" s="3">
        <v>2</v>
      </c>
      <c r="C548" s="2" t="s">
        <v>91</v>
      </c>
      <c r="D548" s="2" t="s">
        <v>91</v>
      </c>
      <c r="E548" s="2" t="s">
        <v>92</v>
      </c>
      <c r="F548" s="4" t="s">
        <v>93</v>
      </c>
      <c r="G548" s="4" t="s">
        <v>94</v>
      </c>
      <c r="H548" s="5"/>
      <c r="I548" s="5"/>
      <c r="J548" s="5"/>
      <c r="K548" s="4" t="s">
        <v>62</v>
      </c>
      <c r="L548" s="4" t="s">
        <v>95</v>
      </c>
      <c r="M548" s="6" t="str">
        <f>IF(OR(B548="",I548=""),"",B548*I548)</f>
        <v/>
      </c>
      <c r="N548" s="8" t="s">
        <v>64</v>
      </c>
      <c r="O548" s="9"/>
      <c r="P548" s="9"/>
      <c r="Q548" s="22"/>
      <c r="R548" s="22"/>
      <c r="S548" s="23" t="str">
        <f>IF(AND(ISNUMBER(Q548),Q548&gt;0,ISNUMBER(R548),R548&gt;0),R548/Q548,"")</f>
        <v/>
      </c>
      <c r="T548" s="9"/>
      <c r="U548" s="9"/>
      <c r="V548" s="9"/>
      <c r="W548" s="9"/>
      <c r="X548" s="23" t="str">
        <f>IF(ISNUMBER(S548),S548,IF(ISNUMBER(I548),I548,""))</f>
        <v/>
      </c>
      <c r="Y548" t="str">
        <f>IF(ISNUMBER(S548),"2025 EIA-923 plant/group proxy",IF(ISNUMBER(I548),"Technology estimate","No thermal heat rate"))</f>
        <v>No thermal heat rate</v>
      </c>
      <c r="Z548" t="str">
        <f>IF(ISNUMBER(S548),"Review: NOT unit verified",IF(AE548="No match","No EIA match",IF(AF548="Unconfirmed","Unconfirmed EIA candidate","")))</f>
        <v/>
      </c>
      <c r="AE548" t="s">
        <v>65</v>
      </c>
      <c r="AF548" t="s">
        <v>66</v>
      </c>
      <c r="AG548" s="24">
        <f>IF(ISBLANK(S548),S548,I548)</f>
        <v>0</v>
      </c>
      <c r="AH548" s="34">
        <f t="shared" si="22"/>
        <v>49519.999999999964</v>
      </c>
      <c r="AI548">
        <f t="shared" si="21"/>
        <v>30924.372928332781</v>
      </c>
      <c r="AJ548" t="b" cm="1">
        <f t="array" ref="AJ548">OR(D548=$AT$2:$AT$8)</f>
        <v>1</v>
      </c>
    </row>
    <row r="549" spans="1:36" x14ac:dyDescent="0.25">
      <c r="A549" s="2" t="s">
        <v>1550</v>
      </c>
      <c r="B549" s="3">
        <v>234</v>
      </c>
      <c r="C549" s="2" t="s">
        <v>86</v>
      </c>
      <c r="D549" s="2" t="s">
        <v>76</v>
      </c>
      <c r="E549" s="2" t="s">
        <v>1551</v>
      </c>
      <c r="F549" s="4" t="s">
        <v>93</v>
      </c>
      <c r="G549" s="4" t="s">
        <v>94</v>
      </c>
      <c r="H549" s="5"/>
      <c r="I549" s="5"/>
      <c r="J549" s="5"/>
      <c r="K549" s="4" t="s">
        <v>62</v>
      </c>
      <c r="L549" s="4" t="s">
        <v>95</v>
      </c>
      <c r="M549" s="6" t="str">
        <f>IF(OR(B549="",I549=""),"",B549*I549)</f>
        <v/>
      </c>
      <c r="N549" s="8" t="s">
        <v>64</v>
      </c>
      <c r="O549" s="9"/>
      <c r="P549" s="9"/>
      <c r="Q549" s="22"/>
      <c r="R549" s="22"/>
      <c r="S549" s="23" t="str">
        <f>IF(AND(ISNUMBER(Q549),Q549&gt;0,ISNUMBER(R549),R549&gt;0),R549/Q549,"")</f>
        <v/>
      </c>
      <c r="T549" s="9"/>
      <c r="U549" s="9"/>
      <c r="V549" s="9"/>
      <c r="W549" s="9"/>
      <c r="X549" s="23" t="str">
        <f>IF(ISNUMBER(S549),S549,IF(ISNUMBER(I549),I549,""))</f>
        <v/>
      </c>
      <c r="Y549" t="str">
        <f>IF(ISNUMBER(S549),"2025 EIA-923 plant/group proxy",IF(ISNUMBER(I549),"Technology estimate","No thermal heat rate"))</f>
        <v>No thermal heat rate</v>
      </c>
      <c r="Z549" t="str">
        <f>IF(ISNUMBER(S549),"Review: NOT unit verified",IF(AE549="No match","No EIA match",IF(AF549="Unconfirmed","Unconfirmed EIA candidate","")))</f>
        <v/>
      </c>
      <c r="AE549" t="s">
        <v>65</v>
      </c>
      <c r="AF549" t="s">
        <v>66</v>
      </c>
      <c r="AG549" s="24">
        <f>IF(ISBLANK(S549),S549,I549)</f>
        <v>0</v>
      </c>
      <c r="AH549" s="34">
        <f t="shared" si="22"/>
        <v>49753.999999999964</v>
      </c>
      <c r="AI549">
        <f t="shared" si="21"/>
        <v>31070.501831103982</v>
      </c>
      <c r="AJ549" t="b" cm="1">
        <f t="array" ref="AJ549">OR(D549=$AT$2:$AT$8)</f>
        <v>0</v>
      </c>
    </row>
    <row r="550" spans="1:36" x14ac:dyDescent="0.25">
      <c r="A550" s="2" t="s">
        <v>1552</v>
      </c>
      <c r="B550" s="3">
        <v>215.5</v>
      </c>
      <c r="C550" s="2" t="s">
        <v>86</v>
      </c>
      <c r="D550" s="2" t="s">
        <v>76</v>
      </c>
      <c r="E550" s="2" t="s">
        <v>1551</v>
      </c>
      <c r="F550" s="4" t="s">
        <v>93</v>
      </c>
      <c r="G550" s="4" t="s">
        <v>94</v>
      </c>
      <c r="H550" s="5"/>
      <c r="I550" s="5"/>
      <c r="J550" s="5"/>
      <c r="K550" s="4" t="s">
        <v>62</v>
      </c>
      <c r="L550" s="4" t="s">
        <v>95</v>
      </c>
      <c r="M550" s="6" t="str">
        <f>IF(OR(B550="",I550=""),"",B550*I550)</f>
        <v/>
      </c>
      <c r="N550" s="8" t="s">
        <v>64</v>
      </c>
      <c r="O550" s="9"/>
      <c r="P550" s="9"/>
      <c r="Q550" s="22"/>
      <c r="R550" s="22"/>
      <c r="S550" s="23" t="str">
        <f>IF(AND(ISNUMBER(Q550),Q550&gt;0,ISNUMBER(R550),R550&gt;0),R550/Q550,"")</f>
        <v/>
      </c>
      <c r="T550" s="9"/>
      <c r="U550" s="9"/>
      <c r="V550" s="9"/>
      <c r="W550" s="9"/>
      <c r="X550" s="23" t="str">
        <f>IF(ISNUMBER(S550),S550,IF(ISNUMBER(I550),I550,""))</f>
        <v/>
      </c>
      <c r="Y550" t="str">
        <f>IF(ISNUMBER(S550),"2025 EIA-923 plant/group proxy",IF(ISNUMBER(I550),"Technology estimate","No thermal heat rate"))</f>
        <v>No thermal heat rate</v>
      </c>
      <c r="Z550" t="str">
        <f>IF(ISNUMBER(S550),"Review: NOT unit verified",IF(AE550="No match","No EIA match",IF(AF550="Unconfirmed","Unconfirmed EIA candidate","")))</f>
        <v/>
      </c>
      <c r="AE550" t="s">
        <v>65</v>
      </c>
      <c r="AF550" t="s">
        <v>66</v>
      </c>
      <c r="AG550" s="24">
        <f>IF(ISBLANK(S550),S550,I550)</f>
        <v>0</v>
      </c>
      <c r="AH550" s="34">
        <f t="shared" si="22"/>
        <v>49969.499999999964</v>
      </c>
      <c r="AI550">
        <f t="shared" si="21"/>
        <v>31205.077807801394</v>
      </c>
      <c r="AJ550" t="b" cm="1">
        <f t="array" ref="AJ550">OR(D550=$AT$2:$AT$8)</f>
        <v>0</v>
      </c>
    </row>
    <row r="551" spans="1:36" x14ac:dyDescent="0.25">
      <c r="A551" s="2" t="s">
        <v>1553</v>
      </c>
      <c r="B551" s="3">
        <v>30</v>
      </c>
      <c r="C551" s="2" t="s">
        <v>86</v>
      </c>
      <c r="D551" s="2" t="s">
        <v>76</v>
      </c>
      <c r="E551" s="2" t="s">
        <v>1551</v>
      </c>
      <c r="F551" s="4" t="s">
        <v>93</v>
      </c>
      <c r="G551" s="4" t="s">
        <v>94</v>
      </c>
      <c r="H551" s="5"/>
      <c r="I551" s="5"/>
      <c r="J551" s="5"/>
      <c r="K551" s="4" t="s">
        <v>62</v>
      </c>
      <c r="L551" s="4" t="s">
        <v>95</v>
      </c>
      <c r="M551" s="6" t="str">
        <f>IF(OR(B551="",I551=""),"",B551*I551)</f>
        <v/>
      </c>
      <c r="N551" s="8" t="s">
        <v>64</v>
      </c>
      <c r="O551" s="9"/>
      <c r="P551" s="9"/>
      <c r="Q551" s="22"/>
      <c r="R551" s="22"/>
      <c r="S551" s="23" t="str">
        <f>IF(AND(ISNUMBER(Q551),Q551&gt;0,ISNUMBER(R551),R551&gt;0),R551/Q551,"")</f>
        <v/>
      </c>
      <c r="T551" s="9"/>
      <c r="U551" s="9"/>
      <c r="V551" s="9"/>
      <c r="W551" s="9"/>
      <c r="X551" s="23" t="str">
        <f>IF(ISNUMBER(S551),S551,IF(ISNUMBER(I551),I551,""))</f>
        <v/>
      </c>
      <c r="Y551" t="str">
        <f>IF(ISNUMBER(S551),"2025 EIA-923 plant/group proxy",IF(ISNUMBER(I551),"Technology estimate","No thermal heat rate"))</f>
        <v>No thermal heat rate</v>
      </c>
      <c r="Z551" t="str">
        <f>IF(ISNUMBER(S551),"Review: NOT unit verified",IF(AE551="No match","No EIA match",IF(AF551="Unconfirmed","Unconfirmed EIA candidate","")))</f>
        <v/>
      </c>
      <c r="AE551" t="s">
        <v>65</v>
      </c>
      <c r="AF551" t="s">
        <v>66</v>
      </c>
      <c r="AG551" s="24">
        <f>IF(ISBLANK(S551),S551,I551)</f>
        <v>0</v>
      </c>
      <c r="AH551" s="34">
        <f t="shared" si="22"/>
        <v>49999.499999999964</v>
      </c>
      <c r="AI551">
        <f t="shared" si="21"/>
        <v>31223.81228251565</v>
      </c>
      <c r="AJ551" t="b" cm="1">
        <f t="array" ref="AJ551">OR(D551=$AT$2:$AT$8)</f>
        <v>0</v>
      </c>
    </row>
    <row r="552" spans="1:36" x14ac:dyDescent="0.25">
      <c r="A552" s="2" t="s">
        <v>1839</v>
      </c>
      <c r="B552" s="3">
        <v>140</v>
      </c>
      <c r="C552" s="2" t="s">
        <v>91</v>
      </c>
      <c r="D552" s="2" t="s">
        <v>91</v>
      </c>
      <c r="E552" s="2" t="s">
        <v>1551</v>
      </c>
      <c r="F552" s="4" t="s">
        <v>93</v>
      </c>
      <c r="G552" s="4" t="s">
        <v>94</v>
      </c>
      <c r="H552" s="5"/>
      <c r="I552" s="5"/>
      <c r="J552" s="5"/>
      <c r="K552" s="4" t="s">
        <v>62</v>
      </c>
      <c r="L552" s="4" t="s">
        <v>95</v>
      </c>
      <c r="M552" s="6" t="str">
        <f>IF(OR(B552="",I552=""),"",B552*I552)</f>
        <v/>
      </c>
      <c r="N552" s="8" t="s">
        <v>64</v>
      </c>
      <c r="O552" s="9"/>
      <c r="P552" s="9"/>
      <c r="Q552" s="22"/>
      <c r="R552" s="22"/>
      <c r="S552" s="23" t="str">
        <f>IF(AND(ISNUMBER(Q552),Q552&gt;0,ISNUMBER(R552),R552&gt;0),R552/Q552,"")</f>
        <v/>
      </c>
      <c r="T552" s="9"/>
      <c r="U552" s="9"/>
      <c r="V552" s="9"/>
      <c r="W552" s="9"/>
      <c r="X552" s="23" t="str">
        <f>IF(ISNUMBER(S552),S552,IF(ISNUMBER(I552),I552,""))</f>
        <v/>
      </c>
      <c r="Y552" t="str">
        <f>IF(ISNUMBER(S552),"2025 EIA-923 plant/group proxy",IF(ISNUMBER(I552),"Technology estimate","No thermal heat rate"))</f>
        <v>No thermal heat rate</v>
      </c>
      <c r="Z552" t="str">
        <f>IF(ISNUMBER(S552),"Review: NOT unit verified",IF(AE552="No match","No EIA match",IF(AF552="Unconfirmed","Unconfirmed EIA candidate","")))</f>
        <v/>
      </c>
      <c r="AE552" t="s">
        <v>65</v>
      </c>
      <c r="AF552" t="s">
        <v>66</v>
      </c>
      <c r="AG552" s="24">
        <f>IF(ISBLANK(S552),S552,I552)</f>
        <v>0</v>
      </c>
      <c r="AH552" s="34">
        <f t="shared" si="22"/>
        <v>50139.499999999964</v>
      </c>
      <c r="AI552">
        <f t="shared" si="21"/>
        <v>31311.239831182182</v>
      </c>
      <c r="AJ552" t="b" cm="1">
        <f t="array" ref="AJ552">OR(D552=$AT$2:$AT$8)</f>
        <v>1</v>
      </c>
    </row>
    <row r="553" spans="1:36" x14ac:dyDescent="0.25">
      <c r="A553" s="2" t="s">
        <v>1840</v>
      </c>
      <c r="B553" s="3">
        <v>140</v>
      </c>
      <c r="C553" s="2" t="s">
        <v>91</v>
      </c>
      <c r="D553" s="2" t="s">
        <v>91</v>
      </c>
      <c r="E553" s="2" t="s">
        <v>1551</v>
      </c>
      <c r="F553" s="4" t="s">
        <v>93</v>
      </c>
      <c r="G553" s="4" t="s">
        <v>94</v>
      </c>
      <c r="H553" s="5"/>
      <c r="I553" s="5"/>
      <c r="J553" s="5"/>
      <c r="K553" s="4" t="s">
        <v>62</v>
      </c>
      <c r="L553" s="4" t="s">
        <v>95</v>
      </c>
      <c r="M553" s="6" t="str">
        <f>IF(OR(B553="",I553=""),"",B553*I553)</f>
        <v/>
      </c>
      <c r="N553" s="8" t="s">
        <v>64</v>
      </c>
      <c r="O553" s="9"/>
      <c r="P553" s="9"/>
      <c r="Q553" s="22"/>
      <c r="R553" s="22"/>
      <c r="S553" s="23" t="str">
        <f>IF(AND(ISNUMBER(Q553),Q553&gt;0,ISNUMBER(R553),R553&gt;0),R553/Q553,"")</f>
        <v/>
      </c>
      <c r="T553" s="9"/>
      <c r="U553" s="9"/>
      <c r="V553" s="9"/>
      <c r="W553" s="9"/>
      <c r="X553" s="23" t="str">
        <f>IF(ISNUMBER(S553),S553,IF(ISNUMBER(I553),I553,""))</f>
        <v/>
      </c>
      <c r="Y553" t="str">
        <f>IF(ISNUMBER(S553),"2025 EIA-923 plant/group proxy",IF(ISNUMBER(I553),"Technology estimate","No thermal heat rate"))</f>
        <v>No thermal heat rate</v>
      </c>
      <c r="Z553" t="str">
        <f>IF(ISNUMBER(S553),"Review: NOT unit verified",IF(AE553="No match","No EIA match",IF(AF553="Unconfirmed","Unconfirmed EIA candidate","")))</f>
        <v/>
      </c>
      <c r="AE553" t="s">
        <v>65</v>
      </c>
      <c r="AF553" t="s">
        <v>66</v>
      </c>
      <c r="AG553" s="24">
        <f>IF(ISBLANK(S553),S553,I553)</f>
        <v>0</v>
      </c>
      <c r="AH553" s="34">
        <f t="shared" si="22"/>
        <v>50279.499999999964</v>
      </c>
      <c r="AI553">
        <f t="shared" si="21"/>
        <v>31398.66737984871</v>
      </c>
      <c r="AJ553" t="b" cm="1">
        <f t="array" ref="AJ553">OR(D553=$AT$2:$AT$8)</f>
        <v>1</v>
      </c>
    </row>
    <row r="554" spans="1:36" x14ac:dyDescent="0.25">
      <c r="A554" s="2" t="s">
        <v>1841</v>
      </c>
      <c r="B554" s="3">
        <v>140</v>
      </c>
      <c r="C554" s="2" t="s">
        <v>91</v>
      </c>
      <c r="D554" s="2" t="s">
        <v>91</v>
      </c>
      <c r="E554" s="2" t="s">
        <v>1551</v>
      </c>
      <c r="F554" s="4" t="s">
        <v>93</v>
      </c>
      <c r="G554" s="4" t="s">
        <v>94</v>
      </c>
      <c r="H554" s="5"/>
      <c r="I554" s="5"/>
      <c r="J554" s="5"/>
      <c r="K554" s="4" t="s">
        <v>62</v>
      </c>
      <c r="L554" s="4" t="s">
        <v>95</v>
      </c>
      <c r="M554" s="6" t="str">
        <f>IF(OR(B554="",I554=""),"",B554*I554)</f>
        <v/>
      </c>
      <c r="N554" s="8" t="s">
        <v>64</v>
      </c>
      <c r="O554" s="9"/>
      <c r="P554" s="9"/>
      <c r="Q554" s="22"/>
      <c r="R554" s="22"/>
      <c r="S554" s="23" t="str">
        <f>IF(AND(ISNUMBER(Q554),Q554&gt;0,ISNUMBER(R554),R554&gt;0),R554/Q554,"")</f>
        <v/>
      </c>
      <c r="T554" s="9"/>
      <c r="U554" s="9"/>
      <c r="V554" s="9"/>
      <c r="W554" s="9"/>
      <c r="X554" s="23" t="str">
        <f>IF(ISNUMBER(S554),S554,IF(ISNUMBER(I554),I554,""))</f>
        <v/>
      </c>
      <c r="Y554" t="str">
        <f>IF(ISNUMBER(S554),"2025 EIA-923 plant/group proxy",IF(ISNUMBER(I554),"Technology estimate","No thermal heat rate"))</f>
        <v>No thermal heat rate</v>
      </c>
      <c r="Z554" t="str">
        <f>IF(ISNUMBER(S554),"Review: NOT unit verified",IF(AE554="No match","No EIA match",IF(AF554="Unconfirmed","Unconfirmed EIA candidate","")))</f>
        <v/>
      </c>
      <c r="AE554" t="s">
        <v>65</v>
      </c>
      <c r="AF554" t="s">
        <v>66</v>
      </c>
      <c r="AG554" s="24">
        <f>IF(ISBLANK(S554),S554,I554)</f>
        <v>0</v>
      </c>
      <c r="AH554" s="34">
        <f t="shared" si="22"/>
        <v>50419.499999999964</v>
      </c>
      <c r="AI554">
        <f t="shared" si="21"/>
        <v>31486.094928515242</v>
      </c>
      <c r="AJ554" t="b" cm="1">
        <f t="array" ref="AJ554">OR(D554=$AT$2:$AT$8)</f>
        <v>1</v>
      </c>
    </row>
    <row r="555" spans="1:36" x14ac:dyDescent="0.25">
      <c r="A555" s="2" t="s">
        <v>181</v>
      </c>
      <c r="B555" s="3">
        <v>488.5</v>
      </c>
      <c r="C555" s="2" t="s">
        <v>78</v>
      </c>
      <c r="D555" s="2" t="s">
        <v>78</v>
      </c>
      <c r="E555" s="2" t="s">
        <v>182</v>
      </c>
      <c r="F555" s="4" t="s">
        <v>93</v>
      </c>
      <c r="G555" s="4" t="s">
        <v>94</v>
      </c>
      <c r="H555" s="5"/>
      <c r="I555" s="5"/>
      <c r="J555" s="5"/>
      <c r="K555" s="4" t="s">
        <v>62</v>
      </c>
      <c r="L555" s="4" t="s">
        <v>95</v>
      </c>
      <c r="M555" s="6" t="str">
        <f>IF(OR(B555="",I555=""),"",B555*I555)</f>
        <v/>
      </c>
      <c r="N555" s="8" t="s">
        <v>64</v>
      </c>
      <c r="O555" s="9"/>
      <c r="P555" s="9"/>
      <c r="Q555" s="22"/>
      <c r="R555" s="22"/>
      <c r="S555" s="23" t="str">
        <f>IF(AND(ISNUMBER(Q555),Q555&gt;0,ISNUMBER(R555),R555&gt;0),R555/Q555,"")</f>
        <v/>
      </c>
      <c r="T555" s="9"/>
      <c r="U555" s="9"/>
      <c r="V555" s="9"/>
      <c r="W555" s="9"/>
      <c r="X555" s="23" t="str">
        <f>IF(ISNUMBER(S555),S555,IF(ISNUMBER(I555),I555,""))</f>
        <v/>
      </c>
      <c r="Y555" t="str">
        <f>IF(ISNUMBER(S555),"2025 EIA-923 plant/group proxy",IF(ISNUMBER(I555),"Technology estimate","No thermal heat rate"))</f>
        <v>No thermal heat rate</v>
      </c>
      <c r="Z555" t="str">
        <f>IF(ISNUMBER(S555),"Review: NOT unit verified",IF(AE555="No match","No EIA match",IF(AF555="Unconfirmed","Unconfirmed EIA candidate","")))</f>
        <v/>
      </c>
      <c r="AE555" t="s">
        <v>65</v>
      </c>
      <c r="AF555" t="s">
        <v>66</v>
      </c>
      <c r="AG555" s="24">
        <f>IF(ISBLANK(S555),S555,I555)</f>
        <v>0</v>
      </c>
      <c r="AH555" s="34">
        <f t="shared" si="22"/>
        <v>50907.999999999964</v>
      </c>
      <c r="AI555">
        <f t="shared" si="21"/>
        <v>31791.154625112384</v>
      </c>
      <c r="AJ555" t="b" cm="1">
        <f t="array" ref="AJ555">OR(D555=$AT$2:$AT$8)</f>
        <v>1</v>
      </c>
    </row>
    <row r="556" spans="1:36" x14ac:dyDescent="0.25">
      <c r="A556" s="2" t="s">
        <v>183</v>
      </c>
      <c r="B556" s="3">
        <v>488.5</v>
      </c>
      <c r="C556" s="2" t="s">
        <v>78</v>
      </c>
      <c r="D556" s="2" t="s">
        <v>78</v>
      </c>
      <c r="E556" s="2" t="s">
        <v>182</v>
      </c>
      <c r="F556" s="4" t="s">
        <v>93</v>
      </c>
      <c r="G556" s="4" t="s">
        <v>94</v>
      </c>
      <c r="H556" s="5"/>
      <c r="I556" s="5"/>
      <c r="J556" s="5"/>
      <c r="K556" s="4" t="s">
        <v>62</v>
      </c>
      <c r="L556" s="4" t="s">
        <v>95</v>
      </c>
      <c r="M556" s="6" t="str">
        <f>IF(OR(B556="",I556=""),"",B556*I556)</f>
        <v/>
      </c>
      <c r="N556" s="8" t="s">
        <v>64</v>
      </c>
      <c r="O556" s="9"/>
      <c r="P556" s="9"/>
      <c r="Q556" s="22"/>
      <c r="R556" s="22"/>
      <c r="S556" s="23" t="str">
        <f>IF(AND(ISNUMBER(Q556),Q556&gt;0,ISNUMBER(R556),R556&gt;0),R556/Q556,"")</f>
        <v/>
      </c>
      <c r="T556" s="9"/>
      <c r="U556" s="9"/>
      <c r="V556" s="9"/>
      <c r="W556" s="9"/>
      <c r="X556" s="23" t="str">
        <f>IF(ISNUMBER(S556),S556,IF(ISNUMBER(I556),I556,""))</f>
        <v/>
      </c>
      <c r="Y556" t="str">
        <f>IF(ISNUMBER(S556),"2025 EIA-923 plant/group proxy",IF(ISNUMBER(I556),"Technology estimate","No thermal heat rate"))</f>
        <v>No thermal heat rate</v>
      </c>
      <c r="Z556" t="str">
        <f>IF(ISNUMBER(S556),"Review: NOT unit verified",IF(AE556="No match","No EIA match",IF(AF556="Unconfirmed","Unconfirmed EIA candidate","")))</f>
        <v/>
      </c>
      <c r="AE556" t="s">
        <v>65</v>
      </c>
      <c r="AF556" t="s">
        <v>66</v>
      </c>
      <c r="AG556" s="24">
        <f>IF(ISBLANK(S556),S556,I556)</f>
        <v>0</v>
      </c>
      <c r="AH556" s="34">
        <f t="shared" si="22"/>
        <v>51396.499999999964</v>
      </c>
      <c r="AI556">
        <f t="shared" si="21"/>
        <v>32096.214321709529</v>
      </c>
      <c r="AJ556" t="b" cm="1">
        <f t="array" ref="AJ556">OR(D556=$AT$2:$AT$8)</f>
        <v>1</v>
      </c>
    </row>
    <row r="557" spans="1:36" x14ac:dyDescent="0.25">
      <c r="A557" s="2" t="s">
        <v>184</v>
      </c>
      <c r="B557" s="3">
        <v>488.5</v>
      </c>
      <c r="C557" s="2" t="s">
        <v>78</v>
      </c>
      <c r="D557" s="2" t="s">
        <v>78</v>
      </c>
      <c r="E557" s="2" t="s">
        <v>182</v>
      </c>
      <c r="F557" s="4" t="s">
        <v>93</v>
      </c>
      <c r="G557" s="4" t="s">
        <v>94</v>
      </c>
      <c r="H557" s="5"/>
      <c r="I557" s="5"/>
      <c r="J557" s="5"/>
      <c r="K557" s="4" t="s">
        <v>62</v>
      </c>
      <c r="L557" s="4" t="s">
        <v>95</v>
      </c>
      <c r="M557" s="6" t="str">
        <f>IF(OR(B557="",I557=""),"",B557*I557)</f>
        <v/>
      </c>
      <c r="N557" s="8" t="s">
        <v>64</v>
      </c>
      <c r="O557" s="9"/>
      <c r="P557" s="9"/>
      <c r="Q557" s="22"/>
      <c r="R557" s="22"/>
      <c r="S557" s="23" t="str">
        <f>IF(AND(ISNUMBER(Q557),Q557&gt;0,ISNUMBER(R557),R557&gt;0),R557/Q557,"")</f>
        <v/>
      </c>
      <c r="T557" s="9"/>
      <c r="U557" s="9"/>
      <c r="V557" s="9"/>
      <c r="W557" s="9"/>
      <c r="X557" s="23" t="str">
        <f>IF(ISNUMBER(S557),S557,IF(ISNUMBER(I557),I557,""))</f>
        <v/>
      </c>
      <c r="Y557" t="str">
        <f>IF(ISNUMBER(S557),"2025 EIA-923 plant/group proxy",IF(ISNUMBER(I557),"Technology estimate","No thermal heat rate"))</f>
        <v>No thermal heat rate</v>
      </c>
      <c r="Z557" t="str">
        <f>IF(ISNUMBER(S557),"Review: NOT unit verified",IF(AE557="No match","No EIA match",IF(AF557="Unconfirmed","Unconfirmed EIA candidate","")))</f>
        <v/>
      </c>
      <c r="AE557" t="s">
        <v>65</v>
      </c>
      <c r="AF557" t="s">
        <v>66</v>
      </c>
      <c r="AG557" s="24">
        <f>IF(ISBLANK(S557),S557,I557)</f>
        <v>0</v>
      </c>
      <c r="AH557" s="34">
        <f t="shared" si="22"/>
        <v>51884.999999999964</v>
      </c>
      <c r="AI557">
        <f t="shared" si="21"/>
        <v>32401.274018306674</v>
      </c>
      <c r="AJ557" t="b" cm="1">
        <f t="array" ref="AJ557">OR(D557=$AT$2:$AT$8)</f>
        <v>1</v>
      </c>
    </row>
    <row r="558" spans="1:36" x14ac:dyDescent="0.25">
      <c r="A558" s="2" t="s">
        <v>185</v>
      </c>
      <c r="B558" s="3">
        <v>488.5</v>
      </c>
      <c r="C558" s="2" t="s">
        <v>78</v>
      </c>
      <c r="D558" s="2" t="s">
        <v>78</v>
      </c>
      <c r="E558" s="2" t="s">
        <v>182</v>
      </c>
      <c r="F558" s="4" t="s">
        <v>93</v>
      </c>
      <c r="G558" s="4" t="s">
        <v>94</v>
      </c>
      <c r="H558" s="5"/>
      <c r="I558" s="5"/>
      <c r="J558" s="5"/>
      <c r="K558" s="4" t="s">
        <v>62</v>
      </c>
      <c r="L558" s="4" t="s">
        <v>95</v>
      </c>
      <c r="M558" s="6" t="str">
        <f>IF(OR(B558="",I558=""),"",B558*I558)</f>
        <v/>
      </c>
      <c r="N558" s="8" t="s">
        <v>64</v>
      </c>
      <c r="O558" s="9"/>
      <c r="P558" s="9"/>
      <c r="Q558" s="22"/>
      <c r="R558" s="22"/>
      <c r="S558" s="23" t="str">
        <f>IF(AND(ISNUMBER(Q558),Q558&gt;0,ISNUMBER(R558),R558&gt;0),R558/Q558,"")</f>
        <v/>
      </c>
      <c r="T558" s="9"/>
      <c r="U558" s="9"/>
      <c r="V558" s="9"/>
      <c r="W558" s="9"/>
      <c r="X558" s="23" t="str">
        <f>IF(ISNUMBER(S558),S558,IF(ISNUMBER(I558),I558,""))</f>
        <v/>
      </c>
      <c r="Y558" t="str">
        <f>IF(ISNUMBER(S558),"2025 EIA-923 plant/group proxy",IF(ISNUMBER(I558),"Technology estimate","No thermal heat rate"))</f>
        <v>No thermal heat rate</v>
      </c>
      <c r="Z558" t="str">
        <f>IF(ISNUMBER(S558),"Review: NOT unit verified",IF(AE558="No match","No EIA match",IF(AF558="Unconfirmed","Unconfirmed EIA candidate","")))</f>
        <v/>
      </c>
      <c r="AE558" t="s">
        <v>65</v>
      </c>
      <c r="AF558" t="s">
        <v>66</v>
      </c>
      <c r="AG558" s="24">
        <f>IF(ISBLANK(S558),S558,I558)</f>
        <v>0</v>
      </c>
      <c r="AH558" s="34">
        <f t="shared" si="22"/>
        <v>52373.499999999964</v>
      </c>
      <c r="AI558">
        <f t="shared" si="21"/>
        <v>32706.333714903816</v>
      </c>
      <c r="AJ558" t="b" cm="1">
        <f t="array" ref="AJ558">OR(D558=$AT$2:$AT$8)</f>
        <v>1</v>
      </c>
    </row>
    <row r="559" spans="1:36" x14ac:dyDescent="0.25">
      <c r="A559" s="2" t="s">
        <v>186</v>
      </c>
      <c r="B559" s="3">
        <v>488.5</v>
      </c>
      <c r="C559" s="2" t="s">
        <v>78</v>
      </c>
      <c r="D559" s="2" t="s">
        <v>78</v>
      </c>
      <c r="E559" s="2" t="s">
        <v>182</v>
      </c>
      <c r="F559" s="4" t="s">
        <v>93</v>
      </c>
      <c r="G559" s="4" t="s">
        <v>94</v>
      </c>
      <c r="H559" s="5"/>
      <c r="I559" s="5"/>
      <c r="J559" s="5"/>
      <c r="K559" s="4" t="s">
        <v>62</v>
      </c>
      <c r="L559" s="4" t="s">
        <v>95</v>
      </c>
      <c r="M559" s="6" t="str">
        <f>IF(OR(B559="",I559=""),"",B559*I559)</f>
        <v/>
      </c>
      <c r="N559" s="8" t="s">
        <v>64</v>
      </c>
      <c r="O559" s="9"/>
      <c r="P559" s="9"/>
      <c r="Q559" s="22"/>
      <c r="R559" s="22"/>
      <c r="S559" s="23" t="str">
        <f>IF(AND(ISNUMBER(Q559),Q559&gt;0,ISNUMBER(R559),R559&gt;0),R559/Q559,"")</f>
        <v/>
      </c>
      <c r="T559" s="9"/>
      <c r="U559" s="9"/>
      <c r="V559" s="9"/>
      <c r="W559" s="9"/>
      <c r="X559" s="23" t="str">
        <f>IF(ISNUMBER(S559),S559,IF(ISNUMBER(I559),I559,""))</f>
        <v/>
      </c>
      <c r="Y559" t="str">
        <f>IF(ISNUMBER(S559),"2025 EIA-923 plant/group proxy",IF(ISNUMBER(I559),"Technology estimate","No thermal heat rate"))</f>
        <v>No thermal heat rate</v>
      </c>
      <c r="Z559" t="str">
        <f>IF(ISNUMBER(S559),"Review: NOT unit verified",IF(AE559="No match","No EIA match",IF(AF559="Unconfirmed","Unconfirmed EIA candidate","")))</f>
        <v/>
      </c>
      <c r="AE559" t="s">
        <v>65</v>
      </c>
      <c r="AF559" t="s">
        <v>66</v>
      </c>
      <c r="AG559" s="24">
        <f>IF(ISBLANK(S559),S559,I559)</f>
        <v>0</v>
      </c>
      <c r="AH559" s="34">
        <f t="shared" si="22"/>
        <v>52861.999999999964</v>
      </c>
      <c r="AI559">
        <f t="shared" si="21"/>
        <v>33011.393411500962</v>
      </c>
      <c r="AJ559" t="b" cm="1">
        <f t="array" ref="AJ559">OR(D559=$AT$2:$AT$8)</f>
        <v>1</v>
      </c>
    </row>
    <row r="560" spans="1:36" x14ac:dyDescent="0.25">
      <c r="A560" s="2" t="s">
        <v>187</v>
      </c>
      <c r="B560" s="3">
        <v>488.5</v>
      </c>
      <c r="C560" s="2" t="s">
        <v>78</v>
      </c>
      <c r="D560" s="2" t="s">
        <v>78</v>
      </c>
      <c r="E560" s="2" t="s">
        <v>182</v>
      </c>
      <c r="F560" s="4" t="s">
        <v>93</v>
      </c>
      <c r="G560" s="4" t="s">
        <v>94</v>
      </c>
      <c r="H560" s="5"/>
      <c r="I560" s="5"/>
      <c r="J560" s="5"/>
      <c r="K560" s="4" t="s">
        <v>62</v>
      </c>
      <c r="L560" s="4" t="s">
        <v>95</v>
      </c>
      <c r="M560" s="6" t="str">
        <f>IF(OR(B560="",I560=""),"",B560*I560)</f>
        <v/>
      </c>
      <c r="N560" s="8" t="s">
        <v>64</v>
      </c>
      <c r="O560" s="9"/>
      <c r="P560" s="9"/>
      <c r="Q560" s="22"/>
      <c r="R560" s="22"/>
      <c r="S560" s="23" t="str">
        <f>IF(AND(ISNUMBER(Q560),Q560&gt;0,ISNUMBER(R560),R560&gt;0),R560/Q560,"")</f>
        <v/>
      </c>
      <c r="T560" s="9"/>
      <c r="U560" s="9"/>
      <c r="V560" s="9"/>
      <c r="W560" s="9"/>
      <c r="X560" s="23" t="str">
        <f>IF(ISNUMBER(S560),S560,IF(ISNUMBER(I560),I560,""))</f>
        <v/>
      </c>
      <c r="Y560" t="str">
        <f>IF(ISNUMBER(S560),"2025 EIA-923 plant/group proxy",IF(ISNUMBER(I560),"Technology estimate","No thermal heat rate"))</f>
        <v>No thermal heat rate</v>
      </c>
      <c r="Z560" t="str">
        <f>IF(ISNUMBER(S560),"Review: NOT unit verified",IF(AE560="No match","No EIA match",IF(AF560="Unconfirmed","Unconfirmed EIA candidate","")))</f>
        <v/>
      </c>
      <c r="AE560" t="s">
        <v>65</v>
      </c>
      <c r="AF560" t="s">
        <v>66</v>
      </c>
      <c r="AG560" s="24">
        <f>IF(ISBLANK(S560),S560,I560)</f>
        <v>0</v>
      </c>
      <c r="AH560" s="34">
        <f t="shared" si="22"/>
        <v>53350.499999999964</v>
      </c>
      <c r="AI560">
        <f t="shared" si="21"/>
        <v>33316.453108098103</v>
      </c>
      <c r="AJ560" t="b" cm="1">
        <f t="array" ref="AJ560">OR(D560=$AT$2:$AT$8)</f>
        <v>1</v>
      </c>
    </row>
    <row r="561" spans="1:36" x14ac:dyDescent="0.25">
      <c r="A561" s="2" t="s">
        <v>1591</v>
      </c>
      <c r="B561" s="3">
        <v>64</v>
      </c>
      <c r="C561" s="2" t="s">
        <v>99</v>
      </c>
      <c r="D561" s="2" t="s">
        <v>81</v>
      </c>
      <c r="E561" s="2" t="s">
        <v>182</v>
      </c>
      <c r="F561" s="4" t="s">
        <v>93</v>
      </c>
      <c r="G561" s="4" t="s">
        <v>94</v>
      </c>
      <c r="H561" s="5"/>
      <c r="I561" s="5"/>
      <c r="J561" s="5"/>
      <c r="K561" s="4" t="s">
        <v>62</v>
      </c>
      <c r="L561" s="4" t="s">
        <v>95</v>
      </c>
      <c r="M561" s="6" t="str">
        <f>IF(OR(B561="",I561=""),"",B561*I561)</f>
        <v/>
      </c>
      <c r="N561" s="8" t="s">
        <v>64</v>
      </c>
      <c r="O561" s="9"/>
      <c r="P561" s="9"/>
      <c r="Q561" s="22"/>
      <c r="R561" s="22"/>
      <c r="S561" s="23" t="str">
        <f>IF(AND(ISNUMBER(Q561),Q561&gt;0,ISNUMBER(R561),R561&gt;0),R561/Q561,"")</f>
        <v/>
      </c>
      <c r="T561" s="9"/>
      <c r="U561" s="9"/>
      <c r="V561" s="9"/>
      <c r="W561" s="9"/>
      <c r="X561" s="23" t="str">
        <f>IF(ISNUMBER(S561),S561,IF(ISNUMBER(I561),I561,""))</f>
        <v/>
      </c>
      <c r="Y561" t="str">
        <f>IF(ISNUMBER(S561),"2025 EIA-923 plant/group proxy",IF(ISNUMBER(I561),"Technology estimate","No thermal heat rate"))</f>
        <v>No thermal heat rate</v>
      </c>
      <c r="Z561" t="str">
        <f>IF(ISNUMBER(S561),"Review: NOT unit verified",IF(AE561="No match","No EIA match",IF(AF561="Unconfirmed","Unconfirmed EIA candidate","")))</f>
        <v/>
      </c>
      <c r="AE561" t="s">
        <v>65</v>
      </c>
      <c r="AF561" t="s">
        <v>66</v>
      </c>
      <c r="AG561" s="24">
        <f>IF(ISBLANK(S561),S561,I561)</f>
        <v>0</v>
      </c>
      <c r="AH561" s="34">
        <f t="shared" si="22"/>
        <v>53414.499999999964</v>
      </c>
      <c r="AI561">
        <f t="shared" si="21"/>
        <v>33356.419987488516</v>
      </c>
      <c r="AJ561" t="b" cm="1">
        <f t="array" ref="AJ561">OR(D561=$AT$2:$AT$8)</f>
        <v>0</v>
      </c>
    </row>
    <row r="562" spans="1:36" x14ac:dyDescent="0.25">
      <c r="A562" s="2" t="s">
        <v>1592</v>
      </c>
      <c r="B562" s="3">
        <v>175</v>
      </c>
      <c r="C562" s="2" t="s">
        <v>99</v>
      </c>
      <c r="D562" s="2" t="s">
        <v>81</v>
      </c>
      <c r="E562" s="2" t="s">
        <v>182</v>
      </c>
      <c r="F562" s="4" t="s">
        <v>93</v>
      </c>
      <c r="G562" s="4" t="s">
        <v>94</v>
      </c>
      <c r="H562" s="5"/>
      <c r="I562" s="5"/>
      <c r="J562" s="5"/>
      <c r="K562" s="4" t="s">
        <v>62</v>
      </c>
      <c r="L562" s="4" t="s">
        <v>95</v>
      </c>
      <c r="M562" s="6" t="str">
        <f>IF(OR(B562="",I562=""),"",B562*I562)</f>
        <v/>
      </c>
      <c r="N562" s="8" t="s">
        <v>64</v>
      </c>
      <c r="O562" s="9"/>
      <c r="P562" s="9"/>
      <c r="Q562" s="22"/>
      <c r="R562" s="22"/>
      <c r="S562" s="23" t="str">
        <f>IF(AND(ISNUMBER(Q562),Q562&gt;0,ISNUMBER(R562),R562&gt;0),R562/Q562,"")</f>
        <v/>
      </c>
      <c r="T562" s="9"/>
      <c r="U562" s="9"/>
      <c r="V562" s="9"/>
      <c r="W562" s="9"/>
      <c r="X562" s="23" t="str">
        <f>IF(ISNUMBER(S562),S562,IF(ISNUMBER(I562),I562,""))</f>
        <v/>
      </c>
      <c r="Y562" t="str">
        <f>IF(ISNUMBER(S562),"2025 EIA-923 plant/group proxy",IF(ISNUMBER(I562),"Technology estimate","No thermal heat rate"))</f>
        <v>No thermal heat rate</v>
      </c>
      <c r="Z562" t="str">
        <f>IF(ISNUMBER(S562),"Review: NOT unit verified",IF(AE562="No match","No EIA match",IF(AF562="Unconfirmed","Unconfirmed EIA candidate","")))</f>
        <v/>
      </c>
      <c r="AE562" t="s">
        <v>65</v>
      </c>
      <c r="AF562" t="s">
        <v>66</v>
      </c>
      <c r="AG562" s="24">
        <f>IF(ISBLANK(S562),S562,I562)</f>
        <v>0</v>
      </c>
      <c r="AH562" s="34">
        <f t="shared" si="22"/>
        <v>53589.499999999964</v>
      </c>
      <c r="AI562">
        <f t="shared" si="21"/>
        <v>33465.70442332168</v>
      </c>
      <c r="AJ562" t="b" cm="1">
        <f t="array" ref="AJ562">OR(D562=$AT$2:$AT$8)</f>
        <v>0</v>
      </c>
    </row>
    <row r="563" spans="1:36" x14ac:dyDescent="0.25">
      <c r="A563" s="2" t="s">
        <v>1593</v>
      </c>
      <c r="B563" s="3">
        <v>107</v>
      </c>
      <c r="C563" s="2" t="s">
        <v>99</v>
      </c>
      <c r="D563" s="2" t="s">
        <v>81</v>
      </c>
      <c r="E563" s="2" t="s">
        <v>182</v>
      </c>
      <c r="F563" s="4" t="s">
        <v>93</v>
      </c>
      <c r="G563" s="4" t="s">
        <v>94</v>
      </c>
      <c r="H563" s="5"/>
      <c r="I563" s="5"/>
      <c r="J563" s="5"/>
      <c r="K563" s="4" t="s">
        <v>62</v>
      </c>
      <c r="L563" s="4" t="s">
        <v>95</v>
      </c>
      <c r="M563" s="6" t="str">
        <f>IF(OR(B563="",I563=""),"",B563*I563)</f>
        <v/>
      </c>
      <c r="N563" s="8" t="s">
        <v>64</v>
      </c>
      <c r="O563" s="9"/>
      <c r="P563" s="9"/>
      <c r="Q563" s="22"/>
      <c r="R563" s="22"/>
      <c r="S563" s="23" t="str">
        <f>IF(AND(ISNUMBER(Q563),Q563&gt;0,ISNUMBER(R563),R563&gt;0),R563/Q563,"")</f>
        <v/>
      </c>
      <c r="T563" s="9"/>
      <c r="U563" s="9"/>
      <c r="V563" s="9"/>
      <c r="W563" s="9"/>
      <c r="X563" s="23" t="str">
        <f>IF(ISNUMBER(S563),S563,IF(ISNUMBER(I563),I563,""))</f>
        <v/>
      </c>
      <c r="Y563" t="str">
        <f>IF(ISNUMBER(S563),"2025 EIA-923 plant/group proxy",IF(ISNUMBER(I563),"Technology estimate","No thermal heat rate"))</f>
        <v>No thermal heat rate</v>
      </c>
      <c r="Z563" t="str">
        <f>IF(ISNUMBER(S563),"Review: NOT unit verified",IF(AE563="No match","No EIA match",IF(AF563="Unconfirmed","Unconfirmed EIA candidate","")))</f>
        <v/>
      </c>
      <c r="AE563" t="s">
        <v>65</v>
      </c>
      <c r="AF563" t="s">
        <v>66</v>
      </c>
      <c r="AG563" s="24">
        <f>IF(ISBLANK(S563),S563,I563)</f>
        <v>0</v>
      </c>
      <c r="AH563" s="34">
        <f t="shared" si="22"/>
        <v>53696.499999999964</v>
      </c>
      <c r="AI563">
        <f t="shared" si="21"/>
        <v>33532.52404980253</v>
      </c>
      <c r="AJ563" t="b" cm="1">
        <f t="array" ref="AJ563">OR(D563=$AT$2:$AT$8)</f>
        <v>0</v>
      </c>
    </row>
    <row r="564" spans="1:36" x14ac:dyDescent="0.25">
      <c r="A564" s="2" t="s">
        <v>1594</v>
      </c>
      <c r="B564" s="3">
        <v>176</v>
      </c>
      <c r="C564" s="2" t="s">
        <v>99</v>
      </c>
      <c r="D564" s="2" t="s">
        <v>81</v>
      </c>
      <c r="E564" s="2" t="s">
        <v>182</v>
      </c>
      <c r="F564" s="4" t="s">
        <v>93</v>
      </c>
      <c r="G564" s="4" t="s">
        <v>94</v>
      </c>
      <c r="H564" s="5"/>
      <c r="I564" s="5"/>
      <c r="J564" s="5"/>
      <c r="K564" s="4" t="s">
        <v>62</v>
      </c>
      <c r="L564" s="4" t="s">
        <v>95</v>
      </c>
      <c r="M564" s="6" t="str">
        <f>IF(OR(B564="",I564=""),"",B564*I564)</f>
        <v/>
      </c>
      <c r="N564" s="8" t="s">
        <v>64</v>
      </c>
      <c r="O564" s="9"/>
      <c r="P564" s="9"/>
      <c r="Q564" s="22"/>
      <c r="R564" s="22"/>
      <c r="S564" s="23" t="str">
        <f>IF(AND(ISNUMBER(Q564),Q564&gt;0,ISNUMBER(R564),R564&gt;0),R564/Q564,"")</f>
        <v/>
      </c>
      <c r="T564" s="9"/>
      <c r="U564" s="9"/>
      <c r="V564" s="9"/>
      <c r="W564" s="9"/>
      <c r="X564" s="23" t="str">
        <f>IF(ISNUMBER(S564),S564,IF(ISNUMBER(I564),I564,""))</f>
        <v/>
      </c>
      <c r="Y564" t="str">
        <f>IF(ISNUMBER(S564),"2025 EIA-923 plant/group proxy",IF(ISNUMBER(I564),"Technology estimate","No thermal heat rate"))</f>
        <v>No thermal heat rate</v>
      </c>
      <c r="Z564" t="str">
        <f>IF(ISNUMBER(S564),"Review: NOT unit verified",IF(AE564="No match","No EIA match",IF(AF564="Unconfirmed","Unconfirmed EIA candidate","")))</f>
        <v/>
      </c>
      <c r="AE564" t="s">
        <v>65</v>
      </c>
      <c r="AF564" t="s">
        <v>66</v>
      </c>
      <c r="AG564" s="24">
        <f>IF(ISBLANK(S564),S564,I564)</f>
        <v>0</v>
      </c>
      <c r="AH564" s="34">
        <f t="shared" si="22"/>
        <v>53872.499999999964</v>
      </c>
      <c r="AI564">
        <f t="shared" si="21"/>
        <v>33642.432968126173</v>
      </c>
      <c r="AJ564" t="b" cm="1">
        <f t="array" ref="AJ564">OR(D564=$AT$2:$AT$8)</f>
        <v>0</v>
      </c>
    </row>
    <row r="565" spans="1:36" x14ac:dyDescent="0.25">
      <c r="A565" s="2" t="s">
        <v>1595</v>
      </c>
      <c r="B565" s="3">
        <v>68</v>
      </c>
      <c r="C565" s="2" t="s">
        <v>99</v>
      </c>
      <c r="D565" s="2" t="s">
        <v>81</v>
      </c>
      <c r="E565" s="2" t="s">
        <v>182</v>
      </c>
      <c r="F565" s="4" t="s">
        <v>93</v>
      </c>
      <c r="G565" s="4" t="s">
        <v>94</v>
      </c>
      <c r="H565" s="5"/>
      <c r="I565" s="5"/>
      <c r="J565" s="5"/>
      <c r="K565" s="4" t="s">
        <v>62</v>
      </c>
      <c r="L565" s="4" t="s">
        <v>95</v>
      </c>
      <c r="M565" s="6" t="str">
        <f>IF(OR(B565="",I565=""),"",B565*I565)</f>
        <v/>
      </c>
      <c r="N565" s="8" t="s">
        <v>64</v>
      </c>
      <c r="O565" s="9"/>
      <c r="P565" s="9"/>
      <c r="Q565" s="22"/>
      <c r="R565" s="22"/>
      <c r="S565" s="23" t="str">
        <f>IF(AND(ISNUMBER(Q565),Q565&gt;0,ISNUMBER(R565),R565&gt;0),R565/Q565,"")</f>
        <v/>
      </c>
      <c r="T565" s="9"/>
      <c r="U565" s="9"/>
      <c r="V565" s="9"/>
      <c r="W565" s="9"/>
      <c r="X565" s="23" t="str">
        <f>IF(ISNUMBER(S565),S565,IF(ISNUMBER(I565),I565,""))</f>
        <v/>
      </c>
      <c r="Y565" t="str">
        <f>IF(ISNUMBER(S565),"2025 EIA-923 plant/group proxy",IF(ISNUMBER(I565),"Technology estimate","No thermal heat rate"))</f>
        <v>No thermal heat rate</v>
      </c>
      <c r="Z565" t="str">
        <f>IF(ISNUMBER(S565),"Review: NOT unit verified",IF(AE565="No match","No EIA match",IF(AF565="Unconfirmed","Unconfirmed EIA candidate","")))</f>
        <v/>
      </c>
      <c r="AE565" t="s">
        <v>65</v>
      </c>
      <c r="AF565" t="s">
        <v>66</v>
      </c>
      <c r="AG565" s="24">
        <f>IF(ISBLANK(S565),S565,I565)</f>
        <v>0</v>
      </c>
      <c r="AH565" s="34">
        <f t="shared" si="22"/>
        <v>53940.499999999964</v>
      </c>
      <c r="AI565">
        <f t="shared" si="21"/>
        <v>33684.897777478487</v>
      </c>
      <c r="AJ565" t="b" cm="1">
        <f t="array" ref="AJ565">OR(D565=$AT$2:$AT$8)</f>
        <v>0</v>
      </c>
    </row>
    <row r="566" spans="1:36" x14ac:dyDescent="0.25">
      <c r="A566" s="2" t="s">
        <v>279</v>
      </c>
      <c r="B566" s="3">
        <v>485</v>
      </c>
      <c r="C566" s="2" t="s">
        <v>75</v>
      </c>
      <c r="D566" s="2" t="s">
        <v>76</v>
      </c>
      <c r="E566" s="2" t="s">
        <v>244</v>
      </c>
      <c r="F566" s="4" t="s">
        <v>138</v>
      </c>
      <c r="G566" s="4" t="s">
        <v>245</v>
      </c>
      <c r="H566" s="5">
        <v>6.5</v>
      </c>
      <c r="I566" s="5">
        <v>7.2</v>
      </c>
      <c r="J566" s="5">
        <v>8.1999999999999993</v>
      </c>
      <c r="K566" s="4" t="s">
        <v>111</v>
      </c>
      <c r="L566" s="4" t="s">
        <v>112</v>
      </c>
      <c r="M566" s="6">
        <f>IF(OR(B566="",I566=""),"",B566*I566)</f>
        <v>3492</v>
      </c>
      <c r="N566" s="25" t="s">
        <v>113</v>
      </c>
      <c r="O566" s="26">
        <v>61035</v>
      </c>
      <c r="P566" s="9" t="s">
        <v>280</v>
      </c>
      <c r="Q566" s="27">
        <v>3377539</v>
      </c>
      <c r="R566" s="27">
        <v>21872108</v>
      </c>
      <c r="S566" s="23">
        <f>IF(AND(ISNUMBER(Q566),Q566&gt;0,ISNUMBER(R566),R566&gt;0),R566/Q566,"")</f>
        <v>6.4757529076644262</v>
      </c>
      <c r="T566" s="9" t="s">
        <v>115</v>
      </c>
      <c r="U566" s="9" t="s">
        <v>281</v>
      </c>
      <c r="V566" s="9" t="s">
        <v>21</v>
      </c>
      <c r="W566" s="9" t="s">
        <v>217</v>
      </c>
      <c r="X566" s="23">
        <f>IF(ISNUMBER(S566),S566,IF(ISNUMBER(I566),I566,""))</f>
        <v>6.4757529076644262</v>
      </c>
      <c r="Y566" t="str">
        <f>IF(ISNUMBER(S566),"2025 EIA-923 plant/group proxy",IF(ISNUMBER(I566),"Technology estimate","No thermal heat rate"))</f>
        <v>2025 EIA-923 plant/group proxy</v>
      </c>
      <c r="Z566" t="str">
        <f>IF(ISNUMBER(S566),"Review: NOT unit verified",IF(AE566="No match","No EIA match",IF(AF566="Unconfirmed","Unconfirmed EIA candidate","")))</f>
        <v>Review: NOT unit verified</v>
      </c>
      <c r="AA566" s="26">
        <v>1</v>
      </c>
      <c r="AB566" t="s">
        <v>143</v>
      </c>
      <c r="AC566" t="s">
        <v>282</v>
      </c>
      <c r="AD566" s="26">
        <v>485</v>
      </c>
      <c r="AE566" t="s">
        <v>120</v>
      </c>
      <c r="AF566" t="s">
        <v>121</v>
      </c>
      <c r="AG566" s="27">
        <v>6.4757999999999996</v>
      </c>
      <c r="AH566" s="34">
        <f t="shared" si="22"/>
        <v>54425.499999999964</v>
      </c>
      <c r="AI566">
        <f t="shared" si="21"/>
        <v>33987.771785358964</v>
      </c>
      <c r="AJ566" t="b" cm="1">
        <f t="array" ref="AJ566">OR(D566=$AT$2:$AT$8)</f>
        <v>0</v>
      </c>
    </row>
    <row r="567" spans="1:36" x14ac:dyDescent="0.25">
      <c r="A567" s="2" t="s">
        <v>1783</v>
      </c>
      <c r="B567" s="3">
        <v>940</v>
      </c>
      <c r="C567" s="2" t="s">
        <v>80</v>
      </c>
      <c r="D567" s="2" t="s">
        <v>81</v>
      </c>
      <c r="E567" s="2" t="s">
        <v>244</v>
      </c>
      <c r="F567" s="4" t="s">
        <v>138</v>
      </c>
      <c r="G567" s="4" t="s">
        <v>245</v>
      </c>
      <c r="H567" s="5">
        <v>6.5</v>
      </c>
      <c r="I567" s="5">
        <v>7.2</v>
      </c>
      <c r="J567" s="5">
        <v>8.1999999999999993</v>
      </c>
      <c r="K567" s="4" t="s">
        <v>111</v>
      </c>
      <c r="L567" s="4" t="s">
        <v>112</v>
      </c>
      <c r="M567" s="6">
        <f>IF(OR(B567="",I567=""),"",B567*I567)</f>
        <v>6768</v>
      </c>
      <c r="N567" s="25" t="s">
        <v>113</v>
      </c>
      <c r="O567" s="26">
        <v>60464</v>
      </c>
      <c r="P567" s="9" t="s">
        <v>1784</v>
      </c>
      <c r="Q567" s="27">
        <v>6298297</v>
      </c>
      <c r="R567" s="27">
        <v>40918552</v>
      </c>
      <c r="S567" s="23">
        <f>IF(AND(ISNUMBER(Q567),Q567&gt;0,ISNUMBER(R567),R567&gt;0),R567/Q567,"")</f>
        <v>6.4967644428327214</v>
      </c>
      <c r="T567" s="9" t="s">
        <v>115</v>
      </c>
      <c r="U567" s="9" t="s">
        <v>331</v>
      </c>
      <c r="V567" s="9" t="s">
        <v>21</v>
      </c>
      <c r="W567" s="9" t="s">
        <v>217</v>
      </c>
      <c r="X567" s="23">
        <f>IF(ISNUMBER(S567),S567,IF(ISNUMBER(I567),I567,""))</f>
        <v>6.4967644428327214</v>
      </c>
      <c r="Y567" t="str">
        <f>IF(ISNUMBER(S567),"2025 EIA-923 plant/group proxy",IF(ISNUMBER(I567),"Technology estimate","No thermal heat rate"))</f>
        <v>2025 EIA-923 plant/group proxy</v>
      </c>
      <c r="Z567" t="str">
        <f>IF(ISNUMBER(S567),"Review: NOT unit verified",IF(AE567="No match","No EIA match",IF(AF567="Unconfirmed","Unconfirmed EIA candidate","")))</f>
        <v>Review: NOT unit verified</v>
      </c>
      <c r="AA567" s="26">
        <v>0.85</v>
      </c>
      <c r="AB567" t="s">
        <v>143</v>
      </c>
      <c r="AC567" t="s">
        <v>924</v>
      </c>
      <c r="AD567" s="26">
        <v>947</v>
      </c>
      <c r="AE567" t="s">
        <v>120</v>
      </c>
      <c r="AF567" t="s">
        <v>121</v>
      </c>
      <c r="AG567" s="27">
        <v>6.4968000000000004</v>
      </c>
      <c r="AH567" s="34">
        <f t="shared" si="22"/>
        <v>55365.499999999964</v>
      </c>
      <c r="AI567">
        <f t="shared" si="21"/>
        <v>34574.785326405668</v>
      </c>
      <c r="AJ567" t="b" cm="1">
        <f t="array" ref="AJ567">OR(D567=$AT$2:$AT$8)</f>
        <v>0</v>
      </c>
    </row>
    <row r="568" spans="1:36" x14ac:dyDescent="0.25">
      <c r="A568" s="2" t="s">
        <v>853</v>
      </c>
      <c r="B568" s="3">
        <v>1605.1</v>
      </c>
      <c r="C568" s="2" t="s">
        <v>78</v>
      </c>
      <c r="D568" s="2" t="s">
        <v>78</v>
      </c>
      <c r="E568" s="2" t="s">
        <v>244</v>
      </c>
      <c r="F568" s="4" t="s">
        <v>138</v>
      </c>
      <c r="G568" s="4" t="s">
        <v>245</v>
      </c>
      <c r="H568" s="5">
        <v>6.5</v>
      </c>
      <c r="I568" s="5">
        <v>7.2</v>
      </c>
      <c r="J568" s="5">
        <v>8.1999999999999993</v>
      </c>
      <c r="K568" s="4" t="s">
        <v>111</v>
      </c>
      <c r="L568" s="4" t="s">
        <v>112</v>
      </c>
      <c r="M568" s="6">
        <f>IF(OR(B568="",I568=""),"",B568*I568)</f>
        <v>11556.72</v>
      </c>
      <c r="N568" s="25" t="s">
        <v>113</v>
      </c>
      <c r="O568" s="26">
        <v>59913</v>
      </c>
      <c r="P568" s="9" t="s">
        <v>854</v>
      </c>
      <c r="Q568" s="27">
        <v>11337552</v>
      </c>
      <c r="R568" s="27">
        <v>73871197</v>
      </c>
      <c r="S568" s="23">
        <f>IF(AND(ISNUMBER(Q568),Q568&gt;0,ISNUMBER(R568),R568&gt;0),R568/Q568,"")</f>
        <v>6.5156214498509026</v>
      </c>
      <c r="T568" s="9" t="s">
        <v>115</v>
      </c>
      <c r="U568" s="9" t="s">
        <v>340</v>
      </c>
      <c r="V568" s="9" t="s">
        <v>21</v>
      </c>
      <c r="W568" s="9" t="s">
        <v>217</v>
      </c>
      <c r="X568" s="23">
        <f>IF(ISNUMBER(S568),S568,IF(ISNUMBER(I568),I568,""))</f>
        <v>6.5156214498509026</v>
      </c>
      <c r="Y568" t="str">
        <f>IF(ISNUMBER(S568),"2025 EIA-923 plant/group proxy",IF(ISNUMBER(I568),"Technology estimate","No thermal heat rate"))</f>
        <v>2025 EIA-923 plant/group proxy</v>
      </c>
      <c r="Z568" t="str">
        <f>IF(ISNUMBER(S568),"Review: NOT unit verified",IF(AE568="No match","No EIA match",IF(AF568="Unconfirmed","Unconfirmed EIA candidate","")))</f>
        <v>Review: NOT unit verified</v>
      </c>
      <c r="AA568" s="26">
        <v>1</v>
      </c>
      <c r="AB568" t="s">
        <v>201</v>
      </c>
      <c r="AC568" t="s">
        <v>341</v>
      </c>
      <c r="AD568" s="26">
        <v>1605.1</v>
      </c>
      <c r="AE568" t="s">
        <v>120</v>
      </c>
      <c r="AF568" t="s">
        <v>121</v>
      </c>
      <c r="AG568" s="27">
        <v>6.5156000000000001</v>
      </c>
      <c r="AH568" s="34">
        <f t="shared" si="22"/>
        <v>56970.599999999962</v>
      </c>
      <c r="AI568">
        <f t="shared" si="21"/>
        <v>35577.142171867439</v>
      </c>
      <c r="AJ568" t="b" cm="1">
        <f t="array" ref="AJ568">OR(D568=$AT$2:$AT$8)</f>
        <v>1</v>
      </c>
    </row>
    <row r="569" spans="1:36" x14ac:dyDescent="0.25">
      <c r="A569" s="2" t="s">
        <v>1231</v>
      </c>
      <c r="B569" s="3">
        <v>522.5</v>
      </c>
      <c r="C569" s="2" t="s">
        <v>136</v>
      </c>
      <c r="D569" s="2" t="s">
        <v>76</v>
      </c>
      <c r="E569" s="2" t="s">
        <v>244</v>
      </c>
      <c r="F569" s="4" t="s">
        <v>138</v>
      </c>
      <c r="G569" s="4" t="s">
        <v>245</v>
      </c>
      <c r="H569" s="5">
        <v>6.5</v>
      </c>
      <c r="I569" s="5">
        <v>7.2</v>
      </c>
      <c r="J569" s="5">
        <v>8.1999999999999993</v>
      </c>
      <c r="K569" s="4" t="s">
        <v>111</v>
      </c>
      <c r="L569" s="4" t="s">
        <v>112</v>
      </c>
      <c r="M569" s="6">
        <f>IF(OR(B569="",I569=""),"",B569*I569)</f>
        <v>3762</v>
      </c>
      <c r="N569" s="25" t="s">
        <v>113</v>
      </c>
      <c r="O569" s="26">
        <v>59906</v>
      </c>
      <c r="P569" s="9" t="s">
        <v>1232</v>
      </c>
      <c r="Q569" s="27">
        <v>7044975</v>
      </c>
      <c r="R569" s="27">
        <v>45919317</v>
      </c>
      <c r="S569" s="23">
        <f>IF(AND(ISNUMBER(Q569),Q569&gt;0,ISNUMBER(R569),R569&gt;0),R569/Q569,"")</f>
        <v>6.5180241235774439</v>
      </c>
      <c r="T569" s="9" t="s">
        <v>115</v>
      </c>
      <c r="U569" s="9" t="s">
        <v>281</v>
      </c>
      <c r="V569" s="9" t="s">
        <v>21</v>
      </c>
      <c r="W569" s="9" t="s">
        <v>240</v>
      </c>
      <c r="X569" s="23">
        <f>IF(ISNUMBER(S569),S569,IF(ISNUMBER(I569),I569,""))</f>
        <v>6.5180241235774439</v>
      </c>
      <c r="Y569" t="str">
        <f>IF(ISNUMBER(S569),"2025 EIA-923 plant/group proxy",IF(ISNUMBER(I569),"Technology estimate","No thermal heat rate"))</f>
        <v>2025 EIA-923 plant/group proxy</v>
      </c>
      <c r="Z569" t="str">
        <f>IF(ISNUMBER(S569),"Review: NOT unit verified",IF(AE569="No match","No EIA match",IF(AF569="Unconfirmed","Unconfirmed EIA candidate","")))</f>
        <v>Review: NOT unit verified</v>
      </c>
      <c r="AA569" s="26">
        <v>1</v>
      </c>
      <c r="AB569" t="s">
        <v>143</v>
      </c>
      <c r="AC569" t="s">
        <v>368</v>
      </c>
      <c r="AD569" s="26">
        <v>1045</v>
      </c>
      <c r="AE569" t="s">
        <v>120</v>
      </c>
      <c r="AF569" t="s">
        <v>121</v>
      </c>
      <c r="AG569" s="27">
        <v>6.5179999999999998</v>
      </c>
      <c r="AH569" s="34">
        <f t="shared" si="22"/>
        <v>57493.099999999962</v>
      </c>
      <c r="AI569">
        <f t="shared" si="21"/>
        <v>35903.434273140745</v>
      </c>
      <c r="AJ569" t="b" cm="1">
        <f t="array" ref="AJ569">OR(D569=$AT$2:$AT$8)</f>
        <v>0</v>
      </c>
    </row>
    <row r="570" spans="1:36" x14ac:dyDescent="0.25">
      <c r="A570" s="2" t="s">
        <v>1233</v>
      </c>
      <c r="B570" s="3">
        <v>522.5</v>
      </c>
      <c r="C570" s="2" t="s">
        <v>136</v>
      </c>
      <c r="D570" s="2" t="s">
        <v>76</v>
      </c>
      <c r="E570" s="2" t="s">
        <v>244</v>
      </c>
      <c r="F570" s="4" t="s">
        <v>138</v>
      </c>
      <c r="G570" s="4" t="s">
        <v>245</v>
      </c>
      <c r="H570" s="5">
        <v>6.5</v>
      </c>
      <c r="I570" s="5">
        <v>7.2</v>
      </c>
      <c r="J570" s="5">
        <v>8.1999999999999993</v>
      </c>
      <c r="K570" s="4" t="s">
        <v>111</v>
      </c>
      <c r="L570" s="4" t="s">
        <v>112</v>
      </c>
      <c r="M570" s="6">
        <f>IF(OR(B570="",I570=""),"",B570*I570)</f>
        <v>3762</v>
      </c>
      <c r="N570" s="25" t="s">
        <v>113</v>
      </c>
      <c r="O570" s="26">
        <v>59906</v>
      </c>
      <c r="P570" s="9" t="s">
        <v>1232</v>
      </c>
      <c r="Q570" s="27">
        <v>7044975</v>
      </c>
      <c r="R570" s="27">
        <v>45919317</v>
      </c>
      <c r="S570" s="23">
        <f>IF(AND(ISNUMBER(Q570),Q570&gt;0,ISNUMBER(R570),R570&gt;0),R570/Q570,"")</f>
        <v>6.5180241235774439</v>
      </c>
      <c r="T570" s="9" t="s">
        <v>115</v>
      </c>
      <c r="U570" s="9" t="s">
        <v>281</v>
      </c>
      <c r="V570" s="9" t="s">
        <v>21</v>
      </c>
      <c r="W570" s="9" t="s">
        <v>240</v>
      </c>
      <c r="X570" s="23">
        <f>IF(ISNUMBER(S570),S570,IF(ISNUMBER(I570),I570,""))</f>
        <v>6.5180241235774439</v>
      </c>
      <c r="Y570" t="str">
        <f>IF(ISNUMBER(S570),"2025 EIA-923 plant/group proxy",IF(ISNUMBER(I570),"Technology estimate","No thermal heat rate"))</f>
        <v>2025 EIA-923 plant/group proxy</v>
      </c>
      <c r="Z570" t="str">
        <f>IF(ISNUMBER(S570),"Review: NOT unit verified",IF(AE570="No match","No EIA match",IF(AF570="Unconfirmed","Unconfirmed EIA candidate","")))</f>
        <v>Review: NOT unit verified</v>
      </c>
      <c r="AA570" s="26">
        <v>1</v>
      </c>
      <c r="AB570" t="s">
        <v>143</v>
      </c>
      <c r="AC570" t="s">
        <v>368</v>
      </c>
      <c r="AD570" s="26">
        <v>1045</v>
      </c>
      <c r="AE570" t="s">
        <v>120</v>
      </c>
      <c r="AF570" t="s">
        <v>121</v>
      </c>
      <c r="AG570" s="27">
        <v>6.5179999999999998</v>
      </c>
      <c r="AH570" s="34">
        <f t="shared" si="22"/>
        <v>58015.599999999962</v>
      </c>
      <c r="AI570">
        <f t="shared" si="21"/>
        <v>36229.726374414044</v>
      </c>
      <c r="AJ570" t="b" cm="1">
        <f t="array" ref="AJ570">OR(D570=$AT$2:$AT$8)</f>
        <v>0</v>
      </c>
    </row>
    <row r="571" spans="1:36" x14ac:dyDescent="0.25">
      <c r="A571" s="2" t="s">
        <v>922</v>
      </c>
      <c r="B571" s="3">
        <v>960</v>
      </c>
      <c r="C571" s="2" t="s">
        <v>147</v>
      </c>
      <c r="D571" s="2" t="s">
        <v>147</v>
      </c>
      <c r="E571" s="2" t="s">
        <v>244</v>
      </c>
      <c r="F571" s="4" t="s">
        <v>138</v>
      </c>
      <c r="G571" s="4" t="s">
        <v>245</v>
      </c>
      <c r="H571" s="5">
        <v>6.5</v>
      </c>
      <c r="I571" s="5">
        <v>7.2</v>
      </c>
      <c r="J571" s="5">
        <v>8.1999999999999993</v>
      </c>
      <c r="K571" s="4" t="s">
        <v>111</v>
      </c>
      <c r="L571" s="4" t="s">
        <v>112</v>
      </c>
      <c r="M571" s="6">
        <f>IF(OR(B571="",I571=""),"",B571*I571)</f>
        <v>6912</v>
      </c>
      <c r="N571" s="25" t="s">
        <v>113</v>
      </c>
      <c r="O571" s="26">
        <v>61028</v>
      </c>
      <c r="P571" s="9" t="s">
        <v>923</v>
      </c>
      <c r="Q571" s="27">
        <v>6668580</v>
      </c>
      <c r="R571" s="27">
        <v>44175102</v>
      </c>
      <c r="S571" s="23">
        <f>IF(AND(ISNUMBER(Q571),Q571&gt;0,ISNUMBER(R571),R571&gt;0),R571/Q571,"")</f>
        <v>6.6243641075011475</v>
      </c>
      <c r="T571" s="9" t="s">
        <v>115</v>
      </c>
      <c r="U571" s="9" t="s">
        <v>331</v>
      </c>
      <c r="V571" s="9" t="s">
        <v>21</v>
      </c>
      <c r="W571" s="9" t="s">
        <v>217</v>
      </c>
      <c r="X571" s="23">
        <f>IF(ISNUMBER(S571),S571,IF(ISNUMBER(I571),I571,""))</f>
        <v>6.6243641075011475</v>
      </c>
      <c r="Y571" t="str">
        <f>IF(ISNUMBER(S571),"2025 EIA-923 plant/group proxy",IF(ISNUMBER(I571),"Technology estimate","No thermal heat rate"))</f>
        <v>2025 EIA-923 plant/group proxy</v>
      </c>
      <c r="Z571" t="str">
        <f>IF(ISNUMBER(S571),"Review: NOT unit verified",IF(AE571="No match","No EIA match",IF(AF571="Unconfirmed","Unconfirmed EIA candidate","")))</f>
        <v>Review: NOT unit verified</v>
      </c>
      <c r="AA571" s="26">
        <v>1</v>
      </c>
      <c r="AB571" t="s">
        <v>143</v>
      </c>
      <c r="AC571" t="s">
        <v>924</v>
      </c>
      <c r="AD571" s="26">
        <v>962.3</v>
      </c>
      <c r="AE571" t="s">
        <v>120</v>
      </c>
      <c r="AF571" t="s">
        <v>121</v>
      </c>
      <c r="AG571" s="27">
        <v>6.6243999999999996</v>
      </c>
      <c r="AH571" s="34">
        <f t="shared" si="22"/>
        <v>58975.599999999962</v>
      </c>
      <c r="AI571">
        <f t="shared" si="21"/>
        <v>36829.229565270252</v>
      </c>
      <c r="AJ571" t="b" cm="1">
        <f t="array" ref="AJ571">OR(D571=$AT$2:$AT$8)</f>
        <v>0</v>
      </c>
    </row>
    <row r="572" spans="1:36" x14ac:dyDescent="0.25">
      <c r="A572" s="2" t="s">
        <v>863</v>
      </c>
      <c r="B572" s="3">
        <v>597.6</v>
      </c>
      <c r="C572" s="2" t="s">
        <v>99</v>
      </c>
      <c r="D572" s="2" t="s">
        <v>81</v>
      </c>
      <c r="E572" s="2" t="s">
        <v>244</v>
      </c>
      <c r="F572" s="4" t="s">
        <v>138</v>
      </c>
      <c r="G572" s="4" t="s">
        <v>245</v>
      </c>
      <c r="H572" s="5">
        <v>6.5</v>
      </c>
      <c r="I572" s="5">
        <v>7.2</v>
      </c>
      <c r="J572" s="5">
        <v>8.1999999999999993</v>
      </c>
      <c r="K572" s="4" t="s">
        <v>111</v>
      </c>
      <c r="L572" s="4" t="s">
        <v>112</v>
      </c>
      <c r="M572" s="6">
        <f>IF(OR(B572="",I572=""),"",B572*I572)</f>
        <v>4302.72</v>
      </c>
      <c r="N572" s="28" t="s">
        <v>113</v>
      </c>
      <c r="O572" s="26">
        <v>62949</v>
      </c>
      <c r="P572" s="9" t="s">
        <v>864</v>
      </c>
      <c r="Q572" s="27">
        <v>11309051</v>
      </c>
      <c r="R572" s="27">
        <v>75101830</v>
      </c>
      <c r="S572" s="23">
        <f>IF(AND(ISNUMBER(Q572),Q572&gt;0,ISNUMBER(R572),R572&gt;0),R572/Q572,"")</f>
        <v>6.6408604930687822</v>
      </c>
      <c r="T572" s="9" t="s">
        <v>115</v>
      </c>
      <c r="U572" s="9" t="s">
        <v>281</v>
      </c>
      <c r="V572" s="9" t="s">
        <v>21</v>
      </c>
      <c r="W572" s="9" t="s">
        <v>865</v>
      </c>
      <c r="X572" s="23">
        <f>IF(ISNUMBER(S572),S572,IF(ISNUMBER(I572),I572,""))</f>
        <v>6.6408604930687822</v>
      </c>
      <c r="Y572" t="str">
        <f>IF(ISNUMBER(S572),"2025 EIA-923 plant/group proxy",IF(ISNUMBER(I572),"Technology estimate","No thermal heat rate"))</f>
        <v>2025 EIA-923 plant/group proxy</v>
      </c>
      <c r="Z572" t="str">
        <f>IF(ISNUMBER(S572),"Review: NOT unit verified",IF(AE572="No match","No EIA match",IF(AF572="Unconfirmed","Unconfirmed EIA candidate","")))</f>
        <v>Review: NOT unit verified</v>
      </c>
      <c r="AA572" s="26">
        <v>0.64019999999999999</v>
      </c>
      <c r="AB572" t="s">
        <v>322</v>
      </c>
      <c r="AC572" t="s">
        <v>866</v>
      </c>
      <c r="AD572" s="26">
        <v>1788.5</v>
      </c>
      <c r="AE572" t="s">
        <v>120</v>
      </c>
      <c r="AF572" t="s">
        <v>145</v>
      </c>
      <c r="AG572" s="27">
        <v>6.6409000000000002</v>
      </c>
      <c r="AH572" s="34">
        <f t="shared" si="22"/>
        <v>59573.199999999961</v>
      </c>
      <c r="AI572">
        <f t="shared" si="21"/>
        <v>37202.420301578248</v>
      </c>
      <c r="AJ572" t="b" cm="1">
        <f t="array" ref="AJ572">OR(D572=$AT$2:$AT$8)</f>
        <v>0</v>
      </c>
    </row>
    <row r="573" spans="1:36" x14ac:dyDescent="0.25">
      <c r="A573" s="2" t="s">
        <v>867</v>
      </c>
      <c r="B573" s="3">
        <v>596</v>
      </c>
      <c r="C573" s="2" t="s">
        <v>99</v>
      </c>
      <c r="D573" s="2" t="s">
        <v>81</v>
      </c>
      <c r="E573" s="2" t="s">
        <v>244</v>
      </c>
      <c r="F573" s="4" t="s">
        <v>138</v>
      </c>
      <c r="G573" s="4" t="s">
        <v>245</v>
      </c>
      <c r="H573" s="5">
        <v>6.5</v>
      </c>
      <c r="I573" s="5">
        <v>7.2</v>
      </c>
      <c r="J573" s="5">
        <v>8.1999999999999993</v>
      </c>
      <c r="K573" s="4" t="s">
        <v>111</v>
      </c>
      <c r="L573" s="4" t="s">
        <v>112</v>
      </c>
      <c r="M573" s="6">
        <f>IF(OR(B573="",I573=""),"",B573*I573)</f>
        <v>4291.2</v>
      </c>
      <c r="N573" s="28" t="s">
        <v>113</v>
      </c>
      <c r="O573" s="26">
        <v>62949</v>
      </c>
      <c r="P573" s="9" t="s">
        <v>864</v>
      </c>
      <c r="Q573" s="27">
        <v>11309051</v>
      </c>
      <c r="R573" s="27">
        <v>75101830</v>
      </c>
      <c r="S573" s="23">
        <f>IF(AND(ISNUMBER(Q573),Q573&gt;0,ISNUMBER(R573),R573&gt;0),R573/Q573,"")</f>
        <v>6.6408604930687822</v>
      </c>
      <c r="T573" s="9" t="s">
        <v>115</v>
      </c>
      <c r="U573" s="9" t="s">
        <v>281</v>
      </c>
      <c r="V573" s="9" t="s">
        <v>21</v>
      </c>
      <c r="W573" s="9" t="s">
        <v>865</v>
      </c>
      <c r="X573" s="23">
        <f>IF(ISNUMBER(S573),S573,IF(ISNUMBER(I573),I573,""))</f>
        <v>6.6408604930687822</v>
      </c>
      <c r="Y573" t="str">
        <f>IF(ISNUMBER(S573),"2025 EIA-923 plant/group proxy",IF(ISNUMBER(I573),"Technology estimate","No thermal heat rate"))</f>
        <v>2025 EIA-923 plant/group proxy</v>
      </c>
      <c r="Z573" t="str">
        <f>IF(ISNUMBER(S573),"Review: NOT unit verified",IF(AE573="No match","No EIA match",IF(AF573="Unconfirmed","Unconfirmed EIA candidate","")))</f>
        <v>Review: NOT unit verified</v>
      </c>
      <c r="AA573" s="26">
        <v>0.64019999999999999</v>
      </c>
      <c r="AB573" t="s">
        <v>322</v>
      </c>
      <c r="AC573" t="s">
        <v>866</v>
      </c>
      <c r="AD573" s="26">
        <v>1788.5</v>
      </c>
      <c r="AE573" t="s">
        <v>120</v>
      </c>
      <c r="AF573" t="s">
        <v>145</v>
      </c>
      <c r="AG573" s="27">
        <v>6.6409000000000002</v>
      </c>
      <c r="AH573" s="34">
        <f t="shared" si="22"/>
        <v>60169.199999999961</v>
      </c>
      <c r="AI573">
        <f t="shared" si="21"/>
        <v>37574.611865901476</v>
      </c>
      <c r="AJ573" t="b" cm="1">
        <f t="array" ref="AJ573">OR(D573=$AT$2:$AT$8)</f>
        <v>0</v>
      </c>
    </row>
    <row r="574" spans="1:36" x14ac:dyDescent="0.25">
      <c r="A574" s="2" t="s">
        <v>868</v>
      </c>
      <c r="B574" s="3">
        <v>594.9</v>
      </c>
      <c r="C574" s="2" t="s">
        <v>99</v>
      </c>
      <c r="D574" s="2" t="s">
        <v>81</v>
      </c>
      <c r="E574" s="2" t="s">
        <v>244</v>
      </c>
      <c r="F574" s="4" t="s">
        <v>138</v>
      </c>
      <c r="G574" s="4" t="s">
        <v>245</v>
      </c>
      <c r="H574" s="5">
        <v>6.5</v>
      </c>
      <c r="I574" s="5">
        <v>7.2</v>
      </c>
      <c r="J574" s="5">
        <v>8.1999999999999993</v>
      </c>
      <c r="K574" s="4" t="s">
        <v>111</v>
      </c>
      <c r="L574" s="4" t="s">
        <v>112</v>
      </c>
      <c r="M574" s="6">
        <f>IF(OR(B574="",I574=""),"",B574*I574)</f>
        <v>4283.28</v>
      </c>
      <c r="N574" s="28" t="s">
        <v>113</v>
      </c>
      <c r="O574" s="26">
        <v>62949</v>
      </c>
      <c r="P574" s="9" t="s">
        <v>864</v>
      </c>
      <c r="Q574" s="27">
        <v>11309051</v>
      </c>
      <c r="R574" s="27">
        <v>75101830</v>
      </c>
      <c r="S574" s="23">
        <f>IF(AND(ISNUMBER(Q574),Q574&gt;0,ISNUMBER(R574),R574&gt;0),R574/Q574,"")</f>
        <v>6.6408604930687822</v>
      </c>
      <c r="T574" s="9" t="s">
        <v>115</v>
      </c>
      <c r="U574" s="9" t="s">
        <v>281</v>
      </c>
      <c r="V574" s="9" t="s">
        <v>21</v>
      </c>
      <c r="W574" s="9" t="s">
        <v>865</v>
      </c>
      <c r="X574" s="23">
        <f>IF(ISNUMBER(S574),S574,IF(ISNUMBER(I574),I574,""))</f>
        <v>6.6408604930687822</v>
      </c>
      <c r="Y574" t="str">
        <f>IF(ISNUMBER(S574),"2025 EIA-923 plant/group proxy",IF(ISNUMBER(I574),"Technology estimate","No thermal heat rate"))</f>
        <v>2025 EIA-923 plant/group proxy</v>
      </c>
      <c r="Z574" t="str">
        <f>IF(ISNUMBER(S574),"Review: NOT unit verified",IF(AE574="No match","No EIA match",IF(AF574="Unconfirmed","Unconfirmed EIA candidate","")))</f>
        <v>Review: NOT unit verified</v>
      </c>
      <c r="AA574" s="26">
        <v>0.64019999999999999</v>
      </c>
      <c r="AB574" t="s">
        <v>322</v>
      </c>
      <c r="AC574" t="s">
        <v>866</v>
      </c>
      <c r="AD574" s="26">
        <v>1788.5</v>
      </c>
      <c r="AE574" t="s">
        <v>120</v>
      </c>
      <c r="AF574" t="s">
        <v>145</v>
      </c>
      <c r="AG574" s="27">
        <v>6.6409000000000002</v>
      </c>
      <c r="AH574" s="34">
        <f t="shared" si="22"/>
        <v>60764.099999999962</v>
      </c>
      <c r="AI574">
        <f t="shared" si="21"/>
        <v>37946.116499485186</v>
      </c>
      <c r="AJ574" t="b" cm="1">
        <f t="array" ref="AJ574">OR(D574=$AT$2:$AT$8)</f>
        <v>0</v>
      </c>
    </row>
    <row r="575" spans="1:36" x14ac:dyDescent="0.25">
      <c r="A575" s="2" t="s">
        <v>1679</v>
      </c>
      <c r="B575" s="3">
        <v>1150</v>
      </c>
      <c r="C575" s="2" t="s">
        <v>97</v>
      </c>
      <c r="D575" s="2" t="s">
        <v>97</v>
      </c>
      <c r="E575" s="2" t="s">
        <v>244</v>
      </c>
      <c r="F575" s="4" t="s">
        <v>138</v>
      </c>
      <c r="G575" s="4" t="s">
        <v>245</v>
      </c>
      <c r="H575" s="5">
        <v>6.5</v>
      </c>
      <c r="I575" s="5">
        <v>7.2</v>
      </c>
      <c r="J575" s="5">
        <v>8.1999999999999993</v>
      </c>
      <c r="K575" s="4" t="s">
        <v>111</v>
      </c>
      <c r="L575" s="4" t="s">
        <v>112</v>
      </c>
      <c r="M575" s="6">
        <f>IF(OR(B575="",I575=""),"",B575*I575)</f>
        <v>8280</v>
      </c>
      <c r="N575" s="25" t="s">
        <v>113</v>
      </c>
      <c r="O575" s="26">
        <v>63931</v>
      </c>
      <c r="P575" s="9" t="s">
        <v>1680</v>
      </c>
      <c r="Q575" s="27">
        <v>6456046</v>
      </c>
      <c r="R575" s="27">
        <v>43371450</v>
      </c>
      <c r="S575" s="23">
        <f>IF(AND(ISNUMBER(Q575),Q575&gt;0,ISNUMBER(R575),R575&gt;0),R575/Q575,"")</f>
        <v>6.7179586390803285</v>
      </c>
      <c r="T575" s="9" t="s">
        <v>115</v>
      </c>
      <c r="U575" s="9" t="s">
        <v>281</v>
      </c>
      <c r="V575" s="9" t="s">
        <v>21</v>
      </c>
      <c r="W575" s="9" t="s">
        <v>217</v>
      </c>
      <c r="X575" s="23">
        <f>IF(ISNUMBER(S575),S575,IF(ISNUMBER(I575),I575,""))</f>
        <v>6.7179586390803285</v>
      </c>
      <c r="Y575" t="str">
        <f>IF(ISNUMBER(S575),"2025 EIA-923 plant/group proxy",IF(ISNUMBER(I575),"Technology estimate","No thermal heat rate"))</f>
        <v>2025 EIA-923 plant/group proxy</v>
      </c>
      <c r="Z575" t="str">
        <f>IF(ISNUMBER(S575),"Review: NOT unit verified",IF(AE575="No match","No EIA match",IF(AF575="Unconfirmed","Unconfirmed EIA candidate","")))</f>
        <v>Review: NOT unit verified</v>
      </c>
      <c r="AA575" s="26">
        <v>0.83840000000000003</v>
      </c>
      <c r="AB575" t="s">
        <v>166</v>
      </c>
      <c r="AC575" t="s">
        <v>368</v>
      </c>
      <c r="AD575" s="26">
        <v>1220.9000000000001</v>
      </c>
      <c r="AE575" t="s">
        <v>120</v>
      </c>
      <c r="AF575" t="s">
        <v>121</v>
      </c>
      <c r="AG575" s="27">
        <v>6.718</v>
      </c>
      <c r="AH575" s="34">
        <f t="shared" si="22"/>
        <v>61914.099999999962</v>
      </c>
      <c r="AI575">
        <f t="shared" si="21"/>
        <v>38664.271363531683</v>
      </c>
      <c r="AJ575" t="b" cm="1">
        <f t="array" ref="AJ575">OR(D575=$AT$2:$AT$8)</f>
        <v>0</v>
      </c>
    </row>
    <row r="576" spans="1:36" x14ac:dyDescent="0.25">
      <c r="A576" s="2" t="s">
        <v>619</v>
      </c>
      <c r="B576" s="3">
        <v>167</v>
      </c>
      <c r="C576" s="2" t="s">
        <v>99</v>
      </c>
      <c r="D576" s="2" t="s">
        <v>81</v>
      </c>
      <c r="E576" s="2" t="s">
        <v>244</v>
      </c>
      <c r="F576" s="4" t="s">
        <v>138</v>
      </c>
      <c r="G576" s="4" t="s">
        <v>245</v>
      </c>
      <c r="H576" s="5">
        <v>6.5</v>
      </c>
      <c r="I576" s="5">
        <v>7.2</v>
      </c>
      <c r="J576" s="5">
        <v>8.1999999999999993</v>
      </c>
      <c r="K576" s="4" t="s">
        <v>111</v>
      </c>
      <c r="L576" s="4" t="s">
        <v>112</v>
      </c>
      <c r="M576" s="6">
        <f>IF(OR(B576="",I576=""),"",B576*I576)</f>
        <v>1202.4000000000001</v>
      </c>
      <c r="N576" s="25" t="s">
        <v>113</v>
      </c>
      <c r="O576" s="26">
        <v>55350</v>
      </c>
      <c r="P576" s="9" t="s">
        <v>620</v>
      </c>
      <c r="Q576" s="27">
        <v>4189180</v>
      </c>
      <c r="R576" s="27">
        <v>28402131</v>
      </c>
      <c r="S576" s="23">
        <f>IF(AND(ISNUMBER(Q576),Q576&gt;0,ISNUMBER(R576),R576&gt;0),R576/Q576,"")</f>
        <v>6.7798784010235895</v>
      </c>
      <c r="T576" s="9" t="s">
        <v>115</v>
      </c>
      <c r="U576" s="9" t="s">
        <v>331</v>
      </c>
      <c r="V576" s="9" t="s">
        <v>21</v>
      </c>
      <c r="W576" s="9" t="s">
        <v>117</v>
      </c>
      <c r="X576" s="23">
        <f>IF(ISNUMBER(S576),S576,IF(ISNUMBER(I576),I576,""))</f>
        <v>6.7798784010235895</v>
      </c>
      <c r="Y576" t="str">
        <f>IF(ISNUMBER(S576),"2025 EIA-923 plant/group proxy",IF(ISNUMBER(I576),"Technology estimate","No thermal heat rate"))</f>
        <v>2025 EIA-923 plant/group proxy</v>
      </c>
      <c r="Z576" t="str">
        <f>IF(ISNUMBER(S576),"Review: NOT unit verified",IF(AE576="No match","No EIA match",IF(AF576="Unconfirmed","Unconfirmed EIA candidate","")))</f>
        <v>Review: NOT unit verified</v>
      </c>
      <c r="AA576" s="26">
        <v>1</v>
      </c>
      <c r="AB576" t="s">
        <v>322</v>
      </c>
      <c r="AC576" t="s">
        <v>119</v>
      </c>
      <c r="AD576" s="26">
        <v>540</v>
      </c>
      <c r="AE576" t="s">
        <v>120</v>
      </c>
      <c r="AF576" t="s">
        <v>121</v>
      </c>
      <c r="AG576" s="27">
        <v>6.7798999999999996</v>
      </c>
      <c r="AH576" s="34">
        <f t="shared" si="22"/>
        <v>62081.099999999962</v>
      </c>
      <c r="AI576">
        <f t="shared" si="21"/>
        <v>38768.559939441046</v>
      </c>
      <c r="AJ576" t="b" cm="1">
        <f t="array" ref="AJ576">OR(D576=$AT$2:$AT$8)</f>
        <v>0</v>
      </c>
    </row>
    <row r="577" spans="1:36" x14ac:dyDescent="0.25">
      <c r="A577" s="2" t="s">
        <v>621</v>
      </c>
      <c r="B577" s="3">
        <v>167</v>
      </c>
      <c r="C577" s="2" t="s">
        <v>99</v>
      </c>
      <c r="D577" s="2" t="s">
        <v>81</v>
      </c>
      <c r="E577" s="2" t="s">
        <v>244</v>
      </c>
      <c r="F577" s="4" t="s">
        <v>138</v>
      </c>
      <c r="G577" s="4" t="s">
        <v>245</v>
      </c>
      <c r="H577" s="5">
        <v>6.5</v>
      </c>
      <c r="I577" s="5">
        <v>7.2</v>
      </c>
      <c r="J577" s="5">
        <v>8.1999999999999993</v>
      </c>
      <c r="K577" s="4" t="s">
        <v>111</v>
      </c>
      <c r="L577" s="4" t="s">
        <v>112</v>
      </c>
      <c r="M577" s="6">
        <f>IF(OR(B577="",I577=""),"",B577*I577)</f>
        <v>1202.4000000000001</v>
      </c>
      <c r="N577" s="25" t="s">
        <v>113</v>
      </c>
      <c r="O577" s="26">
        <v>55350</v>
      </c>
      <c r="P577" s="9" t="s">
        <v>620</v>
      </c>
      <c r="Q577" s="27">
        <v>4189180</v>
      </c>
      <c r="R577" s="27">
        <v>28402131</v>
      </c>
      <c r="S577" s="23">
        <f>IF(AND(ISNUMBER(Q577),Q577&gt;0,ISNUMBER(R577),R577&gt;0),R577/Q577,"")</f>
        <v>6.7798784010235895</v>
      </c>
      <c r="T577" s="9" t="s">
        <v>115</v>
      </c>
      <c r="U577" s="9" t="s">
        <v>331</v>
      </c>
      <c r="V577" s="9" t="s">
        <v>21</v>
      </c>
      <c r="W577" s="9" t="s">
        <v>117</v>
      </c>
      <c r="X577" s="23">
        <f>IF(ISNUMBER(S577),S577,IF(ISNUMBER(I577),I577,""))</f>
        <v>6.7798784010235895</v>
      </c>
      <c r="Y577" t="str">
        <f>IF(ISNUMBER(S577),"2025 EIA-923 plant/group proxy",IF(ISNUMBER(I577),"Technology estimate","No thermal heat rate"))</f>
        <v>2025 EIA-923 plant/group proxy</v>
      </c>
      <c r="Z577" t="str">
        <f>IF(ISNUMBER(S577),"Review: NOT unit verified",IF(AE577="No match","No EIA match",IF(AF577="Unconfirmed","Unconfirmed EIA candidate","")))</f>
        <v>Review: NOT unit verified</v>
      </c>
      <c r="AA577" s="26">
        <v>1</v>
      </c>
      <c r="AB577" t="s">
        <v>322</v>
      </c>
      <c r="AC577" t="s">
        <v>119</v>
      </c>
      <c r="AD577" s="26">
        <v>540</v>
      </c>
      <c r="AE577" t="s">
        <v>120</v>
      </c>
      <c r="AF577" t="s">
        <v>121</v>
      </c>
      <c r="AG577" s="27">
        <v>6.7798999999999996</v>
      </c>
      <c r="AH577" s="34">
        <f t="shared" si="22"/>
        <v>62248.099999999962</v>
      </c>
      <c r="AI577">
        <f t="shared" si="21"/>
        <v>38872.848515350408</v>
      </c>
      <c r="AJ577" t="b" cm="1">
        <f t="array" ref="AJ577">OR(D577=$AT$2:$AT$8)</f>
        <v>0</v>
      </c>
    </row>
    <row r="578" spans="1:36" x14ac:dyDescent="0.25">
      <c r="A578" s="2" t="s">
        <v>624</v>
      </c>
      <c r="B578" s="3">
        <v>236</v>
      </c>
      <c r="C578" s="2" t="s">
        <v>99</v>
      </c>
      <c r="D578" s="2" t="s">
        <v>81</v>
      </c>
      <c r="E578" s="2" t="s">
        <v>244</v>
      </c>
      <c r="F578" s="4" t="s">
        <v>138</v>
      </c>
      <c r="G578" s="4" t="s">
        <v>245</v>
      </c>
      <c r="H578" s="5">
        <v>6.5</v>
      </c>
      <c r="I578" s="5">
        <v>7.2</v>
      </c>
      <c r="J578" s="5">
        <v>8.1999999999999993</v>
      </c>
      <c r="K578" s="4" t="s">
        <v>111</v>
      </c>
      <c r="L578" s="4" t="s">
        <v>112</v>
      </c>
      <c r="M578" s="6">
        <f>IF(OR(B578="",I578=""),"",B578*I578)</f>
        <v>1699.2</v>
      </c>
      <c r="N578" s="25" t="s">
        <v>113</v>
      </c>
      <c r="O578" s="26">
        <v>55350</v>
      </c>
      <c r="P578" s="9" t="s">
        <v>620</v>
      </c>
      <c r="Q578" s="27">
        <v>4189180</v>
      </c>
      <c r="R578" s="27">
        <v>28402131</v>
      </c>
      <c r="S578" s="23">
        <f>IF(AND(ISNUMBER(Q578),Q578&gt;0,ISNUMBER(R578),R578&gt;0),R578/Q578,"")</f>
        <v>6.7798784010235895</v>
      </c>
      <c r="T578" s="9" t="s">
        <v>115</v>
      </c>
      <c r="U578" s="9" t="s">
        <v>331</v>
      </c>
      <c r="V578" s="9" t="s">
        <v>21</v>
      </c>
      <c r="W578" s="9" t="s">
        <v>117</v>
      </c>
      <c r="X578" s="23">
        <f>IF(ISNUMBER(S578),S578,IF(ISNUMBER(I578),I578,""))</f>
        <v>6.7798784010235895</v>
      </c>
      <c r="Y578" t="str">
        <f>IF(ISNUMBER(S578),"2025 EIA-923 plant/group proxy",IF(ISNUMBER(I578),"Technology estimate","No thermal heat rate"))</f>
        <v>2025 EIA-923 plant/group proxy</v>
      </c>
      <c r="Z578" t="str">
        <f>IF(ISNUMBER(S578),"Review: NOT unit verified",IF(AE578="No match","No EIA match",IF(AF578="Unconfirmed","Unconfirmed EIA candidate","")))</f>
        <v>Review: NOT unit verified</v>
      </c>
      <c r="AA578" s="26">
        <v>1</v>
      </c>
      <c r="AB578" t="s">
        <v>322</v>
      </c>
      <c r="AC578" t="s">
        <v>119</v>
      </c>
      <c r="AD578" s="26">
        <v>540</v>
      </c>
      <c r="AE578" t="s">
        <v>120</v>
      </c>
      <c r="AF578" t="s">
        <v>121</v>
      </c>
      <c r="AG578" s="27">
        <v>6.7798999999999996</v>
      </c>
      <c r="AH578" s="34">
        <f t="shared" si="22"/>
        <v>62484.099999999962</v>
      </c>
      <c r="AI578">
        <f t="shared" si="21"/>
        <v>39020.226383102556</v>
      </c>
      <c r="AJ578" t="b" cm="1">
        <f t="array" ref="AJ578">OR(D578=$AT$2:$AT$8)</f>
        <v>0</v>
      </c>
    </row>
    <row r="579" spans="1:36" x14ac:dyDescent="0.25">
      <c r="A579" s="2" t="s">
        <v>1316</v>
      </c>
      <c r="B579" s="3">
        <v>823.4</v>
      </c>
      <c r="C579" s="2" t="s">
        <v>147</v>
      </c>
      <c r="D579" s="2" t="s">
        <v>147</v>
      </c>
      <c r="E579" s="2" t="s">
        <v>244</v>
      </c>
      <c r="F579" s="4" t="s">
        <v>138</v>
      </c>
      <c r="G579" s="4" t="s">
        <v>245</v>
      </c>
      <c r="H579" s="5">
        <v>6.5</v>
      </c>
      <c r="I579" s="5">
        <v>7.2</v>
      </c>
      <c r="J579" s="5">
        <v>8.1999999999999993</v>
      </c>
      <c r="K579" s="4" t="s">
        <v>111</v>
      </c>
      <c r="L579" s="4" t="s">
        <v>112</v>
      </c>
      <c r="M579" s="6">
        <f>IF(OR(B579="",I579=""),"",B579*I579)</f>
        <v>5928.48</v>
      </c>
      <c r="N579" s="28" t="s">
        <v>113</v>
      </c>
      <c r="O579" s="26">
        <v>59764</v>
      </c>
      <c r="P579" s="9" t="s">
        <v>1317</v>
      </c>
      <c r="Q579" s="27">
        <v>5609595</v>
      </c>
      <c r="R579" s="27">
        <v>38551684</v>
      </c>
      <c r="S579" s="23">
        <f>IF(AND(ISNUMBER(Q579),Q579&gt;0,ISNUMBER(R579),R579&gt;0),R579/Q579,"")</f>
        <v>6.8724540719962848</v>
      </c>
      <c r="T579" s="9" t="s">
        <v>115</v>
      </c>
      <c r="U579" s="9" t="s">
        <v>331</v>
      </c>
      <c r="V579" s="9" t="s">
        <v>21</v>
      </c>
      <c r="W579" s="9" t="s">
        <v>142</v>
      </c>
      <c r="X579" s="23">
        <f>IF(ISNUMBER(S579),S579,IF(ISNUMBER(I579),I579,""))</f>
        <v>6.8724540719962848</v>
      </c>
      <c r="Y579" t="str">
        <f>IF(ISNUMBER(S579),"2025 EIA-923 plant/group proxy",IF(ISNUMBER(I579),"Technology estimate","No thermal heat rate"))</f>
        <v>2025 EIA-923 plant/group proxy</v>
      </c>
      <c r="Z579" t="str">
        <f>IF(ISNUMBER(S579),"Review: NOT unit verified",IF(AE579="No match","No EIA match",IF(AF579="Unconfirmed","Unconfirmed EIA candidate","")))</f>
        <v>Review: NOT unit verified</v>
      </c>
      <c r="AA579" s="26">
        <v>0.76639999999999997</v>
      </c>
      <c r="AB579" t="s">
        <v>322</v>
      </c>
      <c r="AC579" t="s">
        <v>1318</v>
      </c>
      <c r="AD579" s="26">
        <v>816.9</v>
      </c>
      <c r="AE579" t="s">
        <v>120</v>
      </c>
      <c r="AF579" t="s">
        <v>145</v>
      </c>
      <c r="AG579" s="27">
        <v>6.8724999999999996</v>
      </c>
      <c r="AH579" s="34">
        <f t="shared" si="22"/>
        <v>63307.499999999964</v>
      </c>
      <c r="AI579">
        <f t="shared" ref="AI579:AI642" si="23">AH579*$AK$1</f>
        <v>39534.425265759855</v>
      </c>
      <c r="AJ579" t="b" cm="1">
        <f t="array" ref="AJ579">OR(D579=$AT$2:$AT$8)</f>
        <v>0</v>
      </c>
    </row>
    <row r="580" spans="1:36" x14ac:dyDescent="0.25">
      <c r="A580" s="2" t="s">
        <v>1748</v>
      </c>
      <c r="B580" s="3">
        <v>1370</v>
      </c>
      <c r="C580" s="2" t="s">
        <v>78</v>
      </c>
      <c r="D580" s="2" t="s">
        <v>78</v>
      </c>
      <c r="E580" s="2" t="s">
        <v>244</v>
      </c>
      <c r="F580" s="4" t="s">
        <v>138</v>
      </c>
      <c r="G580" s="4" t="s">
        <v>245</v>
      </c>
      <c r="H580" s="5">
        <v>6.5</v>
      </c>
      <c r="I580" s="5">
        <v>7.2</v>
      </c>
      <c r="J580" s="5">
        <v>8.1999999999999993</v>
      </c>
      <c r="K580" s="4" t="s">
        <v>111</v>
      </c>
      <c r="L580" s="4" t="s">
        <v>112</v>
      </c>
      <c r="M580" s="6">
        <f>IF(OR(B580="",I580=""),"",B580*I580)</f>
        <v>9864</v>
      </c>
      <c r="N580" s="25" t="s">
        <v>113</v>
      </c>
      <c r="O580" s="26">
        <v>55939</v>
      </c>
      <c r="P580" s="9" t="s">
        <v>1749</v>
      </c>
      <c r="Q580" s="27">
        <v>8696953</v>
      </c>
      <c r="R580" s="27">
        <v>60111851</v>
      </c>
      <c r="S580" s="23">
        <f>IF(AND(ISNUMBER(Q580),Q580&gt;0,ISNUMBER(R580),R580&gt;0),R580/Q580,"")</f>
        <v>6.9118288899572065</v>
      </c>
      <c r="T580" s="9" t="s">
        <v>115</v>
      </c>
      <c r="U580" s="9" t="s">
        <v>340</v>
      </c>
      <c r="V580" s="9" t="s">
        <v>21</v>
      </c>
      <c r="W580" s="9" t="s">
        <v>217</v>
      </c>
      <c r="X580" s="23">
        <f>IF(ISNUMBER(S580),S580,IF(ISNUMBER(I580),I580,""))</f>
        <v>6.9118288899572065</v>
      </c>
      <c r="Y580" t="str">
        <f>IF(ISNUMBER(S580),"2025 EIA-923 plant/group proxy",IF(ISNUMBER(I580),"Technology estimate","No thermal heat rate"))</f>
        <v>2025 EIA-923 plant/group proxy</v>
      </c>
      <c r="Z580" t="str">
        <f>IF(ISNUMBER(S580),"Review: NOT unit verified",IF(AE580="No match","No EIA match",IF(AF580="Unconfirmed","Unconfirmed EIA candidate","")))</f>
        <v>Review: NOT unit verified</v>
      </c>
      <c r="AA580" s="26">
        <v>1</v>
      </c>
      <c r="AB580" t="s">
        <v>201</v>
      </c>
      <c r="AC580" t="s">
        <v>341</v>
      </c>
      <c r="AD580" s="26">
        <v>1369.9</v>
      </c>
      <c r="AE580" t="s">
        <v>120</v>
      </c>
      <c r="AF580" t="s">
        <v>121</v>
      </c>
      <c r="AG580" s="27">
        <v>6.9118000000000004</v>
      </c>
      <c r="AH580" s="34">
        <f t="shared" ref="AH580:AH643" si="24">AH579+B580</f>
        <v>64677.499999999964</v>
      </c>
      <c r="AI580">
        <f t="shared" si="23"/>
        <v>40389.966277710904</v>
      </c>
      <c r="AJ580" t="b" cm="1">
        <f t="array" ref="AJ580">OR(D580=$AT$2:$AT$8)</f>
        <v>1</v>
      </c>
    </row>
    <row r="581" spans="1:36" x14ac:dyDescent="0.25">
      <c r="A581" s="2" t="s">
        <v>1759</v>
      </c>
      <c r="B581" s="3">
        <v>364.8</v>
      </c>
      <c r="C581" s="2" t="s">
        <v>99</v>
      </c>
      <c r="D581" s="2" t="s">
        <v>81</v>
      </c>
      <c r="E581" s="2" t="s">
        <v>244</v>
      </c>
      <c r="F581" s="4" t="s">
        <v>138</v>
      </c>
      <c r="G581" s="4" t="s">
        <v>245</v>
      </c>
      <c r="H581" s="5">
        <v>6.5</v>
      </c>
      <c r="I581" s="5">
        <v>7.2</v>
      </c>
      <c r="J581" s="5">
        <v>8.1999999999999993</v>
      </c>
      <c r="K581" s="4" t="s">
        <v>111</v>
      </c>
      <c r="L581" s="4" t="s">
        <v>112</v>
      </c>
      <c r="M581" s="6">
        <f>IF(OR(B581="",I581=""),"",B581*I581)</f>
        <v>2626.56</v>
      </c>
      <c r="N581" s="25" t="s">
        <v>113</v>
      </c>
      <c r="O581" s="26">
        <v>55503</v>
      </c>
      <c r="P581" s="9" t="s">
        <v>1760</v>
      </c>
      <c r="Q581" s="27">
        <v>5173270</v>
      </c>
      <c r="R581" s="27">
        <v>36255541</v>
      </c>
      <c r="S581" s="23">
        <f>IF(AND(ISNUMBER(Q581),Q581&gt;0,ISNUMBER(R581),R581&gt;0),R581/Q581,"")</f>
        <v>7.0082444952612182</v>
      </c>
      <c r="T581" s="9" t="s">
        <v>115</v>
      </c>
      <c r="U581" s="9" t="s">
        <v>331</v>
      </c>
      <c r="V581" s="9" t="s">
        <v>21</v>
      </c>
      <c r="W581" s="9" t="s">
        <v>528</v>
      </c>
      <c r="X581" s="23">
        <f>IF(ISNUMBER(S581),S581,IF(ISNUMBER(I581),I581,""))</f>
        <v>7.0082444952612182</v>
      </c>
      <c r="Y581" t="str">
        <f>IF(ISNUMBER(S581),"2025 EIA-923 plant/group proxy",IF(ISNUMBER(I581),"Technology estimate","No thermal heat rate"))</f>
        <v>2025 EIA-923 plant/group proxy</v>
      </c>
      <c r="Z581" t="str">
        <f>IF(ISNUMBER(S581),"Review: NOT unit verified",IF(AE581="No match","No EIA match",IF(AF581="Unconfirmed","Unconfirmed EIA candidate","")))</f>
        <v>Review: NOT unit verified</v>
      </c>
      <c r="AA581" s="26">
        <v>1</v>
      </c>
      <c r="AB581" t="s">
        <v>322</v>
      </c>
      <c r="AC581" t="s">
        <v>1761</v>
      </c>
      <c r="AD581" s="26">
        <v>874.6</v>
      </c>
      <c r="AE581" t="s">
        <v>120</v>
      </c>
      <c r="AF581" t="s">
        <v>121</v>
      </c>
      <c r="AG581" s="27">
        <v>7.0082000000000004</v>
      </c>
      <c r="AH581" s="34">
        <f t="shared" si="24"/>
        <v>65042.299999999967</v>
      </c>
      <c r="AI581">
        <f t="shared" si="23"/>
        <v>40617.777490236265</v>
      </c>
      <c r="AJ581" t="b" cm="1">
        <f t="array" ref="AJ581">OR(D581=$AT$2:$AT$8)</f>
        <v>0</v>
      </c>
    </row>
    <row r="582" spans="1:36" x14ac:dyDescent="0.25">
      <c r="A582" s="2" t="s">
        <v>1762</v>
      </c>
      <c r="B582" s="3">
        <v>168</v>
      </c>
      <c r="C582" s="2" t="s">
        <v>99</v>
      </c>
      <c r="D582" s="2" t="s">
        <v>81</v>
      </c>
      <c r="E582" s="2" t="s">
        <v>244</v>
      </c>
      <c r="F582" s="4" t="s">
        <v>138</v>
      </c>
      <c r="G582" s="4" t="s">
        <v>245</v>
      </c>
      <c r="H582" s="5">
        <v>6.5</v>
      </c>
      <c r="I582" s="5">
        <v>7.2</v>
      </c>
      <c r="J582" s="5">
        <v>8.1999999999999993</v>
      </c>
      <c r="K582" s="4" t="s">
        <v>111</v>
      </c>
      <c r="L582" s="4" t="s">
        <v>112</v>
      </c>
      <c r="M582" s="6">
        <f>IF(OR(B582="",I582=""),"",B582*I582)</f>
        <v>1209.6000000000001</v>
      </c>
      <c r="N582" s="25" t="s">
        <v>113</v>
      </c>
      <c r="O582" s="26">
        <v>55503</v>
      </c>
      <c r="P582" s="9" t="s">
        <v>1760</v>
      </c>
      <c r="Q582" s="27">
        <v>5173270</v>
      </c>
      <c r="R582" s="27">
        <v>36255541</v>
      </c>
      <c r="S582" s="23">
        <f>IF(AND(ISNUMBER(Q582),Q582&gt;0,ISNUMBER(R582),R582&gt;0),R582/Q582,"")</f>
        <v>7.0082444952612182</v>
      </c>
      <c r="T582" s="9" t="s">
        <v>115</v>
      </c>
      <c r="U582" s="9" t="s">
        <v>331</v>
      </c>
      <c r="V582" s="9" t="s">
        <v>21</v>
      </c>
      <c r="W582" s="9" t="s">
        <v>528</v>
      </c>
      <c r="X582" s="23">
        <f>IF(ISNUMBER(S582),S582,IF(ISNUMBER(I582),I582,""))</f>
        <v>7.0082444952612182</v>
      </c>
      <c r="Y582" t="str">
        <f>IF(ISNUMBER(S582),"2025 EIA-923 plant/group proxy",IF(ISNUMBER(I582),"Technology estimate","No thermal heat rate"))</f>
        <v>2025 EIA-923 plant/group proxy</v>
      </c>
      <c r="Z582" t="str">
        <f>IF(ISNUMBER(S582),"Review: NOT unit verified",IF(AE582="No match","No EIA match",IF(AF582="Unconfirmed","Unconfirmed EIA candidate","")))</f>
        <v>Review: NOT unit verified</v>
      </c>
      <c r="AA582" s="26">
        <v>1</v>
      </c>
      <c r="AB582" t="s">
        <v>322</v>
      </c>
      <c r="AC582" t="s">
        <v>1761</v>
      </c>
      <c r="AD582" s="26">
        <v>874.6</v>
      </c>
      <c r="AE582" t="s">
        <v>120</v>
      </c>
      <c r="AF582" t="s">
        <v>121</v>
      </c>
      <c r="AG582" s="27">
        <v>7.0082000000000004</v>
      </c>
      <c r="AH582" s="34">
        <f t="shared" si="24"/>
        <v>65210.299999999967</v>
      </c>
      <c r="AI582">
        <f t="shared" si="23"/>
        <v>40722.690548636099</v>
      </c>
      <c r="AJ582" t="b" cm="1">
        <f t="array" ref="AJ582">OR(D582=$AT$2:$AT$8)</f>
        <v>0</v>
      </c>
    </row>
    <row r="583" spans="1:36" x14ac:dyDescent="0.25">
      <c r="A583" s="2" t="s">
        <v>1763</v>
      </c>
      <c r="B583" s="3">
        <v>168</v>
      </c>
      <c r="C583" s="2" t="s">
        <v>99</v>
      </c>
      <c r="D583" s="2" t="s">
        <v>81</v>
      </c>
      <c r="E583" s="2" t="s">
        <v>244</v>
      </c>
      <c r="F583" s="4" t="s">
        <v>138</v>
      </c>
      <c r="G583" s="4" t="s">
        <v>245</v>
      </c>
      <c r="H583" s="5">
        <v>6.5</v>
      </c>
      <c r="I583" s="5">
        <v>7.2</v>
      </c>
      <c r="J583" s="5">
        <v>8.1999999999999993</v>
      </c>
      <c r="K583" s="4" t="s">
        <v>111</v>
      </c>
      <c r="L583" s="4" t="s">
        <v>112</v>
      </c>
      <c r="M583" s="6">
        <f>IF(OR(B583="",I583=""),"",B583*I583)</f>
        <v>1209.6000000000001</v>
      </c>
      <c r="N583" s="25" t="s">
        <v>113</v>
      </c>
      <c r="O583" s="26">
        <v>55503</v>
      </c>
      <c r="P583" s="9" t="s">
        <v>1760</v>
      </c>
      <c r="Q583" s="27">
        <v>5173270</v>
      </c>
      <c r="R583" s="27">
        <v>36255541</v>
      </c>
      <c r="S583" s="23">
        <f>IF(AND(ISNUMBER(Q583),Q583&gt;0,ISNUMBER(R583),R583&gt;0),R583/Q583,"")</f>
        <v>7.0082444952612182</v>
      </c>
      <c r="T583" s="9" t="s">
        <v>115</v>
      </c>
      <c r="U583" s="9" t="s">
        <v>331</v>
      </c>
      <c r="V583" s="9" t="s">
        <v>21</v>
      </c>
      <c r="W583" s="9" t="s">
        <v>528</v>
      </c>
      <c r="X583" s="23">
        <f>IF(ISNUMBER(S583),S583,IF(ISNUMBER(I583),I583,""))</f>
        <v>7.0082444952612182</v>
      </c>
      <c r="Y583" t="str">
        <f>IF(ISNUMBER(S583),"2025 EIA-923 plant/group proxy",IF(ISNUMBER(I583),"Technology estimate","No thermal heat rate"))</f>
        <v>2025 EIA-923 plant/group proxy</v>
      </c>
      <c r="Z583" t="str">
        <f>IF(ISNUMBER(S583),"Review: NOT unit verified",IF(AE583="No match","No EIA match",IF(AF583="Unconfirmed","Unconfirmed EIA candidate","")))</f>
        <v>Review: NOT unit verified</v>
      </c>
      <c r="AA583" s="26">
        <v>1</v>
      </c>
      <c r="AB583" t="s">
        <v>322</v>
      </c>
      <c r="AC583" t="s">
        <v>1761</v>
      </c>
      <c r="AD583" s="26">
        <v>874.6</v>
      </c>
      <c r="AE583" t="s">
        <v>120</v>
      </c>
      <c r="AF583" t="s">
        <v>121</v>
      </c>
      <c r="AG583" s="27">
        <v>7.0082000000000004</v>
      </c>
      <c r="AH583" s="34">
        <f t="shared" si="24"/>
        <v>65378.299999999967</v>
      </c>
      <c r="AI583">
        <f t="shared" si="23"/>
        <v>40827.603607035941</v>
      </c>
      <c r="AJ583" t="b" cm="1">
        <f t="array" ref="AJ583">OR(D583=$AT$2:$AT$8)</f>
        <v>0</v>
      </c>
    </row>
    <row r="584" spans="1:36" x14ac:dyDescent="0.25">
      <c r="A584" s="2" t="s">
        <v>1764</v>
      </c>
      <c r="B584" s="3">
        <v>168</v>
      </c>
      <c r="C584" s="2" t="s">
        <v>99</v>
      </c>
      <c r="D584" s="2" t="s">
        <v>81</v>
      </c>
      <c r="E584" s="2" t="s">
        <v>244</v>
      </c>
      <c r="F584" s="4" t="s">
        <v>138</v>
      </c>
      <c r="G584" s="4" t="s">
        <v>245</v>
      </c>
      <c r="H584" s="5">
        <v>6.5</v>
      </c>
      <c r="I584" s="5">
        <v>7.2</v>
      </c>
      <c r="J584" s="5">
        <v>8.1999999999999993</v>
      </c>
      <c r="K584" s="4" t="s">
        <v>111</v>
      </c>
      <c r="L584" s="4" t="s">
        <v>112</v>
      </c>
      <c r="M584" s="6">
        <f>IF(OR(B584="",I584=""),"",B584*I584)</f>
        <v>1209.6000000000001</v>
      </c>
      <c r="N584" s="25" t="s">
        <v>113</v>
      </c>
      <c r="O584" s="26">
        <v>55503</v>
      </c>
      <c r="P584" s="9" t="s">
        <v>1760</v>
      </c>
      <c r="Q584" s="27">
        <v>5173270</v>
      </c>
      <c r="R584" s="27">
        <v>36255541</v>
      </c>
      <c r="S584" s="23">
        <f>IF(AND(ISNUMBER(Q584),Q584&gt;0,ISNUMBER(R584),R584&gt;0),R584/Q584,"")</f>
        <v>7.0082444952612182</v>
      </c>
      <c r="T584" s="9" t="s">
        <v>115</v>
      </c>
      <c r="U584" s="9" t="s">
        <v>331</v>
      </c>
      <c r="V584" s="9" t="s">
        <v>21</v>
      </c>
      <c r="W584" s="9" t="s">
        <v>528</v>
      </c>
      <c r="X584" s="23">
        <f>IF(ISNUMBER(S584),S584,IF(ISNUMBER(I584),I584,""))</f>
        <v>7.0082444952612182</v>
      </c>
      <c r="Y584" t="str">
        <f>IF(ISNUMBER(S584),"2025 EIA-923 plant/group proxy",IF(ISNUMBER(I584),"Technology estimate","No thermal heat rate"))</f>
        <v>2025 EIA-923 plant/group proxy</v>
      </c>
      <c r="Z584" t="str">
        <f>IF(ISNUMBER(S584),"Review: NOT unit verified",IF(AE584="No match","No EIA match",IF(AF584="Unconfirmed","Unconfirmed EIA candidate","")))</f>
        <v>Review: NOT unit verified</v>
      </c>
      <c r="AA584" s="26">
        <v>1</v>
      </c>
      <c r="AB584" t="s">
        <v>322</v>
      </c>
      <c r="AC584" t="s">
        <v>1761</v>
      </c>
      <c r="AD584" s="26">
        <v>874.6</v>
      </c>
      <c r="AE584" t="s">
        <v>120</v>
      </c>
      <c r="AF584" t="s">
        <v>121</v>
      </c>
      <c r="AG584" s="27">
        <v>7.0082000000000004</v>
      </c>
      <c r="AH584" s="34">
        <f t="shared" si="24"/>
        <v>65546.299999999959</v>
      </c>
      <c r="AI584">
        <f t="shared" si="23"/>
        <v>40932.516665435767</v>
      </c>
      <c r="AJ584" t="b" cm="1">
        <f t="array" ref="AJ584">OR(D584=$AT$2:$AT$8)</f>
        <v>0</v>
      </c>
    </row>
    <row r="585" spans="1:36" x14ac:dyDescent="0.25">
      <c r="A585" s="2" t="s">
        <v>338</v>
      </c>
      <c r="B585" s="3">
        <v>1376</v>
      </c>
      <c r="C585" s="2" t="s">
        <v>78</v>
      </c>
      <c r="D585" s="2" t="s">
        <v>78</v>
      </c>
      <c r="E585" s="2" t="s">
        <v>244</v>
      </c>
      <c r="F585" s="4" t="s">
        <v>138</v>
      </c>
      <c r="G585" s="4" t="s">
        <v>245</v>
      </c>
      <c r="H585" s="5">
        <v>6.5</v>
      </c>
      <c r="I585" s="5">
        <v>7.2</v>
      </c>
      <c r="J585" s="5">
        <v>8.1999999999999993</v>
      </c>
      <c r="K585" s="4" t="s">
        <v>111</v>
      </c>
      <c r="L585" s="4" t="s">
        <v>112</v>
      </c>
      <c r="M585" s="6">
        <f>IF(OR(B585="",I585=""),"",B585*I585)</f>
        <v>9907.2000000000007</v>
      </c>
      <c r="N585" s="25" t="s">
        <v>113</v>
      </c>
      <c r="O585" s="26">
        <v>58260</v>
      </c>
      <c r="P585" s="9" t="s">
        <v>339</v>
      </c>
      <c r="Q585" s="27">
        <v>9690280</v>
      </c>
      <c r="R585" s="27">
        <v>68067301</v>
      </c>
      <c r="S585" s="23">
        <f>IF(AND(ISNUMBER(Q585),Q585&gt;0,ISNUMBER(R585),R585&gt;0),R585/Q585,"")</f>
        <v>7.0242862951328551</v>
      </c>
      <c r="T585" s="9" t="s">
        <v>115</v>
      </c>
      <c r="U585" s="9" t="s">
        <v>340</v>
      </c>
      <c r="V585" s="9" t="s">
        <v>21</v>
      </c>
      <c r="W585" s="9" t="s">
        <v>217</v>
      </c>
      <c r="X585" s="23">
        <f>IF(ISNUMBER(S585),S585,IF(ISNUMBER(I585),I585,""))</f>
        <v>7.0242862951328551</v>
      </c>
      <c r="Y585" t="str">
        <f>IF(ISNUMBER(S585),"2025 EIA-923 plant/group proxy",IF(ISNUMBER(I585),"Technology estimate","No thermal heat rate"))</f>
        <v>2025 EIA-923 plant/group proxy</v>
      </c>
      <c r="Z585" t="str">
        <f>IF(ISNUMBER(S585),"Review: NOT unit verified",IF(AE585="No match","No EIA match",IF(AF585="Unconfirmed","Unconfirmed EIA candidate","")))</f>
        <v>Review: NOT unit verified</v>
      </c>
      <c r="AA585" s="26">
        <v>1</v>
      </c>
      <c r="AB585" t="s">
        <v>201</v>
      </c>
      <c r="AC585" t="s">
        <v>341</v>
      </c>
      <c r="AD585" s="26">
        <v>1376</v>
      </c>
      <c r="AE585" t="s">
        <v>120</v>
      </c>
      <c r="AF585" t="s">
        <v>121</v>
      </c>
      <c r="AG585" s="27">
        <v>7.0243000000000002</v>
      </c>
      <c r="AH585" s="34">
        <f t="shared" si="24"/>
        <v>66922.299999999959</v>
      </c>
      <c r="AI585">
        <f t="shared" si="23"/>
        <v>41791.804572329667</v>
      </c>
      <c r="AJ585" t="b" cm="1">
        <f t="array" ref="AJ585">OR(D585=$AT$2:$AT$8)</f>
        <v>1</v>
      </c>
    </row>
    <row r="586" spans="1:36" x14ac:dyDescent="0.25">
      <c r="A586" s="2" t="s">
        <v>1796</v>
      </c>
      <c r="B586" s="3">
        <v>983.5</v>
      </c>
      <c r="C586" s="2" t="s">
        <v>68</v>
      </c>
      <c r="D586" s="2" t="s">
        <v>58</v>
      </c>
      <c r="E586" s="2" t="s">
        <v>244</v>
      </c>
      <c r="F586" s="4" t="s">
        <v>138</v>
      </c>
      <c r="G586" s="4" t="s">
        <v>245</v>
      </c>
      <c r="H586" s="5">
        <v>6.5</v>
      </c>
      <c r="I586" s="5">
        <v>7.2</v>
      </c>
      <c r="J586" s="5">
        <v>8.1999999999999993</v>
      </c>
      <c r="K586" s="4" t="s">
        <v>111</v>
      </c>
      <c r="L586" s="4" t="s">
        <v>112</v>
      </c>
      <c r="M586" s="6">
        <f>IF(OR(B586="",I586=""),"",B586*I586)</f>
        <v>7081.2</v>
      </c>
      <c r="N586" s="25" t="s">
        <v>113</v>
      </c>
      <c r="O586" s="26">
        <v>59220</v>
      </c>
      <c r="P586" s="9" t="s">
        <v>1797</v>
      </c>
      <c r="Q586" s="27">
        <v>3333444</v>
      </c>
      <c r="R586" s="27">
        <v>23424114</v>
      </c>
      <c r="S586" s="23">
        <f>IF(AND(ISNUMBER(Q586),Q586&gt;0,ISNUMBER(R586),R586&gt;0),R586/Q586,"")</f>
        <v>7.0270009035700012</v>
      </c>
      <c r="T586" s="9" t="s">
        <v>115</v>
      </c>
      <c r="U586" s="9" t="s">
        <v>331</v>
      </c>
      <c r="V586" s="9" t="s">
        <v>21</v>
      </c>
      <c r="W586" s="9" t="s">
        <v>217</v>
      </c>
      <c r="X586" s="23">
        <f>IF(ISNUMBER(S586),S586,IF(ISNUMBER(I586),I586,""))</f>
        <v>7.0270009035700012</v>
      </c>
      <c r="Y586" t="str">
        <f>IF(ISNUMBER(S586),"2025 EIA-923 plant/group proxy",IF(ISNUMBER(I586),"Technology estimate","No thermal heat rate"))</f>
        <v>2025 EIA-923 plant/group proxy</v>
      </c>
      <c r="Z586" t="str">
        <f>IF(ISNUMBER(S586),"Review: NOT unit verified",IF(AE586="No match","No EIA match",IF(AF586="Unconfirmed","Unconfirmed EIA candidate","")))</f>
        <v>Review: NOT unit verified</v>
      </c>
      <c r="AA586" s="26">
        <v>1</v>
      </c>
      <c r="AB586" t="s">
        <v>307</v>
      </c>
      <c r="AC586" t="s">
        <v>843</v>
      </c>
      <c r="AD586" s="26">
        <v>991.3</v>
      </c>
      <c r="AE586" t="s">
        <v>120</v>
      </c>
      <c r="AF586" t="s">
        <v>121</v>
      </c>
      <c r="AG586" s="27">
        <v>7.0270000000000001</v>
      </c>
      <c r="AH586" s="34">
        <f t="shared" si="24"/>
        <v>67905.799999999959</v>
      </c>
      <c r="AI586">
        <f t="shared" si="23"/>
        <v>42405.983101712045</v>
      </c>
      <c r="AJ586" t="b" cm="1">
        <f t="array" ref="AJ586">OR(D586=$AT$2:$AT$8)</f>
        <v>0</v>
      </c>
    </row>
    <row r="587" spans="1:36" x14ac:dyDescent="0.25">
      <c r="A587" s="2" t="s">
        <v>212</v>
      </c>
      <c r="B587" s="3">
        <v>628.1</v>
      </c>
      <c r="C587" s="2" t="s">
        <v>78</v>
      </c>
      <c r="D587" s="2" t="s">
        <v>78</v>
      </c>
      <c r="E587" s="2" t="s">
        <v>213</v>
      </c>
      <c r="F587" s="4" t="s">
        <v>126</v>
      </c>
      <c r="G587" s="4" t="s">
        <v>214</v>
      </c>
      <c r="H587" s="5">
        <v>6.6</v>
      </c>
      <c r="I587" s="5">
        <v>7.4</v>
      </c>
      <c r="J587" s="5">
        <v>8.5</v>
      </c>
      <c r="K587" s="4" t="s">
        <v>111</v>
      </c>
      <c r="L587" s="4" t="s">
        <v>128</v>
      </c>
      <c r="M587" s="6">
        <f>IF(OR(B587="",I587=""),"",B587*I587)</f>
        <v>4647.9400000000005</v>
      </c>
      <c r="N587" s="25" t="s">
        <v>113</v>
      </c>
      <c r="O587" s="26">
        <v>56807</v>
      </c>
      <c r="P587" s="9" t="s">
        <v>215</v>
      </c>
      <c r="Q587" s="27">
        <v>3368325</v>
      </c>
      <c r="R587" s="27">
        <v>23787858</v>
      </c>
      <c r="S587" s="23">
        <f>IF(AND(ISNUMBER(Q587),Q587&gt;0,ISNUMBER(R587),R587&gt;0),R587/Q587,"")</f>
        <v>7.0622217274164463</v>
      </c>
      <c r="T587" s="9" t="s">
        <v>115</v>
      </c>
      <c r="U587" s="9" t="s">
        <v>216</v>
      </c>
      <c r="V587" s="9" t="s">
        <v>21</v>
      </c>
      <c r="W587" s="9" t="s">
        <v>217</v>
      </c>
      <c r="X587" s="23">
        <f>IF(ISNUMBER(S587),S587,IF(ISNUMBER(I587),I587,""))</f>
        <v>7.0622217274164463</v>
      </c>
      <c r="Y587" t="str">
        <f>IF(ISNUMBER(S587),"2025 EIA-923 plant/group proxy",IF(ISNUMBER(I587),"Technology estimate","No thermal heat rate"))</f>
        <v>2025 EIA-923 plant/group proxy</v>
      </c>
      <c r="Z587" t="str">
        <f>IF(ISNUMBER(S587),"Review: NOT unit verified",IF(AE587="No match","No EIA match",IF(AF587="Unconfirmed","Unconfirmed EIA candidate","")))</f>
        <v>Review: NOT unit verified</v>
      </c>
      <c r="AA587" s="26">
        <v>1</v>
      </c>
      <c r="AB587" t="s">
        <v>201</v>
      </c>
      <c r="AC587" t="s">
        <v>218</v>
      </c>
      <c r="AD587" s="26">
        <v>628.20000000000005</v>
      </c>
      <c r="AE587" t="s">
        <v>120</v>
      </c>
      <c r="AF587" t="s">
        <v>121</v>
      </c>
      <c r="AG587" s="27">
        <v>7.0621999999999998</v>
      </c>
      <c r="AH587" s="34">
        <f t="shared" si="24"/>
        <v>68533.899999999965</v>
      </c>
      <c r="AI587">
        <f t="shared" si="23"/>
        <v>42798.220553979532</v>
      </c>
      <c r="AJ587" t="b" cm="1">
        <f t="array" ref="AJ587">OR(D587=$AT$2:$AT$8)</f>
        <v>1</v>
      </c>
    </row>
    <row r="588" spans="1:36" x14ac:dyDescent="0.25">
      <c r="A588" s="2" t="s">
        <v>958</v>
      </c>
      <c r="B588" s="3">
        <v>167.1</v>
      </c>
      <c r="C588" s="2" t="s">
        <v>75</v>
      </c>
      <c r="D588" s="2" t="s">
        <v>76</v>
      </c>
      <c r="E588" s="2" t="s">
        <v>244</v>
      </c>
      <c r="F588" s="4" t="s">
        <v>138</v>
      </c>
      <c r="G588" s="4" t="s">
        <v>245</v>
      </c>
      <c r="H588" s="5">
        <v>6.5</v>
      </c>
      <c r="I588" s="5">
        <v>7.2</v>
      </c>
      <c r="J588" s="5">
        <v>8.1999999999999993</v>
      </c>
      <c r="K588" s="4" t="s">
        <v>111</v>
      </c>
      <c r="L588" s="4" t="s">
        <v>112</v>
      </c>
      <c r="M588" s="6">
        <f>IF(OR(B588="",I588=""),"",B588*I588)</f>
        <v>1203.1199999999999</v>
      </c>
      <c r="N588" s="25" t="s">
        <v>113</v>
      </c>
      <c r="O588" s="26">
        <v>55976</v>
      </c>
      <c r="P588" s="9" t="s">
        <v>959</v>
      </c>
      <c r="Q588" s="27">
        <v>6086583</v>
      </c>
      <c r="R588" s="27">
        <v>43012096</v>
      </c>
      <c r="S588" s="23">
        <f>IF(AND(ISNUMBER(Q588),Q588&gt;0,ISNUMBER(R588),R588&gt;0),R588/Q588,"")</f>
        <v>7.0667065576859791</v>
      </c>
      <c r="T588" s="9" t="s">
        <v>115</v>
      </c>
      <c r="U588" s="9" t="s">
        <v>331</v>
      </c>
      <c r="V588" s="9" t="s">
        <v>21</v>
      </c>
      <c r="W588" s="9" t="s">
        <v>528</v>
      </c>
      <c r="X588" s="23">
        <f>IF(ISNUMBER(S588),S588,IF(ISNUMBER(I588),I588,""))</f>
        <v>7.0667065576859791</v>
      </c>
      <c r="Y588" t="str">
        <f>IF(ISNUMBER(S588),"2025 EIA-923 plant/group proxy",IF(ISNUMBER(I588),"Technology estimate","No thermal heat rate"))</f>
        <v>2025 EIA-923 plant/group proxy</v>
      </c>
      <c r="Z588" t="str">
        <f>IF(ISNUMBER(S588),"Review: NOT unit verified",IF(AE588="No match","No EIA match",IF(AF588="Unconfirmed","Unconfirmed EIA candidate","")))</f>
        <v>Review: NOT unit verified</v>
      </c>
      <c r="AA588" s="26">
        <v>1</v>
      </c>
      <c r="AB588" t="s">
        <v>143</v>
      </c>
      <c r="AC588" t="s">
        <v>960</v>
      </c>
      <c r="AD588" s="26">
        <v>810</v>
      </c>
      <c r="AE588" t="s">
        <v>120</v>
      </c>
      <c r="AF588" t="s">
        <v>121</v>
      </c>
      <c r="AG588" s="27">
        <v>7.0667</v>
      </c>
      <c r="AH588" s="34">
        <f t="shared" si="24"/>
        <v>68700.999999999971</v>
      </c>
      <c r="AI588">
        <f t="shared" si="23"/>
        <v>42902.571578137948</v>
      </c>
      <c r="AJ588" t="b" cm="1">
        <f t="array" ref="AJ588">OR(D588=$AT$2:$AT$8)</f>
        <v>0</v>
      </c>
    </row>
    <row r="589" spans="1:36" x14ac:dyDescent="0.25">
      <c r="A589" s="2" t="s">
        <v>962</v>
      </c>
      <c r="B589" s="3">
        <v>167.1</v>
      </c>
      <c r="C589" s="2" t="s">
        <v>75</v>
      </c>
      <c r="D589" s="2" t="s">
        <v>76</v>
      </c>
      <c r="E589" s="2" t="s">
        <v>244</v>
      </c>
      <c r="F589" s="4" t="s">
        <v>138</v>
      </c>
      <c r="G589" s="4" t="s">
        <v>245</v>
      </c>
      <c r="H589" s="5">
        <v>6.5</v>
      </c>
      <c r="I589" s="5">
        <v>7.2</v>
      </c>
      <c r="J589" s="5">
        <v>8.1999999999999993</v>
      </c>
      <c r="K589" s="4" t="s">
        <v>111</v>
      </c>
      <c r="L589" s="4" t="s">
        <v>112</v>
      </c>
      <c r="M589" s="6">
        <f>IF(OR(B589="",I589=""),"",B589*I589)</f>
        <v>1203.1199999999999</v>
      </c>
      <c r="N589" s="25" t="s">
        <v>113</v>
      </c>
      <c r="O589" s="26">
        <v>55976</v>
      </c>
      <c r="P589" s="9" t="s">
        <v>959</v>
      </c>
      <c r="Q589" s="27">
        <v>6086583</v>
      </c>
      <c r="R589" s="27">
        <v>43012096</v>
      </c>
      <c r="S589" s="23">
        <f>IF(AND(ISNUMBER(Q589),Q589&gt;0,ISNUMBER(R589),R589&gt;0),R589/Q589,"")</f>
        <v>7.0667065576859791</v>
      </c>
      <c r="T589" s="9" t="s">
        <v>115</v>
      </c>
      <c r="U589" s="9" t="s">
        <v>331</v>
      </c>
      <c r="V589" s="9" t="s">
        <v>21</v>
      </c>
      <c r="W589" s="9" t="s">
        <v>528</v>
      </c>
      <c r="X589" s="23">
        <f>IF(ISNUMBER(S589),S589,IF(ISNUMBER(I589),I589,""))</f>
        <v>7.0667065576859791</v>
      </c>
      <c r="Y589" t="str">
        <f>IF(ISNUMBER(S589),"2025 EIA-923 plant/group proxy",IF(ISNUMBER(I589),"Technology estimate","No thermal heat rate"))</f>
        <v>2025 EIA-923 plant/group proxy</v>
      </c>
      <c r="Z589" t="str">
        <f>IF(ISNUMBER(S589),"Review: NOT unit verified",IF(AE589="No match","No EIA match",IF(AF589="Unconfirmed","Unconfirmed EIA candidate","")))</f>
        <v>Review: NOT unit verified</v>
      </c>
      <c r="AA589" s="26">
        <v>1</v>
      </c>
      <c r="AB589" t="s">
        <v>143</v>
      </c>
      <c r="AC589" t="s">
        <v>960</v>
      </c>
      <c r="AD589" s="26">
        <v>810</v>
      </c>
      <c r="AE589" t="s">
        <v>120</v>
      </c>
      <c r="AF589" t="s">
        <v>121</v>
      </c>
      <c r="AG589" s="27">
        <v>7.0667</v>
      </c>
      <c r="AH589" s="34">
        <f t="shared" si="24"/>
        <v>68868.099999999977</v>
      </c>
      <c r="AI589">
        <f t="shared" si="23"/>
        <v>43006.922602296363</v>
      </c>
      <c r="AJ589" t="b" cm="1">
        <f t="array" ref="AJ589">OR(D589=$AT$2:$AT$8)</f>
        <v>0</v>
      </c>
    </row>
    <row r="590" spans="1:36" x14ac:dyDescent="0.25">
      <c r="A590" s="2" t="s">
        <v>964</v>
      </c>
      <c r="B590" s="3">
        <v>167.1</v>
      </c>
      <c r="C590" s="2" t="s">
        <v>75</v>
      </c>
      <c r="D590" s="2" t="s">
        <v>76</v>
      </c>
      <c r="E590" s="2" t="s">
        <v>244</v>
      </c>
      <c r="F590" s="4" t="s">
        <v>138</v>
      </c>
      <c r="G590" s="4" t="s">
        <v>245</v>
      </c>
      <c r="H590" s="5">
        <v>6.5</v>
      </c>
      <c r="I590" s="5">
        <v>7.2</v>
      </c>
      <c r="J590" s="5">
        <v>8.1999999999999993</v>
      </c>
      <c r="K590" s="4" t="s">
        <v>111</v>
      </c>
      <c r="L590" s="4" t="s">
        <v>112</v>
      </c>
      <c r="M590" s="6">
        <f>IF(OR(B590="",I590=""),"",B590*I590)</f>
        <v>1203.1199999999999</v>
      </c>
      <c r="N590" s="25" t="s">
        <v>113</v>
      </c>
      <c r="O590" s="26">
        <v>55976</v>
      </c>
      <c r="P590" s="9" t="s">
        <v>959</v>
      </c>
      <c r="Q590" s="27">
        <v>6086583</v>
      </c>
      <c r="R590" s="27">
        <v>43012096</v>
      </c>
      <c r="S590" s="23">
        <f>IF(AND(ISNUMBER(Q590),Q590&gt;0,ISNUMBER(R590),R590&gt;0),R590/Q590,"")</f>
        <v>7.0667065576859791</v>
      </c>
      <c r="T590" s="9" t="s">
        <v>115</v>
      </c>
      <c r="U590" s="9" t="s">
        <v>331</v>
      </c>
      <c r="V590" s="9" t="s">
        <v>21</v>
      </c>
      <c r="W590" s="9" t="s">
        <v>528</v>
      </c>
      <c r="X590" s="23">
        <f>IF(ISNUMBER(S590),S590,IF(ISNUMBER(I590),I590,""))</f>
        <v>7.0667065576859791</v>
      </c>
      <c r="Y590" t="str">
        <f>IF(ISNUMBER(S590),"2025 EIA-923 plant/group proxy",IF(ISNUMBER(I590),"Technology estimate","No thermal heat rate"))</f>
        <v>2025 EIA-923 plant/group proxy</v>
      </c>
      <c r="Z590" t="str">
        <f>IF(ISNUMBER(S590),"Review: NOT unit verified",IF(AE590="No match","No EIA match",IF(AF590="Unconfirmed","Unconfirmed EIA candidate","")))</f>
        <v>Review: NOT unit verified</v>
      </c>
      <c r="AA590" s="26">
        <v>1</v>
      </c>
      <c r="AB590" t="s">
        <v>143</v>
      </c>
      <c r="AC590" t="s">
        <v>960</v>
      </c>
      <c r="AD590" s="26">
        <v>810</v>
      </c>
      <c r="AE590" t="s">
        <v>120</v>
      </c>
      <c r="AF590" t="s">
        <v>121</v>
      </c>
      <c r="AG590" s="27">
        <v>7.0667</v>
      </c>
      <c r="AH590" s="34">
        <f t="shared" si="24"/>
        <v>69035.199999999983</v>
      </c>
      <c r="AI590">
        <f t="shared" si="23"/>
        <v>43111.273626454771</v>
      </c>
      <c r="AJ590" t="b" cm="1">
        <f t="array" ref="AJ590">OR(D590=$AT$2:$AT$8)</f>
        <v>0</v>
      </c>
    </row>
    <row r="591" spans="1:36" x14ac:dyDescent="0.25">
      <c r="A591" s="2" t="s">
        <v>965</v>
      </c>
      <c r="B591" s="3">
        <v>318.89999999999998</v>
      </c>
      <c r="C591" s="2" t="s">
        <v>75</v>
      </c>
      <c r="D591" s="2" t="s">
        <v>76</v>
      </c>
      <c r="E591" s="2" t="s">
        <v>244</v>
      </c>
      <c r="F591" s="4" t="s">
        <v>138</v>
      </c>
      <c r="G591" s="4" t="s">
        <v>245</v>
      </c>
      <c r="H591" s="5">
        <v>6.5</v>
      </c>
      <c r="I591" s="5">
        <v>7.2</v>
      </c>
      <c r="J591" s="5">
        <v>8.1999999999999993</v>
      </c>
      <c r="K591" s="4" t="s">
        <v>111</v>
      </c>
      <c r="L591" s="4" t="s">
        <v>112</v>
      </c>
      <c r="M591" s="6">
        <f>IF(OR(B591="",I591=""),"",B591*I591)</f>
        <v>2296.08</v>
      </c>
      <c r="N591" s="25" t="s">
        <v>113</v>
      </c>
      <c r="O591" s="26">
        <v>55976</v>
      </c>
      <c r="P591" s="9" t="s">
        <v>959</v>
      </c>
      <c r="Q591" s="27">
        <v>6086583</v>
      </c>
      <c r="R591" s="27">
        <v>43012096</v>
      </c>
      <c r="S591" s="23">
        <f>IF(AND(ISNUMBER(Q591),Q591&gt;0,ISNUMBER(R591),R591&gt;0),R591/Q591,"")</f>
        <v>7.0667065576859791</v>
      </c>
      <c r="T591" s="9" t="s">
        <v>115</v>
      </c>
      <c r="U591" s="9" t="s">
        <v>331</v>
      </c>
      <c r="V591" s="9" t="s">
        <v>21</v>
      </c>
      <c r="W591" s="9" t="s">
        <v>528</v>
      </c>
      <c r="X591" s="23">
        <f>IF(ISNUMBER(S591),S591,IF(ISNUMBER(I591),I591,""))</f>
        <v>7.0667065576859791</v>
      </c>
      <c r="Y591" t="str">
        <f>IF(ISNUMBER(S591),"2025 EIA-923 plant/group proxy",IF(ISNUMBER(I591),"Technology estimate","No thermal heat rate"))</f>
        <v>2025 EIA-923 plant/group proxy</v>
      </c>
      <c r="Z591" t="str">
        <f>IF(ISNUMBER(S591),"Review: NOT unit verified",IF(AE591="No match","No EIA match",IF(AF591="Unconfirmed","Unconfirmed EIA candidate","")))</f>
        <v>Review: NOT unit verified</v>
      </c>
      <c r="AA591" s="26">
        <v>1</v>
      </c>
      <c r="AB591" t="s">
        <v>143</v>
      </c>
      <c r="AC591" t="s">
        <v>960</v>
      </c>
      <c r="AD591" s="26">
        <v>810</v>
      </c>
      <c r="AE591" t="s">
        <v>120</v>
      </c>
      <c r="AF591" t="s">
        <v>121</v>
      </c>
      <c r="AG591" s="27">
        <v>7.0667</v>
      </c>
      <c r="AH591" s="34">
        <f t="shared" si="24"/>
        <v>69354.099999999977</v>
      </c>
      <c r="AI591">
        <f t="shared" si="23"/>
        <v>43310.421092667319</v>
      </c>
      <c r="AJ591" t="b" cm="1">
        <f t="array" ref="AJ591">OR(D591=$AT$2:$AT$8)</f>
        <v>0</v>
      </c>
    </row>
    <row r="592" spans="1:36" x14ac:dyDescent="0.25">
      <c r="A592" s="2" t="s">
        <v>1557</v>
      </c>
      <c r="B592" s="3">
        <v>541</v>
      </c>
      <c r="C592" s="2" t="s">
        <v>228</v>
      </c>
      <c r="D592" s="2" t="s">
        <v>228</v>
      </c>
      <c r="E592" s="2" t="s">
        <v>244</v>
      </c>
      <c r="F592" s="4" t="s">
        <v>138</v>
      </c>
      <c r="G592" s="4" t="s">
        <v>245</v>
      </c>
      <c r="H592" s="5">
        <v>6.5</v>
      </c>
      <c r="I592" s="5">
        <v>7.2</v>
      </c>
      <c r="J592" s="5">
        <v>8.1999999999999993</v>
      </c>
      <c r="K592" s="4" t="s">
        <v>111</v>
      </c>
      <c r="L592" s="4" t="s">
        <v>112</v>
      </c>
      <c r="M592" s="6">
        <f>IF(OR(B592="",I592=""),"",B592*I592)</f>
        <v>3895.2000000000003</v>
      </c>
      <c r="N592" s="25" t="s">
        <v>113</v>
      </c>
      <c r="O592" s="26">
        <v>2411</v>
      </c>
      <c r="P592" s="9" t="s">
        <v>1558</v>
      </c>
      <c r="Q592" s="27">
        <v>2122743.0049999999</v>
      </c>
      <c r="R592" s="27">
        <v>15052034</v>
      </c>
      <c r="S592" s="23">
        <f>IF(AND(ISNUMBER(Q592),Q592&gt;0,ISNUMBER(R592),R592&gt;0),R592/Q592,"")</f>
        <v>7.0908414087554608</v>
      </c>
      <c r="T592" s="9" t="s">
        <v>115</v>
      </c>
      <c r="U592" s="9" t="s">
        <v>239</v>
      </c>
      <c r="V592" s="9" t="s">
        <v>21</v>
      </c>
      <c r="W592" s="9" t="s">
        <v>217</v>
      </c>
      <c r="X592" s="23">
        <f>IF(ISNUMBER(S592),S592,IF(ISNUMBER(I592),I592,""))</f>
        <v>7.0908414087554608</v>
      </c>
      <c r="Y592" t="str">
        <f>IF(ISNUMBER(S592),"2025 EIA-923 plant/group proxy",IF(ISNUMBER(I592),"Technology estimate","No thermal heat rate"))</f>
        <v>2025 EIA-923 plant/group proxy</v>
      </c>
      <c r="Z592" t="str">
        <f>IF(ISNUMBER(S592),"Review: NOT unit verified",IF(AE592="No match","No EIA match",IF(AF592="Unconfirmed","Unconfirmed EIA candidate","")))</f>
        <v>Review: NOT unit verified</v>
      </c>
      <c r="AA592" s="26">
        <v>1</v>
      </c>
      <c r="AB592" t="s">
        <v>241</v>
      </c>
      <c r="AC592" t="s">
        <v>1559</v>
      </c>
      <c r="AD592" s="26">
        <v>541</v>
      </c>
      <c r="AE592" t="s">
        <v>120</v>
      </c>
      <c r="AF592" t="s">
        <v>121</v>
      </c>
      <c r="AG592" s="27">
        <v>7.0907999999999998</v>
      </c>
      <c r="AH592" s="34">
        <f t="shared" si="24"/>
        <v>69895.099999999977</v>
      </c>
      <c r="AI592">
        <f t="shared" si="23"/>
        <v>43648.266120014407</v>
      </c>
      <c r="AJ592" t="b" cm="1">
        <f t="array" ref="AJ592">OR(D592=$AT$2:$AT$8)</f>
        <v>1</v>
      </c>
    </row>
    <row r="593" spans="1:36" x14ac:dyDescent="0.25">
      <c r="A593" s="2" t="s">
        <v>385</v>
      </c>
      <c r="B593" s="3">
        <v>692</v>
      </c>
      <c r="C593" s="2" t="s">
        <v>99</v>
      </c>
      <c r="D593" s="2" t="s">
        <v>81</v>
      </c>
      <c r="E593" s="2" t="s">
        <v>244</v>
      </c>
      <c r="F593" s="4" t="s">
        <v>138</v>
      </c>
      <c r="G593" s="4" t="s">
        <v>245</v>
      </c>
      <c r="H593" s="5">
        <v>6.5</v>
      </c>
      <c r="I593" s="5">
        <v>7.2</v>
      </c>
      <c r="J593" s="5">
        <v>8.1999999999999993</v>
      </c>
      <c r="K593" s="4" t="s">
        <v>111</v>
      </c>
      <c r="L593" s="4" t="s">
        <v>112</v>
      </c>
      <c r="M593" s="6">
        <f>IF(OR(B593="",I593=""),"",B593*I593)</f>
        <v>4982.4000000000005</v>
      </c>
      <c r="N593" s="25" t="s">
        <v>113</v>
      </c>
      <c r="O593" s="26">
        <v>59773</v>
      </c>
      <c r="P593" s="9" t="s">
        <v>386</v>
      </c>
      <c r="Q593" s="27">
        <v>5270057</v>
      </c>
      <c r="R593" s="27">
        <v>37612901</v>
      </c>
      <c r="S593" s="23">
        <f>IF(AND(ISNUMBER(Q593),Q593&gt;0,ISNUMBER(R593),R593&gt;0),R593/Q593,"")</f>
        <v>7.1370956708817381</v>
      </c>
      <c r="T593" s="9" t="s">
        <v>115</v>
      </c>
      <c r="U593" s="9" t="s">
        <v>331</v>
      </c>
      <c r="V593" s="9" t="s">
        <v>21</v>
      </c>
      <c r="W593" s="9" t="s">
        <v>217</v>
      </c>
      <c r="X593" s="23">
        <f>IF(ISNUMBER(S593),S593,IF(ISNUMBER(I593),I593,""))</f>
        <v>7.1370956708817381</v>
      </c>
      <c r="Y593" t="str">
        <f>IF(ISNUMBER(S593),"2025 EIA-923 plant/group proxy",IF(ISNUMBER(I593),"Technology estimate","No thermal heat rate"))</f>
        <v>2025 EIA-923 plant/group proxy</v>
      </c>
      <c r="Z593" t="str">
        <f>IF(ISNUMBER(S593),"Review: NOT unit verified",IF(AE593="No match","No EIA match",IF(AF593="Unconfirmed","Unconfirmed EIA candidate","")))</f>
        <v>Review: NOT unit verified</v>
      </c>
      <c r="AA593" s="26">
        <v>1</v>
      </c>
      <c r="AB593" t="s">
        <v>322</v>
      </c>
      <c r="AC593" t="s">
        <v>365</v>
      </c>
      <c r="AD593" s="26">
        <v>714.6</v>
      </c>
      <c r="AE593" t="s">
        <v>120</v>
      </c>
      <c r="AF593" t="s">
        <v>121</v>
      </c>
      <c r="AG593" s="27">
        <v>7.1371000000000002</v>
      </c>
      <c r="AH593" s="34">
        <f t="shared" si="24"/>
        <v>70587.099999999977</v>
      </c>
      <c r="AI593">
        <f t="shared" si="23"/>
        <v>44080.408003423261</v>
      </c>
      <c r="AJ593" t="b" cm="1">
        <f t="array" ref="AJ593">OR(D593=$AT$2:$AT$8)</f>
        <v>0</v>
      </c>
    </row>
    <row r="594" spans="1:36" x14ac:dyDescent="0.25">
      <c r="A594" s="2" t="s">
        <v>1057</v>
      </c>
      <c r="B594" s="3">
        <v>262</v>
      </c>
      <c r="C594" s="2" t="s">
        <v>99</v>
      </c>
      <c r="D594" s="2" t="s">
        <v>81</v>
      </c>
      <c r="E594" s="2" t="s">
        <v>244</v>
      </c>
      <c r="F594" s="4" t="s">
        <v>138</v>
      </c>
      <c r="G594" s="4" t="s">
        <v>245</v>
      </c>
      <c r="H594" s="5">
        <v>6.5</v>
      </c>
      <c r="I594" s="5">
        <v>7.2</v>
      </c>
      <c r="J594" s="5">
        <v>8.1999999999999993</v>
      </c>
      <c r="K594" s="4" t="s">
        <v>111</v>
      </c>
      <c r="L594" s="4" t="s">
        <v>112</v>
      </c>
      <c r="M594" s="6">
        <f>IF(OR(B594="",I594=""),"",B594*I594)</f>
        <v>1886.4</v>
      </c>
      <c r="N594" s="25" t="s">
        <v>113</v>
      </c>
      <c r="O594" s="26">
        <v>55502</v>
      </c>
      <c r="P594" s="9" t="s">
        <v>1058</v>
      </c>
      <c r="Q594" s="27">
        <v>8225022</v>
      </c>
      <c r="R594" s="27">
        <v>58913428</v>
      </c>
      <c r="S594" s="23">
        <f>IF(AND(ISNUMBER(Q594),Q594&gt;0,ISNUMBER(R594),R594&gt;0),R594/Q594,"")</f>
        <v>7.1627076499005113</v>
      </c>
      <c r="T594" s="9" t="s">
        <v>115</v>
      </c>
      <c r="U594" s="9" t="s">
        <v>331</v>
      </c>
      <c r="V594" s="9" t="s">
        <v>21</v>
      </c>
      <c r="W594" s="9" t="s">
        <v>200</v>
      </c>
      <c r="X594" s="23">
        <f>IF(ISNUMBER(S594),S594,IF(ISNUMBER(I594),I594,""))</f>
        <v>7.1627076499005113</v>
      </c>
      <c r="Y594" t="str">
        <f>IF(ISNUMBER(S594),"2025 EIA-923 plant/group proxy",IF(ISNUMBER(I594),"Technology estimate","No thermal heat rate"))</f>
        <v>2025 EIA-923 plant/group proxy</v>
      </c>
      <c r="Z594" t="str">
        <f>IF(ISNUMBER(S594),"Review: NOT unit verified",IF(AE594="No match","No EIA match",IF(AF594="Unconfirmed","Unconfirmed EIA candidate","")))</f>
        <v>Review: NOT unit verified</v>
      </c>
      <c r="AA594" s="26">
        <v>1</v>
      </c>
      <c r="AB594" t="s">
        <v>131</v>
      </c>
      <c r="AC594" t="s">
        <v>1059</v>
      </c>
      <c r="AD594" s="26">
        <v>1206.7</v>
      </c>
      <c r="AE594" t="s">
        <v>120</v>
      </c>
      <c r="AF594" t="s">
        <v>121</v>
      </c>
      <c r="AG594" s="27">
        <v>7.1627000000000001</v>
      </c>
      <c r="AH594" s="34">
        <f t="shared" si="24"/>
        <v>70849.099999999977</v>
      </c>
      <c r="AI594">
        <f t="shared" si="23"/>
        <v>44244.022415927764</v>
      </c>
      <c r="AJ594" t="b" cm="1">
        <f t="array" ref="AJ594">OR(D594=$AT$2:$AT$8)</f>
        <v>0</v>
      </c>
    </row>
    <row r="595" spans="1:36" x14ac:dyDescent="0.25">
      <c r="A595" s="2" t="s">
        <v>1060</v>
      </c>
      <c r="B595" s="3">
        <v>169.9</v>
      </c>
      <c r="C595" s="2" t="s">
        <v>99</v>
      </c>
      <c r="D595" s="2" t="s">
        <v>81</v>
      </c>
      <c r="E595" s="2" t="s">
        <v>244</v>
      </c>
      <c r="F595" s="4" t="s">
        <v>138</v>
      </c>
      <c r="G595" s="4" t="s">
        <v>245</v>
      </c>
      <c r="H595" s="5">
        <v>6.5</v>
      </c>
      <c r="I595" s="5">
        <v>7.2</v>
      </c>
      <c r="J595" s="5">
        <v>8.1999999999999993</v>
      </c>
      <c r="K595" s="4" t="s">
        <v>111</v>
      </c>
      <c r="L595" s="4" t="s">
        <v>112</v>
      </c>
      <c r="M595" s="6">
        <f>IF(OR(B595="",I595=""),"",B595*I595)</f>
        <v>1223.28</v>
      </c>
      <c r="N595" s="25" t="s">
        <v>113</v>
      </c>
      <c r="O595" s="26">
        <v>55502</v>
      </c>
      <c r="P595" s="9" t="s">
        <v>1058</v>
      </c>
      <c r="Q595" s="27">
        <v>8225022</v>
      </c>
      <c r="R595" s="27">
        <v>58913428</v>
      </c>
      <c r="S595" s="23">
        <f>IF(AND(ISNUMBER(Q595),Q595&gt;0,ISNUMBER(R595),R595&gt;0),R595/Q595,"")</f>
        <v>7.1627076499005113</v>
      </c>
      <c r="T595" s="9" t="s">
        <v>115</v>
      </c>
      <c r="U595" s="9" t="s">
        <v>331</v>
      </c>
      <c r="V595" s="9" t="s">
        <v>21</v>
      </c>
      <c r="W595" s="9" t="s">
        <v>200</v>
      </c>
      <c r="X595" s="23">
        <f>IF(ISNUMBER(S595),S595,IF(ISNUMBER(I595),I595,""))</f>
        <v>7.1627076499005113</v>
      </c>
      <c r="Y595" t="str">
        <f>IF(ISNUMBER(S595),"2025 EIA-923 plant/group proxy",IF(ISNUMBER(I595),"Technology estimate","No thermal heat rate"))</f>
        <v>2025 EIA-923 plant/group proxy</v>
      </c>
      <c r="Z595" t="str">
        <f>IF(ISNUMBER(S595),"Review: NOT unit verified",IF(AE595="No match","No EIA match",IF(AF595="Unconfirmed","Unconfirmed EIA candidate","")))</f>
        <v>Review: NOT unit verified</v>
      </c>
      <c r="AA595" s="26">
        <v>1</v>
      </c>
      <c r="AB595" t="s">
        <v>131</v>
      </c>
      <c r="AC595" t="s">
        <v>1059</v>
      </c>
      <c r="AD595" s="26">
        <v>1206.7</v>
      </c>
      <c r="AE595" t="s">
        <v>120</v>
      </c>
      <c r="AF595" t="s">
        <v>121</v>
      </c>
      <c r="AG595" s="27">
        <v>7.1627000000000001</v>
      </c>
      <c r="AH595" s="34">
        <f t="shared" si="24"/>
        <v>71018.999999999971</v>
      </c>
      <c r="AI595">
        <f t="shared" si="23"/>
        <v>44350.121991059503</v>
      </c>
      <c r="AJ595" t="b" cm="1">
        <f t="array" ref="AJ595">OR(D595=$AT$2:$AT$8)</f>
        <v>0</v>
      </c>
    </row>
    <row r="596" spans="1:36" x14ac:dyDescent="0.25">
      <c r="A596" s="2" t="s">
        <v>1061</v>
      </c>
      <c r="B596" s="3">
        <v>174.7</v>
      </c>
      <c r="C596" s="2" t="s">
        <v>99</v>
      </c>
      <c r="D596" s="2" t="s">
        <v>81</v>
      </c>
      <c r="E596" s="2" t="s">
        <v>244</v>
      </c>
      <c r="F596" s="4" t="s">
        <v>138</v>
      </c>
      <c r="G596" s="4" t="s">
        <v>245</v>
      </c>
      <c r="H596" s="5">
        <v>6.5</v>
      </c>
      <c r="I596" s="5">
        <v>7.2</v>
      </c>
      <c r="J596" s="5">
        <v>8.1999999999999993</v>
      </c>
      <c r="K596" s="4" t="s">
        <v>111</v>
      </c>
      <c r="L596" s="4" t="s">
        <v>112</v>
      </c>
      <c r="M596" s="6">
        <f>IF(OR(B596="",I596=""),"",B596*I596)</f>
        <v>1257.8399999999999</v>
      </c>
      <c r="N596" s="25" t="s">
        <v>113</v>
      </c>
      <c r="O596" s="26">
        <v>55502</v>
      </c>
      <c r="P596" s="9" t="s">
        <v>1058</v>
      </c>
      <c r="Q596" s="27">
        <v>8225022</v>
      </c>
      <c r="R596" s="27">
        <v>58913428</v>
      </c>
      <c r="S596" s="23">
        <f>IF(AND(ISNUMBER(Q596),Q596&gt;0,ISNUMBER(R596),R596&gt;0),R596/Q596,"")</f>
        <v>7.1627076499005113</v>
      </c>
      <c r="T596" s="9" t="s">
        <v>115</v>
      </c>
      <c r="U596" s="9" t="s">
        <v>331</v>
      </c>
      <c r="V596" s="9" t="s">
        <v>21</v>
      </c>
      <c r="W596" s="9" t="s">
        <v>200</v>
      </c>
      <c r="X596" s="23">
        <f>IF(ISNUMBER(S596),S596,IF(ISNUMBER(I596),I596,""))</f>
        <v>7.1627076499005113</v>
      </c>
      <c r="Y596" t="str">
        <f>IF(ISNUMBER(S596),"2025 EIA-923 plant/group proxy",IF(ISNUMBER(I596),"Technology estimate","No thermal heat rate"))</f>
        <v>2025 EIA-923 plant/group proxy</v>
      </c>
      <c r="Z596" t="str">
        <f>IF(ISNUMBER(S596),"Review: NOT unit verified",IF(AE596="No match","No EIA match",IF(AF596="Unconfirmed","Unconfirmed EIA candidate","")))</f>
        <v>Review: NOT unit verified</v>
      </c>
      <c r="AA596" s="26">
        <v>1</v>
      </c>
      <c r="AB596" t="s">
        <v>131</v>
      </c>
      <c r="AC596" t="s">
        <v>1059</v>
      </c>
      <c r="AD596" s="26">
        <v>1206.7</v>
      </c>
      <c r="AE596" t="s">
        <v>120</v>
      </c>
      <c r="AF596" t="s">
        <v>121</v>
      </c>
      <c r="AG596" s="27">
        <v>7.1627000000000001</v>
      </c>
      <c r="AH596" s="34">
        <f t="shared" si="24"/>
        <v>71193.699999999968</v>
      </c>
      <c r="AI596">
        <f t="shared" si="23"/>
        <v>44459.219082145522</v>
      </c>
      <c r="AJ596" t="b" cm="1">
        <f t="array" ref="AJ596">OR(D596=$AT$2:$AT$8)</f>
        <v>0</v>
      </c>
    </row>
    <row r="597" spans="1:36" x14ac:dyDescent="0.25">
      <c r="A597" s="2" t="s">
        <v>1062</v>
      </c>
      <c r="B597" s="3">
        <v>262.39999999999998</v>
      </c>
      <c r="C597" s="2" t="s">
        <v>99</v>
      </c>
      <c r="D597" s="2" t="s">
        <v>81</v>
      </c>
      <c r="E597" s="2" t="s">
        <v>244</v>
      </c>
      <c r="F597" s="4" t="s">
        <v>138</v>
      </c>
      <c r="G597" s="4" t="s">
        <v>245</v>
      </c>
      <c r="H597" s="5">
        <v>6.5</v>
      </c>
      <c r="I597" s="5">
        <v>7.2</v>
      </c>
      <c r="J597" s="5">
        <v>8.1999999999999993</v>
      </c>
      <c r="K597" s="4" t="s">
        <v>111</v>
      </c>
      <c r="L597" s="4" t="s">
        <v>112</v>
      </c>
      <c r="M597" s="6">
        <f>IF(OR(B597="",I597=""),"",B597*I597)</f>
        <v>1889.28</v>
      </c>
      <c r="N597" s="25" t="s">
        <v>113</v>
      </c>
      <c r="O597" s="26">
        <v>55502</v>
      </c>
      <c r="P597" s="9" t="s">
        <v>1058</v>
      </c>
      <c r="Q597" s="27">
        <v>8225022</v>
      </c>
      <c r="R597" s="27">
        <v>58913428</v>
      </c>
      <c r="S597" s="23">
        <f>IF(AND(ISNUMBER(Q597),Q597&gt;0,ISNUMBER(R597),R597&gt;0),R597/Q597,"")</f>
        <v>7.1627076499005113</v>
      </c>
      <c r="T597" s="9" t="s">
        <v>115</v>
      </c>
      <c r="U597" s="9" t="s">
        <v>331</v>
      </c>
      <c r="V597" s="9" t="s">
        <v>21</v>
      </c>
      <c r="W597" s="9" t="s">
        <v>200</v>
      </c>
      <c r="X597" s="23">
        <f>IF(ISNUMBER(S597),S597,IF(ISNUMBER(I597),I597,""))</f>
        <v>7.1627076499005113</v>
      </c>
      <c r="Y597" t="str">
        <f>IF(ISNUMBER(S597),"2025 EIA-923 plant/group proxy",IF(ISNUMBER(I597),"Technology estimate","No thermal heat rate"))</f>
        <v>2025 EIA-923 plant/group proxy</v>
      </c>
      <c r="Z597" t="str">
        <f>IF(ISNUMBER(S597),"Review: NOT unit verified",IF(AE597="No match","No EIA match",IF(AF597="Unconfirmed","Unconfirmed EIA candidate","")))</f>
        <v>Review: NOT unit verified</v>
      </c>
      <c r="AA597" s="26">
        <v>1</v>
      </c>
      <c r="AB597" t="s">
        <v>131</v>
      </c>
      <c r="AC597" t="s">
        <v>1059</v>
      </c>
      <c r="AD597" s="26">
        <v>1206.7</v>
      </c>
      <c r="AE597" t="s">
        <v>120</v>
      </c>
      <c r="AF597" t="s">
        <v>121</v>
      </c>
      <c r="AG597" s="27">
        <v>7.1627000000000001</v>
      </c>
      <c r="AH597" s="34">
        <f t="shared" si="24"/>
        <v>71456.099999999962</v>
      </c>
      <c r="AI597">
        <f t="shared" si="23"/>
        <v>44623.083287646215</v>
      </c>
      <c r="AJ597" t="b" cm="1">
        <f t="array" ref="AJ597">OR(D597=$AT$2:$AT$8)</f>
        <v>0</v>
      </c>
    </row>
    <row r="598" spans="1:36" x14ac:dyDescent="0.25">
      <c r="A598" s="2" t="s">
        <v>1063</v>
      </c>
      <c r="B598" s="3">
        <v>175</v>
      </c>
      <c r="C598" s="2" t="s">
        <v>99</v>
      </c>
      <c r="D598" s="2" t="s">
        <v>81</v>
      </c>
      <c r="E598" s="2" t="s">
        <v>244</v>
      </c>
      <c r="F598" s="4" t="s">
        <v>138</v>
      </c>
      <c r="G598" s="4" t="s">
        <v>245</v>
      </c>
      <c r="H598" s="5">
        <v>6.5</v>
      </c>
      <c r="I598" s="5">
        <v>7.2</v>
      </c>
      <c r="J598" s="5">
        <v>8.1999999999999993</v>
      </c>
      <c r="K598" s="4" t="s">
        <v>111</v>
      </c>
      <c r="L598" s="4" t="s">
        <v>112</v>
      </c>
      <c r="M598" s="6">
        <f>IF(OR(B598="",I598=""),"",B598*I598)</f>
        <v>1260</v>
      </c>
      <c r="N598" s="25" t="s">
        <v>113</v>
      </c>
      <c r="O598" s="26">
        <v>55502</v>
      </c>
      <c r="P598" s="9" t="s">
        <v>1058</v>
      </c>
      <c r="Q598" s="27">
        <v>8225022</v>
      </c>
      <c r="R598" s="27">
        <v>58913428</v>
      </c>
      <c r="S598" s="23">
        <f>IF(AND(ISNUMBER(Q598),Q598&gt;0,ISNUMBER(R598),R598&gt;0),R598/Q598,"")</f>
        <v>7.1627076499005113</v>
      </c>
      <c r="T598" s="9" t="s">
        <v>115</v>
      </c>
      <c r="U598" s="9" t="s">
        <v>331</v>
      </c>
      <c r="V598" s="9" t="s">
        <v>21</v>
      </c>
      <c r="W598" s="9" t="s">
        <v>200</v>
      </c>
      <c r="X598" s="23">
        <f>IF(ISNUMBER(S598),S598,IF(ISNUMBER(I598),I598,""))</f>
        <v>7.1627076499005113</v>
      </c>
      <c r="Y598" t="str">
        <f>IF(ISNUMBER(S598),"2025 EIA-923 plant/group proxy",IF(ISNUMBER(I598),"Technology estimate","No thermal heat rate"))</f>
        <v>2025 EIA-923 plant/group proxy</v>
      </c>
      <c r="Z598" t="str">
        <f>IF(ISNUMBER(S598),"Review: NOT unit verified",IF(AE598="No match","No EIA match",IF(AF598="Unconfirmed","Unconfirmed EIA candidate","")))</f>
        <v>Review: NOT unit verified</v>
      </c>
      <c r="AA598" s="26">
        <v>1</v>
      </c>
      <c r="AB598" t="s">
        <v>131</v>
      </c>
      <c r="AC598" t="s">
        <v>1059</v>
      </c>
      <c r="AD598" s="26">
        <v>1206.7</v>
      </c>
      <c r="AE598" t="s">
        <v>120</v>
      </c>
      <c r="AF598" t="s">
        <v>121</v>
      </c>
      <c r="AG598" s="27">
        <v>7.1627000000000001</v>
      </c>
      <c r="AH598" s="34">
        <f t="shared" si="24"/>
        <v>71631.099999999962</v>
      </c>
      <c r="AI598">
        <f t="shared" si="23"/>
        <v>44732.367723479379</v>
      </c>
      <c r="AJ598" t="b" cm="1">
        <f t="array" ref="AJ598">OR(D598=$AT$2:$AT$8)</f>
        <v>0</v>
      </c>
    </row>
    <row r="599" spans="1:36" x14ac:dyDescent="0.25">
      <c r="A599" s="2" t="s">
        <v>1064</v>
      </c>
      <c r="B599" s="3">
        <v>174.1</v>
      </c>
      <c r="C599" s="2" t="s">
        <v>99</v>
      </c>
      <c r="D599" s="2" t="s">
        <v>81</v>
      </c>
      <c r="E599" s="2" t="s">
        <v>244</v>
      </c>
      <c r="F599" s="4" t="s">
        <v>138</v>
      </c>
      <c r="G599" s="4" t="s">
        <v>245</v>
      </c>
      <c r="H599" s="5">
        <v>6.5</v>
      </c>
      <c r="I599" s="5">
        <v>7.2</v>
      </c>
      <c r="J599" s="5">
        <v>8.1999999999999993</v>
      </c>
      <c r="K599" s="4" t="s">
        <v>111</v>
      </c>
      <c r="L599" s="4" t="s">
        <v>112</v>
      </c>
      <c r="M599" s="6">
        <f>IF(OR(B599="",I599=""),"",B599*I599)</f>
        <v>1253.52</v>
      </c>
      <c r="N599" s="25" t="s">
        <v>113</v>
      </c>
      <c r="O599" s="26">
        <v>55502</v>
      </c>
      <c r="P599" s="9" t="s">
        <v>1058</v>
      </c>
      <c r="Q599" s="27">
        <v>8225022</v>
      </c>
      <c r="R599" s="27">
        <v>58913428</v>
      </c>
      <c r="S599" s="23">
        <f>IF(AND(ISNUMBER(Q599),Q599&gt;0,ISNUMBER(R599),R599&gt;0),R599/Q599,"")</f>
        <v>7.1627076499005113</v>
      </c>
      <c r="T599" s="9" t="s">
        <v>115</v>
      </c>
      <c r="U599" s="9" t="s">
        <v>331</v>
      </c>
      <c r="V599" s="9" t="s">
        <v>21</v>
      </c>
      <c r="W599" s="9" t="s">
        <v>200</v>
      </c>
      <c r="X599" s="23">
        <f>IF(ISNUMBER(S599),S599,IF(ISNUMBER(I599),I599,""))</f>
        <v>7.1627076499005113</v>
      </c>
      <c r="Y599" t="str">
        <f>IF(ISNUMBER(S599),"2025 EIA-923 plant/group proxy",IF(ISNUMBER(I599),"Technology estimate","No thermal heat rate"))</f>
        <v>2025 EIA-923 plant/group proxy</v>
      </c>
      <c r="Z599" t="str">
        <f>IF(ISNUMBER(S599),"Review: NOT unit verified",IF(AE599="No match","No EIA match",IF(AF599="Unconfirmed","Unconfirmed EIA candidate","")))</f>
        <v>Review: NOT unit verified</v>
      </c>
      <c r="AA599" s="26">
        <v>1</v>
      </c>
      <c r="AB599" t="s">
        <v>131</v>
      </c>
      <c r="AC599" t="s">
        <v>1059</v>
      </c>
      <c r="AD599" s="26">
        <v>1206.7</v>
      </c>
      <c r="AE599" t="s">
        <v>120</v>
      </c>
      <c r="AF599" t="s">
        <v>121</v>
      </c>
      <c r="AG599" s="27">
        <v>7.1627000000000001</v>
      </c>
      <c r="AH599" s="34">
        <f t="shared" si="24"/>
        <v>71805.199999999968</v>
      </c>
      <c r="AI599">
        <f t="shared" si="23"/>
        <v>44841.090125071118</v>
      </c>
      <c r="AJ599" t="b" cm="1">
        <f t="array" ref="AJ599">OR(D599=$AT$2:$AT$8)</f>
        <v>0</v>
      </c>
    </row>
    <row r="600" spans="1:36" x14ac:dyDescent="0.25">
      <c r="A600" s="2" t="s">
        <v>1310</v>
      </c>
      <c r="B600" s="3">
        <v>187</v>
      </c>
      <c r="C600" s="2" t="s">
        <v>75</v>
      </c>
      <c r="D600" s="2" t="s">
        <v>76</v>
      </c>
      <c r="E600" s="2" t="s">
        <v>244</v>
      </c>
      <c r="F600" s="4" t="s">
        <v>138</v>
      </c>
      <c r="G600" s="4" t="s">
        <v>245</v>
      </c>
      <c r="H600" s="5">
        <v>6.5</v>
      </c>
      <c r="I600" s="5">
        <v>7.2</v>
      </c>
      <c r="J600" s="5">
        <v>8.1999999999999993</v>
      </c>
      <c r="K600" s="4" t="s">
        <v>111</v>
      </c>
      <c r="L600" s="4" t="s">
        <v>112</v>
      </c>
      <c r="M600" s="6">
        <f>IF(OR(B600="",I600=""),"",B600*I600)</f>
        <v>1346.4</v>
      </c>
      <c r="N600" s="25" t="s">
        <v>113</v>
      </c>
      <c r="O600" s="26">
        <v>55193</v>
      </c>
      <c r="P600" s="9" t="s">
        <v>1311</v>
      </c>
      <c r="Q600" s="27">
        <v>4114446</v>
      </c>
      <c r="R600" s="27">
        <v>29581610</v>
      </c>
      <c r="S600" s="23">
        <f>IF(AND(ISNUMBER(Q600),Q600&gt;0,ISNUMBER(R600),R600&gt;0),R600/Q600,"")</f>
        <v>7.1896945542607682</v>
      </c>
      <c r="T600" s="9" t="s">
        <v>115</v>
      </c>
      <c r="U600" s="9" t="s">
        <v>331</v>
      </c>
      <c r="V600" s="9" t="s">
        <v>21</v>
      </c>
      <c r="W600" s="9" t="s">
        <v>117</v>
      </c>
      <c r="X600" s="23">
        <f>IF(ISNUMBER(S600),S600,IF(ISNUMBER(I600),I600,""))</f>
        <v>7.1896945542607682</v>
      </c>
      <c r="Y600" t="str">
        <f>IF(ISNUMBER(S600),"2025 EIA-923 plant/group proxy",IF(ISNUMBER(I600),"Technology estimate","No thermal heat rate"))</f>
        <v>2025 EIA-923 plant/group proxy</v>
      </c>
      <c r="Z600" t="str">
        <f>IF(ISNUMBER(S600),"Review: NOT unit verified",IF(AE600="No match","No EIA match",IF(AF600="Unconfirmed","Unconfirmed EIA candidate","")))</f>
        <v>Review: NOT unit verified</v>
      </c>
      <c r="AA600" s="26">
        <v>0.84830000000000005</v>
      </c>
      <c r="AB600" t="s">
        <v>143</v>
      </c>
      <c r="AC600" t="s">
        <v>1312</v>
      </c>
      <c r="AD600" s="26">
        <v>545.9</v>
      </c>
      <c r="AE600" t="s">
        <v>120</v>
      </c>
      <c r="AF600" t="s">
        <v>121</v>
      </c>
      <c r="AG600" s="27">
        <v>7.1897000000000002</v>
      </c>
      <c r="AH600" s="34">
        <f t="shared" si="24"/>
        <v>71992.199999999968</v>
      </c>
      <c r="AI600">
        <f t="shared" si="23"/>
        <v>44957.868350789984</v>
      </c>
      <c r="AJ600" t="b" cm="1">
        <f t="array" ref="AJ600">OR(D600=$AT$2:$AT$8)</f>
        <v>0</v>
      </c>
    </row>
    <row r="601" spans="1:36" x14ac:dyDescent="0.25">
      <c r="A601" s="2" t="s">
        <v>1313</v>
      </c>
      <c r="B601" s="3">
        <v>184</v>
      </c>
      <c r="C601" s="2" t="s">
        <v>75</v>
      </c>
      <c r="D601" s="2" t="s">
        <v>76</v>
      </c>
      <c r="E601" s="2" t="s">
        <v>244</v>
      </c>
      <c r="F601" s="4" t="s">
        <v>138</v>
      </c>
      <c r="G601" s="4" t="s">
        <v>245</v>
      </c>
      <c r="H601" s="5">
        <v>6.5</v>
      </c>
      <c r="I601" s="5">
        <v>7.2</v>
      </c>
      <c r="J601" s="5">
        <v>8.1999999999999993</v>
      </c>
      <c r="K601" s="4" t="s">
        <v>111</v>
      </c>
      <c r="L601" s="4" t="s">
        <v>112</v>
      </c>
      <c r="M601" s="6">
        <f>IF(OR(B601="",I601=""),"",B601*I601)</f>
        <v>1324.8</v>
      </c>
      <c r="N601" s="25" t="s">
        <v>113</v>
      </c>
      <c r="O601" s="26">
        <v>55193</v>
      </c>
      <c r="P601" s="9" t="s">
        <v>1311</v>
      </c>
      <c r="Q601" s="27">
        <v>4114446</v>
      </c>
      <c r="R601" s="27">
        <v>29581610</v>
      </c>
      <c r="S601" s="23">
        <f>IF(AND(ISNUMBER(Q601),Q601&gt;0,ISNUMBER(R601),R601&gt;0),R601/Q601,"")</f>
        <v>7.1896945542607682</v>
      </c>
      <c r="T601" s="9" t="s">
        <v>115</v>
      </c>
      <c r="U601" s="9" t="s">
        <v>331</v>
      </c>
      <c r="V601" s="9" t="s">
        <v>21</v>
      </c>
      <c r="W601" s="9" t="s">
        <v>117</v>
      </c>
      <c r="X601" s="23">
        <f>IF(ISNUMBER(S601),S601,IF(ISNUMBER(I601),I601,""))</f>
        <v>7.1896945542607682</v>
      </c>
      <c r="Y601" t="str">
        <f>IF(ISNUMBER(S601),"2025 EIA-923 plant/group proxy",IF(ISNUMBER(I601),"Technology estimate","No thermal heat rate"))</f>
        <v>2025 EIA-923 plant/group proxy</v>
      </c>
      <c r="Z601" t="str">
        <f>IF(ISNUMBER(S601),"Review: NOT unit verified",IF(AE601="No match","No EIA match",IF(AF601="Unconfirmed","Unconfirmed EIA candidate","")))</f>
        <v>Review: NOT unit verified</v>
      </c>
      <c r="AA601" s="26">
        <v>0.84830000000000005</v>
      </c>
      <c r="AB601" t="s">
        <v>143</v>
      </c>
      <c r="AC601" t="s">
        <v>1312</v>
      </c>
      <c r="AD601" s="26">
        <v>545.9</v>
      </c>
      <c r="AE601" t="s">
        <v>120</v>
      </c>
      <c r="AF601" t="s">
        <v>121</v>
      </c>
      <c r="AG601" s="27">
        <v>7.1897000000000002</v>
      </c>
      <c r="AH601" s="34">
        <f t="shared" si="24"/>
        <v>72176.199999999968</v>
      </c>
      <c r="AI601">
        <f t="shared" si="23"/>
        <v>45072.773129037421</v>
      </c>
      <c r="AJ601" t="b" cm="1">
        <f t="array" ref="AJ601">OR(D601=$AT$2:$AT$8)</f>
        <v>0</v>
      </c>
    </row>
    <row r="602" spans="1:36" x14ac:dyDescent="0.25">
      <c r="A602" s="2" t="s">
        <v>1314</v>
      </c>
      <c r="B602" s="3">
        <v>182.1</v>
      </c>
      <c r="C602" s="2" t="s">
        <v>75</v>
      </c>
      <c r="D602" s="2" t="s">
        <v>76</v>
      </c>
      <c r="E602" s="2" t="s">
        <v>244</v>
      </c>
      <c r="F602" s="4" t="s">
        <v>138</v>
      </c>
      <c r="G602" s="4" t="s">
        <v>245</v>
      </c>
      <c r="H602" s="5">
        <v>6.5</v>
      </c>
      <c r="I602" s="5">
        <v>7.2</v>
      </c>
      <c r="J602" s="5">
        <v>8.1999999999999993</v>
      </c>
      <c r="K602" s="4" t="s">
        <v>111</v>
      </c>
      <c r="L602" s="4" t="s">
        <v>112</v>
      </c>
      <c r="M602" s="6">
        <f>IF(OR(B602="",I602=""),"",B602*I602)</f>
        <v>1311.12</v>
      </c>
      <c r="N602" s="25" t="s">
        <v>113</v>
      </c>
      <c r="O602" s="26">
        <v>55193</v>
      </c>
      <c r="P602" s="9" t="s">
        <v>1311</v>
      </c>
      <c r="Q602" s="27">
        <v>4114446</v>
      </c>
      <c r="R602" s="27">
        <v>29581610</v>
      </c>
      <c r="S602" s="23">
        <f>IF(AND(ISNUMBER(Q602),Q602&gt;0,ISNUMBER(R602),R602&gt;0),R602/Q602,"")</f>
        <v>7.1896945542607682</v>
      </c>
      <c r="T602" s="9" t="s">
        <v>115</v>
      </c>
      <c r="U602" s="9" t="s">
        <v>331</v>
      </c>
      <c r="V602" s="9" t="s">
        <v>21</v>
      </c>
      <c r="W602" s="9" t="s">
        <v>117</v>
      </c>
      <c r="X602" s="23">
        <f>IF(ISNUMBER(S602),S602,IF(ISNUMBER(I602),I602,""))</f>
        <v>7.1896945542607682</v>
      </c>
      <c r="Y602" t="str">
        <f>IF(ISNUMBER(S602),"2025 EIA-923 plant/group proxy",IF(ISNUMBER(I602),"Technology estimate","No thermal heat rate"))</f>
        <v>2025 EIA-923 plant/group proxy</v>
      </c>
      <c r="Z602" t="str">
        <f>IF(ISNUMBER(S602),"Review: NOT unit verified",IF(AE602="No match","No EIA match",IF(AF602="Unconfirmed","Unconfirmed EIA candidate","")))</f>
        <v>Review: NOT unit verified</v>
      </c>
      <c r="AA602" s="26">
        <v>0.84830000000000005</v>
      </c>
      <c r="AB602" t="s">
        <v>143</v>
      </c>
      <c r="AC602" t="s">
        <v>1312</v>
      </c>
      <c r="AD602" s="26">
        <v>545.9</v>
      </c>
      <c r="AE602" t="s">
        <v>120</v>
      </c>
      <c r="AF602" t="s">
        <v>121</v>
      </c>
      <c r="AG602" s="27">
        <v>7.1897000000000002</v>
      </c>
      <c r="AH602" s="34">
        <f t="shared" si="24"/>
        <v>72358.299999999974</v>
      </c>
      <c r="AI602">
        <f t="shared" si="23"/>
        <v>45186.491390552961</v>
      </c>
      <c r="AJ602" t="b" cm="1">
        <f t="array" ref="AJ602">OR(D602=$AT$2:$AT$8)</f>
        <v>0</v>
      </c>
    </row>
    <row r="603" spans="1:36" x14ac:dyDescent="0.25">
      <c r="A603" s="2" t="s">
        <v>363</v>
      </c>
      <c r="B603" s="3">
        <v>1070</v>
      </c>
      <c r="C603" s="2" t="s">
        <v>86</v>
      </c>
      <c r="D603" s="2" t="s">
        <v>76</v>
      </c>
      <c r="E603" s="2" t="s">
        <v>244</v>
      </c>
      <c r="F603" s="4" t="s">
        <v>138</v>
      </c>
      <c r="G603" s="4" t="s">
        <v>245</v>
      </c>
      <c r="H603" s="5">
        <v>6.5</v>
      </c>
      <c r="I603" s="5">
        <v>7.2</v>
      </c>
      <c r="J603" s="5">
        <v>8.1999999999999993</v>
      </c>
      <c r="K603" s="4" t="s">
        <v>111</v>
      </c>
      <c r="L603" s="4" t="s">
        <v>112</v>
      </c>
      <c r="M603" s="6">
        <f>IF(OR(B603="",I603=""),"",B603*I603)</f>
        <v>7704</v>
      </c>
      <c r="N603" s="29" t="s">
        <v>154</v>
      </c>
      <c r="O603" s="9"/>
      <c r="P603" s="9"/>
      <c r="Q603" s="22"/>
      <c r="R603" s="22"/>
      <c r="S603" s="23" t="str">
        <f>IF(AND(ISNUMBER(Q603),Q603&gt;0,ISNUMBER(R603),R603&gt;0),R603/Q603,"")</f>
        <v/>
      </c>
      <c r="T603" s="9"/>
      <c r="U603" s="9"/>
      <c r="V603" s="9"/>
      <c r="W603" s="9" t="s">
        <v>364</v>
      </c>
      <c r="X603" s="23">
        <f>IF(ISNUMBER(S603),S603,IF(ISNUMBER(I603),I603,""))</f>
        <v>7.2</v>
      </c>
      <c r="Y603" t="str">
        <f>IF(ISNUMBER(S603),"2025 EIA-923 plant/group proxy",IF(ISNUMBER(I603),"Technology estimate","No thermal heat rate"))</f>
        <v>Technology estimate</v>
      </c>
      <c r="Z603" t="str">
        <f>IF(ISNUMBER(S603),"Review: NOT unit verified",IF(AE603="No match","No EIA match",IF(AF603="Unconfirmed","Unconfirmed EIA candidate","")))</f>
        <v>Unconfirmed EIA candidate</v>
      </c>
      <c r="AA603" s="26">
        <v>0.53859999999999997</v>
      </c>
      <c r="AB603" t="s">
        <v>322</v>
      </c>
      <c r="AC603" t="s">
        <v>365</v>
      </c>
      <c r="AD603" s="26">
        <v>714.6</v>
      </c>
      <c r="AE603" t="s">
        <v>157</v>
      </c>
      <c r="AF603" t="s">
        <v>158</v>
      </c>
      <c r="AG603" s="24">
        <f>IF(ISBLANK(S603),S603,I603)</f>
        <v>7.2</v>
      </c>
      <c r="AH603" s="34">
        <f t="shared" si="24"/>
        <v>73428.299999999974</v>
      </c>
      <c r="AI603">
        <f t="shared" si="23"/>
        <v>45854.687655361449</v>
      </c>
      <c r="AJ603" t="b" cm="1">
        <f t="array" ref="AJ603">OR(D603=$AT$2:$AT$8)</f>
        <v>0</v>
      </c>
    </row>
    <row r="604" spans="1:36" x14ac:dyDescent="0.25">
      <c r="A604" s="2" t="s">
        <v>366</v>
      </c>
      <c r="B604" s="3">
        <v>145</v>
      </c>
      <c r="C604" s="2" t="s">
        <v>228</v>
      </c>
      <c r="D604" s="2" t="s">
        <v>228</v>
      </c>
      <c r="E604" s="2" t="s">
        <v>244</v>
      </c>
      <c r="F604" s="4" t="s">
        <v>138</v>
      </c>
      <c r="G604" s="4" t="s">
        <v>245</v>
      </c>
      <c r="H604" s="5">
        <v>6.5</v>
      </c>
      <c r="I604" s="5">
        <v>7.2</v>
      </c>
      <c r="J604" s="5">
        <v>8.1999999999999993</v>
      </c>
      <c r="K604" s="4" t="s">
        <v>111</v>
      </c>
      <c r="L604" s="4" t="s">
        <v>112</v>
      </c>
      <c r="M604" s="6">
        <f>IF(OR(B604="",I604=""),"",B604*I604)</f>
        <v>1044</v>
      </c>
      <c r="N604" s="29" t="s">
        <v>154</v>
      </c>
      <c r="O604" s="9"/>
      <c r="P604" s="9"/>
      <c r="Q604" s="22"/>
      <c r="R604" s="22"/>
      <c r="S604" s="23" t="str">
        <f>IF(AND(ISNUMBER(Q604),Q604&gt;0,ISNUMBER(R604),R604&gt;0),R604/Q604,"")</f>
        <v/>
      </c>
      <c r="T604" s="9"/>
      <c r="U604" s="9"/>
      <c r="V604" s="9"/>
      <c r="W604" s="9" t="s">
        <v>367</v>
      </c>
      <c r="X604" s="23">
        <f>IF(ISNUMBER(S604),S604,IF(ISNUMBER(I604),I604,""))</f>
        <v>7.2</v>
      </c>
      <c r="Y604" t="str">
        <f>IF(ISNUMBER(S604),"2025 EIA-923 plant/group proxy",IF(ISNUMBER(I604),"Technology estimate","No thermal heat rate"))</f>
        <v>Technology estimate</v>
      </c>
      <c r="Z604" t="str">
        <f>IF(ISNUMBER(S604),"Review: NOT unit verified",IF(AE604="No match","No EIA match",IF(AF604="Unconfirmed","Unconfirmed EIA candidate","")))</f>
        <v>Unconfirmed EIA candidate</v>
      </c>
      <c r="AA604" s="26">
        <v>0.4128</v>
      </c>
      <c r="AB604" t="s">
        <v>241</v>
      </c>
      <c r="AC604" t="s">
        <v>368</v>
      </c>
      <c r="AD604" s="26">
        <v>145</v>
      </c>
      <c r="AE604" t="s">
        <v>157</v>
      </c>
      <c r="AF604" t="s">
        <v>158</v>
      </c>
      <c r="AG604" s="24">
        <f>IF(ISBLANK(S604),S604,I604)</f>
        <v>7.2</v>
      </c>
      <c r="AH604" s="34">
        <f t="shared" si="24"/>
        <v>73573.299999999974</v>
      </c>
      <c r="AI604">
        <f t="shared" si="23"/>
        <v>45945.237616480357</v>
      </c>
      <c r="AJ604" t="b" cm="1">
        <f t="array" ref="AJ604">OR(D604=$AT$2:$AT$8)</f>
        <v>1</v>
      </c>
    </row>
    <row r="605" spans="1:36" x14ac:dyDescent="0.25">
      <c r="A605" s="2" t="s">
        <v>388</v>
      </c>
      <c r="B605" s="3">
        <v>1085</v>
      </c>
      <c r="C605" s="2" t="s">
        <v>99</v>
      </c>
      <c r="D605" s="2" t="s">
        <v>81</v>
      </c>
      <c r="E605" s="2" t="s">
        <v>244</v>
      </c>
      <c r="F605" s="4" t="s">
        <v>138</v>
      </c>
      <c r="G605" s="4" t="s">
        <v>245</v>
      </c>
      <c r="H605" s="5">
        <v>6.5</v>
      </c>
      <c r="I605" s="5">
        <v>7.2</v>
      </c>
      <c r="J605" s="5">
        <v>8.1999999999999993</v>
      </c>
      <c r="K605" s="4" t="s">
        <v>111</v>
      </c>
      <c r="L605" s="4" t="s">
        <v>112</v>
      </c>
      <c r="M605" s="6">
        <f>IF(OR(B605="",I605=""),"",B605*I605)</f>
        <v>7812</v>
      </c>
      <c r="N605" s="29" t="s">
        <v>154</v>
      </c>
      <c r="O605" s="9"/>
      <c r="P605" s="9"/>
      <c r="Q605" s="22"/>
      <c r="R605" s="22"/>
      <c r="S605" s="23" t="str">
        <f>IF(AND(ISNUMBER(Q605),Q605&gt;0,ISNUMBER(R605),R605&gt;0),R605/Q605,"")</f>
        <v/>
      </c>
      <c r="T605" s="9"/>
      <c r="U605" s="9"/>
      <c r="V605" s="9"/>
      <c r="W605" s="9" t="s">
        <v>389</v>
      </c>
      <c r="X605" s="23">
        <f>IF(ISNUMBER(S605),S605,IF(ISNUMBER(I605),I605,""))</f>
        <v>7.2</v>
      </c>
      <c r="Y605" t="str">
        <f>IF(ISNUMBER(S605),"2025 EIA-923 plant/group proxy",IF(ISNUMBER(I605),"Technology estimate","No thermal heat rate"))</f>
        <v>Technology estimate</v>
      </c>
      <c r="Z605" t="str">
        <f>IF(ISNUMBER(S605),"Review: NOT unit verified",IF(AE605="No match","No EIA match",IF(AF605="Unconfirmed","Unconfirmed EIA candidate","")))</f>
        <v>Unconfirmed EIA candidate</v>
      </c>
      <c r="AA605" s="26">
        <v>0.53959999999999997</v>
      </c>
      <c r="AB605" t="s">
        <v>322</v>
      </c>
      <c r="AC605" t="s">
        <v>365</v>
      </c>
      <c r="AD605" s="26">
        <v>714.6</v>
      </c>
      <c r="AE605" t="s">
        <v>157</v>
      </c>
      <c r="AF605" t="s">
        <v>158</v>
      </c>
      <c r="AG605" s="24">
        <f>IF(ISBLANK(S605),S605,I605)</f>
        <v>7.2</v>
      </c>
      <c r="AH605" s="34">
        <f t="shared" si="24"/>
        <v>74658.299999999974</v>
      </c>
      <c r="AI605">
        <f t="shared" si="23"/>
        <v>46622.80111864597</v>
      </c>
      <c r="AJ605" t="b" cm="1">
        <f t="array" ref="AJ605">OR(D605=$AT$2:$AT$8)</f>
        <v>0</v>
      </c>
    </row>
    <row r="606" spans="1:36" x14ac:dyDescent="0.25">
      <c r="A606" s="2" t="s">
        <v>474</v>
      </c>
      <c r="B606" s="3">
        <v>742.4</v>
      </c>
      <c r="C606" s="2" t="s">
        <v>78</v>
      </c>
      <c r="D606" s="2" t="s">
        <v>78</v>
      </c>
      <c r="E606" s="2" t="s">
        <v>244</v>
      </c>
      <c r="F606" s="4" t="s">
        <v>138</v>
      </c>
      <c r="G606" s="4" t="s">
        <v>245</v>
      </c>
      <c r="H606" s="5">
        <v>6.5</v>
      </c>
      <c r="I606" s="5">
        <v>7.2</v>
      </c>
      <c r="J606" s="5">
        <v>8.1999999999999993</v>
      </c>
      <c r="K606" s="4" t="s">
        <v>111</v>
      </c>
      <c r="L606" s="4" t="s">
        <v>112</v>
      </c>
      <c r="M606" s="6">
        <f>IF(OR(B606="",I606=""),"",B606*I606)</f>
        <v>5345.28</v>
      </c>
      <c r="N606" s="10" t="s">
        <v>475</v>
      </c>
      <c r="O606" s="9"/>
      <c r="P606" s="9"/>
      <c r="Q606" s="22"/>
      <c r="R606" s="22"/>
      <c r="S606" s="23" t="str">
        <f>IF(AND(ISNUMBER(Q606),Q606&gt;0,ISNUMBER(R606),R606&gt;0),R606/Q606,"")</f>
        <v/>
      </c>
      <c r="T606" s="9"/>
      <c r="U606" s="9"/>
      <c r="V606" s="9"/>
      <c r="W606" s="9" t="s">
        <v>476</v>
      </c>
      <c r="X606" s="23">
        <f>IF(ISNUMBER(S606),S606,IF(ISNUMBER(I606),I606,""))</f>
        <v>7.2</v>
      </c>
      <c r="Y606" t="str">
        <f>IF(ISNUMBER(S606),"2025 EIA-923 plant/group proxy",IF(ISNUMBER(I606),"Technology estimate","No thermal heat rate"))</f>
        <v>Technology estimate</v>
      </c>
      <c r="Z606" t="str">
        <f>IF(ISNUMBER(S606),"Review: NOT unit verified",IF(AE606="No match","No EIA match",IF(AF606="Unconfirmed","Unconfirmed EIA candidate","")))</f>
        <v/>
      </c>
      <c r="AA606" s="26">
        <v>0.4123</v>
      </c>
      <c r="AB606" t="s">
        <v>477</v>
      </c>
      <c r="AC606" t="s">
        <v>478</v>
      </c>
      <c r="AD606" s="26">
        <v>55.2</v>
      </c>
      <c r="AE606" t="s">
        <v>479</v>
      </c>
      <c r="AG606" s="24">
        <f>IF(ISBLANK(S606),S606,I606)</f>
        <v>7.2</v>
      </c>
      <c r="AH606" s="34">
        <f t="shared" si="24"/>
        <v>75400.699999999968</v>
      </c>
      <c r="AI606">
        <f t="shared" si="23"/>
        <v>47086.416919574767</v>
      </c>
      <c r="AJ606" t="b" cm="1">
        <f t="array" ref="AJ606">OR(D606=$AT$2:$AT$8)</f>
        <v>1</v>
      </c>
    </row>
    <row r="607" spans="1:36" x14ac:dyDescent="0.25">
      <c r="A607" s="2" t="s">
        <v>540</v>
      </c>
      <c r="B607" s="3">
        <v>734</v>
      </c>
      <c r="C607" s="2" t="s">
        <v>57</v>
      </c>
      <c r="D607" s="2" t="s">
        <v>58</v>
      </c>
      <c r="E607" s="2" t="s">
        <v>244</v>
      </c>
      <c r="F607" s="4" t="s">
        <v>138</v>
      </c>
      <c r="G607" s="4" t="s">
        <v>245</v>
      </c>
      <c r="H607" s="5">
        <v>6.5</v>
      </c>
      <c r="I607" s="5">
        <v>7.2</v>
      </c>
      <c r="J607" s="5">
        <v>8.1999999999999993</v>
      </c>
      <c r="K607" s="4" t="s">
        <v>111</v>
      </c>
      <c r="L607" s="4" t="s">
        <v>112</v>
      </c>
      <c r="M607" s="6">
        <f>IF(OR(B607="",I607=""),"",B607*I607)</f>
        <v>5284.8</v>
      </c>
      <c r="N607" s="29" t="s">
        <v>154</v>
      </c>
      <c r="O607" s="9"/>
      <c r="P607" s="9"/>
      <c r="Q607" s="22"/>
      <c r="R607" s="22"/>
      <c r="S607" s="23" t="str">
        <f>IF(AND(ISNUMBER(Q607),Q607&gt;0,ISNUMBER(R607),R607&gt;0),R607/Q607,"")</f>
        <v/>
      </c>
      <c r="T607" s="9"/>
      <c r="U607" s="9"/>
      <c r="V607" s="9"/>
      <c r="W607" s="9" t="s">
        <v>541</v>
      </c>
      <c r="X607" s="23">
        <f>IF(ISNUMBER(S607),S607,IF(ISNUMBER(I607),I607,""))</f>
        <v>7.2</v>
      </c>
      <c r="Y607" t="str">
        <f>IF(ISNUMBER(S607),"2025 EIA-923 plant/group proxy",IF(ISNUMBER(I607),"Technology estimate","No thermal heat rate"))</f>
        <v>Technology estimate</v>
      </c>
      <c r="Z607" t="str">
        <f>IF(ISNUMBER(S607),"Review: NOT unit verified",IF(AE607="No match","No EIA match",IF(AF607="Unconfirmed","Unconfirmed EIA candidate","")))</f>
        <v>Unconfirmed EIA candidate</v>
      </c>
      <c r="AA607" s="26">
        <v>0.50819999999999999</v>
      </c>
      <c r="AB607" t="s">
        <v>241</v>
      </c>
      <c r="AC607" t="s">
        <v>542</v>
      </c>
      <c r="AD607" s="26">
        <v>244</v>
      </c>
      <c r="AE607" t="s">
        <v>157</v>
      </c>
      <c r="AF607" t="s">
        <v>158</v>
      </c>
      <c r="AG607" s="24">
        <f>IF(ISBLANK(S607),S607,I607)</f>
        <v>7.2</v>
      </c>
      <c r="AH607" s="34">
        <f t="shared" si="24"/>
        <v>76134.699999999968</v>
      </c>
      <c r="AI607">
        <f t="shared" si="23"/>
        <v>47544.787067583573</v>
      </c>
      <c r="AJ607" t="b" cm="1">
        <f t="array" ref="AJ607">OR(D607=$AT$2:$AT$8)</f>
        <v>0</v>
      </c>
    </row>
    <row r="608" spans="1:36" x14ac:dyDescent="0.25">
      <c r="A608" s="2" t="s">
        <v>574</v>
      </c>
      <c r="B608" s="3">
        <v>705</v>
      </c>
      <c r="C608" s="2" t="s">
        <v>228</v>
      </c>
      <c r="D608" s="2" t="s">
        <v>237</v>
      </c>
      <c r="E608" s="2" t="s">
        <v>244</v>
      </c>
      <c r="F608" s="4" t="s">
        <v>138</v>
      </c>
      <c r="G608" s="4" t="s">
        <v>245</v>
      </c>
      <c r="H608" s="5">
        <v>6.5</v>
      </c>
      <c r="I608" s="5">
        <v>7.2</v>
      </c>
      <c r="J608" s="5">
        <v>8.1999999999999993</v>
      </c>
      <c r="K608" s="4" t="s">
        <v>111</v>
      </c>
      <c r="L608" s="4" t="s">
        <v>112</v>
      </c>
      <c r="M608" s="6">
        <f>IF(OR(B608="",I608=""),"",B608*I608)</f>
        <v>5076</v>
      </c>
      <c r="N608" s="29" t="s">
        <v>154</v>
      </c>
      <c r="O608" s="9"/>
      <c r="P608" s="9"/>
      <c r="Q608" s="22"/>
      <c r="R608" s="22"/>
      <c r="S608" s="23" t="str">
        <f>IF(AND(ISNUMBER(Q608),Q608&gt;0,ISNUMBER(R608),R608&gt;0),R608/Q608,"")</f>
        <v/>
      </c>
      <c r="T608" s="9"/>
      <c r="U608" s="9"/>
      <c r="V608" s="9"/>
      <c r="W608" s="9" t="s">
        <v>575</v>
      </c>
      <c r="X608" s="23">
        <f>IF(ISNUMBER(S608),S608,IF(ISNUMBER(I608),I608,""))</f>
        <v>7.2</v>
      </c>
      <c r="Y608" t="str">
        <f>IF(ISNUMBER(S608),"2025 EIA-923 plant/group proxy",IF(ISNUMBER(I608),"Technology estimate","No thermal heat rate"))</f>
        <v>Technology estimate</v>
      </c>
      <c r="Z608" t="str">
        <f>IF(ISNUMBER(S608),"Review: NOT unit verified",IF(AE608="No match","No EIA match",IF(AF608="Unconfirmed","Unconfirmed EIA candidate","")))</f>
        <v>Unconfirmed EIA candidate</v>
      </c>
      <c r="AA608" s="26">
        <v>0.52610000000000001</v>
      </c>
      <c r="AB608" t="s">
        <v>576</v>
      </c>
      <c r="AC608" t="s">
        <v>577</v>
      </c>
      <c r="AD608" s="26">
        <v>471</v>
      </c>
      <c r="AE608" t="s">
        <v>157</v>
      </c>
      <c r="AF608" t="s">
        <v>158</v>
      </c>
      <c r="AG608" s="24">
        <f>IF(ISBLANK(S608),S608,I608)</f>
        <v>7.2</v>
      </c>
      <c r="AH608" s="34">
        <f t="shared" si="24"/>
        <v>76839.699999999968</v>
      </c>
      <c r="AI608">
        <f t="shared" si="23"/>
        <v>47985.047223368601</v>
      </c>
      <c r="AJ608" t="b" cm="1">
        <f t="array" ref="AJ608">OR(D608=$AT$2:$AT$8)</f>
        <v>0</v>
      </c>
    </row>
    <row r="609" spans="1:36" x14ac:dyDescent="0.25">
      <c r="A609" s="2" t="s">
        <v>592</v>
      </c>
      <c r="B609" s="3">
        <v>121</v>
      </c>
      <c r="C609" s="2" t="s">
        <v>432</v>
      </c>
      <c r="D609" s="2" t="s">
        <v>58</v>
      </c>
      <c r="E609" s="2" t="s">
        <v>244</v>
      </c>
      <c r="F609" s="4" t="s">
        <v>138</v>
      </c>
      <c r="G609" s="4" t="s">
        <v>245</v>
      </c>
      <c r="H609" s="5">
        <v>6.5</v>
      </c>
      <c r="I609" s="5">
        <v>7.2</v>
      </c>
      <c r="J609" s="5">
        <v>8.1999999999999993</v>
      </c>
      <c r="K609" s="4" t="s">
        <v>111</v>
      </c>
      <c r="L609" s="4" t="s">
        <v>112</v>
      </c>
      <c r="M609" s="6">
        <f>IF(OR(B609="",I609=""),"",B609*I609)</f>
        <v>871.2</v>
      </c>
      <c r="N609" s="29" t="s">
        <v>154</v>
      </c>
      <c r="O609" s="9"/>
      <c r="P609" s="9"/>
      <c r="Q609" s="22"/>
      <c r="R609" s="22"/>
      <c r="S609" s="23" t="str">
        <f>IF(AND(ISNUMBER(Q609),Q609&gt;0,ISNUMBER(R609),R609&gt;0),R609/Q609,"")</f>
        <v/>
      </c>
      <c r="T609" s="9"/>
      <c r="U609" s="9"/>
      <c r="V609" s="9"/>
      <c r="W609" s="9" t="s">
        <v>593</v>
      </c>
      <c r="X609" s="23">
        <f>IF(ISNUMBER(S609),S609,IF(ISNUMBER(I609),I609,""))</f>
        <v>7.2</v>
      </c>
      <c r="Y609" t="str">
        <f>IF(ISNUMBER(S609),"2025 EIA-923 plant/group proxy",IF(ISNUMBER(I609),"Technology estimate","No thermal heat rate"))</f>
        <v>Technology estimate</v>
      </c>
      <c r="Z609" t="str">
        <f>IF(ISNUMBER(S609),"Review: NOT unit verified",IF(AE609="No match","No EIA match",IF(AF609="Unconfirmed","Unconfirmed EIA candidate","")))</f>
        <v>Unconfirmed EIA candidate</v>
      </c>
      <c r="AA609" s="26">
        <v>0.50470000000000004</v>
      </c>
      <c r="AB609" t="s">
        <v>250</v>
      </c>
      <c r="AC609" t="s">
        <v>594</v>
      </c>
      <c r="AD609" s="26">
        <v>177.6</v>
      </c>
      <c r="AE609" t="s">
        <v>157</v>
      </c>
      <c r="AF609" t="s">
        <v>158</v>
      </c>
      <c r="AG609" s="24">
        <f>IF(ISBLANK(S609),S609,I609)</f>
        <v>7.2</v>
      </c>
      <c r="AH609" s="34">
        <f t="shared" si="24"/>
        <v>76960.699999999968</v>
      </c>
      <c r="AI609">
        <f t="shared" si="23"/>
        <v>48060.609604716105</v>
      </c>
      <c r="AJ609" t="b" cm="1">
        <f t="array" ref="AJ609">OR(D609=$AT$2:$AT$8)</f>
        <v>0</v>
      </c>
    </row>
    <row r="610" spans="1:36" x14ac:dyDescent="0.25">
      <c r="A610" s="2" t="s">
        <v>595</v>
      </c>
      <c r="B610" s="3">
        <v>127</v>
      </c>
      <c r="C610" s="2" t="s">
        <v>432</v>
      </c>
      <c r="D610" s="2" t="s">
        <v>58</v>
      </c>
      <c r="E610" s="2" t="s">
        <v>244</v>
      </c>
      <c r="F610" s="4" t="s">
        <v>138</v>
      </c>
      <c r="G610" s="4" t="s">
        <v>245</v>
      </c>
      <c r="H610" s="5">
        <v>6.5</v>
      </c>
      <c r="I610" s="5">
        <v>7.2</v>
      </c>
      <c r="J610" s="5">
        <v>8.1999999999999993</v>
      </c>
      <c r="K610" s="4" t="s">
        <v>111</v>
      </c>
      <c r="L610" s="4" t="s">
        <v>112</v>
      </c>
      <c r="M610" s="6">
        <f>IF(OR(B610="",I610=""),"",B610*I610)</f>
        <v>914.4</v>
      </c>
      <c r="N610" s="29" t="s">
        <v>154</v>
      </c>
      <c r="O610" s="9"/>
      <c r="P610" s="9"/>
      <c r="Q610" s="22"/>
      <c r="R610" s="22"/>
      <c r="S610" s="23" t="str">
        <f>IF(AND(ISNUMBER(Q610),Q610&gt;0,ISNUMBER(R610),R610&gt;0),R610/Q610,"")</f>
        <v/>
      </c>
      <c r="T610" s="9"/>
      <c r="U610" s="9"/>
      <c r="V610" s="9"/>
      <c r="W610" s="9" t="s">
        <v>593</v>
      </c>
      <c r="X610" s="23">
        <f>IF(ISNUMBER(S610),S610,IF(ISNUMBER(I610),I610,""))</f>
        <v>7.2</v>
      </c>
      <c r="Y610" t="str">
        <f>IF(ISNUMBER(S610),"2025 EIA-923 plant/group proxy",IF(ISNUMBER(I610),"Technology estimate","No thermal heat rate"))</f>
        <v>Technology estimate</v>
      </c>
      <c r="Z610" t="str">
        <f>IF(ISNUMBER(S610),"Review: NOT unit verified",IF(AE610="No match","No EIA match",IF(AF610="Unconfirmed","Unconfirmed EIA candidate","")))</f>
        <v>Unconfirmed EIA candidate</v>
      </c>
      <c r="AA610" s="26">
        <v>0.50470000000000004</v>
      </c>
      <c r="AB610" t="s">
        <v>250</v>
      </c>
      <c r="AC610" t="s">
        <v>594</v>
      </c>
      <c r="AD610" s="26">
        <v>177.6</v>
      </c>
      <c r="AE610" t="s">
        <v>157</v>
      </c>
      <c r="AF610" t="s">
        <v>158</v>
      </c>
      <c r="AG610" s="24">
        <f>IF(ISBLANK(S610),S610,I610)</f>
        <v>7.2</v>
      </c>
      <c r="AH610" s="34">
        <f t="shared" si="24"/>
        <v>77087.699999999968</v>
      </c>
      <c r="AI610">
        <f t="shared" si="23"/>
        <v>48139.918881006459</v>
      </c>
      <c r="AJ610" t="b" cm="1">
        <f t="array" ref="AJ610">OR(D610=$AT$2:$AT$8)</f>
        <v>0</v>
      </c>
    </row>
    <row r="611" spans="1:36" x14ac:dyDescent="0.25">
      <c r="A611" s="2" t="s">
        <v>596</v>
      </c>
      <c r="B611" s="3">
        <v>127</v>
      </c>
      <c r="C611" s="2" t="s">
        <v>432</v>
      </c>
      <c r="D611" s="2" t="s">
        <v>58</v>
      </c>
      <c r="E611" s="2" t="s">
        <v>244</v>
      </c>
      <c r="F611" s="4" t="s">
        <v>138</v>
      </c>
      <c r="G611" s="4" t="s">
        <v>245</v>
      </c>
      <c r="H611" s="5">
        <v>6.5</v>
      </c>
      <c r="I611" s="5">
        <v>7.2</v>
      </c>
      <c r="J611" s="5">
        <v>8.1999999999999993</v>
      </c>
      <c r="K611" s="4" t="s">
        <v>111</v>
      </c>
      <c r="L611" s="4" t="s">
        <v>112</v>
      </c>
      <c r="M611" s="6">
        <f>IF(OR(B611="",I611=""),"",B611*I611)</f>
        <v>914.4</v>
      </c>
      <c r="N611" s="29" t="s">
        <v>154</v>
      </c>
      <c r="O611" s="9"/>
      <c r="P611" s="9"/>
      <c r="Q611" s="22"/>
      <c r="R611" s="22"/>
      <c r="S611" s="23" t="str">
        <f>IF(AND(ISNUMBER(Q611),Q611&gt;0,ISNUMBER(R611),R611&gt;0),R611/Q611,"")</f>
        <v/>
      </c>
      <c r="T611" s="9"/>
      <c r="U611" s="9"/>
      <c r="V611" s="9"/>
      <c r="W611" s="9" t="s">
        <v>593</v>
      </c>
      <c r="X611" s="23">
        <f>IF(ISNUMBER(S611),S611,IF(ISNUMBER(I611),I611,""))</f>
        <v>7.2</v>
      </c>
      <c r="Y611" t="str">
        <f>IF(ISNUMBER(S611),"2025 EIA-923 plant/group proxy",IF(ISNUMBER(I611),"Technology estimate","No thermal heat rate"))</f>
        <v>Technology estimate</v>
      </c>
      <c r="Z611" t="str">
        <f>IF(ISNUMBER(S611),"Review: NOT unit verified",IF(AE611="No match","No EIA match",IF(AF611="Unconfirmed","Unconfirmed EIA candidate","")))</f>
        <v>Unconfirmed EIA candidate</v>
      </c>
      <c r="AA611" s="26">
        <v>0.50470000000000004</v>
      </c>
      <c r="AB611" t="s">
        <v>250</v>
      </c>
      <c r="AC611" t="s">
        <v>594</v>
      </c>
      <c r="AD611" s="26">
        <v>177.6</v>
      </c>
      <c r="AE611" t="s">
        <v>157</v>
      </c>
      <c r="AF611" t="s">
        <v>158</v>
      </c>
      <c r="AG611" s="24">
        <f>IF(ISBLANK(S611),S611,I611)</f>
        <v>7.2</v>
      </c>
      <c r="AH611" s="34">
        <f t="shared" si="24"/>
        <v>77214.699999999968</v>
      </c>
      <c r="AI611">
        <f t="shared" si="23"/>
        <v>48219.228157296813</v>
      </c>
      <c r="AJ611" t="b" cm="1">
        <f t="array" ref="AJ611">OR(D611=$AT$2:$AT$8)</f>
        <v>0</v>
      </c>
    </row>
    <row r="612" spans="1:36" x14ac:dyDescent="0.25">
      <c r="A612" s="2" t="s">
        <v>703</v>
      </c>
      <c r="B612" s="3">
        <v>130</v>
      </c>
      <c r="C612" s="2" t="s">
        <v>97</v>
      </c>
      <c r="D612" s="2" t="s">
        <v>97</v>
      </c>
      <c r="E612" s="2" t="s">
        <v>244</v>
      </c>
      <c r="F612" s="4" t="s">
        <v>138</v>
      </c>
      <c r="G612" s="4" t="s">
        <v>245</v>
      </c>
      <c r="H612" s="5">
        <v>6.5</v>
      </c>
      <c r="I612" s="5">
        <v>7.2</v>
      </c>
      <c r="J612" s="5">
        <v>8.1999999999999993</v>
      </c>
      <c r="K612" s="4" t="s">
        <v>111</v>
      </c>
      <c r="L612" s="4" t="s">
        <v>112</v>
      </c>
      <c r="M612" s="6">
        <f>IF(OR(B612="",I612=""),"",B612*I612)</f>
        <v>936</v>
      </c>
      <c r="N612" s="29" t="s">
        <v>154</v>
      </c>
      <c r="O612" s="9"/>
      <c r="P612" s="9"/>
      <c r="Q612" s="22"/>
      <c r="R612" s="22"/>
      <c r="S612" s="23" t="str">
        <f>IF(AND(ISNUMBER(Q612),Q612&gt;0,ISNUMBER(R612),R612&gt;0),R612/Q612,"")</f>
        <v/>
      </c>
      <c r="T612" s="9"/>
      <c r="U612" s="9"/>
      <c r="V612" s="9"/>
      <c r="W612" s="9" t="s">
        <v>704</v>
      </c>
      <c r="X612" s="23">
        <f>IF(ISNUMBER(S612),S612,IF(ISNUMBER(I612),I612,""))</f>
        <v>7.2</v>
      </c>
      <c r="Y612" t="str">
        <f>IF(ISNUMBER(S612),"2025 EIA-923 plant/group proxy",IF(ISNUMBER(I612),"Technology estimate","No thermal heat rate"))</f>
        <v>Technology estimate</v>
      </c>
      <c r="Z612" t="str">
        <f>IF(ISNUMBER(S612),"Review: NOT unit verified",IF(AE612="No match","No EIA match",IF(AF612="Unconfirmed","Unconfirmed EIA candidate","")))</f>
        <v>Unconfirmed EIA candidate</v>
      </c>
      <c r="AA612" s="26">
        <v>0.50529999999999997</v>
      </c>
      <c r="AB612" t="s">
        <v>166</v>
      </c>
      <c r="AC612" t="s">
        <v>705</v>
      </c>
      <c r="AD612" s="26">
        <v>194</v>
      </c>
      <c r="AE612" t="s">
        <v>157</v>
      </c>
      <c r="AF612" t="s">
        <v>158</v>
      </c>
      <c r="AG612" s="24">
        <f>IF(ISBLANK(S612),S612,I612)</f>
        <v>7.2</v>
      </c>
      <c r="AH612" s="34">
        <f t="shared" si="24"/>
        <v>77344.699999999968</v>
      </c>
      <c r="AI612">
        <f t="shared" si="23"/>
        <v>48300.410881058589</v>
      </c>
      <c r="AJ612" t="b" cm="1">
        <f t="array" ref="AJ612">OR(D612=$AT$2:$AT$8)</f>
        <v>0</v>
      </c>
    </row>
    <row r="613" spans="1:36" x14ac:dyDescent="0.25">
      <c r="A613" s="2" t="s">
        <v>741</v>
      </c>
      <c r="B613" s="3">
        <v>276</v>
      </c>
      <c r="C613" s="2" t="s">
        <v>432</v>
      </c>
      <c r="D613" s="2" t="s">
        <v>58</v>
      </c>
      <c r="E613" s="2" t="s">
        <v>244</v>
      </c>
      <c r="F613" s="4" t="s">
        <v>138</v>
      </c>
      <c r="G613" s="4" t="s">
        <v>245</v>
      </c>
      <c r="H613" s="5">
        <v>6.5</v>
      </c>
      <c r="I613" s="5">
        <v>7.2</v>
      </c>
      <c r="J613" s="5">
        <v>8.1999999999999993</v>
      </c>
      <c r="K613" s="4" t="s">
        <v>111</v>
      </c>
      <c r="L613" s="4" t="s">
        <v>112</v>
      </c>
      <c r="M613" s="6">
        <f>IF(OR(B613="",I613=""),"",B613*I613)</f>
        <v>1987.2</v>
      </c>
      <c r="N613" s="10" t="s">
        <v>475</v>
      </c>
      <c r="O613" s="9"/>
      <c r="P613" s="9"/>
      <c r="Q613" s="22"/>
      <c r="R613" s="22"/>
      <c r="S613" s="23" t="str">
        <f>IF(AND(ISNUMBER(Q613),Q613&gt;0,ISNUMBER(R613),R613&gt;0),R613/Q613,"")</f>
        <v/>
      </c>
      <c r="T613" s="9"/>
      <c r="U613" s="9"/>
      <c r="V613" s="9"/>
      <c r="W613" s="9" t="s">
        <v>476</v>
      </c>
      <c r="X613" s="23">
        <f>IF(ISNUMBER(S613),S613,IF(ISNUMBER(I613),I613,""))</f>
        <v>7.2</v>
      </c>
      <c r="Y613" t="str">
        <f>IF(ISNUMBER(S613),"2025 EIA-923 plant/group proxy",IF(ISNUMBER(I613),"Technology estimate","No thermal heat rate"))</f>
        <v>Technology estimate</v>
      </c>
      <c r="Z613" t="str">
        <f>IF(ISNUMBER(S613),"Review: NOT unit verified",IF(AE613="No match","No EIA match",IF(AF613="Unconfirmed","Unconfirmed EIA candidate","")))</f>
        <v/>
      </c>
      <c r="AA613" s="26">
        <v>0.40770000000000001</v>
      </c>
      <c r="AB613" t="s">
        <v>477</v>
      </c>
      <c r="AC613" t="s">
        <v>478</v>
      </c>
      <c r="AD613" s="26">
        <v>55.2</v>
      </c>
      <c r="AE613" t="s">
        <v>479</v>
      </c>
      <c r="AG613" s="24">
        <f>IF(ISBLANK(S613),S613,I613)</f>
        <v>7.2</v>
      </c>
      <c r="AH613" s="34">
        <f t="shared" si="24"/>
        <v>77620.699999999968</v>
      </c>
      <c r="AI613">
        <f t="shared" si="23"/>
        <v>48472.768048429753</v>
      </c>
      <c r="AJ613" t="b" cm="1">
        <f t="array" ref="AJ613">OR(D613=$AT$2:$AT$8)</f>
        <v>0</v>
      </c>
    </row>
    <row r="614" spans="1:36" x14ac:dyDescent="0.25">
      <c r="A614" s="2" t="s">
        <v>742</v>
      </c>
      <c r="B614" s="3">
        <v>172</v>
      </c>
      <c r="C614" s="2" t="s">
        <v>432</v>
      </c>
      <c r="D614" s="2" t="s">
        <v>58</v>
      </c>
      <c r="E614" s="2" t="s">
        <v>244</v>
      </c>
      <c r="F614" s="4" t="s">
        <v>138</v>
      </c>
      <c r="G614" s="4" t="s">
        <v>245</v>
      </c>
      <c r="H614" s="5">
        <v>6.5</v>
      </c>
      <c r="I614" s="5">
        <v>7.2</v>
      </c>
      <c r="J614" s="5">
        <v>8.1999999999999993</v>
      </c>
      <c r="K614" s="4" t="s">
        <v>111</v>
      </c>
      <c r="L614" s="4" t="s">
        <v>112</v>
      </c>
      <c r="M614" s="6">
        <f>IF(OR(B614="",I614=""),"",B614*I614)</f>
        <v>1238.4000000000001</v>
      </c>
      <c r="N614" s="10" t="s">
        <v>10</v>
      </c>
      <c r="O614" s="9"/>
      <c r="P614" s="9"/>
      <c r="Q614" s="22"/>
      <c r="R614" s="22"/>
      <c r="S614" s="23" t="str">
        <f>IF(AND(ISNUMBER(Q614),Q614&gt;0,ISNUMBER(R614),R614&gt;0),R614/Q614,"")</f>
        <v/>
      </c>
      <c r="T614" s="9"/>
      <c r="U614" s="9"/>
      <c r="V614" s="9"/>
      <c r="W614" s="9"/>
      <c r="X614" s="23">
        <f>IF(ISNUMBER(S614),S614,IF(ISNUMBER(I614),I614,""))</f>
        <v>7.2</v>
      </c>
      <c r="Y614" t="str">
        <f>IF(ISNUMBER(S614),"2025 EIA-923 plant/group proxy",IF(ISNUMBER(I614),"Technology estimate","No thermal heat rate"))</f>
        <v>Technology estimate</v>
      </c>
      <c r="Z614" t="str">
        <f>IF(ISNUMBER(S614),"Review: NOT unit verified",IF(AE614="No match","No EIA match",IF(AF614="Unconfirmed","Unconfirmed EIA candidate","")))</f>
        <v>No EIA match</v>
      </c>
      <c r="AE614" t="s">
        <v>107</v>
      </c>
      <c r="AG614" s="24">
        <f>IF(ISBLANK(S614),S614,I614)</f>
        <v>7.2</v>
      </c>
      <c r="AH614" s="34">
        <f t="shared" si="24"/>
        <v>77792.699999999968</v>
      </c>
      <c r="AI614">
        <f t="shared" si="23"/>
        <v>48580.179036791487</v>
      </c>
      <c r="AJ614" t="b" cm="1">
        <f t="array" ref="AJ614">OR(D614=$AT$2:$AT$8)</f>
        <v>0</v>
      </c>
    </row>
    <row r="615" spans="1:36" x14ac:dyDescent="0.25">
      <c r="A615" s="2" t="s">
        <v>743</v>
      </c>
      <c r="B615" s="3">
        <v>172</v>
      </c>
      <c r="C615" s="2" t="s">
        <v>432</v>
      </c>
      <c r="D615" s="2" t="s">
        <v>58</v>
      </c>
      <c r="E615" s="2" t="s">
        <v>244</v>
      </c>
      <c r="F615" s="4" t="s">
        <v>138</v>
      </c>
      <c r="G615" s="4" t="s">
        <v>245</v>
      </c>
      <c r="H615" s="5">
        <v>6.5</v>
      </c>
      <c r="I615" s="5">
        <v>7.2</v>
      </c>
      <c r="J615" s="5">
        <v>8.1999999999999993</v>
      </c>
      <c r="K615" s="4" t="s">
        <v>111</v>
      </c>
      <c r="L615" s="4" t="s">
        <v>112</v>
      </c>
      <c r="M615" s="6">
        <f>IF(OR(B615="",I615=""),"",B615*I615)</f>
        <v>1238.4000000000001</v>
      </c>
      <c r="N615" s="10" t="s">
        <v>10</v>
      </c>
      <c r="O615" s="9"/>
      <c r="P615" s="9"/>
      <c r="Q615" s="22"/>
      <c r="R615" s="22"/>
      <c r="S615" s="23" t="str">
        <f>IF(AND(ISNUMBER(Q615),Q615&gt;0,ISNUMBER(R615),R615&gt;0),R615/Q615,"")</f>
        <v/>
      </c>
      <c r="T615" s="9"/>
      <c r="U615" s="9"/>
      <c r="V615" s="9"/>
      <c r="W615" s="9"/>
      <c r="X615" s="23">
        <f>IF(ISNUMBER(S615),S615,IF(ISNUMBER(I615),I615,""))</f>
        <v>7.2</v>
      </c>
      <c r="Y615" t="str">
        <f>IF(ISNUMBER(S615),"2025 EIA-923 plant/group proxy",IF(ISNUMBER(I615),"Technology estimate","No thermal heat rate"))</f>
        <v>Technology estimate</v>
      </c>
      <c r="Z615" t="str">
        <f>IF(ISNUMBER(S615),"Review: NOT unit verified",IF(AE615="No match","No EIA match",IF(AF615="Unconfirmed","Unconfirmed EIA candidate","")))</f>
        <v>No EIA match</v>
      </c>
      <c r="AE615" t="s">
        <v>107</v>
      </c>
      <c r="AG615" s="24">
        <f>IF(ISBLANK(S615),S615,I615)</f>
        <v>7.2</v>
      </c>
      <c r="AH615" s="34">
        <f t="shared" si="24"/>
        <v>77964.699999999968</v>
      </c>
      <c r="AI615">
        <f t="shared" si="23"/>
        <v>48687.590025153222</v>
      </c>
      <c r="AJ615" t="b" cm="1">
        <f t="array" ref="AJ615">OR(D615=$AT$2:$AT$8)</f>
        <v>0</v>
      </c>
    </row>
    <row r="616" spans="1:36" x14ac:dyDescent="0.25">
      <c r="A616" s="2" t="s">
        <v>744</v>
      </c>
      <c r="B616" s="3">
        <v>276</v>
      </c>
      <c r="C616" s="2" t="s">
        <v>432</v>
      </c>
      <c r="D616" s="2" t="s">
        <v>58</v>
      </c>
      <c r="E616" s="2" t="s">
        <v>244</v>
      </c>
      <c r="F616" s="4" t="s">
        <v>138</v>
      </c>
      <c r="G616" s="4" t="s">
        <v>245</v>
      </c>
      <c r="H616" s="5">
        <v>6.5</v>
      </c>
      <c r="I616" s="5">
        <v>7.2</v>
      </c>
      <c r="J616" s="5">
        <v>8.1999999999999993</v>
      </c>
      <c r="K616" s="4" t="s">
        <v>111</v>
      </c>
      <c r="L616" s="4" t="s">
        <v>112</v>
      </c>
      <c r="M616" s="6">
        <f>IF(OR(B616="",I616=""),"",B616*I616)</f>
        <v>1987.2</v>
      </c>
      <c r="N616" s="10" t="s">
        <v>475</v>
      </c>
      <c r="O616" s="9"/>
      <c r="P616" s="9"/>
      <c r="Q616" s="22"/>
      <c r="R616" s="22"/>
      <c r="S616" s="23" t="str">
        <f>IF(AND(ISNUMBER(Q616),Q616&gt;0,ISNUMBER(R616),R616&gt;0),R616/Q616,"")</f>
        <v/>
      </c>
      <c r="T616" s="9"/>
      <c r="U616" s="9"/>
      <c r="V616" s="9"/>
      <c r="W616" s="9" t="s">
        <v>476</v>
      </c>
      <c r="X616" s="23">
        <f>IF(ISNUMBER(S616),S616,IF(ISNUMBER(I616),I616,""))</f>
        <v>7.2</v>
      </c>
      <c r="Y616" t="str">
        <f>IF(ISNUMBER(S616),"2025 EIA-923 plant/group proxy",IF(ISNUMBER(I616),"Technology estimate","No thermal heat rate"))</f>
        <v>Technology estimate</v>
      </c>
      <c r="Z616" t="str">
        <f>IF(ISNUMBER(S616),"Review: NOT unit verified",IF(AE616="No match","No EIA match",IF(AF616="Unconfirmed","Unconfirmed EIA candidate","")))</f>
        <v/>
      </c>
      <c r="AA616" s="26">
        <v>0.40770000000000001</v>
      </c>
      <c r="AB616" t="s">
        <v>477</v>
      </c>
      <c r="AC616" t="s">
        <v>478</v>
      </c>
      <c r="AD616" s="26">
        <v>55.2</v>
      </c>
      <c r="AE616" t="s">
        <v>479</v>
      </c>
      <c r="AG616" s="24">
        <f>IF(ISBLANK(S616),S616,I616)</f>
        <v>7.2</v>
      </c>
      <c r="AH616" s="34">
        <f t="shared" si="24"/>
        <v>78240.699999999968</v>
      </c>
      <c r="AI616">
        <f t="shared" si="23"/>
        <v>48859.947192524385</v>
      </c>
      <c r="AJ616" t="b" cm="1">
        <f t="array" ref="AJ616">OR(D616=$AT$2:$AT$8)</f>
        <v>0</v>
      </c>
    </row>
    <row r="617" spans="1:36" x14ac:dyDescent="0.25">
      <c r="A617" s="2" t="s">
        <v>745</v>
      </c>
      <c r="B617" s="3">
        <v>172</v>
      </c>
      <c r="C617" s="2" t="s">
        <v>432</v>
      </c>
      <c r="D617" s="2" t="s">
        <v>58</v>
      </c>
      <c r="E617" s="2" t="s">
        <v>244</v>
      </c>
      <c r="F617" s="4" t="s">
        <v>138</v>
      </c>
      <c r="G617" s="4" t="s">
        <v>245</v>
      </c>
      <c r="H617" s="5">
        <v>6.5</v>
      </c>
      <c r="I617" s="5">
        <v>7.2</v>
      </c>
      <c r="J617" s="5">
        <v>8.1999999999999993</v>
      </c>
      <c r="K617" s="4" t="s">
        <v>111</v>
      </c>
      <c r="L617" s="4" t="s">
        <v>112</v>
      </c>
      <c r="M617" s="6">
        <f>IF(OR(B617="",I617=""),"",B617*I617)</f>
        <v>1238.4000000000001</v>
      </c>
      <c r="N617" s="10" t="s">
        <v>10</v>
      </c>
      <c r="O617" s="9"/>
      <c r="P617" s="9"/>
      <c r="Q617" s="22"/>
      <c r="R617" s="22"/>
      <c r="S617" s="23" t="str">
        <f>IF(AND(ISNUMBER(Q617),Q617&gt;0,ISNUMBER(R617),R617&gt;0),R617/Q617,"")</f>
        <v/>
      </c>
      <c r="T617" s="9"/>
      <c r="U617" s="9"/>
      <c r="V617" s="9"/>
      <c r="W617" s="9"/>
      <c r="X617" s="23">
        <f>IF(ISNUMBER(S617),S617,IF(ISNUMBER(I617),I617,""))</f>
        <v>7.2</v>
      </c>
      <c r="Y617" t="str">
        <f>IF(ISNUMBER(S617),"2025 EIA-923 plant/group proxy",IF(ISNUMBER(I617),"Technology estimate","No thermal heat rate"))</f>
        <v>Technology estimate</v>
      </c>
      <c r="Z617" t="str">
        <f>IF(ISNUMBER(S617),"Review: NOT unit verified",IF(AE617="No match","No EIA match",IF(AF617="Unconfirmed","Unconfirmed EIA candidate","")))</f>
        <v>No EIA match</v>
      </c>
      <c r="AE617" t="s">
        <v>107</v>
      </c>
      <c r="AG617" s="24">
        <f>IF(ISBLANK(S617),S617,I617)</f>
        <v>7.2</v>
      </c>
      <c r="AH617" s="34">
        <f t="shared" si="24"/>
        <v>78412.699999999968</v>
      </c>
      <c r="AI617">
        <f t="shared" si="23"/>
        <v>48967.35818088612</v>
      </c>
      <c r="AJ617" t="b" cm="1">
        <f t="array" ref="AJ617">OR(D617=$AT$2:$AT$8)</f>
        <v>0</v>
      </c>
    </row>
    <row r="618" spans="1:36" x14ac:dyDescent="0.25">
      <c r="A618" s="2" t="s">
        <v>746</v>
      </c>
      <c r="B618" s="3">
        <v>172</v>
      </c>
      <c r="C618" s="2" t="s">
        <v>432</v>
      </c>
      <c r="D618" s="2" t="s">
        <v>58</v>
      </c>
      <c r="E618" s="2" t="s">
        <v>244</v>
      </c>
      <c r="F618" s="4" t="s">
        <v>138</v>
      </c>
      <c r="G618" s="4" t="s">
        <v>245</v>
      </c>
      <c r="H618" s="5">
        <v>6.5</v>
      </c>
      <c r="I618" s="5">
        <v>7.2</v>
      </c>
      <c r="J618" s="5">
        <v>8.1999999999999993</v>
      </c>
      <c r="K618" s="4" t="s">
        <v>111</v>
      </c>
      <c r="L618" s="4" t="s">
        <v>112</v>
      </c>
      <c r="M618" s="6">
        <f>IF(OR(B618="",I618=""),"",B618*I618)</f>
        <v>1238.4000000000001</v>
      </c>
      <c r="N618" s="10" t="s">
        <v>10</v>
      </c>
      <c r="O618" s="9"/>
      <c r="P618" s="9"/>
      <c r="Q618" s="22"/>
      <c r="R618" s="22"/>
      <c r="S618" s="23" t="str">
        <f>IF(AND(ISNUMBER(Q618),Q618&gt;0,ISNUMBER(R618),R618&gt;0),R618/Q618,"")</f>
        <v/>
      </c>
      <c r="T618" s="9"/>
      <c r="U618" s="9"/>
      <c r="V618" s="9"/>
      <c r="W618" s="9"/>
      <c r="X618" s="23">
        <f>IF(ISNUMBER(S618),S618,IF(ISNUMBER(I618),I618,""))</f>
        <v>7.2</v>
      </c>
      <c r="Y618" t="str">
        <f>IF(ISNUMBER(S618),"2025 EIA-923 plant/group proxy",IF(ISNUMBER(I618),"Technology estimate","No thermal heat rate"))</f>
        <v>Technology estimate</v>
      </c>
      <c r="Z618" t="str">
        <f>IF(ISNUMBER(S618),"Review: NOT unit verified",IF(AE618="No match","No EIA match",IF(AF618="Unconfirmed","Unconfirmed EIA candidate","")))</f>
        <v>No EIA match</v>
      </c>
      <c r="AE618" t="s">
        <v>107</v>
      </c>
      <c r="AG618" s="24">
        <f>IF(ISBLANK(S618),S618,I618)</f>
        <v>7.2</v>
      </c>
      <c r="AH618" s="34">
        <f t="shared" si="24"/>
        <v>78584.699999999968</v>
      </c>
      <c r="AI618">
        <f t="shared" si="23"/>
        <v>49074.769169247862</v>
      </c>
      <c r="AJ618" t="b" cm="1">
        <f t="array" ref="AJ618">OR(D618=$AT$2:$AT$8)</f>
        <v>0</v>
      </c>
    </row>
    <row r="619" spans="1:36" x14ac:dyDescent="0.25">
      <c r="A619" s="2" t="s">
        <v>763</v>
      </c>
      <c r="B619" s="3">
        <v>696</v>
      </c>
      <c r="C619" s="2" t="s">
        <v>78</v>
      </c>
      <c r="D619" s="2" t="s">
        <v>78</v>
      </c>
      <c r="E619" s="2" t="s">
        <v>244</v>
      </c>
      <c r="F619" s="4" t="s">
        <v>138</v>
      </c>
      <c r="G619" s="4" t="s">
        <v>245</v>
      </c>
      <c r="H619" s="5">
        <v>6.5</v>
      </c>
      <c r="I619" s="5">
        <v>7.2</v>
      </c>
      <c r="J619" s="5">
        <v>8.1999999999999993</v>
      </c>
      <c r="K619" s="4" t="s">
        <v>111</v>
      </c>
      <c r="L619" s="4" t="s">
        <v>112</v>
      </c>
      <c r="M619" s="6">
        <f>IF(OR(B619="",I619=""),"",B619*I619)</f>
        <v>5011.2</v>
      </c>
      <c r="N619" s="29" t="s">
        <v>154</v>
      </c>
      <c r="O619" s="9"/>
      <c r="P619" s="9"/>
      <c r="Q619" s="22"/>
      <c r="R619" s="22"/>
      <c r="S619" s="23" t="str">
        <f>IF(AND(ISNUMBER(Q619),Q619&gt;0,ISNUMBER(R619),R619&gt;0),R619/Q619,"")</f>
        <v/>
      </c>
      <c r="T619" s="9"/>
      <c r="U619" s="9"/>
      <c r="V619" s="9"/>
      <c r="W619" s="9" t="s">
        <v>764</v>
      </c>
      <c r="X619" s="23">
        <f>IF(ISNUMBER(S619),S619,IF(ISNUMBER(I619),I619,""))</f>
        <v>7.2</v>
      </c>
      <c r="Y619" t="str">
        <f>IF(ISNUMBER(S619),"2025 EIA-923 plant/group proxy",IF(ISNUMBER(I619),"Technology estimate","No thermal heat rate"))</f>
        <v>Technology estimate</v>
      </c>
      <c r="Z619" t="str">
        <f>IF(ISNUMBER(S619),"Review: NOT unit verified",IF(AE619="No match","No EIA match",IF(AF619="Unconfirmed","Unconfirmed EIA candidate","")))</f>
        <v>Unconfirmed EIA candidate</v>
      </c>
      <c r="AA619" s="26">
        <v>0.44219999999999998</v>
      </c>
      <c r="AB619" t="s">
        <v>166</v>
      </c>
      <c r="AC619" t="s">
        <v>368</v>
      </c>
      <c r="AD619" s="26">
        <v>1220.9000000000001</v>
      </c>
      <c r="AE619" t="s">
        <v>157</v>
      </c>
      <c r="AF619" t="s">
        <v>158</v>
      </c>
      <c r="AG619" s="24">
        <f>IF(ISBLANK(S619),S619,I619)</f>
        <v>7.2</v>
      </c>
      <c r="AH619" s="34">
        <f t="shared" si="24"/>
        <v>79280.699999999968</v>
      </c>
      <c r="AI619">
        <f t="shared" si="23"/>
        <v>49509.40898261861</v>
      </c>
      <c r="AJ619" t="b" cm="1">
        <f t="array" ref="AJ619">OR(D619=$AT$2:$AT$8)</f>
        <v>1</v>
      </c>
    </row>
    <row r="620" spans="1:36" x14ac:dyDescent="0.25">
      <c r="A620" s="2" t="s">
        <v>772</v>
      </c>
      <c r="B620" s="3">
        <v>89</v>
      </c>
      <c r="C620" s="2" t="s">
        <v>209</v>
      </c>
      <c r="D620" s="2" t="s">
        <v>81</v>
      </c>
      <c r="E620" s="2" t="s">
        <v>244</v>
      </c>
      <c r="F620" s="4" t="s">
        <v>138</v>
      </c>
      <c r="G620" s="4" t="s">
        <v>245</v>
      </c>
      <c r="H620" s="5">
        <v>6.5</v>
      </c>
      <c r="I620" s="5">
        <v>7.2</v>
      </c>
      <c r="J620" s="5">
        <v>8.1999999999999993</v>
      </c>
      <c r="K620" s="4" t="s">
        <v>111</v>
      </c>
      <c r="L620" s="4" t="s">
        <v>112</v>
      </c>
      <c r="M620" s="6">
        <f>IF(OR(B620="",I620=""),"",B620*I620)</f>
        <v>640.80000000000007</v>
      </c>
      <c r="N620" s="29" t="s">
        <v>154</v>
      </c>
      <c r="O620" s="9"/>
      <c r="P620" s="9"/>
      <c r="Q620" s="22"/>
      <c r="R620" s="22"/>
      <c r="S620" s="23" t="str">
        <f>IF(AND(ISNUMBER(Q620),Q620&gt;0,ISNUMBER(R620),R620&gt;0),R620/Q620,"")</f>
        <v/>
      </c>
      <c r="T620" s="9"/>
      <c r="U620" s="9"/>
      <c r="V620" s="9"/>
      <c r="W620" s="9" t="s">
        <v>773</v>
      </c>
      <c r="X620" s="23">
        <f>IF(ISNUMBER(S620),S620,IF(ISNUMBER(I620),I620,""))</f>
        <v>7.2</v>
      </c>
      <c r="Y620" t="str">
        <f>IF(ISNUMBER(S620),"2025 EIA-923 plant/group proxy",IF(ISNUMBER(I620),"Technology estimate","No thermal heat rate"))</f>
        <v>Technology estimate</v>
      </c>
      <c r="Z620" t="str">
        <f>IF(ISNUMBER(S620),"Review: NOT unit verified",IF(AE620="No match","No EIA match",IF(AF620="Unconfirmed","Unconfirmed EIA candidate","")))</f>
        <v>Unconfirmed EIA candidate</v>
      </c>
      <c r="AA620" s="26">
        <v>0.84589999999999999</v>
      </c>
      <c r="AB620" t="s">
        <v>477</v>
      </c>
      <c r="AC620" t="s">
        <v>774</v>
      </c>
      <c r="AD620" s="26">
        <v>1901.8</v>
      </c>
      <c r="AE620" t="s">
        <v>157</v>
      </c>
      <c r="AF620" t="s">
        <v>158</v>
      </c>
      <c r="AG620" s="24">
        <f>IF(ISBLANK(S620),S620,I620)</f>
        <v>7.2</v>
      </c>
      <c r="AH620" s="34">
        <f t="shared" si="24"/>
        <v>79369.699999999968</v>
      </c>
      <c r="AI620">
        <f t="shared" si="23"/>
        <v>49564.987924270907</v>
      </c>
      <c r="AJ620" t="b" cm="1">
        <f t="array" ref="AJ620">OR(D620=$AT$2:$AT$8)</f>
        <v>0</v>
      </c>
    </row>
    <row r="621" spans="1:36" x14ac:dyDescent="0.25">
      <c r="A621" s="2" t="s">
        <v>776</v>
      </c>
      <c r="B621" s="3">
        <v>170</v>
      </c>
      <c r="C621" s="2" t="s">
        <v>147</v>
      </c>
      <c r="D621" s="2" t="s">
        <v>147</v>
      </c>
      <c r="E621" s="2" t="s">
        <v>244</v>
      </c>
      <c r="F621" s="4" t="s">
        <v>138</v>
      </c>
      <c r="G621" s="4" t="s">
        <v>245</v>
      </c>
      <c r="H621" s="5">
        <v>6.5</v>
      </c>
      <c r="I621" s="5">
        <v>7.2</v>
      </c>
      <c r="J621" s="5">
        <v>8.1999999999999993</v>
      </c>
      <c r="K621" s="4" t="s">
        <v>111</v>
      </c>
      <c r="L621" s="4" t="s">
        <v>112</v>
      </c>
      <c r="M621" s="6">
        <f>IF(OR(B621="",I621=""),"",B621*I621)</f>
        <v>1224</v>
      </c>
      <c r="N621" s="29" t="s">
        <v>154</v>
      </c>
      <c r="O621" s="9"/>
      <c r="P621" s="9"/>
      <c r="Q621" s="22"/>
      <c r="R621" s="22"/>
      <c r="S621" s="23" t="str">
        <f>IF(AND(ISNUMBER(Q621),Q621&gt;0,ISNUMBER(R621),R621&gt;0),R621/Q621,"")</f>
        <v/>
      </c>
      <c r="T621" s="9"/>
      <c r="U621" s="9"/>
      <c r="V621" s="9"/>
      <c r="W621" s="9" t="s">
        <v>777</v>
      </c>
      <c r="X621" s="23">
        <f>IF(ISNUMBER(S621),S621,IF(ISNUMBER(I621),I621,""))</f>
        <v>7.2</v>
      </c>
      <c r="Y621" t="str">
        <f>IF(ISNUMBER(S621),"2025 EIA-923 plant/group proxy",IF(ISNUMBER(I621),"Technology estimate","No thermal heat rate"))</f>
        <v>Technology estimate</v>
      </c>
      <c r="Z621" t="str">
        <f>IF(ISNUMBER(S621),"Review: NOT unit verified",IF(AE621="No match","No EIA match",IF(AF621="Unconfirmed","Unconfirmed EIA candidate","")))</f>
        <v>Unconfirmed EIA candidate</v>
      </c>
      <c r="AA621" s="26">
        <v>0.55400000000000005</v>
      </c>
      <c r="AB621" t="s">
        <v>322</v>
      </c>
      <c r="AC621" t="s">
        <v>778</v>
      </c>
      <c r="AD621" s="26">
        <v>685.1</v>
      </c>
      <c r="AE621" t="s">
        <v>157</v>
      </c>
      <c r="AF621" t="s">
        <v>158</v>
      </c>
      <c r="AG621" s="24">
        <f>IF(ISBLANK(S621),S621,I621)</f>
        <v>7.2</v>
      </c>
      <c r="AH621" s="34">
        <f t="shared" si="24"/>
        <v>79539.699999999968</v>
      </c>
      <c r="AI621">
        <f t="shared" si="23"/>
        <v>49671.149947651691</v>
      </c>
      <c r="AJ621" t="b" cm="1">
        <f t="array" ref="AJ621">OR(D621=$AT$2:$AT$8)</f>
        <v>0</v>
      </c>
    </row>
    <row r="622" spans="1:36" x14ac:dyDescent="0.25">
      <c r="A622" s="2" t="s">
        <v>779</v>
      </c>
      <c r="B622" s="3">
        <v>170</v>
      </c>
      <c r="C622" s="2" t="s">
        <v>147</v>
      </c>
      <c r="D622" s="2" t="s">
        <v>147</v>
      </c>
      <c r="E622" s="2" t="s">
        <v>244</v>
      </c>
      <c r="F622" s="4" t="s">
        <v>138</v>
      </c>
      <c r="G622" s="4" t="s">
        <v>245</v>
      </c>
      <c r="H622" s="5">
        <v>6.5</v>
      </c>
      <c r="I622" s="5">
        <v>7.2</v>
      </c>
      <c r="J622" s="5">
        <v>8.1999999999999993</v>
      </c>
      <c r="K622" s="4" t="s">
        <v>111</v>
      </c>
      <c r="L622" s="4" t="s">
        <v>112</v>
      </c>
      <c r="M622" s="6">
        <f>IF(OR(B622="",I622=""),"",B622*I622)</f>
        <v>1224</v>
      </c>
      <c r="N622" s="29" t="s">
        <v>154</v>
      </c>
      <c r="O622" s="9"/>
      <c r="P622" s="9"/>
      <c r="Q622" s="22"/>
      <c r="R622" s="22"/>
      <c r="S622" s="23" t="str">
        <f>IF(AND(ISNUMBER(Q622),Q622&gt;0,ISNUMBER(R622),R622&gt;0),R622/Q622,"")</f>
        <v/>
      </c>
      <c r="T622" s="9"/>
      <c r="U622" s="9"/>
      <c r="V622" s="9"/>
      <c r="W622" s="9" t="s">
        <v>777</v>
      </c>
      <c r="X622" s="23">
        <f>IF(ISNUMBER(S622),S622,IF(ISNUMBER(I622),I622,""))</f>
        <v>7.2</v>
      </c>
      <c r="Y622" t="str">
        <f>IF(ISNUMBER(S622),"2025 EIA-923 plant/group proxy",IF(ISNUMBER(I622),"Technology estimate","No thermal heat rate"))</f>
        <v>Technology estimate</v>
      </c>
      <c r="Z622" t="str">
        <f>IF(ISNUMBER(S622),"Review: NOT unit verified",IF(AE622="No match","No EIA match",IF(AF622="Unconfirmed","Unconfirmed EIA candidate","")))</f>
        <v>Unconfirmed EIA candidate</v>
      </c>
      <c r="AA622" s="26">
        <v>0.55400000000000005</v>
      </c>
      <c r="AB622" t="s">
        <v>322</v>
      </c>
      <c r="AC622" t="s">
        <v>778</v>
      </c>
      <c r="AD622" s="26">
        <v>685.1</v>
      </c>
      <c r="AE622" t="s">
        <v>157</v>
      </c>
      <c r="AF622" t="s">
        <v>158</v>
      </c>
      <c r="AG622" s="24">
        <f>IF(ISBLANK(S622),S622,I622)</f>
        <v>7.2</v>
      </c>
      <c r="AH622" s="34">
        <f t="shared" si="24"/>
        <v>79709.699999999968</v>
      </c>
      <c r="AI622">
        <f t="shared" si="23"/>
        <v>49777.311971032483</v>
      </c>
      <c r="AJ622" t="b" cm="1">
        <f t="array" ref="AJ622">OR(D622=$AT$2:$AT$8)</f>
        <v>0</v>
      </c>
    </row>
    <row r="623" spans="1:36" x14ac:dyDescent="0.25">
      <c r="A623" s="2" t="s">
        <v>780</v>
      </c>
      <c r="B623" s="3">
        <v>345.1</v>
      </c>
      <c r="C623" s="2" t="s">
        <v>147</v>
      </c>
      <c r="D623" s="2" t="s">
        <v>147</v>
      </c>
      <c r="E623" s="2" t="s">
        <v>244</v>
      </c>
      <c r="F623" s="4" t="s">
        <v>138</v>
      </c>
      <c r="G623" s="4" t="s">
        <v>245</v>
      </c>
      <c r="H623" s="5">
        <v>6.5</v>
      </c>
      <c r="I623" s="5">
        <v>7.2</v>
      </c>
      <c r="J623" s="5">
        <v>8.1999999999999993</v>
      </c>
      <c r="K623" s="4" t="s">
        <v>111</v>
      </c>
      <c r="L623" s="4" t="s">
        <v>112</v>
      </c>
      <c r="M623" s="6">
        <f>IF(OR(B623="",I623=""),"",B623*I623)</f>
        <v>2484.7200000000003</v>
      </c>
      <c r="N623" s="29" t="s">
        <v>154</v>
      </c>
      <c r="O623" s="9"/>
      <c r="P623" s="9"/>
      <c r="Q623" s="22"/>
      <c r="R623" s="22"/>
      <c r="S623" s="23" t="str">
        <f>IF(AND(ISNUMBER(Q623),Q623&gt;0,ISNUMBER(R623),R623&gt;0),R623/Q623,"")</f>
        <v/>
      </c>
      <c r="T623" s="9"/>
      <c r="U623" s="9"/>
      <c r="V623" s="9"/>
      <c r="W623" s="9" t="s">
        <v>781</v>
      </c>
      <c r="X623" s="23">
        <f>IF(ISNUMBER(S623),S623,IF(ISNUMBER(I623),I623,""))</f>
        <v>7.2</v>
      </c>
      <c r="Y623" t="str">
        <f>IF(ISNUMBER(S623),"2025 EIA-923 plant/group proxy",IF(ISNUMBER(I623),"Technology estimate","No thermal heat rate"))</f>
        <v>Technology estimate</v>
      </c>
      <c r="Z623" t="str">
        <f>IF(ISNUMBER(S623),"Review: NOT unit verified",IF(AE623="No match","No EIA match",IF(AF623="Unconfirmed","Unconfirmed EIA candidate","")))</f>
        <v>Unconfirmed EIA candidate</v>
      </c>
      <c r="AA623" s="26">
        <v>0.51080000000000003</v>
      </c>
      <c r="AB623" t="s">
        <v>322</v>
      </c>
      <c r="AC623" t="s">
        <v>778</v>
      </c>
      <c r="AD623" s="26">
        <v>685.1</v>
      </c>
      <c r="AE623" t="s">
        <v>157</v>
      </c>
      <c r="AF623" t="s">
        <v>158</v>
      </c>
      <c r="AG623" s="24">
        <f>IF(ISBLANK(S623),S623,I623)</f>
        <v>7.2</v>
      </c>
      <c r="AH623" s="34">
        <f t="shared" si="24"/>
        <v>80054.799999999974</v>
      </c>
      <c r="AI623">
        <f t="shared" si="23"/>
        <v>49992.820878495484</v>
      </c>
      <c r="AJ623" t="b" cm="1">
        <f t="array" ref="AJ623">OR(D623=$AT$2:$AT$8)</f>
        <v>0</v>
      </c>
    </row>
    <row r="624" spans="1:36" x14ac:dyDescent="0.25">
      <c r="A624" s="2" t="s">
        <v>806</v>
      </c>
      <c r="B624" s="3">
        <v>15</v>
      </c>
      <c r="C624" s="2" t="s">
        <v>68</v>
      </c>
      <c r="D624" s="2" t="s">
        <v>69</v>
      </c>
      <c r="E624" s="2" t="s">
        <v>244</v>
      </c>
      <c r="F624" s="4" t="s">
        <v>138</v>
      </c>
      <c r="G624" s="4" t="s">
        <v>245</v>
      </c>
      <c r="H624" s="5">
        <v>6.5</v>
      </c>
      <c r="I624" s="5">
        <v>7.2</v>
      </c>
      <c r="J624" s="5">
        <v>8.1999999999999993</v>
      </c>
      <c r="K624" s="4" t="s">
        <v>111</v>
      </c>
      <c r="L624" s="4" t="s">
        <v>112</v>
      </c>
      <c r="M624" s="6">
        <f>IF(OR(B624="",I624=""),"",B624*I624)</f>
        <v>108</v>
      </c>
      <c r="N624" s="10" t="s">
        <v>10</v>
      </c>
      <c r="O624" s="9"/>
      <c r="P624" s="9"/>
      <c r="Q624" s="22"/>
      <c r="R624" s="22"/>
      <c r="S624" s="23" t="str">
        <f>IF(AND(ISNUMBER(Q624),Q624&gt;0,ISNUMBER(R624),R624&gt;0),R624/Q624,"")</f>
        <v/>
      </c>
      <c r="T624" s="9"/>
      <c r="U624" s="9"/>
      <c r="V624" s="9"/>
      <c r="W624" s="9"/>
      <c r="X624" s="23">
        <f>IF(ISNUMBER(S624),S624,IF(ISNUMBER(I624),I624,""))</f>
        <v>7.2</v>
      </c>
      <c r="Y624" t="str">
        <f>IF(ISNUMBER(S624),"2025 EIA-923 plant/group proxy",IF(ISNUMBER(I624),"Technology estimate","No thermal heat rate"))</f>
        <v>Technology estimate</v>
      </c>
      <c r="Z624" t="str">
        <f>IF(ISNUMBER(S624),"Review: NOT unit verified",IF(AE624="No match","No EIA match",IF(AF624="Unconfirmed","Unconfirmed EIA candidate","")))</f>
        <v>No EIA match</v>
      </c>
      <c r="AE624" t="s">
        <v>107</v>
      </c>
      <c r="AG624" s="24">
        <f>IF(ISBLANK(S624),S624,I624)</f>
        <v>7.2</v>
      </c>
      <c r="AH624" s="34">
        <f t="shared" si="24"/>
        <v>80069.799999999974</v>
      </c>
      <c r="AI624">
        <f t="shared" si="23"/>
        <v>50002.188115852608</v>
      </c>
      <c r="AJ624" t="b" cm="1">
        <f t="array" ref="AJ624">OR(D624=$AT$2:$AT$8)</f>
        <v>0</v>
      </c>
    </row>
    <row r="625" spans="1:36" x14ac:dyDescent="0.25">
      <c r="A625" s="2" t="s">
        <v>840</v>
      </c>
      <c r="B625" s="3">
        <v>118</v>
      </c>
      <c r="C625" s="2" t="s">
        <v>432</v>
      </c>
      <c r="D625" s="2" t="s">
        <v>58</v>
      </c>
      <c r="E625" s="2" t="s">
        <v>244</v>
      </c>
      <c r="F625" s="4" t="s">
        <v>138</v>
      </c>
      <c r="G625" s="4" t="s">
        <v>245</v>
      </c>
      <c r="H625" s="5">
        <v>6.5</v>
      </c>
      <c r="I625" s="5">
        <v>7.2</v>
      </c>
      <c r="J625" s="5">
        <v>8.1999999999999993</v>
      </c>
      <c r="K625" s="4" t="s">
        <v>111</v>
      </c>
      <c r="L625" s="4" t="s">
        <v>112</v>
      </c>
      <c r="M625" s="6">
        <f>IF(OR(B625="",I625=""),"",B625*I625)</f>
        <v>849.6</v>
      </c>
      <c r="N625" s="29" t="s">
        <v>154</v>
      </c>
      <c r="O625" s="9"/>
      <c r="P625" s="9"/>
      <c r="Q625" s="22"/>
      <c r="R625" s="22"/>
      <c r="S625" s="23" t="str">
        <f>IF(AND(ISNUMBER(Q625),Q625&gt;0,ISNUMBER(R625),R625&gt;0),R625/Q625,"")</f>
        <v/>
      </c>
      <c r="T625" s="9"/>
      <c r="U625" s="9"/>
      <c r="V625" s="9"/>
      <c r="W625" s="9" t="s">
        <v>841</v>
      </c>
      <c r="X625" s="23">
        <f>IF(ISNUMBER(S625),S625,IF(ISNUMBER(I625),I625,""))</f>
        <v>7.2</v>
      </c>
      <c r="Y625" t="str">
        <f>IF(ISNUMBER(S625),"2025 EIA-923 plant/group proxy",IF(ISNUMBER(I625),"Technology estimate","No thermal heat rate"))</f>
        <v>Technology estimate</v>
      </c>
      <c r="Z625" t="str">
        <f>IF(ISNUMBER(S625),"Review: NOT unit verified",IF(AE625="No match","No EIA match",IF(AF625="Unconfirmed","Unconfirmed EIA candidate","")))</f>
        <v>Unconfirmed EIA candidate</v>
      </c>
      <c r="AA625" s="26">
        <v>0.48830000000000001</v>
      </c>
      <c r="AB625" t="s">
        <v>842</v>
      </c>
      <c r="AC625" t="s">
        <v>843</v>
      </c>
      <c r="AD625" s="26">
        <v>595</v>
      </c>
      <c r="AE625" t="s">
        <v>157</v>
      </c>
      <c r="AF625" t="s">
        <v>158</v>
      </c>
      <c r="AG625" s="24">
        <f>IF(ISBLANK(S625),S625,I625)</f>
        <v>7.2</v>
      </c>
      <c r="AH625" s="34">
        <f t="shared" si="24"/>
        <v>80187.799999999974</v>
      </c>
      <c r="AI625">
        <f t="shared" si="23"/>
        <v>50075.877049728682</v>
      </c>
      <c r="AJ625" t="b" cm="1">
        <f t="array" ref="AJ625">OR(D625=$AT$2:$AT$8)</f>
        <v>0</v>
      </c>
    </row>
    <row r="626" spans="1:36" x14ac:dyDescent="0.25">
      <c r="A626" s="2" t="s">
        <v>844</v>
      </c>
      <c r="B626" s="3">
        <v>45</v>
      </c>
      <c r="C626" s="2" t="s">
        <v>432</v>
      </c>
      <c r="D626" s="2" t="s">
        <v>58</v>
      </c>
      <c r="E626" s="2" t="s">
        <v>244</v>
      </c>
      <c r="F626" s="4" t="s">
        <v>138</v>
      </c>
      <c r="G626" s="4" t="s">
        <v>245</v>
      </c>
      <c r="H626" s="5">
        <v>6.5</v>
      </c>
      <c r="I626" s="5">
        <v>7.2</v>
      </c>
      <c r="J626" s="5">
        <v>8.1999999999999993</v>
      </c>
      <c r="K626" s="4" t="s">
        <v>111</v>
      </c>
      <c r="L626" s="4" t="s">
        <v>112</v>
      </c>
      <c r="M626" s="6">
        <f>IF(OR(B626="",I626=""),"",B626*I626)</f>
        <v>324</v>
      </c>
      <c r="N626" s="29" t="s">
        <v>154</v>
      </c>
      <c r="O626" s="9"/>
      <c r="P626" s="9"/>
      <c r="Q626" s="22"/>
      <c r="R626" s="22"/>
      <c r="S626" s="23" t="str">
        <f>IF(AND(ISNUMBER(Q626),Q626&gt;0,ISNUMBER(R626),R626&gt;0),R626/Q626,"")</f>
        <v/>
      </c>
      <c r="T626" s="9"/>
      <c r="U626" s="9"/>
      <c r="V626" s="9"/>
      <c r="W626" s="9" t="s">
        <v>841</v>
      </c>
      <c r="X626" s="23">
        <f>IF(ISNUMBER(S626),S626,IF(ISNUMBER(I626),I626,""))</f>
        <v>7.2</v>
      </c>
      <c r="Y626" t="str">
        <f>IF(ISNUMBER(S626),"2025 EIA-923 plant/group proxy",IF(ISNUMBER(I626),"Technology estimate","No thermal heat rate"))</f>
        <v>Technology estimate</v>
      </c>
      <c r="Z626" t="str">
        <f>IF(ISNUMBER(S626),"Review: NOT unit verified",IF(AE626="No match","No EIA match",IF(AF626="Unconfirmed","Unconfirmed EIA candidate","")))</f>
        <v>Unconfirmed EIA candidate</v>
      </c>
      <c r="AA626" s="26">
        <v>0.48830000000000001</v>
      </c>
      <c r="AB626" t="s">
        <v>842</v>
      </c>
      <c r="AC626" t="s">
        <v>843</v>
      </c>
      <c r="AD626" s="26">
        <v>595</v>
      </c>
      <c r="AE626" t="s">
        <v>157</v>
      </c>
      <c r="AF626" t="s">
        <v>158</v>
      </c>
      <c r="AG626" s="24">
        <f>IF(ISBLANK(S626),S626,I626)</f>
        <v>7.2</v>
      </c>
      <c r="AH626" s="34">
        <f t="shared" si="24"/>
        <v>80232.799999999974</v>
      </c>
      <c r="AI626">
        <f t="shared" si="23"/>
        <v>50103.97876180007</v>
      </c>
      <c r="AJ626" t="b" cm="1">
        <f t="array" ref="AJ626">OR(D626=$AT$2:$AT$8)</f>
        <v>0</v>
      </c>
    </row>
    <row r="627" spans="1:36" x14ac:dyDescent="0.25">
      <c r="A627" s="2" t="s">
        <v>850</v>
      </c>
      <c r="B627" s="3">
        <v>623.4</v>
      </c>
      <c r="C627" s="2" t="s">
        <v>80</v>
      </c>
      <c r="D627" s="2" t="s">
        <v>81</v>
      </c>
      <c r="E627" s="2" t="s">
        <v>244</v>
      </c>
      <c r="F627" s="4" t="s">
        <v>138</v>
      </c>
      <c r="G627" s="4" t="s">
        <v>245</v>
      </c>
      <c r="H627" s="5">
        <v>6.5</v>
      </c>
      <c r="I627" s="5">
        <v>7.2</v>
      </c>
      <c r="J627" s="5">
        <v>8.1999999999999993</v>
      </c>
      <c r="K627" s="4" t="s">
        <v>111</v>
      </c>
      <c r="L627" s="4" t="s">
        <v>112</v>
      </c>
      <c r="M627" s="6">
        <f>IF(OR(B627="",I627=""),"",B627*I627)</f>
        <v>4488.4799999999996</v>
      </c>
      <c r="N627" s="29" t="s">
        <v>154</v>
      </c>
      <c r="O627" s="9"/>
      <c r="P627" s="9"/>
      <c r="Q627" s="22"/>
      <c r="R627" s="22"/>
      <c r="S627" s="23" t="str">
        <f>IF(AND(ISNUMBER(Q627),Q627&gt;0,ISNUMBER(R627),R627&gt;0),R627/Q627,"")</f>
        <v/>
      </c>
      <c r="T627" s="9"/>
      <c r="U627" s="9"/>
      <c r="V627" s="9"/>
      <c r="W627" s="9" t="s">
        <v>851</v>
      </c>
      <c r="X627" s="23">
        <f>IF(ISNUMBER(S627),S627,IF(ISNUMBER(I627),I627,""))</f>
        <v>7.2</v>
      </c>
      <c r="Y627" t="str">
        <f>IF(ISNUMBER(S627),"2025 EIA-923 plant/group proxy",IF(ISNUMBER(I627),"Technology estimate","No thermal heat rate"))</f>
        <v>Technology estimate</v>
      </c>
      <c r="Z627" t="str">
        <f>IF(ISNUMBER(S627),"Review: NOT unit verified",IF(AE627="No match","No EIA match",IF(AF627="Unconfirmed","Unconfirmed EIA candidate","")))</f>
        <v>Unconfirmed EIA candidate</v>
      </c>
      <c r="AA627" s="26">
        <v>0.56100000000000005</v>
      </c>
      <c r="AB627" t="s">
        <v>201</v>
      </c>
      <c r="AC627" t="s">
        <v>341</v>
      </c>
      <c r="AD627" s="26">
        <v>1605.1</v>
      </c>
      <c r="AE627" t="s">
        <v>157</v>
      </c>
      <c r="AF627" t="s">
        <v>158</v>
      </c>
      <c r="AG627" s="24">
        <f>IF(ISBLANK(S627),S627,I627)</f>
        <v>7.2</v>
      </c>
      <c r="AH627" s="34">
        <f t="shared" si="24"/>
        <v>80856.199999999968</v>
      </c>
      <c r="AI627">
        <f t="shared" si="23"/>
        <v>50493.281146362315</v>
      </c>
      <c r="AJ627" t="b" cm="1">
        <f t="array" ref="AJ627">OR(D627=$AT$2:$AT$8)</f>
        <v>0</v>
      </c>
    </row>
    <row r="628" spans="1:36" x14ac:dyDescent="0.25">
      <c r="A628" s="2" t="s">
        <v>976</v>
      </c>
      <c r="B628" s="3">
        <v>557.9</v>
      </c>
      <c r="C628" s="2" t="s">
        <v>97</v>
      </c>
      <c r="D628" s="2" t="s">
        <v>97</v>
      </c>
      <c r="E628" s="2" t="s">
        <v>244</v>
      </c>
      <c r="F628" s="4" t="s">
        <v>138</v>
      </c>
      <c r="G628" s="4" t="s">
        <v>245</v>
      </c>
      <c r="H628" s="5">
        <v>6.5</v>
      </c>
      <c r="I628" s="5">
        <v>7.2</v>
      </c>
      <c r="J628" s="5">
        <v>8.1999999999999993</v>
      </c>
      <c r="K628" s="4" t="s">
        <v>111</v>
      </c>
      <c r="L628" s="4" t="s">
        <v>112</v>
      </c>
      <c r="M628" s="6">
        <f>IF(OR(B628="",I628=""),"",B628*I628)</f>
        <v>4016.88</v>
      </c>
      <c r="N628" s="29" t="s">
        <v>154</v>
      </c>
      <c r="O628" s="9"/>
      <c r="P628" s="9"/>
      <c r="Q628" s="22"/>
      <c r="R628" s="22"/>
      <c r="S628" s="23" t="str">
        <f>IF(AND(ISNUMBER(Q628),Q628&gt;0,ISNUMBER(R628),R628&gt;0),R628/Q628,"")</f>
        <v/>
      </c>
      <c r="T628" s="9"/>
      <c r="U628" s="9"/>
      <c r="V628" s="9"/>
      <c r="W628" s="9" t="s">
        <v>977</v>
      </c>
      <c r="X628" s="23">
        <f>IF(ISNUMBER(S628),S628,IF(ISNUMBER(I628),I628,""))</f>
        <v>7.2</v>
      </c>
      <c r="Y628" t="str">
        <f>IF(ISNUMBER(S628),"2025 EIA-923 plant/group proxy",IF(ISNUMBER(I628),"Technology estimate","No thermal heat rate"))</f>
        <v>Technology estimate</v>
      </c>
      <c r="Z628" t="str">
        <f>IF(ISNUMBER(S628),"Review: NOT unit verified",IF(AE628="No match","No EIA match",IF(AF628="Unconfirmed","Unconfirmed EIA candidate","")))</f>
        <v>Unconfirmed EIA candidate</v>
      </c>
      <c r="AA628" s="26">
        <v>1</v>
      </c>
      <c r="AB628" t="s">
        <v>166</v>
      </c>
      <c r="AC628" t="s">
        <v>978</v>
      </c>
      <c r="AD628" s="26">
        <v>1185.5</v>
      </c>
      <c r="AE628" t="s">
        <v>157</v>
      </c>
      <c r="AF628" t="s">
        <v>158</v>
      </c>
      <c r="AG628" s="24">
        <f>IF(ISBLANK(S628),S628,I628)</f>
        <v>7.2</v>
      </c>
      <c r="AH628" s="34">
        <f t="shared" si="24"/>
        <v>81414.099999999962</v>
      </c>
      <c r="AI628">
        <f t="shared" si="23"/>
        <v>50841.679927798439</v>
      </c>
      <c r="AJ628" t="b" cm="1">
        <f t="array" ref="AJ628">OR(D628=$AT$2:$AT$8)</f>
        <v>0</v>
      </c>
    </row>
    <row r="629" spans="1:36" x14ac:dyDescent="0.25">
      <c r="A629" s="2" t="s">
        <v>979</v>
      </c>
      <c r="B629" s="3">
        <v>557.9</v>
      </c>
      <c r="C629" s="2" t="s">
        <v>97</v>
      </c>
      <c r="D629" s="2" t="s">
        <v>97</v>
      </c>
      <c r="E629" s="2" t="s">
        <v>244</v>
      </c>
      <c r="F629" s="4" t="s">
        <v>138</v>
      </c>
      <c r="G629" s="4" t="s">
        <v>245</v>
      </c>
      <c r="H629" s="5">
        <v>6.5</v>
      </c>
      <c r="I629" s="5">
        <v>7.2</v>
      </c>
      <c r="J629" s="5">
        <v>8.1999999999999993</v>
      </c>
      <c r="K629" s="4" t="s">
        <v>111</v>
      </c>
      <c r="L629" s="4" t="s">
        <v>112</v>
      </c>
      <c r="M629" s="6">
        <f>IF(OR(B629="",I629=""),"",B629*I629)</f>
        <v>4016.88</v>
      </c>
      <c r="N629" s="29" t="s">
        <v>154</v>
      </c>
      <c r="O629" s="9"/>
      <c r="P629" s="9"/>
      <c r="Q629" s="22"/>
      <c r="R629" s="22"/>
      <c r="S629" s="23" t="str">
        <f>IF(AND(ISNUMBER(Q629),Q629&gt;0,ISNUMBER(R629),R629&gt;0),R629/Q629,"")</f>
        <v/>
      </c>
      <c r="T629" s="9"/>
      <c r="U629" s="9"/>
      <c r="V629" s="9"/>
      <c r="W629" s="9" t="s">
        <v>977</v>
      </c>
      <c r="X629" s="23">
        <f>IF(ISNUMBER(S629),S629,IF(ISNUMBER(I629),I629,""))</f>
        <v>7.2</v>
      </c>
      <c r="Y629" t="str">
        <f>IF(ISNUMBER(S629),"2025 EIA-923 plant/group proxy",IF(ISNUMBER(I629),"Technology estimate","No thermal heat rate"))</f>
        <v>Technology estimate</v>
      </c>
      <c r="Z629" t="str">
        <f>IF(ISNUMBER(S629),"Review: NOT unit verified",IF(AE629="No match","No EIA match",IF(AF629="Unconfirmed","Unconfirmed EIA candidate","")))</f>
        <v>Unconfirmed EIA candidate</v>
      </c>
      <c r="AA629" s="26">
        <v>1</v>
      </c>
      <c r="AB629" t="s">
        <v>166</v>
      </c>
      <c r="AC629" t="s">
        <v>978</v>
      </c>
      <c r="AD629" s="26">
        <v>1185.5</v>
      </c>
      <c r="AE629" t="s">
        <v>157</v>
      </c>
      <c r="AF629" t="s">
        <v>158</v>
      </c>
      <c r="AG629" s="24">
        <f>IF(ISBLANK(S629),S629,I629)</f>
        <v>7.2</v>
      </c>
      <c r="AH629" s="34">
        <f t="shared" si="24"/>
        <v>81971.999999999956</v>
      </c>
      <c r="AI629">
        <f t="shared" si="23"/>
        <v>51190.078709234556</v>
      </c>
      <c r="AJ629" t="b" cm="1">
        <f t="array" ref="AJ629">OR(D629=$AT$2:$AT$8)</f>
        <v>0</v>
      </c>
    </row>
    <row r="630" spans="1:36" x14ac:dyDescent="0.25">
      <c r="A630" s="2" t="s">
        <v>1005</v>
      </c>
      <c r="B630" s="3">
        <v>44</v>
      </c>
      <c r="C630" s="2" t="s">
        <v>68</v>
      </c>
      <c r="D630" s="2" t="s">
        <v>69</v>
      </c>
      <c r="E630" s="2" t="s">
        <v>244</v>
      </c>
      <c r="F630" s="4" t="s">
        <v>138</v>
      </c>
      <c r="G630" s="4" t="s">
        <v>245</v>
      </c>
      <c r="H630" s="5">
        <v>6.5</v>
      </c>
      <c r="I630" s="5">
        <v>7.2</v>
      </c>
      <c r="J630" s="5">
        <v>8.1999999999999993</v>
      </c>
      <c r="K630" s="4" t="s">
        <v>111</v>
      </c>
      <c r="L630" s="4" t="s">
        <v>112</v>
      </c>
      <c r="M630" s="6">
        <f>IF(OR(B630="",I630=""),"",B630*I630)</f>
        <v>316.8</v>
      </c>
      <c r="N630" s="10" t="s">
        <v>10</v>
      </c>
      <c r="O630" s="9"/>
      <c r="P630" s="9"/>
      <c r="Q630" s="22"/>
      <c r="R630" s="22"/>
      <c r="S630" s="23" t="str">
        <f>IF(AND(ISNUMBER(Q630),Q630&gt;0,ISNUMBER(R630),R630&gt;0),R630/Q630,"")</f>
        <v/>
      </c>
      <c r="T630" s="9"/>
      <c r="U630" s="9"/>
      <c r="V630" s="9"/>
      <c r="W630" s="9"/>
      <c r="X630" s="23">
        <f>IF(ISNUMBER(S630),S630,IF(ISNUMBER(I630),I630,""))</f>
        <v>7.2</v>
      </c>
      <c r="Y630" t="str">
        <f>IF(ISNUMBER(S630),"2025 EIA-923 plant/group proxy",IF(ISNUMBER(I630),"Technology estimate","No thermal heat rate"))</f>
        <v>Technology estimate</v>
      </c>
      <c r="Z630" t="str">
        <f>IF(ISNUMBER(S630),"Review: NOT unit verified",IF(AE630="No match","No EIA match",IF(AF630="Unconfirmed","Unconfirmed EIA candidate","")))</f>
        <v>No EIA match</v>
      </c>
      <c r="AE630" t="s">
        <v>107</v>
      </c>
      <c r="AG630" s="24">
        <f>IF(ISBLANK(S630),S630,I630)</f>
        <v>7.2</v>
      </c>
      <c r="AH630" s="34">
        <f t="shared" si="24"/>
        <v>82015.999999999956</v>
      </c>
      <c r="AI630">
        <f t="shared" si="23"/>
        <v>51217.555938815465</v>
      </c>
      <c r="AJ630" t="b" cm="1">
        <f t="array" ref="AJ630">OR(D630=$AT$2:$AT$8)</f>
        <v>0</v>
      </c>
    </row>
    <row r="631" spans="1:36" x14ac:dyDescent="0.25">
      <c r="A631" s="2" t="s">
        <v>1009</v>
      </c>
      <c r="B631" s="3">
        <v>766.1</v>
      </c>
      <c r="C631" s="2" t="s">
        <v>405</v>
      </c>
      <c r="D631" s="2" t="s">
        <v>361</v>
      </c>
      <c r="E631" s="2" t="s">
        <v>244</v>
      </c>
      <c r="F631" s="4" t="s">
        <v>138</v>
      </c>
      <c r="G631" s="4" t="s">
        <v>245</v>
      </c>
      <c r="H631" s="5">
        <v>6.5</v>
      </c>
      <c r="I631" s="5">
        <v>7.2</v>
      </c>
      <c r="J631" s="5">
        <v>8.1999999999999993</v>
      </c>
      <c r="K631" s="4" t="s">
        <v>111</v>
      </c>
      <c r="L631" s="4" t="s">
        <v>112</v>
      </c>
      <c r="M631" s="6">
        <f>IF(OR(B631="",I631=""),"",B631*I631)</f>
        <v>5515.92</v>
      </c>
      <c r="N631" s="10" t="s">
        <v>10</v>
      </c>
      <c r="O631" s="9"/>
      <c r="P631" s="9"/>
      <c r="Q631" s="22"/>
      <c r="R631" s="22"/>
      <c r="S631" s="23" t="str">
        <f>IF(AND(ISNUMBER(Q631),Q631&gt;0,ISNUMBER(R631),R631&gt;0),R631/Q631,"")</f>
        <v/>
      </c>
      <c r="T631" s="9"/>
      <c r="U631" s="9"/>
      <c r="V631" s="9"/>
      <c r="W631" s="9"/>
      <c r="X631" s="23">
        <f>IF(ISNUMBER(S631),S631,IF(ISNUMBER(I631),I631,""))</f>
        <v>7.2</v>
      </c>
      <c r="Y631" t="str">
        <f>IF(ISNUMBER(S631),"2025 EIA-923 plant/group proxy",IF(ISNUMBER(I631),"Technology estimate","No thermal heat rate"))</f>
        <v>Technology estimate</v>
      </c>
      <c r="Z631" t="str">
        <f>IF(ISNUMBER(S631),"Review: NOT unit verified",IF(AE631="No match","No EIA match",IF(AF631="Unconfirmed","Unconfirmed EIA candidate","")))</f>
        <v>No EIA match</v>
      </c>
      <c r="AE631" t="s">
        <v>107</v>
      </c>
      <c r="AG631" s="24">
        <f>IF(ISBLANK(S631),S631,I631)</f>
        <v>7.2</v>
      </c>
      <c r="AH631" s="34">
        <f t="shared" si="24"/>
        <v>82782.099999999962</v>
      </c>
      <c r="AI631">
        <f t="shared" si="23"/>
        <v>51695.971974768538</v>
      </c>
      <c r="AJ631" t="b" cm="1">
        <f t="array" ref="AJ631">OR(D631=$AT$2:$AT$8)</f>
        <v>0</v>
      </c>
    </row>
    <row r="632" spans="1:36" x14ac:dyDescent="0.25">
      <c r="A632" s="2" t="s">
        <v>1033</v>
      </c>
      <c r="B632" s="3">
        <v>460</v>
      </c>
      <c r="C632" s="2" t="s">
        <v>136</v>
      </c>
      <c r="D632" s="2" t="s">
        <v>136</v>
      </c>
      <c r="E632" s="2" t="s">
        <v>244</v>
      </c>
      <c r="F632" s="4" t="s">
        <v>138</v>
      </c>
      <c r="G632" s="4" t="s">
        <v>245</v>
      </c>
      <c r="H632" s="5">
        <v>6.5</v>
      </c>
      <c r="I632" s="5">
        <v>7.2</v>
      </c>
      <c r="J632" s="5">
        <v>8.1999999999999993</v>
      </c>
      <c r="K632" s="4" t="s">
        <v>111</v>
      </c>
      <c r="L632" s="4" t="s">
        <v>112</v>
      </c>
      <c r="M632" s="6">
        <f>IF(OR(B632="",I632=""),"",B632*I632)</f>
        <v>3312</v>
      </c>
      <c r="N632" s="29" t="s">
        <v>154</v>
      </c>
      <c r="O632" s="9"/>
      <c r="P632" s="9"/>
      <c r="Q632" s="22"/>
      <c r="R632" s="22"/>
      <c r="S632" s="23" t="str">
        <f>IF(AND(ISNUMBER(Q632),Q632&gt;0,ISNUMBER(R632),R632&gt;0),R632/Q632,"")</f>
        <v/>
      </c>
      <c r="T632" s="9"/>
      <c r="U632" s="9"/>
      <c r="V632" s="9"/>
      <c r="W632" s="9" t="s">
        <v>1034</v>
      </c>
      <c r="X632" s="23">
        <f>IF(ISNUMBER(S632),S632,IF(ISNUMBER(I632),I632,""))</f>
        <v>7.2</v>
      </c>
      <c r="Y632" t="str">
        <f>IF(ISNUMBER(S632),"2025 EIA-923 plant/group proxy",IF(ISNUMBER(I632),"Technology estimate","No thermal heat rate"))</f>
        <v>Technology estimate</v>
      </c>
      <c r="Z632" t="str">
        <f>IF(ISNUMBER(S632),"Review: NOT unit verified",IF(AE632="No match","No EIA match",IF(AF632="Unconfirmed","Unconfirmed EIA candidate","")))</f>
        <v>Unconfirmed EIA candidate</v>
      </c>
      <c r="AA632" s="26">
        <v>0.55820000000000003</v>
      </c>
      <c r="AB632" t="s">
        <v>143</v>
      </c>
      <c r="AC632" t="s">
        <v>686</v>
      </c>
      <c r="AD632" s="26">
        <v>1362</v>
      </c>
      <c r="AE632" t="s">
        <v>157</v>
      </c>
      <c r="AF632" t="s">
        <v>158</v>
      </c>
      <c r="AG632" s="24">
        <f>IF(ISBLANK(S632),S632,I632)</f>
        <v>7.2</v>
      </c>
      <c r="AH632" s="34">
        <f t="shared" si="24"/>
        <v>83242.099999999962</v>
      </c>
      <c r="AI632">
        <f t="shared" si="23"/>
        <v>51983.233920387138</v>
      </c>
      <c r="AJ632" t="b" cm="1">
        <f t="array" ref="AJ632">OR(D632=$AT$2:$AT$8)</f>
        <v>0</v>
      </c>
    </row>
    <row r="633" spans="1:36" x14ac:dyDescent="0.25">
      <c r="A633" s="2" t="s">
        <v>1035</v>
      </c>
      <c r="B633" s="3">
        <v>468</v>
      </c>
      <c r="C633" s="2" t="s">
        <v>136</v>
      </c>
      <c r="D633" s="2" t="s">
        <v>136</v>
      </c>
      <c r="E633" s="2" t="s">
        <v>244</v>
      </c>
      <c r="F633" s="4" t="s">
        <v>138</v>
      </c>
      <c r="G633" s="4" t="s">
        <v>245</v>
      </c>
      <c r="H633" s="5">
        <v>6.5</v>
      </c>
      <c r="I633" s="5">
        <v>7.2</v>
      </c>
      <c r="J633" s="5">
        <v>8.1999999999999993</v>
      </c>
      <c r="K633" s="4" t="s">
        <v>111</v>
      </c>
      <c r="L633" s="4" t="s">
        <v>112</v>
      </c>
      <c r="M633" s="6">
        <f>IF(OR(B633="",I633=""),"",B633*I633)</f>
        <v>3369.6</v>
      </c>
      <c r="N633" s="29" t="s">
        <v>154</v>
      </c>
      <c r="O633" s="9"/>
      <c r="P633" s="9"/>
      <c r="Q633" s="22"/>
      <c r="R633" s="22"/>
      <c r="S633" s="23" t="str">
        <f>IF(AND(ISNUMBER(Q633),Q633&gt;0,ISNUMBER(R633),R633&gt;0),R633/Q633,"")</f>
        <v/>
      </c>
      <c r="T633" s="9"/>
      <c r="U633" s="9"/>
      <c r="V633" s="9"/>
      <c r="W633" s="9" t="s">
        <v>1034</v>
      </c>
      <c r="X633" s="23">
        <f>IF(ISNUMBER(S633),S633,IF(ISNUMBER(I633),I633,""))</f>
        <v>7.2</v>
      </c>
      <c r="Y633" t="str">
        <f>IF(ISNUMBER(S633),"2025 EIA-923 plant/group proxy",IF(ISNUMBER(I633),"Technology estimate","No thermal heat rate"))</f>
        <v>Technology estimate</v>
      </c>
      <c r="Z633" t="str">
        <f>IF(ISNUMBER(S633),"Review: NOT unit verified",IF(AE633="No match","No EIA match",IF(AF633="Unconfirmed","Unconfirmed EIA candidate","")))</f>
        <v>Unconfirmed EIA candidate</v>
      </c>
      <c r="AA633" s="26">
        <v>0.55820000000000003</v>
      </c>
      <c r="AB633" t="s">
        <v>143</v>
      </c>
      <c r="AC633" t="s">
        <v>686</v>
      </c>
      <c r="AD633" s="26">
        <v>1362</v>
      </c>
      <c r="AE633" t="s">
        <v>157</v>
      </c>
      <c r="AF633" t="s">
        <v>158</v>
      </c>
      <c r="AG633" s="24">
        <f>IF(ISBLANK(S633),S633,I633)</f>
        <v>7.2</v>
      </c>
      <c r="AH633" s="34">
        <f t="shared" si="24"/>
        <v>83710.099999999962</v>
      </c>
      <c r="AI633">
        <f t="shared" si="23"/>
        <v>52275.49172592954</v>
      </c>
      <c r="AJ633" t="b" cm="1">
        <f t="array" ref="AJ633">OR(D633=$AT$2:$AT$8)</f>
        <v>0</v>
      </c>
    </row>
    <row r="634" spans="1:36" x14ac:dyDescent="0.25">
      <c r="A634" s="2" t="s">
        <v>1036</v>
      </c>
      <c r="B634" s="3">
        <v>476</v>
      </c>
      <c r="C634" s="2" t="s">
        <v>136</v>
      </c>
      <c r="D634" s="2" t="s">
        <v>136</v>
      </c>
      <c r="E634" s="2" t="s">
        <v>244</v>
      </c>
      <c r="F634" s="4" t="s">
        <v>138</v>
      </c>
      <c r="G634" s="4" t="s">
        <v>245</v>
      </c>
      <c r="H634" s="5">
        <v>6.5</v>
      </c>
      <c r="I634" s="5">
        <v>7.2</v>
      </c>
      <c r="J634" s="5">
        <v>8.1999999999999993</v>
      </c>
      <c r="K634" s="4" t="s">
        <v>111</v>
      </c>
      <c r="L634" s="4" t="s">
        <v>112</v>
      </c>
      <c r="M634" s="6">
        <f>IF(OR(B634="",I634=""),"",B634*I634)</f>
        <v>3427.2000000000003</v>
      </c>
      <c r="N634" s="29" t="s">
        <v>154</v>
      </c>
      <c r="O634" s="9"/>
      <c r="P634" s="9"/>
      <c r="Q634" s="22"/>
      <c r="R634" s="22"/>
      <c r="S634" s="23" t="str">
        <f>IF(AND(ISNUMBER(Q634),Q634&gt;0,ISNUMBER(R634),R634&gt;0),R634/Q634,"")</f>
        <v/>
      </c>
      <c r="T634" s="9"/>
      <c r="U634" s="9"/>
      <c r="V634" s="9"/>
      <c r="W634" s="9" t="s">
        <v>1034</v>
      </c>
      <c r="X634" s="23">
        <f>IF(ISNUMBER(S634),S634,IF(ISNUMBER(I634),I634,""))</f>
        <v>7.2</v>
      </c>
      <c r="Y634" t="str">
        <f>IF(ISNUMBER(S634),"2025 EIA-923 plant/group proxy",IF(ISNUMBER(I634),"Technology estimate","No thermal heat rate"))</f>
        <v>Technology estimate</v>
      </c>
      <c r="Z634" t="str">
        <f>IF(ISNUMBER(S634),"Review: NOT unit verified",IF(AE634="No match","No EIA match",IF(AF634="Unconfirmed","Unconfirmed EIA candidate","")))</f>
        <v>Unconfirmed EIA candidate</v>
      </c>
      <c r="AA634" s="26">
        <v>0.55820000000000003</v>
      </c>
      <c r="AB634" t="s">
        <v>143</v>
      </c>
      <c r="AC634" t="s">
        <v>686</v>
      </c>
      <c r="AD634" s="26">
        <v>1362</v>
      </c>
      <c r="AE634" t="s">
        <v>157</v>
      </c>
      <c r="AF634" t="s">
        <v>158</v>
      </c>
      <c r="AG634" s="24">
        <f>IF(ISBLANK(S634),S634,I634)</f>
        <v>7.2</v>
      </c>
      <c r="AH634" s="34">
        <f t="shared" si="24"/>
        <v>84186.099999999962</v>
      </c>
      <c r="AI634">
        <f t="shared" si="23"/>
        <v>52572.745391395743</v>
      </c>
      <c r="AJ634" t="b" cm="1">
        <f t="array" ref="AJ634">OR(D634=$AT$2:$AT$8)</f>
        <v>0</v>
      </c>
    </row>
    <row r="635" spans="1:36" x14ac:dyDescent="0.25">
      <c r="A635" s="2" t="s">
        <v>1113</v>
      </c>
      <c r="B635" s="3">
        <v>856.6</v>
      </c>
      <c r="C635" s="2" t="s">
        <v>147</v>
      </c>
      <c r="D635" s="2" t="s">
        <v>147</v>
      </c>
      <c r="E635" s="2" t="s">
        <v>244</v>
      </c>
      <c r="F635" s="4" t="s">
        <v>138</v>
      </c>
      <c r="G635" s="4" t="s">
        <v>245</v>
      </c>
      <c r="H635" s="5">
        <v>6.5</v>
      </c>
      <c r="I635" s="5">
        <v>7.2</v>
      </c>
      <c r="J635" s="5">
        <v>8.1999999999999993</v>
      </c>
      <c r="K635" s="4" t="s">
        <v>111</v>
      </c>
      <c r="L635" s="4" t="s">
        <v>112</v>
      </c>
      <c r="M635" s="6">
        <f>IF(OR(B635="",I635=""),"",B635*I635)</f>
        <v>6167.52</v>
      </c>
      <c r="N635" s="10" t="s">
        <v>10</v>
      </c>
      <c r="O635" s="9"/>
      <c r="P635" s="9"/>
      <c r="Q635" s="22"/>
      <c r="R635" s="22"/>
      <c r="S635" s="23" t="str">
        <f>IF(AND(ISNUMBER(Q635),Q635&gt;0,ISNUMBER(R635),R635&gt;0),R635/Q635,"")</f>
        <v/>
      </c>
      <c r="T635" s="9"/>
      <c r="U635" s="9"/>
      <c r="V635" s="9"/>
      <c r="W635" s="9"/>
      <c r="X635" s="23">
        <f>IF(ISNUMBER(S635),S635,IF(ISNUMBER(I635),I635,""))</f>
        <v>7.2</v>
      </c>
      <c r="Y635" t="str">
        <f>IF(ISNUMBER(S635),"2025 EIA-923 plant/group proxy",IF(ISNUMBER(I635),"Technology estimate","No thermal heat rate"))</f>
        <v>Technology estimate</v>
      </c>
      <c r="Z635" t="str">
        <f>IF(ISNUMBER(S635),"Review: NOT unit verified",IF(AE635="No match","No EIA match",IF(AF635="Unconfirmed","Unconfirmed EIA candidate","")))</f>
        <v>No EIA match</v>
      </c>
      <c r="AE635" t="s">
        <v>107</v>
      </c>
      <c r="AG635" s="24">
        <f>IF(ISBLANK(S635),S635,I635)</f>
        <v>7.2</v>
      </c>
      <c r="AH635" s="34">
        <f t="shared" si="24"/>
        <v>85042.699999999968</v>
      </c>
      <c r="AI635">
        <f t="shared" si="23"/>
        <v>53107.67709273682</v>
      </c>
      <c r="AJ635" t="b" cm="1">
        <f t="array" ref="AJ635">OR(D635=$AT$2:$AT$8)</f>
        <v>0</v>
      </c>
    </row>
    <row r="636" spans="1:36" x14ac:dyDescent="0.25">
      <c r="A636" s="2" t="s">
        <v>1120</v>
      </c>
      <c r="B636" s="3">
        <v>195.3</v>
      </c>
      <c r="C636" s="2" t="s">
        <v>136</v>
      </c>
      <c r="D636" s="2" t="s">
        <v>136</v>
      </c>
      <c r="E636" s="2" t="s">
        <v>244</v>
      </c>
      <c r="F636" s="4" t="s">
        <v>138</v>
      </c>
      <c r="G636" s="4" t="s">
        <v>245</v>
      </c>
      <c r="H636" s="5">
        <v>6.5</v>
      </c>
      <c r="I636" s="5">
        <v>7.2</v>
      </c>
      <c r="J636" s="5">
        <v>8.1999999999999993</v>
      </c>
      <c r="K636" s="4" t="s">
        <v>111</v>
      </c>
      <c r="L636" s="4" t="s">
        <v>112</v>
      </c>
      <c r="M636" s="6">
        <f>IF(OR(B636="",I636=""),"",B636*I636)</f>
        <v>1406.16</v>
      </c>
      <c r="N636" s="29" t="s">
        <v>154</v>
      </c>
      <c r="O636" s="9"/>
      <c r="P636" s="9"/>
      <c r="Q636" s="22"/>
      <c r="R636" s="22"/>
      <c r="S636" s="23" t="str">
        <f>IF(AND(ISNUMBER(Q636),Q636&gt;0,ISNUMBER(R636),R636&gt;0),R636/Q636,"")</f>
        <v/>
      </c>
      <c r="T636" s="9"/>
      <c r="U636" s="9"/>
      <c r="V636" s="9"/>
      <c r="W636" s="9" t="s">
        <v>1121</v>
      </c>
      <c r="X636" s="23">
        <f>IF(ISNUMBER(S636),S636,IF(ISNUMBER(I636),I636,""))</f>
        <v>7.2</v>
      </c>
      <c r="Y636" t="str">
        <f>IF(ISNUMBER(S636),"2025 EIA-923 plant/group proxy",IF(ISNUMBER(I636),"Technology estimate","No thermal heat rate"))</f>
        <v>Technology estimate</v>
      </c>
      <c r="Z636" t="str">
        <f>IF(ISNUMBER(S636),"Review: NOT unit verified",IF(AE636="No match","No EIA match",IF(AF636="Unconfirmed","Unconfirmed EIA candidate","")))</f>
        <v>Unconfirmed EIA candidate</v>
      </c>
      <c r="AA636" s="26">
        <v>0.59089999999999998</v>
      </c>
      <c r="AB636" t="s">
        <v>143</v>
      </c>
      <c r="AC636" t="s">
        <v>1122</v>
      </c>
      <c r="AD636" s="26">
        <v>601.6</v>
      </c>
      <c r="AE636" t="s">
        <v>157</v>
      </c>
      <c r="AF636" t="s">
        <v>158</v>
      </c>
      <c r="AG636" s="24">
        <f>IF(ISBLANK(S636),S636,I636)</f>
        <v>7.2</v>
      </c>
      <c r="AH636" s="34">
        <f t="shared" si="24"/>
        <v>85237.999999999971</v>
      </c>
      <c r="AI636">
        <f t="shared" si="23"/>
        <v>53229.638523126632</v>
      </c>
      <c r="AJ636" t="b" cm="1">
        <f t="array" ref="AJ636">OR(D636=$AT$2:$AT$8)</f>
        <v>0</v>
      </c>
    </row>
    <row r="637" spans="1:36" x14ac:dyDescent="0.25">
      <c r="A637" s="2" t="s">
        <v>1123</v>
      </c>
      <c r="B637" s="3">
        <v>191.3</v>
      </c>
      <c r="C637" s="2" t="s">
        <v>136</v>
      </c>
      <c r="D637" s="2" t="s">
        <v>136</v>
      </c>
      <c r="E637" s="2" t="s">
        <v>244</v>
      </c>
      <c r="F637" s="4" t="s">
        <v>138</v>
      </c>
      <c r="G637" s="4" t="s">
        <v>245</v>
      </c>
      <c r="H637" s="5">
        <v>6.5</v>
      </c>
      <c r="I637" s="5">
        <v>7.2</v>
      </c>
      <c r="J637" s="5">
        <v>8.1999999999999993</v>
      </c>
      <c r="K637" s="4" t="s">
        <v>111</v>
      </c>
      <c r="L637" s="4" t="s">
        <v>112</v>
      </c>
      <c r="M637" s="6">
        <f>IF(OR(B637="",I637=""),"",B637*I637)</f>
        <v>1377.3600000000001</v>
      </c>
      <c r="N637" s="29" t="s">
        <v>154</v>
      </c>
      <c r="O637" s="9"/>
      <c r="P637" s="9"/>
      <c r="Q637" s="22"/>
      <c r="R637" s="22"/>
      <c r="S637" s="23" t="str">
        <f>IF(AND(ISNUMBER(Q637),Q637&gt;0,ISNUMBER(R637),R637&gt;0),R637/Q637,"")</f>
        <v/>
      </c>
      <c r="T637" s="9"/>
      <c r="U637" s="9"/>
      <c r="V637" s="9"/>
      <c r="W637" s="9" t="s">
        <v>1121</v>
      </c>
      <c r="X637" s="23">
        <f>IF(ISNUMBER(S637),S637,IF(ISNUMBER(I637),I637,""))</f>
        <v>7.2</v>
      </c>
      <c r="Y637" t="str">
        <f>IF(ISNUMBER(S637),"2025 EIA-923 plant/group proxy",IF(ISNUMBER(I637),"Technology estimate","No thermal heat rate"))</f>
        <v>Technology estimate</v>
      </c>
      <c r="Z637" t="str">
        <f>IF(ISNUMBER(S637),"Review: NOT unit verified",IF(AE637="No match","No EIA match",IF(AF637="Unconfirmed","Unconfirmed EIA candidate","")))</f>
        <v>Unconfirmed EIA candidate</v>
      </c>
      <c r="AA637" s="26">
        <v>0.59089999999999998</v>
      </c>
      <c r="AB637" t="s">
        <v>143</v>
      </c>
      <c r="AC637" t="s">
        <v>1122</v>
      </c>
      <c r="AD637" s="26">
        <v>601.6</v>
      </c>
      <c r="AE637" t="s">
        <v>157</v>
      </c>
      <c r="AF637" t="s">
        <v>158</v>
      </c>
      <c r="AG637" s="24">
        <f>IF(ISBLANK(S637),S637,I637)</f>
        <v>7.2</v>
      </c>
      <c r="AH637" s="34">
        <f t="shared" si="24"/>
        <v>85429.299999999974</v>
      </c>
      <c r="AI637">
        <f t="shared" si="23"/>
        <v>53349.102023554544</v>
      </c>
      <c r="AJ637" t="b" cm="1">
        <f t="array" ref="AJ637">OR(D637=$AT$2:$AT$8)</f>
        <v>0</v>
      </c>
    </row>
    <row r="638" spans="1:36" x14ac:dyDescent="0.25">
      <c r="A638" s="2" t="s">
        <v>1124</v>
      </c>
      <c r="B638" s="3">
        <v>215</v>
      </c>
      <c r="C638" s="2" t="s">
        <v>136</v>
      </c>
      <c r="D638" s="2" t="s">
        <v>136</v>
      </c>
      <c r="E638" s="2" t="s">
        <v>244</v>
      </c>
      <c r="F638" s="4" t="s">
        <v>138</v>
      </c>
      <c r="G638" s="4" t="s">
        <v>245</v>
      </c>
      <c r="H638" s="5">
        <v>6.5</v>
      </c>
      <c r="I638" s="5">
        <v>7.2</v>
      </c>
      <c r="J638" s="5">
        <v>8.1999999999999993</v>
      </c>
      <c r="K638" s="4" t="s">
        <v>111</v>
      </c>
      <c r="L638" s="4" t="s">
        <v>112</v>
      </c>
      <c r="M638" s="6">
        <f>IF(OR(B638="",I638=""),"",B638*I638)</f>
        <v>1548</v>
      </c>
      <c r="N638" s="29" t="s">
        <v>154</v>
      </c>
      <c r="O638" s="9"/>
      <c r="P638" s="9"/>
      <c r="Q638" s="22"/>
      <c r="R638" s="22"/>
      <c r="S638" s="23" t="str">
        <f>IF(AND(ISNUMBER(Q638),Q638&gt;0,ISNUMBER(R638),R638&gt;0),R638/Q638,"")</f>
        <v/>
      </c>
      <c r="T638" s="9"/>
      <c r="U638" s="9"/>
      <c r="V638" s="9"/>
      <c r="W638" s="9" t="s">
        <v>1121</v>
      </c>
      <c r="X638" s="23">
        <f>IF(ISNUMBER(S638),S638,IF(ISNUMBER(I638),I638,""))</f>
        <v>7.2</v>
      </c>
      <c r="Y638" t="str">
        <f>IF(ISNUMBER(S638),"2025 EIA-923 plant/group proxy",IF(ISNUMBER(I638),"Technology estimate","No thermal heat rate"))</f>
        <v>Technology estimate</v>
      </c>
      <c r="Z638" t="str">
        <f>IF(ISNUMBER(S638),"Review: NOT unit verified",IF(AE638="No match","No EIA match",IF(AF638="Unconfirmed","Unconfirmed EIA candidate","")))</f>
        <v>Unconfirmed EIA candidate</v>
      </c>
      <c r="AA638" s="26">
        <v>0.59089999999999998</v>
      </c>
      <c r="AB638" t="s">
        <v>143</v>
      </c>
      <c r="AC638" t="s">
        <v>1122</v>
      </c>
      <c r="AD638" s="26">
        <v>601.6</v>
      </c>
      <c r="AE638" t="s">
        <v>157</v>
      </c>
      <c r="AF638" t="s">
        <v>158</v>
      </c>
      <c r="AG638" s="24">
        <f>IF(ISBLANK(S638),S638,I638)</f>
        <v>7.2</v>
      </c>
      <c r="AH638" s="34">
        <f t="shared" si="24"/>
        <v>85644.299999999974</v>
      </c>
      <c r="AI638">
        <f t="shared" si="23"/>
        <v>53483.365759006716</v>
      </c>
      <c r="AJ638" t="b" cm="1">
        <f t="array" ref="AJ638">OR(D638=$AT$2:$AT$8)</f>
        <v>0</v>
      </c>
    </row>
    <row r="639" spans="1:36" x14ac:dyDescent="0.25">
      <c r="A639" s="2" t="s">
        <v>1177</v>
      </c>
      <c r="B639" s="3">
        <v>463.7</v>
      </c>
      <c r="C639" s="2" t="s">
        <v>319</v>
      </c>
      <c r="D639" s="2" t="s">
        <v>319</v>
      </c>
      <c r="E639" s="2" t="s">
        <v>244</v>
      </c>
      <c r="F639" s="4" t="s">
        <v>138</v>
      </c>
      <c r="G639" s="4" t="s">
        <v>245</v>
      </c>
      <c r="H639" s="5">
        <v>6.5</v>
      </c>
      <c r="I639" s="5">
        <v>7.2</v>
      </c>
      <c r="J639" s="5">
        <v>8.1999999999999993</v>
      </c>
      <c r="K639" s="4" t="s">
        <v>111</v>
      </c>
      <c r="L639" s="4" t="s">
        <v>112</v>
      </c>
      <c r="M639" s="6">
        <f>IF(OR(B639="",I639=""),"",B639*I639)</f>
        <v>3338.64</v>
      </c>
      <c r="N639" s="29" t="s">
        <v>154</v>
      </c>
      <c r="O639" s="9"/>
      <c r="P639" s="9"/>
      <c r="Q639" s="22"/>
      <c r="R639" s="22"/>
      <c r="S639" s="23" t="str">
        <f>IF(AND(ISNUMBER(Q639),Q639&gt;0,ISNUMBER(R639),R639&gt;0),R639/Q639,"")</f>
        <v/>
      </c>
      <c r="T639" s="9"/>
      <c r="U639" s="9"/>
      <c r="V639" s="9"/>
      <c r="W639" s="9" t="s">
        <v>1178</v>
      </c>
      <c r="X639" s="23">
        <f>IF(ISNUMBER(S639),S639,IF(ISNUMBER(I639),I639,""))</f>
        <v>7.2</v>
      </c>
      <c r="Y639" t="str">
        <f>IF(ISNUMBER(S639),"2025 EIA-923 plant/group proxy",IF(ISNUMBER(I639),"Technology estimate","No thermal heat rate"))</f>
        <v>Technology estimate</v>
      </c>
      <c r="Z639" t="str">
        <f>IF(ISNUMBER(S639),"Review: NOT unit verified",IF(AE639="No match","No EIA match",IF(AF639="Unconfirmed","Unconfirmed EIA candidate","")))</f>
        <v>Unconfirmed EIA candidate</v>
      </c>
      <c r="AA639" s="26">
        <v>0.85899999999999999</v>
      </c>
      <c r="AB639" t="s">
        <v>322</v>
      </c>
      <c r="AC639" t="s">
        <v>924</v>
      </c>
      <c r="AD639" s="26">
        <v>856.5</v>
      </c>
      <c r="AE639" t="s">
        <v>157</v>
      </c>
      <c r="AF639" t="s">
        <v>158</v>
      </c>
      <c r="AG639" s="24">
        <f>IF(ISBLANK(S639),S639,I639)</f>
        <v>7.2</v>
      </c>
      <c r="AH639" s="34">
        <f t="shared" si="24"/>
        <v>86107.999999999971</v>
      </c>
      <c r="AI639">
        <f t="shared" si="23"/>
        <v>53772.938289840073</v>
      </c>
      <c r="AJ639" t="b" cm="1">
        <f t="array" ref="AJ639">OR(D639=$AT$2:$AT$8)</f>
        <v>0</v>
      </c>
    </row>
    <row r="640" spans="1:36" x14ac:dyDescent="0.25">
      <c r="A640" s="2" t="s">
        <v>1235</v>
      </c>
      <c r="B640" s="3">
        <v>795</v>
      </c>
      <c r="C640" s="2" t="s">
        <v>136</v>
      </c>
      <c r="D640" s="2" t="s">
        <v>136</v>
      </c>
      <c r="E640" s="2" t="s">
        <v>244</v>
      </c>
      <c r="F640" s="4" t="s">
        <v>138</v>
      </c>
      <c r="G640" s="4" t="s">
        <v>245</v>
      </c>
      <c r="H640" s="5">
        <v>6.5</v>
      </c>
      <c r="I640" s="5">
        <v>7.2</v>
      </c>
      <c r="J640" s="5">
        <v>8.1999999999999993</v>
      </c>
      <c r="K640" s="4" t="s">
        <v>111</v>
      </c>
      <c r="L640" s="4" t="s">
        <v>112</v>
      </c>
      <c r="M640" s="6">
        <f>IF(OR(B640="",I640=""),"",B640*I640)</f>
        <v>5724</v>
      </c>
      <c r="N640" s="29" t="s">
        <v>154</v>
      </c>
      <c r="O640" s="9"/>
      <c r="P640" s="9"/>
      <c r="Q640" s="22"/>
      <c r="R640" s="22"/>
      <c r="S640" s="23" t="str">
        <f>IF(AND(ISNUMBER(Q640),Q640&gt;0,ISNUMBER(R640),R640&gt;0),R640/Q640,"")</f>
        <v/>
      </c>
      <c r="T640" s="9"/>
      <c r="U640" s="9"/>
      <c r="V640" s="9"/>
      <c r="W640" s="9" t="s">
        <v>1236</v>
      </c>
      <c r="X640" s="23">
        <f>IF(ISNUMBER(S640),S640,IF(ISNUMBER(I640),I640,""))</f>
        <v>7.2</v>
      </c>
      <c r="Y640" t="str">
        <f>IF(ISNUMBER(S640),"2025 EIA-923 plant/group proxy",IF(ISNUMBER(I640),"Technology estimate","No thermal heat rate"))</f>
        <v>Technology estimate</v>
      </c>
      <c r="Z640" t="str">
        <f>IF(ISNUMBER(S640),"Review: NOT unit verified",IF(AE640="No match","No EIA match",IF(AF640="Unconfirmed","Unconfirmed EIA candidate","")))</f>
        <v>Unconfirmed EIA candidate</v>
      </c>
      <c r="AA640" s="26">
        <v>0.53410000000000002</v>
      </c>
      <c r="AB640" t="s">
        <v>143</v>
      </c>
      <c r="AC640" t="s">
        <v>368</v>
      </c>
      <c r="AD640" s="26">
        <v>795</v>
      </c>
      <c r="AE640" t="s">
        <v>157</v>
      </c>
      <c r="AF640" t="s">
        <v>158</v>
      </c>
      <c r="AG640" s="24">
        <f>IF(ISBLANK(S640),S640,I640)</f>
        <v>7.2</v>
      </c>
      <c r="AH640" s="34">
        <f t="shared" si="24"/>
        <v>86902.999999999971</v>
      </c>
      <c r="AI640">
        <f t="shared" si="23"/>
        <v>54269.401869767869</v>
      </c>
      <c r="AJ640" t="b" cm="1">
        <f t="array" ref="AJ640">OR(D640=$AT$2:$AT$8)</f>
        <v>0</v>
      </c>
    </row>
    <row r="641" spans="1:36" x14ac:dyDescent="0.25">
      <c r="A641" s="2" t="s">
        <v>1319</v>
      </c>
      <c r="B641" s="3">
        <v>485</v>
      </c>
      <c r="C641" s="2" t="s">
        <v>99</v>
      </c>
      <c r="D641" s="2" t="s">
        <v>81</v>
      </c>
      <c r="E641" s="2" t="s">
        <v>244</v>
      </c>
      <c r="F641" s="4" t="s">
        <v>138</v>
      </c>
      <c r="G641" s="4" t="s">
        <v>245</v>
      </c>
      <c r="H641" s="5">
        <v>6.5</v>
      </c>
      <c r="I641" s="5">
        <v>7.2</v>
      </c>
      <c r="J641" s="5">
        <v>8.1999999999999993</v>
      </c>
      <c r="K641" s="4" t="s">
        <v>111</v>
      </c>
      <c r="L641" s="4" t="s">
        <v>112</v>
      </c>
      <c r="M641" s="6">
        <f>IF(OR(B641="",I641=""),"",B641*I641)</f>
        <v>3492</v>
      </c>
      <c r="N641" s="10" t="s">
        <v>10</v>
      </c>
      <c r="O641" s="9"/>
      <c r="P641" s="9"/>
      <c r="Q641" s="22"/>
      <c r="R641" s="22"/>
      <c r="S641" s="23" t="str">
        <f>IF(AND(ISNUMBER(Q641),Q641&gt;0,ISNUMBER(R641),R641&gt;0),R641/Q641,"")</f>
        <v/>
      </c>
      <c r="T641" s="9"/>
      <c r="U641" s="9"/>
      <c r="V641" s="9"/>
      <c r="W641" s="9"/>
      <c r="X641" s="23">
        <f>IF(ISNUMBER(S641),S641,IF(ISNUMBER(I641),I641,""))</f>
        <v>7.2</v>
      </c>
      <c r="Y641" t="str">
        <f>IF(ISNUMBER(S641),"2025 EIA-923 plant/group proxy",IF(ISNUMBER(I641),"Technology estimate","No thermal heat rate"))</f>
        <v>Technology estimate</v>
      </c>
      <c r="Z641" t="str">
        <f>IF(ISNUMBER(S641),"Review: NOT unit verified",IF(AE641="No match","No EIA match",IF(AF641="Unconfirmed","Unconfirmed EIA candidate","")))</f>
        <v>No EIA match</v>
      </c>
      <c r="AE641" t="s">
        <v>107</v>
      </c>
      <c r="AG641" s="24">
        <f>IF(ISBLANK(S641),S641,I641)</f>
        <v>7.2</v>
      </c>
      <c r="AH641" s="34">
        <f t="shared" si="24"/>
        <v>87387.999999999971</v>
      </c>
      <c r="AI641">
        <f t="shared" si="23"/>
        <v>54572.275877648353</v>
      </c>
      <c r="AJ641" t="b" cm="1">
        <f t="array" ref="AJ641">OR(D641=$AT$2:$AT$8)</f>
        <v>0</v>
      </c>
    </row>
    <row r="642" spans="1:36" x14ac:dyDescent="0.25">
      <c r="A642" s="2" t="s">
        <v>1327</v>
      </c>
      <c r="B642" s="3">
        <v>230</v>
      </c>
      <c r="C642" s="2" t="s">
        <v>405</v>
      </c>
      <c r="D642" s="2" t="s">
        <v>405</v>
      </c>
      <c r="E642" s="2" t="s">
        <v>244</v>
      </c>
      <c r="F642" s="4" t="s">
        <v>138</v>
      </c>
      <c r="G642" s="4" t="s">
        <v>245</v>
      </c>
      <c r="H642" s="5">
        <v>6.5</v>
      </c>
      <c r="I642" s="5">
        <v>7.2</v>
      </c>
      <c r="J642" s="5">
        <v>8.1999999999999993</v>
      </c>
      <c r="K642" s="4" t="s">
        <v>111</v>
      </c>
      <c r="L642" s="4" t="s">
        <v>112</v>
      </c>
      <c r="M642" s="6">
        <f>IF(OR(B642="",I642=""),"",B642*I642)</f>
        <v>1656</v>
      </c>
      <c r="N642" s="10" t="s">
        <v>10</v>
      </c>
      <c r="O642" s="9"/>
      <c r="P642" s="9"/>
      <c r="Q642" s="22"/>
      <c r="R642" s="22"/>
      <c r="S642" s="23" t="str">
        <f>IF(AND(ISNUMBER(Q642),Q642&gt;0,ISNUMBER(R642),R642&gt;0),R642/Q642,"")</f>
        <v/>
      </c>
      <c r="T642" s="9"/>
      <c r="U642" s="9"/>
      <c r="V642" s="9"/>
      <c r="W642" s="9"/>
      <c r="X642" s="23">
        <f>IF(ISNUMBER(S642),S642,IF(ISNUMBER(I642),I642,""))</f>
        <v>7.2</v>
      </c>
      <c r="Y642" t="str">
        <f>IF(ISNUMBER(S642),"2025 EIA-923 plant/group proxy",IF(ISNUMBER(I642),"Technology estimate","No thermal heat rate"))</f>
        <v>Technology estimate</v>
      </c>
      <c r="Z642" t="str">
        <f>IF(ISNUMBER(S642),"Review: NOT unit verified",IF(AE642="No match","No EIA match",IF(AF642="Unconfirmed","Unconfirmed EIA candidate","")))</f>
        <v>No EIA match</v>
      </c>
      <c r="AE642" t="s">
        <v>107</v>
      </c>
      <c r="AG642" s="24">
        <f>IF(ISBLANK(S642),S642,I642)</f>
        <v>7.2</v>
      </c>
      <c r="AH642" s="34">
        <f t="shared" si="24"/>
        <v>87617.999999999971</v>
      </c>
      <c r="AI642">
        <f t="shared" si="23"/>
        <v>54715.90685045765</v>
      </c>
      <c r="AJ642" t="b" cm="1">
        <f t="array" ref="AJ642">OR(D642=$AT$2:$AT$8)</f>
        <v>1</v>
      </c>
    </row>
    <row r="643" spans="1:36" x14ac:dyDescent="0.25">
      <c r="A643" s="2" t="s">
        <v>1358</v>
      </c>
      <c r="B643" s="3">
        <v>179.3</v>
      </c>
      <c r="C643" s="2" t="s">
        <v>432</v>
      </c>
      <c r="D643" s="2" t="s">
        <v>58</v>
      </c>
      <c r="E643" s="2" t="s">
        <v>244</v>
      </c>
      <c r="F643" s="4" t="s">
        <v>138</v>
      </c>
      <c r="G643" s="4" t="s">
        <v>245</v>
      </c>
      <c r="H643" s="5">
        <v>6.5</v>
      </c>
      <c r="I643" s="5">
        <v>7.2</v>
      </c>
      <c r="J643" s="5">
        <v>8.1999999999999993</v>
      </c>
      <c r="K643" s="4" t="s">
        <v>111</v>
      </c>
      <c r="L643" s="4" t="s">
        <v>112</v>
      </c>
      <c r="M643" s="6">
        <f>IF(OR(B643="",I643=""),"",B643*I643)</f>
        <v>1290.96</v>
      </c>
      <c r="N643" s="29" t="s">
        <v>154</v>
      </c>
      <c r="O643" s="9"/>
      <c r="P643" s="9"/>
      <c r="Q643" s="22"/>
      <c r="R643" s="22"/>
      <c r="S643" s="23" t="str">
        <f>IF(AND(ISNUMBER(Q643),Q643&gt;0,ISNUMBER(R643),R643&gt;0),R643/Q643,"")</f>
        <v/>
      </c>
      <c r="T643" s="9"/>
      <c r="U643" s="9"/>
      <c r="V643" s="9"/>
      <c r="W643" s="9" t="s">
        <v>1359</v>
      </c>
      <c r="X643" s="23">
        <f>IF(ISNUMBER(S643),S643,IF(ISNUMBER(I643),I643,""))</f>
        <v>7.2</v>
      </c>
      <c r="Y643" t="str">
        <f>IF(ISNUMBER(S643),"2025 EIA-923 plant/group proxy",IF(ISNUMBER(I643),"Technology estimate","No thermal heat rate"))</f>
        <v>Technology estimate</v>
      </c>
      <c r="Z643" t="str">
        <f>IF(ISNUMBER(S643),"Review: NOT unit verified",IF(AE643="No match","No EIA match",IF(AF643="Unconfirmed","Unconfirmed EIA candidate","")))</f>
        <v>Unconfirmed EIA candidate</v>
      </c>
      <c r="AA643" s="26">
        <v>0.39829999999999999</v>
      </c>
      <c r="AB643" t="s">
        <v>143</v>
      </c>
      <c r="AC643" t="s">
        <v>333</v>
      </c>
      <c r="AD643" s="26">
        <v>243.5</v>
      </c>
      <c r="AE643" t="s">
        <v>157</v>
      </c>
      <c r="AF643" t="s">
        <v>158</v>
      </c>
      <c r="AG643" s="24">
        <f>IF(ISBLANK(S643),S643,I643)</f>
        <v>7.2</v>
      </c>
      <c r="AH643" s="34">
        <f t="shared" si="24"/>
        <v>87797.299999999974</v>
      </c>
      <c r="AI643">
        <f t="shared" ref="AI643:AI706" si="25">AH643*$AK$1</f>
        <v>54827.876560999859</v>
      </c>
      <c r="AJ643" t="b" cm="1">
        <f t="array" ref="AJ643">OR(D643=$AT$2:$AT$8)</f>
        <v>0</v>
      </c>
    </row>
    <row r="644" spans="1:36" x14ac:dyDescent="0.25">
      <c r="A644" s="2" t="s">
        <v>1360</v>
      </c>
      <c r="B644" s="3">
        <v>179.3</v>
      </c>
      <c r="C644" s="2" t="s">
        <v>432</v>
      </c>
      <c r="D644" s="2" t="s">
        <v>58</v>
      </c>
      <c r="E644" s="2" t="s">
        <v>244</v>
      </c>
      <c r="F644" s="4" t="s">
        <v>138</v>
      </c>
      <c r="G644" s="4" t="s">
        <v>245</v>
      </c>
      <c r="H644" s="5">
        <v>6.5</v>
      </c>
      <c r="I644" s="5">
        <v>7.2</v>
      </c>
      <c r="J644" s="5">
        <v>8.1999999999999993</v>
      </c>
      <c r="K644" s="4" t="s">
        <v>111</v>
      </c>
      <c r="L644" s="4" t="s">
        <v>112</v>
      </c>
      <c r="M644" s="6">
        <f>IF(OR(B644="",I644=""),"",B644*I644)</f>
        <v>1290.96</v>
      </c>
      <c r="N644" s="29" t="s">
        <v>154</v>
      </c>
      <c r="O644" s="9"/>
      <c r="P644" s="9"/>
      <c r="Q644" s="22"/>
      <c r="R644" s="22"/>
      <c r="S644" s="23" t="str">
        <f>IF(AND(ISNUMBER(Q644),Q644&gt;0,ISNUMBER(R644),R644&gt;0),R644/Q644,"")</f>
        <v/>
      </c>
      <c r="T644" s="9"/>
      <c r="U644" s="9"/>
      <c r="V644" s="9"/>
      <c r="W644" s="9" t="s">
        <v>1359</v>
      </c>
      <c r="X644" s="23">
        <f>IF(ISNUMBER(S644),S644,IF(ISNUMBER(I644),I644,""))</f>
        <v>7.2</v>
      </c>
      <c r="Y644" t="str">
        <f>IF(ISNUMBER(S644),"2025 EIA-923 plant/group proxy",IF(ISNUMBER(I644),"Technology estimate","No thermal heat rate"))</f>
        <v>Technology estimate</v>
      </c>
      <c r="Z644" t="str">
        <f>IF(ISNUMBER(S644),"Review: NOT unit verified",IF(AE644="No match","No EIA match",IF(AF644="Unconfirmed","Unconfirmed EIA candidate","")))</f>
        <v>Unconfirmed EIA candidate</v>
      </c>
      <c r="AA644" s="26">
        <v>0.39829999999999999</v>
      </c>
      <c r="AB644" t="s">
        <v>143</v>
      </c>
      <c r="AC644" t="s">
        <v>333</v>
      </c>
      <c r="AD644" s="26">
        <v>243.5</v>
      </c>
      <c r="AE644" t="s">
        <v>157</v>
      </c>
      <c r="AF644" t="s">
        <v>158</v>
      </c>
      <c r="AG644" s="24">
        <f>IF(ISBLANK(S644),S644,I644)</f>
        <v>7.2</v>
      </c>
      <c r="AH644" s="34">
        <f t="shared" ref="AH644:AH707" si="26">AH643+B644</f>
        <v>87976.599999999977</v>
      </c>
      <c r="AI644">
        <f t="shared" si="25"/>
        <v>54939.846271542068</v>
      </c>
      <c r="AJ644" t="b" cm="1">
        <f t="array" ref="AJ644">OR(D644=$AT$2:$AT$8)</f>
        <v>0</v>
      </c>
    </row>
    <row r="645" spans="1:36" x14ac:dyDescent="0.25">
      <c r="A645" s="2" t="s">
        <v>1361</v>
      </c>
      <c r="B645" s="3">
        <v>179.2</v>
      </c>
      <c r="C645" s="2" t="s">
        <v>432</v>
      </c>
      <c r="D645" s="2" t="s">
        <v>58</v>
      </c>
      <c r="E645" s="2" t="s">
        <v>244</v>
      </c>
      <c r="F645" s="4" t="s">
        <v>138</v>
      </c>
      <c r="G645" s="4" t="s">
        <v>245</v>
      </c>
      <c r="H645" s="5">
        <v>6.5</v>
      </c>
      <c r="I645" s="5">
        <v>7.2</v>
      </c>
      <c r="J645" s="5">
        <v>8.1999999999999993</v>
      </c>
      <c r="K645" s="4" t="s">
        <v>111</v>
      </c>
      <c r="L645" s="4" t="s">
        <v>112</v>
      </c>
      <c r="M645" s="6">
        <f>IF(OR(B645="",I645=""),"",B645*I645)</f>
        <v>1290.24</v>
      </c>
      <c r="N645" s="29" t="s">
        <v>154</v>
      </c>
      <c r="O645" s="9"/>
      <c r="P645" s="9"/>
      <c r="Q645" s="22"/>
      <c r="R645" s="22"/>
      <c r="S645" s="23" t="str">
        <f>IF(AND(ISNUMBER(Q645),Q645&gt;0,ISNUMBER(R645),R645&gt;0),R645/Q645,"")</f>
        <v/>
      </c>
      <c r="T645" s="9"/>
      <c r="U645" s="9"/>
      <c r="V645" s="9"/>
      <c r="W645" s="9" t="s">
        <v>1359</v>
      </c>
      <c r="X645" s="23">
        <f>IF(ISNUMBER(S645),S645,IF(ISNUMBER(I645),I645,""))</f>
        <v>7.2</v>
      </c>
      <c r="Y645" t="str">
        <f>IF(ISNUMBER(S645),"2025 EIA-923 plant/group proxy",IF(ISNUMBER(I645),"Technology estimate","No thermal heat rate"))</f>
        <v>Technology estimate</v>
      </c>
      <c r="Z645" t="str">
        <f>IF(ISNUMBER(S645),"Review: NOT unit verified",IF(AE645="No match","No EIA match",IF(AF645="Unconfirmed","Unconfirmed EIA candidate","")))</f>
        <v>Unconfirmed EIA candidate</v>
      </c>
      <c r="AA645" s="26">
        <v>0.39829999999999999</v>
      </c>
      <c r="AB645" t="s">
        <v>143</v>
      </c>
      <c r="AC645" t="s">
        <v>333</v>
      </c>
      <c r="AD645" s="26">
        <v>243.5</v>
      </c>
      <c r="AE645" t="s">
        <v>157</v>
      </c>
      <c r="AF645" t="s">
        <v>158</v>
      </c>
      <c r="AG645" s="24">
        <f>IF(ISBLANK(S645),S645,I645)</f>
        <v>7.2</v>
      </c>
      <c r="AH645" s="34">
        <f t="shared" si="26"/>
        <v>88155.799999999974</v>
      </c>
      <c r="AI645">
        <f t="shared" si="25"/>
        <v>55051.753533835225</v>
      </c>
      <c r="AJ645" t="b" cm="1">
        <f t="array" ref="AJ645">OR(D645=$AT$2:$AT$8)</f>
        <v>0</v>
      </c>
    </row>
    <row r="646" spans="1:36" x14ac:dyDescent="0.25">
      <c r="A646" s="2" t="s">
        <v>1362</v>
      </c>
      <c r="B646" s="3">
        <v>310</v>
      </c>
      <c r="C646" s="2" t="s">
        <v>432</v>
      </c>
      <c r="D646" s="2" t="s">
        <v>58</v>
      </c>
      <c r="E646" s="2" t="s">
        <v>244</v>
      </c>
      <c r="F646" s="4" t="s">
        <v>138</v>
      </c>
      <c r="G646" s="4" t="s">
        <v>245</v>
      </c>
      <c r="H646" s="5">
        <v>6.5</v>
      </c>
      <c r="I646" s="5">
        <v>7.2</v>
      </c>
      <c r="J646" s="5">
        <v>8.1999999999999993</v>
      </c>
      <c r="K646" s="4" t="s">
        <v>111</v>
      </c>
      <c r="L646" s="4" t="s">
        <v>112</v>
      </c>
      <c r="M646" s="6">
        <f>IF(OR(B646="",I646=""),"",B646*I646)</f>
        <v>2232</v>
      </c>
      <c r="N646" s="29" t="s">
        <v>154</v>
      </c>
      <c r="O646" s="9"/>
      <c r="P646" s="9"/>
      <c r="Q646" s="22"/>
      <c r="R646" s="22"/>
      <c r="S646" s="23" t="str">
        <f>IF(AND(ISNUMBER(Q646),Q646&gt;0,ISNUMBER(R646),R646&gt;0),R646/Q646,"")</f>
        <v/>
      </c>
      <c r="T646" s="9"/>
      <c r="U646" s="9"/>
      <c r="V646" s="9"/>
      <c r="W646" s="9" t="s">
        <v>1363</v>
      </c>
      <c r="X646" s="23">
        <f>IF(ISNUMBER(S646),S646,IF(ISNUMBER(I646),I646,""))</f>
        <v>7.2</v>
      </c>
      <c r="Y646" t="str">
        <f>IF(ISNUMBER(S646),"2025 EIA-923 plant/group proxy",IF(ISNUMBER(I646),"Technology estimate","No thermal heat rate"))</f>
        <v>Technology estimate</v>
      </c>
      <c r="Z646" t="str">
        <f>IF(ISNUMBER(S646),"Review: NOT unit verified",IF(AE646="No match","No EIA match",IF(AF646="Unconfirmed","Unconfirmed EIA candidate","")))</f>
        <v>Unconfirmed EIA candidate</v>
      </c>
      <c r="AA646" s="26">
        <v>0.38030000000000003</v>
      </c>
      <c r="AB646" t="s">
        <v>1364</v>
      </c>
      <c r="AC646" t="s">
        <v>1365</v>
      </c>
      <c r="AD646" s="26">
        <v>647</v>
      </c>
      <c r="AE646" t="s">
        <v>157</v>
      </c>
      <c r="AF646" t="s">
        <v>158</v>
      </c>
      <c r="AG646" s="24">
        <f>IF(ISBLANK(S646),S646,I646)</f>
        <v>7.2</v>
      </c>
      <c r="AH646" s="34">
        <f t="shared" si="26"/>
        <v>88465.799999999974</v>
      </c>
      <c r="AI646">
        <f t="shared" si="25"/>
        <v>55245.343105882544</v>
      </c>
      <c r="AJ646" t="b" cm="1">
        <f t="array" ref="AJ646">OR(D646=$AT$2:$AT$8)</f>
        <v>0</v>
      </c>
    </row>
    <row r="647" spans="1:36" x14ac:dyDescent="0.25">
      <c r="A647" s="2" t="s">
        <v>1452</v>
      </c>
      <c r="B647" s="3">
        <v>725</v>
      </c>
      <c r="C647" s="2" t="s">
        <v>91</v>
      </c>
      <c r="D647" s="2" t="s">
        <v>91</v>
      </c>
      <c r="E647" s="2" t="s">
        <v>244</v>
      </c>
      <c r="F647" s="4" t="s">
        <v>138</v>
      </c>
      <c r="G647" s="4" t="s">
        <v>245</v>
      </c>
      <c r="H647" s="5">
        <v>6.5</v>
      </c>
      <c r="I647" s="5">
        <v>7.2</v>
      </c>
      <c r="J647" s="5">
        <v>8.1999999999999993</v>
      </c>
      <c r="K647" s="4" t="s">
        <v>111</v>
      </c>
      <c r="L647" s="4" t="s">
        <v>112</v>
      </c>
      <c r="M647" s="6">
        <f>IF(OR(B647="",I647=""),"",B647*I647)</f>
        <v>5220</v>
      </c>
      <c r="N647" s="29" t="s">
        <v>154</v>
      </c>
      <c r="O647" s="9"/>
      <c r="P647" s="9"/>
      <c r="Q647" s="22"/>
      <c r="R647" s="22"/>
      <c r="S647" s="23" t="str">
        <f>IF(AND(ISNUMBER(Q647),Q647&gt;0,ISNUMBER(R647),R647&gt;0),R647/Q647,"")</f>
        <v/>
      </c>
      <c r="T647" s="9"/>
      <c r="U647" s="9"/>
      <c r="V647" s="9"/>
      <c r="W647" s="9" t="s">
        <v>1453</v>
      </c>
      <c r="X647" s="23">
        <f>IF(ISNUMBER(S647),S647,IF(ISNUMBER(I647),I647,""))</f>
        <v>7.2</v>
      </c>
      <c r="Y647" t="str">
        <f>IF(ISNUMBER(S647),"2025 EIA-923 plant/group proxy",IF(ISNUMBER(I647),"Technology estimate","No thermal heat rate"))</f>
        <v>Technology estimate</v>
      </c>
      <c r="Z647" t="str">
        <f>IF(ISNUMBER(S647),"Review: NOT unit verified",IF(AE647="No match","No EIA match",IF(AF647="Unconfirmed","Unconfirmed EIA candidate","")))</f>
        <v>Unconfirmed EIA candidate</v>
      </c>
      <c r="AA647" s="26">
        <v>0.54090000000000005</v>
      </c>
      <c r="AB647" t="s">
        <v>708</v>
      </c>
      <c r="AC647" t="s">
        <v>1454</v>
      </c>
      <c r="AD647" s="26">
        <v>666</v>
      </c>
      <c r="AE647" t="s">
        <v>157</v>
      </c>
      <c r="AF647" t="s">
        <v>158</v>
      </c>
      <c r="AG647" s="24">
        <f>IF(ISBLANK(S647),S647,I647)</f>
        <v>7.2</v>
      </c>
      <c r="AH647" s="34">
        <f t="shared" si="26"/>
        <v>89190.799999999974</v>
      </c>
      <c r="AI647">
        <f t="shared" si="25"/>
        <v>55698.092911477077</v>
      </c>
      <c r="AJ647" t="b" cm="1">
        <f t="array" ref="AJ647">OR(D647=$AT$2:$AT$8)</f>
        <v>1</v>
      </c>
    </row>
    <row r="648" spans="1:36" x14ac:dyDescent="0.25">
      <c r="A648" s="2" t="s">
        <v>1518</v>
      </c>
      <c r="B648" s="3">
        <v>174.3</v>
      </c>
      <c r="C648" s="2" t="s">
        <v>80</v>
      </c>
      <c r="D648" s="2" t="s">
        <v>81</v>
      </c>
      <c r="E648" s="2" t="s">
        <v>244</v>
      </c>
      <c r="F648" s="4" t="s">
        <v>138</v>
      </c>
      <c r="G648" s="4" t="s">
        <v>245</v>
      </c>
      <c r="H648" s="5">
        <v>6.5</v>
      </c>
      <c r="I648" s="5">
        <v>7.2</v>
      </c>
      <c r="J648" s="5">
        <v>8.1999999999999993</v>
      </c>
      <c r="K648" s="4" t="s">
        <v>111</v>
      </c>
      <c r="L648" s="4" t="s">
        <v>112</v>
      </c>
      <c r="M648" s="6">
        <f>IF(OR(B648="",I648=""),"",B648*I648)</f>
        <v>1254.96</v>
      </c>
      <c r="N648" s="10" t="s">
        <v>10</v>
      </c>
      <c r="O648" s="9"/>
      <c r="P648" s="9"/>
      <c r="Q648" s="22"/>
      <c r="R648" s="22"/>
      <c r="S648" s="23" t="str">
        <f>IF(AND(ISNUMBER(Q648),Q648&gt;0,ISNUMBER(R648),R648&gt;0),R648/Q648,"")</f>
        <v/>
      </c>
      <c r="T648" s="9"/>
      <c r="U648" s="9"/>
      <c r="V648" s="9"/>
      <c r="W648" s="9"/>
      <c r="X648" s="23">
        <f>IF(ISNUMBER(S648),S648,IF(ISNUMBER(I648),I648,""))</f>
        <v>7.2</v>
      </c>
      <c r="Y648" t="str">
        <f>IF(ISNUMBER(S648),"2025 EIA-923 plant/group proxy",IF(ISNUMBER(I648),"Technology estimate","No thermal heat rate"))</f>
        <v>Technology estimate</v>
      </c>
      <c r="Z648" t="str">
        <f>IF(ISNUMBER(S648),"Review: NOT unit verified",IF(AE648="No match","No EIA match",IF(AF648="Unconfirmed","Unconfirmed EIA candidate","")))</f>
        <v>No EIA match</v>
      </c>
      <c r="AE648" t="s">
        <v>107</v>
      </c>
      <c r="AG648" s="24">
        <f>IF(ISBLANK(S648),S648,I648)</f>
        <v>7.2</v>
      </c>
      <c r="AH648" s="34">
        <f t="shared" si="26"/>
        <v>89365.099999999977</v>
      </c>
      <c r="AI648">
        <f t="shared" si="25"/>
        <v>55806.940209566907</v>
      </c>
      <c r="AJ648" t="b" cm="1">
        <f t="array" ref="AJ648">OR(D648=$AT$2:$AT$8)</f>
        <v>0</v>
      </c>
    </row>
    <row r="649" spans="1:36" x14ac:dyDescent="0.25">
      <c r="A649" s="2" t="s">
        <v>1519</v>
      </c>
      <c r="B649" s="3">
        <v>174.3</v>
      </c>
      <c r="C649" s="2" t="s">
        <v>80</v>
      </c>
      <c r="D649" s="2" t="s">
        <v>81</v>
      </c>
      <c r="E649" s="2" t="s">
        <v>244</v>
      </c>
      <c r="F649" s="4" t="s">
        <v>138</v>
      </c>
      <c r="G649" s="4" t="s">
        <v>245</v>
      </c>
      <c r="H649" s="5">
        <v>6.5</v>
      </c>
      <c r="I649" s="5">
        <v>7.2</v>
      </c>
      <c r="J649" s="5">
        <v>8.1999999999999993</v>
      </c>
      <c r="K649" s="4" t="s">
        <v>111</v>
      </c>
      <c r="L649" s="4" t="s">
        <v>112</v>
      </c>
      <c r="M649" s="6">
        <f>IF(OR(B649="",I649=""),"",B649*I649)</f>
        <v>1254.96</v>
      </c>
      <c r="N649" s="10" t="s">
        <v>10</v>
      </c>
      <c r="O649" s="9"/>
      <c r="P649" s="9"/>
      <c r="Q649" s="22"/>
      <c r="R649" s="22"/>
      <c r="S649" s="23" t="str">
        <f>IF(AND(ISNUMBER(Q649),Q649&gt;0,ISNUMBER(R649),R649&gt;0),R649/Q649,"")</f>
        <v/>
      </c>
      <c r="T649" s="9"/>
      <c r="U649" s="9"/>
      <c r="V649" s="9"/>
      <c r="W649" s="9"/>
      <c r="X649" s="23">
        <f>IF(ISNUMBER(S649),S649,IF(ISNUMBER(I649),I649,""))</f>
        <v>7.2</v>
      </c>
      <c r="Y649" t="str">
        <f>IF(ISNUMBER(S649),"2025 EIA-923 plant/group proxy",IF(ISNUMBER(I649),"Technology estimate","No thermal heat rate"))</f>
        <v>Technology estimate</v>
      </c>
      <c r="Z649" t="str">
        <f>IF(ISNUMBER(S649),"Review: NOT unit verified",IF(AE649="No match","No EIA match",IF(AF649="Unconfirmed","Unconfirmed EIA candidate","")))</f>
        <v>No EIA match</v>
      </c>
      <c r="AE649" t="s">
        <v>107</v>
      </c>
      <c r="AG649" s="24">
        <f>IF(ISBLANK(S649),S649,I649)</f>
        <v>7.2</v>
      </c>
      <c r="AH649" s="34">
        <f t="shared" si="26"/>
        <v>89539.39999999998</v>
      </c>
      <c r="AI649">
        <f t="shared" si="25"/>
        <v>55915.787507656736</v>
      </c>
      <c r="AJ649" t="b" cm="1">
        <f t="array" ref="AJ649">OR(D649=$AT$2:$AT$8)</f>
        <v>0</v>
      </c>
    </row>
    <row r="650" spans="1:36" x14ac:dyDescent="0.25">
      <c r="A650" s="2" t="s">
        <v>1520</v>
      </c>
      <c r="B650" s="3">
        <v>316.39999999999998</v>
      </c>
      <c r="C650" s="2" t="s">
        <v>80</v>
      </c>
      <c r="D650" s="2" t="s">
        <v>81</v>
      </c>
      <c r="E650" s="2" t="s">
        <v>244</v>
      </c>
      <c r="F650" s="4" t="s">
        <v>138</v>
      </c>
      <c r="G650" s="4" t="s">
        <v>245</v>
      </c>
      <c r="H650" s="5">
        <v>6.5</v>
      </c>
      <c r="I650" s="5">
        <v>7.2</v>
      </c>
      <c r="J650" s="5">
        <v>8.1999999999999993</v>
      </c>
      <c r="K650" s="4" t="s">
        <v>111</v>
      </c>
      <c r="L650" s="4" t="s">
        <v>112</v>
      </c>
      <c r="M650" s="6">
        <f>IF(OR(B650="",I650=""),"",B650*I650)</f>
        <v>2278.08</v>
      </c>
      <c r="N650" s="10" t="s">
        <v>10</v>
      </c>
      <c r="O650" s="9"/>
      <c r="P650" s="9"/>
      <c r="Q650" s="22"/>
      <c r="R650" s="22"/>
      <c r="S650" s="23" t="str">
        <f>IF(AND(ISNUMBER(Q650),Q650&gt;0,ISNUMBER(R650),R650&gt;0),R650/Q650,"")</f>
        <v/>
      </c>
      <c r="T650" s="9"/>
      <c r="U650" s="9"/>
      <c r="V650" s="9"/>
      <c r="W650" s="9"/>
      <c r="X650" s="23">
        <f>IF(ISNUMBER(S650),S650,IF(ISNUMBER(I650),I650,""))</f>
        <v>7.2</v>
      </c>
      <c r="Y650" t="str">
        <f>IF(ISNUMBER(S650),"2025 EIA-923 plant/group proxy",IF(ISNUMBER(I650),"Technology estimate","No thermal heat rate"))</f>
        <v>Technology estimate</v>
      </c>
      <c r="Z650" t="str">
        <f>IF(ISNUMBER(S650),"Review: NOT unit verified",IF(AE650="No match","No EIA match",IF(AF650="Unconfirmed","Unconfirmed EIA candidate","")))</f>
        <v>No EIA match</v>
      </c>
      <c r="AE650" t="s">
        <v>107</v>
      </c>
      <c r="AG650" s="24">
        <f>IF(ISBLANK(S650),S650,I650)</f>
        <v>7.2</v>
      </c>
      <c r="AH650" s="34">
        <f t="shared" si="26"/>
        <v>89855.799999999974</v>
      </c>
      <c r="AI650">
        <f t="shared" si="25"/>
        <v>56113.373767643097</v>
      </c>
      <c r="AJ650" t="b" cm="1">
        <f t="array" ref="AJ650">OR(D650=$AT$2:$AT$8)</f>
        <v>0</v>
      </c>
    </row>
    <row r="651" spans="1:36" x14ac:dyDescent="0.25">
      <c r="A651" s="2" t="s">
        <v>1609</v>
      </c>
      <c r="B651" s="3">
        <v>297.8</v>
      </c>
      <c r="C651" s="2" t="s">
        <v>91</v>
      </c>
      <c r="D651" s="2" t="s">
        <v>91</v>
      </c>
      <c r="E651" s="2" t="s">
        <v>244</v>
      </c>
      <c r="F651" s="4" t="s">
        <v>138</v>
      </c>
      <c r="G651" s="4" t="s">
        <v>245</v>
      </c>
      <c r="H651" s="5">
        <v>6.5</v>
      </c>
      <c r="I651" s="5">
        <v>7.2</v>
      </c>
      <c r="J651" s="5">
        <v>8.1999999999999993</v>
      </c>
      <c r="K651" s="4" t="s">
        <v>111</v>
      </c>
      <c r="L651" s="4" t="s">
        <v>112</v>
      </c>
      <c r="M651" s="6">
        <f>IF(OR(B651="",I651=""),"",B651*I651)</f>
        <v>2144.1600000000003</v>
      </c>
      <c r="N651" s="29" t="s">
        <v>154</v>
      </c>
      <c r="O651" s="9"/>
      <c r="P651" s="9"/>
      <c r="Q651" s="22"/>
      <c r="R651" s="22"/>
      <c r="S651" s="23" t="str">
        <f>IF(AND(ISNUMBER(Q651),Q651&gt;0,ISNUMBER(R651),R651&gt;0),R651/Q651,"")</f>
        <v/>
      </c>
      <c r="T651" s="9"/>
      <c r="U651" s="9"/>
      <c r="V651" s="9"/>
      <c r="W651" s="9" t="s">
        <v>1610</v>
      </c>
      <c r="X651" s="23">
        <f>IF(ISNUMBER(S651),S651,IF(ISNUMBER(I651),I651,""))</f>
        <v>7.2</v>
      </c>
      <c r="Y651" t="str">
        <f>IF(ISNUMBER(S651),"2025 EIA-923 plant/group proxy",IF(ISNUMBER(I651),"Technology estimate","No thermal heat rate"))</f>
        <v>Technology estimate</v>
      </c>
      <c r="Z651" t="str">
        <f>IF(ISNUMBER(S651),"Review: NOT unit verified",IF(AE651="No match","No EIA match",IF(AF651="Unconfirmed","Unconfirmed EIA candidate","")))</f>
        <v>Unconfirmed EIA candidate</v>
      </c>
      <c r="AA651" s="26">
        <v>0.41909999999999997</v>
      </c>
      <c r="AB651" t="s">
        <v>322</v>
      </c>
      <c r="AC651" t="s">
        <v>1600</v>
      </c>
      <c r="AD651" s="26">
        <v>1210.4000000000001</v>
      </c>
      <c r="AE651" t="s">
        <v>157</v>
      </c>
      <c r="AF651" t="s">
        <v>158</v>
      </c>
      <c r="AG651" s="24">
        <f>IF(ISBLANK(S651),S651,I651)</f>
        <v>7.2</v>
      </c>
      <c r="AH651" s="34">
        <f t="shared" si="26"/>
        <v>90153.599999999977</v>
      </c>
      <c r="AI651">
        <f t="shared" si="25"/>
        <v>56299.344653306616</v>
      </c>
      <c r="AJ651" t="b" cm="1">
        <f t="array" ref="AJ651">OR(D651=$AT$2:$AT$8)</f>
        <v>1</v>
      </c>
    </row>
    <row r="652" spans="1:36" x14ac:dyDescent="0.25">
      <c r="A652" s="2" t="s">
        <v>1613</v>
      </c>
      <c r="B652" s="3">
        <v>552.5</v>
      </c>
      <c r="C652" s="2" t="s">
        <v>147</v>
      </c>
      <c r="D652" s="2" t="s">
        <v>147</v>
      </c>
      <c r="E652" s="2" t="s">
        <v>244</v>
      </c>
      <c r="F652" s="4" t="s">
        <v>138</v>
      </c>
      <c r="G652" s="4" t="s">
        <v>245</v>
      </c>
      <c r="H652" s="5">
        <v>6.5</v>
      </c>
      <c r="I652" s="5">
        <v>7.2</v>
      </c>
      <c r="J652" s="5">
        <v>8.1999999999999993</v>
      </c>
      <c r="K652" s="4" t="s">
        <v>111</v>
      </c>
      <c r="L652" s="4" t="s">
        <v>112</v>
      </c>
      <c r="M652" s="6">
        <f>IF(OR(B652="",I652=""),"",B652*I652)</f>
        <v>3978</v>
      </c>
      <c r="N652" s="10" t="s">
        <v>10</v>
      </c>
      <c r="O652" s="9"/>
      <c r="P652" s="9"/>
      <c r="Q652" s="22"/>
      <c r="R652" s="22"/>
      <c r="S652" s="23" t="str">
        <f>IF(AND(ISNUMBER(Q652),Q652&gt;0,ISNUMBER(R652),R652&gt;0),R652/Q652,"")</f>
        <v/>
      </c>
      <c r="T652" s="9"/>
      <c r="U652" s="9"/>
      <c r="V652" s="9"/>
      <c r="W652" s="9"/>
      <c r="X652" s="23">
        <f>IF(ISNUMBER(S652),S652,IF(ISNUMBER(I652),I652,""))</f>
        <v>7.2</v>
      </c>
      <c r="Y652" t="str">
        <f>IF(ISNUMBER(S652),"2025 EIA-923 plant/group proxy",IF(ISNUMBER(I652),"Technology estimate","No thermal heat rate"))</f>
        <v>Technology estimate</v>
      </c>
      <c r="Z652" t="str">
        <f>IF(ISNUMBER(S652),"Review: NOT unit verified",IF(AE652="No match","No EIA match",IF(AF652="Unconfirmed","Unconfirmed EIA candidate","")))</f>
        <v>No EIA match</v>
      </c>
      <c r="AE652" t="s">
        <v>107</v>
      </c>
      <c r="AG652" s="24">
        <f>IF(ISBLANK(S652),S652,I652)</f>
        <v>7.2</v>
      </c>
      <c r="AH652" s="34">
        <f t="shared" si="26"/>
        <v>90706.099999999977</v>
      </c>
      <c r="AI652">
        <f t="shared" si="25"/>
        <v>56644.371229294178</v>
      </c>
      <c r="AJ652" t="b" cm="1">
        <f t="array" ref="AJ652">OR(D652=$AT$2:$AT$8)</f>
        <v>0</v>
      </c>
    </row>
    <row r="653" spans="1:36" x14ac:dyDescent="0.25">
      <c r="A653" s="2" t="s">
        <v>1614</v>
      </c>
      <c r="B653" s="3">
        <v>552.5</v>
      </c>
      <c r="C653" s="2" t="s">
        <v>147</v>
      </c>
      <c r="D653" s="2" t="s">
        <v>147</v>
      </c>
      <c r="E653" s="2" t="s">
        <v>244</v>
      </c>
      <c r="F653" s="4" t="s">
        <v>138</v>
      </c>
      <c r="G653" s="4" t="s">
        <v>245</v>
      </c>
      <c r="H653" s="5">
        <v>6.5</v>
      </c>
      <c r="I653" s="5">
        <v>7.2</v>
      </c>
      <c r="J653" s="5">
        <v>8.1999999999999993</v>
      </c>
      <c r="K653" s="4" t="s">
        <v>111</v>
      </c>
      <c r="L653" s="4" t="s">
        <v>112</v>
      </c>
      <c r="M653" s="6">
        <f>IF(OR(B653="",I653=""),"",B653*I653)</f>
        <v>3978</v>
      </c>
      <c r="N653" s="10" t="s">
        <v>10</v>
      </c>
      <c r="O653" s="9"/>
      <c r="P653" s="9"/>
      <c r="Q653" s="22"/>
      <c r="R653" s="22"/>
      <c r="S653" s="23" t="str">
        <f>IF(AND(ISNUMBER(Q653),Q653&gt;0,ISNUMBER(R653),R653&gt;0),R653/Q653,"")</f>
        <v/>
      </c>
      <c r="T653" s="9"/>
      <c r="U653" s="9"/>
      <c r="V653" s="9"/>
      <c r="W653" s="9"/>
      <c r="X653" s="23">
        <f>IF(ISNUMBER(S653),S653,IF(ISNUMBER(I653),I653,""))</f>
        <v>7.2</v>
      </c>
      <c r="Y653" t="str">
        <f>IF(ISNUMBER(S653),"2025 EIA-923 plant/group proxy",IF(ISNUMBER(I653),"Technology estimate","No thermal heat rate"))</f>
        <v>Technology estimate</v>
      </c>
      <c r="Z653" t="str">
        <f>IF(ISNUMBER(S653),"Review: NOT unit verified",IF(AE653="No match","No EIA match",IF(AF653="Unconfirmed","Unconfirmed EIA candidate","")))</f>
        <v>No EIA match</v>
      </c>
      <c r="AE653" t="s">
        <v>107</v>
      </c>
      <c r="AG653" s="24">
        <f>IF(ISBLANK(S653),S653,I653)</f>
        <v>7.2</v>
      </c>
      <c r="AH653" s="34">
        <f t="shared" si="26"/>
        <v>91258.599999999977</v>
      </c>
      <c r="AI653">
        <f t="shared" si="25"/>
        <v>56989.397805281733</v>
      </c>
      <c r="AJ653" t="b" cm="1">
        <f t="array" ref="AJ653">OR(D653=$AT$2:$AT$8)</f>
        <v>0</v>
      </c>
    </row>
    <row r="654" spans="1:36" x14ac:dyDescent="0.25">
      <c r="A654" s="2" t="s">
        <v>1628</v>
      </c>
      <c r="B654" s="3">
        <v>565</v>
      </c>
      <c r="C654" s="2" t="s">
        <v>80</v>
      </c>
      <c r="D654" s="2" t="s">
        <v>81</v>
      </c>
      <c r="E654" s="2" t="s">
        <v>244</v>
      </c>
      <c r="F654" s="4" t="s">
        <v>138</v>
      </c>
      <c r="G654" s="4" t="s">
        <v>245</v>
      </c>
      <c r="H654" s="5">
        <v>6.5</v>
      </c>
      <c r="I654" s="5">
        <v>7.2</v>
      </c>
      <c r="J654" s="5">
        <v>8.1999999999999993</v>
      </c>
      <c r="K654" s="4" t="s">
        <v>111</v>
      </c>
      <c r="L654" s="4" t="s">
        <v>112</v>
      </c>
      <c r="M654" s="6">
        <f>IF(OR(B654="",I654=""),"",B654*I654)</f>
        <v>4068</v>
      </c>
      <c r="N654" s="10" t="s">
        <v>10</v>
      </c>
      <c r="O654" s="9"/>
      <c r="P654" s="9"/>
      <c r="Q654" s="22"/>
      <c r="R654" s="22"/>
      <c r="S654" s="23" t="str">
        <f>IF(AND(ISNUMBER(Q654),Q654&gt;0,ISNUMBER(R654),R654&gt;0),R654/Q654,"")</f>
        <v/>
      </c>
      <c r="T654" s="9"/>
      <c r="U654" s="9"/>
      <c r="V654" s="9"/>
      <c r="W654" s="9"/>
      <c r="X654" s="23">
        <f>IF(ISNUMBER(S654),S654,IF(ISNUMBER(I654),I654,""))</f>
        <v>7.2</v>
      </c>
      <c r="Y654" t="str">
        <f>IF(ISNUMBER(S654),"2025 EIA-923 plant/group proxy",IF(ISNUMBER(I654),"Technology estimate","No thermal heat rate"))</f>
        <v>Technology estimate</v>
      </c>
      <c r="Z654" t="str">
        <f>IF(ISNUMBER(S654),"Review: NOT unit verified",IF(AE654="No match","No EIA match",IF(AF654="Unconfirmed","Unconfirmed EIA candidate","")))</f>
        <v>No EIA match</v>
      </c>
      <c r="AE654" t="s">
        <v>107</v>
      </c>
      <c r="AG654" s="24">
        <f>IF(ISBLANK(S654),S654,I654)</f>
        <v>7.2</v>
      </c>
      <c r="AH654" s="34">
        <f t="shared" si="26"/>
        <v>91823.599999999977</v>
      </c>
      <c r="AI654">
        <f t="shared" si="25"/>
        <v>57342.230412400233</v>
      </c>
      <c r="AJ654" t="b" cm="1">
        <f t="array" ref="AJ654">OR(D654=$AT$2:$AT$8)</f>
        <v>0</v>
      </c>
    </row>
    <row r="655" spans="1:36" x14ac:dyDescent="0.25">
      <c r="A655" s="2" t="s">
        <v>1637</v>
      </c>
      <c r="B655" s="3">
        <v>715</v>
      </c>
      <c r="C655" s="2" t="s">
        <v>99</v>
      </c>
      <c r="D655" s="2" t="s">
        <v>81</v>
      </c>
      <c r="E655" s="2" t="s">
        <v>244</v>
      </c>
      <c r="F655" s="4" t="s">
        <v>138</v>
      </c>
      <c r="G655" s="4" t="s">
        <v>245</v>
      </c>
      <c r="H655" s="5">
        <v>6.5</v>
      </c>
      <c r="I655" s="5">
        <v>7.2</v>
      </c>
      <c r="J655" s="5">
        <v>8.1999999999999993</v>
      </c>
      <c r="K655" s="4" t="s">
        <v>111</v>
      </c>
      <c r="L655" s="4" t="s">
        <v>112</v>
      </c>
      <c r="M655" s="6">
        <f>IF(OR(B655="",I655=""),"",B655*I655)</f>
        <v>5148</v>
      </c>
      <c r="N655" s="29" t="s">
        <v>154</v>
      </c>
      <c r="O655" s="9"/>
      <c r="P655" s="9"/>
      <c r="Q655" s="22"/>
      <c r="R655" s="22"/>
      <c r="S655" s="23" t="str">
        <f>IF(AND(ISNUMBER(Q655),Q655&gt;0,ISNUMBER(R655),R655&gt;0),R655/Q655,"")</f>
        <v/>
      </c>
      <c r="T655" s="9"/>
      <c r="U655" s="9"/>
      <c r="V655" s="9"/>
      <c r="W655" s="9" t="s">
        <v>1638</v>
      </c>
      <c r="X655" s="23">
        <f>IF(ISNUMBER(S655),S655,IF(ISNUMBER(I655),I655,""))</f>
        <v>7.2</v>
      </c>
      <c r="Y655" t="str">
        <f>IF(ISNUMBER(S655),"2025 EIA-923 plant/group proxy",IF(ISNUMBER(I655),"Technology estimate","No thermal heat rate"))</f>
        <v>Technology estimate</v>
      </c>
      <c r="Z655" t="str">
        <f>IF(ISNUMBER(S655),"Review: NOT unit verified",IF(AE655="No match","No EIA match",IF(AF655="Unconfirmed","Unconfirmed EIA candidate","")))</f>
        <v>Unconfirmed EIA candidate</v>
      </c>
      <c r="AA655" s="26">
        <v>0.54849999999999999</v>
      </c>
      <c r="AB655" t="s">
        <v>131</v>
      </c>
      <c r="AC655" t="s">
        <v>843</v>
      </c>
      <c r="AD655" s="26">
        <v>715</v>
      </c>
      <c r="AE655" t="s">
        <v>157</v>
      </c>
      <c r="AF655" t="s">
        <v>158</v>
      </c>
      <c r="AG655" s="24">
        <f>IF(ISBLANK(S655),S655,I655)</f>
        <v>7.2</v>
      </c>
      <c r="AH655" s="34">
        <f t="shared" si="26"/>
        <v>92538.599999999977</v>
      </c>
      <c r="AI655">
        <f t="shared" si="25"/>
        <v>57788.735393090014</v>
      </c>
      <c r="AJ655" t="b" cm="1">
        <f t="array" ref="AJ655">OR(D655=$AT$2:$AT$8)</f>
        <v>0</v>
      </c>
    </row>
    <row r="656" spans="1:36" x14ac:dyDescent="0.25">
      <c r="A656" s="2" t="s">
        <v>1651</v>
      </c>
      <c r="B656" s="3">
        <v>1084</v>
      </c>
      <c r="C656" s="2" t="s">
        <v>136</v>
      </c>
      <c r="D656" s="2" t="s">
        <v>76</v>
      </c>
      <c r="E656" s="2" t="s">
        <v>244</v>
      </c>
      <c r="F656" s="4" t="s">
        <v>138</v>
      </c>
      <c r="G656" s="4" t="s">
        <v>245</v>
      </c>
      <c r="H656" s="5">
        <v>6.5</v>
      </c>
      <c r="I656" s="5">
        <v>7.2</v>
      </c>
      <c r="J656" s="5">
        <v>8.1999999999999993</v>
      </c>
      <c r="K656" s="4" t="s">
        <v>111</v>
      </c>
      <c r="L656" s="4" t="s">
        <v>112</v>
      </c>
      <c r="M656" s="6">
        <f>IF(OR(B656="",I656=""),"",B656*I656)</f>
        <v>7804.8</v>
      </c>
      <c r="N656" s="10" t="s">
        <v>10</v>
      </c>
      <c r="O656" s="9"/>
      <c r="P656" s="9"/>
      <c r="Q656" s="22"/>
      <c r="R656" s="22"/>
      <c r="S656" s="23" t="str">
        <f>IF(AND(ISNUMBER(Q656),Q656&gt;0,ISNUMBER(R656),R656&gt;0),R656/Q656,"")</f>
        <v/>
      </c>
      <c r="T656" s="9"/>
      <c r="U656" s="9"/>
      <c r="V656" s="9"/>
      <c r="W656" s="9"/>
      <c r="X656" s="23">
        <f>IF(ISNUMBER(S656),S656,IF(ISNUMBER(I656),I656,""))</f>
        <v>7.2</v>
      </c>
      <c r="Y656" t="str">
        <f>IF(ISNUMBER(S656),"2025 EIA-923 plant/group proxy",IF(ISNUMBER(I656),"Technology estimate","No thermal heat rate"))</f>
        <v>Technology estimate</v>
      </c>
      <c r="Z656" t="str">
        <f>IF(ISNUMBER(S656),"Review: NOT unit verified",IF(AE656="No match","No EIA match",IF(AF656="Unconfirmed","Unconfirmed EIA candidate","")))</f>
        <v>No EIA match</v>
      </c>
      <c r="AE656" t="s">
        <v>107</v>
      </c>
      <c r="AG656" s="24">
        <f>IF(ISBLANK(S656),S656,I656)</f>
        <v>7.2</v>
      </c>
      <c r="AH656" s="34">
        <f t="shared" si="26"/>
        <v>93622.599999999977</v>
      </c>
      <c r="AI656">
        <f t="shared" si="25"/>
        <v>58465.674412765147</v>
      </c>
      <c r="AJ656" t="b" cm="1">
        <f t="array" ref="AJ656">OR(D656=$AT$2:$AT$8)</f>
        <v>0</v>
      </c>
    </row>
    <row r="657" spans="1:36" x14ac:dyDescent="0.25">
      <c r="A657" s="2" t="s">
        <v>1743</v>
      </c>
      <c r="B657" s="3">
        <v>732.3</v>
      </c>
      <c r="C657" s="2" t="s">
        <v>405</v>
      </c>
      <c r="D657" s="2" t="s">
        <v>405</v>
      </c>
      <c r="E657" s="2" t="s">
        <v>244</v>
      </c>
      <c r="F657" s="4" t="s">
        <v>138</v>
      </c>
      <c r="G657" s="4" t="s">
        <v>245</v>
      </c>
      <c r="H657" s="5">
        <v>6.5</v>
      </c>
      <c r="I657" s="5">
        <v>7.2</v>
      </c>
      <c r="J657" s="5">
        <v>8.1999999999999993</v>
      </c>
      <c r="K657" s="4" t="s">
        <v>111</v>
      </c>
      <c r="L657" s="4" t="s">
        <v>112</v>
      </c>
      <c r="M657" s="6">
        <f>IF(OR(B657="",I657=""),"",B657*I657)</f>
        <v>5272.5599999999995</v>
      </c>
      <c r="N657" s="10" t="s">
        <v>10</v>
      </c>
      <c r="O657" s="9"/>
      <c r="P657" s="9"/>
      <c r="Q657" s="22"/>
      <c r="R657" s="22"/>
      <c r="S657" s="23" t="str">
        <f>IF(AND(ISNUMBER(Q657),Q657&gt;0,ISNUMBER(R657),R657&gt;0),R657/Q657,"")</f>
        <v/>
      </c>
      <c r="T657" s="9"/>
      <c r="U657" s="9"/>
      <c r="V657" s="9"/>
      <c r="W657" s="9"/>
      <c r="X657" s="23">
        <f>IF(ISNUMBER(S657),S657,IF(ISNUMBER(I657),I657,""))</f>
        <v>7.2</v>
      </c>
      <c r="Y657" t="str">
        <f>IF(ISNUMBER(S657),"2025 EIA-923 plant/group proxy",IF(ISNUMBER(I657),"Technology estimate","No thermal heat rate"))</f>
        <v>Technology estimate</v>
      </c>
      <c r="Z657" t="str">
        <f>IF(ISNUMBER(S657),"Review: NOT unit verified",IF(AE657="No match","No EIA match",IF(AF657="Unconfirmed","Unconfirmed EIA candidate","")))</f>
        <v>No EIA match</v>
      </c>
      <c r="AE657" t="s">
        <v>107</v>
      </c>
      <c r="AG657" s="24">
        <f>IF(ISBLANK(S657),S657,I657)</f>
        <v>7.2</v>
      </c>
      <c r="AH657" s="34">
        <f t="shared" si="26"/>
        <v>94354.89999999998</v>
      </c>
      <c r="AI657">
        <f t="shared" si="25"/>
        <v>58922.982940540154</v>
      </c>
      <c r="AJ657" t="b" cm="1">
        <f t="array" ref="AJ657">OR(D657=$AT$2:$AT$8)</f>
        <v>1</v>
      </c>
    </row>
    <row r="658" spans="1:36" x14ac:dyDescent="0.25">
      <c r="A658" s="2" t="s">
        <v>1843</v>
      </c>
      <c r="B658" s="3">
        <v>824.7</v>
      </c>
      <c r="C658" s="2" t="s">
        <v>432</v>
      </c>
      <c r="D658" s="2" t="s">
        <v>58</v>
      </c>
      <c r="E658" s="2" t="s">
        <v>244</v>
      </c>
      <c r="F658" s="4" t="s">
        <v>138</v>
      </c>
      <c r="G658" s="4" t="s">
        <v>245</v>
      </c>
      <c r="H658" s="5">
        <v>6.5</v>
      </c>
      <c r="I658" s="5">
        <v>7.2</v>
      </c>
      <c r="J658" s="5">
        <v>8.1999999999999993</v>
      </c>
      <c r="K658" s="4" t="s">
        <v>111</v>
      </c>
      <c r="L658" s="4" t="s">
        <v>112</v>
      </c>
      <c r="M658" s="6">
        <f>IF(OR(B658="",I658=""),"",B658*I658)</f>
        <v>5937.84</v>
      </c>
      <c r="N658" s="29" t="s">
        <v>154</v>
      </c>
      <c r="O658" s="9"/>
      <c r="P658" s="9"/>
      <c r="Q658" s="22"/>
      <c r="R658" s="22"/>
      <c r="S658" s="23" t="str">
        <f>IF(AND(ISNUMBER(Q658),Q658&gt;0,ISNUMBER(R658),R658&gt;0),R658/Q658,"")</f>
        <v/>
      </c>
      <c r="T658" s="9"/>
      <c r="U658" s="9"/>
      <c r="V658" s="9"/>
      <c r="W658" s="9" t="s">
        <v>1844</v>
      </c>
      <c r="X658" s="23">
        <f>IF(ISNUMBER(S658),S658,IF(ISNUMBER(I658),I658,""))</f>
        <v>7.2</v>
      </c>
      <c r="Y658" t="str">
        <f>IF(ISNUMBER(S658),"2025 EIA-923 plant/group proxy",IF(ISNUMBER(I658),"Technology estimate","No thermal heat rate"))</f>
        <v>Technology estimate</v>
      </c>
      <c r="Z658" t="str">
        <f>IF(ISNUMBER(S658),"Review: NOT unit verified",IF(AE658="No match","No EIA match",IF(AF658="Unconfirmed","Unconfirmed EIA candidate","")))</f>
        <v>Unconfirmed EIA candidate</v>
      </c>
      <c r="AA658" s="26">
        <v>0.54090000000000005</v>
      </c>
      <c r="AB658" t="s">
        <v>143</v>
      </c>
      <c r="AC658" t="s">
        <v>1845</v>
      </c>
      <c r="AD658" s="26">
        <v>1404</v>
      </c>
      <c r="AE658" t="s">
        <v>157</v>
      </c>
      <c r="AF658" t="s">
        <v>158</v>
      </c>
      <c r="AG658" s="24">
        <f>IF(ISBLANK(S658),S658,I658)</f>
        <v>7.2</v>
      </c>
      <c r="AH658" s="34">
        <f t="shared" si="26"/>
        <v>95179.599999999977</v>
      </c>
      <c r="AI658">
        <f t="shared" si="25"/>
        <v>59437.993650435063</v>
      </c>
      <c r="AJ658" t="b" cm="1">
        <f t="array" ref="AJ658">OR(D658=$AT$2:$AT$8)</f>
        <v>0</v>
      </c>
    </row>
    <row r="659" spans="1:36" x14ac:dyDescent="0.25">
      <c r="A659" s="2" t="s">
        <v>880</v>
      </c>
      <c r="B659" s="3">
        <v>217.8</v>
      </c>
      <c r="C659" s="2" t="s">
        <v>99</v>
      </c>
      <c r="D659" s="2" t="s">
        <v>81</v>
      </c>
      <c r="E659" s="2" t="s">
        <v>244</v>
      </c>
      <c r="F659" s="4" t="s">
        <v>138</v>
      </c>
      <c r="G659" s="4" t="s">
        <v>245</v>
      </c>
      <c r="H659" s="5">
        <v>6.5</v>
      </c>
      <c r="I659" s="5">
        <v>7.2</v>
      </c>
      <c r="J659" s="5">
        <v>8.1999999999999993</v>
      </c>
      <c r="K659" s="4" t="s">
        <v>111</v>
      </c>
      <c r="L659" s="4" t="s">
        <v>112</v>
      </c>
      <c r="M659" s="6">
        <f>IF(OR(B659="",I659=""),"",B659*I659)</f>
        <v>1568.16</v>
      </c>
      <c r="N659" s="28" t="s">
        <v>113</v>
      </c>
      <c r="O659" s="26">
        <v>55736</v>
      </c>
      <c r="P659" s="9" t="s">
        <v>881</v>
      </c>
      <c r="Q659" s="27">
        <v>10201773</v>
      </c>
      <c r="R659" s="27">
        <v>73955319</v>
      </c>
      <c r="S659" s="23">
        <f>IF(AND(ISNUMBER(Q659),Q659&gt;0,ISNUMBER(R659),R659&gt;0),R659/Q659,"")</f>
        <v>7.2492613783898152</v>
      </c>
      <c r="T659" s="9" t="s">
        <v>115</v>
      </c>
      <c r="U659" s="9" t="s">
        <v>331</v>
      </c>
      <c r="V659" s="9" t="s">
        <v>21</v>
      </c>
      <c r="W659" s="9" t="s">
        <v>270</v>
      </c>
      <c r="X659" s="23">
        <f>IF(ISNUMBER(S659),S659,IF(ISNUMBER(I659),I659,""))</f>
        <v>7.2492613783898152</v>
      </c>
      <c r="Y659" t="str">
        <f>IF(ISNUMBER(S659),"2025 EIA-923 plant/group proxy",IF(ISNUMBER(I659),"Technology estimate","No thermal heat rate"))</f>
        <v>2025 EIA-923 plant/group proxy</v>
      </c>
      <c r="Z659" t="str">
        <f>IF(ISNUMBER(S659),"Review: NOT unit verified",IF(AE659="No match","No EIA match",IF(AF659="Unconfirmed","Unconfirmed EIA candidate","")))</f>
        <v>Review: NOT unit verified</v>
      </c>
      <c r="AA659" s="26">
        <v>0.76559999999999995</v>
      </c>
      <c r="AB659" t="s">
        <v>322</v>
      </c>
      <c r="AC659" t="s">
        <v>882</v>
      </c>
      <c r="AD659" s="26">
        <v>1365</v>
      </c>
      <c r="AE659" t="s">
        <v>120</v>
      </c>
      <c r="AF659" t="s">
        <v>145</v>
      </c>
      <c r="AG659" s="27">
        <v>7.2492999999999999</v>
      </c>
      <c r="AH659" s="34">
        <f t="shared" si="26"/>
        <v>95397.39999999998</v>
      </c>
      <c r="AI659">
        <f t="shared" si="25"/>
        <v>59574.005936860565</v>
      </c>
      <c r="AJ659" t="b" cm="1">
        <f t="array" ref="AJ659">OR(D659=$AT$2:$AT$8)</f>
        <v>0</v>
      </c>
    </row>
    <row r="660" spans="1:36" x14ac:dyDescent="0.25">
      <c r="A660" s="2" t="s">
        <v>883</v>
      </c>
      <c r="B660" s="3">
        <v>217.8</v>
      </c>
      <c r="C660" s="2" t="s">
        <v>99</v>
      </c>
      <c r="D660" s="2" t="s">
        <v>81</v>
      </c>
      <c r="E660" s="2" t="s">
        <v>244</v>
      </c>
      <c r="F660" s="4" t="s">
        <v>138</v>
      </c>
      <c r="G660" s="4" t="s">
        <v>245</v>
      </c>
      <c r="H660" s="5">
        <v>6.5</v>
      </c>
      <c r="I660" s="5">
        <v>7.2</v>
      </c>
      <c r="J660" s="5">
        <v>8.1999999999999993</v>
      </c>
      <c r="K660" s="4" t="s">
        <v>111</v>
      </c>
      <c r="L660" s="4" t="s">
        <v>112</v>
      </c>
      <c r="M660" s="6">
        <f>IF(OR(B660="",I660=""),"",B660*I660)</f>
        <v>1568.16</v>
      </c>
      <c r="N660" s="28" t="s">
        <v>113</v>
      </c>
      <c r="O660" s="26">
        <v>55736</v>
      </c>
      <c r="P660" s="9" t="s">
        <v>881</v>
      </c>
      <c r="Q660" s="27">
        <v>10201773</v>
      </c>
      <c r="R660" s="27">
        <v>73955319</v>
      </c>
      <c r="S660" s="23">
        <f>IF(AND(ISNUMBER(Q660),Q660&gt;0,ISNUMBER(R660),R660&gt;0),R660/Q660,"")</f>
        <v>7.2492613783898152</v>
      </c>
      <c r="T660" s="9" t="s">
        <v>115</v>
      </c>
      <c r="U660" s="9" t="s">
        <v>331</v>
      </c>
      <c r="V660" s="9" t="s">
        <v>21</v>
      </c>
      <c r="W660" s="9" t="s">
        <v>270</v>
      </c>
      <c r="X660" s="23">
        <f>IF(ISNUMBER(S660),S660,IF(ISNUMBER(I660),I660,""))</f>
        <v>7.2492613783898152</v>
      </c>
      <c r="Y660" t="str">
        <f>IF(ISNUMBER(S660),"2025 EIA-923 plant/group proxy",IF(ISNUMBER(I660),"Technology estimate","No thermal heat rate"))</f>
        <v>2025 EIA-923 plant/group proxy</v>
      </c>
      <c r="Z660" t="str">
        <f>IF(ISNUMBER(S660),"Review: NOT unit verified",IF(AE660="No match","No EIA match",IF(AF660="Unconfirmed","Unconfirmed EIA candidate","")))</f>
        <v>Review: NOT unit verified</v>
      </c>
      <c r="AA660" s="26">
        <v>0.76559999999999995</v>
      </c>
      <c r="AB660" t="s">
        <v>322</v>
      </c>
      <c r="AC660" t="s">
        <v>882</v>
      </c>
      <c r="AD660" s="26">
        <v>1365</v>
      </c>
      <c r="AE660" t="s">
        <v>120</v>
      </c>
      <c r="AF660" t="s">
        <v>145</v>
      </c>
      <c r="AG660" s="27">
        <v>7.2492999999999999</v>
      </c>
      <c r="AH660" s="34">
        <f t="shared" si="26"/>
        <v>95615.199999999983</v>
      </c>
      <c r="AI660">
        <f t="shared" si="25"/>
        <v>59710.018223286075</v>
      </c>
      <c r="AJ660" t="b" cm="1">
        <f t="array" ref="AJ660">OR(D660=$AT$2:$AT$8)</f>
        <v>0</v>
      </c>
    </row>
    <row r="661" spans="1:36" x14ac:dyDescent="0.25">
      <c r="A661" s="2" t="s">
        <v>884</v>
      </c>
      <c r="B661" s="3">
        <v>216.7</v>
      </c>
      <c r="C661" s="2" t="s">
        <v>99</v>
      </c>
      <c r="D661" s="2" t="s">
        <v>81</v>
      </c>
      <c r="E661" s="2" t="s">
        <v>244</v>
      </c>
      <c r="F661" s="4" t="s">
        <v>138</v>
      </c>
      <c r="G661" s="4" t="s">
        <v>245</v>
      </c>
      <c r="H661" s="5">
        <v>6.5</v>
      </c>
      <c r="I661" s="5">
        <v>7.2</v>
      </c>
      <c r="J661" s="5">
        <v>8.1999999999999993</v>
      </c>
      <c r="K661" s="4" t="s">
        <v>111</v>
      </c>
      <c r="L661" s="4" t="s">
        <v>112</v>
      </c>
      <c r="M661" s="6">
        <f>IF(OR(B661="",I661=""),"",B661*I661)</f>
        <v>1560.24</v>
      </c>
      <c r="N661" s="28" t="s">
        <v>113</v>
      </c>
      <c r="O661" s="26">
        <v>55736</v>
      </c>
      <c r="P661" s="9" t="s">
        <v>881</v>
      </c>
      <c r="Q661" s="27">
        <v>10201773</v>
      </c>
      <c r="R661" s="27">
        <v>73955319</v>
      </c>
      <c r="S661" s="23">
        <f>IF(AND(ISNUMBER(Q661),Q661&gt;0,ISNUMBER(R661),R661&gt;0),R661/Q661,"")</f>
        <v>7.2492613783898152</v>
      </c>
      <c r="T661" s="9" t="s">
        <v>115</v>
      </c>
      <c r="U661" s="9" t="s">
        <v>331</v>
      </c>
      <c r="V661" s="9" t="s">
        <v>21</v>
      </c>
      <c r="W661" s="9" t="s">
        <v>270</v>
      </c>
      <c r="X661" s="23">
        <f>IF(ISNUMBER(S661),S661,IF(ISNUMBER(I661),I661,""))</f>
        <v>7.2492613783898152</v>
      </c>
      <c r="Y661" t="str">
        <f>IF(ISNUMBER(S661),"2025 EIA-923 plant/group proxy",IF(ISNUMBER(I661),"Technology estimate","No thermal heat rate"))</f>
        <v>2025 EIA-923 plant/group proxy</v>
      </c>
      <c r="Z661" t="str">
        <f>IF(ISNUMBER(S661),"Review: NOT unit verified",IF(AE661="No match","No EIA match",IF(AF661="Unconfirmed","Unconfirmed EIA candidate","")))</f>
        <v>Review: NOT unit verified</v>
      </c>
      <c r="AA661" s="26">
        <v>0.76559999999999995</v>
      </c>
      <c r="AB661" t="s">
        <v>322</v>
      </c>
      <c r="AC661" t="s">
        <v>882</v>
      </c>
      <c r="AD661" s="26">
        <v>1365</v>
      </c>
      <c r="AE661" t="s">
        <v>120</v>
      </c>
      <c r="AF661" t="s">
        <v>145</v>
      </c>
      <c r="AG661" s="27">
        <v>7.2492999999999999</v>
      </c>
      <c r="AH661" s="34">
        <f t="shared" si="26"/>
        <v>95831.89999999998</v>
      </c>
      <c r="AI661">
        <f t="shared" si="25"/>
        <v>59845.343578972053</v>
      </c>
      <c r="AJ661" t="b" cm="1">
        <f t="array" ref="AJ661">OR(D661=$AT$2:$AT$8)</f>
        <v>0</v>
      </c>
    </row>
    <row r="662" spans="1:36" x14ac:dyDescent="0.25">
      <c r="A662" s="2" t="s">
        <v>885</v>
      </c>
      <c r="B662" s="3">
        <v>217.8</v>
      </c>
      <c r="C662" s="2" t="s">
        <v>99</v>
      </c>
      <c r="D662" s="2" t="s">
        <v>81</v>
      </c>
      <c r="E662" s="2" t="s">
        <v>244</v>
      </c>
      <c r="F662" s="4" t="s">
        <v>138</v>
      </c>
      <c r="G662" s="4" t="s">
        <v>245</v>
      </c>
      <c r="H662" s="5">
        <v>6.5</v>
      </c>
      <c r="I662" s="5">
        <v>7.2</v>
      </c>
      <c r="J662" s="5">
        <v>8.1999999999999993</v>
      </c>
      <c r="K662" s="4" t="s">
        <v>111</v>
      </c>
      <c r="L662" s="4" t="s">
        <v>112</v>
      </c>
      <c r="M662" s="6">
        <f>IF(OR(B662="",I662=""),"",B662*I662)</f>
        <v>1568.16</v>
      </c>
      <c r="N662" s="28" t="s">
        <v>113</v>
      </c>
      <c r="O662" s="26">
        <v>55736</v>
      </c>
      <c r="P662" s="9" t="s">
        <v>881</v>
      </c>
      <c r="Q662" s="27">
        <v>10201773</v>
      </c>
      <c r="R662" s="27">
        <v>73955319</v>
      </c>
      <c r="S662" s="23">
        <f>IF(AND(ISNUMBER(Q662),Q662&gt;0,ISNUMBER(R662),R662&gt;0),R662/Q662,"")</f>
        <v>7.2492613783898152</v>
      </c>
      <c r="T662" s="9" t="s">
        <v>115</v>
      </c>
      <c r="U662" s="9" t="s">
        <v>331</v>
      </c>
      <c r="V662" s="9" t="s">
        <v>21</v>
      </c>
      <c r="W662" s="9" t="s">
        <v>270</v>
      </c>
      <c r="X662" s="23">
        <f>IF(ISNUMBER(S662),S662,IF(ISNUMBER(I662),I662,""))</f>
        <v>7.2492613783898152</v>
      </c>
      <c r="Y662" t="str">
        <f>IF(ISNUMBER(S662),"2025 EIA-923 plant/group proxy",IF(ISNUMBER(I662),"Technology estimate","No thermal heat rate"))</f>
        <v>2025 EIA-923 plant/group proxy</v>
      </c>
      <c r="Z662" t="str">
        <f>IF(ISNUMBER(S662),"Review: NOT unit verified",IF(AE662="No match","No EIA match",IF(AF662="Unconfirmed","Unconfirmed EIA candidate","")))</f>
        <v>Review: NOT unit verified</v>
      </c>
      <c r="AA662" s="26">
        <v>0.76559999999999995</v>
      </c>
      <c r="AB662" t="s">
        <v>322</v>
      </c>
      <c r="AC662" t="s">
        <v>882</v>
      </c>
      <c r="AD662" s="26">
        <v>1365</v>
      </c>
      <c r="AE662" t="s">
        <v>120</v>
      </c>
      <c r="AF662" t="s">
        <v>145</v>
      </c>
      <c r="AG662" s="27">
        <v>7.2492999999999999</v>
      </c>
      <c r="AH662" s="34">
        <f t="shared" si="26"/>
        <v>96049.699999999983</v>
      </c>
      <c r="AI662">
        <f t="shared" si="25"/>
        <v>59981.355865397556</v>
      </c>
      <c r="AJ662" t="b" cm="1">
        <f t="array" ref="AJ662">OR(D662=$AT$2:$AT$8)</f>
        <v>0</v>
      </c>
    </row>
    <row r="663" spans="1:36" x14ac:dyDescent="0.25">
      <c r="A663" s="2" t="s">
        <v>886</v>
      </c>
      <c r="B663" s="3">
        <v>228.4</v>
      </c>
      <c r="C663" s="2" t="s">
        <v>99</v>
      </c>
      <c r="D663" s="2" t="s">
        <v>81</v>
      </c>
      <c r="E663" s="2" t="s">
        <v>244</v>
      </c>
      <c r="F663" s="4" t="s">
        <v>138</v>
      </c>
      <c r="G663" s="4" t="s">
        <v>245</v>
      </c>
      <c r="H663" s="5">
        <v>6.5</v>
      </c>
      <c r="I663" s="5">
        <v>7.2</v>
      </c>
      <c r="J663" s="5">
        <v>8.1999999999999993</v>
      </c>
      <c r="K663" s="4" t="s">
        <v>111</v>
      </c>
      <c r="L663" s="4" t="s">
        <v>112</v>
      </c>
      <c r="M663" s="6">
        <f>IF(OR(B663="",I663=""),"",B663*I663)</f>
        <v>1644.48</v>
      </c>
      <c r="N663" s="28" t="s">
        <v>113</v>
      </c>
      <c r="O663" s="26">
        <v>55736</v>
      </c>
      <c r="P663" s="9" t="s">
        <v>881</v>
      </c>
      <c r="Q663" s="27">
        <v>10201773</v>
      </c>
      <c r="R663" s="27">
        <v>73955319</v>
      </c>
      <c r="S663" s="23">
        <f>IF(AND(ISNUMBER(Q663),Q663&gt;0,ISNUMBER(R663),R663&gt;0),R663/Q663,"")</f>
        <v>7.2492613783898152</v>
      </c>
      <c r="T663" s="9" t="s">
        <v>115</v>
      </c>
      <c r="U663" s="9" t="s">
        <v>331</v>
      </c>
      <c r="V663" s="9" t="s">
        <v>21</v>
      </c>
      <c r="W663" s="9" t="s">
        <v>270</v>
      </c>
      <c r="X663" s="23">
        <f>IF(ISNUMBER(S663),S663,IF(ISNUMBER(I663),I663,""))</f>
        <v>7.2492613783898152</v>
      </c>
      <c r="Y663" t="str">
        <f>IF(ISNUMBER(S663),"2025 EIA-923 plant/group proxy",IF(ISNUMBER(I663),"Technology estimate","No thermal heat rate"))</f>
        <v>2025 EIA-923 plant/group proxy</v>
      </c>
      <c r="Z663" t="str">
        <f>IF(ISNUMBER(S663),"Review: NOT unit verified",IF(AE663="No match","No EIA match",IF(AF663="Unconfirmed","Unconfirmed EIA candidate","")))</f>
        <v>Review: NOT unit verified</v>
      </c>
      <c r="AA663" s="26">
        <v>0.77100000000000002</v>
      </c>
      <c r="AB663" t="s">
        <v>322</v>
      </c>
      <c r="AC663" t="s">
        <v>882</v>
      </c>
      <c r="AD663" s="26">
        <v>1365</v>
      </c>
      <c r="AE663" t="s">
        <v>120</v>
      </c>
      <c r="AF663" t="s">
        <v>145</v>
      </c>
      <c r="AG663" s="27">
        <v>7.2492999999999999</v>
      </c>
      <c r="AH663" s="34">
        <f t="shared" si="26"/>
        <v>96278.099999999977</v>
      </c>
      <c r="AI663">
        <f t="shared" si="25"/>
        <v>60123.987666222092</v>
      </c>
      <c r="AJ663" t="b" cm="1">
        <f t="array" ref="AJ663">OR(D663=$AT$2:$AT$8)</f>
        <v>0</v>
      </c>
    </row>
    <row r="664" spans="1:36" x14ac:dyDescent="0.25">
      <c r="A664" s="2" t="s">
        <v>887</v>
      </c>
      <c r="B664" s="3">
        <v>228.4</v>
      </c>
      <c r="C664" s="2" t="s">
        <v>99</v>
      </c>
      <c r="D664" s="2" t="s">
        <v>81</v>
      </c>
      <c r="E664" s="2" t="s">
        <v>244</v>
      </c>
      <c r="F664" s="4" t="s">
        <v>138</v>
      </c>
      <c r="G664" s="4" t="s">
        <v>245</v>
      </c>
      <c r="H664" s="5">
        <v>6.5</v>
      </c>
      <c r="I664" s="5">
        <v>7.2</v>
      </c>
      <c r="J664" s="5">
        <v>8.1999999999999993</v>
      </c>
      <c r="K664" s="4" t="s">
        <v>111</v>
      </c>
      <c r="L664" s="4" t="s">
        <v>112</v>
      </c>
      <c r="M664" s="6">
        <f>IF(OR(B664="",I664=""),"",B664*I664)</f>
        <v>1644.48</v>
      </c>
      <c r="N664" s="28" t="s">
        <v>113</v>
      </c>
      <c r="O664" s="26">
        <v>55736</v>
      </c>
      <c r="P664" s="9" t="s">
        <v>881</v>
      </c>
      <c r="Q664" s="27">
        <v>10201773</v>
      </c>
      <c r="R664" s="27">
        <v>73955319</v>
      </c>
      <c r="S664" s="23">
        <f>IF(AND(ISNUMBER(Q664),Q664&gt;0,ISNUMBER(R664),R664&gt;0),R664/Q664,"")</f>
        <v>7.2492613783898152</v>
      </c>
      <c r="T664" s="9" t="s">
        <v>115</v>
      </c>
      <c r="U664" s="9" t="s">
        <v>331</v>
      </c>
      <c r="V664" s="9" t="s">
        <v>21</v>
      </c>
      <c r="W664" s="9" t="s">
        <v>270</v>
      </c>
      <c r="X664" s="23">
        <f>IF(ISNUMBER(S664),S664,IF(ISNUMBER(I664),I664,""))</f>
        <v>7.2492613783898152</v>
      </c>
      <c r="Y664" t="str">
        <f>IF(ISNUMBER(S664),"2025 EIA-923 plant/group proxy",IF(ISNUMBER(I664),"Technology estimate","No thermal heat rate"))</f>
        <v>2025 EIA-923 plant/group proxy</v>
      </c>
      <c r="Z664" t="str">
        <f>IF(ISNUMBER(S664),"Review: NOT unit verified",IF(AE664="No match","No EIA match",IF(AF664="Unconfirmed","Unconfirmed EIA candidate","")))</f>
        <v>Review: NOT unit verified</v>
      </c>
      <c r="AA664" s="26">
        <v>0.77100000000000002</v>
      </c>
      <c r="AB664" t="s">
        <v>322</v>
      </c>
      <c r="AC664" t="s">
        <v>882</v>
      </c>
      <c r="AD664" s="26">
        <v>1365</v>
      </c>
      <c r="AE664" t="s">
        <v>120</v>
      </c>
      <c r="AF664" t="s">
        <v>145</v>
      </c>
      <c r="AG664" s="27">
        <v>7.2492999999999999</v>
      </c>
      <c r="AH664" s="34">
        <f t="shared" si="26"/>
        <v>96506.499999999971</v>
      </c>
      <c r="AI664">
        <f t="shared" si="25"/>
        <v>60266.619467046628</v>
      </c>
      <c r="AJ664" t="b" cm="1">
        <f t="array" ref="AJ664">OR(D664=$AT$2:$AT$8)</f>
        <v>0</v>
      </c>
    </row>
    <row r="665" spans="1:36" x14ac:dyDescent="0.25">
      <c r="A665" s="2" t="s">
        <v>1457</v>
      </c>
      <c r="B665" s="3">
        <v>247.4</v>
      </c>
      <c r="C665" s="2" t="s">
        <v>91</v>
      </c>
      <c r="D665" s="2" t="s">
        <v>91</v>
      </c>
      <c r="E665" s="2" t="s">
        <v>244</v>
      </c>
      <c r="F665" s="4" t="s">
        <v>138</v>
      </c>
      <c r="G665" s="4" t="s">
        <v>245</v>
      </c>
      <c r="H665" s="5">
        <v>6.5</v>
      </c>
      <c r="I665" s="5">
        <v>7.2</v>
      </c>
      <c r="J665" s="5">
        <v>8.1999999999999993</v>
      </c>
      <c r="K665" s="4" t="s">
        <v>111</v>
      </c>
      <c r="L665" s="4" t="s">
        <v>112</v>
      </c>
      <c r="M665" s="6">
        <f>IF(OR(B665="",I665=""),"",B665*I665)</f>
        <v>1781.28</v>
      </c>
      <c r="N665" s="25" t="s">
        <v>113</v>
      </c>
      <c r="O665" s="26">
        <v>55239</v>
      </c>
      <c r="P665" s="9" t="s">
        <v>1458</v>
      </c>
      <c r="Q665" s="27">
        <v>3448628</v>
      </c>
      <c r="R665" s="27">
        <v>25009533</v>
      </c>
      <c r="S665" s="23">
        <f>IF(AND(ISNUMBER(Q665),Q665&gt;0,ISNUMBER(R665),R665&gt;0),R665/Q665,"")</f>
        <v>7.2520239933098036</v>
      </c>
      <c r="T665" s="9" t="s">
        <v>115</v>
      </c>
      <c r="U665" s="9" t="s">
        <v>331</v>
      </c>
      <c r="V665" s="9" t="s">
        <v>21</v>
      </c>
      <c r="W665" s="9" t="s">
        <v>528</v>
      </c>
      <c r="X665" s="23">
        <f>IF(ISNUMBER(S665),S665,IF(ISNUMBER(I665),I665,""))</f>
        <v>7.2520239933098036</v>
      </c>
      <c r="Y665" t="str">
        <f>IF(ISNUMBER(S665),"2025 EIA-923 plant/group proxy",IF(ISNUMBER(I665),"Technology estimate","No thermal heat rate"))</f>
        <v>2025 EIA-923 plant/group proxy</v>
      </c>
      <c r="Z665" t="str">
        <f>IF(ISNUMBER(S665),"Review: NOT unit verified",IF(AE665="No match","No EIA match",IF(AF665="Unconfirmed","Unconfirmed EIA candidate","")))</f>
        <v>Review: NOT unit verified</v>
      </c>
      <c r="AA665" s="26">
        <v>1</v>
      </c>
      <c r="AB665" t="s">
        <v>241</v>
      </c>
      <c r="AC665" t="s">
        <v>1459</v>
      </c>
      <c r="AD665" s="26">
        <v>775.9</v>
      </c>
      <c r="AE665" t="s">
        <v>120</v>
      </c>
      <c r="AF665" t="s">
        <v>121</v>
      </c>
      <c r="AG665" s="27">
        <v>7.2519999999999998</v>
      </c>
      <c r="AH665" s="34">
        <f t="shared" si="26"/>
        <v>96753.899999999965</v>
      </c>
      <c r="AI665">
        <f t="shared" si="25"/>
        <v>60421.11643519019</v>
      </c>
      <c r="AJ665" t="b" cm="1">
        <f t="array" ref="AJ665">OR(D665=$AT$2:$AT$8)</f>
        <v>1</v>
      </c>
    </row>
    <row r="666" spans="1:36" x14ac:dyDescent="0.25">
      <c r="A666" s="2" t="s">
        <v>1460</v>
      </c>
      <c r="B666" s="3">
        <v>176.2</v>
      </c>
      <c r="C666" s="2" t="s">
        <v>91</v>
      </c>
      <c r="D666" s="2" t="s">
        <v>91</v>
      </c>
      <c r="E666" s="2" t="s">
        <v>244</v>
      </c>
      <c r="F666" s="4" t="s">
        <v>138</v>
      </c>
      <c r="G666" s="4" t="s">
        <v>245</v>
      </c>
      <c r="H666" s="5">
        <v>6.5</v>
      </c>
      <c r="I666" s="5">
        <v>7.2</v>
      </c>
      <c r="J666" s="5">
        <v>8.1999999999999993</v>
      </c>
      <c r="K666" s="4" t="s">
        <v>111</v>
      </c>
      <c r="L666" s="4" t="s">
        <v>112</v>
      </c>
      <c r="M666" s="6">
        <f>IF(OR(B666="",I666=""),"",B666*I666)</f>
        <v>1268.6399999999999</v>
      </c>
      <c r="N666" s="25" t="s">
        <v>113</v>
      </c>
      <c r="O666" s="26">
        <v>55239</v>
      </c>
      <c r="P666" s="9" t="s">
        <v>1458</v>
      </c>
      <c r="Q666" s="27">
        <v>3448628</v>
      </c>
      <c r="R666" s="27">
        <v>25009533</v>
      </c>
      <c r="S666" s="23">
        <f>IF(AND(ISNUMBER(Q666),Q666&gt;0,ISNUMBER(R666),R666&gt;0),R666/Q666,"")</f>
        <v>7.2520239933098036</v>
      </c>
      <c r="T666" s="9" t="s">
        <v>115</v>
      </c>
      <c r="U666" s="9" t="s">
        <v>331</v>
      </c>
      <c r="V666" s="9" t="s">
        <v>21</v>
      </c>
      <c r="W666" s="9" t="s">
        <v>528</v>
      </c>
      <c r="X666" s="23">
        <f>IF(ISNUMBER(S666),S666,IF(ISNUMBER(I666),I666,""))</f>
        <v>7.2520239933098036</v>
      </c>
      <c r="Y666" t="str">
        <f>IF(ISNUMBER(S666),"2025 EIA-923 plant/group proxy",IF(ISNUMBER(I666),"Technology estimate","No thermal heat rate"))</f>
        <v>2025 EIA-923 plant/group proxy</v>
      </c>
      <c r="Z666" t="str">
        <f>IF(ISNUMBER(S666),"Review: NOT unit verified",IF(AE666="No match","No EIA match",IF(AF666="Unconfirmed","Unconfirmed EIA candidate","")))</f>
        <v>Review: NOT unit verified</v>
      </c>
      <c r="AA666" s="26">
        <v>1</v>
      </c>
      <c r="AB666" t="s">
        <v>241</v>
      </c>
      <c r="AC666" t="s">
        <v>1459</v>
      </c>
      <c r="AD666" s="26">
        <v>775.9</v>
      </c>
      <c r="AE666" t="s">
        <v>120</v>
      </c>
      <c r="AF666" t="s">
        <v>121</v>
      </c>
      <c r="AG666" s="27">
        <v>7.2519999999999998</v>
      </c>
      <c r="AH666" s="34">
        <f t="shared" si="26"/>
        <v>96930.099999999962</v>
      </c>
      <c r="AI666">
        <f t="shared" si="25"/>
        <v>60531.150250011924</v>
      </c>
      <c r="AJ666" t="b" cm="1">
        <f t="array" ref="AJ666">OR(D666=$AT$2:$AT$8)</f>
        <v>1</v>
      </c>
    </row>
    <row r="667" spans="1:36" x14ac:dyDescent="0.25">
      <c r="A667" s="2" t="s">
        <v>1461</v>
      </c>
      <c r="B667" s="3">
        <v>176.2</v>
      </c>
      <c r="C667" s="2" t="s">
        <v>91</v>
      </c>
      <c r="D667" s="2" t="s">
        <v>91</v>
      </c>
      <c r="E667" s="2" t="s">
        <v>244</v>
      </c>
      <c r="F667" s="4" t="s">
        <v>138</v>
      </c>
      <c r="G667" s="4" t="s">
        <v>245</v>
      </c>
      <c r="H667" s="5">
        <v>6.5</v>
      </c>
      <c r="I667" s="5">
        <v>7.2</v>
      </c>
      <c r="J667" s="5">
        <v>8.1999999999999993</v>
      </c>
      <c r="K667" s="4" t="s">
        <v>111</v>
      </c>
      <c r="L667" s="4" t="s">
        <v>112</v>
      </c>
      <c r="M667" s="6">
        <f>IF(OR(B667="",I667=""),"",B667*I667)</f>
        <v>1268.6399999999999</v>
      </c>
      <c r="N667" s="25" t="s">
        <v>113</v>
      </c>
      <c r="O667" s="26">
        <v>55239</v>
      </c>
      <c r="P667" s="9" t="s">
        <v>1458</v>
      </c>
      <c r="Q667" s="27">
        <v>3448628</v>
      </c>
      <c r="R667" s="27">
        <v>25009533</v>
      </c>
      <c r="S667" s="23">
        <f>IF(AND(ISNUMBER(Q667),Q667&gt;0,ISNUMBER(R667),R667&gt;0),R667/Q667,"")</f>
        <v>7.2520239933098036</v>
      </c>
      <c r="T667" s="9" t="s">
        <v>115</v>
      </c>
      <c r="U667" s="9" t="s">
        <v>331</v>
      </c>
      <c r="V667" s="9" t="s">
        <v>21</v>
      </c>
      <c r="W667" s="9" t="s">
        <v>528</v>
      </c>
      <c r="X667" s="23">
        <f>IF(ISNUMBER(S667),S667,IF(ISNUMBER(I667),I667,""))</f>
        <v>7.2520239933098036</v>
      </c>
      <c r="Y667" t="str">
        <f>IF(ISNUMBER(S667),"2025 EIA-923 plant/group proxy",IF(ISNUMBER(I667),"Technology estimate","No thermal heat rate"))</f>
        <v>2025 EIA-923 plant/group proxy</v>
      </c>
      <c r="Z667" t="str">
        <f>IF(ISNUMBER(S667),"Review: NOT unit verified",IF(AE667="No match","No EIA match",IF(AF667="Unconfirmed","Unconfirmed EIA candidate","")))</f>
        <v>Review: NOT unit verified</v>
      </c>
      <c r="AA667" s="26">
        <v>1</v>
      </c>
      <c r="AB667" t="s">
        <v>241</v>
      </c>
      <c r="AC667" t="s">
        <v>1459</v>
      </c>
      <c r="AD667" s="26">
        <v>775.9</v>
      </c>
      <c r="AE667" t="s">
        <v>120</v>
      </c>
      <c r="AF667" t="s">
        <v>121</v>
      </c>
      <c r="AG667" s="27">
        <v>7.2519999999999998</v>
      </c>
      <c r="AH667" s="34">
        <f t="shared" si="26"/>
        <v>97106.299999999959</v>
      </c>
      <c r="AI667">
        <f t="shared" si="25"/>
        <v>60641.184064833658</v>
      </c>
      <c r="AJ667" t="b" cm="1">
        <f t="array" ref="AJ667">OR(D667=$AT$2:$AT$8)</f>
        <v>1</v>
      </c>
    </row>
    <row r="668" spans="1:36" x14ac:dyDescent="0.25">
      <c r="A668" s="2" t="s">
        <v>1462</v>
      </c>
      <c r="B668" s="3">
        <v>176.2</v>
      </c>
      <c r="C668" s="2" t="s">
        <v>91</v>
      </c>
      <c r="D668" s="2" t="s">
        <v>91</v>
      </c>
      <c r="E668" s="2" t="s">
        <v>244</v>
      </c>
      <c r="F668" s="4" t="s">
        <v>138</v>
      </c>
      <c r="G668" s="4" t="s">
        <v>245</v>
      </c>
      <c r="H668" s="5">
        <v>6.5</v>
      </c>
      <c r="I668" s="5">
        <v>7.2</v>
      </c>
      <c r="J668" s="5">
        <v>8.1999999999999993</v>
      </c>
      <c r="K668" s="4" t="s">
        <v>111</v>
      </c>
      <c r="L668" s="4" t="s">
        <v>112</v>
      </c>
      <c r="M668" s="6">
        <f>IF(OR(B668="",I668=""),"",B668*I668)</f>
        <v>1268.6399999999999</v>
      </c>
      <c r="N668" s="25" t="s">
        <v>113</v>
      </c>
      <c r="O668" s="26">
        <v>55239</v>
      </c>
      <c r="P668" s="9" t="s">
        <v>1458</v>
      </c>
      <c r="Q668" s="27">
        <v>3448628</v>
      </c>
      <c r="R668" s="27">
        <v>25009533</v>
      </c>
      <c r="S668" s="23">
        <f>IF(AND(ISNUMBER(Q668),Q668&gt;0,ISNUMBER(R668),R668&gt;0),R668/Q668,"")</f>
        <v>7.2520239933098036</v>
      </c>
      <c r="T668" s="9" t="s">
        <v>115</v>
      </c>
      <c r="U668" s="9" t="s">
        <v>331</v>
      </c>
      <c r="V668" s="9" t="s">
        <v>21</v>
      </c>
      <c r="W668" s="9" t="s">
        <v>528</v>
      </c>
      <c r="X668" s="23">
        <f>IF(ISNUMBER(S668),S668,IF(ISNUMBER(I668),I668,""))</f>
        <v>7.2520239933098036</v>
      </c>
      <c r="Y668" t="str">
        <f>IF(ISNUMBER(S668),"2025 EIA-923 plant/group proxy",IF(ISNUMBER(I668),"Technology estimate","No thermal heat rate"))</f>
        <v>2025 EIA-923 plant/group proxy</v>
      </c>
      <c r="Z668" t="str">
        <f>IF(ISNUMBER(S668),"Review: NOT unit verified",IF(AE668="No match","No EIA match",IF(AF668="Unconfirmed","Unconfirmed EIA candidate","")))</f>
        <v>Review: NOT unit verified</v>
      </c>
      <c r="AA668" s="26">
        <v>1</v>
      </c>
      <c r="AB668" t="s">
        <v>241</v>
      </c>
      <c r="AC668" t="s">
        <v>1459</v>
      </c>
      <c r="AD668" s="26">
        <v>775.9</v>
      </c>
      <c r="AE668" t="s">
        <v>120</v>
      </c>
      <c r="AF668" t="s">
        <v>121</v>
      </c>
      <c r="AG668" s="27">
        <v>7.2519999999999998</v>
      </c>
      <c r="AH668" s="34">
        <f t="shared" si="26"/>
        <v>97282.499999999956</v>
      </c>
      <c r="AI668">
        <f t="shared" si="25"/>
        <v>60751.217879655385</v>
      </c>
      <c r="AJ668" t="b" cm="1">
        <f t="array" ref="AJ668">OR(D668=$AT$2:$AT$8)</f>
        <v>1</v>
      </c>
    </row>
    <row r="669" spans="1:36" x14ac:dyDescent="0.25">
      <c r="A669" s="2" t="s">
        <v>970</v>
      </c>
      <c r="B669" s="3">
        <v>235</v>
      </c>
      <c r="C669" s="2" t="s">
        <v>75</v>
      </c>
      <c r="D669" s="2" t="s">
        <v>76</v>
      </c>
      <c r="E669" s="2" t="s">
        <v>244</v>
      </c>
      <c r="F669" s="4" t="s">
        <v>138</v>
      </c>
      <c r="G669" s="4" t="s">
        <v>245</v>
      </c>
      <c r="H669" s="5">
        <v>6.5</v>
      </c>
      <c r="I669" s="5">
        <v>7.2</v>
      </c>
      <c r="J669" s="5">
        <v>8.1999999999999993</v>
      </c>
      <c r="K669" s="4" t="s">
        <v>111</v>
      </c>
      <c r="L669" s="4" t="s">
        <v>112</v>
      </c>
      <c r="M669" s="6">
        <f>IF(OR(B669="",I669=""),"",B669*I669)</f>
        <v>1692</v>
      </c>
      <c r="N669" s="25" t="s">
        <v>113</v>
      </c>
      <c r="O669" s="26">
        <v>55337</v>
      </c>
      <c r="P669" s="9" t="s">
        <v>971</v>
      </c>
      <c r="Q669" s="27">
        <v>4899051</v>
      </c>
      <c r="R669" s="27">
        <v>35608166</v>
      </c>
      <c r="S669" s="23">
        <f>IF(AND(ISNUMBER(Q669),Q669&gt;0,ISNUMBER(R669),R669&gt;0),R669/Q669,"")</f>
        <v>7.2683803454995672</v>
      </c>
      <c r="T669" s="9" t="s">
        <v>115</v>
      </c>
      <c r="U669" s="9" t="s">
        <v>331</v>
      </c>
      <c r="V669" s="9" t="s">
        <v>21</v>
      </c>
      <c r="W669" s="9" t="s">
        <v>117</v>
      </c>
      <c r="X669" s="23">
        <f>IF(ISNUMBER(S669),S669,IF(ISNUMBER(I669),I669,""))</f>
        <v>7.2683803454995672</v>
      </c>
      <c r="Y669" t="str">
        <f>IF(ISNUMBER(S669),"2025 EIA-923 plant/group proxy",IF(ISNUMBER(I669),"Technology estimate","No thermal heat rate"))</f>
        <v>2025 EIA-923 plant/group proxy</v>
      </c>
      <c r="Z669" t="str">
        <f>IF(ISNUMBER(S669),"Review: NOT unit verified",IF(AE669="No match","No EIA match",IF(AF669="Unconfirmed","Unconfirmed EIA candidate","")))</f>
        <v>Review: NOT unit verified</v>
      </c>
      <c r="AA669" s="26">
        <v>1</v>
      </c>
      <c r="AB669" t="s">
        <v>143</v>
      </c>
      <c r="AC669" t="s">
        <v>972</v>
      </c>
      <c r="AD669" s="26">
        <v>760</v>
      </c>
      <c r="AE669" t="s">
        <v>120</v>
      </c>
      <c r="AF669" t="s">
        <v>121</v>
      </c>
      <c r="AG669" s="27">
        <v>7.2683999999999997</v>
      </c>
      <c r="AH669" s="34">
        <f t="shared" si="26"/>
        <v>97517.499999999956</v>
      </c>
      <c r="AI669">
        <f t="shared" si="25"/>
        <v>60897.971264917061</v>
      </c>
      <c r="AJ669" t="b" cm="1">
        <f t="array" ref="AJ669">OR(D669=$AT$2:$AT$8)</f>
        <v>0</v>
      </c>
    </row>
    <row r="670" spans="1:36" x14ac:dyDescent="0.25">
      <c r="A670" s="2" t="s">
        <v>973</v>
      </c>
      <c r="B670" s="3">
        <v>267.39999999999998</v>
      </c>
      <c r="C670" s="2" t="s">
        <v>75</v>
      </c>
      <c r="D670" s="2" t="s">
        <v>76</v>
      </c>
      <c r="E670" s="2" t="s">
        <v>244</v>
      </c>
      <c r="F670" s="4" t="s">
        <v>138</v>
      </c>
      <c r="G670" s="4" t="s">
        <v>245</v>
      </c>
      <c r="H670" s="5">
        <v>6.5</v>
      </c>
      <c r="I670" s="5">
        <v>7.2</v>
      </c>
      <c r="J670" s="5">
        <v>8.1999999999999993</v>
      </c>
      <c r="K670" s="4" t="s">
        <v>111</v>
      </c>
      <c r="L670" s="4" t="s">
        <v>112</v>
      </c>
      <c r="M670" s="6">
        <f>IF(OR(B670="",I670=""),"",B670*I670)</f>
        <v>1925.28</v>
      </c>
      <c r="N670" s="25" t="s">
        <v>113</v>
      </c>
      <c r="O670" s="26">
        <v>55337</v>
      </c>
      <c r="P670" s="9" t="s">
        <v>971</v>
      </c>
      <c r="Q670" s="27">
        <v>4899051</v>
      </c>
      <c r="R670" s="27">
        <v>35608166</v>
      </c>
      <c r="S670" s="23">
        <f>IF(AND(ISNUMBER(Q670),Q670&gt;0,ISNUMBER(R670),R670&gt;0),R670/Q670,"")</f>
        <v>7.2683803454995672</v>
      </c>
      <c r="T670" s="9" t="s">
        <v>115</v>
      </c>
      <c r="U670" s="9" t="s">
        <v>331</v>
      </c>
      <c r="V670" s="9" t="s">
        <v>21</v>
      </c>
      <c r="W670" s="9" t="s">
        <v>117</v>
      </c>
      <c r="X670" s="23">
        <f>IF(ISNUMBER(S670),S670,IF(ISNUMBER(I670),I670,""))</f>
        <v>7.2683803454995672</v>
      </c>
      <c r="Y670" t="str">
        <f>IF(ISNUMBER(S670),"2025 EIA-923 plant/group proxy",IF(ISNUMBER(I670),"Technology estimate","No thermal heat rate"))</f>
        <v>2025 EIA-923 plant/group proxy</v>
      </c>
      <c r="Z670" t="str">
        <f>IF(ISNUMBER(S670),"Review: NOT unit verified",IF(AE670="No match","No EIA match",IF(AF670="Unconfirmed","Unconfirmed EIA candidate","")))</f>
        <v>Review: NOT unit verified</v>
      </c>
      <c r="AA670" s="26">
        <v>1</v>
      </c>
      <c r="AB670" t="s">
        <v>143</v>
      </c>
      <c r="AC670" t="s">
        <v>972</v>
      </c>
      <c r="AD670" s="26">
        <v>760</v>
      </c>
      <c r="AE670" t="s">
        <v>120</v>
      </c>
      <c r="AF670" t="s">
        <v>121</v>
      </c>
      <c r="AG670" s="27">
        <v>7.2683999999999997</v>
      </c>
      <c r="AH670" s="34">
        <f t="shared" si="26"/>
        <v>97784.899999999951</v>
      </c>
      <c r="AI670">
        <f t="shared" si="25"/>
        <v>61064.957882870134</v>
      </c>
      <c r="AJ670" t="b" cm="1">
        <f t="array" ref="AJ670">OR(D670=$AT$2:$AT$8)</f>
        <v>0</v>
      </c>
    </row>
    <row r="671" spans="1:36" x14ac:dyDescent="0.25">
      <c r="A671" s="2" t="s">
        <v>974</v>
      </c>
      <c r="B671" s="3">
        <v>265.8</v>
      </c>
      <c r="C671" s="2" t="s">
        <v>75</v>
      </c>
      <c r="D671" s="2" t="s">
        <v>76</v>
      </c>
      <c r="E671" s="2" t="s">
        <v>244</v>
      </c>
      <c r="F671" s="4" t="s">
        <v>138</v>
      </c>
      <c r="G671" s="4" t="s">
        <v>245</v>
      </c>
      <c r="H671" s="5">
        <v>6.5</v>
      </c>
      <c r="I671" s="5">
        <v>7.2</v>
      </c>
      <c r="J671" s="5">
        <v>8.1999999999999993</v>
      </c>
      <c r="K671" s="4" t="s">
        <v>111</v>
      </c>
      <c r="L671" s="4" t="s">
        <v>112</v>
      </c>
      <c r="M671" s="6">
        <f>IF(OR(B671="",I671=""),"",B671*I671)</f>
        <v>1913.7600000000002</v>
      </c>
      <c r="N671" s="25" t="s">
        <v>113</v>
      </c>
      <c r="O671" s="26">
        <v>55337</v>
      </c>
      <c r="P671" s="9" t="s">
        <v>971</v>
      </c>
      <c r="Q671" s="27">
        <v>4899051</v>
      </c>
      <c r="R671" s="27">
        <v>35608166</v>
      </c>
      <c r="S671" s="23">
        <f>IF(AND(ISNUMBER(Q671),Q671&gt;0,ISNUMBER(R671),R671&gt;0),R671/Q671,"")</f>
        <v>7.2683803454995672</v>
      </c>
      <c r="T671" s="9" t="s">
        <v>115</v>
      </c>
      <c r="U671" s="9" t="s">
        <v>331</v>
      </c>
      <c r="V671" s="9" t="s">
        <v>21</v>
      </c>
      <c r="W671" s="9" t="s">
        <v>117</v>
      </c>
      <c r="X671" s="23">
        <f>IF(ISNUMBER(S671),S671,IF(ISNUMBER(I671),I671,""))</f>
        <v>7.2683803454995672</v>
      </c>
      <c r="Y671" t="str">
        <f>IF(ISNUMBER(S671),"2025 EIA-923 plant/group proxy",IF(ISNUMBER(I671),"Technology estimate","No thermal heat rate"))</f>
        <v>2025 EIA-923 plant/group proxy</v>
      </c>
      <c r="Z671" t="str">
        <f>IF(ISNUMBER(S671),"Review: NOT unit verified",IF(AE671="No match","No EIA match",IF(AF671="Unconfirmed","Unconfirmed EIA candidate","")))</f>
        <v>Review: NOT unit verified</v>
      </c>
      <c r="AA671" s="26">
        <v>1</v>
      </c>
      <c r="AB671" t="s">
        <v>143</v>
      </c>
      <c r="AC671" t="s">
        <v>972</v>
      </c>
      <c r="AD671" s="26">
        <v>760</v>
      </c>
      <c r="AE671" t="s">
        <v>120</v>
      </c>
      <c r="AF671" t="s">
        <v>121</v>
      </c>
      <c r="AG671" s="27">
        <v>7.2683999999999997</v>
      </c>
      <c r="AH671" s="34">
        <f t="shared" si="26"/>
        <v>98050.699999999953</v>
      </c>
      <c r="AI671">
        <f t="shared" si="25"/>
        <v>61230.945328838447</v>
      </c>
      <c r="AJ671" t="b" cm="1">
        <f t="array" ref="AJ671">OR(D671=$AT$2:$AT$8)</f>
        <v>0</v>
      </c>
    </row>
    <row r="672" spans="1:36" x14ac:dyDescent="0.25">
      <c r="A672" s="2" t="s">
        <v>791</v>
      </c>
      <c r="B672" s="3">
        <v>309</v>
      </c>
      <c r="C672" s="2" t="s">
        <v>68</v>
      </c>
      <c r="D672" s="2" t="s">
        <v>69</v>
      </c>
      <c r="E672" s="2" t="s">
        <v>244</v>
      </c>
      <c r="F672" s="4" t="s">
        <v>138</v>
      </c>
      <c r="G672" s="4" t="s">
        <v>245</v>
      </c>
      <c r="H672" s="5">
        <v>6.5</v>
      </c>
      <c r="I672" s="5">
        <v>7.2</v>
      </c>
      <c r="J672" s="5">
        <v>8.1999999999999993</v>
      </c>
      <c r="K672" s="4" t="s">
        <v>111</v>
      </c>
      <c r="L672" s="4" t="s">
        <v>112</v>
      </c>
      <c r="M672" s="6">
        <f>IF(OR(B672="",I672=""),"",B672*I672)</f>
        <v>2224.8000000000002</v>
      </c>
      <c r="N672" s="25" t="s">
        <v>113</v>
      </c>
      <c r="O672" s="26">
        <v>57349</v>
      </c>
      <c r="P672" s="9" t="s">
        <v>792</v>
      </c>
      <c r="Q672" s="27">
        <v>855452</v>
      </c>
      <c r="R672" s="27">
        <v>6249396</v>
      </c>
      <c r="S672" s="23">
        <f>IF(AND(ISNUMBER(Q672),Q672&gt;0,ISNUMBER(R672),R672&gt;0),R672/Q672,"")</f>
        <v>7.3053730659347336</v>
      </c>
      <c r="T672" s="9" t="s">
        <v>115</v>
      </c>
      <c r="U672" s="9" t="s">
        <v>239</v>
      </c>
      <c r="V672" s="9" t="s">
        <v>21</v>
      </c>
      <c r="W672" s="9" t="s">
        <v>217</v>
      </c>
      <c r="X672" s="23">
        <f>IF(ISNUMBER(S672),S672,IF(ISNUMBER(I672),I672,""))</f>
        <v>7.3053730659347336</v>
      </c>
      <c r="Y672" t="str">
        <f>IF(ISNUMBER(S672),"2025 EIA-923 plant/group proxy",IF(ISNUMBER(I672),"Technology estimate","No thermal heat rate"))</f>
        <v>2025 EIA-923 plant/group proxy</v>
      </c>
      <c r="Z672" t="str">
        <f>IF(ISNUMBER(S672),"Review: NOT unit verified",IF(AE672="No match","No EIA match",IF(AF672="Unconfirmed","Unconfirmed EIA candidate","")))</f>
        <v>Review: NOT unit verified</v>
      </c>
      <c r="AA672" s="26">
        <v>0.84019999999999995</v>
      </c>
      <c r="AB672" t="s">
        <v>672</v>
      </c>
      <c r="AC672" t="s">
        <v>793</v>
      </c>
      <c r="AD672" s="26">
        <v>309</v>
      </c>
      <c r="AE672" t="s">
        <v>120</v>
      </c>
      <c r="AF672" t="s">
        <v>121</v>
      </c>
      <c r="AG672" s="27">
        <v>7.3053999999999997</v>
      </c>
      <c r="AH672" s="34">
        <f t="shared" si="26"/>
        <v>98359.699999999953</v>
      </c>
      <c r="AI672">
        <f t="shared" si="25"/>
        <v>61423.910418395288</v>
      </c>
      <c r="AJ672" t="b" cm="1">
        <f t="array" ref="AJ672">OR(D672=$AT$2:$AT$8)</f>
        <v>0</v>
      </c>
    </row>
    <row r="673" spans="1:36" x14ac:dyDescent="0.25">
      <c r="A673" s="2" t="s">
        <v>1078</v>
      </c>
      <c r="B673" s="3">
        <v>223.2</v>
      </c>
      <c r="C673" s="2" t="s">
        <v>432</v>
      </c>
      <c r="D673" s="2" t="s">
        <v>58</v>
      </c>
      <c r="E673" s="2" t="s">
        <v>244</v>
      </c>
      <c r="F673" s="4" t="s">
        <v>138</v>
      </c>
      <c r="G673" s="4" t="s">
        <v>245</v>
      </c>
      <c r="H673" s="5">
        <v>6.5</v>
      </c>
      <c r="I673" s="5">
        <v>7.2</v>
      </c>
      <c r="J673" s="5">
        <v>8.1999999999999993</v>
      </c>
      <c r="K673" s="4" t="s">
        <v>111</v>
      </c>
      <c r="L673" s="4" t="s">
        <v>112</v>
      </c>
      <c r="M673" s="6">
        <f>IF(OR(B673="",I673=""),"",B673*I673)</f>
        <v>1607.04</v>
      </c>
      <c r="N673" s="28" t="s">
        <v>113</v>
      </c>
      <c r="O673" s="26">
        <v>55231</v>
      </c>
      <c r="P673" s="9" t="s">
        <v>1079</v>
      </c>
      <c r="Q673" s="27">
        <v>3931943</v>
      </c>
      <c r="R673" s="27">
        <v>28724987</v>
      </c>
      <c r="S673" s="23">
        <f>IF(AND(ISNUMBER(Q673),Q673&gt;0,ISNUMBER(R673),R673&gt;0),R673/Q673,"")</f>
        <v>7.3055451210762721</v>
      </c>
      <c r="T673" s="9" t="s">
        <v>115</v>
      </c>
      <c r="U673" s="9" t="s">
        <v>331</v>
      </c>
      <c r="V673" s="9" t="s">
        <v>21</v>
      </c>
      <c r="W673" s="9" t="s">
        <v>332</v>
      </c>
      <c r="X673" s="23">
        <f>IF(ISNUMBER(S673),S673,IF(ISNUMBER(I673),I673,""))</f>
        <v>7.3055451210762721</v>
      </c>
      <c r="Y673" t="str">
        <f>IF(ISNUMBER(S673),"2025 EIA-923 plant/group proxy",IF(ISNUMBER(I673),"Technology estimate","No thermal heat rate"))</f>
        <v>2025 EIA-923 plant/group proxy</v>
      </c>
      <c r="Z673" t="str">
        <f>IF(ISNUMBER(S673),"Review: NOT unit verified",IF(AE673="No match","No EIA match",IF(AF673="Unconfirmed","Unconfirmed EIA candidate","")))</f>
        <v>Review: NOT unit verified</v>
      </c>
      <c r="AA673" s="26">
        <v>0.64759999999999995</v>
      </c>
      <c r="AB673" t="s">
        <v>143</v>
      </c>
      <c r="AC673" t="s">
        <v>1080</v>
      </c>
      <c r="AD673" s="26">
        <v>562</v>
      </c>
      <c r="AE673" t="s">
        <v>120</v>
      </c>
      <c r="AF673" t="s">
        <v>145</v>
      </c>
      <c r="AG673" s="27">
        <v>7.3055000000000003</v>
      </c>
      <c r="AH673" s="34">
        <f t="shared" si="26"/>
        <v>98582.899999999951</v>
      </c>
      <c r="AI673">
        <f t="shared" si="25"/>
        <v>61563.29491026936</v>
      </c>
      <c r="AJ673" t="b" cm="1">
        <f t="array" ref="AJ673">OR(D673=$AT$2:$AT$8)</f>
        <v>0</v>
      </c>
    </row>
    <row r="674" spans="1:36" x14ac:dyDescent="0.25">
      <c r="A674" s="2" t="s">
        <v>1081</v>
      </c>
      <c r="B674" s="3">
        <v>161.80000000000001</v>
      </c>
      <c r="C674" s="2" t="s">
        <v>432</v>
      </c>
      <c r="D674" s="2" t="s">
        <v>58</v>
      </c>
      <c r="E674" s="2" t="s">
        <v>244</v>
      </c>
      <c r="F674" s="4" t="s">
        <v>138</v>
      </c>
      <c r="G674" s="4" t="s">
        <v>245</v>
      </c>
      <c r="H674" s="5">
        <v>6.5</v>
      </c>
      <c r="I674" s="5">
        <v>7.2</v>
      </c>
      <c r="J674" s="5">
        <v>8.1999999999999993</v>
      </c>
      <c r="K674" s="4" t="s">
        <v>111</v>
      </c>
      <c r="L674" s="4" t="s">
        <v>112</v>
      </c>
      <c r="M674" s="6">
        <f>IF(OR(B674="",I674=""),"",B674*I674)</f>
        <v>1164.96</v>
      </c>
      <c r="N674" s="28" t="s">
        <v>113</v>
      </c>
      <c r="O674" s="26">
        <v>55231</v>
      </c>
      <c r="P674" s="9" t="s">
        <v>1079</v>
      </c>
      <c r="Q674" s="27">
        <v>3931943</v>
      </c>
      <c r="R674" s="27">
        <v>28724987</v>
      </c>
      <c r="S674" s="23">
        <f>IF(AND(ISNUMBER(Q674),Q674&gt;0,ISNUMBER(R674),R674&gt;0),R674/Q674,"")</f>
        <v>7.3055451210762721</v>
      </c>
      <c r="T674" s="9" t="s">
        <v>115</v>
      </c>
      <c r="U674" s="9" t="s">
        <v>331</v>
      </c>
      <c r="V674" s="9" t="s">
        <v>21</v>
      </c>
      <c r="W674" s="9" t="s">
        <v>332</v>
      </c>
      <c r="X674" s="23">
        <f>IF(ISNUMBER(S674),S674,IF(ISNUMBER(I674),I674,""))</f>
        <v>7.3055451210762721</v>
      </c>
      <c r="Y674" t="str">
        <f>IF(ISNUMBER(S674),"2025 EIA-923 plant/group proxy",IF(ISNUMBER(I674),"Technology estimate","No thermal heat rate"))</f>
        <v>2025 EIA-923 plant/group proxy</v>
      </c>
      <c r="Z674" t="str">
        <f>IF(ISNUMBER(S674),"Review: NOT unit verified",IF(AE674="No match","No EIA match",IF(AF674="Unconfirmed","Unconfirmed EIA candidate","")))</f>
        <v>Review: NOT unit verified</v>
      </c>
      <c r="AA674" s="26">
        <v>0.64759999999999995</v>
      </c>
      <c r="AB674" t="s">
        <v>143</v>
      </c>
      <c r="AC674" t="s">
        <v>1080</v>
      </c>
      <c r="AD674" s="26">
        <v>562</v>
      </c>
      <c r="AE674" t="s">
        <v>120</v>
      </c>
      <c r="AF674" t="s">
        <v>145</v>
      </c>
      <c r="AG674" s="27">
        <v>7.3055000000000003</v>
      </c>
      <c r="AH674" s="34">
        <f t="shared" si="26"/>
        <v>98744.699999999953</v>
      </c>
      <c r="AI674">
        <f t="shared" si="25"/>
        <v>61664.336177228251</v>
      </c>
      <c r="AJ674" t="b" cm="1">
        <f t="array" ref="AJ674">OR(D674=$AT$2:$AT$8)</f>
        <v>0</v>
      </c>
    </row>
    <row r="675" spans="1:36" x14ac:dyDescent="0.25">
      <c r="A675" s="2" t="s">
        <v>1082</v>
      </c>
      <c r="B675" s="3">
        <v>161.80000000000001</v>
      </c>
      <c r="C675" s="2" t="s">
        <v>432</v>
      </c>
      <c r="D675" s="2" t="s">
        <v>58</v>
      </c>
      <c r="E675" s="2" t="s">
        <v>244</v>
      </c>
      <c r="F675" s="4" t="s">
        <v>138</v>
      </c>
      <c r="G675" s="4" t="s">
        <v>245</v>
      </c>
      <c r="H675" s="5">
        <v>6.5</v>
      </c>
      <c r="I675" s="5">
        <v>7.2</v>
      </c>
      <c r="J675" s="5">
        <v>8.1999999999999993</v>
      </c>
      <c r="K675" s="4" t="s">
        <v>111</v>
      </c>
      <c r="L675" s="4" t="s">
        <v>112</v>
      </c>
      <c r="M675" s="6">
        <f>IF(OR(B675="",I675=""),"",B675*I675)</f>
        <v>1164.96</v>
      </c>
      <c r="N675" s="28" t="s">
        <v>113</v>
      </c>
      <c r="O675" s="26">
        <v>55231</v>
      </c>
      <c r="P675" s="9" t="s">
        <v>1079</v>
      </c>
      <c r="Q675" s="27">
        <v>3931943</v>
      </c>
      <c r="R675" s="27">
        <v>28724987</v>
      </c>
      <c r="S675" s="23">
        <f>IF(AND(ISNUMBER(Q675),Q675&gt;0,ISNUMBER(R675),R675&gt;0),R675/Q675,"")</f>
        <v>7.3055451210762721</v>
      </c>
      <c r="T675" s="9" t="s">
        <v>115</v>
      </c>
      <c r="U675" s="9" t="s">
        <v>331</v>
      </c>
      <c r="V675" s="9" t="s">
        <v>21</v>
      </c>
      <c r="W675" s="9" t="s">
        <v>332</v>
      </c>
      <c r="X675" s="23">
        <f>IF(ISNUMBER(S675),S675,IF(ISNUMBER(I675),I675,""))</f>
        <v>7.3055451210762721</v>
      </c>
      <c r="Y675" t="str">
        <f>IF(ISNUMBER(S675),"2025 EIA-923 plant/group proxy",IF(ISNUMBER(I675),"Technology estimate","No thermal heat rate"))</f>
        <v>2025 EIA-923 plant/group proxy</v>
      </c>
      <c r="Z675" t="str">
        <f>IF(ISNUMBER(S675),"Review: NOT unit verified",IF(AE675="No match","No EIA match",IF(AF675="Unconfirmed","Unconfirmed EIA candidate","")))</f>
        <v>Review: NOT unit verified</v>
      </c>
      <c r="AA675" s="26">
        <v>0.64759999999999995</v>
      </c>
      <c r="AB675" t="s">
        <v>143</v>
      </c>
      <c r="AC675" t="s">
        <v>1080</v>
      </c>
      <c r="AD675" s="26">
        <v>562</v>
      </c>
      <c r="AE675" t="s">
        <v>120</v>
      </c>
      <c r="AF675" t="s">
        <v>145</v>
      </c>
      <c r="AG675" s="27">
        <v>7.3055000000000003</v>
      </c>
      <c r="AH675" s="34">
        <f t="shared" si="26"/>
        <v>98906.499999999956</v>
      </c>
      <c r="AI675">
        <f t="shared" si="25"/>
        <v>61765.377444187143</v>
      </c>
      <c r="AJ675" t="b" cm="1">
        <f t="array" ref="AJ675">OR(D675=$AT$2:$AT$8)</f>
        <v>0</v>
      </c>
    </row>
    <row r="676" spans="1:36" x14ac:dyDescent="0.25">
      <c r="A676" s="2" t="s">
        <v>1234</v>
      </c>
      <c r="B676" s="3">
        <v>765</v>
      </c>
      <c r="C676" s="2" t="s">
        <v>86</v>
      </c>
      <c r="D676" s="2" t="s">
        <v>76</v>
      </c>
      <c r="E676" s="2" t="s">
        <v>244</v>
      </c>
      <c r="F676" s="4" t="s">
        <v>138</v>
      </c>
      <c r="G676" s="4" t="s">
        <v>245</v>
      </c>
      <c r="H676" s="5">
        <v>6.5</v>
      </c>
      <c r="I676" s="5">
        <v>7.2</v>
      </c>
      <c r="J676" s="5">
        <v>8.1999999999999993</v>
      </c>
      <c r="K676" s="4" t="s">
        <v>111</v>
      </c>
      <c r="L676" s="4" t="s">
        <v>112</v>
      </c>
      <c r="M676" s="6">
        <f>IF(OR(B676="",I676=""),"",B676*I676)</f>
        <v>5508</v>
      </c>
      <c r="N676" s="28" t="s">
        <v>113</v>
      </c>
      <c r="O676" s="26">
        <v>55231</v>
      </c>
      <c r="P676" s="9" t="s">
        <v>1079</v>
      </c>
      <c r="Q676" s="27">
        <v>3931943</v>
      </c>
      <c r="R676" s="27">
        <v>28724987</v>
      </c>
      <c r="S676" s="23">
        <f>IF(AND(ISNUMBER(Q676),Q676&gt;0,ISNUMBER(R676),R676&gt;0),R676/Q676,"")</f>
        <v>7.3055451210762721</v>
      </c>
      <c r="T676" s="9" t="s">
        <v>115</v>
      </c>
      <c r="U676" s="9" t="s">
        <v>331</v>
      </c>
      <c r="V676" s="9" t="s">
        <v>21</v>
      </c>
      <c r="W676" s="9" t="s">
        <v>332</v>
      </c>
      <c r="X676" s="23">
        <f>IF(ISNUMBER(S676),S676,IF(ISNUMBER(I676),I676,""))</f>
        <v>7.3055451210762721</v>
      </c>
      <c r="Y676" t="str">
        <f>IF(ISNUMBER(S676),"2025 EIA-923 plant/group proxy",IF(ISNUMBER(I676),"Technology estimate","No thermal heat rate"))</f>
        <v>2025 EIA-923 plant/group proxy</v>
      </c>
      <c r="Z676" t="str">
        <f>IF(ISNUMBER(S676),"Review: NOT unit verified",IF(AE676="No match","No EIA match",IF(AF676="Unconfirmed","Unconfirmed EIA candidate","")))</f>
        <v>Review: NOT unit verified</v>
      </c>
      <c r="AA676" s="26">
        <v>0.64100000000000001</v>
      </c>
      <c r="AB676" t="s">
        <v>143</v>
      </c>
      <c r="AC676" t="s">
        <v>1080</v>
      </c>
      <c r="AD676" s="26">
        <v>562</v>
      </c>
      <c r="AE676" t="s">
        <v>120</v>
      </c>
      <c r="AF676" t="s">
        <v>145</v>
      </c>
      <c r="AG676" s="27">
        <v>7.3055000000000003</v>
      </c>
      <c r="AH676" s="34">
        <f t="shared" si="26"/>
        <v>99671.499999999956</v>
      </c>
      <c r="AI676">
        <f t="shared" si="25"/>
        <v>62243.106549400683</v>
      </c>
      <c r="AJ676" t="b" cm="1">
        <f t="array" ref="AJ676">OR(D676=$AT$2:$AT$8)</f>
        <v>0</v>
      </c>
    </row>
    <row r="677" spans="1:36" x14ac:dyDescent="0.25">
      <c r="A677" s="2" t="s">
        <v>1754</v>
      </c>
      <c r="B677" s="3">
        <v>236</v>
      </c>
      <c r="C677" s="2" t="s">
        <v>99</v>
      </c>
      <c r="D677" s="2" t="s">
        <v>81</v>
      </c>
      <c r="E677" s="2" t="s">
        <v>244</v>
      </c>
      <c r="F677" s="4" t="s">
        <v>138</v>
      </c>
      <c r="G677" s="4" t="s">
        <v>245</v>
      </c>
      <c r="H677" s="5">
        <v>6.5</v>
      </c>
      <c r="I677" s="5">
        <v>7.2</v>
      </c>
      <c r="J677" s="5">
        <v>8.1999999999999993</v>
      </c>
      <c r="K677" s="4" t="s">
        <v>111</v>
      </c>
      <c r="L677" s="4" t="s">
        <v>112</v>
      </c>
      <c r="M677" s="6">
        <f>IF(OR(B677="",I677=""),"",B677*I677)</f>
        <v>1699.2</v>
      </c>
      <c r="N677" s="25" t="s">
        <v>113</v>
      </c>
      <c r="O677" s="26">
        <v>55397</v>
      </c>
      <c r="P677" s="9" t="s">
        <v>1755</v>
      </c>
      <c r="Q677" s="27">
        <v>3508822</v>
      </c>
      <c r="R677" s="27">
        <v>25707628</v>
      </c>
      <c r="S677" s="23">
        <f>IF(AND(ISNUMBER(Q677),Q677&gt;0,ISNUMBER(R677),R677&gt;0),R677/Q677,"")</f>
        <v>7.3265694298542359</v>
      </c>
      <c r="T677" s="9" t="s">
        <v>115</v>
      </c>
      <c r="U677" s="9" t="s">
        <v>331</v>
      </c>
      <c r="V677" s="9" t="s">
        <v>21</v>
      </c>
      <c r="W677" s="9" t="s">
        <v>117</v>
      </c>
      <c r="X677" s="23">
        <f>IF(ISNUMBER(S677),S677,IF(ISNUMBER(I677),I677,""))</f>
        <v>7.3265694298542359</v>
      </c>
      <c r="Y677" t="str">
        <f>IF(ISNUMBER(S677),"2025 EIA-923 plant/group proxy",IF(ISNUMBER(I677),"Technology estimate","No thermal heat rate"))</f>
        <v>2025 EIA-923 plant/group proxy</v>
      </c>
      <c r="Z677" t="str">
        <f>IF(ISNUMBER(S677),"Review: NOT unit verified",IF(AE677="No match","No EIA match",IF(AF677="Unconfirmed","Unconfirmed EIA candidate","")))</f>
        <v>Review: NOT unit verified</v>
      </c>
      <c r="AA677" s="26">
        <v>1</v>
      </c>
      <c r="AB677" t="s">
        <v>322</v>
      </c>
      <c r="AC677" t="s">
        <v>843</v>
      </c>
      <c r="AD677" s="26">
        <v>661</v>
      </c>
      <c r="AE677" t="s">
        <v>120</v>
      </c>
      <c r="AF677" t="s">
        <v>121</v>
      </c>
      <c r="AG677" s="27">
        <v>7.3266</v>
      </c>
      <c r="AH677" s="34">
        <f t="shared" si="26"/>
        <v>99907.499999999956</v>
      </c>
      <c r="AI677">
        <f t="shared" si="25"/>
        <v>62390.484417152838</v>
      </c>
      <c r="AJ677" t="b" cm="1">
        <f t="array" ref="AJ677">OR(D677=$AT$2:$AT$8)</f>
        <v>0</v>
      </c>
    </row>
    <row r="678" spans="1:36" x14ac:dyDescent="0.25">
      <c r="A678" s="2" t="s">
        <v>1756</v>
      </c>
      <c r="B678" s="3">
        <v>214.5</v>
      </c>
      <c r="C678" s="2" t="s">
        <v>99</v>
      </c>
      <c r="D678" s="2" t="s">
        <v>81</v>
      </c>
      <c r="E678" s="2" t="s">
        <v>244</v>
      </c>
      <c r="F678" s="4" t="s">
        <v>138</v>
      </c>
      <c r="G678" s="4" t="s">
        <v>245</v>
      </c>
      <c r="H678" s="5">
        <v>6.5</v>
      </c>
      <c r="I678" s="5">
        <v>7.2</v>
      </c>
      <c r="J678" s="5">
        <v>8.1999999999999993</v>
      </c>
      <c r="K678" s="4" t="s">
        <v>111</v>
      </c>
      <c r="L678" s="4" t="s">
        <v>112</v>
      </c>
      <c r="M678" s="6">
        <f>IF(OR(B678="",I678=""),"",B678*I678)</f>
        <v>1544.4</v>
      </c>
      <c r="N678" s="25" t="s">
        <v>113</v>
      </c>
      <c r="O678" s="26">
        <v>55397</v>
      </c>
      <c r="P678" s="9" t="s">
        <v>1755</v>
      </c>
      <c r="Q678" s="27">
        <v>3508822</v>
      </c>
      <c r="R678" s="27">
        <v>25707628</v>
      </c>
      <c r="S678" s="23">
        <f>IF(AND(ISNUMBER(Q678),Q678&gt;0,ISNUMBER(R678),R678&gt;0),R678/Q678,"")</f>
        <v>7.3265694298542359</v>
      </c>
      <c r="T678" s="9" t="s">
        <v>115</v>
      </c>
      <c r="U678" s="9" t="s">
        <v>331</v>
      </c>
      <c r="V678" s="9" t="s">
        <v>21</v>
      </c>
      <c r="W678" s="9" t="s">
        <v>117</v>
      </c>
      <c r="X678" s="23">
        <f>IF(ISNUMBER(S678),S678,IF(ISNUMBER(I678),I678,""))</f>
        <v>7.3265694298542359</v>
      </c>
      <c r="Y678" t="str">
        <f>IF(ISNUMBER(S678),"2025 EIA-923 plant/group proxy",IF(ISNUMBER(I678),"Technology estimate","No thermal heat rate"))</f>
        <v>2025 EIA-923 plant/group proxy</v>
      </c>
      <c r="Z678" t="str">
        <f>IF(ISNUMBER(S678),"Review: NOT unit verified",IF(AE678="No match","No EIA match",IF(AF678="Unconfirmed","Unconfirmed EIA candidate","")))</f>
        <v>Review: NOT unit verified</v>
      </c>
      <c r="AA678" s="26">
        <v>1</v>
      </c>
      <c r="AB678" t="s">
        <v>322</v>
      </c>
      <c r="AC678" t="s">
        <v>843</v>
      </c>
      <c r="AD678" s="26">
        <v>661</v>
      </c>
      <c r="AE678" t="s">
        <v>120</v>
      </c>
      <c r="AF678" t="s">
        <v>121</v>
      </c>
      <c r="AG678" s="27">
        <v>7.3266</v>
      </c>
      <c r="AH678" s="34">
        <f t="shared" si="26"/>
        <v>100121.99999999996</v>
      </c>
      <c r="AI678">
        <f t="shared" si="25"/>
        <v>62524.435911359767</v>
      </c>
      <c r="AJ678" t="b" cm="1">
        <f t="array" ref="AJ678">OR(D678=$AT$2:$AT$8)</f>
        <v>0</v>
      </c>
    </row>
    <row r="679" spans="1:36" x14ac:dyDescent="0.25">
      <c r="A679" s="2" t="s">
        <v>1757</v>
      </c>
      <c r="B679" s="3">
        <v>214.5</v>
      </c>
      <c r="C679" s="2" t="s">
        <v>99</v>
      </c>
      <c r="D679" s="2" t="s">
        <v>81</v>
      </c>
      <c r="E679" s="2" t="s">
        <v>244</v>
      </c>
      <c r="F679" s="4" t="s">
        <v>138</v>
      </c>
      <c r="G679" s="4" t="s">
        <v>245</v>
      </c>
      <c r="H679" s="5">
        <v>6.5</v>
      </c>
      <c r="I679" s="5">
        <v>7.2</v>
      </c>
      <c r="J679" s="5">
        <v>8.1999999999999993</v>
      </c>
      <c r="K679" s="4" t="s">
        <v>111</v>
      </c>
      <c r="L679" s="4" t="s">
        <v>112</v>
      </c>
      <c r="M679" s="6">
        <f>IF(OR(B679="",I679=""),"",B679*I679)</f>
        <v>1544.4</v>
      </c>
      <c r="N679" s="25" t="s">
        <v>113</v>
      </c>
      <c r="O679" s="26">
        <v>55397</v>
      </c>
      <c r="P679" s="9" t="s">
        <v>1755</v>
      </c>
      <c r="Q679" s="27">
        <v>3508822</v>
      </c>
      <c r="R679" s="27">
        <v>25707628</v>
      </c>
      <c r="S679" s="23">
        <f>IF(AND(ISNUMBER(Q679),Q679&gt;0,ISNUMBER(R679),R679&gt;0),R679/Q679,"")</f>
        <v>7.3265694298542359</v>
      </c>
      <c r="T679" s="9" t="s">
        <v>115</v>
      </c>
      <c r="U679" s="9" t="s">
        <v>331</v>
      </c>
      <c r="V679" s="9" t="s">
        <v>21</v>
      </c>
      <c r="W679" s="9" t="s">
        <v>117</v>
      </c>
      <c r="X679" s="23">
        <f>IF(ISNUMBER(S679),S679,IF(ISNUMBER(I679),I679,""))</f>
        <v>7.3265694298542359</v>
      </c>
      <c r="Y679" t="str">
        <f>IF(ISNUMBER(S679),"2025 EIA-923 plant/group proxy",IF(ISNUMBER(I679),"Technology estimate","No thermal heat rate"))</f>
        <v>2025 EIA-923 plant/group proxy</v>
      </c>
      <c r="Z679" t="str">
        <f>IF(ISNUMBER(S679),"Review: NOT unit verified",IF(AE679="No match","No EIA match",IF(AF679="Unconfirmed","Unconfirmed EIA candidate","")))</f>
        <v>Review: NOT unit verified</v>
      </c>
      <c r="AA679" s="26">
        <v>1</v>
      </c>
      <c r="AB679" t="s">
        <v>322</v>
      </c>
      <c r="AC679" t="s">
        <v>843</v>
      </c>
      <c r="AD679" s="26">
        <v>661</v>
      </c>
      <c r="AE679" t="s">
        <v>120</v>
      </c>
      <c r="AF679" t="s">
        <v>121</v>
      </c>
      <c r="AG679" s="27">
        <v>7.3266</v>
      </c>
      <c r="AH679" s="34">
        <f t="shared" si="26"/>
        <v>100336.49999999996</v>
      </c>
      <c r="AI679">
        <f t="shared" si="25"/>
        <v>62658.387405566704</v>
      </c>
      <c r="AJ679" t="b" cm="1">
        <f t="array" ref="AJ679">OR(D679=$AT$2:$AT$8)</f>
        <v>0</v>
      </c>
    </row>
    <row r="680" spans="1:36" x14ac:dyDescent="0.25">
      <c r="A680" s="2" t="s">
        <v>1397</v>
      </c>
      <c r="B680" s="3">
        <v>570.70000000000005</v>
      </c>
      <c r="C680" s="2" t="s">
        <v>78</v>
      </c>
      <c r="D680" s="2" t="s">
        <v>78</v>
      </c>
      <c r="E680" s="2" t="s">
        <v>213</v>
      </c>
      <c r="F680" s="4" t="s">
        <v>126</v>
      </c>
      <c r="G680" s="4" t="s">
        <v>214</v>
      </c>
      <c r="H680" s="5">
        <v>6.6</v>
      </c>
      <c r="I680" s="5">
        <v>7.4</v>
      </c>
      <c r="J680" s="5">
        <v>8.5</v>
      </c>
      <c r="K680" s="4" t="s">
        <v>111</v>
      </c>
      <c r="L680" s="4" t="s">
        <v>128</v>
      </c>
      <c r="M680" s="6">
        <f>IF(OR(B680="",I680=""),"",B680*I680)</f>
        <v>4223.18</v>
      </c>
      <c r="N680" s="28" t="s">
        <v>113</v>
      </c>
      <c r="O680" s="26">
        <v>3804</v>
      </c>
      <c r="P680" s="9" t="s">
        <v>1398</v>
      </c>
      <c r="Q680" s="27">
        <v>2798934.0060000001</v>
      </c>
      <c r="R680" s="27">
        <v>20510873</v>
      </c>
      <c r="S680" s="23">
        <f>IF(AND(ISNUMBER(Q680),Q680&gt;0,ISNUMBER(R680),R680&gt;0),R680/Q680,"")</f>
        <v>7.3281016830090993</v>
      </c>
      <c r="T680" s="9" t="s">
        <v>115</v>
      </c>
      <c r="U680" s="9" t="s">
        <v>216</v>
      </c>
      <c r="V680" s="9" t="s">
        <v>21</v>
      </c>
      <c r="W680" s="9" t="s">
        <v>142</v>
      </c>
      <c r="X680" s="23">
        <f>IF(ISNUMBER(S680),S680,IF(ISNUMBER(I680),I680,""))</f>
        <v>7.3281016830090993</v>
      </c>
      <c r="Y680" t="str">
        <f>IF(ISNUMBER(S680),"2025 EIA-923 plant/group proxy",IF(ISNUMBER(I680),"Technology estimate","No thermal heat rate"))</f>
        <v>2025 EIA-923 plant/group proxy</v>
      </c>
      <c r="Z680" t="str">
        <f>IF(ISNUMBER(S680),"Review: NOT unit verified",IF(AE680="No match","No EIA match",IF(AF680="Unconfirmed","Unconfirmed EIA candidate","")))</f>
        <v>Review: NOT unit verified</v>
      </c>
      <c r="AA680" s="26">
        <v>0.77100000000000002</v>
      </c>
      <c r="AB680" t="s">
        <v>201</v>
      </c>
      <c r="AC680" t="s">
        <v>1399</v>
      </c>
      <c r="AD680" s="26">
        <v>570.70000000000005</v>
      </c>
      <c r="AE680" t="s">
        <v>120</v>
      </c>
      <c r="AF680" t="s">
        <v>145</v>
      </c>
      <c r="AG680" s="27">
        <v>7.3281000000000001</v>
      </c>
      <c r="AH680" s="34">
        <f t="shared" si="26"/>
        <v>100907.19999999995</v>
      </c>
      <c r="AI680">
        <f t="shared" si="25"/>
        <v>63014.779562880911</v>
      </c>
      <c r="AJ680" t="b" cm="1">
        <f t="array" ref="AJ680">OR(D680=$AT$2:$AT$8)</f>
        <v>1</v>
      </c>
    </row>
    <row r="681" spans="1:36" x14ac:dyDescent="0.25">
      <c r="A681" s="2" t="s">
        <v>252</v>
      </c>
      <c r="B681" s="3">
        <v>195</v>
      </c>
      <c r="C681" s="2" t="s">
        <v>136</v>
      </c>
      <c r="D681" s="2" t="s">
        <v>76</v>
      </c>
      <c r="E681" s="2" t="s">
        <v>213</v>
      </c>
      <c r="F681" s="4" t="s">
        <v>126</v>
      </c>
      <c r="G681" s="4" t="s">
        <v>214</v>
      </c>
      <c r="H681" s="5">
        <v>6.6</v>
      </c>
      <c r="I681" s="5">
        <v>7.4</v>
      </c>
      <c r="J681" s="5">
        <v>8.5</v>
      </c>
      <c r="K681" s="4" t="s">
        <v>111</v>
      </c>
      <c r="L681" s="4" t="s">
        <v>128</v>
      </c>
      <c r="M681" s="6">
        <f>IF(OR(B681="",I681=""),"",B681*I681)</f>
        <v>1443</v>
      </c>
      <c r="N681" s="10" t="s">
        <v>10</v>
      </c>
      <c r="O681" s="9"/>
      <c r="P681" s="9"/>
      <c r="Q681" s="22"/>
      <c r="R681" s="22"/>
      <c r="S681" s="23" t="str">
        <f>IF(AND(ISNUMBER(Q681),Q681&gt;0,ISNUMBER(R681),R681&gt;0),R681/Q681,"")</f>
        <v/>
      </c>
      <c r="T681" s="9"/>
      <c r="U681" s="9"/>
      <c r="V681" s="9"/>
      <c r="W681" s="9"/>
      <c r="X681" s="23">
        <f>IF(ISNUMBER(S681),S681,IF(ISNUMBER(I681),I681,""))</f>
        <v>7.4</v>
      </c>
      <c r="Y681" t="str">
        <f>IF(ISNUMBER(S681),"2025 EIA-923 plant/group proxy",IF(ISNUMBER(I681),"Technology estimate","No thermal heat rate"))</f>
        <v>Technology estimate</v>
      </c>
      <c r="Z681" t="str">
        <f>IF(ISNUMBER(S681),"Review: NOT unit verified",IF(AE681="No match","No EIA match",IF(AF681="Unconfirmed","Unconfirmed EIA candidate","")))</f>
        <v>No EIA match</v>
      </c>
      <c r="AE681" t="s">
        <v>107</v>
      </c>
      <c r="AG681" s="24">
        <f>IF(ISBLANK(S681),S681,I681)</f>
        <v>7.4</v>
      </c>
      <c r="AH681" s="34">
        <f t="shared" si="26"/>
        <v>101102.19999999995</v>
      </c>
      <c r="AI681">
        <f t="shared" si="25"/>
        <v>63136.553648523579</v>
      </c>
      <c r="AJ681" t="b" cm="1">
        <f t="array" ref="AJ681">OR(D681=$AT$2:$AT$8)</f>
        <v>0</v>
      </c>
    </row>
    <row r="682" spans="1:36" x14ac:dyDescent="0.25">
      <c r="A682" s="2" t="s">
        <v>253</v>
      </c>
      <c r="B682" s="3">
        <v>195</v>
      </c>
      <c r="C682" s="2" t="s">
        <v>136</v>
      </c>
      <c r="D682" s="2" t="s">
        <v>136</v>
      </c>
      <c r="E682" s="2" t="s">
        <v>213</v>
      </c>
      <c r="F682" s="4" t="s">
        <v>126</v>
      </c>
      <c r="G682" s="4" t="s">
        <v>214</v>
      </c>
      <c r="H682" s="5">
        <v>6.6</v>
      </c>
      <c r="I682" s="5">
        <v>7.4</v>
      </c>
      <c r="J682" s="5">
        <v>8.5</v>
      </c>
      <c r="K682" s="4" t="s">
        <v>111</v>
      </c>
      <c r="L682" s="4" t="s">
        <v>128</v>
      </c>
      <c r="M682" s="6">
        <f>IF(OR(B682="",I682=""),"",B682*I682)</f>
        <v>1443</v>
      </c>
      <c r="N682" s="10" t="s">
        <v>10</v>
      </c>
      <c r="O682" s="9"/>
      <c r="P682" s="9"/>
      <c r="Q682" s="22"/>
      <c r="R682" s="22"/>
      <c r="S682" s="23" t="str">
        <f>IF(AND(ISNUMBER(Q682),Q682&gt;0,ISNUMBER(R682),R682&gt;0),R682/Q682,"")</f>
        <v/>
      </c>
      <c r="T682" s="9"/>
      <c r="U682" s="9"/>
      <c r="V682" s="9"/>
      <c r="W682" s="9"/>
      <c r="X682" s="23">
        <f>IF(ISNUMBER(S682),S682,IF(ISNUMBER(I682),I682,""))</f>
        <v>7.4</v>
      </c>
      <c r="Y682" t="str">
        <f>IF(ISNUMBER(S682),"2025 EIA-923 plant/group proxy",IF(ISNUMBER(I682),"Technology estimate","No thermal heat rate"))</f>
        <v>Technology estimate</v>
      </c>
      <c r="Z682" t="str">
        <f>IF(ISNUMBER(S682),"Review: NOT unit verified",IF(AE682="No match","No EIA match",IF(AF682="Unconfirmed","Unconfirmed EIA candidate","")))</f>
        <v>No EIA match</v>
      </c>
      <c r="AE682" t="s">
        <v>107</v>
      </c>
      <c r="AG682" s="24">
        <f>IF(ISBLANK(S682),S682,I682)</f>
        <v>7.4</v>
      </c>
      <c r="AH682" s="34">
        <f t="shared" si="26"/>
        <v>101297.19999999995</v>
      </c>
      <c r="AI682">
        <f t="shared" si="25"/>
        <v>63258.327734166247</v>
      </c>
      <c r="AJ682" t="b" cm="1">
        <f t="array" ref="AJ682">OR(D682=$AT$2:$AT$8)</f>
        <v>0</v>
      </c>
    </row>
    <row r="683" spans="1:36" x14ac:dyDescent="0.25">
      <c r="A683" s="2" t="s">
        <v>254</v>
      </c>
      <c r="B683" s="3">
        <v>118</v>
      </c>
      <c r="C683" s="2" t="s">
        <v>136</v>
      </c>
      <c r="D683" s="2" t="s">
        <v>76</v>
      </c>
      <c r="E683" s="2" t="s">
        <v>213</v>
      </c>
      <c r="F683" s="4" t="s">
        <v>126</v>
      </c>
      <c r="G683" s="4" t="s">
        <v>214</v>
      </c>
      <c r="H683" s="5">
        <v>6.6</v>
      </c>
      <c r="I683" s="5">
        <v>7.4</v>
      </c>
      <c r="J683" s="5">
        <v>8.5</v>
      </c>
      <c r="K683" s="4" t="s">
        <v>111</v>
      </c>
      <c r="L683" s="4" t="s">
        <v>128</v>
      </c>
      <c r="M683" s="6">
        <f>IF(OR(B683="",I683=""),"",B683*I683)</f>
        <v>873.2</v>
      </c>
      <c r="N683" s="10" t="s">
        <v>10</v>
      </c>
      <c r="O683" s="9"/>
      <c r="P683" s="9"/>
      <c r="Q683" s="22"/>
      <c r="R683" s="22"/>
      <c r="S683" s="23" t="str">
        <f>IF(AND(ISNUMBER(Q683),Q683&gt;0,ISNUMBER(R683),R683&gt;0),R683/Q683,"")</f>
        <v/>
      </c>
      <c r="T683" s="9"/>
      <c r="U683" s="9"/>
      <c r="V683" s="9"/>
      <c r="W683" s="9"/>
      <c r="X683" s="23">
        <f>IF(ISNUMBER(S683),S683,IF(ISNUMBER(I683),I683,""))</f>
        <v>7.4</v>
      </c>
      <c r="Y683" t="str">
        <f>IF(ISNUMBER(S683),"2025 EIA-923 plant/group proxy",IF(ISNUMBER(I683),"Technology estimate","No thermal heat rate"))</f>
        <v>Technology estimate</v>
      </c>
      <c r="Z683" t="str">
        <f>IF(ISNUMBER(S683),"Review: NOT unit verified",IF(AE683="No match","No EIA match",IF(AF683="Unconfirmed","Unconfirmed EIA candidate","")))</f>
        <v>No EIA match</v>
      </c>
      <c r="AE683" t="s">
        <v>107</v>
      </c>
      <c r="AG683" s="24">
        <f>IF(ISBLANK(S683),S683,I683)</f>
        <v>7.4</v>
      </c>
      <c r="AH683" s="34">
        <f t="shared" si="26"/>
        <v>101415.19999999995</v>
      </c>
      <c r="AI683">
        <f t="shared" si="25"/>
        <v>63332.016668042321</v>
      </c>
      <c r="AJ683" t="b" cm="1">
        <f t="array" ref="AJ683">OR(D683=$AT$2:$AT$8)</f>
        <v>0</v>
      </c>
    </row>
    <row r="684" spans="1:36" x14ac:dyDescent="0.25">
      <c r="A684" s="2" t="s">
        <v>255</v>
      </c>
      <c r="B684" s="3">
        <v>127</v>
      </c>
      <c r="C684" s="2" t="s">
        <v>136</v>
      </c>
      <c r="D684" s="2" t="s">
        <v>76</v>
      </c>
      <c r="E684" s="2" t="s">
        <v>213</v>
      </c>
      <c r="F684" s="4" t="s">
        <v>126</v>
      </c>
      <c r="G684" s="4" t="s">
        <v>214</v>
      </c>
      <c r="H684" s="5">
        <v>6.6</v>
      </c>
      <c r="I684" s="5">
        <v>7.4</v>
      </c>
      <c r="J684" s="5">
        <v>8.5</v>
      </c>
      <c r="K684" s="4" t="s">
        <v>111</v>
      </c>
      <c r="L684" s="4" t="s">
        <v>128</v>
      </c>
      <c r="M684" s="6">
        <f>IF(OR(B684="",I684=""),"",B684*I684)</f>
        <v>939.80000000000007</v>
      </c>
      <c r="N684" s="10" t="s">
        <v>10</v>
      </c>
      <c r="O684" s="9"/>
      <c r="P684" s="9"/>
      <c r="Q684" s="22"/>
      <c r="R684" s="22"/>
      <c r="S684" s="23" t="str">
        <f>IF(AND(ISNUMBER(Q684),Q684&gt;0,ISNUMBER(R684),R684&gt;0),R684/Q684,"")</f>
        <v/>
      </c>
      <c r="T684" s="9"/>
      <c r="U684" s="9"/>
      <c r="V684" s="9"/>
      <c r="W684" s="9"/>
      <c r="X684" s="23">
        <f>IF(ISNUMBER(S684),S684,IF(ISNUMBER(I684),I684,""))</f>
        <v>7.4</v>
      </c>
      <c r="Y684" t="str">
        <f>IF(ISNUMBER(S684),"2025 EIA-923 plant/group proxy",IF(ISNUMBER(I684),"Technology estimate","No thermal heat rate"))</f>
        <v>Technology estimate</v>
      </c>
      <c r="Z684" t="str">
        <f>IF(ISNUMBER(S684),"Review: NOT unit verified",IF(AE684="No match","No EIA match",IF(AF684="Unconfirmed","Unconfirmed EIA candidate","")))</f>
        <v>No EIA match</v>
      </c>
      <c r="AE684" t="s">
        <v>107</v>
      </c>
      <c r="AG684" s="24">
        <f>IF(ISBLANK(S684),S684,I684)</f>
        <v>7.4</v>
      </c>
      <c r="AH684" s="34">
        <f t="shared" si="26"/>
        <v>101542.19999999995</v>
      </c>
      <c r="AI684">
        <f t="shared" si="25"/>
        <v>63411.325944332675</v>
      </c>
      <c r="AJ684" t="b" cm="1">
        <f t="array" ref="AJ684">OR(D684=$AT$2:$AT$8)</f>
        <v>0</v>
      </c>
    </row>
    <row r="685" spans="1:36" x14ac:dyDescent="0.25">
      <c r="A685" s="2" t="s">
        <v>256</v>
      </c>
      <c r="B685" s="3">
        <v>127</v>
      </c>
      <c r="C685" s="2" t="s">
        <v>136</v>
      </c>
      <c r="D685" s="2" t="s">
        <v>76</v>
      </c>
      <c r="E685" s="2" t="s">
        <v>213</v>
      </c>
      <c r="F685" s="4" t="s">
        <v>126</v>
      </c>
      <c r="G685" s="4" t="s">
        <v>214</v>
      </c>
      <c r="H685" s="5">
        <v>6.6</v>
      </c>
      <c r="I685" s="5">
        <v>7.4</v>
      </c>
      <c r="J685" s="5">
        <v>8.5</v>
      </c>
      <c r="K685" s="4" t="s">
        <v>111</v>
      </c>
      <c r="L685" s="4" t="s">
        <v>128</v>
      </c>
      <c r="M685" s="6">
        <f>IF(OR(B685="",I685=""),"",B685*I685)</f>
        <v>939.80000000000007</v>
      </c>
      <c r="N685" s="10" t="s">
        <v>10</v>
      </c>
      <c r="O685" s="9"/>
      <c r="P685" s="9"/>
      <c r="Q685" s="22"/>
      <c r="R685" s="22"/>
      <c r="S685" s="23" t="str">
        <f>IF(AND(ISNUMBER(Q685),Q685&gt;0,ISNUMBER(R685),R685&gt;0),R685/Q685,"")</f>
        <v/>
      </c>
      <c r="T685" s="9"/>
      <c r="U685" s="9"/>
      <c r="V685" s="9"/>
      <c r="W685" s="9"/>
      <c r="X685" s="23">
        <f>IF(ISNUMBER(S685),S685,IF(ISNUMBER(I685),I685,""))</f>
        <v>7.4</v>
      </c>
      <c r="Y685" t="str">
        <f>IF(ISNUMBER(S685),"2025 EIA-923 plant/group proxy",IF(ISNUMBER(I685),"Technology estimate","No thermal heat rate"))</f>
        <v>Technology estimate</v>
      </c>
      <c r="Z685" t="str">
        <f>IF(ISNUMBER(S685),"Review: NOT unit verified",IF(AE685="No match","No EIA match",IF(AF685="Unconfirmed","Unconfirmed EIA candidate","")))</f>
        <v>No EIA match</v>
      </c>
      <c r="AE685" t="s">
        <v>107</v>
      </c>
      <c r="AG685" s="24">
        <f>IF(ISBLANK(S685),S685,I685)</f>
        <v>7.4</v>
      </c>
      <c r="AH685" s="34">
        <f t="shared" si="26"/>
        <v>101669.19999999995</v>
      </c>
      <c r="AI685">
        <f t="shared" si="25"/>
        <v>63490.635220623022</v>
      </c>
      <c r="AJ685" t="b" cm="1">
        <f t="array" ref="AJ685">OR(D685=$AT$2:$AT$8)</f>
        <v>0</v>
      </c>
    </row>
    <row r="686" spans="1:36" x14ac:dyDescent="0.25">
      <c r="A686" s="2" t="s">
        <v>257</v>
      </c>
      <c r="B686" s="3">
        <v>118</v>
      </c>
      <c r="C686" s="2" t="s">
        <v>136</v>
      </c>
      <c r="D686" s="2" t="s">
        <v>76</v>
      </c>
      <c r="E686" s="2" t="s">
        <v>213</v>
      </c>
      <c r="F686" s="4" t="s">
        <v>126</v>
      </c>
      <c r="G686" s="4" t="s">
        <v>214</v>
      </c>
      <c r="H686" s="5">
        <v>6.6</v>
      </c>
      <c r="I686" s="5">
        <v>7.4</v>
      </c>
      <c r="J686" s="5">
        <v>8.5</v>
      </c>
      <c r="K686" s="4" t="s">
        <v>111</v>
      </c>
      <c r="L686" s="4" t="s">
        <v>128</v>
      </c>
      <c r="M686" s="6">
        <f>IF(OR(B686="",I686=""),"",B686*I686)</f>
        <v>873.2</v>
      </c>
      <c r="N686" s="10" t="s">
        <v>10</v>
      </c>
      <c r="O686" s="9"/>
      <c r="P686" s="9"/>
      <c r="Q686" s="22"/>
      <c r="R686" s="22"/>
      <c r="S686" s="23" t="str">
        <f>IF(AND(ISNUMBER(Q686),Q686&gt;0,ISNUMBER(R686),R686&gt;0),R686/Q686,"")</f>
        <v/>
      </c>
      <c r="T686" s="9"/>
      <c r="U686" s="9"/>
      <c r="V686" s="9"/>
      <c r="W686" s="9"/>
      <c r="X686" s="23">
        <f>IF(ISNUMBER(S686),S686,IF(ISNUMBER(I686),I686,""))</f>
        <v>7.4</v>
      </c>
      <c r="Y686" t="str">
        <f>IF(ISNUMBER(S686),"2025 EIA-923 plant/group proxy",IF(ISNUMBER(I686),"Technology estimate","No thermal heat rate"))</f>
        <v>Technology estimate</v>
      </c>
      <c r="Z686" t="str">
        <f>IF(ISNUMBER(S686),"Review: NOT unit verified",IF(AE686="No match","No EIA match",IF(AF686="Unconfirmed","Unconfirmed EIA candidate","")))</f>
        <v>No EIA match</v>
      </c>
      <c r="AE686" t="s">
        <v>107</v>
      </c>
      <c r="AG686" s="24">
        <f>IF(ISBLANK(S686),S686,I686)</f>
        <v>7.4</v>
      </c>
      <c r="AH686" s="34">
        <f t="shared" si="26"/>
        <v>101787.19999999995</v>
      </c>
      <c r="AI686">
        <f t="shared" si="25"/>
        <v>63564.324154499103</v>
      </c>
      <c r="AJ686" t="b" cm="1">
        <f t="array" ref="AJ686">OR(D686=$AT$2:$AT$8)</f>
        <v>0</v>
      </c>
    </row>
    <row r="687" spans="1:36" x14ac:dyDescent="0.25">
      <c r="A687" s="2" t="s">
        <v>258</v>
      </c>
      <c r="B687" s="3">
        <v>127</v>
      </c>
      <c r="C687" s="2" t="s">
        <v>136</v>
      </c>
      <c r="D687" s="2" t="s">
        <v>76</v>
      </c>
      <c r="E687" s="2" t="s">
        <v>213</v>
      </c>
      <c r="F687" s="4" t="s">
        <v>126</v>
      </c>
      <c r="G687" s="4" t="s">
        <v>214</v>
      </c>
      <c r="H687" s="5">
        <v>6.6</v>
      </c>
      <c r="I687" s="5">
        <v>7.4</v>
      </c>
      <c r="J687" s="5">
        <v>8.5</v>
      </c>
      <c r="K687" s="4" t="s">
        <v>111</v>
      </c>
      <c r="L687" s="4" t="s">
        <v>128</v>
      </c>
      <c r="M687" s="6">
        <f>IF(OR(B687="",I687=""),"",B687*I687)</f>
        <v>939.80000000000007</v>
      </c>
      <c r="N687" s="10" t="s">
        <v>10</v>
      </c>
      <c r="O687" s="9"/>
      <c r="P687" s="9"/>
      <c r="Q687" s="22"/>
      <c r="R687" s="22"/>
      <c r="S687" s="23" t="str">
        <f>IF(AND(ISNUMBER(Q687),Q687&gt;0,ISNUMBER(R687),R687&gt;0),R687/Q687,"")</f>
        <v/>
      </c>
      <c r="T687" s="9"/>
      <c r="U687" s="9"/>
      <c r="V687" s="9"/>
      <c r="W687" s="9"/>
      <c r="X687" s="23">
        <f>IF(ISNUMBER(S687),S687,IF(ISNUMBER(I687),I687,""))</f>
        <v>7.4</v>
      </c>
      <c r="Y687" t="str">
        <f>IF(ISNUMBER(S687),"2025 EIA-923 plant/group proxy",IF(ISNUMBER(I687),"Technology estimate","No thermal heat rate"))</f>
        <v>Technology estimate</v>
      </c>
      <c r="Z687" t="str">
        <f>IF(ISNUMBER(S687),"Review: NOT unit verified",IF(AE687="No match","No EIA match",IF(AF687="Unconfirmed","Unconfirmed EIA candidate","")))</f>
        <v>No EIA match</v>
      </c>
      <c r="AE687" t="s">
        <v>107</v>
      </c>
      <c r="AG687" s="24">
        <f>IF(ISBLANK(S687),S687,I687)</f>
        <v>7.4</v>
      </c>
      <c r="AH687" s="34">
        <f t="shared" si="26"/>
        <v>101914.19999999995</v>
      </c>
      <c r="AI687">
        <f t="shared" si="25"/>
        <v>63643.63343078945</v>
      </c>
      <c r="AJ687" t="b" cm="1">
        <f t="array" ref="AJ687">OR(D687=$AT$2:$AT$8)</f>
        <v>0</v>
      </c>
    </row>
    <row r="688" spans="1:36" x14ac:dyDescent="0.25">
      <c r="A688" s="2" t="s">
        <v>259</v>
      </c>
      <c r="B688" s="3">
        <v>127</v>
      </c>
      <c r="C688" s="2" t="s">
        <v>136</v>
      </c>
      <c r="D688" s="2" t="s">
        <v>76</v>
      </c>
      <c r="E688" s="2" t="s">
        <v>213</v>
      </c>
      <c r="F688" s="4" t="s">
        <v>126</v>
      </c>
      <c r="G688" s="4" t="s">
        <v>214</v>
      </c>
      <c r="H688" s="5">
        <v>6.6</v>
      </c>
      <c r="I688" s="5">
        <v>7.4</v>
      </c>
      <c r="J688" s="5">
        <v>8.5</v>
      </c>
      <c r="K688" s="4" t="s">
        <v>111</v>
      </c>
      <c r="L688" s="4" t="s">
        <v>128</v>
      </c>
      <c r="M688" s="6">
        <f>IF(OR(B688="",I688=""),"",B688*I688)</f>
        <v>939.80000000000007</v>
      </c>
      <c r="N688" s="10" t="s">
        <v>10</v>
      </c>
      <c r="O688" s="9"/>
      <c r="P688" s="9"/>
      <c r="Q688" s="22"/>
      <c r="R688" s="22"/>
      <c r="S688" s="23" t="str">
        <f>IF(AND(ISNUMBER(Q688),Q688&gt;0,ISNUMBER(R688),R688&gt;0),R688/Q688,"")</f>
        <v/>
      </c>
      <c r="T688" s="9"/>
      <c r="U688" s="9"/>
      <c r="V688" s="9"/>
      <c r="W688" s="9"/>
      <c r="X688" s="23">
        <f>IF(ISNUMBER(S688),S688,IF(ISNUMBER(I688),I688,""))</f>
        <v>7.4</v>
      </c>
      <c r="Y688" t="str">
        <f>IF(ISNUMBER(S688),"2025 EIA-923 plant/group proxy",IF(ISNUMBER(I688),"Technology estimate","No thermal heat rate"))</f>
        <v>Technology estimate</v>
      </c>
      <c r="Z688" t="str">
        <f>IF(ISNUMBER(S688),"Review: NOT unit verified",IF(AE688="No match","No EIA match",IF(AF688="Unconfirmed","Unconfirmed EIA candidate","")))</f>
        <v>No EIA match</v>
      </c>
      <c r="AE688" t="s">
        <v>107</v>
      </c>
      <c r="AG688" s="24">
        <f>IF(ISBLANK(S688),S688,I688)</f>
        <v>7.4</v>
      </c>
      <c r="AH688" s="34">
        <f t="shared" si="26"/>
        <v>102041.19999999995</v>
      </c>
      <c r="AI688">
        <f t="shared" si="25"/>
        <v>63722.942707079805</v>
      </c>
      <c r="AJ688" t="b" cm="1">
        <f t="array" ref="AJ688">OR(D688=$AT$2:$AT$8)</f>
        <v>0</v>
      </c>
    </row>
    <row r="689" spans="1:36" x14ac:dyDescent="0.25">
      <c r="A689" s="2" t="s">
        <v>737</v>
      </c>
      <c r="B689" s="3">
        <v>403.1</v>
      </c>
      <c r="C689" s="2" t="s">
        <v>78</v>
      </c>
      <c r="D689" s="2" t="s">
        <v>78</v>
      </c>
      <c r="E689" s="2" t="s">
        <v>213</v>
      </c>
      <c r="F689" s="4" t="s">
        <v>126</v>
      </c>
      <c r="G689" s="4" t="s">
        <v>214</v>
      </c>
      <c r="H689" s="5">
        <v>6.6</v>
      </c>
      <c r="I689" s="5">
        <v>7.4</v>
      </c>
      <c r="J689" s="5">
        <v>8.5</v>
      </c>
      <c r="K689" s="4" t="s">
        <v>111</v>
      </c>
      <c r="L689" s="4" t="s">
        <v>128</v>
      </c>
      <c r="M689" s="6">
        <f>IF(OR(B689="",I689=""),"",B689*I689)</f>
        <v>2982.9400000000005</v>
      </c>
      <c r="N689" s="10" t="s">
        <v>10</v>
      </c>
      <c r="O689" s="9"/>
      <c r="P689" s="9"/>
      <c r="Q689" s="22"/>
      <c r="R689" s="22"/>
      <c r="S689" s="23" t="str">
        <f>IF(AND(ISNUMBER(Q689),Q689&gt;0,ISNUMBER(R689),R689&gt;0),R689/Q689,"")</f>
        <v/>
      </c>
      <c r="T689" s="9"/>
      <c r="U689" s="9"/>
      <c r="V689" s="9"/>
      <c r="W689" s="9"/>
      <c r="X689" s="23">
        <f>IF(ISNUMBER(S689),S689,IF(ISNUMBER(I689),I689,""))</f>
        <v>7.4</v>
      </c>
      <c r="Y689" t="str">
        <f>IF(ISNUMBER(S689),"2025 EIA-923 plant/group proxy",IF(ISNUMBER(I689),"Technology estimate","No thermal heat rate"))</f>
        <v>Technology estimate</v>
      </c>
      <c r="Z689" t="str">
        <f>IF(ISNUMBER(S689),"Review: NOT unit verified",IF(AE689="No match","No EIA match",IF(AF689="Unconfirmed","Unconfirmed EIA candidate","")))</f>
        <v>No EIA match</v>
      </c>
      <c r="AE689" t="s">
        <v>107</v>
      </c>
      <c r="AG689" s="24">
        <f>IF(ISBLANK(S689),S689,I689)</f>
        <v>7.4</v>
      </c>
      <c r="AH689" s="34">
        <f t="shared" si="26"/>
        <v>102444.29999999996</v>
      </c>
      <c r="AI689">
        <f t="shared" si="25"/>
        <v>63974.671598990368</v>
      </c>
      <c r="AJ689" t="b" cm="1">
        <f t="array" ref="AJ689">OR(D689=$AT$2:$AT$8)</f>
        <v>1</v>
      </c>
    </row>
    <row r="690" spans="1:36" x14ac:dyDescent="0.25">
      <c r="A690" s="2" t="s">
        <v>738</v>
      </c>
      <c r="B690" s="3">
        <v>172.8</v>
      </c>
      <c r="C690" s="2" t="s">
        <v>78</v>
      </c>
      <c r="D690" s="2" t="s">
        <v>78</v>
      </c>
      <c r="E690" s="2" t="s">
        <v>213</v>
      </c>
      <c r="F690" s="4" t="s">
        <v>126</v>
      </c>
      <c r="G690" s="4" t="s">
        <v>214</v>
      </c>
      <c r="H690" s="5">
        <v>6.6</v>
      </c>
      <c r="I690" s="5">
        <v>7.4</v>
      </c>
      <c r="J690" s="5">
        <v>8.5</v>
      </c>
      <c r="K690" s="4" t="s">
        <v>111</v>
      </c>
      <c r="L690" s="4" t="s">
        <v>128</v>
      </c>
      <c r="M690" s="6">
        <f>IF(OR(B690="",I690=""),"",B690*I690)</f>
        <v>1278.7200000000003</v>
      </c>
      <c r="N690" s="10" t="s">
        <v>10</v>
      </c>
      <c r="O690" s="9"/>
      <c r="P690" s="9"/>
      <c r="Q690" s="22"/>
      <c r="R690" s="22"/>
      <c r="S690" s="23" t="str">
        <f>IF(AND(ISNUMBER(Q690),Q690&gt;0,ISNUMBER(R690),R690&gt;0),R690/Q690,"")</f>
        <v/>
      </c>
      <c r="T690" s="9"/>
      <c r="U690" s="9"/>
      <c r="V690" s="9"/>
      <c r="W690" s="9"/>
      <c r="X690" s="23">
        <f>IF(ISNUMBER(S690),S690,IF(ISNUMBER(I690),I690,""))</f>
        <v>7.4</v>
      </c>
      <c r="Y690" t="str">
        <f>IF(ISNUMBER(S690),"2025 EIA-923 plant/group proxy",IF(ISNUMBER(I690),"Technology estimate","No thermal heat rate"))</f>
        <v>Technology estimate</v>
      </c>
      <c r="Z690" t="str">
        <f>IF(ISNUMBER(S690),"Review: NOT unit verified",IF(AE690="No match","No EIA match",IF(AF690="Unconfirmed","Unconfirmed EIA candidate","")))</f>
        <v>No EIA match</v>
      </c>
      <c r="AE690" t="s">
        <v>107</v>
      </c>
      <c r="AG690" s="24">
        <f>IF(ISBLANK(S690),S690,I690)</f>
        <v>7.4</v>
      </c>
      <c r="AH690" s="34">
        <f t="shared" si="26"/>
        <v>102617.09999999996</v>
      </c>
      <c r="AI690">
        <f t="shared" si="25"/>
        <v>64082.58217334449</v>
      </c>
      <c r="AJ690" t="b" cm="1">
        <f t="array" ref="AJ690">OR(D690=$AT$2:$AT$8)</f>
        <v>1</v>
      </c>
    </row>
    <row r="691" spans="1:36" x14ac:dyDescent="0.25">
      <c r="A691" s="2" t="s">
        <v>739</v>
      </c>
      <c r="B691" s="3">
        <v>173.6</v>
      </c>
      <c r="C691" s="2" t="s">
        <v>78</v>
      </c>
      <c r="D691" s="2" t="s">
        <v>78</v>
      </c>
      <c r="E691" s="2" t="s">
        <v>213</v>
      </c>
      <c r="F691" s="4" t="s">
        <v>126</v>
      </c>
      <c r="G691" s="4" t="s">
        <v>214</v>
      </c>
      <c r="H691" s="5">
        <v>6.6</v>
      </c>
      <c r="I691" s="5">
        <v>7.4</v>
      </c>
      <c r="J691" s="5">
        <v>8.5</v>
      </c>
      <c r="K691" s="4" t="s">
        <v>111</v>
      </c>
      <c r="L691" s="4" t="s">
        <v>128</v>
      </c>
      <c r="M691" s="6">
        <f>IF(OR(B691="",I691=""),"",B691*I691)</f>
        <v>1284.6400000000001</v>
      </c>
      <c r="N691" s="10" t="s">
        <v>10</v>
      </c>
      <c r="O691" s="9"/>
      <c r="P691" s="9"/>
      <c r="Q691" s="22"/>
      <c r="R691" s="22"/>
      <c r="S691" s="23" t="str">
        <f>IF(AND(ISNUMBER(Q691),Q691&gt;0,ISNUMBER(R691),R691&gt;0),R691/Q691,"")</f>
        <v/>
      </c>
      <c r="T691" s="9"/>
      <c r="U691" s="9"/>
      <c r="V691" s="9"/>
      <c r="W691" s="9"/>
      <c r="X691" s="23">
        <f>IF(ISNUMBER(S691),S691,IF(ISNUMBER(I691),I691,""))</f>
        <v>7.4</v>
      </c>
      <c r="Y691" t="str">
        <f>IF(ISNUMBER(S691),"2025 EIA-923 plant/group proxy",IF(ISNUMBER(I691),"Technology estimate","No thermal heat rate"))</f>
        <v>Technology estimate</v>
      </c>
      <c r="Z691" t="str">
        <f>IF(ISNUMBER(S691),"Review: NOT unit verified",IF(AE691="No match","No EIA match",IF(AF691="Unconfirmed","Unconfirmed EIA candidate","")))</f>
        <v>No EIA match</v>
      </c>
      <c r="AE691" t="s">
        <v>107</v>
      </c>
      <c r="AG691" s="24">
        <f>IF(ISBLANK(S691),S691,I691)</f>
        <v>7.4</v>
      </c>
      <c r="AH691" s="34">
        <f t="shared" si="26"/>
        <v>102790.69999999997</v>
      </c>
      <c r="AI691">
        <f t="shared" si="25"/>
        <v>64190.992333690992</v>
      </c>
      <c r="AJ691" t="b" cm="1">
        <f t="array" ref="AJ691">OR(D691=$AT$2:$AT$8)</f>
        <v>1</v>
      </c>
    </row>
    <row r="692" spans="1:36" x14ac:dyDescent="0.25">
      <c r="A692" s="2" t="s">
        <v>740</v>
      </c>
      <c r="B692" s="3">
        <v>183.2</v>
      </c>
      <c r="C692" s="2" t="s">
        <v>78</v>
      </c>
      <c r="D692" s="2" t="s">
        <v>78</v>
      </c>
      <c r="E692" s="2" t="s">
        <v>213</v>
      </c>
      <c r="F692" s="4" t="s">
        <v>126</v>
      </c>
      <c r="G692" s="4" t="s">
        <v>214</v>
      </c>
      <c r="H692" s="5">
        <v>6.6</v>
      </c>
      <c r="I692" s="5">
        <v>7.4</v>
      </c>
      <c r="J692" s="5">
        <v>8.5</v>
      </c>
      <c r="K692" s="4" t="s">
        <v>111</v>
      </c>
      <c r="L692" s="4" t="s">
        <v>128</v>
      </c>
      <c r="M692" s="6">
        <f>IF(OR(B692="",I692=""),"",B692*I692)</f>
        <v>1355.68</v>
      </c>
      <c r="N692" s="10" t="s">
        <v>10</v>
      </c>
      <c r="O692" s="9"/>
      <c r="P692" s="9"/>
      <c r="Q692" s="22"/>
      <c r="R692" s="22"/>
      <c r="S692" s="23" t="str">
        <f>IF(AND(ISNUMBER(Q692),Q692&gt;0,ISNUMBER(R692),R692&gt;0),R692/Q692,"")</f>
        <v/>
      </c>
      <c r="T692" s="9"/>
      <c r="U692" s="9"/>
      <c r="V692" s="9"/>
      <c r="W692" s="9"/>
      <c r="X692" s="23">
        <f>IF(ISNUMBER(S692),S692,IF(ISNUMBER(I692),I692,""))</f>
        <v>7.4</v>
      </c>
      <c r="Y692" t="str">
        <f>IF(ISNUMBER(S692),"2025 EIA-923 plant/group proxy",IF(ISNUMBER(I692),"Technology estimate","No thermal heat rate"))</f>
        <v>Technology estimate</v>
      </c>
      <c r="Z692" t="str">
        <f>IF(ISNUMBER(S692),"Review: NOT unit verified",IF(AE692="No match","No EIA match",IF(AF692="Unconfirmed","Unconfirmed EIA candidate","")))</f>
        <v>No EIA match</v>
      </c>
      <c r="AE692" t="s">
        <v>107</v>
      </c>
      <c r="AG692" s="24">
        <f>IF(ISBLANK(S692),S692,I692)</f>
        <v>7.4</v>
      </c>
      <c r="AH692" s="34">
        <f t="shared" si="26"/>
        <v>102973.89999999997</v>
      </c>
      <c r="AI692">
        <f t="shared" si="25"/>
        <v>64305.397525946049</v>
      </c>
      <c r="AJ692" t="b" cm="1">
        <f t="array" ref="AJ692">OR(D692=$AT$2:$AT$8)</f>
        <v>1</v>
      </c>
    </row>
    <row r="693" spans="1:36" x14ac:dyDescent="0.25">
      <c r="A693" s="2" t="s">
        <v>942</v>
      </c>
      <c r="B693" s="3">
        <v>371.7</v>
      </c>
      <c r="C693" s="2" t="s">
        <v>78</v>
      </c>
      <c r="D693" s="2" t="s">
        <v>78</v>
      </c>
      <c r="E693" s="2" t="s">
        <v>213</v>
      </c>
      <c r="F693" s="4" t="s">
        <v>126</v>
      </c>
      <c r="G693" s="4" t="s">
        <v>214</v>
      </c>
      <c r="H693" s="5">
        <v>6.6</v>
      </c>
      <c r="I693" s="5">
        <v>7.4</v>
      </c>
      <c r="J693" s="5">
        <v>8.5</v>
      </c>
      <c r="K693" s="4" t="s">
        <v>111</v>
      </c>
      <c r="L693" s="4" t="s">
        <v>128</v>
      </c>
      <c r="M693" s="6">
        <f>IF(OR(B693="",I693=""),"",B693*I693)</f>
        <v>2750.58</v>
      </c>
      <c r="N693" s="29" t="s">
        <v>154</v>
      </c>
      <c r="O693" s="9"/>
      <c r="P693" s="9"/>
      <c r="Q693" s="22"/>
      <c r="R693" s="22"/>
      <c r="S693" s="23" t="str">
        <f>IF(AND(ISNUMBER(Q693),Q693&gt;0,ISNUMBER(R693),R693&gt;0),R693/Q693,"")</f>
        <v/>
      </c>
      <c r="T693" s="9"/>
      <c r="U693" s="9"/>
      <c r="V693" s="9"/>
      <c r="W693" s="9" t="s">
        <v>943</v>
      </c>
      <c r="X693" s="23">
        <f>IF(ISNUMBER(S693),S693,IF(ISNUMBER(I693),I693,""))</f>
        <v>7.4</v>
      </c>
      <c r="Y693" t="str">
        <f>IF(ISNUMBER(S693),"2025 EIA-923 plant/group proxy",IF(ISNUMBER(I693),"Technology estimate","No thermal heat rate"))</f>
        <v>Technology estimate</v>
      </c>
      <c r="Z693" t="str">
        <f>IF(ISNUMBER(S693),"Review: NOT unit verified",IF(AE693="No match","No EIA match",IF(AF693="Unconfirmed","Unconfirmed EIA candidate","")))</f>
        <v>Unconfirmed EIA candidate</v>
      </c>
      <c r="AA693" s="26">
        <v>0.51910000000000001</v>
      </c>
      <c r="AB693" t="s">
        <v>201</v>
      </c>
      <c r="AC693" t="s">
        <v>944</v>
      </c>
      <c r="AD693" s="26">
        <v>378.3</v>
      </c>
      <c r="AE693" t="s">
        <v>157</v>
      </c>
      <c r="AF693" t="s">
        <v>158</v>
      </c>
      <c r="AG693" s="24">
        <f>IF(ISBLANK(S693),S693,I693)</f>
        <v>7.4</v>
      </c>
      <c r="AH693" s="34">
        <f t="shared" si="26"/>
        <v>103345.59999999996</v>
      </c>
      <c r="AI693">
        <f t="shared" si="25"/>
        <v>64537.517667655688</v>
      </c>
      <c r="AJ693" t="b" cm="1">
        <f t="array" ref="AJ693">OR(D693=$AT$2:$AT$8)</f>
        <v>1</v>
      </c>
    </row>
    <row r="694" spans="1:36" x14ac:dyDescent="0.25">
      <c r="A694" s="2" t="s">
        <v>1049</v>
      </c>
      <c r="B694" s="3">
        <v>265</v>
      </c>
      <c r="C694" s="2" t="s">
        <v>91</v>
      </c>
      <c r="D694" s="2" t="s">
        <v>91</v>
      </c>
      <c r="E694" s="2" t="s">
        <v>213</v>
      </c>
      <c r="F694" s="4" t="s">
        <v>126</v>
      </c>
      <c r="G694" s="4" t="s">
        <v>214</v>
      </c>
      <c r="H694" s="5">
        <v>6.6</v>
      </c>
      <c r="I694" s="5">
        <v>7.4</v>
      </c>
      <c r="J694" s="5">
        <v>8.5</v>
      </c>
      <c r="K694" s="4" t="s">
        <v>111</v>
      </c>
      <c r="L694" s="4" t="s">
        <v>128</v>
      </c>
      <c r="M694" s="6">
        <f>IF(OR(B694="",I694=""),"",B694*I694)</f>
        <v>1961</v>
      </c>
      <c r="N694" s="29" t="s">
        <v>154</v>
      </c>
      <c r="O694" s="9"/>
      <c r="P694" s="9"/>
      <c r="Q694" s="22"/>
      <c r="R694" s="22"/>
      <c r="S694" s="23" t="str">
        <f>IF(AND(ISNUMBER(Q694),Q694&gt;0,ISNUMBER(R694),R694&gt;0),R694/Q694,"")</f>
        <v/>
      </c>
      <c r="T694" s="9"/>
      <c r="U694" s="9"/>
      <c r="V694" s="9"/>
      <c r="W694" s="9" t="s">
        <v>1050</v>
      </c>
      <c r="X694" s="23">
        <f>IF(ISNUMBER(S694),S694,IF(ISNUMBER(I694),I694,""))</f>
        <v>7.4</v>
      </c>
      <c r="Y694" t="str">
        <f>IF(ISNUMBER(S694),"2025 EIA-923 plant/group proxy",IF(ISNUMBER(I694),"Technology estimate","No thermal heat rate"))</f>
        <v>Technology estimate</v>
      </c>
      <c r="Z694" t="str">
        <f>IF(ISNUMBER(S694),"Review: NOT unit verified",IF(AE694="No match","No EIA match",IF(AF694="Unconfirmed","Unconfirmed EIA candidate","")))</f>
        <v>Unconfirmed EIA candidate</v>
      </c>
      <c r="AA694" s="26">
        <v>0.55400000000000005</v>
      </c>
      <c r="AB694" t="s">
        <v>241</v>
      </c>
      <c r="AC694" t="s">
        <v>686</v>
      </c>
      <c r="AD694" s="26">
        <v>265</v>
      </c>
      <c r="AE694" t="s">
        <v>157</v>
      </c>
      <c r="AF694" t="s">
        <v>158</v>
      </c>
      <c r="AG694" s="24">
        <f>IF(ISBLANK(S694),S694,I694)</f>
        <v>7.4</v>
      </c>
      <c r="AH694" s="34">
        <f t="shared" si="26"/>
        <v>103610.59999999996</v>
      </c>
      <c r="AI694">
        <f t="shared" si="25"/>
        <v>64703.00552763162</v>
      </c>
      <c r="AJ694" t="b" cm="1">
        <f t="array" ref="AJ694">OR(D694=$AT$2:$AT$8)</f>
        <v>1</v>
      </c>
    </row>
    <row r="695" spans="1:36" x14ac:dyDescent="0.25">
      <c r="A695" s="2" t="s">
        <v>1598</v>
      </c>
      <c r="B695" s="3">
        <v>109</v>
      </c>
      <c r="C695" s="2" t="s">
        <v>78</v>
      </c>
      <c r="D695" s="2" t="s">
        <v>78</v>
      </c>
      <c r="E695" s="2" t="s">
        <v>213</v>
      </c>
      <c r="F695" s="4" t="s">
        <v>126</v>
      </c>
      <c r="G695" s="4" t="s">
        <v>214</v>
      </c>
      <c r="H695" s="5">
        <v>6.6</v>
      </c>
      <c r="I695" s="5">
        <v>7.4</v>
      </c>
      <c r="J695" s="5">
        <v>8.5</v>
      </c>
      <c r="K695" s="4" t="s">
        <v>111</v>
      </c>
      <c r="L695" s="4" t="s">
        <v>128</v>
      </c>
      <c r="M695" s="6">
        <f>IF(OR(B695="",I695=""),"",B695*I695)</f>
        <v>806.6</v>
      </c>
      <c r="N695" s="29" t="s">
        <v>154</v>
      </c>
      <c r="O695" s="9"/>
      <c r="P695" s="9"/>
      <c r="Q695" s="22"/>
      <c r="R695" s="22"/>
      <c r="S695" s="23" t="str">
        <f>IF(AND(ISNUMBER(Q695),Q695&gt;0,ISNUMBER(R695),R695&gt;0),R695/Q695,"")</f>
        <v/>
      </c>
      <c r="T695" s="9"/>
      <c r="U695" s="9"/>
      <c r="V695" s="9"/>
      <c r="W695" s="9" t="s">
        <v>1599</v>
      </c>
      <c r="X695" s="23">
        <f>IF(ISNUMBER(S695),S695,IF(ISNUMBER(I695),I695,""))</f>
        <v>7.4</v>
      </c>
      <c r="Y695" t="str">
        <f>IF(ISNUMBER(S695),"2025 EIA-923 plant/group proxy",IF(ISNUMBER(I695),"Technology estimate","No thermal heat rate"))</f>
        <v>Technology estimate</v>
      </c>
      <c r="Z695" t="str">
        <f>IF(ISNUMBER(S695),"Review: NOT unit verified",IF(AE695="No match","No EIA match",IF(AF695="Unconfirmed","Unconfirmed EIA candidate","")))</f>
        <v>Unconfirmed EIA candidate</v>
      </c>
      <c r="AA695" s="26">
        <v>0.51290000000000002</v>
      </c>
      <c r="AB695" t="s">
        <v>322</v>
      </c>
      <c r="AC695" t="s">
        <v>1600</v>
      </c>
      <c r="AD695" s="26">
        <v>1210.4000000000001</v>
      </c>
      <c r="AE695" t="s">
        <v>157</v>
      </c>
      <c r="AF695" t="s">
        <v>158</v>
      </c>
      <c r="AG695" s="24">
        <f>IF(ISBLANK(S695),S695,I695)</f>
        <v>7.4</v>
      </c>
      <c r="AH695" s="34">
        <f t="shared" si="26"/>
        <v>103719.59999999996</v>
      </c>
      <c r="AI695">
        <f t="shared" si="25"/>
        <v>64771.07411909342</v>
      </c>
      <c r="AJ695" t="b" cm="1">
        <f t="array" ref="AJ695">OR(D695=$AT$2:$AT$8)</f>
        <v>1</v>
      </c>
    </row>
    <row r="696" spans="1:36" x14ac:dyDescent="0.25">
      <c r="A696" s="2" t="s">
        <v>1601</v>
      </c>
      <c r="B696" s="3">
        <v>109</v>
      </c>
      <c r="C696" s="2" t="s">
        <v>78</v>
      </c>
      <c r="D696" s="2" t="s">
        <v>78</v>
      </c>
      <c r="E696" s="2" t="s">
        <v>213</v>
      </c>
      <c r="F696" s="4" t="s">
        <v>126</v>
      </c>
      <c r="G696" s="4" t="s">
        <v>214</v>
      </c>
      <c r="H696" s="5">
        <v>6.6</v>
      </c>
      <c r="I696" s="5">
        <v>7.4</v>
      </c>
      <c r="J696" s="5">
        <v>8.5</v>
      </c>
      <c r="K696" s="4" t="s">
        <v>111</v>
      </c>
      <c r="L696" s="4" t="s">
        <v>128</v>
      </c>
      <c r="M696" s="6">
        <f>IF(OR(B696="",I696=""),"",B696*I696)</f>
        <v>806.6</v>
      </c>
      <c r="N696" s="29" t="s">
        <v>154</v>
      </c>
      <c r="O696" s="9"/>
      <c r="P696" s="9"/>
      <c r="Q696" s="22"/>
      <c r="R696" s="22"/>
      <c r="S696" s="23" t="str">
        <f>IF(AND(ISNUMBER(Q696),Q696&gt;0,ISNUMBER(R696),R696&gt;0),R696/Q696,"")</f>
        <v/>
      </c>
      <c r="T696" s="9"/>
      <c r="U696" s="9"/>
      <c r="V696" s="9"/>
      <c r="W696" s="9" t="s">
        <v>1599</v>
      </c>
      <c r="X696" s="23">
        <f>IF(ISNUMBER(S696),S696,IF(ISNUMBER(I696),I696,""))</f>
        <v>7.4</v>
      </c>
      <c r="Y696" t="str">
        <f>IF(ISNUMBER(S696),"2025 EIA-923 plant/group proxy",IF(ISNUMBER(I696),"Technology estimate","No thermal heat rate"))</f>
        <v>Technology estimate</v>
      </c>
      <c r="Z696" t="str">
        <f>IF(ISNUMBER(S696),"Review: NOT unit verified",IF(AE696="No match","No EIA match",IF(AF696="Unconfirmed","Unconfirmed EIA candidate","")))</f>
        <v>Unconfirmed EIA candidate</v>
      </c>
      <c r="AA696" s="26">
        <v>0.51290000000000002</v>
      </c>
      <c r="AB696" t="s">
        <v>322</v>
      </c>
      <c r="AC696" t="s">
        <v>1600</v>
      </c>
      <c r="AD696" s="26">
        <v>1210.4000000000001</v>
      </c>
      <c r="AE696" t="s">
        <v>157</v>
      </c>
      <c r="AF696" t="s">
        <v>158</v>
      </c>
      <c r="AG696" s="24">
        <f>IF(ISBLANK(S696),S696,I696)</f>
        <v>7.4</v>
      </c>
      <c r="AH696" s="34">
        <f t="shared" si="26"/>
        <v>103828.59999999996</v>
      </c>
      <c r="AI696">
        <f t="shared" si="25"/>
        <v>64839.142710555214</v>
      </c>
      <c r="AJ696" t="b" cm="1">
        <f t="array" ref="AJ696">OR(D696=$AT$2:$AT$8)</f>
        <v>1</v>
      </c>
    </row>
    <row r="697" spans="1:36" x14ac:dyDescent="0.25">
      <c r="A697" s="2" t="s">
        <v>1096</v>
      </c>
      <c r="B697" s="3">
        <v>477.1</v>
      </c>
      <c r="C697" s="2" t="s">
        <v>228</v>
      </c>
      <c r="D697" s="2" t="s">
        <v>237</v>
      </c>
      <c r="E697" s="2" t="s">
        <v>244</v>
      </c>
      <c r="F697" s="4" t="s">
        <v>138</v>
      </c>
      <c r="G697" s="4" t="s">
        <v>245</v>
      </c>
      <c r="H697" s="5">
        <v>6.5</v>
      </c>
      <c r="I697" s="5">
        <v>7.2</v>
      </c>
      <c r="J697" s="5">
        <v>8.1999999999999993</v>
      </c>
      <c r="K697" s="4" t="s">
        <v>111</v>
      </c>
      <c r="L697" s="4" t="s">
        <v>112</v>
      </c>
      <c r="M697" s="6">
        <f>IF(OR(B697="",I697=""),"",B697*I697)</f>
        <v>3435.1200000000003</v>
      </c>
      <c r="N697" s="25" t="s">
        <v>113</v>
      </c>
      <c r="O697" s="26">
        <v>2406</v>
      </c>
      <c r="P697" s="9" t="s">
        <v>1097</v>
      </c>
      <c r="Q697" s="27">
        <v>4339560.6749999998</v>
      </c>
      <c r="R697" s="27">
        <v>32612692</v>
      </c>
      <c r="S697" s="23">
        <f>IF(AND(ISNUMBER(Q697),Q697&gt;0,ISNUMBER(R697),R697&gt;0),R697/Q697,"")</f>
        <v>7.5152059027265476</v>
      </c>
      <c r="T697" s="9" t="s">
        <v>115</v>
      </c>
      <c r="U697" s="9" t="s">
        <v>239</v>
      </c>
      <c r="V697" s="9" t="s">
        <v>21</v>
      </c>
      <c r="W697" s="9" t="s">
        <v>117</v>
      </c>
      <c r="X697" s="23">
        <f>IF(ISNUMBER(S697),S697,IF(ISNUMBER(I697),I697,""))</f>
        <v>7.5152059027265476</v>
      </c>
      <c r="Y697" t="str">
        <f>IF(ISNUMBER(S697),"2025 EIA-923 plant/group proxy",IF(ISNUMBER(I697),"Technology estimate","No thermal heat rate"))</f>
        <v>2025 EIA-923 plant/group proxy</v>
      </c>
      <c r="Z697" t="str">
        <f>IF(ISNUMBER(S697),"Review: NOT unit verified",IF(AE697="No match","No EIA match",IF(AF697="Unconfirmed","Unconfirmed EIA candidate","")))</f>
        <v>Review: NOT unit verified</v>
      </c>
      <c r="AA697" s="26">
        <v>1</v>
      </c>
      <c r="AB697" t="s">
        <v>241</v>
      </c>
      <c r="AC697" t="s">
        <v>1098</v>
      </c>
      <c r="AD697" s="26">
        <v>1300</v>
      </c>
      <c r="AE697" t="s">
        <v>120</v>
      </c>
      <c r="AF697" t="s">
        <v>121</v>
      </c>
      <c r="AG697" s="27">
        <v>7.5152000000000001</v>
      </c>
      <c r="AH697" s="34">
        <f t="shared" si="26"/>
        <v>104305.69999999997</v>
      </c>
      <c r="AI697">
        <f t="shared" si="25"/>
        <v>65137.083306760949</v>
      </c>
      <c r="AJ697" t="b" cm="1">
        <f t="array" ref="AJ697">OR(D697=$AT$2:$AT$8)</f>
        <v>0</v>
      </c>
    </row>
    <row r="698" spans="1:36" x14ac:dyDescent="0.25">
      <c r="A698" s="2" t="s">
        <v>1099</v>
      </c>
      <c r="B698" s="3">
        <v>172.9</v>
      </c>
      <c r="C698" s="2" t="s">
        <v>228</v>
      </c>
      <c r="D698" s="2" t="s">
        <v>228</v>
      </c>
      <c r="E698" s="2" t="s">
        <v>244</v>
      </c>
      <c r="F698" s="4" t="s">
        <v>138</v>
      </c>
      <c r="G698" s="4" t="s">
        <v>245</v>
      </c>
      <c r="H698" s="5">
        <v>6.5</v>
      </c>
      <c r="I698" s="5">
        <v>7.2</v>
      </c>
      <c r="J698" s="5">
        <v>8.1999999999999993</v>
      </c>
      <c r="K698" s="4" t="s">
        <v>111</v>
      </c>
      <c r="L698" s="4" t="s">
        <v>112</v>
      </c>
      <c r="M698" s="6">
        <f>IF(OR(B698="",I698=""),"",B698*I698)</f>
        <v>1244.8800000000001</v>
      </c>
      <c r="N698" s="25" t="s">
        <v>113</v>
      </c>
      <c r="O698" s="26">
        <v>2406</v>
      </c>
      <c r="P698" s="9" t="s">
        <v>1097</v>
      </c>
      <c r="Q698" s="27">
        <v>4339560.6749999998</v>
      </c>
      <c r="R698" s="27">
        <v>32612692</v>
      </c>
      <c r="S698" s="23">
        <f>IF(AND(ISNUMBER(Q698),Q698&gt;0,ISNUMBER(R698),R698&gt;0),R698/Q698,"")</f>
        <v>7.5152059027265476</v>
      </c>
      <c r="T698" s="9" t="s">
        <v>115</v>
      </c>
      <c r="U698" s="9" t="s">
        <v>239</v>
      </c>
      <c r="V698" s="9" t="s">
        <v>21</v>
      </c>
      <c r="W698" s="9" t="s">
        <v>117</v>
      </c>
      <c r="X698" s="23">
        <f>IF(ISNUMBER(S698),S698,IF(ISNUMBER(I698),I698,""))</f>
        <v>7.5152059027265476</v>
      </c>
      <c r="Y698" t="str">
        <f>IF(ISNUMBER(S698),"2025 EIA-923 plant/group proxy",IF(ISNUMBER(I698),"Technology estimate","No thermal heat rate"))</f>
        <v>2025 EIA-923 plant/group proxy</v>
      </c>
      <c r="Z698" t="str">
        <f>IF(ISNUMBER(S698),"Review: NOT unit verified",IF(AE698="No match","No EIA match",IF(AF698="Unconfirmed","Unconfirmed EIA candidate","")))</f>
        <v>Review: NOT unit verified</v>
      </c>
      <c r="AA698" s="26">
        <v>1</v>
      </c>
      <c r="AB698" t="s">
        <v>241</v>
      </c>
      <c r="AC698" t="s">
        <v>1098</v>
      </c>
      <c r="AD698" s="26">
        <v>1300</v>
      </c>
      <c r="AE698" t="s">
        <v>120</v>
      </c>
      <c r="AF698" t="s">
        <v>121</v>
      </c>
      <c r="AG698" s="27">
        <v>7.5152000000000001</v>
      </c>
      <c r="AH698" s="34">
        <f t="shared" si="26"/>
        <v>104478.59999999996</v>
      </c>
      <c r="AI698">
        <f t="shared" si="25"/>
        <v>65245.05632936411</v>
      </c>
      <c r="AJ698" t="b" cm="1">
        <f t="array" ref="AJ698">OR(D698=$AT$2:$AT$8)</f>
        <v>1</v>
      </c>
    </row>
    <row r="699" spans="1:36" x14ac:dyDescent="0.25">
      <c r="A699" s="2" t="s">
        <v>1100</v>
      </c>
      <c r="B699" s="3">
        <v>650</v>
      </c>
      <c r="C699" s="2" t="s">
        <v>228</v>
      </c>
      <c r="D699" s="2" t="s">
        <v>228</v>
      </c>
      <c r="E699" s="2" t="s">
        <v>244</v>
      </c>
      <c r="F699" s="4" t="s">
        <v>138</v>
      </c>
      <c r="G699" s="4" t="s">
        <v>245</v>
      </c>
      <c r="H699" s="5">
        <v>6.5</v>
      </c>
      <c r="I699" s="5">
        <v>7.2</v>
      </c>
      <c r="J699" s="5">
        <v>8.1999999999999993</v>
      </c>
      <c r="K699" s="4" t="s">
        <v>111</v>
      </c>
      <c r="L699" s="4" t="s">
        <v>112</v>
      </c>
      <c r="M699" s="6">
        <f>IF(OR(B699="",I699=""),"",B699*I699)</f>
        <v>4680</v>
      </c>
      <c r="N699" s="25" t="s">
        <v>113</v>
      </c>
      <c r="O699" s="26">
        <v>2406</v>
      </c>
      <c r="P699" s="9" t="s">
        <v>1097</v>
      </c>
      <c r="Q699" s="27">
        <v>4339560.6749999998</v>
      </c>
      <c r="R699" s="27">
        <v>32612692</v>
      </c>
      <c r="S699" s="23">
        <f>IF(AND(ISNUMBER(Q699),Q699&gt;0,ISNUMBER(R699),R699&gt;0),R699/Q699,"")</f>
        <v>7.5152059027265476</v>
      </c>
      <c r="T699" s="9" t="s">
        <v>115</v>
      </c>
      <c r="U699" s="9" t="s">
        <v>239</v>
      </c>
      <c r="V699" s="9" t="s">
        <v>21</v>
      </c>
      <c r="W699" s="9" t="s">
        <v>117</v>
      </c>
      <c r="X699" s="23">
        <f>IF(ISNUMBER(S699),S699,IF(ISNUMBER(I699),I699,""))</f>
        <v>7.5152059027265476</v>
      </c>
      <c r="Y699" t="str">
        <f>IF(ISNUMBER(S699),"2025 EIA-923 plant/group proxy",IF(ISNUMBER(I699),"Technology estimate","No thermal heat rate"))</f>
        <v>2025 EIA-923 plant/group proxy</v>
      </c>
      <c r="Z699" t="str">
        <f>IF(ISNUMBER(S699),"Review: NOT unit verified",IF(AE699="No match","No EIA match",IF(AF699="Unconfirmed","Unconfirmed EIA candidate","")))</f>
        <v>Review: NOT unit verified</v>
      </c>
      <c r="AA699" s="26">
        <v>1</v>
      </c>
      <c r="AB699" t="s">
        <v>241</v>
      </c>
      <c r="AC699" t="s">
        <v>1098</v>
      </c>
      <c r="AD699" s="26">
        <v>1300</v>
      </c>
      <c r="AE699" t="s">
        <v>120</v>
      </c>
      <c r="AF699" t="s">
        <v>121</v>
      </c>
      <c r="AG699" s="27">
        <v>7.5152000000000001</v>
      </c>
      <c r="AH699" s="34">
        <f t="shared" si="26"/>
        <v>105128.59999999996</v>
      </c>
      <c r="AI699">
        <f t="shared" si="25"/>
        <v>65650.969948173006</v>
      </c>
      <c r="AJ699" t="b" cm="1">
        <f t="array" ref="AJ699">OR(D699=$AT$2:$AT$8)</f>
        <v>1</v>
      </c>
    </row>
    <row r="700" spans="1:36" x14ac:dyDescent="0.25">
      <c r="A700" s="2" t="s">
        <v>513</v>
      </c>
      <c r="B700" s="3">
        <v>150</v>
      </c>
      <c r="C700" s="2" t="s">
        <v>97</v>
      </c>
      <c r="D700" s="2" t="s">
        <v>97</v>
      </c>
      <c r="E700" s="2" t="s">
        <v>244</v>
      </c>
      <c r="F700" s="4" t="s">
        <v>138</v>
      </c>
      <c r="G700" s="4" t="s">
        <v>245</v>
      </c>
      <c r="H700" s="5">
        <v>6.5</v>
      </c>
      <c r="I700" s="5">
        <v>7.2</v>
      </c>
      <c r="J700" s="5">
        <v>8.1999999999999993</v>
      </c>
      <c r="K700" s="4" t="s">
        <v>111</v>
      </c>
      <c r="L700" s="4" t="s">
        <v>112</v>
      </c>
      <c r="M700" s="6">
        <f>IF(OR(B700="",I700=""),"",B700*I700)</f>
        <v>1080</v>
      </c>
      <c r="N700" s="25" t="s">
        <v>113</v>
      </c>
      <c r="O700" s="26">
        <v>55188</v>
      </c>
      <c r="P700" s="9" t="s">
        <v>514</v>
      </c>
      <c r="Q700" s="27">
        <v>1095265</v>
      </c>
      <c r="R700" s="27">
        <v>8268679</v>
      </c>
      <c r="S700" s="23">
        <f>IF(AND(ISNUMBER(Q700),Q700&gt;0,ISNUMBER(R700),R700&gt;0),R700/Q700,"")</f>
        <v>7.5494779802148342</v>
      </c>
      <c r="T700" s="9" t="s">
        <v>115</v>
      </c>
      <c r="U700" s="9" t="s">
        <v>331</v>
      </c>
      <c r="V700" s="9" t="s">
        <v>21</v>
      </c>
      <c r="W700" s="9" t="s">
        <v>117</v>
      </c>
      <c r="X700" s="23">
        <f>IF(ISNUMBER(S700),S700,IF(ISNUMBER(I700),I700,""))</f>
        <v>7.5494779802148342</v>
      </c>
      <c r="Y700" t="str">
        <f>IF(ISNUMBER(S700),"2025 EIA-923 plant/group proxy",IF(ISNUMBER(I700),"Technology estimate","No thermal heat rate"))</f>
        <v>2025 EIA-923 plant/group proxy</v>
      </c>
      <c r="Z700" t="str">
        <f>IF(ISNUMBER(S700),"Review: NOT unit verified",IF(AE700="No match","No EIA match",IF(AF700="Unconfirmed","Unconfirmed EIA candidate","")))</f>
        <v>Review: NOT unit verified</v>
      </c>
      <c r="AA700" s="26">
        <v>1</v>
      </c>
      <c r="AB700" t="s">
        <v>166</v>
      </c>
      <c r="AC700" t="s">
        <v>515</v>
      </c>
      <c r="AD700" s="26">
        <v>521.20000000000005</v>
      </c>
      <c r="AE700" t="s">
        <v>120</v>
      </c>
      <c r="AF700" t="s">
        <v>121</v>
      </c>
      <c r="AG700" s="27">
        <v>7.5495000000000001</v>
      </c>
      <c r="AH700" s="34">
        <f t="shared" si="26"/>
        <v>105278.59999999996</v>
      </c>
      <c r="AI700">
        <f t="shared" si="25"/>
        <v>65744.642321744279</v>
      </c>
      <c r="AJ700" t="b" cm="1">
        <f t="array" ref="AJ700">OR(D700=$AT$2:$AT$8)</f>
        <v>0</v>
      </c>
    </row>
    <row r="701" spans="1:36" x14ac:dyDescent="0.25">
      <c r="A701" s="2" t="s">
        <v>516</v>
      </c>
      <c r="B701" s="3">
        <v>175</v>
      </c>
      <c r="C701" s="2" t="s">
        <v>97</v>
      </c>
      <c r="D701" s="2" t="s">
        <v>97</v>
      </c>
      <c r="E701" s="2" t="s">
        <v>244</v>
      </c>
      <c r="F701" s="4" t="s">
        <v>138</v>
      </c>
      <c r="G701" s="4" t="s">
        <v>245</v>
      </c>
      <c r="H701" s="5">
        <v>6.5</v>
      </c>
      <c r="I701" s="5">
        <v>7.2</v>
      </c>
      <c r="J701" s="5">
        <v>8.1999999999999993</v>
      </c>
      <c r="K701" s="4" t="s">
        <v>111</v>
      </c>
      <c r="L701" s="4" t="s">
        <v>112</v>
      </c>
      <c r="M701" s="6">
        <f>IF(OR(B701="",I701=""),"",B701*I701)</f>
        <v>1260</v>
      </c>
      <c r="N701" s="25" t="s">
        <v>113</v>
      </c>
      <c r="O701" s="26">
        <v>55188</v>
      </c>
      <c r="P701" s="9" t="s">
        <v>514</v>
      </c>
      <c r="Q701" s="27">
        <v>1095265</v>
      </c>
      <c r="R701" s="27">
        <v>8268679</v>
      </c>
      <c r="S701" s="23">
        <f>IF(AND(ISNUMBER(Q701),Q701&gt;0,ISNUMBER(R701),R701&gt;0),R701/Q701,"")</f>
        <v>7.5494779802148342</v>
      </c>
      <c r="T701" s="9" t="s">
        <v>115</v>
      </c>
      <c r="U701" s="9" t="s">
        <v>331</v>
      </c>
      <c r="V701" s="9" t="s">
        <v>21</v>
      </c>
      <c r="W701" s="9" t="s">
        <v>117</v>
      </c>
      <c r="X701" s="23">
        <f>IF(ISNUMBER(S701),S701,IF(ISNUMBER(I701),I701,""))</f>
        <v>7.5494779802148342</v>
      </c>
      <c r="Y701" t="str">
        <f>IF(ISNUMBER(S701),"2025 EIA-923 plant/group proxy",IF(ISNUMBER(I701),"Technology estimate","No thermal heat rate"))</f>
        <v>2025 EIA-923 plant/group proxy</v>
      </c>
      <c r="Z701" t="str">
        <f>IF(ISNUMBER(S701),"Review: NOT unit verified",IF(AE701="No match","No EIA match",IF(AF701="Unconfirmed","Unconfirmed EIA candidate","")))</f>
        <v>Review: NOT unit verified</v>
      </c>
      <c r="AA701" s="26">
        <v>1</v>
      </c>
      <c r="AB701" t="s">
        <v>166</v>
      </c>
      <c r="AC701" t="s">
        <v>515</v>
      </c>
      <c r="AD701" s="26">
        <v>521.20000000000005</v>
      </c>
      <c r="AE701" t="s">
        <v>120</v>
      </c>
      <c r="AF701" t="s">
        <v>121</v>
      </c>
      <c r="AG701" s="27">
        <v>7.5495000000000001</v>
      </c>
      <c r="AH701" s="34">
        <f t="shared" si="26"/>
        <v>105453.59999999996</v>
      </c>
      <c r="AI701">
        <f t="shared" si="25"/>
        <v>65853.926757577443</v>
      </c>
      <c r="AJ701" t="b" cm="1">
        <f t="array" ref="AJ701">OR(D701=$AT$2:$AT$8)</f>
        <v>0</v>
      </c>
    </row>
    <row r="702" spans="1:36" x14ac:dyDescent="0.25">
      <c r="A702" s="2" t="s">
        <v>517</v>
      </c>
      <c r="B702" s="3">
        <v>175</v>
      </c>
      <c r="C702" s="2" t="s">
        <v>97</v>
      </c>
      <c r="D702" s="2" t="s">
        <v>97</v>
      </c>
      <c r="E702" s="2" t="s">
        <v>244</v>
      </c>
      <c r="F702" s="4" t="s">
        <v>138</v>
      </c>
      <c r="G702" s="4" t="s">
        <v>245</v>
      </c>
      <c r="H702" s="5">
        <v>6.5</v>
      </c>
      <c r="I702" s="5">
        <v>7.2</v>
      </c>
      <c r="J702" s="5">
        <v>8.1999999999999993</v>
      </c>
      <c r="K702" s="4" t="s">
        <v>111</v>
      </c>
      <c r="L702" s="4" t="s">
        <v>112</v>
      </c>
      <c r="M702" s="6">
        <f>IF(OR(B702="",I702=""),"",B702*I702)</f>
        <v>1260</v>
      </c>
      <c r="N702" s="25" t="s">
        <v>113</v>
      </c>
      <c r="O702" s="26">
        <v>55188</v>
      </c>
      <c r="P702" s="9" t="s">
        <v>514</v>
      </c>
      <c r="Q702" s="27">
        <v>1095265</v>
      </c>
      <c r="R702" s="27">
        <v>8268679</v>
      </c>
      <c r="S702" s="23">
        <f>IF(AND(ISNUMBER(Q702),Q702&gt;0,ISNUMBER(R702),R702&gt;0),R702/Q702,"")</f>
        <v>7.5494779802148342</v>
      </c>
      <c r="T702" s="9" t="s">
        <v>115</v>
      </c>
      <c r="U702" s="9" t="s">
        <v>331</v>
      </c>
      <c r="V702" s="9" t="s">
        <v>21</v>
      </c>
      <c r="W702" s="9" t="s">
        <v>117</v>
      </c>
      <c r="X702" s="23">
        <f>IF(ISNUMBER(S702),S702,IF(ISNUMBER(I702),I702,""))</f>
        <v>7.5494779802148342</v>
      </c>
      <c r="Y702" t="str">
        <f>IF(ISNUMBER(S702),"2025 EIA-923 plant/group proxy",IF(ISNUMBER(I702),"Technology estimate","No thermal heat rate"))</f>
        <v>2025 EIA-923 plant/group proxy</v>
      </c>
      <c r="Z702" t="str">
        <f>IF(ISNUMBER(S702),"Review: NOT unit verified",IF(AE702="No match","No EIA match",IF(AF702="Unconfirmed","Unconfirmed EIA candidate","")))</f>
        <v>Review: NOT unit verified</v>
      </c>
      <c r="AA702" s="26">
        <v>1</v>
      </c>
      <c r="AB702" t="s">
        <v>166</v>
      </c>
      <c r="AC702" t="s">
        <v>515</v>
      </c>
      <c r="AD702" s="26">
        <v>521.20000000000005</v>
      </c>
      <c r="AE702" t="s">
        <v>120</v>
      </c>
      <c r="AF702" t="s">
        <v>121</v>
      </c>
      <c r="AG702" s="27">
        <v>7.5495000000000001</v>
      </c>
      <c r="AH702" s="34">
        <f t="shared" si="26"/>
        <v>105628.59999999996</v>
      </c>
      <c r="AI702">
        <f t="shared" si="25"/>
        <v>65963.211193410607</v>
      </c>
      <c r="AJ702" t="b" cm="1">
        <f t="array" ref="AJ702">OR(D702=$AT$2:$AT$8)</f>
        <v>0</v>
      </c>
    </row>
    <row r="703" spans="1:36" x14ac:dyDescent="0.25">
      <c r="A703" s="2" t="s">
        <v>597</v>
      </c>
      <c r="B703" s="3">
        <v>193</v>
      </c>
      <c r="C703" s="2" t="s">
        <v>432</v>
      </c>
      <c r="D703" s="2" t="s">
        <v>58</v>
      </c>
      <c r="E703" s="2" t="s">
        <v>244</v>
      </c>
      <c r="F703" s="4" t="s">
        <v>138</v>
      </c>
      <c r="G703" s="4" t="s">
        <v>245</v>
      </c>
      <c r="H703" s="5">
        <v>6.5</v>
      </c>
      <c r="I703" s="5">
        <v>7.2</v>
      </c>
      <c r="J703" s="5">
        <v>8.1999999999999993</v>
      </c>
      <c r="K703" s="4" t="s">
        <v>111</v>
      </c>
      <c r="L703" s="4" t="s">
        <v>112</v>
      </c>
      <c r="M703" s="6">
        <f>IF(OR(B703="",I703=""),"",B703*I703)</f>
        <v>1389.6000000000001</v>
      </c>
      <c r="N703" s="25" t="s">
        <v>113</v>
      </c>
      <c r="O703" s="26">
        <v>63259</v>
      </c>
      <c r="P703" s="9" t="s">
        <v>598</v>
      </c>
      <c r="Q703" s="27">
        <v>1317655</v>
      </c>
      <c r="R703" s="27">
        <v>9991067</v>
      </c>
      <c r="S703" s="23">
        <f>IF(AND(ISNUMBER(Q703),Q703&gt;0,ISNUMBER(R703),R703&gt;0),R703/Q703,"")</f>
        <v>7.5824605074924776</v>
      </c>
      <c r="T703" s="9" t="s">
        <v>115</v>
      </c>
      <c r="U703" s="9" t="s">
        <v>331</v>
      </c>
      <c r="V703" s="9" t="s">
        <v>21</v>
      </c>
      <c r="W703" s="9" t="s">
        <v>217</v>
      </c>
      <c r="X703" s="23">
        <f>IF(ISNUMBER(S703),S703,IF(ISNUMBER(I703),I703,""))</f>
        <v>7.5824605074924776</v>
      </c>
      <c r="Y703" t="str">
        <f>IF(ISNUMBER(S703),"2025 EIA-923 plant/group proxy",IF(ISNUMBER(I703),"Technology estimate","No thermal heat rate"))</f>
        <v>2025 EIA-923 plant/group proxy</v>
      </c>
      <c r="Z703" t="str">
        <f>IF(ISNUMBER(S703),"Review: NOT unit verified",IF(AE703="No match","No EIA match",IF(AF703="Unconfirmed","Unconfirmed EIA candidate","")))</f>
        <v>Review: NOT unit verified</v>
      </c>
      <c r="AA703" s="26">
        <v>0.83499999999999996</v>
      </c>
      <c r="AB703" t="s">
        <v>250</v>
      </c>
      <c r="AC703" t="s">
        <v>594</v>
      </c>
      <c r="AD703" s="26">
        <v>177.6</v>
      </c>
      <c r="AE703" t="s">
        <v>120</v>
      </c>
      <c r="AF703" t="s">
        <v>121</v>
      </c>
      <c r="AG703" s="27">
        <v>7.5824999999999996</v>
      </c>
      <c r="AH703" s="34">
        <f t="shared" si="26"/>
        <v>105821.59999999996</v>
      </c>
      <c r="AI703">
        <f t="shared" si="25"/>
        <v>66083.736314072332</v>
      </c>
      <c r="AJ703" t="b" cm="1">
        <f t="array" ref="AJ703">OR(D703=$AT$2:$AT$8)</f>
        <v>0</v>
      </c>
    </row>
    <row r="704" spans="1:36" x14ac:dyDescent="0.25">
      <c r="A704" s="2" t="s">
        <v>435</v>
      </c>
      <c r="B704" s="3">
        <v>190.7</v>
      </c>
      <c r="C704" s="2" t="s">
        <v>78</v>
      </c>
      <c r="D704" s="2" t="s">
        <v>78</v>
      </c>
      <c r="E704" s="2" t="s">
        <v>213</v>
      </c>
      <c r="F704" s="4" t="s">
        <v>126</v>
      </c>
      <c r="G704" s="4" t="s">
        <v>214</v>
      </c>
      <c r="H704" s="5">
        <v>6.6</v>
      </c>
      <c r="I704" s="5">
        <v>7.4</v>
      </c>
      <c r="J704" s="5">
        <v>8.5</v>
      </c>
      <c r="K704" s="4" t="s">
        <v>111</v>
      </c>
      <c r="L704" s="4" t="s">
        <v>128</v>
      </c>
      <c r="M704" s="6">
        <f>IF(OR(B704="",I704=""),"",B704*I704)</f>
        <v>1411.18</v>
      </c>
      <c r="N704" s="25" t="s">
        <v>113</v>
      </c>
      <c r="O704" s="26">
        <v>3797</v>
      </c>
      <c r="P704" s="9" t="s">
        <v>436</v>
      </c>
      <c r="Q704" s="27">
        <v>2070102.9979999999</v>
      </c>
      <c r="R704" s="27">
        <v>16038705</v>
      </c>
      <c r="S704" s="23">
        <f>IF(AND(ISNUMBER(Q704),Q704&gt;0,ISNUMBER(R704),R704&gt;0),R704/Q704,"")</f>
        <v>7.7477811565393431</v>
      </c>
      <c r="T704" s="9" t="s">
        <v>115</v>
      </c>
      <c r="U704" s="9" t="s">
        <v>216</v>
      </c>
      <c r="V704" s="9" t="s">
        <v>21</v>
      </c>
      <c r="W704" s="9" t="s">
        <v>240</v>
      </c>
      <c r="X704" s="23">
        <f>IF(ISNUMBER(S704),S704,IF(ISNUMBER(I704),I704,""))</f>
        <v>7.7477811565393431</v>
      </c>
      <c r="Y704" t="str">
        <f>IF(ISNUMBER(S704),"2025 EIA-923 plant/group proxy",IF(ISNUMBER(I704),"Technology estimate","No thermal heat rate"))</f>
        <v>2025 EIA-923 plant/group proxy</v>
      </c>
      <c r="Z704" t="str">
        <f>IF(ISNUMBER(S704),"Review: NOT unit verified",IF(AE704="No match","No EIA match",IF(AF704="Unconfirmed","Unconfirmed EIA candidate","")))</f>
        <v>Review: NOT unit verified</v>
      </c>
      <c r="AA704" s="26">
        <v>1</v>
      </c>
      <c r="AB704" t="s">
        <v>201</v>
      </c>
      <c r="AC704" t="s">
        <v>437</v>
      </c>
      <c r="AD704" s="26">
        <v>386</v>
      </c>
      <c r="AE704" t="s">
        <v>120</v>
      </c>
      <c r="AF704" t="s">
        <v>121</v>
      </c>
      <c r="AG704" s="27">
        <v>7.7477999999999998</v>
      </c>
      <c r="AH704" s="34">
        <f t="shared" si="26"/>
        <v>106012.29999999996</v>
      </c>
      <c r="AI704">
        <f t="shared" si="25"/>
        <v>66202.825125005955</v>
      </c>
      <c r="AJ704" t="b" cm="1">
        <f t="array" ref="AJ704">OR(D704=$AT$2:$AT$8)</f>
        <v>1</v>
      </c>
    </row>
    <row r="705" spans="1:36" x14ac:dyDescent="0.25">
      <c r="A705" s="2" t="s">
        <v>438</v>
      </c>
      <c r="B705" s="3">
        <v>194.8</v>
      </c>
      <c r="C705" s="2" t="s">
        <v>78</v>
      </c>
      <c r="D705" s="2" t="s">
        <v>78</v>
      </c>
      <c r="E705" s="2" t="s">
        <v>213</v>
      </c>
      <c r="F705" s="4" t="s">
        <v>126</v>
      </c>
      <c r="G705" s="4" t="s">
        <v>214</v>
      </c>
      <c r="H705" s="5">
        <v>6.6</v>
      </c>
      <c r="I705" s="5">
        <v>7.4</v>
      </c>
      <c r="J705" s="5">
        <v>8.5</v>
      </c>
      <c r="K705" s="4" t="s">
        <v>111</v>
      </c>
      <c r="L705" s="4" t="s">
        <v>128</v>
      </c>
      <c r="M705" s="6">
        <f>IF(OR(B705="",I705=""),"",B705*I705)</f>
        <v>1441.5200000000002</v>
      </c>
      <c r="N705" s="25" t="s">
        <v>113</v>
      </c>
      <c r="O705" s="26">
        <v>3797</v>
      </c>
      <c r="P705" s="9" t="s">
        <v>436</v>
      </c>
      <c r="Q705" s="27">
        <v>2070102.9979999999</v>
      </c>
      <c r="R705" s="27">
        <v>16038705</v>
      </c>
      <c r="S705" s="23">
        <f>IF(AND(ISNUMBER(Q705),Q705&gt;0,ISNUMBER(R705),R705&gt;0),R705/Q705,"")</f>
        <v>7.7477811565393431</v>
      </c>
      <c r="T705" s="9" t="s">
        <v>115</v>
      </c>
      <c r="U705" s="9" t="s">
        <v>216</v>
      </c>
      <c r="V705" s="9" t="s">
        <v>21</v>
      </c>
      <c r="W705" s="9" t="s">
        <v>240</v>
      </c>
      <c r="X705" s="23">
        <f>IF(ISNUMBER(S705),S705,IF(ISNUMBER(I705),I705,""))</f>
        <v>7.7477811565393431</v>
      </c>
      <c r="Y705" t="str">
        <f>IF(ISNUMBER(S705),"2025 EIA-923 plant/group proxy",IF(ISNUMBER(I705),"Technology estimate","No thermal heat rate"))</f>
        <v>2025 EIA-923 plant/group proxy</v>
      </c>
      <c r="Z705" t="str">
        <f>IF(ISNUMBER(S705),"Review: NOT unit verified",IF(AE705="No match","No EIA match",IF(AF705="Unconfirmed","Unconfirmed EIA candidate","")))</f>
        <v>Review: NOT unit verified</v>
      </c>
      <c r="AA705" s="26">
        <v>1</v>
      </c>
      <c r="AB705" t="s">
        <v>201</v>
      </c>
      <c r="AC705" t="s">
        <v>437</v>
      </c>
      <c r="AD705" s="26">
        <v>386</v>
      </c>
      <c r="AE705" t="s">
        <v>120</v>
      </c>
      <c r="AF705" t="s">
        <v>121</v>
      </c>
      <c r="AG705" s="27">
        <v>7.7477999999999998</v>
      </c>
      <c r="AH705" s="34">
        <f t="shared" si="26"/>
        <v>106207.09999999996</v>
      </c>
      <c r="AI705">
        <f t="shared" si="25"/>
        <v>66324.474314150517</v>
      </c>
      <c r="AJ705" t="b" cm="1">
        <f t="array" ref="AJ705">OR(D705=$AT$2:$AT$8)</f>
        <v>1</v>
      </c>
    </row>
    <row r="706" spans="1:36" x14ac:dyDescent="0.25">
      <c r="A706" s="2" t="s">
        <v>997</v>
      </c>
      <c r="B706" s="3">
        <v>304.2</v>
      </c>
      <c r="C706" s="2" t="s">
        <v>97</v>
      </c>
      <c r="D706" s="2" t="s">
        <v>97</v>
      </c>
      <c r="E706" s="2" t="s">
        <v>244</v>
      </c>
      <c r="F706" s="4" t="s">
        <v>138</v>
      </c>
      <c r="G706" s="4" t="s">
        <v>245</v>
      </c>
      <c r="H706" s="5">
        <v>6.5</v>
      </c>
      <c r="I706" s="5">
        <v>7.2</v>
      </c>
      <c r="J706" s="5">
        <v>8.1999999999999993</v>
      </c>
      <c r="K706" s="4" t="s">
        <v>111</v>
      </c>
      <c r="L706" s="4" t="s">
        <v>112</v>
      </c>
      <c r="M706" s="6">
        <f>IF(OR(B706="",I706=""),"",B706*I706)</f>
        <v>2190.2399999999998</v>
      </c>
      <c r="N706" s="25" t="s">
        <v>113</v>
      </c>
      <c r="O706" s="26">
        <v>55131</v>
      </c>
      <c r="P706" s="9" t="s">
        <v>998</v>
      </c>
      <c r="Q706" s="27">
        <v>5535361</v>
      </c>
      <c r="R706" s="27">
        <v>42912215</v>
      </c>
      <c r="S706" s="23">
        <f>IF(AND(ISNUMBER(Q706),Q706&gt;0,ISNUMBER(R706),R706&gt;0),R706/Q706,"")</f>
        <v>7.7523787518104061</v>
      </c>
      <c r="T706" s="9" t="s">
        <v>115</v>
      </c>
      <c r="U706" s="9" t="s">
        <v>331</v>
      </c>
      <c r="V706" s="9" t="s">
        <v>21</v>
      </c>
      <c r="W706" s="9" t="s">
        <v>528</v>
      </c>
      <c r="X706" s="23">
        <f>IF(ISNUMBER(S706),S706,IF(ISNUMBER(I706),I706,""))</f>
        <v>7.7523787518104061</v>
      </c>
      <c r="Y706" t="str">
        <f>IF(ISNUMBER(S706),"2025 EIA-923 plant/group proxy",IF(ISNUMBER(I706),"Technology estimate","No thermal heat rate"))</f>
        <v>2025 EIA-923 plant/group proxy</v>
      </c>
      <c r="Z706" t="str">
        <f>IF(ISNUMBER(S706),"Review: NOT unit verified",IF(AE706="No match","No EIA match",IF(AF706="Unconfirmed","Unconfirmed EIA candidate","")))</f>
        <v>Review: NOT unit verified</v>
      </c>
      <c r="AA706" s="26">
        <v>0.83499999999999996</v>
      </c>
      <c r="AB706" t="s">
        <v>166</v>
      </c>
      <c r="AC706" t="s">
        <v>999</v>
      </c>
      <c r="AD706" s="26">
        <v>1140</v>
      </c>
      <c r="AE706" t="s">
        <v>120</v>
      </c>
      <c r="AF706" t="s">
        <v>121</v>
      </c>
      <c r="AG706" s="27">
        <v>7.7523999999999997</v>
      </c>
      <c r="AH706" s="34">
        <f t="shared" si="26"/>
        <v>106511.29999999996</v>
      </c>
      <c r="AI706">
        <f t="shared" si="25"/>
        <v>66514.441887753084</v>
      </c>
      <c r="AJ706" t="b" cm="1">
        <f t="array" ref="AJ706">OR(D706=$AT$2:$AT$8)</f>
        <v>0</v>
      </c>
    </row>
    <row r="707" spans="1:36" x14ac:dyDescent="0.25">
      <c r="A707" s="2" t="s">
        <v>1000</v>
      </c>
      <c r="B707" s="3">
        <v>304.2</v>
      </c>
      <c r="C707" s="2" t="s">
        <v>97</v>
      </c>
      <c r="D707" s="2" t="s">
        <v>97</v>
      </c>
      <c r="E707" s="2" t="s">
        <v>244</v>
      </c>
      <c r="F707" s="4" t="s">
        <v>138</v>
      </c>
      <c r="G707" s="4" t="s">
        <v>245</v>
      </c>
      <c r="H707" s="5">
        <v>6.5</v>
      </c>
      <c r="I707" s="5">
        <v>7.2</v>
      </c>
      <c r="J707" s="5">
        <v>8.1999999999999993</v>
      </c>
      <c r="K707" s="4" t="s">
        <v>111</v>
      </c>
      <c r="L707" s="4" t="s">
        <v>112</v>
      </c>
      <c r="M707" s="6">
        <f>IF(OR(B707="",I707=""),"",B707*I707)</f>
        <v>2190.2399999999998</v>
      </c>
      <c r="N707" s="25" t="s">
        <v>113</v>
      </c>
      <c r="O707" s="26">
        <v>55131</v>
      </c>
      <c r="P707" s="9" t="s">
        <v>998</v>
      </c>
      <c r="Q707" s="27">
        <v>5535361</v>
      </c>
      <c r="R707" s="27">
        <v>42912215</v>
      </c>
      <c r="S707" s="23">
        <f>IF(AND(ISNUMBER(Q707),Q707&gt;0,ISNUMBER(R707),R707&gt;0),R707/Q707,"")</f>
        <v>7.7523787518104061</v>
      </c>
      <c r="T707" s="9" t="s">
        <v>115</v>
      </c>
      <c r="U707" s="9" t="s">
        <v>331</v>
      </c>
      <c r="V707" s="9" t="s">
        <v>21</v>
      </c>
      <c r="W707" s="9" t="s">
        <v>528</v>
      </c>
      <c r="X707" s="23">
        <f>IF(ISNUMBER(S707),S707,IF(ISNUMBER(I707),I707,""))</f>
        <v>7.7523787518104061</v>
      </c>
      <c r="Y707" t="str">
        <f>IF(ISNUMBER(S707),"2025 EIA-923 plant/group proxy",IF(ISNUMBER(I707),"Technology estimate","No thermal heat rate"))</f>
        <v>2025 EIA-923 plant/group proxy</v>
      </c>
      <c r="Z707" t="str">
        <f>IF(ISNUMBER(S707),"Review: NOT unit verified",IF(AE707="No match","No EIA match",IF(AF707="Unconfirmed","Unconfirmed EIA candidate","")))</f>
        <v>Review: NOT unit verified</v>
      </c>
      <c r="AA707" s="26">
        <v>0.83499999999999996</v>
      </c>
      <c r="AB707" t="s">
        <v>166</v>
      </c>
      <c r="AC707" t="s">
        <v>999</v>
      </c>
      <c r="AD707" s="26">
        <v>1140</v>
      </c>
      <c r="AE707" t="s">
        <v>120</v>
      </c>
      <c r="AF707" t="s">
        <v>121</v>
      </c>
      <c r="AG707" s="27">
        <v>7.7523999999999997</v>
      </c>
      <c r="AH707" s="34">
        <f t="shared" si="26"/>
        <v>106815.49999999996</v>
      </c>
      <c r="AI707">
        <f t="shared" ref="AI707:AI770" si="27">AH707*$AK$1</f>
        <v>66704.409461355637</v>
      </c>
      <c r="AJ707" t="b" cm="1">
        <f t="array" ref="AJ707">OR(D707=$AT$2:$AT$8)</f>
        <v>0</v>
      </c>
    </row>
    <row r="708" spans="1:36" x14ac:dyDescent="0.25">
      <c r="A708" s="2" t="s">
        <v>1001</v>
      </c>
      <c r="B708" s="3">
        <v>306</v>
      </c>
      <c r="C708" s="2" t="s">
        <v>97</v>
      </c>
      <c r="D708" s="2" t="s">
        <v>97</v>
      </c>
      <c r="E708" s="2" t="s">
        <v>244</v>
      </c>
      <c r="F708" s="4" t="s">
        <v>138</v>
      </c>
      <c r="G708" s="4" t="s">
        <v>245</v>
      </c>
      <c r="H708" s="5">
        <v>6.5</v>
      </c>
      <c r="I708" s="5">
        <v>7.2</v>
      </c>
      <c r="J708" s="5">
        <v>8.1999999999999993</v>
      </c>
      <c r="K708" s="4" t="s">
        <v>111</v>
      </c>
      <c r="L708" s="4" t="s">
        <v>112</v>
      </c>
      <c r="M708" s="6">
        <f>IF(OR(B708="",I708=""),"",B708*I708)</f>
        <v>2203.2000000000003</v>
      </c>
      <c r="N708" s="25" t="s">
        <v>113</v>
      </c>
      <c r="O708" s="26">
        <v>55131</v>
      </c>
      <c r="P708" s="9" t="s">
        <v>998</v>
      </c>
      <c r="Q708" s="27">
        <v>5535361</v>
      </c>
      <c r="R708" s="27">
        <v>42912215</v>
      </c>
      <c r="S708" s="23">
        <f>IF(AND(ISNUMBER(Q708),Q708&gt;0,ISNUMBER(R708),R708&gt;0),R708/Q708,"")</f>
        <v>7.7523787518104061</v>
      </c>
      <c r="T708" s="9" t="s">
        <v>115</v>
      </c>
      <c r="U708" s="9" t="s">
        <v>331</v>
      </c>
      <c r="V708" s="9" t="s">
        <v>21</v>
      </c>
      <c r="W708" s="9" t="s">
        <v>528</v>
      </c>
      <c r="X708" s="23">
        <f>IF(ISNUMBER(S708),S708,IF(ISNUMBER(I708),I708,""))</f>
        <v>7.7523787518104061</v>
      </c>
      <c r="Y708" t="str">
        <f>IF(ISNUMBER(S708),"2025 EIA-923 plant/group proxy",IF(ISNUMBER(I708),"Technology estimate","No thermal heat rate"))</f>
        <v>2025 EIA-923 plant/group proxy</v>
      </c>
      <c r="Z708" t="str">
        <f>IF(ISNUMBER(S708),"Review: NOT unit verified",IF(AE708="No match","No EIA match",IF(AF708="Unconfirmed","Unconfirmed EIA candidate","")))</f>
        <v>Review: NOT unit verified</v>
      </c>
      <c r="AA708" s="26">
        <v>0.83499999999999996</v>
      </c>
      <c r="AB708" t="s">
        <v>166</v>
      </c>
      <c r="AC708" t="s">
        <v>999</v>
      </c>
      <c r="AD708" s="26">
        <v>1140</v>
      </c>
      <c r="AE708" t="s">
        <v>120</v>
      </c>
      <c r="AF708" t="s">
        <v>121</v>
      </c>
      <c r="AG708" s="27">
        <v>7.7523999999999997</v>
      </c>
      <c r="AH708" s="34">
        <f t="shared" ref="AH708:AH771" si="28">AH707+B708</f>
        <v>107121.49999999996</v>
      </c>
      <c r="AI708">
        <f t="shared" si="27"/>
        <v>66895.501103441056</v>
      </c>
      <c r="AJ708" t="b" cm="1">
        <f t="array" ref="AJ708">OR(D708=$AT$2:$AT$8)</f>
        <v>0</v>
      </c>
    </row>
    <row r="709" spans="1:36" x14ac:dyDescent="0.25">
      <c r="A709" s="2" t="s">
        <v>1002</v>
      </c>
      <c r="B709" s="3">
        <v>304.2</v>
      </c>
      <c r="C709" s="2" t="s">
        <v>97</v>
      </c>
      <c r="D709" s="2" t="s">
        <v>97</v>
      </c>
      <c r="E709" s="2" t="s">
        <v>244</v>
      </c>
      <c r="F709" s="4" t="s">
        <v>138</v>
      </c>
      <c r="G709" s="4" t="s">
        <v>245</v>
      </c>
      <c r="H709" s="5">
        <v>6.5</v>
      </c>
      <c r="I709" s="5">
        <v>7.2</v>
      </c>
      <c r="J709" s="5">
        <v>8.1999999999999993</v>
      </c>
      <c r="K709" s="4" t="s">
        <v>111</v>
      </c>
      <c r="L709" s="4" t="s">
        <v>112</v>
      </c>
      <c r="M709" s="6">
        <f>IF(OR(B709="",I709=""),"",B709*I709)</f>
        <v>2190.2399999999998</v>
      </c>
      <c r="N709" s="25" t="s">
        <v>113</v>
      </c>
      <c r="O709" s="26">
        <v>55131</v>
      </c>
      <c r="P709" s="9" t="s">
        <v>998</v>
      </c>
      <c r="Q709" s="27">
        <v>5535361</v>
      </c>
      <c r="R709" s="27">
        <v>42912215</v>
      </c>
      <c r="S709" s="23">
        <f>IF(AND(ISNUMBER(Q709),Q709&gt;0,ISNUMBER(R709),R709&gt;0),R709/Q709,"")</f>
        <v>7.7523787518104061</v>
      </c>
      <c r="T709" s="9" t="s">
        <v>115</v>
      </c>
      <c r="U709" s="9" t="s">
        <v>331</v>
      </c>
      <c r="V709" s="9" t="s">
        <v>21</v>
      </c>
      <c r="W709" s="9" t="s">
        <v>528</v>
      </c>
      <c r="X709" s="23">
        <f>IF(ISNUMBER(S709),S709,IF(ISNUMBER(I709),I709,""))</f>
        <v>7.7523787518104061</v>
      </c>
      <c r="Y709" t="str">
        <f>IF(ISNUMBER(S709),"2025 EIA-923 plant/group proxy",IF(ISNUMBER(I709),"Technology estimate","No thermal heat rate"))</f>
        <v>2025 EIA-923 plant/group proxy</v>
      </c>
      <c r="Z709" t="str">
        <f>IF(ISNUMBER(S709),"Review: NOT unit verified",IF(AE709="No match","No EIA match",IF(AF709="Unconfirmed","Unconfirmed EIA candidate","")))</f>
        <v>Review: NOT unit verified</v>
      </c>
      <c r="AA709" s="26">
        <v>0.83499999999999996</v>
      </c>
      <c r="AB709" t="s">
        <v>166</v>
      </c>
      <c r="AC709" t="s">
        <v>999</v>
      </c>
      <c r="AD709" s="26">
        <v>1140</v>
      </c>
      <c r="AE709" t="s">
        <v>120</v>
      </c>
      <c r="AF709" t="s">
        <v>121</v>
      </c>
      <c r="AG709" s="27">
        <v>7.7523999999999997</v>
      </c>
      <c r="AH709" s="34">
        <f t="shared" si="28"/>
        <v>107425.69999999995</v>
      </c>
      <c r="AI709">
        <f t="shared" si="27"/>
        <v>67085.468677043624</v>
      </c>
      <c r="AJ709" t="b" cm="1">
        <f t="array" ref="AJ709">OR(D709=$AT$2:$AT$8)</f>
        <v>0</v>
      </c>
    </row>
    <row r="710" spans="1:36" x14ac:dyDescent="0.25">
      <c r="A710" s="2" t="s">
        <v>1252</v>
      </c>
      <c r="B710" s="3">
        <v>304.5</v>
      </c>
      <c r="C710" s="2" t="s">
        <v>97</v>
      </c>
      <c r="D710" s="2" t="s">
        <v>97</v>
      </c>
      <c r="E710" s="2" t="s">
        <v>244</v>
      </c>
      <c r="F710" s="4" t="s">
        <v>138</v>
      </c>
      <c r="G710" s="4" t="s">
        <v>245</v>
      </c>
      <c r="H710" s="5">
        <v>6.5</v>
      </c>
      <c r="I710" s="5">
        <v>7.2</v>
      </c>
      <c r="J710" s="5">
        <v>8.1999999999999993</v>
      </c>
      <c r="K710" s="4" t="s">
        <v>111</v>
      </c>
      <c r="L710" s="4" t="s">
        <v>112</v>
      </c>
      <c r="M710" s="6">
        <f>IF(OR(B710="",I710=""),"",B710*I710)</f>
        <v>2192.4</v>
      </c>
      <c r="N710" s="25" t="s">
        <v>113</v>
      </c>
      <c r="O710" s="26">
        <v>55183</v>
      </c>
      <c r="P710" s="9" t="s">
        <v>1253</v>
      </c>
      <c r="Q710" s="27">
        <v>3027433</v>
      </c>
      <c r="R710" s="27">
        <v>23787388</v>
      </c>
      <c r="S710" s="23">
        <f>IF(AND(ISNUMBER(Q710),Q710&gt;0,ISNUMBER(R710),R710&gt;0),R710/Q710,"")</f>
        <v>7.8572797482223384</v>
      </c>
      <c r="T710" s="9" t="s">
        <v>115</v>
      </c>
      <c r="U710" s="9" t="s">
        <v>331</v>
      </c>
      <c r="V710" s="9" t="s">
        <v>21</v>
      </c>
      <c r="W710" s="9" t="s">
        <v>240</v>
      </c>
      <c r="X710" s="23">
        <f>IF(ISNUMBER(S710),S710,IF(ISNUMBER(I710),I710,""))</f>
        <v>7.8572797482223384</v>
      </c>
      <c r="Y710" t="str">
        <f>IF(ISNUMBER(S710),"2025 EIA-923 plant/group proxy",IF(ISNUMBER(I710),"Technology estimate","No thermal heat rate"))</f>
        <v>2025 EIA-923 plant/group proxy</v>
      </c>
      <c r="Z710" t="str">
        <f>IF(ISNUMBER(S710),"Review: NOT unit verified",IF(AE710="No match","No EIA match",IF(AF710="Unconfirmed","Unconfirmed EIA candidate","")))</f>
        <v>Review: NOT unit verified</v>
      </c>
      <c r="AA710" s="26">
        <v>0.82869999999999999</v>
      </c>
      <c r="AB710" t="s">
        <v>166</v>
      </c>
      <c r="AC710" t="s">
        <v>1254</v>
      </c>
      <c r="AD710" s="26">
        <v>586</v>
      </c>
      <c r="AE710" t="s">
        <v>120</v>
      </c>
      <c r="AF710" t="s">
        <v>121</v>
      </c>
      <c r="AG710" s="27">
        <v>7.8573000000000004</v>
      </c>
      <c r="AH710" s="34">
        <f t="shared" si="28"/>
        <v>107730.19999999995</v>
      </c>
      <c r="AI710">
        <f t="shared" si="27"/>
        <v>67275.623595393321</v>
      </c>
      <c r="AJ710" t="b" cm="1">
        <f t="array" ref="AJ710">OR(D710=$AT$2:$AT$8)</f>
        <v>0</v>
      </c>
    </row>
    <row r="711" spans="1:36" x14ac:dyDescent="0.25">
      <c r="A711" s="2" t="s">
        <v>1255</v>
      </c>
      <c r="B711" s="3">
        <v>304.5</v>
      </c>
      <c r="C711" s="2" t="s">
        <v>97</v>
      </c>
      <c r="D711" s="2" t="s">
        <v>97</v>
      </c>
      <c r="E711" s="2" t="s">
        <v>244</v>
      </c>
      <c r="F711" s="4" t="s">
        <v>138</v>
      </c>
      <c r="G711" s="4" t="s">
        <v>245</v>
      </c>
      <c r="H711" s="5">
        <v>6.5</v>
      </c>
      <c r="I711" s="5">
        <v>7.2</v>
      </c>
      <c r="J711" s="5">
        <v>8.1999999999999993</v>
      </c>
      <c r="K711" s="4" t="s">
        <v>111</v>
      </c>
      <c r="L711" s="4" t="s">
        <v>112</v>
      </c>
      <c r="M711" s="6">
        <f>IF(OR(B711="",I711=""),"",B711*I711)</f>
        <v>2192.4</v>
      </c>
      <c r="N711" s="25" t="s">
        <v>113</v>
      </c>
      <c r="O711" s="26">
        <v>55183</v>
      </c>
      <c r="P711" s="9" t="s">
        <v>1253</v>
      </c>
      <c r="Q711" s="27">
        <v>3027433</v>
      </c>
      <c r="R711" s="27">
        <v>23787388</v>
      </c>
      <c r="S711" s="23">
        <f>IF(AND(ISNUMBER(Q711),Q711&gt;0,ISNUMBER(R711),R711&gt;0),R711/Q711,"")</f>
        <v>7.8572797482223384</v>
      </c>
      <c r="T711" s="9" t="s">
        <v>115</v>
      </c>
      <c r="U711" s="9" t="s">
        <v>331</v>
      </c>
      <c r="V711" s="9" t="s">
        <v>21</v>
      </c>
      <c r="W711" s="9" t="s">
        <v>240</v>
      </c>
      <c r="X711" s="23">
        <f>IF(ISNUMBER(S711),S711,IF(ISNUMBER(I711),I711,""))</f>
        <v>7.8572797482223384</v>
      </c>
      <c r="Y711" t="str">
        <f>IF(ISNUMBER(S711),"2025 EIA-923 plant/group proxy",IF(ISNUMBER(I711),"Technology estimate","No thermal heat rate"))</f>
        <v>2025 EIA-923 plant/group proxy</v>
      </c>
      <c r="Z711" t="str">
        <f>IF(ISNUMBER(S711),"Review: NOT unit verified",IF(AE711="No match","No EIA match",IF(AF711="Unconfirmed","Unconfirmed EIA candidate","")))</f>
        <v>Review: NOT unit verified</v>
      </c>
      <c r="AA711" s="26">
        <v>0.82869999999999999</v>
      </c>
      <c r="AB711" t="s">
        <v>166</v>
      </c>
      <c r="AC711" t="s">
        <v>1254</v>
      </c>
      <c r="AD711" s="26">
        <v>586</v>
      </c>
      <c r="AE711" t="s">
        <v>120</v>
      </c>
      <c r="AF711" t="s">
        <v>121</v>
      </c>
      <c r="AG711" s="27">
        <v>7.8573000000000004</v>
      </c>
      <c r="AH711" s="34">
        <f t="shared" si="28"/>
        <v>108034.69999999995</v>
      </c>
      <c r="AI711">
        <f t="shared" si="27"/>
        <v>67465.778513743033</v>
      </c>
      <c r="AJ711" t="b" cm="1">
        <f t="array" ref="AJ711">OR(D711=$AT$2:$AT$8)</f>
        <v>0</v>
      </c>
    </row>
    <row r="712" spans="1:36" x14ac:dyDescent="0.25">
      <c r="A712" s="2" t="s">
        <v>236</v>
      </c>
      <c r="B712" s="3">
        <v>665.5</v>
      </c>
      <c r="C712" s="2" t="s">
        <v>228</v>
      </c>
      <c r="D712" s="2" t="s">
        <v>237</v>
      </c>
      <c r="E712" s="2" t="s">
        <v>213</v>
      </c>
      <c r="F712" s="4" t="s">
        <v>126</v>
      </c>
      <c r="G712" s="4" t="s">
        <v>214</v>
      </c>
      <c r="H712" s="5">
        <v>6.6</v>
      </c>
      <c r="I712" s="5">
        <v>7.4</v>
      </c>
      <c r="J712" s="5">
        <v>8.5</v>
      </c>
      <c r="K712" s="4" t="s">
        <v>111</v>
      </c>
      <c r="L712" s="4" t="s">
        <v>128</v>
      </c>
      <c r="M712" s="6">
        <f>IF(OR(B712="",I712=""),"",B712*I712)</f>
        <v>4924.7</v>
      </c>
      <c r="N712" s="25" t="s">
        <v>113</v>
      </c>
      <c r="O712" s="26">
        <v>2398</v>
      </c>
      <c r="P712" s="9" t="s">
        <v>238</v>
      </c>
      <c r="Q712" s="27">
        <v>3192903.9959999998</v>
      </c>
      <c r="R712" s="27">
        <v>25480089</v>
      </c>
      <c r="S712" s="23">
        <f>IF(AND(ISNUMBER(Q712),Q712&gt;0,ISNUMBER(R712),R712&gt;0),R712/Q712,"")</f>
        <v>7.9802239691268193</v>
      </c>
      <c r="T712" s="9" t="s">
        <v>115</v>
      </c>
      <c r="U712" s="9" t="s">
        <v>239</v>
      </c>
      <c r="V712" s="9" t="s">
        <v>21</v>
      </c>
      <c r="W712" s="9" t="s">
        <v>240</v>
      </c>
      <c r="X712" s="23">
        <f>IF(ISNUMBER(S712),S712,IF(ISNUMBER(I712),I712,""))</f>
        <v>7.9802239691268193</v>
      </c>
      <c r="Y712" t="str">
        <f>IF(ISNUMBER(S712),"2025 EIA-923 plant/group proxy",IF(ISNUMBER(I712),"Technology estimate","No thermal heat rate"))</f>
        <v>2025 EIA-923 plant/group proxy</v>
      </c>
      <c r="Z712" t="str">
        <f>IF(ISNUMBER(S712),"Review: NOT unit verified",IF(AE712="No match","No EIA match",IF(AF712="Unconfirmed","Unconfirmed EIA candidate","")))</f>
        <v>Review: NOT unit verified</v>
      </c>
      <c r="AA712" s="26">
        <v>1</v>
      </c>
      <c r="AB712" t="s">
        <v>241</v>
      </c>
      <c r="AC712" t="s">
        <v>242</v>
      </c>
      <c r="AD712" s="26">
        <v>1255</v>
      </c>
      <c r="AE712" t="s">
        <v>120</v>
      </c>
      <c r="AF712" t="s">
        <v>121</v>
      </c>
      <c r="AG712" s="27">
        <v>7.9802</v>
      </c>
      <c r="AH712" s="34">
        <f t="shared" si="28"/>
        <v>108700.19999999995</v>
      </c>
      <c r="AI712">
        <f t="shared" si="27"/>
        <v>67881.371611154289</v>
      </c>
      <c r="AJ712" t="b" cm="1">
        <f t="array" ref="AJ712">OR(D712=$AT$2:$AT$8)</f>
        <v>0</v>
      </c>
    </row>
    <row r="713" spans="1:36" x14ac:dyDescent="0.25">
      <c r="A713" s="2" t="s">
        <v>243</v>
      </c>
      <c r="B713" s="3">
        <v>591.20000000000005</v>
      </c>
      <c r="C713" s="2" t="s">
        <v>228</v>
      </c>
      <c r="D713" s="2" t="s">
        <v>237</v>
      </c>
      <c r="E713" s="2" t="s">
        <v>244</v>
      </c>
      <c r="F713" s="4" t="s">
        <v>138</v>
      </c>
      <c r="G713" s="4" t="s">
        <v>245</v>
      </c>
      <c r="H713" s="5">
        <v>6.5</v>
      </c>
      <c r="I713" s="5">
        <v>7.2</v>
      </c>
      <c r="J713" s="5">
        <v>8.1999999999999993</v>
      </c>
      <c r="K713" s="4" t="s">
        <v>111</v>
      </c>
      <c r="L713" s="4" t="s">
        <v>112</v>
      </c>
      <c r="M713" s="6">
        <f>IF(OR(B713="",I713=""),"",B713*I713)</f>
        <v>4256.6400000000003</v>
      </c>
      <c r="N713" s="25" t="s">
        <v>113</v>
      </c>
      <c r="O713" s="26">
        <v>2398</v>
      </c>
      <c r="P713" s="9" t="s">
        <v>238</v>
      </c>
      <c r="Q713" s="27">
        <v>3192903.9959999998</v>
      </c>
      <c r="R713" s="27">
        <v>25480089</v>
      </c>
      <c r="S713" s="23">
        <f>IF(AND(ISNUMBER(Q713),Q713&gt;0,ISNUMBER(R713),R713&gt;0),R713/Q713,"")</f>
        <v>7.9802239691268193</v>
      </c>
      <c r="T713" s="9" t="s">
        <v>115</v>
      </c>
      <c r="U713" s="9" t="s">
        <v>239</v>
      </c>
      <c r="V713" s="9" t="s">
        <v>21</v>
      </c>
      <c r="W713" s="9" t="s">
        <v>240</v>
      </c>
      <c r="X713" s="23">
        <f>IF(ISNUMBER(S713),S713,IF(ISNUMBER(I713),I713,""))</f>
        <v>7.9802239691268193</v>
      </c>
      <c r="Y713" t="str">
        <f>IF(ISNUMBER(S713),"2025 EIA-923 plant/group proxy",IF(ISNUMBER(I713),"Technology estimate","No thermal heat rate"))</f>
        <v>2025 EIA-923 plant/group proxy</v>
      </c>
      <c r="Z713" t="str">
        <f>IF(ISNUMBER(S713),"Review: NOT unit verified",IF(AE713="No match","No EIA match",IF(AF713="Unconfirmed","Unconfirmed EIA candidate","")))</f>
        <v>Review: NOT unit verified</v>
      </c>
      <c r="AA713" s="26">
        <v>1</v>
      </c>
      <c r="AB713" t="s">
        <v>241</v>
      </c>
      <c r="AC713" t="s">
        <v>242</v>
      </c>
      <c r="AD713" s="26">
        <v>1255</v>
      </c>
      <c r="AE713" t="s">
        <v>120</v>
      </c>
      <c r="AF713" t="s">
        <v>121</v>
      </c>
      <c r="AG713" s="27">
        <v>7.9802</v>
      </c>
      <c r="AH713" s="34">
        <f t="shared" si="28"/>
        <v>109291.39999999995</v>
      </c>
      <c r="AI713">
        <f t="shared" si="27"/>
        <v>68250.565659523229</v>
      </c>
      <c r="AJ713" t="b" cm="1">
        <f t="array" ref="AJ713">OR(D713=$AT$2:$AT$8)</f>
        <v>0</v>
      </c>
    </row>
    <row r="714" spans="1:36" x14ac:dyDescent="0.25">
      <c r="A714" s="2" t="s">
        <v>1003</v>
      </c>
      <c r="B714" s="3">
        <v>6.6</v>
      </c>
      <c r="C714" s="2" t="s">
        <v>228</v>
      </c>
      <c r="D714" s="2" t="s">
        <v>228</v>
      </c>
      <c r="E714" s="2" t="s">
        <v>244</v>
      </c>
      <c r="F714" s="4" t="s">
        <v>138</v>
      </c>
      <c r="G714" s="4" t="s">
        <v>245</v>
      </c>
      <c r="H714" s="5">
        <v>6.5</v>
      </c>
      <c r="I714" s="5">
        <v>7.2</v>
      </c>
      <c r="J714" s="5">
        <v>8.1999999999999993</v>
      </c>
      <c r="K714" s="4" t="s">
        <v>111</v>
      </c>
      <c r="L714" s="4" t="s">
        <v>112</v>
      </c>
      <c r="M714" s="6">
        <f>IF(OR(B714="",I714=""),"",B714*I714)</f>
        <v>47.519999999999996</v>
      </c>
      <c r="N714" s="28" t="s">
        <v>113</v>
      </c>
      <c r="O714" s="26">
        <v>10805</v>
      </c>
      <c r="P714" s="9" t="s">
        <v>1004</v>
      </c>
      <c r="Q714" s="27">
        <v>163187.94699999999</v>
      </c>
      <c r="R714" s="27">
        <v>1334925</v>
      </c>
      <c r="S714" s="23">
        <f>IF(AND(ISNUMBER(Q714),Q714&gt;0,ISNUMBER(R714),R714&gt;0),R714/Q714,"")</f>
        <v>8.1802916486228003</v>
      </c>
      <c r="T714" s="9" t="s">
        <v>115</v>
      </c>
      <c r="U714" s="9" t="s">
        <v>331</v>
      </c>
      <c r="V714" s="9" t="s">
        <v>21</v>
      </c>
      <c r="W714" s="9" t="s">
        <v>142</v>
      </c>
      <c r="X714" s="23">
        <f>IF(ISNUMBER(S714),S714,IF(ISNUMBER(I714),I714,""))</f>
        <v>8.1802916486228003</v>
      </c>
      <c r="Y714" t="str">
        <f>IF(ISNUMBER(S714),"2025 EIA-923 plant/group proxy",IF(ISNUMBER(I714),"Technology estimate","No thermal heat rate"))</f>
        <v>2025 EIA-923 plant/group proxy</v>
      </c>
      <c r="Z714" t="str">
        <f>IF(ISNUMBER(S714),"Review: NOT unit verified",IF(AE714="No match","No EIA match",IF(AF714="Unconfirmed","Unconfirmed EIA candidate","")))</f>
        <v>Review: NOT unit verified</v>
      </c>
      <c r="AA714" s="26">
        <v>0.66500000000000004</v>
      </c>
      <c r="AB714" t="s">
        <v>241</v>
      </c>
      <c r="AC714" t="s">
        <v>368</v>
      </c>
      <c r="AD714" s="26">
        <v>24.5</v>
      </c>
      <c r="AE714" t="s">
        <v>120</v>
      </c>
      <c r="AF714" t="s">
        <v>145</v>
      </c>
      <c r="AG714" s="27">
        <v>8.1803000000000008</v>
      </c>
      <c r="AH714" s="34">
        <f t="shared" si="28"/>
        <v>109297.99999999996</v>
      </c>
      <c r="AI714">
        <f t="shared" si="27"/>
        <v>68254.687243960376</v>
      </c>
      <c r="AJ714" t="b" cm="1">
        <f t="array" ref="AJ714">OR(D714=$AT$2:$AT$8)</f>
        <v>1</v>
      </c>
    </row>
    <row r="715" spans="1:36" x14ac:dyDescent="0.25">
      <c r="A715" s="2" t="s">
        <v>947</v>
      </c>
      <c r="B715" s="3">
        <v>29</v>
      </c>
      <c r="C715" s="2" t="s">
        <v>136</v>
      </c>
      <c r="D715" s="2" t="s">
        <v>136</v>
      </c>
      <c r="E715" s="2" t="s">
        <v>244</v>
      </c>
      <c r="F715" s="4" t="s">
        <v>138</v>
      </c>
      <c r="G715" s="4" t="s">
        <v>245</v>
      </c>
      <c r="H715" s="5">
        <v>6.5</v>
      </c>
      <c r="I715" s="5">
        <v>7.2</v>
      </c>
      <c r="J715" s="5">
        <v>8.1999999999999993</v>
      </c>
      <c r="K715" s="4" t="s">
        <v>111</v>
      </c>
      <c r="L715" s="4" t="s">
        <v>112</v>
      </c>
      <c r="M715" s="6">
        <f>IF(OR(B715="",I715=""),"",B715*I715)</f>
        <v>208.8</v>
      </c>
      <c r="N715" s="25" t="s">
        <v>113</v>
      </c>
      <c r="O715" s="26">
        <v>3176</v>
      </c>
      <c r="P715" s="9" t="s">
        <v>948</v>
      </c>
      <c r="Q715" s="27">
        <v>232519</v>
      </c>
      <c r="R715" s="27">
        <v>1972850</v>
      </c>
      <c r="S715" s="23">
        <f>IF(AND(ISNUMBER(Q715),Q715&gt;0,ISNUMBER(R715),R715&gt;0),R715/Q715,"")</f>
        <v>8.4846829721442116</v>
      </c>
      <c r="T715" s="9" t="s">
        <v>115</v>
      </c>
      <c r="U715" s="9" t="s">
        <v>331</v>
      </c>
      <c r="V715" s="9" t="s">
        <v>21</v>
      </c>
      <c r="W715" s="9" t="s">
        <v>117</v>
      </c>
      <c r="X715" s="23">
        <f>IF(ISNUMBER(S715),S715,IF(ISNUMBER(I715),I715,""))</f>
        <v>8.4846829721442116</v>
      </c>
      <c r="Y715" t="str">
        <f>IF(ISNUMBER(S715),"2025 EIA-923 plant/group proxy",IF(ISNUMBER(I715),"Technology estimate","No thermal heat rate"))</f>
        <v>2025 EIA-923 plant/group proxy</v>
      </c>
      <c r="Z715" t="str">
        <f>IF(ISNUMBER(S715),"Review: NOT unit verified",IF(AE715="No match","No EIA match",IF(AF715="Unconfirmed","Unconfirmed EIA candidate","")))</f>
        <v>Review: NOT unit verified</v>
      </c>
      <c r="AA715" s="26">
        <v>1</v>
      </c>
      <c r="AB715" t="s">
        <v>143</v>
      </c>
      <c r="AC715" t="s">
        <v>949</v>
      </c>
      <c r="AD715" s="26">
        <v>125.2</v>
      </c>
      <c r="AE715" t="s">
        <v>120</v>
      </c>
      <c r="AF715" t="s">
        <v>121</v>
      </c>
      <c r="AG715" s="27">
        <v>8.4847000000000001</v>
      </c>
      <c r="AH715" s="34">
        <f t="shared" si="28"/>
        <v>109326.99999999996</v>
      </c>
      <c r="AI715">
        <f t="shared" si="27"/>
        <v>68272.797236184153</v>
      </c>
      <c r="AJ715" t="b" cm="1">
        <f t="array" ref="AJ715">OR(D715=$AT$2:$AT$8)</f>
        <v>0</v>
      </c>
    </row>
    <row r="716" spans="1:36" x14ac:dyDescent="0.25">
      <c r="A716" s="2" t="s">
        <v>953</v>
      </c>
      <c r="B716" s="3">
        <v>48</v>
      </c>
      <c r="C716" s="2" t="s">
        <v>136</v>
      </c>
      <c r="D716" s="2" t="s">
        <v>136</v>
      </c>
      <c r="E716" s="2" t="s">
        <v>244</v>
      </c>
      <c r="F716" s="4" t="s">
        <v>138</v>
      </c>
      <c r="G716" s="4" t="s">
        <v>245</v>
      </c>
      <c r="H716" s="5">
        <v>6.5</v>
      </c>
      <c r="I716" s="5">
        <v>7.2</v>
      </c>
      <c r="J716" s="5">
        <v>8.1999999999999993</v>
      </c>
      <c r="K716" s="4" t="s">
        <v>111</v>
      </c>
      <c r="L716" s="4" t="s">
        <v>112</v>
      </c>
      <c r="M716" s="6">
        <f>IF(OR(B716="",I716=""),"",B716*I716)</f>
        <v>345.6</v>
      </c>
      <c r="N716" s="25" t="s">
        <v>113</v>
      </c>
      <c r="O716" s="26">
        <v>3176</v>
      </c>
      <c r="P716" s="9" t="s">
        <v>948</v>
      </c>
      <c r="Q716" s="27">
        <v>232519</v>
      </c>
      <c r="R716" s="27">
        <v>1972850</v>
      </c>
      <c r="S716" s="23">
        <f>IF(AND(ISNUMBER(Q716),Q716&gt;0,ISNUMBER(R716),R716&gt;0),R716/Q716,"")</f>
        <v>8.4846829721442116</v>
      </c>
      <c r="T716" s="9" t="s">
        <v>115</v>
      </c>
      <c r="U716" s="9" t="s">
        <v>331</v>
      </c>
      <c r="V716" s="9" t="s">
        <v>21</v>
      </c>
      <c r="W716" s="9" t="s">
        <v>117</v>
      </c>
      <c r="X716" s="23">
        <f>IF(ISNUMBER(S716),S716,IF(ISNUMBER(I716),I716,""))</f>
        <v>8.4846829721442116</v>
      </c>
      <c r="Y716" t="str">
        <f>IF(ISNUMBER(S716),"2025 EIA-923 plant/group proxy",IF(ISNUMBER(I716),"Technology estimate","No thermal heat rate"))</f>
        <v>2025 EIA-923 plant/group proxy</v>
      </c>
      <c r="Z716" t="str">
        <f>IF(ISNUMBER(S716),"Review: NOT unit verified",IF(AE716="No match","No EIA match",IF(AF716="Unconfirmed","Unconfirmed EIA candidate","")))</f>
        <v>Review: NOT unit verified</v>
      </c>
      <c r="AA716" s="26">
        <v>1</v>
      </c>
      <c r="AB716" t="s">
        <v>143</v>
      </c>
      <c r="AC716" t="s">
        <v>949</v>
      </c>
      <c r="AD716" s="26">
        <v>125.2</v>
      </c>
      <c r="AE716" t="s">
        <v>120</v>
      </c>
      <c r="AF716" t="s">
        <v>121</v>
      </c>
      <c r="AG716" s="27">
        <v>8.4847000000000001</v>
      </c>
      <c r="AH716" s="34">
        <f t="shared" si="28"/>
        <v>109374.99999999996</v>
      </c>
      <c r="AI716">
        <f t="shared" si="27"/>
        <v>68302.772395726963</v>
      </c>
      <c r="AJ716" t="b" cm="1">
        <f t="array" ref="AJ716">OR(D716=$AT$2:$AT$8)</f>
        <v>0</v>
      </c>
    </row>
    <row r="717" spans="1:36" x14ac:dyDescent="0.25">
      <c r="A717" s="2" t="s">
        <v>954</v>
      </c>
      <c r="B717" s="3">
        <v>48</v>
      </c>
      <c r="C717" s="2" t="s">
        <v>136</v>
      </c>
      <c r="D717" s="2" t="s">
        <v>136</v>
      </c>
      <c r="E717" s="2" t="s">
        <v>244</v>
      </c>
      <c r="F717" s="4" t="s">
        <v>138</v>
      </c>
      <c r="G717" s="4" t="s">
        <v>245</v>
      </c>
      <c r="H717" s="5">
        <v>6.5</v>
      </c>
      <c r="I717" s="5">
        <v>7.2</v>
      </c>
      <c r="J717" s="5">
        <v>8.1999999999999993</v>
      </c>
      <c r="K717" s="4" t="s">
        <v>111</v>
      </c>
      <c r="L717" s="4" t="s">
        <v>112</v>
      </c>
      <c r="M717" s="6">
        <f>IF(OR(B717="",I717=""),"",B717*I717)</f>
        <v>345.6</v>
      </c>
      <c r="N717" s="25" t="s">
        <v>113</v>
      </c>
      <c r="O717" s="26">
        <v>3176</v>
      </c>
      <c r="P717" s="9" t="s">
        <v>948</v>
      </c>
      <c r="Q717" s="27">
        <v>232519</v>
      </c>
      <c r="R717" s="27">
        <v>1972850</v>
      </c>
      <c r="S717" s="23">
        <f>IF(AND(ISNUMBER(Q717),Q717&gt;0,ISNUMBER(R717),R717&gt;0),R717/Q717,"")</f>
        <v>8.4846829721442116</v>
      </c>
      <c r="T717" s="9" t="s">
        <v>115</v>
      </c>
      <c r="U717" s="9" t="s">
        <v>331</v>
      </c>
      <c r="V717" s="9" t="s">
        <v>21</v>
      </c>
      <c r="W717" s="9" t="s">
        <v>117</v>
      </c>
      <c r="X717" s="23">
        <f>IF(ISNUMBER(S717),S717,IF(ISNUMBER(I717),I717,""))</f>
        <v>8.4846829721442116</v>
      </c>
      <c r="Y717" t="str">
        <f>IF(ISNUMBER(S717),"2025 EIA-923 plant/group proxy",IF(ISNUMBER(I717),"Technology estimate","No thermal heat rate"))</f>
        <v>2025 EIA-923 plant/group proxy</v>
      </c>
      <c r="Z717" t="str">
        <f>IF(ISNUMBER(S717),"Review: NOT unit verified",IF(AE717="No match","No EIA match",IF(AF717="Unconfirmed","Unconfirmed EIA candidate","")))</f>
        <v>Review: NOT unit verified</v>
      </c>
      <c r="AA717" s="26">
        <v>1</v>
      </c>
      <c r="AB717" t="s">
        <v>143</v>
      </c>
      <c r="AC717" t="s">
        <v>949</v>
      </c>
      <c r="AD717" s="26">
        <v>125.2</v>
      </c>
      <c r="AE717" t="s">
        <v>120</v>
      </c>
      <c r="AF717" t="s">
        <v>121</v>
      </c>
      <c r="AG717" s="27">
        <v>8.4847000000000001</v>
      </c>
      <c r="AH717" s="34">
        <f t="shared" si="28"/>
        <v>109422.99999999996</v>
      </c>
      <c r="AI717">
        <f t="shared" si="27"/>
        <v>68332.747555269772</v>
      </c>
      <c r="AJ717" t="b" cm="1">
        <f t="array" ref="AJ717">OR(D717=$AT$2:$AT$8)</f>
        <v>0</v>
      </c>
    </row>
    <row r="718" spans="1:36" x14ac:dyDescent="0.25">
      <c r="A718" s="2" t="s">
        <v>903</v>
      </c>
      <c r="B718" s="3">
        <v>126</v>
      </c>
      <c r="C718" s="2" t="s">
        <v>68</v>
      </c>
      <c r="D718" s="2" t="s">
        <v>58</v>
      </c>
      <c r="E718" s="2" t="s">
        <v>213</v>
      </c>
      <c r="F718" s="4" t="s">
        <v>126</v>
      </c>
      <c r="G718" s="4" t="s">
        <v>214</v>
      </c>
      <c r="H718" s="5">
        <v>6.6</v>
      </c>
      <c r="I718" s="5">
        <v>7.4</v>
      </c>
      <c r="J718" s="5">
        <v>8.5</v>
      </c>
      <c r="K718" s="4" t="s">
        <v>111</v>
      </c>
      <c r="L718" s="4" t="s">
        <v>128</v>
      </c>
      <c r="M718" s="6">
        <f>IF(OR(B718="",I718=""),"",B718*I718)</f>
        <v>932.40000000000009</v>
      </c>
      <c r="N718" s="25" t="s">
        <v>113</v>
      </c>
      <c r="O718" s="26">
        <v>7153</v>
      </c>
      <c r="P718" s="9" t="s">
        <v>904</v>
      </c>
      <c r="Q718" s="27">
        <v>2178940.0040000002</v>
      </c>
      <c r="R718" s="27">
        <v>18501741</v>
      </c>
      <c r="S718" s="23">
        <f>IF(AND(ISNUMBER(Q718),Q718&gt;0,ISNUMBER(R718),R718&gt;0),R718/Q718,"")</f>
        <v>8.4911658724128873</v>
      </c>
      <c r="T718" s="9" t="s">
        <v>115</v>
      </c>
      <c r="U718" s="9" t="s">
        <v>239</v>
      </c>
      <c r="V718" s="9" t="s">
        <v>21</v>
      </c>
      <c r="W718" s="9" t="s">
        <v>905</v>
      </c>
      <c r="X718" s="23">
        <f>IF(ISNUMBER(S718),S718,IF(ISNUMBER(I718),I718,""))</f>
        <v>8.4911658724128873</v>
      </c>
      <c r="Y718" t="str">
        <f>IF(ISNUMBER(S718),"2025 EIA-923 plant/group proxy",IF(ISNUMBER(I718),"Technology estimate","No thermal heat rate"))</f>
        <v>2025 EIA-923 plant/group proxy</v>
      </c>
      <c r="Z718" t="str">
        <f>IF(ISNUMBER(S718),"Review: NOT unit verified",IF(AE718="No match","No EIA match",IF(AF718="Unconfirmed","Unconfirmed EIA candidate","")))</f>
        <v>Review: NOT unit verified</v>
      </c>
      <c r="AA718" s="26">
        <v>1</v>
      </c>
      <c r="AB718" t="s">
        <v>672</v>
      </c>
      <c r="AC718" t="s">
        <v>906</v>
      </c>
      <c r="AD718" s="26">
        <v>1128</v>
      </c>
      <c r="AE718" t="s">
        <v>120</v>
      </c>
      <c r="AF718" t="s">
        <v>121</v>
      </c>
      <c r="AG718" s="27">
        <v>8.4911999999999992</v>
      </c>
      <c r="AH718" s="34">
        <f t="shared" si="28"/>
        <v>109548.99999999996</v>
      </c>
      <c r="AI718">
        <f t="shared" si="27"/>
        <v>68411.432349069655</v>
      </c>
      <c r="AJ718" t="b" cm="1">
        <f t="array" ref="AJ718">OR(D718=$AT$2:$AT$8)</f>
        <v>0</v>
      </c>
    </row>
    <row r="719" spans="1:36" x14ac:dyDescent="0.25">
      <c r="A719" s="2" t="s">
        <v>907</v>
      </c>
      <c r="B719" s="3">
        <v>126</v>
      </c>
      <c r="C719" s="2" t="s">
        <v>68</v>
      </c>
      <c r="D719" s="2" t="s">
        <v>58</v>
      </c>
      <c r="E719" s="2" t="s">
        <v>213</v>
      </c>
      <c r="F719" s="4" t="s">
        <v>126</v>
      </c>
      <c r="G719" s="4" t="s">
        <v>214</v>
      </c>
      <c r="H719" s="5">
        <v>6.6</v>
      </c>
      <c r="I719" s="5">
        <v>7.4</v>
      </c>
      <c r="J719" s="5">
        <v>8.5</v>
      </c>
      <c r="K719" s="4" t="s">
        <v>111</v>
      </c>
      <c r="L719" s="4" t="s">
        <v>128</v>
      </c>
      <c r="M719" s="6">
        <f>IF(OR(B719="",I719=""),"",B719*I719)</f>
        <v>932.40000000000009</v>
      </c>
      <c r="N719" s="25" t="s">
        <v>113</v>
      </c>
      <c r="O719" s="26">
        <v>7153</v>
      </c>
      <c r="P719" s="9" t="s">
        <v>904</v>
      </c>
      <c r="Q719" s="27">
        <v>2178940.0040000002</v>
      </c>
      <c r="R719" s="27">
        <v>18501741</v>
      </c>
      <c r="S719" s="23">
        <f>IF(AND(ISNUMBER(Q719),Q719&gt;0,ISNUMBER(R719),R719&gt;0),R719/Q719,"")</f>
        <v>8.4911658724128873</v>
      </c>
      <c r="T719" s="9" t="s">
        <v>115</v>
      </c>
      <c r="U719" s="9" t="s">
        <v>239</v>
      </c>
      <c r="V719" s="9" t="s">
        <v>21</v>
      </c>
      <c r="W719" s="9" t="s">
        <v>905</v>
      </c>
      <c r="X719" s="23">
        <f>IF(ISNUMBER(S719),S719,IF(ISNUMBER(I719),I719,""))</f>
        <v>8.4911658724128873</v>
      </c>
      <c r="Y719" t="str">
        <f>IF(ISNUMBER(S719),"2025 EIA-923 plant/group proxy",IF(ISNUMBER(I719),"Technology estimate","No thermal heat rate"))</f>
        <v>2025 EIA-923 plant/group proxy</v>
      </c>
      <c r="Z719" t="str">
        <f>IF(ISNUMBER(S719),"Review: NOT unit verified",IF(AE719="No match","No EIA match",IF(AF719="Unconfirmed","Unconfirmed EIA candidate","")))</f>
        <v>Review: NOT unit verified</v>
      </c>
      <c r="AA719" s="26">
        <v>1</v>
      </c>
      <c r="AB719" t="s">
        <v>672</v>
      </c>
      <c r="AC719" t="s">
        <v>906</v>
      </c>
      <c r="AD719" s="26">
        <v>1128</v>
      </c>
      <c r="AE719" t="s">
        <v>120</v>
      </c>
      <c r="AF719" t="s">
        <v>121</v>
      </c>
      <c r="AG719" s="27">
        <v>8.4911999999999992</v>
      </c>
      <c r="AH719" s="34">
        <f t="shared" si="28"/>
        <v>109674.99999999996</v>
      </c>
      <c r="AI719">
        <f t="shared" si="27"/>
        <v>68490.117142869523</v>
      </c>
      <c r="AJ719" t="b" cm="1">
        <f t="array" ref="AJ719">OR(D719=$AT$2:$AT$8)</f>
        <v>0</v>
      </c>
    </row>
    <row r="720" spans="1:36" x14ac:dyDescent="0.25">
      <c r="A720" s="2" t="s">
        <v>908</v>
      </c>
      <c r="B720" s="3">
        <v>126</v>
      </c>
      <c r="C720" s="2" t="s">
        <v>68</v>
      </c>
      <c r="D720" s="2" t="s">
        <v>58</v>
      </c>
      <c r="E720" s="2" t="s">
        <v>213</v>
      </c>
      <c r="F720" s="4" t="s">
        <v>126</v>
      </c>
      <c r="G720" s="4" t="s">
        <v>214</v>
      </c>
      <c r="H720" s="5">
        <v>6.6</v>
      </c>
      <c r="I720" s="5">
        <v>7.4</v>
      </c>
      <c r="J720" s="5">
        <v>8.5</v>
      </c>
      <c r="K720" s="4" t="s">
        <v>111</v>
      </c>
      <c r="L720" s="4" t="s">
        <v>128</v>
      </c>
      <c r="M720" s="6">
        <f>IF(OR(B720="",I720=""),"",B720*I720)</f>
        <v>932.40000000000009</v>
      </c>
      <c r="N720" s="25" t="s">
        <v>113</v>
      </c>
      <c r="O720" s="26">
        <v>7153</v>
      </c>
      <c r="P720" s="9" t="s">
        <v>904</v>
      </c>
      <c r="Q720" s="27">
        <v>2178940.0040000002</v>
      </c>
      <c r="R720" s="27">
        <v>18501741</v>
      </c>
      <c r="S720" s="23">
        <f>IF(AND(ISNUMBER(Q720),Q720&gt;0,ISNUMBER(R720),R720&gt;0),R720/Q720,"")</f>
        <v>8.4911658724128873</v>
      </c>
      <c r="T720" s="9" t="s">
        <v>115</v>
      </c>
      <c r="U720" s="9" t="s">
        <v>239</v>
      </c>
      <c r="V720" s="9" t="s">
        <v>21</v>
      </c>
      <c r="W720" s="9" t="s">
        <v>905</v>
      </c>
      <c r="X720" s="23">
        <f>IF(ISNUMBER(S720),S720,IF(ISNUMBER(I720),I720,""))</f>
        <v>8.4911658724128873</v>
      </c>
      <c r="Y720" t="str">
        <f>IF(ISNUMBER(S720),"2025 EIA-923 plant/group proxy",IF(ISNUMBER(I720),"Technology estimate","No thermal heat rate"))</f>
        <v>2025 EIA-923 plant/group proxy</v>
      </c>
      <c r="Z720" t="str">
        <f>IF(ISNUMBER(S720),"Review: NOT unit verified",IF(AE720="No match","No EIA match",IF(AF720="Unconfirmed","Unconfirmed EIA candidate","")))</f>
        <v>Review: NOT unit verified</v>
      </c>
      <c r="AA720" s="26">
        <v>1</v>
      </c>
      <c r="AB720" t="s">
        <v>672</v>
      </c>
      <c r="AC720" t="s">
        <v>906</v>
      </c>
      <c r="AD720" s="26">
        <v>1128</v>
      </c>
      <c r="AE720" t="s">
        <v>120</v>
      </c>
      <c r="AF720" t="s">
        <v>121</v>
      </c>
      <c r="AG720" s="27">
        <v>8.4911999999999992</v>
      </c>
      <c r="AH720" s="34">
        <f t="shared" si="28"/>
        <v>109800.99999999996</v>
      </c>
      <c r="AI720">
        <f t="shared" si="27"/>
        <v>68568.801936669406</v>
      </c>
      <c r="AJ720" t="b" cm="1">
        <f t="array" ref="AJ720">OR(D720=$AT$2:$AT$8)</f>
        <v>0</v>
      </c>
    </row>
    <row r="721" spans="1:36" x14ac:dyDescent="0.25">
      <c r="A721" s="2" t="s">
        <v>909</v>
      </c>
      <c r="B721" s="3">
        <v>182.3</v>
      </c>
      <c r="C721" s="2" t="s">
        <v>68</v>
      </c>
      <c r="D721" s="2" t="s">
        <v>58</v>
      </c>
      <c r="E721" s="2" t="s">
        <v>213</v>
      </c>
      <c r="F721" s="4" t="s">
        <v>126</v>
      </c>
      <c r="G721" s="4" t="s">
        <v>214</v>
      </c>
      <c r="H721" s="5">
        <v>6.6</v>
      </c>
      <c r="I721" s="5">
        <v>7.4</v>
      </c>
      <c r="J721" s="5">
        <v>8.5</v>
      </c>
      <c r="K721" s="4" t="s">
        <v>111</v>
      </c>
      <c r="L721" s="4" t="s">
        <v>128</v>
      </c>
      <c r="M721" s="6">
        <f>IF(OR(B721="",I721=""),"",B721*I721)</f>
        <v>1349.0200000000002</v>
      </c>
      <c r="N721" s="25" t="s">
        <v>113</v>
      </c>
      <c r="O721" s="26">
        <v>7153</v>
      </c>
      <c r="P721" s="9" t="s">
        <v>904</v>
      </c>
      <c r="Q721" s="27">
        <v>2178940.0040000002</v>
      </c>
      <c r="R721" s="27">
        <v>18501741</v>
      </c>
      <c r="S721" s="23">
        <f>IF(AND(ISNUMBER(Q721),Q721&gt;0,ISNUMBER(R721),R721&gt;0),R721/Q721,"")</f>
        <v>8.4911658724128873</v>
      </c>
      <c r="T721" s="9" t="s">
        <v>115</v>
      </c>
      <c r="U721" s="9" t="s">
        <v>239</v>
      </c>
      <c r="V721" s="9" t="s">
        <v>21</v>
      </c>
      <c r="W721" s="9" t="s">
        <v>905</v>
      </c>
      <c r="X721" s="23">
        <f>IF(ISNUMBER(S721),S721,IF(ISNUMBER(I721),I721,""))</f>
        <v>8.4911658724128873</v>
      </c>
      <c r="Y721" t="str">
        <f>IF(ISNUMBER(S721),"2025 EIA-923 plant/group proxy",IF(ISNUMBER(I721),"Technology estimate","No thermal heat rate"))</f>
        <v>2025 EIA-923 plant/group proxy</v>
      </c>
      <c r="Z721" t="str">
        <f>IF(ISNUMBER(S721),"Review: NOT unit verified",IF(AE721="No match","No EIA match",IF(AF721="Unconfirmed","Unconfirmed EIA candidate","")))</f>
        <v>Review: NOT unit verified</v>
      </c>
      <c r="AA721" s="26">
        <v>1</v>
      </c>
      <c r="AB721" t="s">
        <v>672</v>
      </c>
      <c r="AC721" t="s">
        <v>906</v>
      </c>
      <c r="AD721" s="26">
        <v>1128</v>
      </c>
      <c r="AE721" t="s">
        <v>120</v>
      </c>
      <c r="AF721" t="s">
        <v>121</v>
      </c>
      <c r="AG721" s="27">
        <v>8.4911999999999992</v>
      </c>
      <c r="AH721" s="34">
        <f t="shared" si="28"/>
        <v>109983.29999999996</v>
      </c>
      <c r="AI721">
        <f t="shared" si="27"/>
        <v>68682.645094683045</v>
      </c>
      <c r="AJ721" t="b" cm="1">
        <f t="array" ref="AJ721">OR(D721=$AT$2:$AT$8)</f>
        <v>0</v>
      </c>
    </row>
    <row r="722" spans="1:36" x14ac:dyDescent="0.25">
      <c r="A722" s="2" t="s">
        <v>910</v>
      </c>
      <c r="B722" s="3">
        <v>126</v>
      </c>
      <c r="C722" s="2" t="s">
        <v>68</v>
      </c>
      <c r="D722" s="2" t="s">
        <v>58</v>
      </c>
      <c r="E722" s="2" t="s">
        <v>213</v>
      </c>
      <c r="F722" s="4" t="s">
        <v>126</v>
      </c>
      <c r="G722" s="4" t="s">
        <v>214</v>
      </c>
      <c r="H722" s="5">
        <v>6.6</v>
      </c>
      <c r="I722" s="5">
        <v>7.4</v>
      </c>
      <c r="J722" s="5">
        <v>8.5</v>
      </c>
      <c r="K722" s="4" t="s">
        <v>111</v>
      </c>
      <c r="L722" s="4" t="s">
        <v>128</v>
      </c>
      <c r="M722" s="6">
        <f>IF(OR(B722="",I722=""),"",B722*I722)</f>
        <v>932.40000000000009</v>
      </c>
      <c r="N722" s="25" t="s">
        <v>113</v>
      </c>
      <c r="O722" s="26">
        <v>7153</v>
      </c>
      <c r="P722" s="9" t="s">
        <v>904</v>
      </c>
      <c r="Q722" s="27">
        <v>2178940.0040000002</v>
      </c>
      <c r="R722" s="27">
        <v>18501741</v>
      </c>
      <c r="S722" s="23">
        <f>IF(AND(ISNUMBER(Q722),Q722&gt;0,ISNUMBER(R722),R722&gt;0),R722/Q722,"")</f>
        <v>8.4911658724128873</v>
      </c>
      <c r="T722" s="9" t="s">
        <v>115</v>
      </c>
      <c r="U722" s="9" t="s">
        <v>239</v>
      </c>
      <c r="V722" s="9" t="s">
        <v>21</v>
      </c>
      <c r="W722" s="9" t="s">
        <v>905</v>
      </c>
      <c r="X722" s="23">
        <f>IF(ISNUMBER(S722),S722,IF(ISNUMBER(I722),I722,""))</f>
        <v>8.4911658724128873</v>
      </c>
      <c r="Y722" t="str">
        <f>IF(ISNUMBER(S722),"2025 EIA-923 plant/group proxy",IF(ISNUMBER(I722),"Technology estimate","No thermal heat rate"))</f>
        <v>2025 EIA-923 plant/group proxy</v>
      </c>
      <c r="Z722" t="str">
        <f>IF(ISNUMBER(S722),"Review: NOT unit verified",IF(AE722="No match","No EIA match",IF(AF722="Unconfirmed","Unconfirmed EIA candidate","")))</f>
        <v>Review: NOT unit verified</v>
      </c>
      <c r="AA722" s="26">
        <v>1</v>
      </c>
      <c r="AB722" t="s">
        <v>672</v>
      </c>
      <c r="AC722" t="s">
        <v>906</v>
      </c>
      <c r="AD722" s="26">
        <v>1128</v>
      </c>
      <c r="AE722" t="s">
        <v>120</v>
      </c>
      <c r="AF722" t="s">
        <v>121</v>
      </c>
      <c r="AG722" s="27">
        <v>8.4911999999999992</v>
      </c>
      <c r="AH722" s="34">
        <f t="shared" si="28"/>
        <v>110109.29999999996</v>
      </c>
      <c r="AI722">
        <f t="shared" si="27"/>
        <v>68761.329888482913</v>
      </c>
      <c r="AJ722" t="b" cm="1">
        <f t="array" ref="AJ722">OR(D722=$AT$2:$AT$8)</f>
        <v>0</v>
      </c>
    </row>
    <row r="723" spans="1:36" x14ac:dyDescent="0.25">
      <c r="A723" s="2" t="s">
        <v>911</v>
      </c>
      <c r="B723" s="3">
        <v>126</v>
      </c>
      <c r="C723" s="2" t="s">
        <v>68</v>
      </c>
      <c r="D723" s="2" t="s">
        <v>58</v>
      </c>
      <c r="E723" s="2" t="s">
        <v>213</v>
      </c>
      <c r="F723" s="4" t="s">
        <v>126</v>
      </c>
      <c r="G723" s="4" t="s">
        <v>214</v>
      </c>
      <c r="H723" s="5">
        <v>6.6</v>
      </c>
      <c r="I723" s="5">
        <v>7.4</v>
      </c>
      <c r="J723" s="5">
        <v>8.5</v>
      </c>
      <c r="K723" s="4" t="s">
        <v>111</v>
      </c>
      <c r="L723" s="4" t="s">
        <v>128</v>
      </c>
      <c r="M723" s="6">
        <f>IF(OR(B723="",I723=""),"",B723*I723)</f>
        <v>932.40000000000009</v>
      </c>
      <c r="N723" s="25" t="s">
        <v>113</v>
      </c>
      <c r="O723" s="26">
        <v>7153</v>
      </c>
      <c r="P723" s="9" t="s">
        <v>904</v>
      </c>
      <c r="Q723" s="27">
        <v>2178940.0040000002</v>
      </c>
      <c r="R723" s="27">
        <v>18501741</v>
      </c>
      <c r="S723" s="23">
        <f>IF(AND(ISNUMBER(Q723),Q723&gt;0,ISNUMBER(R723),R723&gt;0),R723/Q723,"")</f>
        <v>8.4911658724128873</v>
      </c>
      <c r="T723" s="9" t="s">
        <v>115</v>
      </c>
      <c r="U723" s="9" t="s">
        <v>239</v>
      </c>
      <c r="V723" s="9" t="s">
        <v>21</v>
      </c>
      <c r="W723" s="9" t="s">
        <v>905</v>
      </c>
      <c r="X723" s="23">
        <f>IF(ISNUMBER(S723),S723,IF(ISNUMBER(I723),I723,""))</f>
        <v>8.4911658724128873</v>
      </c>
      <c r="Y723" t="str">
        <f>IF(ISNUMBER(S723),"2025 EIA-923 plant/group proxy",IF(ISNUMBER(I723),"Technology estimate","No thermal heat rate"))</f>
        <v>2025 EIA-923 plant/group proxy</v>
      </c>
      <c r="Z723" t="str">
        <f>IF(ISNUMBER(S723),"Review: NOT unit verified",IF(AE723="No match","No EIA match",IF(AF723="Unconfirmed","Unconfirmed EIA candidate","")))</f>
        <v>Review: NOT unit verified</v>
      </c>
      <c r="AA723" s="26">
        <v>1</v>
      </c>
      <c r="AB723" t="s">
        <v>672</v>
      </c>
      <c r="AC723" t="s">
        <v>906</v>
      </c>
      <c r="AD723" s="26">
        <v>1128</v>
      </c>
      <c r="AE723" t="s">
        <v>120</v>
      </c>
      <c r="AF723" t="s">
        <v>121</v>
      </c>
      <c r="AG723" s="27">
        <v>8.4911999999999992</v>
      </c>
      <c r="AH723" s="34">
        <f t="shared" si="28"/>
        <v>110235.29999999996</v>
      </c>
      <c r="AI723">
        <f t="shared" si="27"/>
        <v>68840.014682282796</v>
      </c>
      <c r="AJ723" t="b" cm="1">
        <f t="array" ref="AJ723">OR(D723=$AT$2:$AT$8)</f>
        <v>0</v>
      </c>
    </row>
    <row r="724" spans="1:36" x14ac:dyDescent="0.25">
      <c r="A724" s="2" t="s">
        <v>912</v>
      </c>
      <c r="B724" s="3">
        <v>126</v>
      </c>
      <c r="C724" s="2" t="s">
        <v>68</v>
      </c>
      <c r="D724" s="2" t="s">
        <v>58</v>
      </c>
      <c r="E724" s="2" t="s">
        <v>213</v>
      </c>
      <c r="F724" s="4" t="s">
        <v>126</v>
      </c>
      <c r="G724" s="4" t="s">
        <v>214</v>
      </c>
      <c r="H724" s="5">
        <v>6.6</v>
      </c>
      <c r="I724" s="5">
        <v>7.4</v>
      </c>
      <c r="J724" s="5">
        <v>8.5</v>
      </c>
      <c r="K724" s="4" t="s">
        <v>111</v>
      </c>
      <c r="L724" s="4" t="s">
        <v>128</v>
      </c>
      <c r="M724" s="6">
        <f>IF(OR(B724="",I724=""),"",B724*I724)</f>
        <v>932.40000000000009</v>
      </c>
      <c r="N724" s="25" t="s">
        <v>113</v>
      </c>
      <c r="O724" s="26">
        <v>7153</v>
      </c>
      <c r="P724" s="9" t="s">
        <v>904</v>
      </c>
      <c r="Q724" s="27">
        <v>2178940.0040000002</v>
      </c>
      <c r="R724" s="27">
        <v>18501741</v>
      </c>
      <c r="S724" s="23">
        <f>IF(AND(ISNUMBER(Q724),Q724&gt;0,ISNUMBER(R724),R724&gt;0),R724/Q724,"")</f>
        <v>8.4911658724128873</v>
      </c>
      <c r="T724" s="9" t="s">
        <v>115</v>
      </c>
      <c r="U724" s="9" t="s">
        <v>239</v>
      </c>
      <c r="V724" s="9" t="s">
        <v>21</v>
      </c>
      <c r="W724" s="9" t="s">
        <v>905</v>
      </c>
      <c r="X724" s="23">
        <f>IF(ISNUMBER(S724),S724,IF(ISNUMBER(I724),I724,""))</f>
        <v>8.4911658724128873</v>
      </c>
      <c r="Y724" t="str">
        <f>IF(ISNUMBER(S724),"2025 EIA-923 plant/group proxy",IF(ISNUMBER(I724),"Technology estimate","No thermal heat rate"))</f>
        <v>2025 EIA-923 plant/group proxy</v>
      </c>
      <c r="Z724" t="str">
        <f>IF(ISNUMBER(S724),"Review: NOT unit verified",IF(AE724="No match","No EIA match",IF(AF724="Unconfirmed","Unconfirmed EIA candidate","")))</f>
        <v>Review: NOT unit verified</v>
      </c>
      <c r="AA724" s="26">
        <v>1</v>
      </c>
      <c r="AB724" t="s">
        <v>672</v>
      </c>
      <c r="AC724" t="s">
        <v>906</v>
      </c>
      <c r="AD724" s="26">
        <v>1128</v>
      </c>
      <c r="AE724" t="s">
        <v>120</v>
      </c>
      <c r="AF724" t="s">
        <v>121</v>
      </c>
      <c r="AG724" s="27">
        <v>8.4911999999999992</v>
      </c>
      <c r="AH724" s="34">
        <f t="shared" si="28"/>
        <v>110361.29999999996</v>
      </c>
      <c r="AI724">
        <f t="shared" si="27"/>
        <v>68918.699476082678</v>
      </c>
      <c r="AJ724" t="b" cm="1">
        <f t="array" ref="AJ724">OR(D724=$AT$2:$AT$8)</f>
        <v>0</v>
      </c>
    </row>
    <row r="725" spans="1:36" x14ac:dyDescent="0.25">
      <c r="A725" s="2" t="s">
        <v>913</v>
      </c>
      <c r="B725" s="3">
        <v>187</v>
      </c>
      <c r="C725" s="2" t="s">
        <v>68</v>
      </c>
      <c r="D725" s="2" t="s">
        <v>58</v>
      </c>
      <c r="E725" s="2" t="s">
        <v>213</v>
      </c>
      <c r="F725" s="4" t="s">
        <v>126</v>
      </c>
      <c r="G725" s="4" t="s">
        <v>214</v>
      </c>
      <c r="H725" s="5">
        <v>6.6</v>
      </c>
      <c r="I725" s="5">
        <v>7.4</v>
      </c>
      <c r="J725" s="5">
        <v>8.5</v>
      </c>
      <c r="K725" s="4" t="s">
        <v>111</v>
      </c>
      <c r="L725" s="4" t="s">
        <v>128</v>
      </c>
      <c r="M725" s="6">
        <f>IF(OR(B725="",I725=""),"",B725*I725)</f>
        <v>1383.8</v>
      </c>
      <c r="N725" s="25" t="s">
        <v>113</v>
      </c>
      <c r="O725" s="26">
        <v>7153</v>
      </c>
      <c r="P725" s="9" t="s">
        <v>904</v>
      </c>
      <c r="Q725" s="27">
        <v>2178940.0040000002</v>
      </c>
      <c r="R725" s="27">
        <v>18501741</v>
      </c>
      <c r="S725" s="23">
        <f>IF(AND(ISNUMBER(Q725),Q725&gt;0,ISNUMBER(R725),R725&gt;0),R725/Q725,"")</f>
        <v>8.4911658724128873</v>
      </c>
      <c r="T725" s="9" t="s">
        <v>115</v>
      </c>
      <c r="U725" s="9" t="s">
        <v>239</v>
      </c>
      <c r="V725" s="9" t="s">
        <v>21</v>
      </c>
      <c r="W725" s="9" t="s">
        <v>905</v>
      </c>
      <c r="X725" s="23">
        <f>IF(ISNUMBER(S725),S725,IF(ISNUMBER(I725),I725,""))</f>
        <v>8.4911658724128873</v>
      </c>
      <c r="Y725" t="str">
        <f>IF(ISNUMBER(S725),"2025 EIA-923 plant/group proxy",IF(ISNUMBER(I725),"Technology estimate","No thermal heat rate"))</f>
        <v>2025 EIA-923 plant/group proxy</v>
      </c>
      <c r="Z725" t="str">
        <f>IF(ISNUMBER(S725),"Review: NOT unit verified",IF(AE725="No match","No EIA match",IF(AF725="Unconfirmed","Unconfirmed EIA candidate","")))</f>
        <v>Review: NOT unit verified</v>
      </c>
      <c r="AA725" s="26">
        <v>1</v>
      </c>
      <c r="AB725" t="s">
        <v>672</v>
      </c>
      <c r="AC725" t="s">
        <v>906</v>
      </c>
      <c r="AD725" s="26">
        <v>1128</v>
      </c>
      <c r="AE725" t="s">
        <v>120</v>
      </c>
      <c r="AF725" t="s">
        <v>121</v>
      </c>
      <c r="AG725" s="27">
        <v>8.4911999999999992</v>
      </c>
      <c r="AH725" s="34">
        <f t="shared" si="28"/>
        <v>110548.29999999996</v>
      </c>
      <c r="AI725">
        <f t="shared" si="27"/>
        <v>69035.477701801545</v>
      </c>
      <c r="AJ725" t="b" cm="1">
        <f t="array" ref="AJ725">OR(D725=$AT$2:$AT$8)</f>
        <v>0</v>
      </c>
    </row>
    <row r="726" spans="1:36" x14ac:dyDescent="0.25">
      <c r="A726" s="2" t="s">
        <v>1284</v>
      </c>
      <c r="B726" s="3">
        <v>710</v>
      </c>
      <c r="C726" s="2" t="s">
        <v>80</v>
      </c>
      <c r="D726" s="2" t="s">
        <v>81</v>
      </c>
      <c r="E726" s="2" t="s">
        <v>109</v>
      </c>
      <c r="F726" s="4" t="s">
        <v>109</v>
      </c>
      <c r="G726" s="4" t="s">
        <v>110</v>
      </c>
      <c r="H726" s="5">
        <v>9</v>
      </c>
      <c r="I726" s="5">
        <v>10.3</v>
      </c>
      <c r="J726" s="5">
        <v>12</v>
      </c>
      <c r="K726" s="4" t="s">
        <v>111</v>
      </c>
      <c r="L726" s="4" t="s">
        <v>112</v>
      </c>
      <c r="M726" s="6">
        <f>IF(OR(B726="",I726=""),"",B726*I726)</f>
        <v>7313.0000000000009</v>
      </c>
      <c r="N726" s="28" t="s">
        <v>113</v>
      </c>
      <c r="O726" s="26">
        <v>56671</v>
      </c>
      <c r="P726" s="9" t="s">
        <v>1285</v>
      </c>
      <c r="Q726" s="27">
        <v>4615575</v>
      </c>
      <c r="R726" s="27">
        <v>40460006</v>
      </c>
      <c r="S726" s="23">
        <f>IF(AND(ISNUMBER(Q726),Q726&gt;0,ISNUMBER(R726),R726&gt;0),R726/Q726,"")</f>
        <v>8.7659730369455602</v>
      </c>
      <c r="T726" s="9" t="s">
        <v>115</v>
      </c>
      <c r="U726" s="9" t="s">
        <v>116</v>
      </c>
      <c r="V726" s="9" t="s">
        <v>21</v>
      </c>
      <c r="W726" s="9" t="s">
        <v>142</v>
      </c>
      <c r="X726" s="23">
        <f>IF(ISNUMBER(S726),S726,IF(ISNUMBER(I726),I726,""))</f>
        <v>8.7659730369455602</v>
      </c>
      <c r="Y726" t="str">
        <f>IF(ISNUMBER(S726),"2025 EIA-923 plant/group proxy",IF(ISNUMBER(I726),"Technology estimate","No thermal heat rate"))</f>
        <v>2025 EIA-923 plant/group proxy</v>
      </c>
      <c r="Z726" t="str">
        <f>IF(ISNUMBER(S726),"Review: NOT unit verified",IF(AE726="No match","No EIA match",IF(AF726="Unconfirmed","Unconfirmed EIA candidate","")))</f>
        <v>Review: NOT unit verified</v>
      </c>
      <c r="AA726" s="26">
        <v>0.64590000000000003</v>
      </c>
      <c r="AB726" t="s">
        <v>118</v>
      </c>
      <c r="AC726" t="s">
        <v>1286</v>
      </c>
      <c r="AD726" s="26">
        <v>710</v>
      </c>
      <c r="AE726" t="s">
        <v>120</v>
      </c>
      <c r="AF726" t="s">
        <v>145</v>
      </c>
      <c r="AG726" s="27">
        <v>8.766</v>
      </c>
      <c r="AH726" s="34">
        <f t="shared" si="28"/>
        <v>111258.29999999996</v>
      </c>
      <c r="AI726">
        <f t="shared" si="27"/>
        <v>69478.860270038946</v>
      </c>
      <c r="AJ726" t="b" cm="1">
        <f t="array" ref="AJ726">OR(D726=$AT$2:$AT$8)</f>
        <v>0</v>
      </c>
    </row>
    <row r="727" spans="1:36" x14ac:dyDescent="0.25">
      <c r="A727" s="2" t="s">
        <v>629</v>
      </c>
      <c r="B727" s="3">
        <v>82</v>
      </c>
      <c r="C727" s="2" t="s">
        <v>228</v>
      </c>
      <c r="D727" s="2" t="s">
        <v>228</v>
      </c>
      <c r="E727" s="2" t="s">
        <v>244</v>
      </c>
      <c r="F727" s="4" t="s">
        <v>138</v>
      </c>
      <c r="G727" s="4" t="s">
        <v>245</v>
      </c>
      <c r="H727" s="5">
        <v>6.5</v>
      </c>
      <c r="I727" s="5">
        <v>7.2</v>
      </c>
      <c r="J727" s="5">
        <v>8.1999999999999993</v>
      </c>
      <c r="K727" s="4" t="s">
        <v>111</v>
      </c>
      <c r="L727" s="4" t="s">
        <v>112</v>
      </c>
      <c r="M727" s="6">
        <f>IF(OR(B727="",I727=""),"",B727*I727)</f>
        <v>590.4</v>
      </c>
      <c r="N727" s="25" t="s">
        <v>113</v>
      </c>
      <c r="O727" s="26">
        <v>50561</v>
      </c>
      <c r="P727" s="9" t="s">
        <v>630</v>
      </c>
      <c r="Q727" s="27">
        <v>204800</v>
      </c>
      <c r="R727" s="27">
        <v>1895303</v>
      </c>
      <c r="S727" s="23">
        <f>IF(AND(ISNUMBER(Q727),Q727&gt;0,ISNUMBER(R727),R727&gt;0),R727/Q727,"")</f>
        <v>9.2544091796874994</v>
      </c>
      <c r="T727" s="9" t="s">
        <v>115</v>
      </c>
      <c r="U727" s="9" t="s">
        <v>239</v>
      </c>
      <c r="V727" s="9" t="s">
        <v>21</v>
      </c>
      <c r="W727" s="9" t="s">
        <v>528</v>
      </c>
      <c r="X727" s="23">
        <f>IF(ISNUMBER(S727),S727,IF(ISNUMBER(I727),I727,""))</f>
        <v>9.2544091796874994</v>
      </c>
      <c r="Y727" t="str">
        <f>IF(ISNUMBER(S727),"2025 EIA-923 plant/group proxy",IF(ISNUMBER(I727),"Technology estimate","No thermal heat rate"))</f>
        <v>2025 EIA-923 plant/group proxy</v>
      </c>
      <c r="Z727" t="str">
        <f>IF(ISNUMBER(S727),"Review: NOT unit verified",IF(AE727="No match","No EIA match",IF(AF727="Unconfirmed","Unconfirmed EIA candidate","")))</f>
        <v>Review: NOT unit verified</v>
      </c>
      <c r="AA727" s="26">
        <v>1</v>
      </c>
      <c r="AB727" t="s">
        <v>241</v>
      </c>
      <c r="AC727" t="s">
        <v>542</v>
      </c>
      <c r="AD727" s="26">
        <v>244</v>
      </c>
      <c r="AE727" t="s">
        <v>120</v>
      </c>
      <c r="AF727" t="s">
        <v>121</v>
      </c>
      <c r="AG727" s="27">
        <v>9.2544000000000004</v>
      </c>
      <c r="AH727" s="34">
        <f t="shared" si="28"/>
        <v>111340.29999999996</v>
      </c>
      <c r="AI727">
        <f t="shared" si="27"/>
        <v>69530.067834257905</v>
      </c>
      <c r="AJ727" t="b" cm="1">
        <f t="array" ref="AJ727">OR(D727=$AT$2:$AT$8)</f>
        <v>1</v>
      </c>
    </row>
    <row r="728" spans="1:36" x14ac:dyDescent="0.25">
      <c r="A728" s="2" t="s">
        <v>631</v>
      </c>
      <c r="B728" s="3">
        <v>82</v>
      </c>
      <c r="C728" s="2" t="s">
        <v>228</v>
      </c>
      <c r="D728" s="2" t="s">
        <v>228</v>
      </c>
      <c r="E728" s="2" t="s">
        <v>244</v>
      </c>
      <c r="F728" s="4" t="s">
        <v>138</v>
      </c>
      <c r="G728" s="4" t="s">
        <v>245</v>
      </c>
      <c r="H728" s="5">
        <v>6.5</v>
      </c>
      <c r="I728" s="5">
        <v>7.2</v>
      </c>
      <c r="J728" s="5">
        <v>8.1999999999999993</v>
      </c>
      <c r="K728" s="4" t="s">
        <v>111</v>
      </c>
      <c r="L728" s="4" t="s">
        <v>112</v>
      </c>
      <c r="M728" s="6">
        <f>IF(OR(B728="",I728=""),"",B728*I728)</f>
        <v>590.4</v>
      </c>
      <c r="N728" s="25" t="s">
        <v>113</v>
      </c>
      <c r="O728" s="26">
        <v>50561</v>
      </c>
      <c r="P728" s="9" t="s">
        <v>630</v>
      </c>
      <c r="Q728" s="27">
        <v>204800</v>
      </c>
      <c r="R728" s="27">
        <v>1895303</v>
      </c>
      <c r="S728" s="23">
        <f>IF(AND(ISNUMBER(Q728),Q728&gt;0,ISNUMBER(R728),R728&gt;0),R728/Q728,"")</f>
        <v>9.2544091796874994</v>
      </c>
      <c r="T728" s="9" t="s">
        <v>115</v>
      </c>
      <c r="U728" s="9" t="s">
        <v>239</v>
      </c>
      <c r="V728" s="9" t="s">
        <v>21</v>
      </c>
      <c r="W728" s="9" t="s">
        <v>528</v>
      </c>
      <c r="X728" s="23">
        <f>IF(ISNUMBER(S728),S728,IF(ISNUMBER(I728),I728,""))</f>
        <v>9.2544091796874994</v>
      </c>
      <c r="Y728" t="str">
        <f>IF(ISNUMBER(S728),"2025 EIA-923 plant/group proxy",IF(ISNUMBER(I728),"Technology estimate","No thermal heat rate"))</f>
        <v>2025 EIA-923 plant/group proxy</v>
      </c>
      <c r="Z728" t="str">
        <f>IF(ISNUMBER(S728),"Review: NOT unit verified",IF(AE728="No match","No EIA match",IF(AF728="Unconfirmed","Unconfirmed EIA candidate","")))</f>
        <v>Review: NOT unit verified</v>
      </c>
      <c r="AA728" s="26">
        <v>1</v>
      </c>
      <c r="AB728" t="s">
        <v>241</v>
      </c>
      <c r="AC728" t="s">
        <v>542</v>
      </c>
      <c r="AD728" s="26">
        <v>244</v>
      </c>
      <c r="AE728" t="s">
        <v>120</v>
      </c>
      <c r="AF728" t="s">
        <v>121</v>
      </c>
      <c r="AG728" s="27">
        <v>9.2544000000000004</v>
      </c>
      <c r="AH728" s="34">
        <f t="shared" si="28"/>
        <v>111422.29999999996</v>
      </c>
      <c r="AI728">
        <f t="shared" si="27"/>
        <v>69581.275398476879</v>
      </c>
      <c r="AJ728" t="b" cm="1">
        <f t="array" ref="AJ728">OR(D728=$AT$2:$AT$8)</f>
        <v>1</v>
      </c>
    </row>
    <row r="729" spans="1:36" x14ac:dyDescent="0.25">
      <c r="A729" s="2" t="s">
        <v>632</v>
      </c>
      <c r="B729" s="3">
        <v>46</v>
      </c>
      <c r="C729" s="2" t="s">
        <v>228</v>
      </c>
      <c r="D729" s="2" t="s">
        <v>228</v>
      </c>
      <c r="E729" s="2" t="s">
        <v>244</v>
      </c>
      <c r="F729" s="4" t="s">
        <v>138</v>
      </c>
      <c r="G729" s="4" t="s">
        <v>245</v>
      </c>
      <c r="H729" s="5">
        <v>6.5</v>
      </c>
      <c r="I729" s="5">
        <v>7.2</v>
      </c>
      <c r="J729" s="5">
        <v>8.1999999999999993</v>
      </c>
      <c r="K729" s="4" t="s">
        <v>111</v>
      </c>
      <c r="L729" s="4" t="s">
        <v>112</v>
      </c>
      <c r="M729" s="6">
        <f>IF(OR(B729="",I729=""),"",B729*I729)</f>
        <v>331.2</v>
      </c>
      <c r="N729" s="25" t="s">
        <v>113</v>
      </c>
      <c r="O729" s="26">
        <v>50561</v>
      </c>
      <c r="P729" s="9" t="s">
        <v>630</v>
      </c>
      <c r="Q729" s="27">
        <v>204800</v>
      </c>
      <c r="R729" s="27">
        <v>1895303</v>
      </c>
      <c r="S729" s="23">
        <f>IF(AND(ISNUMBER(Q729),Q729&gt;0,ISNUMBER(R729),R729&gt;0),R729/Q729,"")</f>
        <v>9.2544091796874994</v>
      </c>
      <c r="T729" s="9" t="s">
        <v>115</v>
      </c>
      <c r="U729" s="9" t="s">
        <v>239</v>
      </c>
      <c r="V729" s="9" t="s">
        <v>21</v>
      </c>
      <c r="W729" s="9" t="s">
        <v>528</v>
      </c>
      <c r="X729" s="23">
        <f>IF(ISNUMBER(S729),S729,IF(ISNUMBER(I729),I729,""))</f>
        <v>9.2544091796874994</v>
      </c>
      <c r="Y729" t="str">
        <f>IF(ISNUMBER(S729),"2025 EIA-923 plant/group proxy",IF(ISNUMBER(I729),"Technology estimate","No thermal heat rate"))</f>
        <v>2025 EIA-923 plant/group proxy</v>
      </c>
      <c r="Z729" t="str">
        <f>IF(ISNUMBER(S729),"Review: NOT unit verified",IF(AE729="No match","No EIA match",IF(AF729="Unconfirmed","Unconfirmed EIA candidate","")))</f>
        <v>Review: NOT unit verified</v>
      </c>
      <c r="AA729" s="26">
        <v>1</v>
      </c>
      <c r="AB729" t="s">
        <v>241</v>
      </c>
      <c r="AC729" t="s">
        <v>542</v>
      </c>
      <c r="AD729" s="26">
        <v>244</v>
      </c>
      <c r="AE729" t="s">
        <v>120</v>
      </c>
      <c r="AF729" t="s">
        <v>121</v>
      </c>
      <c r="AG729" s="27">
        <v>9.2544000000000004</v>
      </c>
      <c r="AH729" s="34">
        <f t="shared" si="28"/>
        <v>111468.29999999996</v>
      </c>
      <c r="AI729">
        <f t="shared" si="27"/>
        <v>69610.001593038745</v>
      </c>
      <c r="AJ729" t="b" cm="1">
        <f t="array" ref="AJ729">OR(D729=$AT$2:$AT$8)</f>
        <v>1</v>
      </c>
    </row>
    <row r="730" spans="1:36" x14ac:dyDescent="0.25">
      <c r="A730" s="2" t="s">
        <v>633</v>
      </c>
      <c r="B730" s="3">
        <v>27</v>
      </c>
      <c r="C730" s="2" t="s">
        <v>228</v>
      </c>
      <c r="D730" s="2" t="s">
        <v>228</v>
      </c>
      <c r="E730" s="2" t="s">
        <v>244</v>
      </c>
      <c r="F730" s="4" t="s">
        <v>138</v>
      </c>
      <c r="G730" s="4" t="s">
        <v>245</v>
      </c>
      <c r="H730" s="5">
        <v>6.5</v>
      </c>
      <c r="I730" s="5">
        <v>7.2</v>
      </c>
      <c r="J730" s="5">
        <v>8.1999999999999993</v>
      </c>
      <c r="K730" s="4" t="s">
        <v>111</v>
      </c>
      <c r="L730" s="4" t="s">
        <v>112</v>
      </c>
      <c r="M730" s="6">
        <f>IF(OR(B730="",I730=""),"",B730*I730)</f>
        <v>194.4</v>
      </c>
      <c r="N730" s="25" t="s">
        <v>113</v>
      </c>
      <c r="O730" s="26">
        <v>50561</v>
      </c>
      <c r="P730" s="9" t="s">
        <v>630</v>
      </c>
      <c r="Q730" s="27">
        <v>204800</v>
      </c>
      <c r="R730" s="27">
        <v>1895303</v>
      </c>
      <c r="S730" s="23">
        <f>IF(AND(ISNUMBER(Q730),Q730&gt;0,ISNUMBER(R730),R730&gt;0),R730/Q730,"")</f>
        <v>9.2544091796874994</v>
      </c>
      <c r="T730" s="9" t="s">
        <v>115</v>
      </c>
      <c r="U730" s="9" t="s">
        <v>239</v>
      </c>
      <c r="V730" s="9" t="s">
        <v>21</v>
      </c>
      <c r="W730" s="9" t="s">
        <v>528</v>
      </c>
      <c r="X730" s="23">
        <f>IF(ISNUMBER(S730),S730,IF(ISNUMBER(I730),I730,""))</f>
        <v>9.2544091796874994</v>
      </c>
      <c r="Y730" t="str">
        <f>IF(ISNUMBER(S730),"2025 EIA-923 plant/group proxy",IF(ISNUMBER(I730),"Technology estimate","No thermal heat rate"))</f>
        <v>2025 EIA-923 plant/group proxy</v>
      </c>
      <c r="Z730" t="str">
        <f>IF(ISNUMBER(S730),"Review: NOT unit verified",IF(AE730="No match","No EIA match",IF(AF730="Unconfirmed","Unconfirmed EIA candidate","")))</f>
        <v>Review: NOT unit verified</v>
      </c>
      <c r="AA730" s="26">
        <v>1</v>
      </c>
      <c r="AB730" t="s">
        <v>241</v>
      </c>
      <c r="AC730" t="s">
        <v>542</v>
      </c>
      <c r="AD730" s="26">
        <v>244</v>
      </c>
      <c r="AE730" t="s">
        <v>120</v>
      </c>
      <c r="AF730" t="s">
        <v>121</v>
      </c>
      <c r="AG730" s="27">
        <v>9.2544000000000004</v>
      </c>
      <c r="AH730" s="34">
        <f t="shared" si="28"/>
        <v>111495.29999999996</v>
      </c>
      <c r="AI730">
        <f t="shared" si="27"/>
        <v>69626.862620281565</v>
      </c>
      <c r="AJ730" t="b" cm="1">
        <f t="array" ref="AJ730">OR(D730=$AT$2:$AT$8)</f>
        <v>1</v>
      </c>
    </row>
    <row r="731" spans="1:36" x14ac:dyDescent="0.25">
      <c r="A731" s="2" t="s">
        <v>375</v>
      </c>
      <c r="B731" s="3">
        <v>20.8</v>
      </c>
      <c r="C731" s="2" t="s">
        <v>86</v>
      </c>
      <c r="D731" s="2" t="s">
        <v>76</v>
      </c>
      <c r="E731" s="2" t="s">
        <v>194</v>
      </c>
      <c r="F731" s="4" t="s">
        <v>195</v>
      </c>
      <c r="G731" s="4" t="s">
        <v>196</v>
      </c>
      <c r="H731" s="5">
        <v>8</v>
      </c>
      <c r="I731" s="5">
        <v>9.5</v>
      </c>
      <c r="J731" s="5">
        <v>12</v>
      </c>
      <c r="K731" s="4" t="s">
        <v>111</v>
      </c>
      <c r="L731" s="4" t="s">
        <v>197</v>
      </c>
      <c r="M731" s="6">
        <f>IF(OR(B731="",I731=""),"",B731*I731)</f>
        <v>197.6</v>
      </c>
      <c r="N731" s="29" t="s">
        <v>154</v>
      </c>
      <c r="O731" s="9"/>
      <c r="P731" s="9"/>
      <c r="Q731" s="22"/>
      <c r="R731" s="22"/>
      <c r="S731" s="23" t="str">
        <f>IF(AND(ISNUMBER(Q731),Q731&gt;0,ISNUMBER(R731),R731&gt;0),R731/Q731,"")</f>
        <v/>
      </c>
      <c r="T731" s="9"/>
      <c r="U731" s="9"/>
      <c r="V731" s="9"/>
      <c r="W731" s="9" t="s">
        <v>376</v>
      </c>
      <c r="X731" s="23">
        <f>IF(ISNUMBER(S731),S731,IF(ISNUMBER(I731),I731,""))</f>
        <v>9.5</v>
      </c>
      <c r="Y731" t="str">
        <f>IF(ISNUMBER(S731),"2025 EIA-923 plant/group proxy",IF(ISNUMBER(I731),"Technology estimate","No thermal heat rate"))</f>
        <v>Technology estimate</v>
      </c>
      <c r="Z731" t="str">
        <f>IF(ISNUMBER(S731),"Review: NOT unit verified",IF(AE731="No match","No EIA match",IF(AF731="Unconfirmed","Unconfirmed EIA candidate","")))</f>
        <v>Unconfirmed EIA candidate</v>
      </c>
      <c r="AA731" s="26">
        <v>0.49640000000000001</v>
      </c>
      <c r="AB731" t="s">
        <v>322</v>
      </c>
      <c r="AC731" t="s">
        <v>119</v>
      </c>
      <c r="AD731" s="26">
        <v>6</v>
      </c>
      <c r="AE731" t="s">
        <v>157</v>
      </c>
      <c r="AF731" t="s">
        <v>158</v>
      </c>
      <c r="AG731" s="24">
        <f>IF(ISBLANK(S731),S731,I731)</f>
        <v>9.5</v>
      </c>
      <c r="AH731" s="34">
        <f t="shared" si="28"/>
        <v>111516.09999999996</v>
      </c>
      <c r="AI731">
        <f t="shared" si="27"/>
        <v>69639.851856083464</v>
      </c>
      <c r="AJ731" t="b" cm="1">
        <f t="array" ref="AJ731">OR(D731=$AT$2:$AT$8)</f>
        <v>0</v>
      </c>
    </row>
    <row r="732" spans="1:36" x14ac:dyDescent="0.25">
      <c r="A732" s="2" t="s">
        <v>417</v>
      </c>
      <c r="B732" s="3">
        <v>22.4</v>
      </c>
      <c r="C732" s="2" t="s">
        <v>80</v>
      </c>
      <c r="D732" s="2" t="s">
        <v>81</v>
      </c>
      <c r="E732" s="2" t="s">
        <v>194</v>
      </c>
      <c r="F732" s="4" t="s">
        <v>195</v>
      </c>
      <c r="G732" s="4" t="s">
        <v>196</v>
      </c>
      <c r="H732" s="5">
        <v>8</v>
      </c>
      <c r="I732" s="5">
        <v>9.5</v>
      </c>
      <c r="J732" s="5">
        <v>12</v>
      </c>
      <c r="K732" s="4" t="s">
        <v>111</v>
      </c>
      <c r="L732" s="4" t="s">
        <v>197</v>
      </c>
      <c r="M732" s="6">
        <f>IF(OR(B732="",I732=""),"",B732*I732)</f>
        <v>212.79999999999998</v>
      </c>
      <c r="N732" s="10" t="s">
        <v>10</v>
      </c>
      <c r="O732" s="9"/>
      <c r="P732" s="9"/>
      <c r="Q732" s="22"/>
      <c r="R732" s="22"/>
      <c r="S732" s="23" t="str">
        <f>IF(AND(ISNUMBER(Q732),Q732&gt;0,ISNUMBER(R732),R732&gt;0),R732/Q732,"")</f>
        <v/>
      </c>
      <c r="T732" s="9"/>
      <c r="U732" s="9"/>
      <c r="V732" s="9"/>
      <c r="W732" s="9"/>
      <c r="X732" s="23">
        <f>IF(ISNUMBER(S732),S732,IF(ISNUMBER(I732),I732,""))</f>
        <v>9.5</v>
      </c>
      <c r="Y732" t="str">
        <f>IF(ISNUMBER(S732),"2025 EIA-923 plant/group proxy",IF(ISNUMBER(I732),"Technology estimate","No thermal heat rate"))</f>
        <v>Technology estimate</v>
      </c>
      <c r="Z732" t="str">
        <f>IF(ISNUMBER(S732),"Review: NOT unit verified",IF(AE732="No match","No EIA match",IF(AF732="Unconfirmed","Unconfirmed EIA candidate","")))</f>
        <v>No EIA match</v>
      </c>
      <c r="AE732" t="s">
        <v>107</v>
      </c>
      <c r="AG732" s="24">
        <f>IF(ISBLANK(S732),S732,I732)</f>
        <v>9.5</v>
      </c>
      <c r="AH732" s="34">
        <f t="shared" si="28"/>
        <v>111538.49999999996</v>
      </c>
      <c r="AI732">
        <f t="shared" si="27"/>
        <v>69653.840263870094</v>
      </c>
      <c r="AJ732" t="b" cm="1">
        <f t="array" ref="AJ732">OR(D732=$AT$2:$AT$8)</f>
        <v>0</v>
      </c>
    </row>
    <row r="733" spans="1:36" x14ac:dyDescent="0.25">
      <c r="A733" s="2" t="s">
        <v>641</v>
      </c>
      <c r="B733" s="3">
        <v>3.5</v>
      </c>
      <c r="C733" s="2" t="s">
        <v>68</v>
      </c>
      <c r="D733" s="2" t="s">
        <v>69</v>
      </c>
      <c r="E733" s="2" t="s">
        <v>194</v>
      </c>
      <c r="F733" s="4" t="s">
        <v>195</v>
      </c>
      <c r="G733" s="4" t="s">
        <v>196</v>
      </c>
      <c r="H733" s="5">
        <v>8</v>
      </c>
      <c r="I733" s="5">
        <v>9.5</v>
      </c>
      <c r="J733" s="5">
        <v>12</v>
      </c>
      <c r="K733" s="4" t="s">
        <v>111</v>
      </c>
      <c r="L733" s="4" t="s">
        <v>197</v>
      </c>
      <c r="M733" s="6">
        <f>IF(OR(B733="",I733=""),"",B733*I733)</f>
        <v>33.25</v>
      </c>
      <c r="N733" s="29" t="s">
        <v>154</v>
      </c>
      <c r="O733" s="9"/>
      <c r="P733" s="9"/>
      <c r="Q733" s="22"/>
      <c r="R733" s="22"/>
      <c r="S733" s="23" t="str">
        <f>IF(AND(ISNUMBER(Q733),Q733&gt;0,ISNUMBER(R733),R733&gt;0),R733/Q733,"")</f>
        <v/>
      </c>
      <c r="T733" s="9"/>
      <c r="U733" s="9"/>
      <c r="V733" s="9"/>
      <c r="W733" s="9" t="s">
        <v>642</v>
      </c>
      <c r="X733" s="23">
        <f>IF(ISNUMBER(S733),S733,IF(ISNUMBER(I733),I733,""))</f>
        <v>9.5</v>
      </c>
      <c r="Y733" t="str">
        <f>IF(ISNUMBER(S733),"2025 EIA-923 plant/group proxy",IF(ISNUMBER(I733),"Technology estimate","No thermal heat rate"))</f>
        <v>Technology estimate</v>
      </c>
      <c r="Z733" t="str">
        <f>IF(ISNUMBER(S733),"Review: NOT unit verified",IF(AE733="No match","No EIA match",IF(AF733="Unconfirmed","Unconfirmed EIA candidate","")))</f>
        <v>Unconfirmed EIA candidate</v>
      </c>
      <c r="AA733" s="26">
        <v>1</v>
      </c>
      <c r="AB733" t="s">
        <v>307</v>
      </c>
      <c r="AC733" t="s">
        <v>643</v>
      </c>
      <c r="AD733" s="26">
        <v>37</v>
      </c>
      <c r="AE733" t="s">
        <v>157</v>
      </c>
      <c r="AF733" t="s">
        <v>158</v>
      </c>
      <c r="AG733" s="24">
        <f>IF(ISBLANK(S733),S733,I733)</f>
        <v>9.5</v>
      </c>
      <c r="AH733" s="34">
        <f t="shared" si="28"/>
        <v>111541.99999999996</v>
      </c>
      <c r="AI733">
        <f t="shared" si="27"/>
        <v>69656.025952586759</v>
      </c>
      <c r="AJ733" t="b" cm="1">
        <f t="array" ref="AJ733">OR(D733=$AT$2:$AT$8)</f>
        <v>0</v>
      </c>
    </row>
    <row r="734" spans="1:36" x14ac:dyDescent="0.25">
      <c r="A734" s="2" t="s">
        <v>644</v>
      </c>
      <c r="B734" s="3">
        <v>1.5</v>
      </c>
      <c r="C734" s="2" t="s">
        <v>68</v>
      </c>
      <c r="D734" s="2" t="s">
        <v>69</v>
      </c>
      <c r="E734" s="2" t="s">
        <v>194</v>
      </c>
      <c r="F734" s="4" t="s">
        <v>195</v>
      </c>
      <c r="G734" s="4" t="s">
        <v>196</v>
      </c>
      <c r="H734" s="5">
        <v>8</v>
      </c>
      <c r="I734" s="5">
        <v>9.5</v>
      </c>
      <c r="J734" s="5">
        <v>12</v>
      </c>
      <c r="K734" s="4" t="s">
        <v>111</v>
      </c>
      <c r="L734" s="4" t="s">
        <v>197</v>
      </c>
      <c r="M734" s="6">
        <f>IF(OR(B734="",I734=""),"",B734*I734)</f>
        <v>14.25</v>
      </c>
      <c r="N734" s="29" t="s">
        <v>154</v>
      </c>
      <c r="O734" s="9"/>
      <c r="P734" s="9"/>
      <c r="Q734" s="22"/>
      <c r="R734" s="22"/>
      <c r="S734" s="23" t="str">
        <f>IF(AND(ISNUMBER(Q734),Q734&gt;0,ISNUMBER(R734),R734&gt;0),R734/Q734,"")</f>
        <v/>
      </c>
      <c r="T734" s="9"/>
      <c r="U734" s="9"/>
      <c r="V734" s="9"/>
      <c r="W734" s="9" t="s">
        <v>642</v>
      </c>
      <c r="X734" s="23">
        <f>IF(ISNUMBER(S734),S734,IF(ISNUMBER(I734),I734,""))</f>
        <v>9.5</v>
      </c>
      <c r="Y734" t="str">
        <f>IF(ISNUMBER(S734),"2025 EIA-923 plant/group proxy",IF(ISNUMBER(I734),"Technology estimate","No thermal heat rate"))</f>
        <v>Technology estimate</v>
      </c>
      <c r="Z734" t="str">
        <f>IF(ISNUMBER(S734),"Review: NOT unit verified",IF(AE734="No match","No EIA match",IF(AF734="Unconfirmed","Unconfirmed EIA candidate","")))</f>
        <v>Unconfirmed EIA candidate</v>
      </c>
      <c r="AA734" s="26">
        <v>1</v>
      </c>
      <c r="AB734" t="s">
        <v>307</v>
      </c>
      <c r="AC734" t="s">
        <v>643</v>
      </c>
      <c r="AD734" s="26">
        <v>37</v>
      </c>
      <c r="AE734" t="s">
        <v>157</v>
      </c>
      <c r="AF734" t="s">
        <v>158</v>
      </c>
      <c r="AG734" s="24">
        <f>IF(ISBLANK(S734),S734,I734)</f>
        <v>9.5</v>
      </c>
      <c r="AH734" s="34">
        <f t="shared" si="28"/>
        <v>111543.49999999996</v>
      </c>
      <c r="AI734">
        <f t="shared" si="27"/>
        <v>69656.962676322481</v>
      </c>
      <c r="AJ734" t="b" cm="1">
        <f t="array" ref="AJ734">OR(D734=$AT$2:$AT$8)</f>
        <v>0</v>
      </c>
    </row>
    <row r="735" spans="1:36" x14ac:dyDescent="0.25">
      <c r="A735" s="2" t="s">
        <v>645</v>
      </c>
      <c r="B735" s="3">
        <v>1.5</v>
      </c>
      <c r="C735" s="2" t="s">
        <v>68</v>
      </c>
      <c r="D735" s="2" t="s">
        <v>69</v>
      </c>
      <c r="E735" s="2" t="s">
        <v>194</v>
      </c>
      <c r="F735" s="4" t="s">
        <v>195</v>
      </c>
      <c r="G735" s="4" t="s">
        <v>196</v>
      </c>
      <c r="H735" s="5">
        <v>8</v>
      </c>
      <c r="I735" s="5">
        <v>9.5</v>
      </c>
      <c r="J735" s="5">
        <v>12</v>
      </c>
      <c r="K735" s="4" t="s">
        <v>111</v>
      </c>
      <c r="L735" s="4" t="s">
        <v>197</v>
      </c>
      <c r="M735" s="6">
        <f>IF(OR(B735="",I735=""),"",B735*I735)</f>
        <v>14.25</v>
      </c>
      <c r="N735" s="29" t="s">
        <v>154</v>
      </c>
      <c r="O735" s="9"/>
      <c r="P735" s="9"/>
      <c r="Q735" s="22"/>
      <c r="R735" s="22"/>
      <c r="S735" s="23" t="str">
        <f>IF(AND(ISNUMBER(Q735),Q735&gt;0,ISNUMBER(R735),R735&gt;0),R735/Q735,"")</f>
        <v/>
      </c>
      <c r="T735" s="9"/>
      <c r="U735" s="9"/>
      <c r="V735" s="9"/>
      <c r="W735" s="9" t="s">
        <v>642</v>
      </c>
      <c r="X735" s="23">
        <f>IF(ISNUMBER(S735),S735,IF(ISNUMBER(I735),I735,""))</f>
        <v>9.5</v>
      </c>
      <c r="Y735" t="str">
        <f>IF(ISNUMBER(S735),"2025 EIA-923 plant/group proxy",IF(ISNUMBER(I735),"Technology estimate","No thermal heat rate"))</f>
        <v>Technology estimate</v>
      </c>
      <c r="Z735" t="str">
        <f>IF(ISNUMBER(S735),"Review: NOT unit verified",IF(AE735="No match","No EIA match",IF(AF735="Unconfirmed","Unconfirmed EIA candidate","")))</f>
        <v>Unconfirmed EIA candidate</v>
      </c>
      <c r="AA735" s="26">
        <v>1</v>
      </c>
      <c r="AB735" t="s">
        <v>307</v>
      </c>
      <c r="AC735" t="s">
        <v>643</v>
      </c>
      <c r="AD735" s="26">
        <v>37</v>
      </c>
      <c r="AE735" t="s">
        <v>157</v>
      </c>
      <c r="AF735" t="s">
        <v>158</v>
      </c>
      <c r="AG735" s="24">
        <f>IF(ISBLANK(S735),S735,I735)</f>
        <v>9.5</v>
      </c>
      <c r="AH735" s="34">
        <f t="shared" si="28"/>
        <v>111544.99999999996</v>
      </c>
      <c r="AI735">
        <f t="shared" si="27"/>
        <v>69657.899400058188</v>
      </c>
      <c r="AJ735" t="b" cm="1">
        <f t="array" ref="AJ735">OR(D735=$AT$2:$AT$8)</f>
        <v>0</v>
      </c>
    </row>
    <row r="736" spans="1:36" x14ac:dyDescent="0.25">
      <c r="A736" s="2" t="s">
        <v>646</v>
      </c>
      <c r="B736" s="3">
        <v>3.6</v>
      </c>
      <c r="C736" s="2" t="s">
        <v>68</v>
      </c>
      <c r="D736" s="2" t="s">
        <v>69</v>
      </c>
      <c r="E736" s="2" t="s">
        <v>194</v>
      </c>
      <c r="F736" s="4" t="s">
        <v>195</v>
      </c>
      <c r="G736" s="4" t="s">
        <v>196</v>
      </c>
      <c r="H736" s="5">
        <v>8</v>
      </c>
      <c r="I736" s="5">
        <v>9.5</v>
      </c>
      <c r="J736" s="5">
        <v>12</v>
      </c>
      <c r="K736" s="4" t="s">
        <v>111</v>
      </c>
      <c r="L736" s="4" t="s">
        <v>197</v>
      </c>
      <c r="M736" s="6">
        <f>IF(OR(B736="",I736=""),"",B736*I736)</f>
        <v>34.200000000000003</v>
      </c>
      <c r="N736" s="29" t="s">
        <v>154</v>
      </c>
      <c r="O736" s="9"/>
      <c r="P736" s="9"/>
      <c r="Q736" s="22"/>
      <c r="R736" s="22"/>
      <c r="S736" s="23" t="str">
        <f>IF(AND(ISNUMBER(Q736),Q736&gt;0,ISNUMBER(R736),R736&gt;0),R736/Q736,"")</f>
        <v/>
      </c>
      <c r="T736" s="9"/>
      <c r="U736" s="9"/>
      <c r="V736" s="9"/>
      <c r="W736" s="9" t="s">
        <v>642</v>
      </c>
      <c r="X736" s="23">
        <f>IF(ISNUMBER(S736),S736,IF(ISNUMBER(I736),I736,""))</f>
        <v>9.5</v>
      </c>
      <c r="Y736" t="str">
        <f>IF(ISNUMBER(S736),"2025 EIA-923 plant/group proxy",IF(ISNUMBER(I736),"Technology estimate","No thermal heat rate"))</f>
        <v>Technology estimate</v>
      </c>
      <c r="Z736" t="str">
        <f>IF(ISNUMBER(S736),"Review: NOT unit verified",IF(AE736="No match","No EIA match",IF(AF736="Unconfirmed","Unconfirmed EIA candidate","")))</f>
        <v>Unconfirmed EIA candidate</v>
      </c>
      <c r="AA736" s="26">
        <v>1</v>
      </c>
      <c r="AB736" t="s">
        <v>307</v>
      </c>
      <c r="AC736" t="s">
        <v>643</v>
      </c>
      <c r="AD736" s="26">
        <v>37</v>
      </c>
      <c r="AE736" t="s">
        <v>157</v>
      </c>
      <c r="AF736" t="s">
        <v>158</v>
      </c>
      <c r="AG736" s="24">
        <f>IF(ISBLANK(S736),S736,I736)</f>
        <v>9.5</v>
      </c>
      <c r="AH736" s="34">
        <f t="shared" si="28"/>
        <v>111548.59999999996</v>
      </c>
      <c r="AI736">
        <f t="shared" si="27"/>
        <v>69660.147537023906</v>
      </c>
      <c r="AJ736" t="b" cm="1">
        <f t="array" ref="AJ736">OR(D736=$AT$2:$AT$8)</f>
        <v>0</v>
      </c>
    </row>
    <row r="737" spans="1:36" x14ac:dyDescent="0.25">
      <c r="A737" s="2" t="s">
        <v>647</v>
      </c>
      <c r="B737" s="3">
        <v>4.0999999999999996</v>
      </c>
      <c r="C737" s="2" t="s">
        <v>68</v>
      </c>
      <c r="D737" s="2" t="s">
        <v>69</v>
      </c>
      <c r="E737" s="2" t="s">
        <v>194</v>
      </c>
      <c r="F737" s="4" t="s">
        <v>195</v>
      </c>
      <c r="G737" s="4" t="s">
        <v>196</v>
      </c>
      <c r="H737" s="5">
        <v>8</v>
      </c>
      <c r="I737" s="5">
        <v>9.5</v>
      </c>
      <c r="J737" s="5">
        <v>12</v>
      </c>
      <c r="K737" s="4" t="s">
        <v>111</v>
      </c>
      <c r="L737" s="4" t="s">
        <v>197</v>
      </c>
      <c r="M737" s="6">
        <f>IF(OR(B737="",I737=""),"",B737*I737)</f>
        <v>38.949999999999996</v>
      </c>
      <c r="N737" s="29" t="s">
        <v>154</v>
      </c>
      <c r="O737" s="9"/>
      <c r="P737" s="9"/>
      <c r="Q737" s="22"/>
      <c r="R737" s="22"/>
      <c r="S737" s="23" t="str">
        <f>IF(AND(ISNUMBER(Q737),Q737&gt;0,ISNUMBER(R737),R737&gt;0),R737/Q737,"")</f>
        <v/>
      </c>
      <c r="T737" s="9"/>
      <c r="U737" s="9"/>
      <c r="V737" s="9"/>
      <c r="W737" s="9" t="s">
        <v>642</v>
      </c>
      <c r="X737" s="23">
        <f>IF(ISNUMBER(S737),S737,IF(ISNUMBER(I737),I737,""))</f>
        <v>9.5</v>
      </c>
      <c r="Y737" t="str">
        <f>IF(ISNUMBER(S737),"2025 EIA-923 plant/group proxy",IF(ISNUMBER(I737),"Technology estimate","No thermal heat rate"))</f>
        <v>Technology estimate</v>
      </c>
      <c r="Z737" t="str">
        <f>IF(ISNUMBER(S737),"Review: NOT unit verified",IF(AE737="No match","No EIA match",IF(AF737="Unconfirmed","Unconfirmed EIA candidate","")))</f>
        <v>Unconfirmed EIA candidate</v>
      </c>
      <c r="AA737" s="26">
        <v>1</v>
      </c>
      <c r="AB737" t="s">
        <v>307</v>
      </c>
      <c r="AC737" t="s">
        <v>643</v>
      </c>
      <c r="AD737" s="26">
        <v>37</v>
      </c>
      <c r="AE737" t="s">
        <v>157</v>
      </c>
      <c r="AF737" t="s">
        <v>158</v>
      </c>
      <c r="AG737" s="24">
        <f>IF(ISBLANK(S737),S737,I737)</f>
        <v>9.5</v>
      </c>
      <c r="AH737" s="34">
        <f t="shared" si="28"/>
        <v>111552.69999999997</v>
      </c>
      <c r="AI737">
        <f t="shared" si="27"/>
        <v>69662.70791523486</v>
      </c>
      <c r="AJ737" t="b" cm="1">
        <f t="array" ref="AJ737">OR(D737=$AT$2:$AT$8)</f>
        <v>0</v>
      </c>
    </row>
    <row r="738" spans="1:36" x14ac:dyDescent="0.25">
      <c r="A738" s="2" t="s">
        <v>648</v>
      </c>
      <c r="B738" s="3">
        <v>5.6</v>
      </c>
      <c r="C738" s="2" t="s">
        <v>68</v>
      </c>
      <c r="D738" s="2" t="s">
        <v>69</v>
      </c>
      <c r="E738" s="2" t="s">
        <v>194</v>
      </c>
      <c r="F738" s="4" t="s">
        <v>195</v>
      </c>
      <c r="G738" s="4" t="s">
        <v>196</v>
      </c>
      <c r="H738" s="5">
        <v>8</v>
      </c>
      <c r="I738" s="5">
        <v>9.5</v>
      </c>
      <c r="J738" s="5">
        <v>12</v>
      </c>
      <c r="K738" s="4" t="s">
        <v>111</v>
      </c>
      <c r="L738" s="4" t="s">
        <v>197</v>
      </c>
      <c r="M738" s="6">
        <f>IF(OR(B738="",I738=""),"",B738*I738)</f>
        <v>53.199999999999996</v>
      </c>
      <c r="N738" s="29" t="s">
        <v>154</v>
      </c>
      <c r="O738" s="9"/>
      <c r="P738" s="9"/>
      <c r="Q738" s="22"/>
      <c r="R738" s="22"/>
      <c r="S738" s="23" t="str">
        <f>IF(AND(ISNUMBER(Q738),Q738&gt;0,ISNUMBER(R738),R738&gt;0),R738/Q738,"")</f>
        <v/>
      </c>
      <c r="T738" s="9"/>
      <c r="U738" s="9"/>
      <c r="V738" s="9"/>
      <c r="W738" s="9" t="s">
        <v>642</v>
      </c>
      <c r="X738" s="23">
        <f>IF(ISNUMBER(S738),S738,IF(ISNUMBER(I738),I738,""))</f>
        <v>9.5</v>
      </c>
      <c r="Y738" t="str">
        <f>IF(ISNUMBER(S738),"2025 EIA-923 plant/group proxy",IF(ISNUMBER(I738),"Technology estimate","No thermal heat rate"))</f>
        <v>Technology estimate</v>
      </c>
      <c r="Z738" t="str">
        <f>IF(ISNUMBER(S738),"Review: NOT unit verified",IF(AE738="No match","No EIA match",IF(AF738="Unconfirmed","Unconfirmed EIA candidate","")))</f>
        <v>Unconfirmed EIA candidate</v>
      </c>
      <c r="AA738" s="26">
        <v>1</v>
      </c>
      <c r="AB738" t="s">
        <v>307</v>
      </c>
      <c r="AC738" t="s">
        <v>643</v>
      </c>
      <c r="AD738" s="26">
        <v>37</v>
      </c>
      <c r="AE738" t="s">
        <v>157</v>
      </c>
      <c r="AF738" t="s">
        <v>158</v>
      </c>
      <c r="AG738" s="24">
        <f>IF(ISBLANK(S738),S738,I738)</f>
        <v>9.5</v>
      </c>
      <c r="AH738" s="34">
        <f t="shared" si="28"/>
        <v>111558.29999999997</v>
      </c>
      <c r="AI738">
        <f t="shared" si="27"/>
        <v>69666.205017181521</v>
      </c>
      <c r="AJ738" t="b" cm="1">
        <f t="array" ref="AJ738">OR(D738=$AT$2:$AT$8)</f>
        <v>0</v>
      </c>
    </row>
    <row r="739" spans="1:36" x14ac:dyDescent="0.25">
      <c r="A739" s="2" t="s">
        <v>649</v>
      </c>
      <c r="B739" s="3">
        <v>5.6</v>
      </c>
      <c r="C739" s="2" t="s">
        <v>68</v>
      </c>
      <c r="D739" s="2" t="s">
        <v>69</v>
      </c>
      <c r="E739" s="2" t="s">
        <v>194</v>
      </c>
      <c r="F739" s="4" t="s">
        <v>195</v>
      </c>
      <c r="G739" s="4" t="s">
        <v>196</v>
      </c>
      <c r="H739" s="5">
        <v>8</v>
      </c>
      <c r="I739" s="5">
        <v>9.5</v>
      </c>
      <c r="J739" s="5">
        <v>12</v>
      </c>
      <c r="K739" s="4" t="s">
        <v>111</v>
      </c>
      <c r="L739" s="4" t="s">
        <v>197</v>
      </c>
      <c r="M739" s="6">
        <f>IF(OR(B739="",I739=""),"",B739*I739)</f>
        <v>53.199999999999996</v>
      </c>
      <c r="N739" s="29" t="s">
        <v>154</v>
      </c>
      <c r="O739" s="9"/>
      <c r="P739" s="9"/>
      <c r="Q739" s="22"/>
      <c r="R739" s="22"/>
      <c r="S739" s="23" t="str">
        <f>IF(AND(ISNUMBER(Q739),Q739&gt;0,ISNUMBER(R739),R739&gt;0),R739/Q739,"")</f>
        <v/>
      </c>
      <c r="T739" s="9"/>
      <c r="U739" s="9"/>
      <c r="V739" s="9"/>
      <c r="W739" s="9" t="s">
        <v>642</v>
      </c>
      <c r="X739" s="23">
        <f>IF(ISNUMBER(S739),S739,IF(ISNUMBER(I739),I739,""))</f>
        <v>9.5</v>
      </c>
      <c r="Y739" t="str">
        <f>IF(ISNUMBER(S739),"2025 EIA-923 plant/group proxy",IF(ISNUMBER(I739),"Technology estimate","No thermal heat rate"))</f>
        <v>Technology estimate</v>
      </c>
      <c r="Z739" t="str">
        <f>IF(ISNUMBER(S739),"Review: NOT unit verified",IF(AE739="No match","No EIA match",IF(AF739="Unconfirmed","Unconfirmed EIA candidate","")))</f>
        <v>Unconfirmed EIA candidate</v>
      </c>
      <c r="AA739" s="26">
        <v>1</v>
      </c>
      <c r="AB739" t="s">
        <v>307</v>
      </c>
      <c r="AC739" t="s">
        <v>643</v>
      </c>
      <c r="AD739" s="26">
        <v>37</v>
      </c>
      <c r="AE739" t="s">
        <v>157</v>
      </c>
      <c r="AF739" t="s">
        <v>158</v>
      </c>
      <c r="AG739" s="24">
        <f>IF(ISBLANK(S739),S739,I739)</f>
        <v>9.5</v>
      </c>
      <c r="AH739" s="34">
        <f t="shared" si="28"/>
        <v>111563.89999999998</v>
      </c>
      <c r="AI739">
        <f t="shared" si="27"/>
        <v>69669.702119128182</v>
      </c>
      <c r="AJ739" t="b" cm="1">
        <f t="array" ref="AJ739">OR(D739=$AT$2:$AT$8)</f>
        <v>0</v>
      </c>
    </row>
    <row r="740" spans="1:36" x14ac:dyDescent="0.25">
      <c r="A740" s="2" t="s">
        <v>650</v>
      </c>
      <c r="B740" s="3">
        <v>1.5</v>
      </c>
      <c r="C740" s="2" t="s">
        <v>68</v>
      </c>
      <c r="D740" s="2" t="s">
        <v>69</v>
      </c>
      <c r="E740" s="2" t="s">
        <v>194</v>
      </c>
      <c r="F740" s="4" t="s">
        <v>195</v>
      </c>
      <c r="G740" s="4" t="s">
        <v>196</v>
      </c>
      <c r="H740" s="5">
        <v>8</v>
      </c>
      <c r="I740" s="5">
        <v>9.5</v>
      </c>
      <c r="J740" s="5">
        <v>12</v>
      </c>
      <c r="K740" s="4" t="s">
        <v>111</v>
      </c>
      <c r="L740" s="4" t="s">
        <v>197</v>
      </c>
      <c r="M740" s="6">
        <f>IF(OR(B740="",I740=""),"",B740*I740)</f>
        <v>14.25</v>
      </c>
      <c r="N740" s="29" t="s">
        <v>154</v>
      </c>
      <c r="O740" s="9"/>
      <c r="P740" s="9"/>
      <c r="Q740" s="22"/>
      <c r="R740" s="22"/>
      <c r="S740" s="23" t="str">
        <f>IF(AND(ISNUMBER(Q740),Q740&gt;0,ISNUMBER(R740),R740&gt;0),R740/Q740,"")</f>
        <v/>
      </c>
      <c r="T740" s="9"/>
      <c r="U740" s="9"/>
      <c r="V740" s="9"/>
      <c r="W740" s="9" t="s">
        <v>642</v>
      </c>
      <c r="X740" s="23">
        <f>IF(ISNUMBER(S740),S740,IF(ISNUMBER(I740),I740,""))</f>
        <v>9.5</v>
      </c>
      <c r="Y740" t="str">
        <f>IF(ISNUMBER(S740),"2025 EIA-923 plant/group proxy",IF(ISNUMBER(I740),"Technology estimate","No thermal heat rate"))</f>
        <v>Technology estimate</v>
      </c>
      <c r="Z740" t="str">
        <f>IF(ISNUMBER(S740),"Review: NOT unit verified",IF(AE740="No match","No EIA match",IF(AF740="Unconfirmed","Unconfirmed EIA candidate","")))</f>
        <v>Unconfirmed EIA candidate</v>
      </c>
      <c r="AA740" s="26">
        <v>1</v>
      </c>
      <c r="AB740" t="s">
        <v>307</v>
      </c>
      <c r="AC740" t="s">
        <v>643</v>
      </c>
      <c r="AD740" s="26">
        <v>37</v>
      </c>
      <c r="AE740" t="s">
        <v>157</v>
      </c>
      <c r="AF740" t="s">
        <v>158</v>
      </c>
      <c r="AG740" s="24">
        <f>IF(ISBLANK(S740),S740,I740)</f>
        <v>9.5</v>
      </c>
      <c r="AH740" s="34">
        <f t="shared" si="28"/>
        <v>111565.39999999998</v>
      </c>
      <c r="AI740">
        <f t="shared" si="27"/>
        <v>69670.638842863889</v>
      </c>
      <c r="AJ740" t="b" cm="1">
        <f t="array" ref="AJ740">OR(D740=$AT$2:$AT$8)</f>
        <v>0</v>
      </c>
    </row>
    <row r="741" spans="1:36" x14ac:dyDescent="0.25">
      <c r="A741" s="2" t="s">
        <v>651</v>
      </c>
      <c r="B741" s="3">
        <v>1.5</v>
      </c>
      <c r="C741" s="2" t="s">
        <v>68</v>
      </c>
      <c r="D741" s="2" t="s">
        <v>69</v>
      </c>
      <c r="E741" s="2" t="s">
        <v>194</v>
      </c>
      <c r="F741" s="4" t="s">
        <v>195</v>
      </c>
      <c r="G741" s="4" t="s">
        <v>196</v>
      </c>
      <c r="H741" s="5">
        <v>8</v>
      </c>
      <c r="I741" s="5">
        <v>9.5</v>
      </c>
      <c r="J741" s="5">
        <v>12</v>
      </c>
      <c r="K741" s="4" t="s">
        <v>111</v>
      </c>
      <c r="L741" s="4" t="s">
        <v>197</v>
      </c>
      <c r="M741" s="6">
        <f>IF(OR(B741="",I741=""),"",B741*I741)</f>
        <v>14.25</v>
      </c>
      <c r="N741" s="29" t="s">
        <v>154</v>
      </c>
      <c r="O741" s="9"/>
      <c r="P741" s="9"/>
      <c r="Q741" s="22"/>
      <c r="R741" s="22"/>
      <c r="S741" s="23" t="str">
        <f>IF(AND(ISNUMBER(Q741),Q741&gt;0,ISNUMBER(R741),R741&gt;0),R741/Q741,"")</f>
        <v/>
      </c>
      <c r="T741" s="9"/>
      <c r="U741" s="9"/>
      <c r="V741" s="9"/>
      <c r="W741" s="9" t="s">
        <v>642</v>
      </c>
      <c r="X741" s="23">
        <f>IF(ISNUMBER(S741),S741,IF(ISNUMBER(I741),I741,""))</f>
        <v>9.5</v>
      </c>
      <c r="Y741" t="str">
        <f>IF(ISNUMBER(S741),"2025 EIA-923 plant/group proxy",IF(ISNUMBER(I741),"Technology estimate","No thermal heat rate"))</f>
        <v>Technology estimate</v>
      </c>
      <c r="Z741" t="str">
        <f>IF(ISNUMBER(S741),"Review: NOT unit verified",IF(AE741="No match","No EIA match",IF(AF741="Unconfirmed","Unconfirmed EIA candidate","")))</f>
        <v>Unconfirmed EIA candidate</v>
      </c>
      <c r="AA741" s="26">
        <v>1</v>
      </c>
      <c r="AB741" t="s">
        <v>307</v>
      </c>
      <c r="AC741" t="s">
        <v>643</v>
      </c>
      <c r="AD741" s="26">
        <v>37</v>
      </c>
      <c r="AE741" t="s">
        <v>157</v>
      </c>
      <c r="AF741" t="s">
        <v>158</v>
      </c>
      <c r="AG741" s="24">
        <f>IF(ISBLANK(S741),S741,I741)</f>
        <v>9.5</v>
      </c>
      <c r="AH741" s="34">
        <f t="shared" si="28"/>
        <v>111566.89999999998</v>
      </c>
      <c r="AI741">
        <f t="shared" si="27"/>
        <v>69671.575566599611</v>
      </c>
      <c r="AJ741" t="b" cm="1">
        <f t="array" ref="AJ741">OR(D741=$AT$2:$AT$8)</f>
        <v>0</v>
      </c>
    </row>
    <row r="742" spans="1:36" x14ac:dyDescent="0.25">
      <c r="A742" s="2" t="s">
        <v>654</v>
      </c>
      <c r="B742" s="3">
        <v>6.3</v>
      </c>
      <c r="C742" s="2" t="s">
        <v>68</v>
      </c>
      <c r="D742" s="2" t="s">
        <v>69</v>
      </c>
      <c r="E742" s="2" t="s">
        <v>194</v>
      </c>
      <c r="F742" s="4" t="s">
        <v>195</v>
      </c>
      <c r="G742" s="4" t="s">
        <v>196</v>
      </c>
      <c r="H742" s="5">
        <v>8</v>
      </c>
      <c r="I742" s="5">
        <v>9.5</v>
      </c>
      <c r="J742" s="5">
        <v>12</v>
      </c>
      <c r="K742" s="4" t="s">
        <v>111</v>
      </c>
      <c r="L742" s="4" t="s">
        <v>197</v>
      </c>
      <c r="M742" s="6">
        <f>IF(OR(B742="",I742=""),"",B742*I742)</f>
        <v>59.85</v>
      </c>
      <c r="N742" s="29" t="s">
        <v>154</v>
      </c>
      <c r="O742" s="9"/>
      <c r="P742" s="9"/>
      <c r="Q742" s="22"/>
      <c r="R742" s="22"/>
      <c r="S742" s="23" t="str">
        <f>IF(AND(ISNUMBER(Q742),Q742&gt;0,ISNUMBER(R742),R742&gt;0),R742/Q742,"")</f>
        <v/>
      </c>
      <c r="T742" s="9"/>
      <c r="U742" s="9"/>
      <c r="V742" s="9"/>
      <c r="W742" s="9" t="s">
        <v>642</v>
      </c>
      <c r="X742" s="23">
        <f>IF(ISNUMBER(S742),S742,IF(ISNUMBER(I742),I742,""))</f>
        <v>9.5</v>
      </c>
      <c r="Y742" t="str">
        <f>IF(ISNUMBER(S742),"2025 EIA-923 plant/group proxy",IF(ISNUMBER(I742),"Technology estimate","No thermal heat rate"))</f>
        <v>Technology estimate</v>
      </c>
      <c r="Z742" t="str">
        <f>IF(ISNUMBER(S742),"Review: NOT unit verified",IF(AE742="No match","No EIA match",IF(AF742="Unconfirmed","Unconfirmed EIA candidate","")))</f>
        <v>Unconfirmed EIA candidate</v>
      </c>
      <c r="AA742" s="26">
        <v>1</v>
      </c>
      <c r="AB742" t="s">
        <v>307</v>
      </c>
      <c r="AC742" t="s">
        <v>643</v>
      </c>
      <c r="AD742" s="26">
        <v>37</v>
      </c>
      <c r="AE742" t="s">
        <v>157</v>
      </c>
      <c r="AF742" t="s">
        <v>158</v>
      </c>
      <c r="AG742" s="24">
        <f>IF(ISBLANK(S742),S742,I742)</f>
        <v>9.5</v>
      </c>
      <c r="AH742" s="34">
        <f t="shared" si="28"/>
        <v>111573.19999999998</v>
      </c>
      <c r="AI742">
        <f t="shared" si="27"/>
        <v>69675.5098062896</v>
      </c>
      <c r="AJ742" t="b" cm="1">
        <f t="array" ref="AJ742">OR(D742=$AT$2:$AT$8)</f>
        <v>0</v>
      </c>
    </row>
    <row r="743" spans="1:36" x14ac:dyDescent="0.25">
      <c r="A743" s="2" t="s">
        <v>655</v>
      </c>
      <c r="B743" s="3">
        <v>6.2</v>
      </c>
      <c r="C743" s="2" t="s">
        <v>68</v>
      </c>
      <c r="D743" s="2" t="s">
        <v>69</v>
      </c>
      <c r="E743" s="2" t="s">
        <v>194</v>
      </c>
      <c r="F743" s="4" t="s">
        <v>195</v>
      </c>
      <c r="G743" s="4" t="s">
        <v>196</v>
      </c>
      <c r="H743" s="5">
        <v>8</v>
      </c>
      <c r="I743" s="5">
        <v>9.5</v>
      </c>
      <c r="J743" s="5">
        <v>12</v>
      </c>
      <c r="K743" s="4" t="s">
        <v>111</v>
      </c>
      <c r="L743" s="4" t="s">
        <v>197</v>
      </c>
      <c r="M743" s="6">
        <f>IF(OR(B743="",I743=""),"",B743*I743)</f>
        <v>58.9</v>
      </c>
      <c r="N743" s="29" t="s">
        <v>154</v>
      </c>
      <c r="O743" s="9"/>
      <c r="P743" s="9"/>
      <c r="Q743" s="22"/>
      <c r="R743" s="22"/>
      <c r="S743" s="23" t="str">
        <f>IF(AND(ISNUMBER(Q743),Q743&gt;0,ISNUMBER(R743),R743&gt;0),R743/Q743,"")</f>
        <v/>
      </c>
      <c r="T743" s="9"/>
      <c r="U743" s="9"/>
      <c r="V743" s="9"/>
      <c r="W743" s="9" t="s">
        <v>642</v>
      </c>
      <c r="X743" s="23">
        <f>IF(ISNUMBER(S743),S743,IF(ISNUMBER(I743),I743,""))</f>
        <v>9.5</v>
      </c>
      <c r="Y743" t="str">
        <f>IF(ISNUMBER(S743),"2025 EIA-923 plant/group proxy",IF(ISNUMBER(I743),"Technology estimate","No thermal heat rate"))</f>
        <v>Technology estimate</v>
      </c>
      <c r="Z743" t="str">
        <f>IF(ISNUMBER(S743),"Review: NOT unit verified",IF(AE743="No match","No EIA match",IF(AF743="Unconfirmed","Unconfirmed EIA candidate","")))</f>
        <v>Unconfirmed EIA candidate</v>
      </c>
      <c r="AA743" s="26">
        <v>1</v>
      </c>
      <c r="AB743" t="s">
        <v>307</v>
      </c>
      <c r="AC743" t="s">
        <v>643</v>
      </c>
      <c r="AD743" s="26">
        <v>37</v>
      </c>
      <c r="AE743" t="s">
        <v>157</v>
      </c>
      <c r="AF743" t="s">
        <v>158</v>
      </c>
      <c r="AG743" s="24">
        <f>IF(ISBLANK(S743),S743,I743)</f>
        <v>9.5</v>
      </c>
      <c r="AH743" s="34">
        <f t="shared" si="28"/>
        <v>111579.39999999998</v>
      </c>
      <c r="AI743">
        <f t="shared" si="27"/>
        <v>69679.381597730549</v>
      </c>
      <c r="AJ743" t="b" cm="1">
        <f t="array" ref="AJ743">OR(D743=$AT$2:$AT$8)</f>
        <v>0</v>
      </c>
    </row>
    <row r="744" spans="1:36" x14ac:dyDescent="0.25">
      <c r="A744" s="2" t="s">
        <v>656</v>
      </c>
      <c r="B744" s="3">
        <v>6.3</v>
      </c>
      <c r="C744" s="2" t="s">
        <v>68</v>
      </c>
      <c r="D744" s="2" t="s">
        <v>69</v>
      </c>
      <c r="E744" s="2" t="s">
        <v>194</v>
      </c>
      <c r="F744" s="4" t="s">
        <v>195</v>
      </c>
      <c r="G744" s="4" t="s">
        <v>196</v>
      </c>
      <c r="H744" s="5">
        <v>8</v>
      </c>
      <c r="I744" s="5">
        <v>9.5</v>
      </c>
      <c r="J744" s="5">
        <v>12</v>
      </c>
      <c r="K744" s="4" t="s">
        <v>111</v>
      </c>
      <c r="L744" s="4" t="s">
        <v>197</v>
      </c>
      <c r="M744" s="6">
        <f>IF(OR(B744="",I744=""),"",B744*I744)</f>
        <v>59.85</v>
      </c>
      <c r="N744" s="29" t="s">
        <v>154</v>
      </c>
      <c r="O744" s="9"/>
      <c r="P744" s="9"/>
      <c r="Q744" s="22"/>
      <c r="R744" s="22"/>
      <c r="S744" s="23" t="str">
        <f>IF(AND(ISNUMBER(Q744),Q744&gt;0,ISNUMBER(R744),R744&gt;0),R744/Q744,"")</f>
        <v/>
      </c>
      <c r="T744" s="9"/>
      <c r="U744" s="9"/>
      <c r="V744" s="9"/>
      <c r="W744" s="9" t="s">
        <v>642</v>
      </c>
      <c r="X744" s="23">
        <f>IF(ISNUMBER(S744),S744,IF(ISNUMBER(I744),I744,""))</f>
        <v>9.5</v>
      </c>
      <c r="Y744" t="str">
        <f>IF(ISNUMBER(S744),"2025 EIA-923 plant/group proxy",IF(ISNUMBER(I744),"Technology estimate","No thermal heat rate"))</f>
        <v>Technology estimate</v>
      </c>
      <c r="Z744" t="str">
        <f>IF(ISNUMBER(S744),"Review: NOT unit verified",IF(AE744="No match","No EIA match",IF(AF744="Unconfirmed","Unconfirmed EIA candidate","")))</f>
        <v>Unconfirmed EIA candidate</v>
      </c>
      <c r="AA744" s="26">
        <v>1</v>
      </c>
      <c r="AB744" t="s">
        <v>307</v>
      </c>
      <c r="AC744" t="s">
        <v>643</v>
      </c>
      <c r="AD744" s="26">
        <v>37</v>
      </c>
      <c r="AE744" t="s">
        <v>157</v>
      </c>
      <c r="AF744" t="s">
        <v>158</v>
      </c>
      <c r="AG744" s="24">
        <f>IF(ISBLANK(S744),S744,I744)</f>
        <v>9.5</v>
      </c>
      <c r="AH744" s="34">
        <f t="shared" si="28"/>
        <v>111585.69999999998</v>
      </c>
      <c r="AI744">
        <f t="shared" si="27"/>
        <v>69683.315837420538</v>
      </c>
      <c r="AJ744" t="b" cm="1">
        <f t="array" ref="AJ744">OR(D744=$AT$2:$AT$8)</f>
        <v>0</v>
      </c>
    </row>
    <row r="745" spans="1:36" x14ac:dyDescent="0.25">
      <c r="A745" s="2" t="s">
        <v>657</v>
      </c>
      <c r="B745" s="3">
        <v>6.3</v>
      </c>
      <c r="C745" s="2" t="s">
        <v>68</v>
      </c>
      <c r="D745" s="2" t="s">
        <v>69</v>
      </c>
      <c r="E745" s="2" t="s">
        <v>194</v>
      </c>
      <c r="F745" s="4" t="s">
        <v>195</v>
      </c>
      <c r="G745" s="4" t="s">
        <v>196</v>
      </c>
      <c r="H745" s="5">
        <v>8</v>
      </c>
      <c r="I745" s="5">
        <v>9.5</v>
      </c>
      <c r="J745" s="5">
        <v>12</v>
      </c>
      <c r="K745" s="4" t="s">
        <v>111</v>
      </c>
      <c r="L745" s="4" t="s">
        <v>197</v>
      </c>
      <c r="M745" s="6">
        <f>IF(OR(B745="",I745=""),"",B745*I745)</f>
        <v>59.85</v>
      </c>
      <c r="N745" s="29" t="s">
        <v>154</v>
      </c>
      <c r="O745" s="9"/>
      <c r="P745" s="9"/>
      <c r="Q745" s="22"/>
      <c r="R745" s="22"/>
      <c r="S745" s="23" t="str">
        <f>IF(AND(ISNUMBER(Q745),Q745&gt;0,ISNUMBER(R745),R745&gt;0),R745/Q745,"")</f>
        <v/>
      </c>
      <c r="T745" s="9"/>
      <c r="U745" s="9"/>
      <c r="V745" s="9"/>
      <c r="W745" s="9" t="s">
        <v>642</v>
      </c>
      <c r="X745" s="23">
        <f>IF(ISNUMBER(S745),S745,IF(ISNUMBER(I745),I745,""))</f>
        <v>9.5</v>
      </c>
      <c r="Y745" t="str">
        <f>IF(ISNUMBER(S745),"2025 EIA-923 plant/group proxy",IF(ISNUMBER(I745),"Technology estimate","No thermal heat rate"))</f>
        <v>Technology estimate</v>
      </c>
      <c r="Z745" t="str">
        <f>IF(ISNUMBER(S745),"Review: NOT unit verified",IF(AE745="No match","No EIA match",IF(AF745="Unconfirmed","Unconfirmed EIA candidate","")))</f>
        <v>Unconfirmed EIA candidate</v>
      </c>
      <c r="AA745" s="26">
        <v>1</v>
      </c>
      <c r="AB745" t="s">
        <v>307</v>
      </c>
      <c r="AC745" t="s">
        <v>643</v>
      </c>
      <c r="AD745" s="26">
        <v>37</v>
      </c>
      <c r="AE745" t="s">
        <v>157</v>
      </c>
      <c r="AF745" t="s">
        <v>158</v>
      </c>
      <c r="AG745" s="24">
        <f>IF(ISBLANK(S745),S745,I745)</f>
        <v>9.5</v>
      </c>
      <c r="AH745" s="34">
        <f t="shared" si="28"/>
        <v>111591.99999999999</v>
      </c>
      <c r="AI745">
        <f t="shared" si="27"/>
        <v>69687.250077110541</v>
      </c>
      <c r="AJ745" t="b" cm="1">
        <f t="array" ref="AJ745">OR(D745=$AT$2:$AT$8)</f>
        <v>0</v>
      </c>
    </row>
    <row r="746" spans="1:36" x14ac:dyDescent="0.25">
      <c r="A746" s="2" t="s">
        <v>658</v>
      </c>
      <c r="B746" s="3">
        <v>2</v>
      </c>
      <c r="C746" s="2" t="s">
        <v>68</v>
      </c>
      <c r="D746" s="2" t="s">
        <v>69</v>
      </c>
      <c r="E746" s="2" t="s">
        <v>194</v>
      </c>
      <c r="F746" s="4" t="s">
        <v>195</v>
      </c>
      <c r="G746" s="4" t="s">
        <v>196</v>
      </c>
      <c r="H746" s="5">
        <v>8</v>
      </c>
      <c r="I746" s="5">
        <v>9.5</v>
      </c>
      <c r="J746" s="5">
        <v>12</v>
      </c>
      <c r="K746" s="4" t="s">
        <v>111</v>
      </c>
      <c r="L746" s="4" t="s">
        <v>197</v>
      </c>
      <c r="M746" s="6">
        <f>IF(OR(B746="",I746=""),"",B746*I746)</f>
        <v>19</v>
      </c>
      <c r="N746" s="29" t="s">
        <v>154</v>
      </c>
      <c r="O746" s="9"/>
      <c r="P746" s="9"/>
      <c r="Q746" s="22"/>
      <c r="R746" s="22"/>
      <c r="S746" s="23" t="str">
        <f>IF(AND(ISNUMBER(Q746),Q746&gt;0,ISNUMBER(R746),R746&gt;0),R746/Q746,"")</f>
        <v/>
      </c>
      <c r="T746" s="9"/>
      <c r="U746" s="9"/>
      <c r="V746" s="9"/>
      <c r="W746" s="9" t="s">
        <v>642</v>
      </c>
      <c r="X746" s="23">
        <f>IF(ISNUMBER(S746),S746,IF(ISNUMBER(I746),I746,""))</f>
        <v>9.5</v>
      </c>
      <c r="Y746" t="str">
        <f>IF(ISNUMBER(S746),"2025 EIA-923 plant/group proxy",IF(ISNUMBER(I746),"Technology estimate","No thermal heat rate"))</f>
        <v>Technology estimate</v>
      </c>
      <c r="Z746" t="str">
        <f>IF(ISNUMBER(S746),"Review: NOT unit verified",IF(AE746="No match","No EIA match",IF(AF746="Unconfirmed","Unconfirmed EIA candidate","")))</f>
        <v>Unconfirmed EIA candidate</v>
      </c>
      <c r="AA746" s="26">
        <v>1</v>
      </c>
      <c r="AB746" t="s">
        <v>307</v>
      </c>
      <c r="AC746" t="s">
        <v>643</v>
      </c>
      <c r="AD746" s="26">
        <v>37</v>
      </c>
      <c r="AE746" t="s">
        <v>157</v>
      </c>
      <c r="AF746" t="s">
        <v>158</v>
      </c>
      <c r="AG746" s="24">
        <f>IF(ISBLANK(S746),S746,I746)</f>
        <v>9.5</v>
      </c>
      <c r="AH746" s="34">
        <f t="shared" si="28"/>
        <v>111593.99999999999</v>
      </c>
      <c r="AI746">
        <f t="shared" si="27"/>
        <v>69688.499042091484</v>
      </c>
      <c r="AJ746" t="b" cm="1">
        <f t="array" ref="AJ746">OR(D746=$AT$2:$AT$8)</f>
        <v>0</v>
      </c>
    </row>
    <row r="747" spans="1:36" x14ac:dyDescent="0.25">
      <c r="A747" s="2" t="s">
        <v>659</v>
      </c>
      <c r="B747" s="3">
        <v>2.5</v>
      </c>
      <c r="C747" s="2" t="s">
        <v>68</v>
      </c>
      <c r="D747" s="2" t="s">
        <v>69</v>
      </c>
      <c r="E747" s="2" t="s">
        <v>194</v>
      </c>
      <c r="F747" s="4" t="s">
        <v>195</v>
      </c>
      <c r="G747" s="4" t="s">
        <v>196</v>
      </c>
      <c r="H747" s="5">
        <v>8</v>
      </c>
      <c r="I747" s="5">
        <v>9.5</v>
      </c>
      <c r="J747" s="5">
        <v>12</v>
      </c>
      <c r="K747" s="4" t="s">
        <v>111</v>
      </c>
      <c r="L747" s="4" t="s">
        <v>197</v>
      </c>
      <c r="M747" s="6">
        <f>IF(OR(B747="",I747=""),"",B747*I747)</f>
        <v>23.75</v>
      </c>
      <c r="N747" s="29" t="s">
        <v>154</v>
      </c>
      <c r="O747" s="9"/>
      <c r="P747" s="9"/>
      <c r="Q747" s="22"/>
      <c r="R747" s="22"/>
      <c r="S747" s="23" t="str">
        <f>IF(AND(ISNUMBER(Q747),Q747&gt;0,ISNUMBER(R747),R747&gt;0),R747/Q747,"")</f>
        <v/>
      </c>
      <c r="T747" s="9"/>
      <c r="U747" s="9"/>
      <c r="V747" s="9"/>
      <c r="W747" s="9" t="s">
        <v>642</v>
      </c>
      <c r="X747" s="23">
        <f>IF(ISNUMBER(S747),S747,IF(ISNUMBER(I747),I747,""))</f>
        <v>9.5</v>
      </c>
      <c r="Y747" t="str">
        <f>IF(ISNUMBER(S747),"2025 EIA-923 plant/group proxy",IF(ISNUMBER(I747),"Technology estimate","No thermal heat rate"))</f>
        <v>Technology estimate</v>
      </c>
      <c r="Z747" t="str">
        <f>IF(ISNUMBER(S747),"Review: NOT unit verified",IF(AE747="No match","No EIA match",IF(AF747="Unconfirmed","Unconfirmed EIA candidate","")))</f>
        <v>Unconfirmed EIA candidate</v>
      </c>
      <c r="AA747" s="26">
        <v>1</v>
      </c>
      <c r="AB747" t="s">
        <v>307</v>
      </c>
      <c r="AC747" t="s">
        <v>643</v>
      </c>
      <c r="AD747" s="26">
        <v>37</v>
      </c>
      <c r="AE747" t="s">
        <v>157</v>
      </c>
      <c r="AF747" t="s">
        <v>158</v>
      </c>
      <c r="AG747" s="24">
        <f>IF(ISBLANK(S747),S747,I747)</f>
        <v>9.5</v>
      </c>
      <c r="AH747" s="34">
        <f t="shared" si="28"/>
        <v>111596.49999999999</v>
      </c>
      <c r="AI747">
        <f t="shared" si="27"/>
        <v>69690.060248317677</v>
      </c>
      <c r="AJ747" t="b" cm="1">
        <f t="array" ref="AJ747">OR(D747=$AT$2:$AT$8)</f>
        <v>0</v>
      </c>
    </row>
    <row r="748" spans="1:36" x14ac:dyDescent="0.25">
      <c r="A748" s="2" t="s">
        <v>861</v>
      </c>
      <c r="B748" s="3">
        <v>21.4</v>
      </c>
      <c r="C748" s="2" t="s">
        <v>86</v>
      </c>
      <c r="D748" s="2" t="s">
        <v>76</v>
      </c>
      <c r="E748" s="2" t="s">
        <v>194</v>
      </c>
      <c r="F748" s="4" t="s">
        <v>195</v>
      </c>
      <c r="G748" s="4" t="s">
        <v>196</v>
      </c>
      <c r="H748" s="5">
        <v>8</v>
      </c>
      <c r="I748" s="5">
        <v>9.5</v>
      </c>
      <c r="J748" s="5">
        <v>12</v>
      </c>
      <c r="K748" s="4" t="s">
        <v>111</v>
      </c>
      <c r="L748" s="4" t="s">
        <v>197</v>
      </c>
      <c r="M748" s="6">
        <f>IF(OR(B748="",I748=""),"",B748*I748)</f>
        <v>203.29999999999998</v>
      </c>
      <c r="N748" s="29" t="s">
        <v>154</v>
      </c>
      <c r="O748" s="9"/>
      <c r="P748" s="9"/>
      <c r="Q748" s="22"/>
      <c r="R748" s="22"/>
      <c r="S748" s="23" t="str">
        <f>IF(AND(ISNUMBER(Q748),Q748&gt;0,ISNUMBER(R748),R748&gt;0),R748/Q748,"")</f>
        <v/>
      </c>
      <c r="T748" s="9"/>
      <c r="U748" s="9"/>
      <c r="V748" s="9"/>
      <c r="W748" s="9" t="s">
        <v>862</v>
      </c>
      <c r="X748" s="23">
        <f>IF(ISNUMBER(S748),S748,IF(ISNUMBER(I748),I748,""))</f>
        <v>9.5</v>
      </c>
      <c r="Y748" t="str">
        <f>IF(ISNUMBER(S748),"2025 EIA-923 plant/group proxy",IF(ISNUMBER(I748),"Technology estimate","No thermal heat rate"))</f>
        <v>Technology estimate</v>
      </c>
      <c r="Z748" t="str">
        <f>IF(ISNUMBER(S748),"Review: NOT unit verified",IF(AE748="No match","No EIA match",IF(AF748="Unconfirmed","Unconfirmed EIA candidate","")))</f>
        <v>Unconfirmed EIA candidate</v>
      </c>
      <c r="AA748" s="26">
        <v>0.53959999999999997</v>
      </c>
      <c r="AB748" t="s">
        <v>322</v>
      </c>
      <c r="AC748" t="s">
        <v>119</v>
      </c>
      <c r="AD748" s="26">
        <v>6</v>
      </c>
      <c r="AE748" t="s">
        <v>157</v>
      </c>
      <c r="AF748" t="s">
        <v>158</v>
      </c>
      <c r="AG748" s="24">
        <f>IF(ISBLANK(S748),S748,I748)</f>
        <v>9.5</v>
      </c>
      <c r="AH748" s="34">
        <f t="shared" si="28"/>
        <v>111617.89999999998</v>
      </c>
      <c r="AI748">
        <f t="shared" si="27"/>
        <v>69703.42417361385</v>
      </c>
      <c r="AJ748" t="b" cm="1">
        <f t="array" ref="AJ748">OR(D748=$AT$2:$AT$8)</f>
        <v>0</v>
      </c>
    </row>
    <row r="749" spans="1:36" x14ac:dyDescent="0.25">
      <c r="A749" s="2" t="s">
        <v>1181</v>
      </c>
      <c r="B749" s="3">
        <v>20.8</v>
      </c>
      <c r="C749" s="2" t="s">
        <v>86</v>
      </c>
      <c r="D749" s="2" t="s">
        <v>76</v>
      </c>
      <c r="E749" s="2" t="s">
        <v>194</v>
      </c>
      <c r="F749" s="4" t="s">
        <v>195</v>
      </c>
      <c r="G749" s="4" t="s">
        <v>196</v>
      </c>
      <c r="H749" s="5">
        <v>8</v>
      </c>
      <c r="I749" s="5">
        <v>9.5</v>
      </c>
      <c r="J749" s="5">
        <v>12</v>
      </c>
      <c r="K749" s="4" t="s">
        <v>111</v>
      </c>
      <c r="L749" s="4" t="s">
        <v>197</v>
      </c>
      <c r="M749" s="6">
        <f>IF(OR(B749="",I749=""),"",B749*I749)</f>
        <v>197.6</v>
      </c>
      <c r="N749" s="29" t="s">
        <v>154</v>
      </c>
      <c r="O749" s="9"/>
      <c r="P749" s="9"/>
      <c r="Q749" s="22"/>
      <c r="R749" s="22"/>
      <c r="S749" s="23" t="str">
        <f>IF(AND(ISNUMBER(Q749),Q749&gt;0,ISNUMBER(R749),R749&gt;0),R749/Q749,"")</f>
        <v/>
      </c>
      <c r="T749" s="9"/>
      <c r="U749" s="9"/>
      <c r="V749" s="9"/>
      <c r="W749" s="9" t="s">
        <v>1182</v>
      </c>
      <c r="X749" s="23">
        <f>IF(ISNUMBER(S749),S749,IF(ISNUMBER(I749),I749,""))</f>
        <v>9.5</v>
      </c>
      <c r="Y749" t="str">
        <f>IF(ISNUMBER(S749),"2025 EIA-923 plant/group proxy",IF(ISNUMBER(I749),"Technology estimate","No thermal heat rate"))</f>
        <v>Technology estimate</v>
      </c>
      <c r="Z749" t="str">
        <f>IF(ISNUMBER(S749),"Review: NOT unit verified",IF(AE749="No match","No EIA match",IF(AF749="Unconfirmed","Unconfirmed EIA candidate","")))</f>
        <v>Unconfirmed EIA candidate</v>
      </c>
      <c r="AA749" s="26">
        <v>0.53</v>
      </c>
      <c r="AB749" t="s">
        <v>201</v>
      </c>
      <c r="AC749" t="s">
        <v>1183</v>
      </c>
      <c r="AD749" s="26">
        <v>4</v>
      </c>
      <c r="AE749" t="s">
        <v>157</v>
      </c>
      <c r="AF749" t="s">
        <v>158</v>
      </c>
      <c r="AG749" s="24">
        <f>IF(ISBLANK(S749),S749,I749)</f>
        <v>9.5</v>
      </c>
      <c r="AH749" s="34">
        <f t="shared" si="28"/>
        <v>111638.69999999998</v>
      </c>
      <c r="AI749">
        <f t="shared" si="27"/>
        <v>69716.413409415734</v>
      </c>
      <c r="AJ749" t="b" cm="1">
        <f t="array" ref="AJ749">OR(D749=$AT$2:$AT$8)</f>
        <v>0</v>
      </c>
    </row>
    <row r="750" spans="1:36" x14ac:dyDescent="0.25">
      <c r="A750" s="2" t="s">
        <v>1287</v>
      </c>
      <c r="B750" s="3">
        <v>21.4</v>
      </c>
      <c r="C750" s="2" t="s">
        <v>86</v>
      </c>
      <c r="D750" s="2" t="s">
        <v>76</v>
      </c>
      <c r="E750" s="2" t="s">
        <v>194</v>
      </c>
      <c r="F750" s="4" t="s">
        <v>195</v>
      </c>
      <c r="G750" s="4" t="s">
        <v>196</v>
      </c>
      <c r="H750" s="5">
        <v>8</v>
      </c>
      <c r="I750" s="5">
        <v>9.5</v>
      </c>
      <c r="J750" s="5">
        <v>12</v>
      </c>
      <c r="K750" s="4" t="s">
        <v>111</v>
      </c>
      <c r="L750" s="4" t="s">
        <v>197</v>
      </c>
      <c r="M750" s="6">
        <f>IF(OR(B750="",I750=""),"",B750*I750)</f>
        <v>203.29999999999998</v>
      </c>
      <c r="N750" s="29" t="s">
        <v>154</v>
      </c>
      <c r="O750" s="9"/>
      <c r="P750" s="9"/>
      <c r="Q750" s="22"/>
      <c r="R750" s="22"/>
      <c r="S750" s="23" t="str">
        <f>IF(AND(ISNUMBER(Q750),Q750&gt;0,ISNUMBER(R750),R750&gt;0),R750/Q750,"")</f>
        <v/>
      </c>
      <c r="T750" s="9"/>
      <c r="U750" s="9"/>
      <c r="V750" s="9"/>
      <c r="W750" s="9" t="s">
        <v>1288</v>
      </c>
      <c r="X750" s="23">
        <f>IF(ISNUMBER(S750),S750,IF(ISNUMBER(I750),I750,""))</f>
        <v>9.5</v>
      </c>
      <c r="Y750" t="str">
        <f>IF(ISNUMBER(S750),"2025 EIA-923 plant/group proxy",IF(ISNUMBER(I750),"Technology estimate","No thermal heat rate"))</f>
        <v>Technology estimate</v>
      </c>
      <c r="Z750" t="str">
        <f>IF(ISNUMBER(S750),"Review: NOT unit verified",IF(AE750="No match","No EIA match",IF(AF750="Unconfirmed","Unconfirmed EIA candidate","")))</f>
        <v>Unconfirmed EIA candidate</v>
      </c>
      <c r="AA750" s="26">
        <v>0.41539999999999999</v>
      </c>
      <c r="AB750" t="s">
        <v>201</v>
      </c>
      <c r="AC750" t="s">
        <v>1183</v>
      </c>
      <c r="AD750" s="26">
        <v>4</v>
      </c>
      <c r="AE750" t="s">
        <v>157</v>
      </c>
      <c r="AF750" t="s">
        <v>158</v>
      </c>
      <c r="AG750" s="24">
        <f>IF(ISBLANK(S750),S750,I750)</f>
        <v>9.5</v>
      </c>
      <c r="AH750" s="34">
        <f t="shared" si="28"/>
        <v>111660.09999999998</v>
      </c>
      <c r="AI750">
        <f t="shared" si="27"/>
        <v>69729.777334711893</v>
      </c>
      <c r="AJ750" t="b" cm="1">
        <f t="array" ref="AJ750">OR(D750=$AT$2:$AT$8)</f>
        <v>0</v>
      </c>
    </row>
    <row r="751" spans="1:36" x14ac:dyDescent="0.25">
      <c r="A751" s="2" t="s">
        <v>1322</v>
      </c>
      <c r="B751" s="3">
        <v>17.100000000000001</v>
      </c>
      <c r="C751" s="2" t="s">
        <v>78</v>
      </c>
      <c r="D751" s="2" t="s">
        <v>78</v>
      </c>
      <c r="E751" s="2" t="s">
        <v>194</v>
      </c>
      <c r="F751" s="4" t="s">
        <v>195</v>
      </c>
      <c r="G751" s="4" t="s">
        <v>196</v>
      </c>
      <c r="H751" s="5">
        <v>8</v>
      </c>
      <c r="I751" s="5">
        <v>9.5</v>
      </c>
      <c r="J751" s="5">
        <v>12</v>
      </c>
      <c r="K751" s="4" t="s">
        <v>111</v>
      </c>
      <c r="L751" s="4" t="s">
        <v>197</v>
      </c>
      <c r="M751" s="6">
        <f>IF(OR(B751="",I751=""),"",B751*I751)</f>
        <v>162.45000000000002</v>
      </c>
      <c r="N751" s="10" t="s">
        <v>10</v>
      </c>
      <c r="O751" s="9"/>
      <c r="P751" s="9"/>
      <c r="Q751" s="22"/>
      <c r="R751" s="22"/>
      <c r="S751" s="23" t="str">
        <f>IF(AND(ISNUMBER(Q751),Q751&gt;0,ISNUMBER(R751),R751&gt;0),R751/Q751,"")</f>
        <v/>
      </c>
      <c r="T751" s="9"/>
      <c r="U751" s="9"/>
      <c r="V751" s="9"/>
      <c r="W751" s="9"/>
      <c r="X751" s="23">
        <f>IF(ISNUMBER(S751),S751,IF(ISNUMBER(I751),I751,""))</f>
        <v>9.5</v>
      </c>
      <c r="Y751" t="str">
        <f>IF(ISNUMBER(S751),"2025 EIA-923 plant/group proxy",IF(ISNUMBER(I751),"Technology estimate","No thermal heat rate"))</f>
        <v>Technology estimate</v>
      </c>
      <c r="Z751" t="str">
        <f>IF(ISNUMBER(S751),"Review: NOT unit verified",IF(AE751="No match","No EIA match",IF(AF751="Unconfirmed","Unconfirmed EIA candidate","")))</f>
        <v>No EIA match</v>
      </c>
      <c r="AE751" t="s">
        <v>107</v>
      </c>
      <c r="AG751" s="24">
        <f>IF(ISBLANK(S751),S751,I751)</f>
        <v>9.5</v>
      </c>
      <c r="AH751" s="34">
        <f t="shared" si="28"/>
        <v>111677.19999999998</v>
      </c>
      <c r="AI751">
        <f t="shared" si="27"/>
        <v>69740.455985299021</v>
      </c>
      <c r="AJ751" t="b" cm="1">
        <f t="array" ref="AJ751">OR(D751=$AT$2:$AT$8)</f>
        <v>1</v>
      </c>
    </row>
    <row r="752" spans="1:36" x14ac:dyDescent="0.25">
      <c r="A752" s="2" t="s">
        <v>1324</v>
      </c>
      <c r="B752" s="3">
        <v>21.4</v>
      </c>
      <c r="C752" s="2" t="s">
        <v>86</v>
      </c>
      <c r="D752" s="2" t="s">
        <v>76</v>
      </c>
      <c r="E752" s="2" t="s">
        <v>194</v>
      </c>
      <c r="F752" s="4" t="s">
        <v>195</v>
      </c>
      <c r="G752" s="4" t="s">
        <v>196</v>
      </c>
      <c r="H752" s="5">
        <v>8</v>
      </c>
      <c r="I752" s="5">
        <v>9.5</v>
      </c>
      <c r="J752" s="5">
        <v>12</v>
      </c>
      <c r="K752" s="4" t="s">
        <v>111</v>
      </c>
      <c r="L752" s="4" t="s">
        <v>197</v>
      </c>
      <c r="M752" s="6">
        <f>IF(OR(B752="",I752=""),"",B752*I752)</f>
        <v>203.29999999999998</v>
      </c>
      <c r="N752" s="29" t="s">
        <v>154</v>
      </c>
      <c r="O752" s="9"/>
      <c r="P752" s="9"/>
      <c r="Q752" s="22"/>
      <c r="R752" s="22"/>
      <c r="S752" s="23" t="str">
        <f>IF(AND(ISNUMBER(Q752),Q752&gt;0,ISNUMBER(R752),R752&gt;0),R752/Q752,"")</f>
        <v/>
      </c>
      <c r="T752" s="9"/>
      <c r="U752" s="9"/>
      <c r="V752" s="9"/>
      <c r="W752" s="9" t="s">
        <v>1325</v>
      </c>
      <c r="X752" s="23">
        <f>IF(ISNUMBER(S752),S752,IF(ISNUMBER(I752),I752,""))</f>
        <v>9.5</v>
      </c>
      <c r="Y752" t="str">
        <f>IF(ISNUMBER(S752),"2025 EIA-923 plant/group proxy",IF(ISNUMBER(I752),"Technology estimate","No thermal heat rate"))</f>
        <v>Technology estimate</v>
      </c>
      <c r="Z752" t="str">
        <f>IF(ISNUMBER(S752),"Review: NOT unit verified",IF(AE752="No match","No EIA match",IF(AF752="Unconfirmed","Unconfirmed EIA candidate","")))</f>
        <v>Unconfirmed EIA candidate</v>
      </c>
      <c r="AA752" s="26">
        <v>0.54330000000000001</v>
      </c>
      <c r="AB752" t="s">
        <v>201</v>
      </c>
      <c r="AC752" t="s">
        <v>308</v>
      </c>
      <c r="AD752" s="26">
        <v>4</v>
      </c>
      <c r="AE752" t="s">
        <v>157</v>
      </c>
      <c r="AF752" t="s">
        <v>158</v>
      </c>
      <c r="AG752" s="24">
        <f>IF(ISBLANK(S752),S752,I752)</f>
        <v>9.5</v>
      </c>
      <c r="AH752" s="34">
        <f t="shared" si="28"/>
        <v>111698.59999999998</v>
      </c>
      <c r="AI752">
        <f t="shared" si="27"/>
        <v>69753.819910595194</v>
      </c>
      <c r="AJ752" t="b" cm="1">
        <f t="array" ref="AJ752">OR(D752=$AT$2:$AT$8)</f>
        <v>0</v>
      </c>
    </row>
    <row r="753" spans="1:36" x14ac:dyDescent="0.25">
      <c r="A753" s="2" t="s">
        <v>1335</v>
      </c>
      <c r="B753" s="3">
        <v>12</v>
      </c>
      <c r="C753" s="2" t="s">
        <v>136</v>
      </c>
      <c r="D753" s="2" t="s">
        <v>136</v>
      </c>
      <c r="E753" s="2" t="s">
        <v>194</v>
      </c>
      <c r="F753" s="4" t="s">
        <v>195</v>
      </c>
      <c r="G753" s="4" t="s">
        <v>196</v>
      </c>
      <c r="H753" s="5">
        <v>8</v>
      </c>
      <c r="I753" s="5">
        <v>9.5</v>
      </c>
      <c r="J753" s="5">
        <v>12</v>
      </c>
      <c r="K753" s="4" t="s">
        <v>111</v>
      </c>
      <c r="L753" s="4" t="s">
        <v>197</v>
      </c>
      <c r="M753" s="6">
        <f>IF(OR(B753="",I753=""),"",B753*I753)</f>
        <v>114</v>
      </c>
      <c r="N753" s="29" t="s">
        <v>154</v>
      </c>
      <c r="O753" s="9"/>
      <c r="P753" s="9"/>
      <c r="Q753" s="22"/>
      <c r="R753" s="22"/>
      <c r="S753" s="23" t="str">
        <f>IF(AND(ISNUMBER(Q753),Q753&gt;0,ISNUMBER(R753),R753&gt;0),R753/Q753,"")</f>
        <v/>
      </c>
      <c r="T753" s="9"/>
      <c r="U753" s="9"/>
      <c r="V753" s="9"/>
      <c r="W753" s="9" t="s">
        <v>1336</v>
      </c>
      <c r="X753" s="23">
        <f>IF(ISNUMBER(S753),S753,IF(ISNUMBER(I753),I753,""))</f>
        <v>9.5</v>
      </c>
      <c r="Y753" t="str">
        <f>IF(ISNUMBER(S753),"2025 EIA-923 plant/group proxy",IF(ISNUMBER(I753),"Technology estimate","No thermal heat rate"))</f>
        <v>Technology estimate</v>
      </c>
      <c r="Z753" t="str">
        <f>IF(ISNUMBER(S753),"Review: NOT unit verified",IF(AE753="No match","No EIA match",IF(AF753="Unconfirmed","Unconfirmed EIA candidate","")))</f>
        <v>Unconfirmed EIA candidate</v>
      </c>
      <c r="AA753" s="26">
        <v>0.86680000000000001</v>
      </c>
      <c r="AB753" t="s">
        <v>143</v>
      </c>
      <c r="AD753" s="26">
        <v>0</v>
      </c>
      <c r="AE753" t="s">
        <v>157</v>
      </c>
      <c r="AF753" t="s">
        <v>158</v>
      </c>
      <c r="AG753" s="24">
        <f>IF(ISBLANK(S753),S753,I753)</f>
        <v>9.5</v>
      </c>
      <c r="AH753" s="34">
        <f t="shared" si="28"/>
        <v>111710.59999999998</v>
      </c>
      <c r="AI753">
        <f t="shared" si="27"/>
        <v>69761.313700480896</v>
      </c>
      <c r="AJ753" t="b" cm="1">
        <f t="array" ref="AJ753">OR(D753=$AT$2:$AT$8)</f>
        <v>0</v>
      </c>
    </row>
    <row r="754" spans="1:36" x14ac:dyDescent="0.25">
      <c r="A754" s="2" t="s">
        <v>1648</v>
      </c>
      <c r="B754" s="3">
        <v>21.4</v>
      </c>
      <c r="C754" s="2" t="s">
        <v>86</v>
      </c>
      <c r="D754" s="2" t="s">
        <v>76</v>
      </c>
      <c r="E754" s="2" t="s">
        <v>194</v>
      </c>
      <c r="F754" s="4" t="s">
        <v>195</v>
      </c>
      <c r="G754" s="4" t="s">
        <v>196</v>
      </c>
      <c r="H754" s="5">
        <v>8</v>
      </c>
      <c r="I754" s="5">
        <v>9.5</v>
      </c>
      <c r="J754" s="5">
        <v>12</v>
      </c>
      <c r="K754" s="4" t="s">
        <v>111</v>
      </c>
      <c r="L754" s="4" t="s">
        <v>197</v>
      </c>
      <c r="M754" s="6">
        <f>IF(OR(B754="",I754=""),"",B754*I754)</f>
        <v>203.29999999999998</v>
      </c>
      <c r="N754" s="29" t="s">
        <v>154</v>
      </c>
      <c r="O754" s="9"/>
      <c r="P754" s="9"/>
      <c r="Q754" s="22"/>
      <c r="R754" s="22"/>
      <c r="S754" s="23" t="str">
        <f>IF(AND(ISNUMBER(Q754),Q754&gt;0,ISNUMBER(R754),R754&gt;0),R754/Q754,"")</f>
        <v/>
      </c>
      <c r="T754" s="9"/>
      <c r="U754" s="9"/>
      <c r="V754" s="9"/>
      <c r="W754" s="9" t="s">
        <v>1649</v>
      </c>
      <c r="X754" s="23">
        <f>IF(ISNUMBER(S754),S754,IF(ISNUMBER(I754),I754,""))</f>
        <v>9.5</v>
      </c>
      <c r="Y754" t="str">
        <f>IF(ISNUMBER(S754),"2025 EIA-923 plant/group proxy",IF(ISNUMBER(I754),"Technology estimate","No thermal heat rate"))</f>
        <v>Technology estimate</v>
      </c>
      <c r="Z754" t="str">
        <f>IF(ISNUMBER(S754),"Review: NOT unit verified",IF(AE754="No match","No EIA match",IF(AF754="Unconfirmed","Unconfirmed EIA candidate","")))</f>
        <v>Unconfirmed EIA candidate</v>
      </c>
      <c r="AA754" s="26">
        <v>0.42399999999999999</v>
      </c>
      <c r="AB754" t="s">
        <v>322</v>
      </c>
      <c r="AC754" t="s">
        <v>119</v>
      </c>
      <c r="AD754" s="26">
        <v>6</v>
      </c>
      <c r="AE754" t="s">
        <v>157</v>
      </c>
      <c r="AF754" t="s">
        <v>158</v>
      </c>
      <c r="AG754" s="24">
        <f>IF(ISBLANK(S754),S754,I754)</f>
        <v>9.5</v>
      </c>
      <c r="AH754" s="34">
        <f t="shared" si="28"/>
        <v>111731.99999999997</v>
      </c>
      <c r="AI754">
        <f t="shared" si="27"/>
        <v>69774.677625777069</v>
      </c>
      <c r="AJ754" t="b" cm="1">
        <f t="array" ref="AJ754">OR(D754=$AT$2:$AT$8)</f>
        <v>0</v>
      </c>
    </row>
    <row r="755" spans="1:36" x14ac:dyDescent="0.25">
      <c r="A755" s="2" t="s">
        <v>1653</v>
      </c>
      <c r="B755" s="3">
        <v>5</v>
      </c>
      <c r="C755" s="2" t="s">
        <v>136</v>
      </c>
      <c r="D755" s="2" t="s">
        <v>136</v>
      </c>
      <c r="E755" s="2" t="s">
        <v>194</v>
      </c>
      <c r="F755" s="4" t="s">
        <v>195</v>
      </c>
      <c r="G755" s="4" t="s">
        <v>196</v>
      </c>
      <c r="H755" s="5">
        <v>8</v>
      </c>
      <c r="I755" s="5">
        <v>9.5</v>
      </c>
      <c r="J755" s="5">
        <v>12</v>
      </c>
      <c r="K755" s="4" t="s">
        <v>111</v>
      </c>
      <c r="L755" s="4" t="s">
        <v>197</v>
      </c>
      <c r="M755" s="6">
        <f>IF(OR(B755="",I755=""),"",B755*I755)</f>
        <v>47.5</v>
      </c>
      <c r="N755" s="29" t="s">
        <v>154</v>
      </c>
      <c r="O755" s="9"/>
      <c r="P755" s="9"/>
      <c r="Q755" s="22"/>
      <c r="R755" s="22"/>
      <c r="S755" s="23" t="str">
        <f>IF(AND(ISNUMBER(Q755),Q755&gt;0,ISNUMBER(R755),R755&gt;0),R755/Q755,"")</f>
        <v/>
      </c>
      <c r="T755" s="9"/>
      <c r="U755" s="9"/>
      <c r="V755" s="9"/>
      <c r="W755" s="9" t="s">
        <v>1654</v>
      </c>
      <c r="X755" s="23">
        <f>IF(ISNUMBER(S755),S755,IF(ISNUMBER(I755),I755,""))</f>
        <v>9.5</v>
      </c>
      <c r="Y755" t="str">
        <f>IF(ISNUMBER(S755),"2025 EIA-923 plant/group proxy",IF(ISNUMBER(I755),"Technology estimate","No thermal heat rate"))</f>
        <v>Technology estimate</v>
      </c>
      <c r="Z755" t="str">
        <f>IF(ISNUMBER(S755),"Review: NOT unit verified",IF(AE755="No match","No EIA match",IF(AF755="Unconfirmed","Unconfirmed EIA candidate","")))</f>
        <v>Unconfirmed EIA candidate</v>
      </c>
      <c r="AA755" s="26">
        <v>0.53959999999999997</v>
      </c>
      <c r="AB755" t="s">
        <v>143</v>
      </c>
      <c r="AC755" t="s">
        <v>1655</v>
      </c>
      <c r="AD755" s="26">
        <v>41</v>
      </c>
      <c r="AE755" t="s">
        <v>157</v>
      </c>
      <c r="AF755" t="s">
        <v>158</v>
      </c>
      <c r="AG755" s="24">
        <f>IF(ISBLANK(S755),S755,I755)</f>
        <v>9.5</v>
      </c>
      <c r="AH755" s="34">
        <f t="shared" si="28"/>
        <v>111736.99999999997</v>
      </c>
      <c r="AI755">
        <f t="shared" si="27"/>
        <v>69777.800038229441</v>
      </c>
      <c r="AJ755" t="b" cm="1">
        <f t="array" ref="AJ755">OR(D755=$AT$2:$AT$8)</f>
        <v>0</v>
      </c>
    </row>
    <row r="756" spans="1:36" x14ac:dyDescent="0.25">
      <c r="A756" s="2" t="s">
        <v>1664</v>
      </c>
      <c r="B756" s="3">
        <v>10</v>
      </c>
      <c r="C756" s="2" t="s">
        <v>347</v>
      </c>
      <c r="D756" s="2" t="s">
        <v>347</v>
      </c>
      <c r="E756" s="2" t="s">
        <v>194</v>
      </c>
      <c r="F756" s="4" t="s">
        <v>195</v>
      </c>
      <c r="G756" s="4" t="s">
        <v>196</v>
      </c>
      <c r="H756" s="5">
        <v>8</v>
      </c>
      <c r="I756" s="5">
        <v>9.5</v>
      </c>
      <c r="J756" s="5">
        <v>12</v>
      </c>
      <c r="K756" s="4" t="s">
        <v>111</v>
      </c>
      <c r="L756" s="4" t="s">
        <v>197</v>
      </c>
      <c r="M756" s="6">
        <f>IF(OR(B756="",I756=""),"",B756*I756)</f>
        <v>95</v>
      </c>
      <c r="N756" s="29" t="s">
        <v>154</v>
      </c>
      <c r="O756" s="9"/>
      <c r="P756" s="9"/>
      <c r="Q756" s="22"/>
      <c r="R756" s="22"/>
      <c r="S756" s="23" t="str">
        <f>IF(AND(ISNUMBER(Q756),Q756&gt;0,ISNUMBER(R756),R756&gt;0),R756/Q756,"")</f>
        <v/>
      </c>
      <c r="T756" s="9"/>
      <c r="U756" s="9"/>
      <c r="V756" s="9"/>
      <c r="W756" s="9" t="s">
        <v>1665</v>
      </c>
      <c r="X756" s="23">
        <f>IF(ISNUMBER(S756),S756,IF(ISNUMBER(I756),I756,""))</f>
        <v>9.5</v>
      </c>
      <c r="Y756" t="str">
        <f>IF(ISNUMBER(S756),"2025 EIA-923 plant/group proxy",IF(ISNUMBER(I756),"Technology estimate","No thermal heat rate"))</f>
        <v>Technology estimate</v>
      </c>
      <c r="Z756" t="str">
        <f>IF(ISNUMBER(S756),"Review: NOT unit verified",IF(AE756="No match","No EIA match",IF(AF756="Unconfirmed","Unconfirmed EIA candidate","")))</f>
        <v>Unconfirmed EIA candidate</v>
      </c>
      <c r="AA756" s="26">
        <v>0.60499999999999998</v>
      </c>
      <c r="AB756" t="s">
        <v>322</v>
      </c>
      <c r="AC756" t="s">
        <v>1666</v>
      </c>
      <c r="AD756" s="26">
        <v>10</v>
      </c>
      <c r="AE756" t="s">
        <v>157</v>
      </c>
      <c r="AF756" t="s">
        <v>158</v>
      </c>
      <c r="AG756" s="24">
        <f>IF(ISBLANK(S756),S756,I756)</f>
        <v>9.5</v>
      </c>
      <c r="AH756" s="34">
        <f t="shared" si="28"/>
        <v>111746.99999999997</v>
      </c>
      <c r="AI756">
        <f t="shared" si="27"/>
        <v>69784.044863134186</v>
      </c>
      <c r="AJ756" t="b" cm="1">
        <f t="array" ref="AJ756">OR(D756=$AT$2:$AT$8)</f>
        <v>0</v>
      </c>
    </row>
    <row r="757" spans="1:36" x14ac:dyDescent="0.25">
      <c r="A757" s="2" t="s">
        <v>950</v>
      </c>
      <c r="B757" s="3">
        <v>44.3</v>
      </c>
      <c r="C757" s="2" t="s">
        <v>136</v>
      </c>
      <c r="D757" s="2" t="s">
        <v>136</v>
      </c>
      <c r="E757" s="2" t="s">
        <v>137</v>
      </c>
      <c r="F757" s="4" t="s">
        <v>138</v>
      </c>
      <c r="G757" s="4" t="s">
        <v>139</v>
      </c>
      <c r="H757" s="5">
        <v>9</v>
      </c>
      <c r="I757" s="5">
        <v>10.5</v>
      </c>
      <c r="J757" s="5">
        <v>13</v>
      </c>
      <c r="K757" s="4" t="s">
        <v>111</v>
      </c>
      <c r="L757" s="4" t="s">
        <v>112</v>
      </c>
      <c r="M757" s="6">
        <f>IF(OR(B757="",I757=""),"",B757*I757)</f>
        <v>465.15</v>
      </c>
      <c r="N757" s="25" t="s">
        <v>113</v>
      </c>
      <c r="O757" s="26">
        <v>56397</v>
      </c>
      <c r="P757" s="9" t="s">
        <v>951</v>
      </c>
      <c r="Q757" s="27">
        <v>37882.000999999997</v>
      </c>
      <c r="R757" s="27">
        <v>368573</v>
      </c>
      <c r="S757" s="23">
        <f>IF(AND(ISNUMBER(Q757),Q757&gt;0,ISNUMBER(R757),R757&gt;0),R757/Q757,"")</f>
        <v>9.7295018813816103</v>
      </c>
      <c r="T757" s="9" t="s">
        <v>115</v>
      </c>
      <c r="U757" s="9" t="s">
        <v>141</v>
      </c>
      <c r="V757" s="9" t="s">
        <v>21</v>
      </c>
      <c r="W757" s="9" t="s">
        <v>217</v>
      </c>
      <c r="X757" s="23">
        <f>IF(ISNUMBER(S757),S757,IF(ISNUMBER(I757),I757,""))</f>
        <v>9.7295018813816103</v>
      </c>
      <c r="Y757" t="str">
        <f>IF(ISNUMBER(S757),"2025 EIA-923 plant/group proxy",IF(ISNUMBER(I757),"Technology estimate","No thermal heat rate"))</f>
        <v>2025 EIA-923 plant/group proxy</v>
      </c>
      <c r="Z757" t="str">
        <f>IF(ISNUMBER(S757),"Review: NOT unit verified",IF(AE757="No match","No EIA match",IF(AF757="Unconfirmed","Unconfirmed EIA candidate","")))</f>
        <v>Review: NOT unit verified</v>
      </c>
      <c r="AA757" s="26">
        <v>1</v>
      </c>
      <c r="AB757" t="s">
        <v>143</v>
      </c>
      <c r="AC757" t="s">
        <v>952</v>
      </c>
      <c r="AD757" s="26">
        <v>44.8</v>
      </c>
      <c r="AE757" t="s">
        <v>120</v>
      </c>
      <c r="AF757" t="s">
        <v>121</v>
      </c>
      <c r="AG757" s="27">
        <v>9.7294999999999998</v>
      </c>
      <c r="AH757" s="34">
        <f t="shared" si="28"/>
        <v>111791.29999999997</v>
      </c>
      <c r="AI757">
        <f t="shared" si="27"/>
        <v>69811.709437462239</v>
      </c>
      <c r="AJ757" t="b" cm="1">
        <f t="array" ref="AJ757">OR(D757=$AT$2:$AT$8)</f>
        <v>0</v>
      </c>
    </row>
    <row r="758" spans="1:36" x14ac:dyDescent="0.25">
      <c r="A758" s="2" t="s">
        <v>193</v>
      </c>
      <c r="B758" s="3">
        <v>2.1</v>
      </c>
      <c r="C758" s="2" t="s">
        <v>68</v>
      </c>
      <c r="D758" s="2" t="s">
        <v>69</v>
      </c>
      <c r="E758" s="2" t="s">
        <v>194</v>
      </c>
      <c r="F758" s="4" t="s">
        <v>195</v>
      </c>
      <c r="G758" s="4" t="s">
        <v>196</v>
      </c>
      <c r="H758" s="5">
        <v>8</v>
      </c>
      <c r="I758" s="5">
        <v>9.5</v>
      </c>
      <c r="J758" s="5">
        <v>12</v>
      </c>
      <c r="K758" s="4" t="s">
        <v>111</v>
      </c>
      <c r="L758" s="4" t="s">
        <v>197</v>
      </c>
      <c r="M758" s="6">
        <f>IF(OR(B758="",I758=""),"",B758*I758)</f>
        <v>19.95</v>
      </c>
      <c r="N758" s="25" t="s">
        <v>113</v>
      </c>
      <c r="O758" s="26">
        <v>3782</v>
      </c>
      <c r="P758" s="9" t="s">
        <v>198</v>
      </c>
      <c r="Q758" s="27">
        <v>3844</v>
      </c>
      <c r="R758" s="27">
        <v>37631</v>
      </c>
      <c r="S758" s="23">
        <f>IF(AND(ISNUMBER(Q758),Q758&gt;0,ISNUMBER(R758),R758&gt;0),R758/Q758,"")</f>
        <v>9.789542143600416</v>
      </c>
      <c r="T758" s="9" t="s">
        <v>115</v>
      </c>
      <c r="U758" s="9" t="s">
        <v>199</v>
      </c>
      <c r="V758" s="9" t="s">
        <v>21</v>
      </c>
      <c r="W758" s="9" t="s">
        <v>200</v>
      </c>
      <c r="X758" s="23">
        <f>IF(ISNUMBER(S758),S758,IF(ISNUMBER(I758),I758,""))</f>
        <v>9.789542143600416</v>
      </c>
      <c r="Y758" t="str">
        <f>IF(ISNUMBER(S758),"2025 EIA-923 plant/group proxy",IF(ISNUMBER(I758),"Technology estimate","No thermal heat rate"))</f>
        <v>2025 EIA-923 plant/group proxy</v>
      </c>
      <c r="Z758" t="str">
        <f>IF(ISNUMBER(S758),"Review: NOT unit verified",IF(AE758="No match","No EIA match",IF(AF758="Unconfirmed","Unconfirmed EIA candidate","")))</f>
        <v>Review: NOT unit verified</v>
      </c>
      <c r="AA758" s="26">
        <v>1</v>
      </c>
      <c r="AB758" t="s">
        <v>201</v>
      </c>
      <c r="AC758" t="s">
        <v>202</v>
      </c>
      <c r="AD758" s="26">
        <v>12.6</v>
      </c>
      <c r="AE758" t="s">
        <v>120</v>
      </c>
      <c r="AF758" t="s">
        <v>121</v>
      </c>
      <c r="AG758" s="27">
        <v>9.7895000000000003</v>
      </c>
      <c r="AH758" s="34">
        <f t="shared" si="28"/>
        <v>111793.39999999998</v>
      </c>
      <c r="AI758">
        <f t="shared" si="27"/>
        <v>69813.02085069225</v>
      </c>
      <c r="AJ758" t="b" cm="1">
        <f t="array" ref="AJ758">OR(D758=$AT$2:$AT$8)</f>
        <v>0</v>
      </c>
    </row>
    <row r="759" spans="1:36" x14ac:dyDescent="0.25">
      <c r="A759" s="2" t="s">
        <v>203</v>
      </c>
      <c r="B759" s="3">
        <v>2.1</v>
      </c>
      <c r="C759" s="2" t="s">
        <v>68</v>
      </c>
      <c r="D759" s="2" t="s">
        <v>69</v>
      </c>
      <c r="E759" s="2" t="s">
        <v>194</v>
      </c>
      <c r="F759" s="4" t="s">
        <v>195</v>
      </c>
      <c r="G759" s="4" t="s">
        <v>196</v>
      </c>
      <c r="H759" s="5">
        <v>8</v>
      </c>
      <c r="I759" s="5">
        <v>9.5</v>
      </c>
      <c r="J759" s="5">
        <v>12</v>
      </c>
      <c r="K759" s="4" t="s">
        <v>111</v>
      </c>
      <c r="L759" s="4" t="s">
        <v>197</v>
      </c>
      <c r="M759" s="6">
        <f>IF(OR(B759="",I759=""),"",B759*I759)</f>
        <v>19.95</v>
      </c>
      <c r="N759" s="25" t="s">
        <v>113</v>
      </c>
      <c r="O759" s="26">
        <v>3782</v>
      </c>
      <c r="P759" s="9" t="s">
        <v>198</v>
      </c>
      <c r="Q759" s="27">
        <v>3844</v>
      </c>
      <c r="R759" s="27">
        <v>37631</v>
      </c>
      <c r="S759" s="23">
        <f>IF(AND(ISNUMBER(Q759),Q759&gt;0,ISNUMBER(R759),R759&gt;0),R759/Q759,"")</f>
        <v>9.789542143600416</v>
      </c>
      <c r="T759" s="9" t="s">
        <v>115</v>
      </c>
      <c r="U759" s="9" t="s">
        <v>199</v>
      </c>
      <c r="V759" s="9" t="s">
        <v>21</v>
      </c>
      <c r="W759" s="9" t="s">
        <v>200</v>
      </c>
      <c r="X759" s="23">
        <f>IF(ISNUMBER(S759),S759,IF(ISNUMBER(I759),I759,""))</f>
        <v>9.789542143600416</v>
      </c>
      <c r="Y759" t="str">
        <f>IF(ISNUMBER(S759),"2025 EIA-923 plant/group proxy",IF(ISNUMBER(I759),"Technology estimate","No thermal heat rate"))</f>
        <v>2025 EIA-923 plant/group proxy</v>
      </c>
      <c r="Z759" t="str">
        <f>IF(ISNUMBER(S759),"Review: NOT unit verified",IF(AE759="No match","No EIA match",IF(AF759="Unconfirmed","Unconfirmed EIA candidate","")))</f>
        <v>Review: NOT unit verified</v>
      </c>
      <c r="AA759" s="26">
        <v>1</v>
      </c>
      <c r="AB759" t="s">
        <v>201</v>
      </c>
      <c r="AC759" t="s">
        <v>202</v>
      </c>
      <c r="AD759" s="26">
        <v>12.6</v>
      </c>
      <c r="AE759" t="s">
        <v>120</v>
      </c>
      <c r="AF759" t="s">
        <v>121</v>
      </c>
      <c r="AG759" s="27">
        <v>9.7895000000000003</v>
      </c>
      <c r="AH759" s="34">
        <f t="shared" si="28"/>
        <v>111795.49999999999</v>
      </c>
      <c r="AI759">
        <f t="shared" si="27"/>
        <v>69814.332263922246</v>
      </c>
      <c r="AJ759" t="b" cm="1">
        <f t="array" ref="AJ759">OR(D759=$AT$2:$AT$8)</f>
        <v>0</v>
      </c>
    </row>
    <row r="760" spans="1:36" x14ac:dyDescent="0.25">
      <c r="A760" s="2" t="s">
        <v>204</v>
      </c>
      <c r="B760" s="3">
        <v>2.1</v>
      </c>
      <c r="C760" s="2" t="s">
        <v>68</v>
      </c>
      <c r="D760" s="2" t="s">
        <v>69</v>
      </c>
      <c r="E760" s="2" t="s">
        <v>194</v>
      </c>
      <c r="F760" s="4" t="s">
        <v>195</v>
      </c>
      <c r="G760" s="4" t="s">
        <v>196</v>
      </c>
      <c r="H760" s="5">
        <v>8</v>
      </c>
      <c r="I760" s="5">
        <v>9.5</v>
      </c>
      <c r="J760" s="5">
        <v>12</v>
      </c>
      <c r="K760" s="4" t="s">
        <v>111</v>
      </c>
      <c r="L760" s="4" t="s">
        <v>197</v>
      </c>
      <c r="M760" s="6">
        <f>IF(OR(B760="",I760=""),"",B760*I760)</f>
        <v>19.95</v>
      </c>
      <c r="N760" s="25" t="s">
        <v>113</v>
      </c>
      <c r="O760" s="26">
        <v>3782</v>
      </c>
      <c r="P760" s="9" t="s">
        <v>198</v>
      </c>
      <c r="Q760" s="27">
        <v>3844</v>
      </c>
      <c r="R760" s="27">
        <v>37631</v>
      </c>
      <c r="S760" s="23">
        <f>IF(AND(ISNUMBER(Q760),Q760&gt;0,ISNUMBER(R760),R760&gt;0),R760/Q760,"")</f>
        <v>9.789542143600416</v>
      </c>
      <c r="T760" s="9" t="s">
        <v>115</v>
      </c>
      <c r="U760" s="9" t="s">
        <v>199</v>
      </c>
      <c r="V760" s="9" t="s">
        <v>21</v>
      </c>
      <c r="W760" s="9" t="s">
        <v>200</v>
      </c>
      <c r="X760" s="23">
        <f>IF(ISNUMBER(S760),S760,IF(ISNUMBER(I760),I760,""))</f>
        <v>9.789542143600416</v>
      </c>
      <c r="Y760" t="str">
        <f>IF(ISNUMBER(S760),"2025 EIA-923 plant/group proxy",IF(ISNUMBER(I760),"Technology estimate","No thermal heat rate"))</f>
        <v>2025 EIA-923 plant/group proxy</v>
      </c>
      <c r="Z760" t="str">
        <f>IF(ISNUMBER(S760),"Review: NOT unit verified",IF(AE760="No match","No EIA match",IF(AF760="Unconfirmed","Unconfirmed EIA candidate","")))</f>
        <v>Review: NOT unit verified</v>
      </c>
      <c r="AA760" s="26">
        <v>1</v>
      </c>
      <c r="AB760" t="s">
        <v>201</v>
      </c>
      <c r="AC760" t="s">
        <v>202</v>
      </c>
      <c r="AD760" s="26">
        <v>12.6</v>
      </c>
      <c r="AE760" t="s">
        <v>120</v>
      </c>
      <c r="AF760" t="s">
        <v>121</v>
      </c>
      <c r="AG760" s="27">
        <v>9.7895000000000003</v>
      </c>
      <c r="AH760" s="34">
        <f t="shared" si="28"/>
        <v>111797.59999999999</v>
      </c>
      <c r="AI760">
        <f t="shared" si="27"/>
        <v>69815.643677152242</v>
      </c>
      <c r="AJ760" t="b" cm="1">
        <f t="array" ref="AJ760">OR(D760=$AT$2:$AT$8)</f>
        <v>0</v>
      </c>
    </row>
    <row r="761" spans="1:36" x14ac:dyDescent="0.25">
      <c r="A761" s="2" t="s">
        <v>205</v>
      </c>
      <c r="B761" s="3">
        <v>2.1</v>
      </c>
      <c r="C761" s="2" t="s">
        <v>68</v>
      </c>
      <c r="D761" s="2" t="s">
        <v>69</v>
      </c>
      <c r="E761" s="2" t="s">
        <v>194</v>
      </c>
      <c r="F761" s="4" t="s">
        <v>195</v>
      </c>
      <c r="G761" s="4" t="s">
        <v>196</v>
      </c>
      <c r="H761" s="5">
        <v>8</v>
      </c>
      <c r="I761" s="5">
        <v>9.5</v>
      </c>
      <c r="J761" s="5">
        <v>12</v>
      </c>
      <c r="K761" s="4" t="s">
        <v>111</v>
      </c>
      <c r="L761" s="4" t="s">
        <v>197</v>
      </c>
      <c r="M761" s="6">
        <f>IF(OR(B761="",I761=""),"",B761*I761)</f>
        <v>19.95</v>
      </c>
      <c r="N761" s="25" t="s">
        <v>113</v>
      </c>
      <c r="O761" s="26">
        <v>3782</v>
      </c>
      <c r="P761" s="9" t="s">
        <v>198</v>
      </c>
      <c r="Q761" s="27">
        <v>3844</v>
      </c>
      <c r="R761" s="27">
        <v>37631</v>
      </c>
      <c r="S761" s="23">
        <f>IF(AND(ISNUMBER(Q761),Q761&gt;0,ISNUMBER(R761),R761&gt;0),R761/Q761,"")</f>
        <v>9.789542143600416</v>
      </c>
      <c r="T761" s="9" t="s">
        <v>115</v>
      </c>
      <c r="U761" s="9" t="s">
        <v>199</v>
      </c>
      <c r="V761" s="9" t="s">
        <v>21</v>
      </c>
      <c r="W761" s="9" t="s">
        <v>200</v>
      </c>
      <c r="X761" s="23">
        <f>IF(ISNUMBER(S761),S761,IF(ISNUMBER(I761),I761,""))</f>
        <v>9.789542143600416</v>
      </c>
      <c r="Y761" t="str">
        <f>IF(ISNUMBER(S761),"2025 EIA-923 plant/group proxy",IF(ISNUMBER(I761),"Technology estimate","No thermal heat rate"))</f>
        <v>2025 EIA-923 plant/group proxy</v>
      </c>
      <c r="Z761" t="str">
        <f>IF(ISNUMBER(S761),"Review: NOT unit verified",IF(AE761="No match","No EIA match",IF(AF761="Unconfirmed","Unconfirmed EIA candidate","")))</f>
        <v>Review: NOT unit verified</v>
      </c>
      <c r="AA761" s="26">
        <v>1</v>
      </c>
      <c r="AB761" t="s">
        <v>201</v>
      </c>
      <c r="AC761" t="s">
        <v>202</v>
      </c>
      <c r="AD761" s="26">
        <v>12.6</v>
      </c>
      <c r="AE761" t="s">
        <v>120</v>
      </c>
      <c r="AF761" t="s">
        <v>121</v>
      </c>
      <c r="AG761" s="27">
        <v>9.7895000000000003</v>
      </c>
      <c r="AH761" s="34">
        <f t="shared" si="28"/>
        <v>111799.7</v>
      </c>
      <c r="AI761">
        <f t="shared" si="27"/>
        <v>69816.955090382253</v>
      </c>
      <c r="AJ761" t="b" cm="1">
        <f t="array" ref="AJ761">OR(D761=$AT$2:$AT$8)</f>
        <v>0</v>
      </c>
    </row>
    <row r="762" spans="1:36" x14ac:dyDescent="0.25">
      <c r="A762" s="2" t="s">
        <v>206</v>
      </c>
      <c r="B762" s="3">
        <v>2.1</v>
      </c>
      <c r="C762" s="2" t="s">
        <v>68</v>
      </c>
      <c r="D762" s="2" t="s">
        <v>69</v>
      </c>
      <c r="E762" s="2" t="s">
        <v>194</v>
      </c>
      <c r="F762" s="4" t="s">
        <v>195</v>
      </c>
      <c r="G762" s="4" t="s">
        <v>196</v>
      </c>
      <c r="H762" s="5">
        <v>8</v>
      </c>
      <c r="I762" s="5">
        <v>9.5</v>
      </c>
      <c r="J762" s="5">
        <v>12</v>
      </c>
      <c r="K762" s="4" t="s">
        <v>111</v>
      </c>
      <c r="L762" s="4" t="s">
        <v>197</v>
      </c>
      <c r="M762" s="6">
        <f>IF(OR(B762="",I762=""),"",B762*I762)</f>
        <v>19.95</v>
      </c>
      <c r="N762" s="25" t="s">
        <v>113</v>
      </c>
      <c r="O762" s="26">
        <v>3782</v>
      </c>
      <c r="P762" s="9" t="s">
        <v>198</v>
      </c>
      <c r="Q762" s="27">
        <v>3844</v>
      </c>
      <c r="R762" s="27">
        <v>37631</v>
      </c>
      <c r="S762" s="23">
        <f>IF(AND(ISNUMBER(Q762),Q762&gt;0,ISNUMBER(R762),R762&gt;0),R762/Q762,"")</f>
        <v>9.789542143600416</v>
      </c>
      <c r="T762" s="9" t="s">
        <v>115</v>
      </c>
      <c r="U762" s="9" t="s">
        <v>199</v>
      </c>
      <c r="V762" s="9" t="s">
        <v>21</v>
      </c>
      <c r="W762" s="9" t="s">
        <v>200</v>
      </c>
      <c r="X762" s="23">
        <f>IF(ISNUMBER(S762),S762,IF(ISNUMBER(I762),I762,""))</f>
        <v>9.789542143600416</v>
      </c>
      <c r="Y762" t="str">
        <f>IF(ISNUMBER(S762),"2025 EIA-923 plant/group proxy",IF(ISNUMBER(I762),"Technology estimate","No thermal heat rate"))</f>
        <v>2025 EIA-923 plant/group proxy</v>
      </c>
      <c r="Z762" t="str">
        <f>IF(ISNUMBER(S762),"Review: NOT unit verified",IF(AE762="No match","No EIA match",IF(AF762="Unconfirmed","Unconfirmed EIA candidate","")))</f>
        <v>Review: NOT unit verified</v>
      </c>
      <c r="AA762" s="26">
        <v>1</v>
      </c>
      <c r="AB762" t="s">
        <v>201</v>
      </c>
      <c r="AC762" t="s">
        <v>202</v>
      </c>
      <c r="AD762" s="26">
        <v>12.6</v>
      </c>
      <c r="AE762" t="s">
        <v>120</v>
      </c>
      <c r="AF762" t="s">
        <v>121</v>
      </c>
      <c r="AG762" s="27">
        <v>9.7895000000000003</v>
      </c>
      <c r="AH762" s="34">
        <f t="shared" si="28"/>
        <v>111801.8</v>
      </c>
      <c r="AI762">
        <f t="shared" si="27"/>
        <v>69818.266503612249</v>
      </c>
      <c r="AJ762" t="b" cm="1">
        <f t="array" ref="AJ762">OR(D762=$AT$2:$AT$8)</f>
        <v>0</v>
      </c>
    </row>
    <row r="763" spans="1:36" x14ac:dyDescent="0.25">
      <c r="A763" s="2" t="s">
        <v>207</v>
      </c>
      <c r="B763" s="3">
        <v>2</v>
      </c>
      <c r="C763" s="2" t="s">
        <v>68</v>
      </c>
      <c r="D763" s="2" t="s">
        <v>69</v>
      </c>
      <c r="E763" s="2" t="s">
        <v>194</v>
      </c>
      <c r="F763" s="4" t="s">
        <v>195</v>
      </c>
      <c r="G763" s="4" t="s">
        <v>196</v>
      </c>
      <c r="H763" s="5">
        <v>8</v>
      </c>
      <c r="I763" s="5">
        <v>9.5</v>
      </c>
      <c r="J763" s="5">
        <v>12</v>
      </c>
      <c r="K763" s="4" t="s">
        <v>111</v>
      </c>
      <c r="L763" s="4" t="s">
        <v>197</v>
      </c>
      <c r="M763" s="6">
        <f>IF(OR(B763="",I763=""),"",B763*I763)</f>
        <v>19</v>
      </c>
      <c r="N763" s="25" t="s">
        <v>113</v>
      </c>
      <c r="O763" s="26">
        <v>3782</v>
      </c>
      <c r="P763" s="9" t="s">
        <v>198</v>
      </c>
      <c r="Q763" s="27">
        <v>3844</v>
      </c>
      <c r="R763" s="27">
        <v>37631</v>
      </c>
      <c r="S763" s="23">
        <f>IF(AND(ISNUMBER(Q763),Q763&gt;0,ISNUMBER(R763),R763&gt;0),R763/Q763,"")</f>
        <v>9.789542143600416</v>
      </c>
      <c r="T763" s="9" t="s">
        <v>115</v>
      </c>
      <c r="U763" s="9" t="s">
        <v>199</v>
      </c>
      <c r="V763" s="9" t="s">
        <v>21</v>
      </c>
      <c r="W763" s="9" t="s">
        <v>200</v>
      </c>
      <c r="X763" s="23">
        <f>IF(ISNUMBER(S763),S763,IF(ISNUMBER(I763),I763,""))</f>
        <v>9.789542143600416</v>
      </c>
      <c r="Y763" t="str">
        <f>IF(ISNUMBER(S763),"2025 EIA-923 plant/group proxy",IF(ISNUMBER(I763),"Technology estimate","No thermal heat rate"))</f>
        <v>2025 EIA-923 plant/group proxy</v>
      </c>
      <c r="Z763" t="str">
        <f>IF(ISNUMBER(S763),"Review: NOT unit verified",IF(AE763="No match","No EIA match",IF(AF763="Unconfirmed","Unconfirmed EIA candidate","")))</f>
        <v>Review: NOT unit verified</v>
      </c>
      <c r="AA763" s="26">
        <v>1</v>
      </c>
      <c r="AB763" t="s">
        <v>201</v>
      </c>
      <c r="AC763" t="s">
        <v>202</v>
      </c>
      <c r="AD763" s="26">
        <v>12.6</v>
      </c>
      <c r="AE763" t="s">
        <v>120</v>
      </c>
      <c r="AF763" t="s">
        <v>121</v>
      </c>
      <c r="AG763" s="27">
        <v>9.7895000000000003</v>
      </c>
      <c r="AH763" s="34">
        <f t="shared" si="28"/>
        <v>111803.8</v>
      </c>
      <c r="AI763">
        <f t="shared" si="27"/>
        <v>69819.515468593207</v>
      </c>
      <c r="AJ763" t="b" cm="1">
        <f t="array" ref="AJ763">OR(D763=$AT$2:$AT$8)</f>
        <v>0</v>
      </c>
    </row>
    <row r="764" spans="1:36" x14ac:dyDescent="0.25">
      <c r="A764" s="2" t="s">
        <v>1229</v>
      </c>
      <c r="B764" s="3">
        <v>1305</v>
      </c>
      <c r="C764" s="2" t="s">
        <v>99</v>
      </c>
      <c r="D764" s="2" t="s">
        <v>81</v>
      </c>
      <c r="E764" s="2" t="s">
        <v>109</v>
      </c>
      <c r="F764" s="4" t="s">
        <v>109</v>
      </c>
      <c r="G764" s="4" t="s">
        <v>110</v>
      </c>
      <c r="H764" s="5">
        <v>9</v>
      </c>
      <c r="I764" s="5">
        <v>10.3</v>
      </c>
      <c r="J764" s="5">
        <v>12</v>
      </c>
      <c r="K764" s="4" t="s">
        <v>111</v>
      </c>
      <c r="L764" s="4" t="s">
        <v>112</v>
      </c>
      <c r="M764" s="6">
        <f>IF(OR(B764="",I764=""),"",B764*I764)</f>
        <v>13441.500000000002</v>
      </c>
      <c r="N764" s="25" t="s">
        <v>113</v>
      </c>
      <c r="O764" s="26">
        <v>6264</v>
      </c>
      <c r="P764" s="9" t="s">
        <v>1230</v>
      </c>
      <c r="Q764" s="27">
        <v>6850134.75</v>
      </c>
      <c r="R764" s="27">
        <v>67589207</v>
      </c>
      <c r="S764" s="23">
        <f>IF(AND(ISNUMBER(Q764),Q764&gt;0,ISNUMBER(R764),R764&gt;0),R764/Q764,"")</f>
        <v>9.8668434223136998</v>
      </c>
      <c r="T764" s="9" t="s">
        <v>115</v>
      </c>
      <c r="U764" s="9" t="s">
        <v>116</v>
      </c>
      <c r="V764" s="9" t="s">
        <v>21</v>
      </c>
      <c r="W764" s="9" t="s">
        <v>217</v>
      </c>
      <c r="X764" s="23">
        <f>IF(ISNUMBER(S764),S764,IF(ISNUMBER(I764),I764,""))</f>
        <v>9.8668434223136998</v>
      </c>
      <c r="Y764" t="str">
        <f>IF(ISNUMBER(S764),"2025 EIA-923 plant/group proxy",IF(ISNUMBER(I764),"Technology estimate","No thermal heat rate"))</f>
        <v>2025 EIA-923 plant/group proxy</v>
      </c>
      <c r="Z764" t="str">
        <f>IF(ISNUMBER(S764),"Review: NOT unit verified",IF(AE764="No match","No EIA match",IF(AF764="Unconfirmed","Unconfirmed EIA candidate","")))</f>
        <v>Review: NOT unit verified</v>
      </c>
      <c r="AA764" s="26">
        <v>1</v>
      </c>
      <c r="AB764" t="s">
        <v>118</v>
      </c>
      <c r="AC764" t="s">
        <v>267</v>
      </c>
      <c r="AD764" s="26">
        <v>1299</v>
      </c>
      <c r="AE764" t="s">
        <v>120</v>
      </c>
      <c r="AF764" t="s">
        <v>121</v>
      </c>
      <c r="AG764" s="27">
        <v>9.8667999999999996</v>
      </c>
      <c r="AH764" s="34">
        <f t="shared" si="28"/>
        <v>113108.8</v>
      </c>
      <c r="AI764">
        <f t="shared" si="27"/>
        <v>70634.465118663356</v>
      </c>
      <c r="AJ764" t="b" cm="1">
        <f t="array" ref="AJ764">OR(D764=$AT$2:$AT$8)</f>
        <v>0</v>
      </c>
    </row>
    <row r="765" spans="1:36" x14ac:dyDescent="0.25">
      <c r="A765" s="2" t="s">
        <v>1509</v>
      </c>
      <c r="B765" s="3">
        <v>1317.5</v>
      </c>
      <c r="C765" s="2" t="s">
        <v>99</v>
      </c>
      <c r="D765" s="2" t="s">
        <v>81</v>
      </c>
      <c r="E765" s="2" t="s">
        <v>109</v>
      </c>
      <c r="F765" s="4" t="s">
        <v>109</v>
      </c>
      <c r="G765" s="4" t="s">
        <v>110</v>
      </c>
      <c r="H765" s="5">
        <v>9</v>
      </c>
      <c r="I765" s="5">
        <v>10.3</v>
      </c>
      <c r="J765" s="5">
        <v>12</v>
      </c>
      <c r="K765" s="4" t="s">
        <v>111</v>
      </c>
      <c r="L765" s="4" t="s">
        <v>112</v>
      </c>
      <c r="M765" s="6">
        <f>IF(OR(B765="",I765=""),"",B765*I765)</f>
        <v>13570.250000000002</v>
      </c>
      <c r="N765" s="25" t="s">
        <v>113</v>
      </c>
      <c r="O765" s="26">
        <v>6166</v>
      </c>
      <c r="P765" s="9" t="s">
        <v>1510</v>
      </c>
      <c r="Q765" s="27">
        <v>9596938.4279999994</v>
      </c>
      <c r="R765" s="27">
        <v>94799530</v>
      </c>
      <c r="S765" s="23">
        <f>IF(AND(ISNUMBER(Q765),Q765&gt;0,ISNUMBER(R765),R765&gt;0),R765/Q765,"")</f>
        <v>9.8781013039964041</v>
      </c>
      <c r="T765" s="9" t="s">
        <v>115</v>
      </c>
      <c r="U765" s="9" t="s">
        <v>458</v>
      </c>
      <c r="V765" s="9" t="s">
        <v>21</v>
      </c>
      <c r="W765" s="9" t="s">
        <v>240</v>
      </c>
      <c r="X765" s="23">
        <f>IF(ISNUMBER(S765),S765,IF(ISNUMBER(I765),I765,""))</f>
        <v>9.8781013039964041</v>
      </c>
      <c r="Y765" t="str">
        <f>IF(ISNUMBER(S765),"2025 EIA-923 plant/group proxy",IF(ISNUMBER(I765),"Technology estimate","No thermal heat rate"))</f>
        <v>2025 EIA-923 plant/group proxy</v>
      </c>
      <c r="Z765" t="str">
        <f>IF(ISNUMBER(S765),"Review: NOT unit verified",IF(AE765="No match","No EIA match",IF(AF765="Unconfirmed","Unconfirmed EIA candidate","")))</f>
        <v>Review: NOT unit verified</v>
      </c>
      <c r="AA765" s="26">
        <v>1</v>
      </c>
      <c r="AB765" t="s">
        <v>131</v>
      </c>
      <c r="AC765" t="s">
        <v>308</v>
      </c>
      <c r="AD765" s="26">
        <v>2600</v>
      </c>
      <c r="AE765" t="s">
        <v>120</v>
      </c>
      <c r="AF765" t="s">
        <v>121</v>
      </c>
      <c r="AG765" s="27">
        <v>9.8780999999999999</v>
      </c>
      <c r="AH765" s="34">
        <f t="shared" si="28"/>
        <v>114426.3</v>
      </c>
      <c r="AI765">
        <f t="shared" si="27"/>
        <v>71457.220799864459</v>
      </c>
      <c r="AJ765" t="b" cm="1">
        <f t="array" ref="AJ765">OR(D765=$AT$2:$AT$8)</f>
        <v>0</v>
      </c>
    </row>
    <row r="766" spans="1:36" x14ac:dyDescent="0.25">
      <c r="A766" s="2" t="s">
        <v>1511</v>
      </c>
      <c r="B766" s="3">
        <v>1300</v>
      </c>
      <c r="C766" s="2" t="s">
        <v>99</v>
      </c>
      <c r="D766" s="2" t="s">
        <v>81</v>
      </c>
      <c r="E766" s="2" t="s">
        <v>109</v>
      </c>
      <c r="F766" s="4" t="s">
        <v>109</v>
      </c>
      <c r="G766" s="4" t="s">
        <v>110</v>
      </c>
      <c r="H766" s="5">
        <v>9</v>
      </c>
      <c r="I766" s="5">
        <v>10.3</v>
      </c>
      <c r="J766" s="5">
        <v>12</v>
      </c>
      <c r="K766" s="4" t="s">
        <v>111</v>
      </c>
      <c r="L766" s="4" t="s">
        <v>112</v>
      </c>
      <c r="M766" s="6">
        <f>IF(OR(B766="",I766=""),"",B766*I766)</f>
        <v>13390.000000000002</v>
      </c>
      <c r="N766" s="25" t="s">
        <v>113</v>
      </c>
      <c r="O766" s="26">
        <v>6166</v>
      </c>
      <c r="P766" s="9" t="s">
        <v>1510</v>
      </c>
      <c r="Q766" s="27">
        <v>9596938.4279999994</v>
      </c>
      <c r="R766" s="27">
        <v>94799530</v>
      </c>
      <c r="S766" s="23">
        <f>IF(AND(ISNUMBER(Q766),Q766&gt;0,ISNUMBER(R766),R766&gt;0),R766/Q766,"")</f>
        <v>9.8781013039964041</v>
      </c>
      <c r="T766" s="9" t="s">
        <v>115</v>
      </c>
      <c r="U766" s="9" t="s">
        <v>458</v>
      </c>
      <c r="V766" s="9" t="s">
        <v>21</v>
      </c>
      <c r="W766" s="9" t="s">
        <v>240</v>
      </c>
      <c r="X766" s="23">
        <f>IF(ISNUMBER(S766),S766,IF(ISNUMBER(I766),I766,""))</f>
        <v>9.8781013039964041</v>
      </c>
      <c r="Y766" t="str">
        <f>IF(ISNUMBER(S766),"2025 EIA-923 plant/group proxy",IF(ISNUMBER(I766),"Technology estimate","No thermal heat rate"))</f>
        <v>2025 EIA-923 plant/group proxy</v>
      </c>
      <c r="Z766" t="str">
        <f>IF(ISNUMBER(S766),"Review: NOT unit verified",IF(AE766="No match","No EIA match",IF(AF766="Unconfirmed","Unconfirmed EIA candidate","")))</f>
        <v>Review: NOT unit verified</v>
      </c>
      <c r="AA766" s="26">
        <v>1</v>
      </c>
      <c r="AB766" t="s">
        <v>131</v>
      </c>
      <c r="AC766" t="s">
        <v>308</v>
      </c>
      <c r="AD766" s="26">
        <v>2600</v>
      </c>
      <c r="AE766" t="s">
        <v>120</v>
      </c>
      <c r="AF766" t="s">
        <v>121</v>
      </c>
      <c r="AG766" s="27">
        <v>9.8780999999999999</v>
      </c>
      <c r="AH766" s="34">
        <f t="shared" si="28"/>
        <v>115726.3</v>
      </c>
      <c r="AI766">
        <f t="shared" si="27"/>
        <v>72269.048037482251</v>
      </c>
      <c r="AJ766" t="b" cm="1">
        <f t="array" ref="AJ766">OR(D766=$AT$2:$AT$8)</f>
        <v>0</v>
      </c>
    </row>
    <row r="767" spans="1:36" x14ac:dyDescent="0.25">
      <c r="A767" s="2" t="s">
        <v>350</v>
      </c>
      <c r="B767" s="3">
        <v>42.9</v>
      </c>
      <c r="C767" s="2" t="s">
        <v>228</v>
      </c>
      <c r="D767" s="2" t="s">
        <v>228</v>
      </c>
      <c r="E767" s="2" t="s">
        <v>125</v>
      </c>
      <c r="F767" s="4" t="s">
        <v>126</v>
      </c>
      <c r="G767" s="4" t="s">
        <v>127</v>
      </c>
      <c r="H767" s="5">
        <v>9.1999999999999993</v>
      </c>
      <c r="I767" s="5">
        <v>10.8</v>
      </c>
      <c r="J767" s="5">
        <v>13.5</v>
      </c>
      <c r="K767" s="4" t="s">
        <v>111</v>
      </c>
      <c r="L767" s="4" t="s">
        <v>128</v>
      </c>
      <c r="M767" s="6">
        <f>IF(OR(B767="",I767=""),"",B767*I767)</f>
        <v>463.32</v>
      </c>
      <c r="N767" s="28" t="s">
        <v>113</v>
      </c>
      <c r="O767" s="26">
        <v>2399</v>
      </c>
      <c r="P767" s="9" t="s">
        <v>351</v>
      </c>
      <c r="Q767" s="27">
        <v>52970.999000000003</v>
      </c>
      <c r="R767" s="27">
        <v>524343</v>
      </c>
      <c r="S767" s="23">
        <f>IF(AND(ISNUMBER(Q767),Q767&gt;0,ISNUMBER(R767),R767&gt;0),R767/Q767,"")</f>
        <v>9.8986805969054874</v>
      </c>
      <c r="T767" s="9" t="s">
        <v>115</v>
      </c>
      <c r="U767" s="9" t="s">
        <v>352</v>
      </c>
      <c r="V767" s="9" t="s">
        <v>21</v>
      </c>
      <c r="W767" s="9" t="s">
        <v>332</v>
      </c>
      <c r="X767" s="23">
        <f>IF(ISNUMBER(S767),S767,IF(ISNUMBER(I767),I767,""))</f>
        <v>9.8986805969054874</v>
      </c>
      <c r="Y767" t="str">
        <f>IF(ISNUMBER(S767),"2025 EIA-923 plant/group proxy",IF(ISNUMBER(I767),"Technology estimate","No thermal heat rate"))</f>
        <v>2025 EIA-923 plant/group proxy</v>
      </c>
      <c r="Z767" t="str">
        <f>IF(ISNUMBER(S767),"Review: NOT unit verified",IF(AE767="No match","No EIA match",IF(AF767="Unconfirmed","Unconfirmed EIA candidate","")))</f>
        <v>Review: NOT unit verified</v>
      </c>
      <c r="AA767" s="26">
        <v>1</v>
      </c>
      <c r="AB767" t="s">
        <v>241</v>
      </c>
      <c r="AC767" t="s">
        <v>353</v>
      </c>
      <c r="AD767" s="26">
        <v>171.6</v>
      </c>
      <c r="AE767" t="s">
        <v>120</v>
      </c>
      <c r="AF767" t="s">
        <v>145</v>
      </c>
      <c r="AG767" s="27">
        <v>9.8986999999999998</v>
      </c>
      <c r="AH767" s="34">
        <f t="shared" si="28"/>
        <v>115769.2</v>
      </c>
      <c r="AI767">
        <f t="shared" si="27"/>
        <v>72295.838336323635</v>
      </c>
      <c r="AJ767" t="b" cm="1">
        <f t="array" ref="AJ767">OR(D767=$AT$2:$AT$8)</f>
        <v>1</v>
      </c>
    </row>
    <row r="768" spans="1:36" x14ac:dyDescent="0.25">
      <c r="A768" s="2" t="s">
        <v>354</v>
      </c>
      <c r="B768" s="3">
        <v>42.9</v>
      </c>
      <c r="C768" s="2" t="s">
        <v>228</v>
      </c>
      <c r="D768" s="2" t="s">
        <v>228</v>
      </c>
      <c r="E768" s="2" t="s">
        <v>125</v>
      </c>
      <c r="F768" s="4" t="s">
        <v>126</v>
      </c>
      <c r="G768" s="4" t="s">
        <v>127</v>
      </c>
      <c r="H768" s="5">
        <v>9.1999999999999993</v>
      </c>
      <c r="I768" s="5">
        <v>10.8</v>
      </c>
      <c r="J768" s="5">
        <v>13.5</v>
      </c>
      <c r="K768" s="4" t="s">
        <v>111</v>
      </c>
      <c r="L768" s="4" t="s">
        <v>128</v>
      </c>
      <c r="M768" s="6">
        <f>IF(OR(B768="",I768=""),"",B768*I768)</f>
        <v>463.32</v>
      </c>
      <c r="N768" s="28" t="s">
        <v>113</v>
      </c>
      <c r="O768" s="26">
        <v>2399</v>
      </c>
      <c r="P768" s="9" t="s">
        <v>351</v>
      </c>
      <c r="Q768" s="27">
        <v>52970.999000000003</v>
      </c>
      <c r="R768" s="27">
        <v>524343</v>
      </c>
      <c r="S768" s="23">
        <f>IF(AND(ISNUMBER(Q768),Q768&gt;0,ISNUMBER(R768),R768&gt;0),R768/Q768,"")</f>
        <v>9.8986805969054874</v>
      </c>
      <c r="T768" s="9" t="s">
        <v>115</v>
      </c>
      <c r="U768" s="9" t="s">
        <v>352</v>
      </c>
      <c r="V768" s="9" t="s">
        <v>21</v>
      </c>
      <c r="W768" s="9" t="s">
        <v>332</v>
      </c>
      <c r="X768" s="23">
        <f>IF(ISNUMBER(S768),S768,IF(ISNUMBER(I768),I768,""))</f>
        <v>9.8986805969054874</v>
      </c>
      <c r="Y768" t="str">
        <f>IF(ISNUMBER(S768),"2025 EIA-923 plant/group proxy",IF(ISNUMBER(I768),"Technology estimate","No thermal heat rate"))</f>
        <v>2025 EIA-923 plant/group proxy</v>
      </c>
      <c r="Z768" t="str">
        <f>IF(ISNUMBER(S768),"Review: NOT unit verified",IF(AE768="No match","No EIA match",IF(AF768="Unconfirmed","Unconfirmed EIA candidate","")))</f>
        <v>Review: NOT unit verified</v>
      </c>
      <c r="AA768" s="26">
        <v>1</v>
      </c>
      <c r="AB768" t="s">
        <v>241</v>
      </c>
      <c r="AC768" t="s">
        <v>353</v>
      </c>
      <c r="AD768" s="26">
        <v>171.6</v>
      </c>
      <c r="AE768" t="s">
        <v>120</v>
      </c>
      <c r="AF768" t="s">
        <v>145</v>
      </c>
      <c r="AG768" s="27">
        <v>9.8986999999999998</v>
      </c>
      <c r="AH768" s="34">
        <f t="shared" si="28"/>
        <v>115812.09999999999</v>
      </c>
      <c r="AI768">
        <f t="shared" si="27"/>
        <v>72322.628635165005</v>
      </c>
      <c r="AJ768" t="b" cm="1">
        <f t="array" ref="AJ768">OR(D768=$AT$2:$AT$8)</f>
        <v>1</v>
      </c>
    </row>
    <row r="769" spans="1:36" x14ac:dyDescent="0.25">
      <c r="A769" s="2" t="s">
        <v>355</v>
      </c>
      <c r="B769" s="3">
        <v>42.6</v>
      </c>
      <c r="C769" s="2" t="s">
        <v>228</v>
      </c>
      <c r="D769" s="2" t="s">
        <v>228</v>
      </c>
      <c r="E769" s="2" t="s">
        <v>125</v>
      </c>
      <c r="F769" s="4" t="s">
        <v>126</v>
      </c>
      <c r="G769" s="4" t="s">
        <v>127</v>
      </c>
      <c r="H769" s="5">
        <v>9.1999999999999993</v>
      </c>
      <c r="I769" s="5">
        <v>10.8</v>
      </c>
      <c r="J769" s="5">
        <v>13.5</v>
      </c>
      <c r="K769" s="4" t="s">
        <v>111</v>
      </c>
      <c r="L769" s="4" t="s">
        <v>128</v>
      </c>
      <c r="M769" s="6">
        <f>IF(OR(B769="",I769=""),"",B769*I769)</f>
        <v>460.08000000000004</v>
      </c>
      <c r="N769" s="28" t="s">
        <v>113</v>
      </c>
      <c r="O769" s="26">
        <v>2399</v>
      </c>
      <c r="P769" s="9" t="s">
        <v>351</v>
      </c>
      <c r="Q769" s="27">
        <v>52970.999000000003</v>
      </c>
      <c r="R769" s="27">
        <v>524343</v>
      </c>
      <c r="S769" s="23">
        <f>IF(AND(ISNUMBER(Q769),Q769&gt;0,ISNUMBER(R769),R769&gt;0),R769/Q769,"")</f>
        <v>9.8986805969054874</v>
      </c>
      <c r="T769" s="9" t="s">
        <v>115</v>
      </c>
      <c r="U769" s="9" t="s">
        <v>352</v>
      </c>
      <c r="V769" s="9" t="s">
        <v>21</v>
      </c>
      <c r="W769" s="9" t="s">
        <v>332</v>
      </c>
      <c r="X769" s="23">
        <f>IF(ISNUMBER(S769),S769,IF(ISNUMBER(I769),I769,""))</f>
        <v>9.8986805969054874</v>
      </c>
      <c r="Y769" t="str">
        <f>IF(ISNUMBER(S769),"2025 EIA-923 plant/group proxy",IF(ISNUMBER(I769),"Technology estimate","No thermal heat rate"))</f>
        <v>2025 EIA-923 plant/group proxy</v>
      </c>
      <c r="Z769" t="str">
        <f>IF(ISNUMBER(S769),"Review: NOT unit verified",IF(AE769="No match","No EIA match",IF(AF769="Unconfirmed","Unconfirmed EIA candidate","")))</f>
        <v>Review: NOT unit verified</v>
      </c>
      <c r="AA769" s="26">
        <v>1</v>
      </c>
      <c r="AB769" t="s">
        <v>241</v>
      </c>
      <c r="AC769" t="s">
        <v>353</v>
      </c>
      <c r="AD769" s="26">
        <v>171.6</v>
      </c>
      <c r="AE769" t="s">
        <v>120</v>
      </c>
      <c r="AF769" t="s">
        <v>145</v>
      </c>
      <c r="AG769" s="27">
        <v>9.8986999999999998</v>
      </c>
      <c r="AH769" s="34">
        <f t="shared" si="28"/>
        <v>115854.7</v>
      </c>
      <c r="AI769">
        <f t="shared" si="27"/>
        <v>72349.23158925926</v>
      </c>
      <c r="AJ769" t="b" cm="1">
        <f t="array" ref="AJ769">OR(D769=$AT$2:$AT$8)</f>
        <v>1</v>
      </c>
    </row>
    <row r="770" spans="1:36" x14ac:dyDescent="0.25">
      <c r="A770" s="2" t="s">
        <v>356</v>
      </c>
      <c r="B770" s="3">
        <v>42.6</v>
      </c>
      <c r="C770" s="2" t="s">
        <v>228</v>
      </c>
      <c r="D770" s="2" t="s">
        <v>228</v>
      </c>
      <c r="E770" s="2" t="s">
        <v>125</v>
      </c>
      <c r="F770" s="4" t="s">
        <v>126</v>
      </c>
      <c r="G770" s="4" t="s">
        <v>127</v>
      </c>
      <c r="H770" s="5">
        <v>9.1999999999999993</v>
      </c>
      <c r="I770" s="5">
        <v>10.8</v>
      </c>
      <c r="J770" s="5">
        <v>13.5</v>
      </c>
      <c r="K770" s="4" t="s">
        <v>111</v>
      </c>
      <c r="L770" s="4" t="s">
        <v>128</v>
      </c>
      <c r="M770" s="6">
        <f>IF(OR(B770="",I770=""),"",B770*I770)</f>
        <v>460.08000000000004</v>
      </c>
      <c r="N770" s="28" t="s">
        <v>113</v>
      </c>
      <c r="O770" s="26">
        <v>2399</v>
      </c>
      <c r="P770" s="9" t="s">
        <v>351</v>
      </c>
      <c r="Q770" s="27">
        <v>52970.999000000003</v>
      </c>
      <c r="R770" s="27">
        <v>524343</v>
      </c>
      <c r="S770" s="23">
        <f>IF(AND(ISNUMBER(Q770),Q770&gt;0,ISNUMBER(R770),R770&gt;0),R770/Q770,"")</f>
        <v>9.8986805969054874</v>
      </c>
      <c r="T770" s="9" t="s">
        <v>115</v>
      </c>
      <c r="U770" s="9" t="s">
        <v>352</v>
      </c>
      <c r="V770" s="9" t="s">
        <v>21</v>
      </c>
      <c r="W770" s="9" t="s">
        <v>332</v>
      </c>
      <c r="X770" s="23">
        <f>IF(ISNUMBER(S770),S770,IF(ISNUMBER(I770),I770,""))</f>
        <v>9.8986805969054874</v>
      </c>
      <c r="Y770" t="str">
        <f>IF(ISNUMBER(S770),"2025 EIA-923 plant/group proxy",IF(ISNUMBER(I770),"Technology estimate","No thermal heat rate"))</f>
        <v>2025 EIA-923 plant/group proxy</v>
      </c>
      <c r="Z770" t="str">
        <f>IF(ISNUMBER(S770),"Review: NOT unit verified",IF(AE770="No match","No EIA match",IF(AF770="Unconfirmed","Unconfirmed EIA candidate","")))</f>
        <v>Review: NOT unit verified</v>
      </c>
      <c r="AA770" s="26">
        <v>1</v>
      </c>
      <c r="AB770" t="s">
        <v>241</v>
      </c>
      <c r="AC770" t="s">
        <v>353</v>
      </c>
      <c r="AD770" s="26">
        <v>171.6</v>
      </c>
      <c r="AE770" t="s">
        <v>120</v>
      </c>
      <c r="AF770" t="s">
        <v>145</v>
      </c>
      <c r="AG770" s="27">
        <v>9.8986999999999998</v>
      </c>
      <c r="AH770" s="34">
        <f t="shared" si="28"/>
        <v>115897.3</v>
      </c>
      <c r="AI770">
        <f t="shared" si="27"/>
        <v>72375.834543353514</v>
      </c>
      <c r="AJ770" t="b" cm="1">
        <f t="array" ref="AJ770">OR(D770=$AT$2:$AT$8)</f>
        <v>1</v>
      </c>
    </row>
    <row r="771" spans="1:36" x14ac:dyDescent="0.25">
      <c r="A771" s="2" t="s">
        <v>533</v>
      </c>
      <c r="B771" s="3">
        <v>2.5</v>
      </c>
      <c r="C771" s="2" t="s">
        <v>68</v>
      </c>
      <c r="D771" s="2" t="s">
        <v>69</v>
      </c>
      <c r="E771" s="2" t="s">
        <v>194</v>
      </c>
      <c r="F771" s="4" t="s">
        <v>195</v>
      </c>
      <c r="G771" s="4" t="s">
        <v>196</v>
      </c>
      <c r="H771" s="5">
        <v>8</v>
      </c>
      <c r="I771" s="5">
        <v>9.5</v>
      </c>
      <c r="J771" s="5">
        <v>12</v>
      </c>
      <c r="K771" s="4" t="s">
        <v>111</v>
      </c>
      <c r="L771" s="4" t="s">
        <v>197</v>
      </c>
      <c r="M771" s="6">
        <f>IF(OR(B771="",I771=""),"",B771*I771)</f>
        <v>23.75</v>
      </c>
      <c r="N771" s="25" t="s">
        <v>113</v>
      </c>
      <c r="O771" s="26">
        <v>1563</v>
      </c>
      <c r="P771" s="9" t="s">
        <v>534</v>
      </c>
      <c r="Q771" s="27">
        <v>2128</v>
      </c>
      <c r="R771" s="27">
        <v>21179</v>
      </c>
      <c r="S771" s="23">
        <f>IF(AND(ISNUMBER(Q771),Q771&gt;0,ISNUMBER(R771),R771&gt;0),R771/Q771,"")</f>
        <v>9.9525375939849621</v>
      </c>
      <c r="T771" s="9" t="s">
        <v>115</v>
      </c>
      <c r="U771" s="9" t="s">
        <v>199</v>
      </c>
      <c r="V771" s="9" t="s">
        <v>21</v>
      </c>
      <c r="W771" s="9" t="s">
        <v>528</v>
      </c>
      <c r="X771" s="23">
        <f>IF(ISNUMBER(S771),S771,IF(ISNUMBER(I771),I771,""))</f>
        <v>9.9525375939849621</v>
      </c>
      <c r="Y771" t="str">
        <f>IF(ISNUMBER(S771),"2025 EIA-923 plant/group proxy",IF(ISNUMBER(I771),"Technology estimate","No thermal heat rate"))</f>
        <v>2025 EIA-923 plant/group proxy</v>
      </c>
      <c r="Z771" t="str">
        <f>IF(ISNUMBER(S771),"Review: NOT unit verified",IF(AE771="No match","No EIA match",IF(AF771="Unconfirmed","Unconfirmed EIA candidate","")))</f>
        <v>Review: NOT unit verified</v>
      </c>
      <c r="AA771" s="26">
        <v>1</v>
      </c>
      <c r="AB771" t="s">
        <v>307</v>
      </c>
      <c r="AC771" t="s">
        <v>535</v>
      </c>
      <c r="AD771" s="26">
        <v>10.4</v>
      </c>
      <c r="AE771" t="s">
        <v>120</v>
      </c>
      <c r="AF771" t="s">
        <v>121</v>
      </c>
      <c r="AG771" s="27">
        <v>9.9525000000000006</v>
      </c>
      <c r="AH771" s="34">
        <f t="shared" si="28"/>
        <v>115899.8</v>
      </c>
      <c r="AI771">
        <f t="shared" ref="AI771:AI834" si="29">AH771*$AK$1</f>
        <v>72377.395749579693</v>
      </c>
      <c r="AJ771" t="b" cm="1">
        <f t="array" ref="AJ771">OR(D771=$AT$2:$AT$8)</f>
        <v>0</v>
      </c>
    </row>
    <row r="772" spans="1:36" x14ac:dyDescent="0.25">
      <c r="A772" s="2" t="s">
        <v>536</v>
      </c>
      <c r="B772" s="3">
        <v>2.5</v>
      </c>
      <c r="C772" s="2" t="s">
        <v>68</v>
      </c>
      <c r="D772" s="2" t="s">
        <v>69</v>
      </c>
      <c r="E772" s="2" t="s">
        <v>194</v>
      </c>
      <c r="F772" s="4" t="s">
        <v>195</v>
      </c>
      <c r="G772" s="4" t="s">
        <v>196</v>
      </c>
      <c r="H772" s="5">
        <v>8</v>
      </c>
      <c r="I772" s="5">
        <v>9.5</v>
      </c>
      <c r="J772" s="5">
        <v>12</v>
      </c>
      <c r="K772" s="4" t="s">
        <v>111</v>
      </c>
      <c r="L772" s="4" t="s">
        <v>197</v>
      </c>
      <c r="M772" s="6">
        <f>IF(OR(B772="",I772=""),"",B772*I772)</f>
        <v>23.75</v>
      </c>
      <c r="N772" s="25" t="s">
        <v>113</v>
      </c>
      <c r="O772" s="26">
        <v>1563</v>
      </c>
      <c r="P772" s="9" t="s">
        <v>534</v>
      </c>
      <c r="Q772" s="27">
        <v>2128</v>
      </c>
      <c r="R772" s="27">
        <v>21179</v>
      </c>
      <c r="S772" s="23">
        <f>IF(AND(ISNUMBER(Q772),Q772&gt;0,ISNUMBER(R772),R772&gt;0),R772/Q772,"")</f>
        <v>9.9525375939849621</v>
      </c>
      <c r="T772" s="9" t="s">
        <v>115</v>
      </c>
      <c r="U772" s="9" t="s">
        <v>199</v>
      </c>
      <c r="V772" s="9" t="s">
        <v>21</v>
      </c>
      <c r="W772" s="9" t="s">
        <v>528</v>
      </c>
      <c r="X772" s="23">
        <f>IF(ISNUMBER(S772),S772,IF(ISNUMBER(I772),I772,""))</f>
        <v>9.9525375939849621</v>
      </c>
      <c r="Y772" t="str">
        <f>IF(ISNUMBER(S772),"2025 EIA-923 plant/group proxy",IF(ISNUMBER(I772),"Technology estimate","No thermal heat rate"))</f>
        <v>2025 EIA-923 plant/group proxy</v>
      </c>
      <c r="Z772" t="str">
        <f>IF(ISNUMBER(S772),"Review: NOT unit verified",IF(AE772="No match","No EIA match",IF(AF772="Unconfirmed","Unconfirmed EIA candidate","")))</f>
        <v>Review: NOT unit verified</v>
      </c>
      <c r="AA772" s="26">
        <v>1</v>
      </c>
      <c r="AB772" t="s">
        <v>307</v>
      </c>
      <c r="AC772" t="s">
        <v>535</v>
      </c>
      <c r="AD772" s="26">
        <v>10.4</v>
      </c>
      <c r="AE772" t="s">
        <v>120</v>
      </c>
      <c r="AF772" t="s">
        <v>121</v>
      </c>
      <c r="AG772" s="27">
        <v>9.9525000000000006</v>
      </c>
      <c r="AH772" s="34">
        <f t="shared" ref="AH772:AH835" si="30">AH771+B772</f>
        <v>115902.3</v>
      </c>
      <c r="AI772">
        <f t="shared" si="29"/>
        <v>72378.956955805887</v>
      </c>
      <c r="AJ772" t="b" cm="1">
        <f t="array" ref="AJ772">OR(D772=$AT$2:$AT$8)</f>
        <v>0</v>
      </c>
    </row>
    <row r="773" spans="1:36" x14ac:dyDescent="0.25">
      <c r="A773" s="2" t="s">
        <v>537</v>
      </c>
      <c r="B773" s="3">
        <v>2.5</v>
      </c>
      <c r="C773" s="2" t="s">
        <v>68</v>
      </c>
      <c r="D773" s="2" t="s">
        <v>69</v>
      </c>
      <c r="E773" s="2" t="s">
        <v>194</v>
      </c>
      <c r="F773" s="4" t="s">
        <v>195</v>
      </c>
      <c r="G773" s="4" t="s">
        <v>196</v>
      </c>
      <c r="H773" s="5">
        <v>8</v>
      </c>
      <c r="I773" s="5">
        <v>9.5</v>
      </c>
      <c r="J773" s="5">
        <v>12</v>
      </c>
      <c r="K773" s="4" t="s">
        <v>111</v>
      </c>
      <c r="L773" s="4" t="s">
        <v>197</v>
      </c>
      <c r="M773" s="6">
        <f>IF(OR(B773="",I773=""),"",B773*I773)</f>
        <v>23.75</v>
      </c>
      <c r="N773" s="25" t="s">
        <v>113</v>
      </c>
      <c r="O773" s="26">
        <v>1563</v>
      </c>
      <c r="P773" s="9" t="s">
        <v>534</v>
      </c>
      <c r="Q773" s="27">
        <v>2128</v>
      </c>
      <c r="R773" s="27">
        <v>21179</v>
      </c>
      <c r="S773" s="23">
        <f>IF(AND(ISNUMBER(Q773),Q773&gt;0,ISNUMBER(R773),R773&gt;0),R773/Q773,"")</f>
        <v>9.9525375939849621</v>
      </c>
      <c r="T773" s="9" t="s">
        <v>115</v>
      </c>
      <c r="U773" s="9" t="s">
        <v>199</v>
      </c>
      <c r="V773" s="9" t="s">
        <v>21</v>
      </c>
      <c r="W773" s="9" t="s">
        <v>528</v>
      </c>
      <c r="X773" s="23">
        <f>IF(ISNUMBER(S773),S773,IF(ISNUMBER(I773),I773,""))</f>
        <v>9.9525375939849621</v>
      </c>
      <c r="Y773" t="str">
        <f>IF(ISNUMBER(S773),"2025 EIA-923 plant/group proxy",IF(ISNUMBER(I773),"Technology estimate","No thermal heat rate"))</f>
        <v>2025 EIA-923 plant/group proxy</v>
      </c>
      <c r="Z773" t="str">
        <f>IF(ISNUMBER(S773),"Review: NOT unit verified",IF(AE773="No match","No EIA match",IF(AF773="Unconfirmed","Unconfirmed EIA candidate","")))</f>
        <v>Review: NOT unit verified</v>
      </c>
      <c r="AA773" s="26">
        <v>1</v>
      </c>
      <c r="AB773" t="s">
        <v>307</v>
      </c>
      <c r="AC773" t="s">
        <v>535</v>
      </c>
      <c r="AD773" s="26">
        <v>10.4</v>
      </c>
      <c r="AE773" t="s">
        <v>120</v>
      </c>
      <c r="AF773" t="s">
        <v>121</v>
      </c>
      <c r="AG773" s="27">
        <v>9.9525000000000006</v>
      </c>
      <c r="AH773" s="34">
        <f t="shared" si="30"/>
        <v>115904.8</v>
      </c>
      <c r="AI773">
        <f t="shared" si="29"/>
        <v>72380.518162032065</v>
      </c>
      <c r="AJ773" t="b" cm="1">
        <f t="array" ref="AJ773">OR(D773=$AT$2:$AT$8)</f>
        <v>0</v>
      </c>
    </row>
    <row r="774" spans="1:36" x14ac:dyDescent="0.25">
      <c r="A774" s="2" t="s">
        <v>538</v>
      </c>
      <c r="B774" s="3">
        <v>2.5</v>
      </c>
      <c r="C774" s="2" t="s">
        <v>68</v>
      </c>
      <c r="D774" s="2" t="s">
        <v>69</v>
      </c>
      <c r="E774" s="2" t="s">
        <v>194</v>
      </c>
      <c r="F774" s="4" t="s">
        <v>195</v>
      </c>
      <c r="G774" s="4" t="s">
        <v>196</v>
      </c>
      <c r="H774" s="5">
        <v>8</v>
      </c>
      <c r="I774" s="5">
        <v>9.5</v>
      </c>
      <c r="J774" s="5">
        <v>12</v>
      </c>
      <c r="K774" s="4" t="s">
        <v>111</v>
      </c>
      <c r="L774" s="4" t="s">
        <v>197</v>
      </c>
      <c r="M774" s="6">
        <f>IF(OR(B774="",I774=""),"",B774*I774)</f>
        <v>23.75</v>
      </c>
      <c r="N774" s="25" t="s">
        <v>113</v>
      </c>
      <c r="O774" s="26">
        <v>1563</v>
      </c>
      <c r="P774" s="9" t="s">
        <v>534</v>
      </c>
      <c r="Q774" s="27">
        <v>2128</v>
      </c>
      <c r="R774" s="27">
        <v>21179</v>
      </c>
      <c r="S774" s="23">
        <f>IF(AND(ISNUMBER(Q774),Q774&gt;0,ISNUMBER(R774),R774&gt;0),R774/Q774,"")</f>
        <v>9.9525375939849621</v>
      </c>
      <c r="T774" s="9" t="s">
        <v>115</v>
      </c>
      <c r="U774" s="9" t="s">
        <v>199</v>
      </c>
      <c r="V774" s="9" t="s">
        <v>21</v>
      </c>
      <c r="W774" s="9" t="s">
        <v>528</v>
      </c>
      <c r="X774" s="23">
        <f>IF(ISNUMBER(S774),S774,IF(ISNUMBER(I774),I774,""))</f>
        <v>9.9525375939849621</v>
      </c>
      <c r="Y774" t="str">
        <f>IF(ISNUMBER(S774),"2025 EIA-923 plant/group proxy",IF(ISNUMBER(I774),"Technology estimate","No thermal heat rate"))</f>
        <v>2025 EIA-923 plant/group proxy</v>
      </c>
      <c r="Z774" t="str">
        <f>IF(ISNUMBER(S774),"Review: NOT unit verified",IF(AE774="No match","No EIA match",IF(AF774="Unconfirmed","Unconfirmed EIA candidate","")))</f>
        <v>Review: NOT unit verified</v>
      </c>
      <c r="AA774" s="26">
        <v>1</v>
      </c>
      <c r="AB774" t="s">
        <v>307</v>
      </c>
      <c r="AC774" t="s">
        <v>535</v>
      </c>
      <c r="AD774" s="26">
        <v>10.4</v>
      </c>
      <c r="AE774" t="s">
        <v>120</v>
      </c>
      <c r="AF774" t="s">
        <v>121</v>
      </c>
      <c r="AG774" s="27">
        <v>9.9525000000000006</v>
      </c>
      <c r="AH774" s="34">
        <f t="shared" si="30"/>
        <v>115907.3</v>
      </c>
      <c r="AI774">
        <f t="shared" si="29"/>
        <v>72382.079368258259</v>
      </c>
      <c r="AJ774" t="b" cm="1">
        <f t="array" ref="AJ774">OR(D774=$AT$2:$AT$8)</f>
        <v>0</v>
      </c>
    </row>
    <row r="775" spans="1:36" x14ac:dyDescent="0.25">
      <c r="A775" s="2" t="s">
        <v>268</v>
      </c>
      <c r="B775" s="3">
        <v>53</v>
      </c>
      <c r="C775" s="2" t="s">
        <v>99</v>
      </c>
      <c r="D775" s="2" t="s">
        <v>81</v>
      </c>
      <c r="E775" s="2" t="s">
        <v>137</v>
      </c>
      <c r="F775" s="4" t="s">
        <v>138</v>
      </c>
      <c r="G775" s="4" t="s">
        <v>139</v>
      </c>
      <c r="H775" s="5">
        <v>9</v>
      </c>
      <c r="I775" s="5">
        <v>10.5</v>
      </c>
      <c r="J775" s="5">
        <v>13</v>
      </c>
      <c r="K775" s="4" t="s">
        <v>111</v>
      </c>
      <c r="L775" s="4" t="s">
        <v>112</v>
      </c>
      <c r="M775" s="6">
        <f>IF(OR(B775="",I775=""),"",B775*I775)</f>
        <v>556.5</v>
      </c>
      <c r="N775" s="28" t="s">
        <v>113</v>
      </c>
      <c r="O775" s="26">
        <v>55284</v>
      </c>
      <c r="P775" s="9" t="s">
        <v>269</v>
      </c>
      <c r="Q775" s="27">
        <v>329839</v>
      </c>
      <c r="R775" s="27">
        <v>3283857</v>
      </c>
      <c r="S775" s="23">
        <f>IF(AND(ISNUMBER(Q775),Q775&gt;0,ISNUMBER(R775),R775&gt;0),R775/Q775,"")</f>
        <v>9.955939109686847</v>
      </c>
      <c r="T775" s="9" t="s">
        <v>115</v>
      </c>
      <c r="U775" s="9" t="s">
        <v>141</v>
      </c>
      <c r="V775" s="9" t="s">
        <v>21</v>
      </c>
      <c r="W775" s="9" t="s">
        <v>270</v>
      </c>
      <c r="X775" s="23">
        <f>IF(ISNUMBER(S775),S775,IF(ISNUMBER(I775),I775,""))</f>
        <v>9.955939109686847</v>
      </c>
      <c r="Y775" t="str">
        <f>IF(ISNUMBER(S775),"2025 EIA-923 plant/group proxy",IF(ISNUMBER(I775),"Technology estimate","No thermal heat rate"))</f>
        <v>2025 EIA-923 plant/group proxy</v>
      </c>
      <c r="Z775" t="str">
        <f>IF(ISNUMBER(S775),"Review: NOT unit verified",IF(AE775="No match","No EIA match",IF(AF775="Unconfirmed","Unconfirmed EIA candidate","")))</f>
        <v>Review: NOT unit verified</v>
      </c>
      <c r="AA775" s="26">
        <v>0.67079999999999995</v>
      </c>
      <c r="AB775" t="s">
        <v>118</v>
      </c>
      <c r="AC775" t="s">
        <v>271</v>
      </c>
      <c r="AD775" s="26">
        <v>300</v>
      </c>
      <c r="AE775" t="s">
        <v>120</v>
      </c>
      <c r="AF775" t="s">
        <v>145</v>
      </c>
      <c r="AG775" s="27">
        <v>9.9558999999999997</v>
      </c>
      <c r="AH775" s="34">
        <f t="shared" si="30"/>
        <v>115960.3</v>
      </c>
      <c r="AI775">
        <f t="shared" si="29"/>
        <v>72415.176940253441</v>
      </c>
      <c r="AJ775" t="b" cm="1">
        <f t="array" ref="AJ775">OR(D775=$AT$2:$AT$8)</f>
        <v>0</v>
      </c>
    </row>
    <row r="776" spans="1:36" x14ac:dyDescent="0.25">
      <c r="A776" s="2" t="s">
        <v>272</v>
      </c>
      <c r="B776" s="3">
        <v>53</v>
      </c>
      <c r="C776" s="2" t="s">
        <v>99</v>
      </c>
      <c r="D776" s="2" t="s">
        <v>81</v>
      </c>
      <c r="E776" s="2" t="s">
        <v>137</v>
      </c>
      <c r="F776" s="4" t="s">
        <v>138</v>
      </c>
      <c r="G776" s="4" t="s">
        <v>139</v>
      </c>
      <c r="H776" s="5">
        <v>9</v>
      </c>
      <c r="I776" s="5">
        <v>10.5</v>
      </c>
      <c r="J776" s="5">
        <v>13</v>
      </c>
      <c r="K776" s="4" t="s">
        <v>111</v>
      </c>
      <c r="L776" s="4" t="s">
        <v>112</v>
      </c>
      <c r="M776" s="6">
        <f>IF(OR(B776="",I776=""),"",B776*I776)</f>
        <v>556.5</v>
      </c>
      <c r="N776" s="28" t="s">
        <v>113</v>
      </c>
      <c r="O776" s="26">
        <v>55284</v>
      </c>
      <c r="P776" s="9" t="s">
        <v>269</v>
      </c>
      <c r="Q776" s="27">
        <v>329839</v>
      </c>
      <c r="R776" s="27">
        <v>3283857</v>
      </c>
      <c r="S776" s="23">
        <f>IF(AND(ISNUMBER(Q776),Q776&gt;0,ISNUMBER(R776),R776&gt;0),R776/Q776,"")</f>
        <v>9.955939109686847</v>
      </c>
      <c r="T776" s="9" t="s">
        <v>115</v>
      </c>
      <c r="U776" s="9" t="s">
        <v>141</v>
      </c>
      <c r="V776" s="9" t="s">
        <v>21</v>
      </c>
      <c r="W776" s="9" t="s">
        <v>270</v>
      </c>
      <c r="X776" s="23">
        <f>IF(ISNUMBER(S776),S776,IF(ISNUMBER(I776),I776,""))</f>
        <v>9.955939109686847</v>
      </c>
      <c r="Y776" t="str">
        <f>IF(ISNUMBER(S776),"2025 EIA-923 plant/group proxy",IF(ISNUMBER(I776),"Technology estimate","No thermal heat rate"))</f>
        <v>2025 EIA-923 plant/group proxy</v>
      </c>
      <c r="Z776" t="str">
        <f>IF(ISNUMBER(S776),"Review: NOT unit verified",IF(AE776="No match","No EIA match",IF(AF776="Unconfirmed","Unconfirmed EIA candidate","")))</f>
        <v>Review: NOT unit verified</v>
      </c>
      <c r="AA776" s="26">
        <v>0.67079999999999995</v>
      </c>
      <c r="AB776" t="s">
        <v>118</v>
      </c>
      <c r="AC776" t="s">
        <v>271</v>
      </c>
      <c r="AD776" s="26">
        <v>300</v>
      </c>
      <c r="AE776" t="s">
        <v>120</v>
      </c>
      <c r="AF776" t="s">
        <v>145</v>
      </c>
      <c r="AG776" s="27">
        <v>9.9558999999999997</v>
      </c>
      <c r="AH776" s="34">
        <f t="shared" si="30"/>
        <v>116013.3</v>
      </c>
      <c r="AI776">
        <f t="shared" si="29"/>
        <v>72448.274512248638</v>
      </c>
      <c r="AJ776" t="b" cm="1">
        <f t="array" ref="AJ776">OR(D776=$AT$2:$AT$8)</f>
        <v>0</v>
      </c>
    </row>
    <row r="777" spans="1:36" x14ac:dyDescent="0.25">
      <c r="A777" s="2" t="s">
        <v>273</v>
      </c>
      <c r="B777" s="3">
        <v>53</v>
      </c>
      <c r="C777" s="2" t="s">
        <v>99</v>
      </c>
      <c r="D777" s="2" t="s">
        <v>81</v>
      </c>
      <c r="E777" s="2" t="s">
        <v>137</v>
      </c>
      <c r="F777" s="4" t="s">
        <v>138</v>
      </c>
      <c r="G777" s="4" t="s">
        <v>139</v>
      </c>
      <c r="H777" s="5">
        <v>9</v>
      </c>
      <c r="I777" s="5">
        <v>10.5</v>
      </c>
      <c r="J777" s="5">
        <v>13</v>
      </c>
      <c r="K777" s="4" t="s">
        <v>111</v>
      </c>
      <c r="L777" s="4" t="s">
        <v>112</v>
      </c>
      <c r="M777" s="6">
        <f>IF(OR(B777="",I777=""),"",B777*I777)</f>
        <v>556.5</v>
      </c>
      <c r="N777" s="28" t="s">
        <v>113</v>
      </c>
      <c r="O777" s="26">
        <v>55284</v>
      </c>
      <c r="P777" s="9" t="s">
        <v>269</v>
      </c>
      <c r="Q777" s="27">
        <v>329839</v>
      </c>
      <c r="R777" s="27">
        <v>3283857</v>
      </c>
      <c r="S777" s="23">
        <f>IF(AND(ISNUMBER(Q777),Q777&gt;0,ISNUMBER(R777),R777&gt;0),R777/Q777,"")</f>
        <v>9.955939109686847</v>
      </c>
      <c r="T777" s="9" t="s">
        <v>115</v>
      </c>
      <c r="U777" s="9" t="s">
        <v>141</v>
      </c>
      <c r="V777" s="9" t="s">
        <v>21</v>
      </c>
      <c r="W777" s="9" t="s">
        <v>270</v>
      </c>
      <c r="X777" s="23">
        <f>IF(ISNUMBER(S777),S777,IF(ISNUMBER(I777),I777,""))</f>
        <v>9.955939109686847</v>
      </c>
      <c r="Y777" t="str">
        <f>IF(ISNUMBER(S777),"2025 EIA-923 plant/group proxy",IF(ISNUMBER(I777),"Technology estimate","No thermal heat rate"))</f>
        <v>2025 EIA-923 plant/group proxy</v>
      </c>
      <c r="Z777" t="str">
        <f>IF(ISNUMBER(S777),"Review: NOT unit verified",IF(AE777="No match","No EIA match",IF(AF777="Unconfirmed","Unconfirmed EIA candidate","")))</f>
        <v>Review: NOT unit verified</v>
      </c>
      <c r="AA777" s="26">
        <v>0.67079999999999995</v>
      </c>
      <c r="AB777" t="s">
        <v>118</v>
      </c>
      <c r="AC777" t="s">
        <v>271</v>
      </c>
      <c r="AD777" s="26">
        <v>300</v>
      </c>
      <c r="AE777" t="s">
        <v>120</v>
      </c>
      <c r="AF777" t="s">
        <v>145</v>
      </c>
      <c r="AG777" s="27">
        <v>9.9558999999999997</v>
      </c>
      <c r="AH777" s="34">
        <f t="shared" si="30"/>
        <v>116066.3</v>
      </c>
      <c r="AI777">
        <f t="shared" si="29"/>
        <v>72481.37208424382</v>
      </c>
      <c r="AJ777" t="b" cm="1">
        <f t="array" ref="AJ777">OR(D777=$AT$2:$AT$8)</f>
        <v>0</v>
      </c>
    </row>
    <row r="778" spans="1:36" x14ac:dyDescent="0.25">
      <c r="A778" s="2" t="s">
        <v>274</v>
      </c>
      <c r="B778" s="3">
        <v>53</v>
      </c>
      <c r="C778" s="2" t="s">
        <v>99</v>
      </c>
      <c r="D778" s="2" t="s">
        <v>81</v>
      </c>
      <c r="E778" s="2" t="s">
        <v>137</v>
      </c>
      <c r="F778" s="4" t="s">
        <v>138</v>
      </c>
      <c r="G778" s="4" t="s">
        <v>139</v>
      </c>
      <c r="H778" s="5">
        <v>9</v>
      </c>
      <c r="I778" s="5">
        <v>10.5</v>
      </c>
      <c r="J778" s="5">
        <v>13</v>
      </c>
      <c r="K778" s="4" t="s">
        <v>111</v>
      </c>
      <c r="L778" s="4" t="s">
        <v>112</v>
      </c>
      <c r="M778" s="6">
        <f>IF(OR(B778="",I778=""),"",B778*I778)</f>
        <v>556.5</v>
      </c>
      <c r="N778" s="28" t="s">
        <v>113</v>
      </c>
      <c r="O778" s="26">
        <v>55284</v>
      </c>
      <c r="P778" s="9" t="s">
        <v>269</v>
      </c>
      <c r="Q778" s="27">
        <v>329839</v>
      </c>
      <c r="R778" s="27">
        <v>3283857</v>
      </c>
      <c r="S778" s="23">
        <f>IF(AND(ISNUMBER(Q778),Q778&gt;0,ISNUMBER(R778),R778&gt;0),R778/Q778,"")</f>
        <v>9.955939109686847</v>
      </c>
      <c r="T778" s="9" t="s">
        <v>115</v>
      </c>
      <c r="U778" s="9" t="s">
        <v>141</v>
      </c>
      <c r="V778" s="9" t="s">
        <v>21</v>
      </c>
      <c r="W778" s="9" t="s">
        <v>270</v>
      </c>
      <c r="X778" s="23">
        <f>IF(ISNUMBER(S778),S778,IF(ISNUMBER(I778),I778,""))</f>
        <v>9.955939109686847</v>
      </c>
      <c r="Y778" t="str">
        <f>IF(ISNUMBER(S778),"2025 EIA-923 plant/group proxy",IF(ISNUMBER(I778),"Technology estimate","No thermal heat rate"))</f>
        <v>2025 EIA-923 plant/group proxy</v>
      </c>
      <c r="Z778" t="str">
        <f>IF(ISNUMBER(S778),"Review: NOT unit verified",IF(AE778="No match","No EIA match",IF(AF778="Unconfirmed","Unconfirmed EIA candidate","")))</f>
        <v>Review: NOT unit verified</v>
      </c>
      <c r="AA778" s="26">
        <v>0.67079999999999995</v>
      </c>
      <c r="AB778" t="s">
        <v>118</v>
      </c>
      <c r="AC778" t="s">
        <v>271</v>
      </c>
      <c r="AD778" s="26">
        <v>300</v>
      </c>
      <c r="AE778" t="s">
        <v>120</v>
      </c>
      <c r="AF778" t="s">
        <v>145</v>
      </c>
      <c r="AG778" s="27">
        <v>9.9558999999999997</v>
      </c>
      <c r="AH778" s="34">
        <f t="shared" si="30"/>
        <v>116119.3</v>
      </c>
      <c r="AI778">
        <f t="shared" si="29"/>
        <v>72514.469656239002</v>
      </c>
      <c r="AJ778" t="b" cm="1">
        <f t="array" ref="AJ778">OR(D778=$AT$2:$AT$8)</f>
        <v>0</v>
      </c>
    </row>
    <row r="779" spans="1:36" x14ac:dyDescent="0.25">
      <c r="A779" s="2" t="s">
        <v>275</v>
      </c>
      <c r="B779" s="3">
        <v>53</v>
      </c>
      <c r="C779" s="2" t="s">
        <v>99</v>
      </c>
      <c r="D779" s="2" t="s">
        <v>81</v>
      </c>
      <c r="E779" s="2" t="s">
        <v>137</v>
      </c>
      <c r="F779" s="4" t="s">
        <v>138</v>
      </c>
      <c r="G779" s="4" t="s">
        <v>139</v>
      </c>
      <c r="H779" s="5">
        <v>9</v>
      </c>
      <c r="I779" s="5">
        <v>10.5</v>
      </c>
      <c r="J779" s="5">
        <v>13</v>
      </c>
      <c r="K779" s="4" t="s">
        <v>111</v>
      </c>
      <c r="L779" s="4" t="s">
        <v>112</v>
      </c>
      <c r="M779" s="6">
        <f>IF(OR(B779="",I779=""),"",B779*I779)</f>
        <v>556.5</v>
      </c>
      <c r="N779" s="28" t="s">
        <v>113</v>
      </c>
      <c r="O779" s="26">
        <v>55284</v>
      </c>
      <c r="P779" s="9" t="s">
        <v>269</v>
      </c>
      <c r="Q779" s="27">
        <v>329839</v>
      </c>
      <c r="R779" s="27">
        <v>3283857</v>
      </c>
      <c r="S779" s="23">
        <f>IF(AND(ISNUMBER(Q779),Q779&gt;0,ISNUMBER(R779),R779&gt;0),R779/Q779,"")</f>
        <v>9.955939109686847</v>
      </c>
      <c r="T779" s="9" t="s">
        <v>115</v>
      </c>
      <c r="U779" s="9" t="s">
        <v>141</v>
      </c>
      <c r="V779" s="9" t="s">
        <v>21</v>
      </c>
      <c r="W779" s="9" t="s">
        <v>270</v>
      </c>
      <c r="X779" s="23">
        <f>IF(ISNUMBER(S779),S779,IF(ISNUMBER(I779),I779,""))</f>
        <v>9.955939109686847</v>
      </c>
      <c r="Y779" t="str">
        <f>IF(ISNUMBER(S779),"2025 EIA-923 plant/group proxy",IF(ISNUMBER(I779),"Technology estimate","No thermal heat rate"))</f>
        <v>2025 EIA-923 plant/group proxy</v>
      </c>
      <c r="Z779" t="str">
        <f>IF(ISNUMBER(S779),"Review: NOT unit verified",IF(AE779="No match","No EIA match",IF(AF779="Unconfirmed","Unconfirmed EIA candidate","")))</f>
        <v>Review: NOT unit verified</v>
      </c>
      <c r="AA779" s="26">
        <v>0.67079999999999995</v>
      </c>
      <c r="AB779" t="s">
        <v>118</v>
      </c>
      <c r="AC779" t="s">
        <v>271</v>
      </c>
      <c r="AD779" s="26">
        <v>300</v>
      </c>
      <c r="AE779" t="s">
        <v>120</v>
      </c>
      <c r="AF779" t="s">
        <v>145</v>
      </c>
      <c r="AG779" s="27">
        <v>9.9558999999999997</v>
      </c>
      <c r="AH779" s="34">
        <f t="shared" si="30"/>
        <v>116172.3</v>
      </c>
      <c r="AI779">
        <f t="shared" si="29"/>
        <v>72547.567228234198</v>
      </c>
      <c r="AJ779" t="b" cm="1">
        <f t="array" ref="AJ779">OR(D779=$AT$2:$AT$8)</f>
        <v>0</v>
      </c>
    </row>
    <row r="780" spans="1:36" x14ac:dyDescent="0.25">
      <c r="A780" s="2" t="s">
        <v>276</v>
      </c>
      <c r="B780" s="3">
        <v>53</v>
      </c>
      <c r="C780" s="2" t="s">
        <v>99</v>
      </c>
      <c r="D780" s="2" t="s">
        <v>81</v>
      </c>
      <c r="E780" s="2" t="s">
        <v>137</v>
      </c>
      <c r="F780" s="4" t="s">
        <v>138</v>
      </c>
      <c r="G780" s="4" t="s">
        <v>139</v>
      </c>
      <c r="H780" s="5">
        <v>9</v>
      </c>
      <c r="I780" s="5">
        <v>10.5</v>
      </c>
      <c r="J780" s="5">
        <v>13</v>
      </c>
      <c r="K780" s="4" t="s">
        <v>111</v>
      </c>
      <c r="L780" s="4" t="s">
        <v>112</v>
      </c>
      <c r="M780" s="6">
        <f>IF(OR(B780="",I780=""),"",B780*I780)</f>
        <v>556.5</v>
      </c>
      <c r="N780" s="28" t="s">
        <v>113</v>
      </c>
      <c r="O780" s="26">
        <v>55284</v>
      </c>
      <c r="P780" s="9" t="s">
        <v>269</v>
      </c>
      <c r="Q780" s="27">
        <v>329839</v>
      </c>
      <c r="R780" s="27">
        <v>3283857</v>
      </c>
      <c r="S780" s="23">
        <f>IF(AND(ISNUMBER(Q780),Q780&gt;0,ISNUMBER(R780),R780&gt;0),R780/Q780,"")</f>
        <v>9.955939109686847</v>
      </c>
      <c r="T780" s="9" t="s">
        <v>115</v>
      </c>
      <c r="U780" s="9" t="s">
        <v>141</v>
      </c>
      <c r="V780" s="9" t="s">
        <v>21</v>
      </c>
      <c r="W780" s="9" t="s">
        <v>270</v>
      </c>
      <c r="X780" s="23">
        <f>IF(ISNUMBER(S780),S780,IF(ISNUMBER(I780),I780,""))</f>
        <v>9.955939109686847</v>
      </c>
      <c r="Y780" t="str">
        <f>IF(ISNUMBER(S780),"2025 EIA-923 plant/group proxy",IF(ISNUMBER(I780),"Technology estimate","No thermal heat rate"))</f>
        <v>2025 EIA-923 plant/group proxy</v>
      </c>
      <c r="Z780" t="str">
        <f>IF(ISNUMBER(S780),"Review: NOT unit verified",IF(AE780="No match","No EIA match",IF(AF780="Unconfirmed","Unconfirmed EIA candidate","")))</f>
        <v>Review: NOT unit verified</v>
      </c>
      <c r="AA780" s="26">
        <v>0.67079999999999995</v>
      </c>
      <c r="AB780" t="s">
        <v>118</v>
      </c>
      <c r="AC780" t="s">
        <v>271</v>
      </c>
      <c r="AD780" s="26">
        <v>300</v>
      </c>
      <c r="AE780" t="s">
        <v>120</v>
      </c>
      <c r="AF780" t="s">
        <v>145</v>
      </c>
      <c r="AG780" s="27">
        <v>9.9558999999999997</v>
      </c>
      <c r="AH780" s="34">
        <f t="shared" si="30"/>
        <v>116225.3</v>
      </c>
      <c r="AI780">
        <f t="shared" si="29"/>
        <v>72580.66480022938</v>
      </c>
      <c r="AJ780" t="b" cm="1">
        <f t="array" ref="AJ780">OR(D780=$AT$2:$AT$8)</f>
        <v>0</v>
      </c>
    </row>
    <row r="781" spans="1:36" x14ac:dyDescent="0.25">
      <c r="A781" s="2" t="s">
        <v>798</v>
      </c>
      <c r="B781" s="3">
        <v>1331</v>
      </c>
      <c r="C781" s="2" t="s">
        <v>99</v>
      </c>
      <c r="D781" s="2" t="s">
        <v>81</v>
      </c>
      <c r="E781" s="2" t="s">
        <v>109</v>
      </c>
      <c r="F781" s="4" t="s">
        <v>109</v>
      </c>
      <c r="G781" s="4" t="s">
        <v>110</v>
      </c>
      <c r="H781" s="5">
        <v>9</v>
      </c>
      <c r="I781" s="5">
        <v>10.3</v>
      </c>
      <c r="J781" s="5">
        <v>12</v>
      </c>
      <c r="K781" s="4" t="s">
        <v>111</v>
      </c>
      <c r="L781" s="4" t="s">
        <v>112</v>
      </c>
      <c r="M781" s="6">
        <f>IF(OR(B781="",I781=""),"",B781*I781)</f>
        <v>13709.300000000001</v>
      </c>
      <c r="N781" s="25" t="s">
        <v>113</v>
      </c>
      <c r="O781" s="26">
        <v>8102</v>
      </c>
      <c r="P781" s="9" t="s">
        <v>799</v>
      </c>
      <c r="Q781" s="27">
        <v>12816048.91</v>
      </c>
      <c r="R781" s="27">
        <v>127674621</v>
      </c>
      <c r="S781" s="23">
        <f>IF(AND(ISNUMBER(Q781),Q781&gt;0,ISNUMBER(R781),R781&gt;0),R781/Q781,"")</f>
        <v>9.9620890881884119</v>
      </c>
      <c r="T781" s="9" t="s">
        <v>115</v>
      </c>
      <c r="U781" s="9" t="s">
        <v>116</v>
      </c>
      <c r="V781" s="9" t="s">
        <v>21</v>
      </c>
      <c r="W781" s="9" t="s">
        <v>240</v>
      </c>
      <c r="X781" s="23">
        <f>IF(ISNUMBER(S781),S781,IF(ISNUMBER(I781),I781,""))</f>
        <v>9.9620890881884119</v>
      </c>
      <c r="Y781" t="str">
        <f>IF(ISNUMBER(S781),"2025 EIA-923 plant/group proxy",IF(ISNUMBER(I781),"Technology estimate","No thermal heat rate"))</f>
        <v>2025 EIA-923 plant/group proxy</v>
      </c>
      <c r="Z781" t="str">
        <f>IF(ISNUMBER(S781),"Review: NOT unit verified",IF(AE781="No match","No EIA match",IF(AF781="Unconfirmed","Unconfirmed EIA candidate","")))</f>
        <v>Review: NOT unit verified</v>
      </c>
      <c r="AA781" s="26">
        <v>1</v>
      </c>
      <c r="AB781" t="s">
        <v>322</v>
      </c>
      <c r="AC781" t="s">
        <v>308</v>
      </c>
      <c r="AD781" s="26">
        <v>2722</v>
      </c>
      <c r="AE781" t="s">
        <v>120</v>
      </c>
      <c r="AF781" t="s">
        <v>121</v>
      </c>
      <c r="AG781" s="27">
        <v>9.9620999999999995</v>
      </c>
      <c r="AH781" s="34">
        <f t="shared" si="30"/>
        <v>117556.3</v>
      </c>
      <c r="AI781">
        <f t="shared" si="29"/>
        <v>73411.850995051893</v>
      </c>
      <c r="AJ781" t="b" cm="1">
        <f t="array" ref="AJ781">OR(D781=$AT$2:$AT$8)</f>
        <v>0</v>
      </c>
    </row>
    <row r="782" spans="1:36" x14ac:dyDescent="0.25">
      <c r="A782" s="2" t="s">
        <v>800</v>
      </c>
      <c r="B782" s="3">
        <v>1350</v>
      </c>
      <c r="C782" s="2" t="s">
        <v>99</v>
      </c>
      <c r="D782" s="2" t="s">
        <v>81</v>
      </c>
      <c r="E782" s="2" t="s">
        <v>109</v>
      </c>
      <c r="F782" s="4" t="s">
        <v>109</v>
      </c>
      <c r="G782" s="4" t="s">
        <v>110</v>
      </c>
      <c r="H782" s="5">
        <v>9</v>
      </c>
      <c r="I782" s="5">
        <v>10.3</v>
      </c>
      <c r="J782" s="5">
        <v>12</v>
      </c>
      <c r="K782" s="4" t="s">
        <v>111</v>
      </c>
      <c r="L782" s="4" t="s">
        <v>112</v>
      </c>
      <c r="M782" s="6">
        <f>IF(OR(B782="",I782=""),"",B782*I782)</f>
        <v>13905.000000000002</v>
      </c>
      <c r="N782" s="25" t="s">
        <v>113</v>
      </c>
      <c r="O782" s="26">
        <v>8102</v>
      </c>
      <c r="P782" s="9" t="s">
        <v>799</v>
      </c>
      <c r="Q782" s="27">
        <v>12816048.91</v>
      </c>
      <c r="R782" s="27">
        <v>127674621</v>
      </c>
      <c r="S782" s="23">
        <f>IF(AND(ISNUMBER(Q782),Q782&gt;0,ISNUMBER(R782),R782&gt;0),R782/Q782,"")</f>
        <v>9.9620890881884119</v>
      </c>
      <c r="T782" s="9" t="s">
        <v>115</v>
      </c>
      <c r="U782" s="9" t="s">
        <v>116</v>
      </c>
      <c r="V782" s="9" t="s">
        <v>21</v>
      </c>
      <c r="W782" s="9" t="s">
        <v>240</v>
      </c>
      <c r="X782" s="23">
        <f>IF(ISNUMBER(S782),S782,IF(ISNUMBER(I782),I782,""))</f>
        <v>9.9620890881884119</v>
      </c>
      <c r="Y782" t="str">
        <f>IF(ISNUMBER(S782),"2025 EIA-923 plant/group proxy",IF(ISNUMBER(I782),"Technology estimate","No thermal heat rate"))</f>
        <v>2025 EIA-923 plant/group proxy</v>
      </c>
      <c r="Z782" t="str">
        <f>IF(ISNUMBER(S782),"Review: NOT unit verified",IF(AE782="No match","No EIA match",IF(AF782="Unconfirmed","Unconfirmed EIA candidate","")))</f>
        <v>Review: NOT unit verified</v>
      </c>
      <c r="AA782" s="26">
        <v>1</v>
      </c>
      <c r="AB782" t="s">
        <v>322</v>
      </c>
      <c r="AC782" t="s">
        <v>308</v>
      </c>
      <c r="AD782" s="26">
        <v>2722</v>
      </c>
      <c r="AE782" t="s">
        <v>120</v>
      </c>
      <c r="AF782" t="s">
        <v>121</v>
      </c>
      <c r="AG782" s="27">
        <v>9.9620999999999995</v>
      </c>
      <c r="AH782" s="34">
        <f t="shared" si="30"/>
        <v>118906.3</v>
      </c>
      <c r="AI782">
        <f t="shared" si="29"/>
        <v>74254.902357193438</v>
      </c>
      <c r="AJ782" t="b" cm="1">
        <f t="array" ref="AJ782">OR(D782=$AT$2:$AT$8)</f>
        <v>0</v>
      </c>
    </row>
    <row r="783" spans="1:36" x14ac:dyDescent="0.25">
      <c r="A783" s="2" t="s">
        <v>1632</v>
      </c>
      <c r="B783" s="3">
        <v>300</v>
      </c>
      <c r="C783" s="2" t="s">
        <v>294</v>
      </c>
      <c r="D783" s="2" t="s">
        <v>81</v>
      </c>
      <c r="E783" s="2" t="s">
        <v>109</v>
      </c>
      <c r="F783" s="4" t="s">
        <v>109</v>
      </c>
      <c r="G783" s="4" t="s">
        <v>110</v>
      </c>
      <c r="H783" s="5">
        <v>9</v>
      </c>
      <c r="I783" s="5">
        <v>10.3</v>
      </c>
      <c r="J783" s="5">
        <v>12</v>
      </c>
      <c r="K783" s="4" t="s">
        <v>111</v>
      </c>
      <c r="L783" s="4" t="s">
        <v>112</v>
      </c>
      <c r="M783" s="6">
        <f>IF(OR(B783="",I783=""),"",B783*I783)</f>
        <v>3090</v>
      </c>
      <c r="N783" s="25" t="s">
        <v>113</v>
      </c>
      <c r="O783" s="26">
        <v>6041</v>
      </c>
      <c r="P783" s="9" t="s">
        <v>1633</v>
      </c>
      <c r="Q783" s="27">
        <v>8748851.4900000002</v>
      </c>
      <c r="R783" s="27">
        <v>87232758</v>
      </c>
      <c r="S783" s="23">
        <f>IF(AND(ISNUMBER(Q783),Q783&gt;0,ISNUMBER(R783),R783&gt;0),R783/Q783,"")</f>
        <v>9.9707668029006626</v>
      </c>
      <c r="T783" s="9" t="s">
        <v>115</v>
      </c>
      <c r="U783" s="9" t="s">
        <v>116</v>
      </c>
      <c r="V783" s="9" t="s">
        <v>21</v>
      </c>
      <c r="W783" s="9" t="s">
        <v>528</v>
      </c>
      <c r="X783" s="23">
        <f>IF(ISNUMBER(S783),S783,IF(ISNUMBER(I783),I783,""))</f>
        <v>9.9707668029006626</v>
      </c>
      <c r="Y783" t="str">
        <f>IF(ISNUMBER(S783),"2025 EIA-923 plant/group proxy",IF(ISNUMBER(I783),"Technology estimate","No thermal heat rate"))</f>
        <v>2025 EIA-923 plant/group proxy</v>
      </c>
      <c r="Z783" t="str">
        <f>IF(ISNUMBER(S783),"Review: NOT unit verified",IF(AE783="No match","No EIA match",IF(AF783="Unconfirmed","Unconfirmed EIA candidate","")))</f>
        <v>Review: NOT unit verified</v>
      </c>
      <c r="AA783" s="26">
        <v>1</v>
      </c>
      <c r="AB783" t="s">
        <v>266</v>
      </c>
      <c r="AC783" t="s">
        <v>567</v>
      </c>
      <c r="AD783" s="26">
        <v>1346</v>
      </c>
      <c r="AE783" t="s">
        <v>120</v>
      </c>
      <c r="AF783" t="s">
        <v>121</v>
      </c>
      <c r="AG783" s="27">
        <v>9.9708000000000006</v>
      </c>
      <c r="AH783" s="34">
        <f t="shared" si="30"/>
        <v>119206.3</v>
      </c>
      <c r="AI783">
        <f t="shared" si="29"/>
        <v>74442.247104335998</v>
      </c>
      <c r="AJ783" t="b" cm="1">
        <f t="array" ref="AJ783">OR(D783=$AT$2:$AT$8)</f>
        <v>0</v>
      </c>
    </row>
    <row r="784" spans="1:36" x14ac:dyDescent="0.25">
      <c r="A784" s="2" t="s">
        <v>1634</v>
      </c>
      <c r="B784" s="3">
        <v>510</v>
      </c>
      <c r="C784" s="2" t="s">
        <v>294</v>
      </c>
      <c r="D784" s="2" t="s">
        <v>81</v>
      </c>
      <c r="E784" s="2" t="s">
        <v>109</v>
      </c>
      <c r="F784" s="4" t="s">
        <v>109</v>
      </c>
      <c r="G784" s="4" t="s">
        <v>110</v>
      </c>
      <c r="H784" s="5">
        <v>9</v>
      </c>
      <c r="I784" s="5">
        <v>10.3</v>
      </c>
      <c r="J784" s="5">
        <v>12</v>
      </c>
      <c r="K784" s="4" t="s">
        <v>111</v>
      </c>
      <c r="L784" s="4" t="s">
        <v>112</v>
      </c>
      <c r="M784" s="6">
        <f>IF(OR(B784="",I784=""),"",B784*I784)</f>
        <v>5253</v>
      </c>
      <c r="N784" s="25" t="s">
        <v>113</v>
      </c>
      <c r="O784" s="26">
        <v>6041</v>
      </c>
      <c r="P784" s="9" t="s">
        <v>1633</v>
      </c>
      <c r="Q784" s="27">
        <v>8748851.4900000002</v>
      </c>
      <c r="R784" s="27">
        <v>87232758</v>
      </c>
      <c r="S784" s="23">
        <f>IF(AND(ISNUMBER(Q784),Q784&gt;0,ISNUMBER(R784),R784&gt;0),R784/Q784,"")</f>
        <v>9.9707668029006626</v>
      </c>
      <c r="T784" s="9" t="s">
        <v>115</v>
      </c>
      <c r="U784" s="9" t="s">
        <v>116</v>
      </c>
      <c r="V784" s="9" t="s">
        <v>21</v>
      </c>
      <c r="W784" s="9" t="s">
        <v>528</v>
      </c>
      <c r="X784" s="23">
        <f>IF(ISNUMBER(S784),S784,IF(ISNUMBER(I784),I784,""))</f>
        <v>9.9707668029006626</v>
      </c>
      <c r="Y784" t="str">
        <f>IF(ISNUMBER(S784),"2025 EIA-923 plant/group proxy",IF(ISNUMBER(I784),"Technology estimate","No thermal heat rate"))</f>
        <v>2025 EIA-923 plant/group proxy</v>
      </c>
      <c r="Z784" t="str">
        <f>IF(ISNUMBER(S784),"Review: NOT unit verified",IF(AE784="No match","No EIA match",IF(AF784="Unconfirmed","Unconfirmed EIA candidate","")))</f>
        <v>Review: NOT unit verified</v>
      </c>
      <c r="AA784" s="26">
        <v>1</v>
      </c>
      <c r="AB784" t="s">
        <v>266</v>
      </c>
      <c r="AC784" t="s">
        <v>567</v>
      </c>
      <c r="AD784" s="26">
        <v>1346</v>
      </c>
      <c r="AE784" t="s">
        <v>120</v>
      </c>
      <c r="AF784" t="s">
        <v>121</v>
      </c>
      <c r="AG784" s="27">
        <v>9.9708000000000006</v>
      </c>
      <c r="AH784" s="34">
        <f t="shared" si="30"/>
        <v>119716.3</v>
      </c>
      <c r="AI784">
        <f t="shared" si="29"/>
        <v>74760.733174478373</v>
      </c>
      <c r="AJ784" t="b" cm="1">
        <f t="array" ref="AJ784">OR(D784=$AT$2:$AT$8)</f>
        <v>0</v>
      </c>
    </row>
    <row r="785" spans="1:36" x14ac:dyDescent="0.25">
      <c r="A785" s="2" t="s">
        <v>1635</v>
      </c>
      <c r="B785" s="3">
        <v>268</v>
      </c>
      <c r="C785" s="2" t="s">
        <v>294</v>
      </c>
      <c r="D785" s="2" t="s">
        <v>81</v>
      </c>
      <c r="E785" s="2" t="s">
        <v>109</v>
      </c>
      <c r="F785" s="4" t="s">
        <v>109</v>
      </c>
      <c r="G785" s="4" t="s">
        <v>110</v>
      </c>
      <c r="H785" s="5">
        <v>9</v>
      </c>
      <c r="I785" s="5">
        <v>10.3</v>
      </c>
      <c r="J785" s="5">
        <v>12</v>
      </c>
      <c r="K785" s="4" t="s">
        <v>111</v>
      </c>
      <c r="L785" s="4" t="s">
        <v>112</v>
      </c>
      <c r="M785" s="6">
        <f>IF(OR(B785="",I785=""),"",B785*I785)</f>
        <v>2760.4</v>
      </c>
      <c r="N785" s="25" t="s">
        <v>113</v>
      </c>
      <c r="O785" s="26">
        <v>6041</v>
      </c>
      <c r="P785" s="9" t="s">
        <v>1633</v>
      </c>
      <c r="Q785" s="27">
        <v>8748851.4900000002</v>
      </c>
      <c r="R785" s="27">
        <v>87232758</v>
      </c>
      <c r="S785" s="23">
        <f>IF(AND(ISNUMBER(Q785),Q785&gt;0,ISNUMBER(R785),R785&gt;0),R785/Q785,"")</f>
        <v>9.9707668029006626</v>
      </c>
      <c r="T785" s="9" t="s">
        <v>115</v>
      </c>
      <c r="U785" s="9" t="s">
        <v>116</v>
      </c>
      <c r="V785" s="9" t="s">
        <v>21</v>
      </c>
      <c r="W785" s="9" t="s">
        <v>528</v>
      </c>
      <c r="X785" s="23">
        <f>IF(ISNUMBER(S785),S785,IF(ISNUMBER(I785),I785,""))</f>
        <v>9.9707668029006626</v>
      </c>
      <c r="Y785" t="str">
        <f>IF(ISNUMBER(S785),"2025 EIA-923 plant/group proxy",IF(ISNUMBER(I785),"Technology estimate","No thermal heat rate"))</f>
        <v>2025 EIA-923 plant/group proxy</v>
      </c>
      <c r="Z785" t="str">
        <f>IF(ISNUMBER(S785),"Review: NOT unit verified",IF(AE785="No match","No EIA match",IF(AF785="Unconfirmed","Unconfirmed EIA candidate","")))</f>
        <v>Review: NOT unit verified</v>
      </c>
      <c r="AA785" s="26">
        <v>1</v>
      </c>
      <c r="AB785" t="s">
        <v>266</v>
      </c>
      <c r="AC785" t="s">
        <v>567</v>
      </c>
      <c r="AD785" s="26">
        <v>1346</v>
      </c>
      <c r="AE785" t="s">
        <v>120</v>
      </c>
      <c r="AF785" t="s">
        <v>121</v>
      </c>
      <c r="AG785" s="27">
        <v>9.9708000000000006</v>
      </c>
      <c r="AH785" s="34">
        <f t="shared" si="30"/>
        <v>119984.3</v>
      </c>
      <c r="AI785">
        <f t="shared" si="29"/>
        <v>74928.094481925727</v>
      </c>
      <c r="AJ785" t="b" cm="1">
        <f t="array" ref="AJ785">OR(D785=$AT$2:$AT$8)</f>
        <v>0</v>
      </c>
    </row>
    <row r="786" spans="1:36" x14ac:dyDescent="0.25">
      <c r="A786" s="2" t="s">
        <v>1636</v>
      </c>
      <c r="B786" s="3">
        <v>268</v>
      </c>
      <c r="C786" s="2" t="s">
        <v>294</v>
      </c>
      <c r="D786" s="2" t="s">
        <v>81</v>
      </c>
      <c r="E786" s="2" t="s">
        <v>109</v>
      </c>
      <c r="F786" s="4" t="s">
        <v>109</v>
      </c>
      <c r="G786" s="4" t="s">
        <v>110</v>
      </c>
      <c r="H786" s="5">
        <v>9</v>
      </c>
      <c r="I786" s="5">
        <v>10.3</v>
      </c>
      <c r="J786" s="5">
        <v>12</v>
      </c>
      <c r="K786" s="4" t="s">
        <v>111</v>
      </c>
      <c r="L786" s="4" t="s">
        <v>112</v>
      </c>
      <c r="M786" s="6">
        <f>IF(OR(B786="",I786=""),"",B786*I786)</f>
        <v>2760.4</v>
      </c>
      <c r="N786" s="25" t="s">
        <v>113</v>
      </c>
      <c r="O786" s="26">
        <v>6041</v>
      </c>
      <c r="P786" s="9" t="s">
        <v>1633</v>
      </c>
      <c r="Q786" s="27">
        <v>8748851.4900000002</v>
      </c>
      <c r="R786" s="27">
        <v>87232758</v>
      </c>
      <c r="S786" s="23">
        <f>IF(AND(ISNUMBER(Q786),Q786&gt;0,ISNUMBER(R786),R786&gt;0),R786/Q786,"")</f>
        <v>9.9707668029006626</v>
      </c>
      <c r="T786" s="9" t="s">
        <v>115</v>
      </c>
      <c r="U786" s="9" t="s">
        <v>116</v>
      </c>
      <c r="V786" s="9" t="s">
        <v>21</v>
      </c>
      <c r="W786" s="9" t="s">
        <v>528</v>
      </c>
      <c r="X786" s="23">
        <f>IF(ISNUMBER(S786),S786,IF(ISNUMBER(I786),I786,""))</f>
        <v>9.9707668029006626</v>
      </c>
      <c r="Y786" t="str">
        <f>IF(ISNUMBER(S786),"2025 EIA-923 plant/group proxy",IF(ISNUMBER(I786),"Technology estimate","No thermal heat rate"))</f>
        <v>2025 EIA-923 plant/group proxy</v>
      </c>
      <c r="Z786" t="str">
        <f>IF(ISNUMBER(S786),"Review: NOT unit verified",IF(AE786="No match","No EIA match",IF(AF786="Unconfirmed","Unconfirmed EIA candidate","")))</f>
        <v>Review: NOT unit verified</v>
      </c>
      <c r="AA786" s="26">
        <v>1</v>
      </c>
      <c r="AB786" t="s">
        <v>266</v>
      </c>
      <c r="AC786" t="s">
        <v>567</v>
      </c>
      <c r="AD786" s="26">
        <v>1346</v>
      </c>
      <c r="AE786" t="s">
        <v>120</v>
      </c>
      <c r="AF786" t="s">
        <v>121</v>
      </c>
      <c r="AG786" s="27">
        <v>9.9708000000000006</v>
      </c>
      <c r="AH786" s="34">
        <f t="shared" si="30"/>
        <v>120252.3</v>
      </c>
      <c r="AI786">
        <f t="shared" si="29"/>
        <v>75095.455789373082</v>
      </c>
      <c r="AJ786" t="b" cm="1">
        <f t="array" ref="AJ786">OR(D786=$AT$2:$AT$8)</f>
        <v>0</v>
      </c>
    </row>
    <row r="787" spans="1:36" x14ac:dyDescent="0.25">
      <c r="A787" s="2" t="s">
        <v>1467</v>
      </c>
      <c r="B787" s="3">
        <v>149.69999999999999</v>
      </c>
      <c r="C787" s="2" t="s">
        <v>78</v>
      </c>
      <c r="D787" s="2" t="s">
        <v>78</v>
      </c>
      <c r="E787" s="2" t="s">
        <v>125</v>
      </c>
      <c r="F787" s="4" t="s">
        <v>126</v>
      </c>
      <c r="G787" s="4" t="s">
        <v>127</v>
      </c>
      <c r="H787" s="5">
        <v>9.1999999999999993</v>
      </c>
      <c r="I787" s="5">
        <v>10.8</v>
      </c>
      <c r="J787" s="5">
        <v>13.5</v>
      </c>
      <c r="K787" s="4" t="s">
        <v>111</v>
      </c>
      <c r="L787" s="4" t="s">
        <v>128</v>
      </c>
      <c r="M787" s="6">
        <f>IF(OR(B787="",I787=""),"",B787*I787)</f>
        <v>1616.76</v>
      </c>
      <c r="N787" s="28" t="s">
        <v>113</v>
      </c>
      <c r="O787" s="26">
        <v>7838</v>
      </c>
      <c r="P787" s="9" t="s">
        <v>1468</v>
      </c>
      <c r="Q787" s="27">
        <v>1269191.9979999999</v>
      </c>
      <c r="R787" s="27">
        <v>12674047</v>
      </c>
      <c r="S787" s="23">
        <f>IF(AND(ISNUMBER(Q787),Q787&gt;0,ISNUMBER(R787),R787&gt;0),R787/Q787,"")</f>
        <v>9.9859178280132852</v>
      </c>
      <c r="T787" s="9" t="s">
        <v>115</v>
      </c>
      <c r="U787" s="9" t="s">
        <v>130</v>
      </c>
      <c r="V787" s="9" t="s">
        <v>21</v>
      </c>
      <c r="W787" s="9" t="s">
        <v>332</v>
      </c>
      <c r="X787" s="23">
        <f>IF(ISNUMBER(S787),S787,IF(ISNUMBER(I787),I787,""))</f>
        <v>9.9859178280132852</v>
      </c>
      <c r="Y787" t="str">
        <f>IF(ISNUMBER(S787),"2025 EIA-923 plant/group proxy",IF(ISNUMBER(I787),"Technology estimate","No thermal heat rate"))</f>
        <v>2025 EIA-923 plant/group proxy</v>
      </c>
      <c r="Z787" t="str">
        <f>IF(ISNUMBER(S787),"Review: NOT unit verified",IF(AE787="No match","No EIA match",IF(AF787="Unconfirmed","Unconfirmed EIA candidate","")))</f>
        <v>Review: NOT unit verified</v>
      </c>
      <c r="AA787" s="26">
        <v>0.6623</v>
      </c>
      <c r="AB787" t="s">
        <v>201</v>
      </c>
      <c r="AC787" t="s">
        <v>567</v>
      </c>
      <c r="AD787" s="26">
        <v>613.70000000000005</v>
      </c>
      <c r="AE787" t="s">
        <v>120</v>
      </c>
      <c r="AF787" t="s">
        <v>145</v>
      </c>
      <c r="AG787" s="27">
        <v>9.9859000000000009</v>
      </c>
      <c r="AH787" s="34">
        <f t="shared" si="30"/>
        <v>120402</v>
      </c>
      <c r="AI787">
        <f t="shared" si="29"/>
        <v>75188.940818197225</v>
      </c>
      <c r="AJ787" t="b" cm="1">
        <f t="array" ref="AJ787">OR(D787=$AT$2:$AT$8)</f>
        <v>1</v>
      </c>
    </row>
    <row r="788" spans="1:36" x14ac:dyDescent="0.25">
      <c r="A788" s="2" t="s">
        <v>1469</v>
      </c>
      <c r="B788" s="3">
        <v>150.69999999999999</v>
      </c>
      <c r="C788" s="2" t="s">
        <v>78</v>
      </c>
      <c r="D788" s="2" t="s">
        <v>78</v>
      </c>
      <c r="E788" s="2" t="s">
        <v>125</v>
      </c>
      <c r="F788" s="4" t="s">
        <v>126</v>
      </c>
      <c r="G788" s="4" t="s">
        <v>127</v>
      </c>
      <c r="H788" s="5">
        <v>9.1999999999999993</v>
      </c>
      <c r="I788" s="5">
        <v>10.8</v>
      </c>
      <c r="J788" s="5">
        <v>13.5</v>
      </c>
      <c r="K788" s="4" t="s">
        <v>111</v>
      </c>
      <c r="L788" s="4" t="s">
        <v>128</v>
      </c>
      <c r="M788" s="6">
        <f>IF(OR(B788="",I788=""),"",B788*I788)</f>
        <v>1627.56</v>
      </c>
      <c r="N788" s="28" t="s">
        <v>113</v>
      </c>
      <c r="O788" s="26">
        <v>7838</v>
      </c>
      <c r="P788" s="9" t="s">
        <v>1468</v>
      </c>
      <c r="Q788" s="27">
        <v>1269191.9979999999</v>
      </c>
      <c r="R788" s="27">
        <v>12674047</v>
      </c>
      <c r="S788" s="23">
        <f>IF(AND(ISNUMBER(Q788),Q788&gt;0,ISNUMBER(R788),R788&gt;0),R788/Q788,"")</f>
        <v>9.9859178280132852</v>
      </c>
      <c r="T788" s="9" t="s">
        <v>115</v>
      </c>
      <c r="U788" s="9" t="s">
        <v>130</v>
      </c>
      <c r="V788" s="9" t="s">
        <v>21</v>
      </c>
      <c r="W788" s="9" t="s">
        <v>332</v>
      </c>
      <c r="X788" s="23">
        <f>IF(ISNUMBER(S788),S788,IF(ISNUMBER(I788),I788,""))</f>
        <v>9.9859178280132852</v>
      </c>
      <c r="Y788" t="str">
        <f>IF(ISNUMBER(S788),"2025 EIA-923 plant/group proxy",IF(ISNUMBER(I788),"Technology estimate","No thermal heat rate"))</f>
        <v>2025 EIA-923 plant/group proxy</v>
      </c>
      <c r="Z788" t="str">
        <f>IF(ISNUMBER(S788),"Review: NOT unit verified",IF(AE788="No match","No EIA match",IF(AF788="Unconfirmed","Unconfirmed EIA candidate","")))</f>
        <v>Review: NOT unit verified</v>
      </c>
      <c r="AA788" s="26">
        <v>0.6623</v>
      </c>
      <c r="AB788" t="s">
        <v>201</v>
      </c>
      <c r="AC788" t="s">
        <v>567</v>
      </c>
      <c r="AD788" s="26">
        <v>613.70000000000005</v>
      </c>
      <c r="AE788" t="s">
        <v>120</v>
      </c>
      <c r="AF788" t="s">
        <v>145</v>
      </c>
      <c r="AG788" s="27">
        <v>9.9859000000000009</v>
      </c>
      <c r="AH788" s="34">
        <f t="shared" si="30"/>
        <v>120552.7</v>
      </c>
      <c r="AI788">
        <f t="shared" si="29"/>
        <v>75283.05032951184</v>
      </c>
      <c r="AJ788" t="b" cm="1">
        <f t="array" ref="AJ788">OR(D788=$AT$2:$AT$8)</f>
        <v>1</v>
      </c>
    </row>
    <row r="789" spans="1:36" x14ac:dyDescent="0.25">
      <c r="A789" s="2" t="s">
        <v>1470</v>
      </c>
      <c r="B789" s="3">
        <v>161.6</v>
      </c>
      <c r="C789" s="2" t="s">
        <v>78</v>
      </c>
      <c r="D789" s="2" t="s">
        <v>78</v>
      </c>
      <c r="E789" s="2" t="s">
        <v>125</v>
      </c>
      <c r="F789" s="4" t="s">
        <v>126</v>
      </c>
      <c r="G789" s="4" t="s">
        <v>127</v>
      </c>
      <c r="H789" s="5">
        <v>9.1999999999999993</v>
      </c>
      <c r="I789" s="5">
        <v>10.8</v>
      </c>
      <c r="J789" s="5">
        <v>13.5</v>
      </c>
      <c r="K789" s="4" t="s">
        <v>111</v>
      </c>
      <c r="L789" s="4" t="s">
        <v>128</v>
      </c>
      <c r="M789" s="6">
        <f>IF(OR(B789="",I789=""),"",B789*I789)</f>
        <v>1745.28</v>
      </c>
      <c r="N789" s="28" t="s">
        <v>113</v>
      </c>
      <c r="O789" s="26">
        <v>7838</v>
      </c>
      <c r="P789" s="9" t="s">
        <v>1468</v>
      </c>
      <c r="Q789" s="27">
        <v>1269191.9979999999</v>
      </c>
      <c r="R789" s="27">
        <v>12674047</v>
      </c>
      <c r="S789" s="23">
        <f>IF(AND(ISNUMBER(Q789),Q789&gt;0,ISNUMBER(R789),R789&gt;0),R789/Q789,"")</f>
        <v>9.9859178280132852</v>
      </c>
      <c r="T789" s="9" t="s">
        <v>115</v>
      </c>
      <c r="U789" s="9" t="s">
        <v>130</v>
      </c>
      <c r="V789" s="9" t="s">
        <v>21</v>
      </c>
      <c r="W789" s="9" t="s">
        <v>332</v>
      </c>
      <c r="X789" s="23">
        <f>IF(ISNUMBER(S789),S789,IF(ISNUMBER(I789),I789,""))</f>
        <v>9.9859178280132852</v>
      </c>
      <c r="Y789" t="str">
        <f>IF(ISNUMBER(S789),"2025 EIA-923 plant/group proxy",IF(ISNUMBER(I789),"Technology estimate","No thermal heat rate"))</f>
        <v>2025 EIA-923 plant/group proxy</v>
      </c>
      <c r="Z789" t="str">
        <f>IF(ISNUMBER(S789),"Review: NOT unit verified",IF(AE789="No match","No EIA match",IF(AF789="Unconfirmed","Unconfirmed EIA candidate","")))</f>
        <v>Review: NOT unit verified</v>
      </c>
      <c r="AA789" s="26">
        <v>0.6623</v>
      </c>
      <c r="AB789" t="s">
        <v>201</v>
      </c>
      <c r="AC789" t="s">
        <v>567</v>
      </c>
      <c r="AD789" s="26">
        <v>613.70000000000005</v>
      </c>
      <c r="AE789" t="s">
        <v>120</v>
      </c>
      <c r="AF789" t="s">
        <v>145</v>
      </c>
      <c r="AG789" s="27">
        <v>9.9859000000000009</v>
      </c>
      <c r="AH789" s="34">
        <f t="shared" si="30"/>
        <v>120714.3</v>
      </c>
      <c r="AI789">
        <f t="shared" si="29"/>
        <v>75383.966699972632</v>
      </c>
      <c r="AJ789" t="b" cm="1">
        <f t="array" ref="AJ789">OR(D789=$AT$2:$AT$8)</f>
        <v>1</v>
      </c>
    </row>
    <row r="790" spans="1:36" x14ac:dyDescent="0.25">
      <c r="A790" s="2" t="s">
        <v>1471</v>
      </c>
      <c r="B790" s="3">
        <v>151.69999999999999</v>
      </c>
      <c r="C790" s="2" t="s">
        <v>78</v>
      </c>
      <c r="D790" s="2" t="s">
        <v>78</v>
      </c>
      <c r="E790" s="2" t="s">
        <v>125</v>
      </c>
      <c r="F790" s="4" t="s">
        <v>126</v>
      </c>
      <c r="G790" s="4" t="s">
        <v>127</v>
      </c>
      <c r="H790" s="5">
        <v>9.1999999999999993</v>
      </c>
      <c r="I790" s="5">
        <v>10.8</v>
      </c>
      <c r="J790" s="5">
        <v>13.5</v>
      </c>
      <c r="K790" s="4" t="s">
        <v>111</v>
      </c>
      <c r="L790" s="4" t="s">
        <v>128</v>
      </c>
      <c r="M790" s="6">
        <f>IF(OR(B790="",I790=""),"",B790*I790)</f>
        <v>1638.36</v>
      </c>
      <c r="N790" s="28" t="s">
        <v>113</v>
      </c>
      <c r="O790" s="26">
        <v>7838</v>
      </c>
      <c r="P790" s="9" t="s">
        <v>1468</v>
      </c>
      <c r="Q790" s="27">
        <v>1269191.9979999999</v>
      </c>
      <c r="R790" s="27">
        <v>12674047</v>
      </c>
      <c r="S790" s="23">
        <f>IF(AND(ISNUMBER(Q790),Q790&gt;0,ISNUMBER(R790),R790&gt;0),R790/Q790,"")</f>
        <v>9.9859178280132852</v>
      </c>
      <c r="T790" s="9" t="s">
        <v>115</v>
      </c>
      <c r="U790" s="9" t="s">
        <v>130</v>
      </c>
      <c r="V790" s="9" t="s">
        <v>21</v>
      </c>
      <c r="W790" s="9" t="s">
        <v>332</v>
      </c>
      <c r="X790" s="23">
        <f>IF(ISNUMBER(S790),S790,IF(ISNUMBER(I790),I790,""))</f>
        <v>9.9859178280132852</v>
      </c>
      <c r="Y790" t="str">
        <f>IF(ISNUMBER(S790),"2025 EIA-923 plant/group proxy",IF(ISNUMBER(I790),"Technology estimate","No thermal heat rate"))</f>
        <v>2025 EIA-923 plant/group proxy</v>
      </c>
      <c r="Z790" t="str">
        <f>IF(ISNUMBER(S790),"Review: NOT unit verified",IF(AE790="No match","No EIA match",IF(AF790="Unconfirmed","Unconfirmed EIA candidate","")))</f>
        <v>Review: NOT unit verified</v>
      </c>
      <c r="AA790" s="26">
        <v>0.6623</v>
      </c>
      <c r="AB790" t="s">
        <v>201</v>
      </c>
      <c r="AC790" t="s">
        <v>567</v>
      </c>
      <c r="AD790" s="26">
        <v>613.70000000000005</v>
      </c>
      <c r="AE790" t="s">
        <v>120</v>
      </c>
      <c r="AF790" t="s">
        <v>145</v>
      </c>
      <c r="AG790" s="27">
        <v>9.9859000000000009</v>
      </c>
      <c r="AH790" s="34">
        <f t="shared" si="30"/>
        <v>120866</v>
      </c>
      <c r="AI790">
        <f t="shared" si="29"/>
        <v>75478.700693777719</v>
      </c>
      <c r="AJ790" t="b" cm="1">
        <f t="array" ref="AJ790">OR(D790=$AT$2:$AT$8)</f>
        <v>1</v>
      </c>
    </row>
    <row r="791" spans="1:36" x14ac:dyDescent="0.25">
      <c r="A791" s="2" t="s">
        <v>380</v>
      </c>
      <c r="B791" s="3">
        <v>585</v>
      </c>
      <c r="C791" s="2" t="s">
        <v>99</v>
      </c>
      <c r="D791" s="2" t="s">
        <v>81</v>
      </c>
      <c r="E791" s="2" t="s">
        <v>109</v>
      </c>
      <c r="F791" s="4" t="s">
        <v>109</v>
      </c>
      <c r="G791" s="4" t="s">
        <v>110</v>
      </c>
      <c r="H791" s="5">
        <v>9</v>
      </c>
      <c r="I791" s="5">
        <v>10.3</v>
      </c>
      <c r="J791" s="5">
        <v>12</v>
      </c>
      <c r="K791" s="4" t="s">
        <v>111</v>
      </c>
      <c r="L791" s="4" t="s">
        <v>112</v>
      </c>
      <c r="M791" s="6">
        <f>IF(OR(B791="",I791=""),"",B791*I791)</f>
        <v>6025.5</v>
      </c>
      <c r="N791" s="25" t="s">
        <v>113</v>
      </c>
      <c r="O791" s="26">
        <v>2828</v>
      </c>
      <c r="P791" s="9" t="s">
        <v>381</v>
      </c>
      <c r="Q791" s="27">
        <v>10783073.029999999</v>
      </c>
      <c r="R791" s="27">
        <v>108591428</v>
      </c>
      <c r="S791" s="23">
        <f>IF(AND(ISNUMBER(Q791),Q791&gt;0,ISNUMBER(R791),R791&gt;0),R791/Q791,"")</f>
        <v>10.070545539094805</v>
      </c>
      <c r="T791" s="9" t="s">
        <v>115</v>
      </c>
      <c r="U791" s="9" t="s">
        <v>116</v>
      </c>
      <c r="V791" s="9" t="s">
        <v>21</v>
      </c>
      <c r="W791" s="9" t="s">
        <v>117</v>
      </c>
      <c r="X791" s="23">
        <f>IF(ISNUMBER(S791),S791,IF(ISNUMBER(I791),I791,""))</f>
        <v>10.070545539094805</v>
      </c>
      <c r="Y791" t="str">
        <f>IF(ISNUMBER(S791),"2025 EIA-923 plant/group proxy",IF(ISNUMBER(I791),"Technology estimate","No thermal heat rate"))</f>
        <v>2025 EIA-923 plant/group proxy</v>
      </c>
      <c r="Z791" t="str">
        <f>IF(ISNUMBER(S791),"Review: NOT unit verified",IF(AE791="No match","No EIA match",IF(AF791="Unconfirmed","Unconfirmed EIA candidate","")))</f>
        <v>Review: NOT unit verified</v>
      </c>
      <c r="AA791" s="26">
        <v>1</v>
      </c>
      <c r="AB791" t="s">
        <v>322</v>
      </c>
      <c r="AC791" t="s">
        <v>119</v>
      </c>
      <c r="AD791" s="26">
        <v>1790</v>
      </c>
      <c r="AE791" t="s">
        <v>120</v>
      </c>
      <c r="AF791" t="s">
        <v>121</v>
      </c>
      <c r="AG791" s="27">
        <v>10.070499999999999</v>
      </c>
      <c r="AH791" s="34">
        <f t="shared" si="30"/>
        <v>121451</v>
      </c>
      <c r="AI791">
        <f t="shared" si="29"/>
        <v>75844.022950705723</v>
      </c>
      <c r="AJ791" t="b" cm="1">
        <f t="array" ref="AJ791">OR(D791=$AT$2:$AT$8)</f>
        <v>0</v>
      </c>
    </row>
    <row r="792" spans="1:36" x14ac:dyDescent="0.25">
      <c r="A792" s="2" t="s">
        <v>382</v>
      </c>
      <c r="B792" s="3">
        <v>585</v>
      </c>
      <c r="C792" s="2" t="s">
        <v>99</v>
      </c>
      <c r="D792" s="2" t="s">
        <v>81</v>
      </c>
      <c r="E792" s="2" t="s">
        <v>109</v>
      </c>
      <c r="F792" s="4" t="s">
        <v>109</v>
      </c>
      <c r="G792" s="4" t="s">
        <v>110</v>
      </c>
      <c r="H792" s="5">
        <v>9</v>
      </c>
      <c r="I792" s="5">
        <v>10.3</v>
      </c>
      <c r="J792" s="5">
        <v>12</v>
      </c>
      <c r="K792" s="4" t="s">
        <v>111</v>
      </c>
      <c r="L792" s="4" t="s">
        <v>112</v>
      </c>
      <c r="M792" s="6">
        <f>IF(OR(B792="",I792=""),"",B792*I792)</f>
        <v>6025.5</v>
      </c>
      <c r="N792" s="25" t="s">
        <v>113</v>
      </c>
      <c r="O792" s="26">
        <v>2828</v>
      </c>
      <c r="P792" s="9" t="s">
        <v>381</v>
      </c>
      <c r="Q792" s="27">
        <v>10783073.029999999</v>
      </c>
      <c r="R792" s="27">
        <v>108591428</v>
      </c>
      <c r="S792" s="23">
        <f>IF(AND(ISNUMBER(Q792),Q792&gt;0,ISNUMBER(R792),R792&gt;0),R792/Q792,"")</f>
        <v>10.070545539094805</v>
      </c>
      <c r="T792" s="9" t="s">
        <v>115</v>
      </c>
      <c r="U792" s="9" t="s">
        <v>116</v>
      </c>
      <c r="V792" s="9" t="s">
        <v>21</v>
      </c>
      <c r="W792" s="9" t="s">
        <v>117</v>
      </c>
      <c r="X792" s="23">
        <f>IF(ISNUMBER(S792),S792,IF(ISNUMBER(I792),I792,""))</f>
        <v>10.070545539094805</v>
      </c>
      <c r="Y792" t="str">
        <f>IF(ISNUMBER(S792),"2025 EIA-923 plant/group proxy",IF(ISNUMBER(I792),"Technology estimate","No thermal heat rate"))</f>
        <v>2025 EIA-923 plant/group proxy</v>
      </c>
      <c r="Z792" t="str">
        <f>IF(ISNUMBER(S792),"Review: NOT unit verified",IF(AE792="No match","No EIA match",IF(AF792="Unconfirmed","Unconfirmed EIA candidate","")))</f>
        <v>Review: NOT unit verified</v>
      </c>
      <c r="AA792" s="26">
        <v>1</v>
      </c>
      <c r="AB792" t="s">
        <v>322</v>
      </c>
      <c r="AC792" t="s">
        <v>119</v>
      </c>
      <c r="AD792" s="26">
        <v>1790</v>
      </c>
      <c r="AE792" t="s">
        <v>120</v>
      </c>
      <c r="AF792" t="s">
        <v>121</v>
      </c>
      <c r="AG792" s="27">
        <v>10.070499999999999</v>
      </c>
      <c r="AH792" s="34">
        <f t="shared" si="30"/>
        <v>122036</v>
      </c>
      <c r="AI792">
        <f t="shared" si="29"/>
        <v>76209.345207633727</v>
      </c>
      <c r="AJ792" t="b" cm="1">
        <f t="array" ref="AJ792">OR(D792=$AT$2:$AT$8)</f>
        <v>0</v>
      </c>
    </row>
    <row r="793" spans="1:36" x14ac:dyDescent="0.25">
      <c r="A793" s="2" t="s">
        <v>383</v>
      </c>
      <c r="B793" s="3">
        <v>620</v>
      </c>
      <c r="C793" s="2" t="s">
        <v>99</v>
      </c>
      <c r="D793" s="2" t="s">
        <v>81</v>
      </c>
      <c r="E793" s="2" t="s">
        <v>109</v>
      </c>
      <c r="F793" s="4" t="s">
        <v>109</v>
      </c>
      <c r="G793" s="4" t="s">
        <v>110</v>
      </c>
      <c r="H793" s="5">
        <v>9</v>
      </c>
      <c r="I793" s="5">
        <v>10.3</v>
      </c>
      <c r="J793" s="5">
        <v>12</v>
      </c>
      <c r="K793" s="4" t="s">
        <v>111</v>
      </c>
      <c r="L793" s="4" t="s">
        <v>112</v>
      </c>
      <c r="M793" s="6">
        <f>IF(OR(B793="",I793=""),"",B793*I793)</f>
        <v>6386</v>
      </c>
      <c r="N793" s="25" t="s">
        <v>113</v>
      </c>
      <c r="O793" s="26">
        <v>2828</v>
      </c>
      <c r="P793" s="9" t="s">
        <v>381</v>
      </c>
      <c r="Q793" s="27">
        <v>10783073.029999999</v>
      </c>
      <c r="R793" s="27">
        <v>108591428</v>
      </c>
      <c r="S793" s="23">
        <f>IF(AND(ISNUMBER(Q793),Q793&gt;0,ISNUMBER(R793),R793&gt;0),R793/Q793,"")</f>
        <v>10.070545539094805</v>
      </c>
      <c r="T793" s="9" t="s">
        <v>115</v>
      </c>
      <c r="U793" s="9" t="s">
        <v>116</v>
      </c>
      <c r="V793" s="9" t="s">
        <v>21</v>
      </c>
      <c r="W793" s="9" t="s">
        <v>117</v>
      </c>
      <c r="X793" s="23">
        <f>IF(ISNUMBER(S793),S793,IF(ISNUMBER(I793),I793,""))</f>
        <v>10.070545539094805</v>
      </c>
      <c r="Y793" t="str">
        <f>IF(ISNUMBER(S793),"2025 EIA-923 plant/group proxy",IF(ISNUMBER(I793),"Technology estimate","No thermal heat rate"))</f>
        <v>2025 EIA-923 plant/group proxy</v>
      </c>
      <c r="Z793" t="str">
        <f>IF(ISNUMBER(S793),"Review: NOT unit verified",IF(AE793="No match","No EIA match",IF(AF793="Unconfirmed","Unconfirmed EIA candidate","")))</f>
        <v>Review: NOT unit verified</v>
      </c>
      <c r="AA793" s="26">
        <v>1</v>
      </c>
      <c r="AB793" t="s">
        <v>322</v>
      </c>
      <c r="AC793" t="s">
        <v>119</v>
      </c>
      <c r="AD793" s="26">
        <v>1790</v>
      </c>
      <c r="AE793" t="s">
        <v>120</v>
      </c>
      <c r="AF793" t="s">
        <v>121</v>
      </c>
      <c r="AG793" s="27">
        <v>10.070499999999999</v>
      </c>
      <c r="AH793" s="34">
        <f t="shared" si="30"/>
        <v>122656</v>
      </c>
      <c r="AI793">
        <f t="shared" si="29"/>
        <v>76596.524351728367</v>
      </c>
      <c r="AJ793" t="b" cm="1">
        <f t="array" ref="AJ793">OR(D793=$AT$2:$AT$8)</f>
        <v>0</v>
      </c>
    </row>
    <row r="794" spans="1:36" x14ac:dyDescent="0.25">
      <c r="A794" s="2" t="s">
        <v>1201</v>
      </c>
      <c r="B794" s="3">
        <v>752</v>
      </c>
      <c r="C794" s="2" t="s">
        <v>136</v>
      </c>
      <c r="D794" s="2" t="s">
        <v>136</v>
      </c>
      <c r="E794" s="2" t="s">
        <v>189</v>
      </c>
      <c r="F794" s="4" t="s">
        <v>103</v>
      </c>
      <c r="G794" s="4" t="s">
        <v>190</v>
      </c>
      <c r="H794" s="5"/>
      <c r="I794" s="5"/>
      <c r="J794" s="5"/>
      <c r="K794" s="4" t="s">
        <v>105</v>
      </c>
      <c r="L794" s="4" t="s">
        <v>191</v>
      </c>
      <c r="M794" s="6" t="str">
        <f>IF(OR(B794="",I794=""),"",B794*I794)</f>
        <v/>
      </c>
      <c r="N794" s="25" t="s">
        <v>113</v>
      </c>
      <c r="O794" s="26">
        <v>3149</v>
      </c>
      <c r="P794" s="9" t="s">
        <v>1202</v>
      </c>
      <c r="Q794" s="27">
        <v>4717153.0089999996</v>
      </c>
      <c r="R794" s="27">
        <v>47938867</v>
      </c>
      <c r="S794" s="23">
        <f>IF(AND(ISNUMBER(Q794),Q794&gt;0,ISNUMBER(R794),R794&gt;0),R794/Q794,"")</f>
        <v>10.162669497583813</v>
      </c>
      <c r="T794" s="9" t="s">
        <v>115</v>
      </c>
      <c r="U794" s="9" t="s">
        <v>1203</v>
      </c>
      <c r="V794" s="9" t="s">
        <v>21</v>
      </c>
      <c r="W794" s="9" t="s">
        <v>240</v>
      </c>
      <c r="X794" s="23">
        <f>IF(ISNUMBER(S794),S794,IF(ISNUMBER(I794),I794,""))</f>
        <v>10.162669497583813</v>
      </c>
      <c r="Y794" t="str">
        <f>IF(ISNUMBER(S794),"2025 EIA-923 plant/group proxy",IF(ISNUMBER(I794),"Technology estimate","No thermal heat rate"))</f>
        <v>2025 EIA-923 plant/group proxy</v>
      </c>
      <c r="Z794" t="str">
        <f>IF(ISNUMBER(S794),"Review: NOT unit verified",IF(AE794="No match","No EIA match",IF(AF794="Unconfirmed","Unconfirmed EIA candidate","")))</f>
        <v>Review: NOT unit verified</v>
      </c>
      <c r="AA794" s="26">
        <v>0.81189999999999996</v>
      </c>
      <c r="AB794" t="s">
        <v>143</v>
      </c>
      <c r="AC794" t="s">
        <v>308</v>
      </c>
      <c r="AD794" s="26">
        <v>1504</v>
      </c>
      <c r="AE794" t="s">
        <v>120</v>
      </c>
      <c r="AF794" t="s">
        <v>121</v>
      </c>
      <c r="AG794" s="27">
        <v>10.162699999999999</v>
      </c>
      <c r="AH794" s="34">
        <f t="shared" si="30"/>
        <v>123408</v>
      </c>
      <c r="AI794">
        <f t="shared" si="29"/>
        <v>77066.135184565734</v>
      </c>
      <c r="AJ794" t="b" cm="1">
        <f t="array" ref="AJ794">OR(D794=$AT$2:$AT$8)</f>
        <v>0</v>
      </c>
    </row>
    <row r="795" spans="1:36" x14ac:dyDescent="0.25">
      <c r="A795" s="2" t="s">
        <v>1204</v>
      </c>
      <c r="B795" s="3">
        <v>752</v>
      </c>
      <c r="C795" s="2" t="s">
        <v>136</v>
      </c>
      <c r="D795" s="2" t="s">
        <v>136</v>
      </c>
      <c r="E795" s="2" t="s">
        <v>189</v>
      </c>
      <c r="F795" s="4" t="s">
        <v>103</v>
      </c>
      <c r="G795" s="4" t="s">
        <v>190</v>
      </c>
      <c r="H795" s="5"/>
      <c r="I795" s="5"/>
      <c r="J795" s="5"/>
      <c r="K795" s="4" t="s">
        <v>105</v>
      </c>
      <c r="L795" s="4" t="s">
        <v>191</v>
      </c>
      <c r="M795" s="6" t="str">
        <f>IF(OR(B795="",I795=""),"",B795*I795)</f>
        <v/>
      </c>
      <c r="N795" s="25" t="s">
        <v>113</v>
      </c>
      <c r="O795" s="26">
        <v>3149</v>
      </c>
      <c r="P795" s="9" t="s">
        <v>1202</v>
      </c>
      <c r="Q795" s="27">
        <v>4717153.0089999996</v>
      </c>
      <c r="R795" s="27">
        <v>47938867</v>
      </c>
      <c r="S795" s="23">
        <f>IF(AND(ISNUMBER(Q795),Q795&gt;0,ISNUMBER(R795),R795&gt;0),R795/Q795,"")</f>
        <v>10.162669497583813</v>
      </c>
      <c r="T795" s="9" t="s">
        <v>115</v>
      </c>
      <c r="U795" s="9" t="s">
        <v>1203</v>
      </c>
      <c r="V795" s="9" t="s">
        <v>21</v>
      </c>
      <c r="W795" s="9" t="s">
        <v>240</v>
      </c>
      <c r="X795" s="23">
        <f>IF(ISNUMBER(S795),S795,IF(ISNUMBER(I795),I795,""))</f>
        <v>10.162669497583813</v>
      </c>
      <c r="Y795" t="str">
        <f>IF(ISNUMBER(S795),"2025 EIA-923 plant/group proxy",IF(ISNUMBER(I795),"Technology estimate","No thermal heat rate"))</f>
        <v>2025 EIA-923 plant/group proxy</v>
      </c>
      <c r="Z795" t="str">
        <f>IF(ISNUMBER(S795),"Review: NOT unit verified",IF(AE795="No match","No EIA match",IF(AF795="Unconfirmed","Unconfirmed EIA candidate","")))</f>
        <v>Review: NOT unit verified</v>
      </c>
      <c r="AA795" s="26">
        <v>0.81189999999999996</v>
      </c>
      <c r="AB795" t="s">
        <v>143</v>
      </c>
      <c r="AC795" t="s">
        <v>308</v>
      </c>
      <c r="AD795" s="26">
        <v>1504</v>
      </c>
      <c r="AE795" t="s">
        <v>120</v>
      </c>
      <c r="AF795" t="s">
        <v>121</v>
      </c>
      <c r="AG795" s="27">
        <v>10.162699999999999</v>
      </c>
      <c r="AH795" s="34">
        <f t="shared" si="30"/>
        <v>124160</v>
      </c>
      <c r="AI795">
        <f t="shared" si="29"/>
        <v>77535.746017403086</v>
      </c>
      <c r="AJ795" t="b" cm="1">
        <f t="array" ref="AJ795">OR(D795=$AT$2:$AT$8)</f>
        <v>0</v>
      </c>
    </row>
    <row r="796" spans="1:36" x14ac:dyDescent="0.25">
      <c r="A796" s="2" t="s">
        <v>750</v>
      </c>
      <c r="B796" s="3">
        <v>552</v>
      </c>
      <c r="C796" s="2" t="s">
        <v>80</v>
      </c>
      <c r="D796" s="2" t="s">
        <v>81</v>
      </c>
      <c r="E796" s="2" t="s">
        <v>109</v>
      </c>
      <c r="F796" s="4" t="s">
        <v>109</v>
      </c>
      <c r="G796" s="4" t="s">
        <v>110</v>
      </c>
      <c r="H796" s="5">
        <v>9</v>
      </c>
      <c r="I796" s="5">
        <v>10.3</v>
      </c>
      <c r="J796" s="5">
        <v>12</v>
      </c>
      <c r="K796" s="4" t="s">
        <v>111</v>
      </c>
      <c r="L796" s="4" t="s">
        <v>112</v>
      </c>
      <c r="M796" s="6">
        <f>IF(OR(B796="",I796=""),"",B796*I796)</f>
        <v>5685.6</v>
      </c>
      <c r="N796" s="25" t="s">
        <v>113</v>
      </c>
      <c r="O796" s="26">
        <v>3943</v>
      </c>
      <c r="P796" s="9" t="s">
        <v>751</v>
      </c>
      <c r="Q796" s="27">
        <v>6111202.4100000001</v>
      </c>
      <c r="R796" s="27">
        <v>62428903</v>
      </c>
      <c r="S796" s="23">
        <f>IF(AND(ISNUMBER(Q796),Q796&gt;0,ISNUMBER(R796),R796&gt;0),R796/Q796,"")</f>
        <v>10.215486055222968</v>
      </c>
      <c r="T796" s="9" t="s">
        <v>115</v>
      </c>
      <c r="U796" s="9" t="s">
        <v>116</v>
      </c>
      <c r="V796" s="9" t="s">
        <v>21</v>
      </c>
      <c r="W796" s="9" t="s">
        <v>240</v>
      </c>
      <c r="X796" s="23">
        <f>IF(ISNUMBER(S796),S796,IF(ISNUMBER(I796),I796,""))</f>
        <v>10.215486055222968</v>
      </c>
      <c r="Y796" t="str">
        <f>IF(ISNUMBER(S796),"2025 EIA-923 plant/group proxy",IF(ISNUMBER(I796),"Technology estimate","No thermal heat rate"))</f>
        <v>2025 EIA-923 plant/group proxy</v>
      </c>
      <c r="Z796" t="str">
        <f>IF(ISNUMBER(S796),"Review: NOT unit verified",IF(AE796="No match","No EIA match",IF(AF796="Unconfirmed","Unconfirmed EIA candidate","")))</f>
        <v>Review: NOT unit verified</v>
      </c>
      <c r="AA796" s="26">
        <v>0.86650000000000005</v>
      </c>
      <c r="AB796" t="s">
        <v>118</v>
      </c>
      <c r="AC796" t="s">
        <v>308</v>
      </c>
      <c r="AD796" s="26">
        <v>1098</v>
      </c>
      <c r="AE796" t="s">
        <v>120</v>
      </c>
      <c r="AF796" t="s">
        <v>121</v>
      </c>
      <c r="AG796" s="27">
        <v>10.2155</v>
      </c>
      <c r="AH796" s="34">
        <f t="shared" si="30"/>
        <v>124712</v>
      </c>
      <c r="AI796">
        <f t="shared" si="29"/>
        <v>77880.460352145412</v>
      </c>
      <c r="AJ796" t="b" cm="1">
        <f t="array" ref="AJ796">OR(D796=$AT$2:$AT$8)</f>
        <v>0</v>
      </c>
    </row>
    <row r="797" spans="1:36" x14ac:dyDescent="0.25">
      <c r="A797" s="2" t="s">
        <v>752</v>
      </c>
      <c r="B797" s="3">
        <v>545.5</v>
      </c>
      <c r="C797" s="2" t="s">
        <v>80</v>
      </c>
      <c r="D797" s="2" t="s">
        <v>81</v>
      </c>
      <c r="E797" s="2" t="s">
        <v>109</v>
      </c>
      <c r="F797" s="4" t="s">
        <v>109</v>
      </c>
      <c r="G797" s="4" t="s">
        <v>110</v>
      </c>
      <c r="H797" s="5">
        <v>9</v>
      </c>
      <c r="I797" s="5">
        <v>10.3</v>
      </c>
      <c r="J797" s="5">
        <v>12</v>
      </c>
      <c r="K797" s="4" t="s">
        <v>111</v>
      </c>
      <c r="L797" s="4" t="s">
        <v>112</v>
      </c>
      <c r="M797" s="6">
        <f>IF(OR(B797="",I797=""),"",B797*I797)</f>
        <v>5618.6500000000005</v>
      </c>
      <c r="N797" s="25" t="s">
        <v>113</v>
      </c>
      <c r="O797" s="26">
        <v>3943</v>
      </c>
      <c r="P797" s="9" t="s">
        <v>751</v>
      </c>
      <c r="Q797" s="27">
        <v>6111202.4100000001</v>
      </c>
      <c r="R797" s="27">
        <v>62428903</v>
      </c>
      <c r="S797" s="23">
        <f>IF(AND(ISNUMBER(Q797),Q797&gt;0,ISNUMBER(R797),R797&gt;0),R797/Q797,"")</f>
        <v>10.215486055222968</v>
      </c>
      <c r="T797" s="9" t="s">
        <v>115</v>
      </c>
      <c r="U797" s="9" t="s">
        <v>116</v>
      </c>
      <c r="V797" s="9" t="s">
        <v>21</v>
      </c>
      <c r="W797" s="9" t="s">
        <v>240</v>
      </c>
      <c r="X797" s="23">
        <f>IF(ISNUMBER(S797),S797,IF(ISNUMBER(I797),I797,""))</f>
        <v>10.215486055222968</v>
      </c>
      <c r="Y797" t="str">
        <f>IF(ISNUMBER(S797),"2025 EIA-923 plant/group proxy",IF(ISNUMBER(I797),"Technology estimate","No thermal heat rate"))</f>
        <v>2025 EIA-923 plant/group proxy</v>
      </c>
      <c r="Z797" t="str">
        <f>IF(ISNUMBER(S797),"Review: NOT unit verified",IF(AE797="No match","No EIA match",IF(AF797="Unconfirmed","Unconfirmed EIA candidate","")))</f>
        <v>Review: NOT unit verified</v>
      </c>
      <c r="AA797" s="26">
        <v>0.86650000000000005</v>
      </c>
      <c r="AB797" t="s">
        <v>118</v>
      </c>
      <c r="AC797" t="s">
        <v>308</v>
      </c>
      <c r="AD797" s="26">
        <v>1098</v>
      </c>
      <c r="AE797" t="s">
        <v>120</v>
      </c>
      <c r="AF797" t="s">
        <v>121</v>
      </c>
      <c r="AG797" s="27">
        <v>10.2155</v>
      </c>
      <c r="AH797" s="34">
        <f t="shared" si="30"/>
        <v>125257.5</v>
      </c>
      <c r="AI797">
        <f t="shared" si="29"/>
        <v>78221.115550699644</v>
      </c>
      <c r="AJ797" t="b" cm="1">
        <f t="array" ref="AJ797">OR(D797=$AT$2:$AT$8)</f>
        <v>0</v>
      </c>
    </row>
    <row r="798" spans="1:36" x14ac:dyDescent="0.25">
      <c r="A798" s="2" t="s">
        <v>451</v>
      </c>
      <c r="B798" s="3">
        <v>55</v>
      </c>
      <c r="C798" s="2" t="s">
        <v>57</v>
      </c>
      <c r="D798" s="2" t="s">
        <v>58</v>
      </c>
      <c r="E798" s="2" t="s">
        <v>137</v>
      </c>
      <c r="F798" s="4" t="s">
        <v>138</v>
      </c>
      <c r="G798" s="4" t="s">
        <v>139</v>
      </c>
      <c r="H798" s="5">
        <v>9</v>
      </c>
      <c r="I798" s="5">
        <v>10.5</v>
      </c>
      <c r="J798" s="5">
        <v>13</v>
      </c>
      <c r="K798" s="4" t="s">
        <v>111</v>
      </c>
      <c r="L798" s="4" t="s">
        <v>112</v>
      </c>
      <c r="M798" s="6">
        <f>IF(OR(B798="",I798=""),"",B798*I798)</f>
        <v>577.5</v>
      </c>
      <c r="N798" s="25" t="s">
        <v>113</v>
      </c>
      <c r="O798" s="26">
        <v>58235</v>
      </c>
      <c r="P798" s="9" t="s">
        <v>452</v>
      </c>
      <c r="Q798" s="27">
        <v>70157.998000000007</v>
      </c>
      <c r="R798" s="27">
        <v>717748</v>
      </c>
      <c r="S798" s="23">
        <f>IF(AND(ISNUMBER(Q798),Q798&gt;0,ISNUMBER(R798),R798&gt;0),R798/Q798,"")</f>
        <v>10.230451558780226</v>
      </c>
      <c r="T798" s="9" t="s">
        <v>115</v>
      </c>
      <c r="U798" s="9" t="s">
        <v>141</v>
      </c>
      <c r="V798" s="9" t="s">
        <v>21</v>
      </c>
      <c r="W798" s="9" t="s">
        <v>217</v>
      </c>
      <c r="X798" s="23">
        <f>IF(ISNUMBER(S798),S798,IF(ISNUMBER(I798),I798,""))</f>
        <v>10.230451558780226</v>
      </c>
      <c r="Y798" t="str">
        <f>IF(ISNUMBER(S798),"2025 EIA-923 plant/group proxy",IF(ISNUMBER(I798),"Technology estimate","No thermal heat rate"))</f>
        <v>2025 EIA-923 plant/group proxy</v>
      </c>
      <c r="Z798" t="str">
        <f>IF(ISNUMBER(S798),"Review: NOT unit verified",IF(AE798="No match","No EIA match",IF(AF798="Unconfirmed","Unconfirmed EIA candidate","")))</f>
        <v>Review: NOT unit verified</v>
      </c>
      <c r="AA798" s="26">
        <v>1</v>
      </c>
      <c r="AB798" t="s">
        <v>241</v>
      </c>
      <c r="AC798" t="s">
        <v>267</v>
      </c>
      <c r="AD798" s="26">
        <v>55</v>
      </c>
      <c r="AE798" t="s">
        <v>120</v>
      </c>
      <c r="AF798" t="s">
        <v>121</v>
      </c>
      <c r="AG798" s="27">
        <v>10.230499999999999</v>
      </c>
      <c r="AH798" s="34">
        <f t="shared" si="30"/>
        <v>125312.5</v>
      </c>
      <c r="AI798">
        <f t="shared" si="29"/>
        <v>78255.462087675784</v>
      </c>
      <c r="AJ798" t="b" cm="1">
        <f t="array" ref="AJ798">OR(D798=$AT$2:$AT$8)</f>
        <v>0</v>
      </c>
    </row>
    <row r="799" spans="1:36" x14ac:dyDescent="0.25">
      <c r="A799" s="2" t="s">
        <v>1010</v>
      </c>
      <c r="B799" s="3">
        <v>849.4</v>
      </c>
      <c r="C799" s="2" t="s">
        <v>86</v>
      </c>
      <c r="D799" s="2" t="s">
        <v>76</v>
      </c>
      <c r="E799" s="2" t="s">
        <v>109</v>
      </c>
      <c r="F799" s="4" t="s">
        <v>109</v>
      </c>
      <c r="G799" s="4" t="s">
        <v>110</v>
      </c>
      <c r="H799" s="5">
        <v>9</v>
      </c>
      <c r="I799" s="5">
        <v>10.3</v>
      </c>
      <c r="J799" s="5">
        <v>12</v>
      </c>
      <c r="K799" s="4" t="s">
        <v>111</v>
      </c>
      <c r="L799" s="4" t="s">
        <v>112</v>
      </c>
      <c r="M799" s="6">
        <f>IF(OR(B799="",I799=""),"",B799*I799)</f>
        <v>8748.82</v>
      </c>
      <c r="N799" s="25" t="s">
        <v>113</v>
      </c>
      <c r="O799" s="26">
        <v>3136</v>
      </c>
      <c r="P799" s="9" t="s">
        <v>1011</v>
      </c>
      <c r="Q799" s="27">
        <v>4597794</v>
      </c>
      <c r="R799" s="27">
        <v>47127336</v>
      </c>
      <c r="S799" s="23">
        <f>IF(AND(ISNUMBER(Q799),Q799&gt;0,ISNUMBER(R799),R799&gt;0),R799/Q799,"")</f>
        <v>10.249988581480597</v>
      </c>
      <c r="T799" s="9" t="s">
        <v>115</v>
      </c>
      <c r="U799" s="9" t="s">
        <v>116</v>
      </c>
      <c r="V799" s="9" t="s">
        <v>21</v>
      </c>
      <c r="W799" s="9" t="s">
        <v>240</v>
      </c>
      <c r="X799" s="23">
        <f>IF(ISNUMBER(S799),S799,IF(ISNUMBER(I799),I799,""))</f>
        <v>10.249988581480597</v>
      </c>
      <c r="Y799" t="str">
        <f>IF(ISNUMBER(S799),"2025 EIA-923 plant/group proxy",IF(ISNUMBER(I799),"Technology estimate","No thermal heat rate"))</f>
        <v>2025 EIA-923 plant/group proxy</v>
      </c>
      <c r="Z799" t="str">
        <f>IF(ISNUMBER(S799),"Review: NOT unit verified",IF(AE799="No match","No EIA match",IF(AF799="Unconfirmed","Unconfirmed EIA candidate","")))</f>
        <v>Review: NOT unit verified</v>
      </c>
      <c r="AA799" s="26">
        <v>1</v>
      </c>
      <c r="AB799" t="s">
        <v>143</v>
      </c>
      <c r="AC799" t="s">
        <v>308</v>
      </c>
      <c r="AD799" s="26">
        <v>1700</v>
      </c>
      <c r="AE799" t="s">
        <v>120</v>
      </c>
      <c r="AF799" t="s">
        <v>121</v>
      </c>
      <c r="AG799" s="27">
        <v>10.25</v>
      </c>
      <c r="AH799" s="34">
        <f t="shared" si="30"/>
        <v>126161.9</v>
      </c>
      <c r="AI799">
        <f t="shared" si="29"/>
        <v>78785.897515085424</v>
      </c>
      <c r="AJ799" t="b" cm="1">
        <f t="array" ref="AJ799">OR(D799=$AT$2:$AT$8)</f>
        <v>0</v>
      </c>
    </row>
    <row r="800" spans="1:36" x14ac:dyDescent="0.25">
      <c r="A800" s="2" t="s">
        <v>1012</v>
      </c>
      <c r="B800" s="3">
        <v>850.4</v>
      </c>
      <c r="C800" s="2" t="s">
        <v>86</v>
      </c>
      <c r="D800" s="2" t="s">
        <v>76</v>
      </c>
      <c r="E800" s="2" t="s">
        <v>109</v>
      </c>
      <c r="F800" s="4" t="s">
        <v>109</v>
      </c>
      <c r="G800" s="4" t="s">
        <v>110</v>
      </c>
      <c r="H800" s="5">
        <v>9</v>
      </c>
      <c r="I800" s="5">
        <v>10.3</v>
      </c>
      <c r="J800" s="5">
        <v>12</v>
      </c>
      <c r="K800" s="4" t="s">
        <v>111</v>
      </c>
      <c r="L800" s="4" t="s">
        <v>112</v>
      </c>
      <c r="M800" s="6">
        <f>IF(OR(B800="",I800=""),"",B800*I800)</f>
        <v>8759.1200000000008</v>
      </c>
      <c r="N800" s="25" t="s">
        <v>113</v>
      </c>
      <c r="O800" s="26">
        <v>3136</v>
      </c>
      <c r="P800" s="9" t="s">
        <v>1011</v>
      </c>
      <c r="Q800" s="27">
        <v>4597794</v>
      </c>
      <c r="R800" s="27">
        <v>47127336</v>
      </c>
      <c r="S800" s="23">
        <f>IF(AND(ISNUMBER(Q800),Q800&gt;0,ISNUMBER(R800),R800&gt;0),R800/Q800,"")</f>
        <v>10.249988581480597</v>
      </c>
      <c r="T800" s="9" t="s">
        <v>115</v>
      </c>
      <c r="U800" s="9" t="s">
        <v>116</v>
      </c>
      <c r="V800" s="9" t="s">
        <v>21</v>
      </c>
      <c r="W800" s="9" t="s">
        <v>240</v>
      </c>
      <c r="X800" s="23">
        <f>IF(ISNUMBER(S800),S800,IF(ISNUMBER(I800),I800,""))</f>
        <v>10.249988581480597</v>
      </c>
      <c r="Y800" t="str">
        <f>IF(ISNUMBER(S800),"2025 EIA-923 plant/group proxy",IF(ISNUMBER(I800),"Technology estimate","No thermal heat rate"))</f>
        <v>2025 EIA-923 plant/group proxy</v>
      </c>
      <c r="Z800" t="str">
        <f>IF(ISNUMBER(S800),"Review: NOT unit verified",IF(AE800="No match","No EIA match",IF(AF800="Unconfirmed","Unconfirmed EIA candidate","")))</f>
        <v>Review: NOT unit verified</v>
      </c>
      <c r="AA800" s="26">
        <v>1</v>
      </c>
      <c r="AB800" t="s">
        <v>143</v>
      </c>
      <c r="AC800" t="s">
        <v>308</v>
      </c>
      <c r="AD800" s="26">
        <v>1700</v>
      </c>
      <c r="AE800" t="s">
        <v>120</v>
      </c>
      <c r="AF800" t="s">
        <v>121</v>
      </c>
      <c r="AG800" s="27">
        <v>10.25</v>
      </c>
      <c r="AH800" s="34">
        <f t="shared" si="30"/>
        <v>127012.29999999999</v>
      </c>
      <c r="AI800">
        <f t="shared" si="29"/>
        <v>79316.95742498555</v>
      </c>
      <c r="AJ800" t="b" cm="1">
        <f t="array" ref="AJ800">OR(D800=$AT$2:$AT$8)</f>
        <v>0</v>
      </c>
    </row>
    <row r="801" spans="1:36" x14ac:dyDescent="0.25">
      <c r="A801" s="2" t="s">
        <v>263</v>
      </c>
      <c r="B801" s="3">
        <v>295.39999999999998</v>
      </c>
      <c r="C801" s="2" t="s">
        <v>99</v>
      </c>
      <c r="D801" s="2" t="s">
        <v>81</v>
      </c>
      <c r="E801" s="2" t="s">
        <v>189</v>
      </c>
      <c r="F801" s="4" t="s">
        <v>103</v>
      </c>
      <c r="G801" s="4" t="s">
        <v>190</v>
      </c>
      <c r="H801" s="5"/>
      <c r="I801" s="5"/>
      <c r="J801" s="5"/>
      <c r="K801" s="4" t="s">
        <v>105</v>
      </c>
      <c r="L801" s="4" t="s">
        <v>191</v>
      </c>
      <c r="M801" s="6" t="str">
        <f>IF(OR(B801="",I801=""),"",B801*I801)</f>
        <v/>
      </c>
      <c r="N801" s="25" t="s">
        <v>113</v>
      </c>
      <c r="O801" s="26">
        <v>1353</v>
      </c>
      <c r="P801" s="9" t="s">
        <v>264</v>
      </c>
      <c r="Q801" s="27">
        <v>1206248</v>
      </c>
      <c r="R801" s="27">
        <v>12370172</v>
      </c>
      <c r="S801" s="23">
        <f>IF(AND(ISNUMBER(Q801),Q801&gt;0,ISNUMBER(R801),R801&gt;0),R801/Q801,"")</f>
        <v>10.255081873710878</v>
      </c>
      <c r="T801" s="9" t="s">
        <v>115</v>
      </c>
      <c r="U801" s="9" t="s">
        <v>265</v>
      </c>
      <c r="V801" s="9" t="s">
        <v>21</v>
      </c>
      <c r="W801" s="9" t="s">
        <v>217</v>
      </c>
      <c r="X801" s="23">
        <f>IF(ISNUMBER(S801),S801,IF(ISNUMBER(I801),I801,""))</f>
        <v>10.255081873710878</v>
      </c>
      <c r="Y801" t="str">
        <f>IF(ISNUMBER(S801),"2025 EIA-923 plant/group proxy",IF(ISNUMBER(I801),"Technology estimate","No thermal heat rate"))</f>
        <v>2025 EIA-923 plant/group proxy</v>
      </c>
      <c r="Z801" t="str">
        <f>IF(ISNUMBER(S801),"Review: NOT unit verified",IF(AE801="No match","No EIA match",IF(AF801="Unconfirmed","Unconfirmed EIA candidate","")))</f>
        <v>Review: NOT unit verified</v>
      </c>
      <c r="AA801" s="26">
        <v>1</v>
      </c>
      <c r="AB801" t="s">
        <v>266</v>
      </c>
      <c r="AC801" t="s">
        <v>267</v>
      </c>
      <c r="AD801" s="26">
        <v>260</v>
      </c>
      <c r="AE801" t="s">
        <v>120</v>
      </c>
      <c r="AF801" t="s">
        <v>121</v>
      </c>
      <c r="AG801" s="27">
        <v>10.255100000000001</v>
      </c>
      <c r="AH801" s="34">
        <f t="shared" si="30"/>
        <v>127307.69999999998</v>
      </c>
      <c r="AI801">
        <f t="shared" si="29"/>
        <v>79501.429552671922</v>
      </c>
      <c r="AJ801" t="b" cm="1">
        <f t="array" ref="AJ801">OR(D801=$AT$2:$AT$8)</f>
        <v>0</v>
      </c>
    </row>
    <row r="802" spans="1:36" x14ac:dyDescent="0.25">
      <c r="A802" s="2" t="s">
        <v>898</v>
      </c>
      <c r="B802" s="3">
        <v>1954</v>
      </c>
      <c r="C802" s="2" t="s">
        <v>80</v>
      </c>
      <c r="D802" s="2" t="s">
        <v>81</v>
      </c>
      <c r="E802" s="2" t="s">
        <v>109</v>
      </c>
      <c r="F802" s="4" t="s">
        <v>109</v>
      </c>
      <c r="G802" s="4" t="s">
        <v>110</v>
      </c>
      <c r="H802" s="5">
        <v>9</v>
      </c>
      <c r="I802" s="5">
        <v>10.3</v>
      </c>
      <c r="J802" s="5">
        <v>12</v>
      </c>
      <c r="K802" s="4" t="s">
        <v>111</v>
      </c>
      <c r="L802" s="4" t="s">
        <v>112</v>
      </c>
      <c r="M802" s="6">
        <f>IF(OR(B802="",I802=""),"",B802*I802)</f>
        <v>20126.2</v>
      </c>
      <c r="N802" s="25" t="s">
        <v>113</v>
      </c>
      <c r="O802" s="26">
        <v>3944</v>
      </c>
      <c r="P802" s="9" t="s">
        <v>899</v>
      </c>
      <c r="Q802" s="27">
        <v>10728794.27</v>
      </c>
      <c r="R802" s="27">
        <v>110215590</v>
      </c>
      <c r="S802" s="23">
        <f>IF(AND(ISNUMBER(Q802),Q802&gt;0,ISNUMBER(R802),R802&gt;0),R802/Q802,"")</f>
        <v>10.272877569121288</v>
      </c>
      <c r="T802" s="9" t="s">
        <v>115</v>
      </c>
      <c r="U802" s="9" t="s">
        <v>116</v>
      </c>
      <c r="V802" s="9" t="s">
        <v>21</v>
      </c>
      <c r="W802" s="9" t="s">
        <v>217</v>
      </c>
      <c r="X802" s="23">
        <f>IF(ISNUMBER(S802),S802,IF(ISNUMBER(I802),I802,""))</f>
        <v>10.272877569121288</v>
      </c>
      <c r="Y802" t="str">
        <f>IF(ISNUMBER(S802),"2025 EIA-923 plant/group proxy",IF(ISNUMBER(I802),"Technology estimate","No thermal heat rate"))</f>
        <v>2025 EIA-923 plant/group proxy</v>
      </c>
      <c r="Z802" t="str">
        <f>IF(ISNUMBER(S802),"Review: NOT unit verified",IF(AE802="No match","No EIA match",IF(AF802="Unconfirmed","Unconfirmed EIA candidate","")))</f>
        <v>Review: NOT unit verified</v>
      </c>
      <c r="AA802" s="26">
        <v>0.81789999999999996</v>
      </c>
      <c r="AB802" t="s">
        <v>118</v>
      </c>
      <c r="AC802" t="s">
        <v>119</v>
      </c>
      <c r="AD802" s="26">
        <v>1954</v>
      </c>
      <c r="AE802" t="s">
        <v>120</v>
      </c>
      <c r="AF802" t="s">
        <v>121</v>
      </c>
      <c r="AG802" s="27">
        <v>10.2729</v>
      </c>
      <c r="AH802" s="34">
        <f t="shared" si="30"/>
        <v>129261.69999999998</v>
      </c>
      <c r="AI802">
        <f t="shared" si="29"/>
        <v>80721.668339060503</v>
      </c>
      <c r="AJ802" t="b" cm="1">
        <f t="array" ref="AJ802">OR(D802=$AT$2:$AT$8)</f>
        <v>0</v>
      </c>
    </row>
    <row r="803" spans="1:36" x14ac:dyDescent="0.25">
      <c r="A803" s="2" t="s">
        <v>483</v>
      </c>
      <c r="B803" s="3">
        <v>110</v>
      </c>
      <c r="C803" s="2" t="s">
        <v>86</v>
      </c>
      <c r="D803" s="2" t="s">
        <v>76</v>
      </c>
      <c r="E803" s="2" t="s">
        <v>109</v>
      </c>
      <c r="F803" s="4" t="s">
        <v>109</v>
      </c>
      <c r="G803" s="4" t="s">
        <v>110</v>
      </c>
      <c r="H803" s="5">
        <v>9</v>
      </c>
      <c r="I803" s="5">
        <v>10.3</v>
      </c>
      <c r="J803" s="5">
        <v>12</v>
      </c>
      <c r="K803" s="4" t="s">
        <v>111</v>
      </c>
      <c r="L803" s="4" t="s">
        <v>112</v>
      </c>
      <c r="M803" s="6">
        <f>IF(OR(B803="",I803=""),"",B803*I803)</f>
        <v>1133</v>
      </c>
      <c r="N803" s="29" t="s">
        <v>154</v>
      </c>
      <c r="O803" s="9"/>
      <c r="P803" s="9"/>
      <c r="Q803" s="22"/>
      <c r="R803" s="22"/>
      <c r="S803" s="23" t="str">
        <f>IF(AND(ISNUMBER(Q803),Q803&gt;0,ISNUMBER(R803),R803&gt;0),R803/Q803,"")</f>
        <v/>
      </c>
      <c r="T803" s="9"/>
      <c r="U803" s="9"/>
      <c r="V803" s="9"/>
      <c r="W803" s="9" t="s">
        <v>484</v>
      </c>
      <c r="X803" s="23">
        <f>IF(ISNUMBER(S803),S803,IF(ISNUMBER(I803),I803,""))</f>
        <v>10.3</v>
      </c>
      <c r="Y803" t="str">
        <f>IF(ISNUMBER(S803),"2025 EIA-923 plant/group proxy",IF(ISNUMBER(I803),"Technology estimate","No thermal heat rate"))</f>
        <v>Technology estimate</v>
      </c>
      <c r="Z803" t="str">
        <f>IF(ISNUMBER(S803),"Review: NOT unit verified",IF(AE803="No match","No EIA match",IF(AF803="Unconfirmed","Unconfirmed EIA candidate","")))</f>
        <v>Unconfirmed EIA candidate</v>
      </c>
      <c r="AA803" s="26">
        <v>0.54090000000000005</v>
      </c>
      <c r="AB803" t="s">
        <v>143</v>
      </c>
      <c r="AC803" t="s">
        <v>485</v>
      </c>
      <c r="AD803" s="26">
        <v>110</v>
      </c>
      <c r="AE803" t="s">
        <v>157</v>
      </c>
      <c r="AF803" t="s">
        <v>158</v>
      </c>
      <c r="AG803" s="24">
        <f>IF(ISBLANK(S803),S803,I803)</f>
        <v>10.3</v>
      </c>
      <c r="AH803" s="34">
        <f t="shared" si="30"/>
        <v>129371.69999999998</v>
      </c>
      <c r="AI803">
        <f t="shared" si="29"/>
        <v>80790.361413012783</v>
      </c>
      <c r="AJ803" t="b" cm="1">
        <f t="array" ref="AJ803">OR(D803=$AT$2:$AT$8)</f>
        <v>0</v>
      </c>
    </row>
    <row r="804" spans="1:36" x14ac:dyDescent="0.25">
      <c r="A804" s="2" t="s">
        <v>755</v>
      </c>
      <c r="B804" s="3">
        <v>38.5</v>
      </c>
      <c r="C804" s="2" t="s">
        <v>136</v>
      </c>
      <c r="D804" s="2" t="s">
        <v>136</v>
      </c>
      <c r="E804" s="2" t="s">
        <v>109</v>
      </c>
      <c r="F804" s="4" t="s">
        <v>109</v>
      </c>
      <c r="G804" s="4" t="s">
        <v>110</v>
      </c>
      <c r="H804" s="5">
        <v>9</v>
      </c>
      <c r="I804" s="5">
        <v>10.3</v>
      </c>
      <c r="J804" s="5">
        <v>12</v>
      </c>
      <c r="K804" s="4" t="s">
        <v>111</v>
      </c>
      <c r="L804" s="4" t="s">
        <v>112</v>
      </c>
      <c r="M804" s="6">
        <f>IF(OR(B804="",I804=""),"",B804*I804)</f>
        <v>396.55</v>
      </c>
      <c r="N804" s="10" t="s">
        <v>475</v>
      </c>
      <c r="O804" s="9"/>
      <c r="P804" s="9"/>
      <c r="Q804" s="22"/>
      <c r="R804" s="22"/>
      <c r="S804" s="23" t="str">
        <f>IF(AND(ISNUMBER(Q804),Q804&gt;0,ISNUMBER(R804),R804&gt;0),R804/Q804,"")</f>
        <v/>
      </c>
      <c r="T804" s="9"/>
      <c r="U804" s="9"/>
      <c r="V804" s="9"/>
      <c r="W804" s="9" t="s">
        <v>756</v>
      </c>
      <c r="X804" s="23">
        <f>IF(ISNUMBER(S804),S804,IF(ISNUMBER(I804),I804,""))</f>
        <v>10.3</v>
      </c>
      <c r="Y804" t="str">
        <f>IF(ISNUMBER(S804),"2025 EIA-923 plant/group proxy",IF(ISNUMBER(I804),"Technology estimate","No thermal heat rate"))</f>
        <v>Technology estimate</v>
      </c>
      <c r="Z804" t="str">
        <f>IF(ISNUMBER(S804),"Review: NOT unit verified",IF(AE804="No match","No EIA match",IF(AF804="Unconfirmed","Unconfirmed EIA candidate","")))</f>
        <v/>
      </c>
      <c r="AA804" s="26">
        <v>0.60319999999999996</v>
      </c>
      <c r="AB804" t="s">
        <v>143</v>
      </c>
      <c r="AC804" t="s">
        <v>757</v>
      </c>
      <c r="AD804" s="26">
        <v>43</v>
      </c>
      <c r="AE804" t="s">
        <v>479</v>
      </c>
      <c r="AG804" s="24">
        <f>IF(ISBLANK(S804),S804,I804)</f>
        <v>10.3</v>
      </c>
      <c r="AH804" s="34">
        <f t="shared" si="30"/>
        <v>129410.19999999998</v>
      </c>
      <c r="AI804">
        <f t="shared" si="29"/>
        <v>80814.403988896069</v>
      </c>
      <c r="AJ804" t="b" cm="1">
        <f t="array" ref="AJ804">OR(D804=$AT$2:$AT$8)</f>
        <v>0</v>
      </c>
    </row>
    <row r="805" spans="1:36" x14ac:dyDescent="0.25">
      <c r="A805" s="2" t="s">
        <v>817</v>
      </c>
      <c r="B805" s="3">
        <v>82</v>
      </c>
      <c r="C805" s="2" t="s">
        <v>136</v>
      </c>
      <c r="D805" s="2" t="s">
        <v>136</v>
      </c>
      <c r="E805" s="2" t="s">
        <v>109</v>
      </c>
      <c r="F805" s="4" t="s">
        <v>109</v>
      </c>
      <c r="G805" s="4" t="s">
        <v>110</v>
      </c>
      <c r="H805" s="5">
        <v>9</v>
      </c>
      <c r="I805" s="5">
        <v>10.3</v>
      </c>
      <c r="J805" s="5">
        <v>12</v>
      </c>
      <c r="K805" s="4" t="s">
        <v>111</v>
      </c>
      <c r="L805" s="4" t="s">
        <v>112</v>
      </c>
      <c r="M805" s="6">
        <f>IF(OR(B805="",I805=""),"",B805*I805)</f>
        <v>844.6</v>
      </c>
      <c r="N805" s="10" t="s">
        <v>10</v>
      </c>
      <c r="O805" s="9"/>
      <c r="P805" s="9"/>
      <c r="Q805" s="22"/>
      <c r="R805" s="22"/>
      <c r="S805" s="23" t="str">
        <f>IF(AND(ISNUMBER(Q805),Q805&gt;0,ISNUMBER(R805),R805&gt;0),R805/Q805,"")</f>
        <v/>
      </c>
      <c r="T805" s="9"/>
      <c r="U805" s="9"/>
      <c r="V805" s="9"/>
      <c r="W805" s="9"/>
      <c r="X805" s="23">
        <f>IF(ISNUMBER(S805),S805,IF(ISNUMBER(I805),I805,""))</f>
        <v>10.3</v>
      </c>
      <c r="Y805" t="str">
        <f>IF(ISNUMBER(S805),"2025 EIA-923 plant/group proxy",IF(ISNUMBER(I805),"Technology estimate","No thermal heat rate"))</f>
        <v>Technology estimate</v>
      </c>
      <c r="Z805" t="str">
        <f>IF(ISNUMBER(S805),"Review: NOT unit verified",IF(AE805="No match","No EIA match",IF(AF805="Unconfirmed","Unconfirmed EIA candidate","")))</f>
        <v>No EIA match</v>
      </c>
      <c r="AE805" t="s">
        <v>107</v>
      </c>
      <c r="AG805" s="24">
        <f>IF(ISBLANK(S805),S805,I805)</f>
        <v>10.3</v>
      </c>
      <c r="AH805" s="34">
        <f t="shared" si="30"/>
        <v>129492.19999999998</v>
      </c>
      <c r="AI805">
        <f t="shared" si="29"/>
        <v>80865.611553115043</v>
      </c>
      <c r="AJ805" t="b" cm="1">
        <f t="array" ref="AJ805">OR(D805=$AT$2:$AT$8)</f>
        <v>0</v>
      </c>
    </row>
    <row r="806" spans="1:36" x14ac:dyDescent="0.25">
      <c r="A806" s="2" t="s">
        <v>1179</v>
      </c>
      <c r="B806" s="3">
        <v>38</v>
      </c>
      <c r="C806" s="2" t="s">
        <v>319</v>
      </c>
      <c r="D806" s="2" t="s">
        <v>319</v>
      </c>
      <c r="E806" s="2" t="s">
        <v>109</v>
      </c>
      <c r="F806" s="4" t="s">
        <v>109</v>
      </c>
      <c r="G806" s="4" t="s">
        <v>110</v>
      </c>
      <c r="H806" s="5">
        <v>9</v>
      </c>
      <c r="I806" s="5">
        <v>10.3</v>
      </c>
      <c r="J806" s="5">
        <v>12</v>
      </c>
      <c r="K806" s="4" t="s">
        <v>111</v>
      </c>
      <c r="L806" s="4" t="s">
        <v>112</v>
      </c>
      <c r="M806" s="6">
        <f>IF(OR(B806="",I806=""),"",B806*I806)</f>
        <v>391.40000000000003</v>
      </c>
      <c r="N806" s="10" t="s">
        <v>10</v>
      </c>
      <c r="O806" s="9"/>
      <c r="P806" s="9"/>
      <c r="Q806" s="22"/>
      <c r="R806" s="22"/>
      <c r="S806" s="23" t="str">
        <f>IF(AND(ISNUMBER(Q806),Q806&gt;0,ISNUMBER(R806),R806&gt;0),R806/Q806,"")</f>
        <v/>
      </c>
      <c r="T806" s="9"/>
      <c r="U806" s="9"/>
      <c r="V806" s="9"/>
      <c r="W806" s="9"/>
      <c r="X806" s="23">
        <f>IF(ISNUMBER(S806),S806,IF(ISNUMBER(I806),I806,""))</f>
        <v>10.3</v>
      </c>
      <c r="Y806" t="str">
        <f>IF(ISNUMBER(S806),"2025 EIA-923 plant/group proxy",IF(ISNUMBER(I806),"Technology estimate","No thermal heat rate"))</f>
        <v>Technology estimate</v>
      </c>
      <c r="Z806" t="str">
        <f>IF(ISNUMBER(S806),"Review: NOT unit verified",IF(AE806="No match","No EIA match",IF(AF806="Unconfirmed","Unconfirmed EIA candidate","")))</f>
        <v>No EIA match</v>
      </c>
      <c r="AE806" t="s">
        <v>107</v>
      </c>
      <c r="AG806" s="24">
        <f>IF(ISBLANK(S806),S806,I806)</f>
        <v>10.3</v>
      </c>
      <c r="AH806" s="34">
        <f t="shared" si="30"/>
        <v>129530.19999999998</v>
      </c>
      <c r="AI806">
        <f t="shared" si="29"/>
        <v>80889.341887753093</v>
      </c>
      <c r="AJ806" t="b" cm="1">
        <f t="array" ref="AJ806">OR(D806=$AT$2:$AT$8)</f>
        <v>0</v>
      </c>
    </row>
    <row r="807" spans="1:36" x14ac:dyDescent="0.25">
      <c r="A807" s="2" t="s">
        <v>1196</v>
      </c>
      <c r="B807" s="3">
        <v>770.1</v>
      </c>
      <c r="C807" s="2" t="s">
        <v>99</v>
      </c>
      <c r="D807" s="2" t="s">
        <v>81</v>
      </c>
      <c r="E807" s="2" t="s">
        <v>109</v>
      </c>
      <c r="F807" s="4" t="s">
        <v>109</v>
      </c>
      <c r="G807" s="4" t="s">
        <v>110</v>
      </c>
      <c r="H807" s="5">
        <v>9</v>
      </c>
      <c r="I807" s="5">
        <v>10.3</v>
      </c>
      <c r="J807" s="5">
        <v>12</v>
      </c>
      <c r="K807" s="4" t="s">
        <v>111</v>
      </c>
      <c r="L807" s="4" t="s">
        <v>112</v>
      </c>
      <c r="M807" s="6">
        <f>IF(OR(B807="",I807=""),"",B807*I807)</f>
        <v>7932.0300000000007</v>
      </c>
      <c r="N807" s="29" t="s">
        <v>154</v>
      </c>
      <c r="O807" s="9"/>
      <c r="P807" s="9"/>
      <c r="Q807" s="22"/>
      <c r="R807" s="22"/>
      <c r="S807" s="23" t="str">
        <f>IF(AND(ISNUMBER(Q807),Q807&gt;0,ISNUMBER(R807),R807&gt;0),R807/Q807,"")</f>
        <v/>
      </c>
      <c r="T807" s="9"/>
      <c r="U807" s="9"/>
      <c r="V807" s="9"/>
      <c r="W807" s="9" t="s">
        <v>1197</v>
      </c>
      <c r="X807" s="23">
        <f>IF(ISNUMBER(S807),S807,IF(ISNUMBER(I807),I807,""))</f>
        <v>10.3</v>
      </c>
      <c r="Y807" t="str">
        <f>IF(ISNUMBER(S807),"2025 EIA-923 plant/group proxy",IF(ISNUMBER(I807),"Technology estimate","No thermal heat rate"))</f>
        <v>Technology estimate</v>
      </c>
      <c r="Z807" t="str">
        <f>IF(ISNUMBER(S807),"Review: NOT unit verified",IF(AE807="No match","No EIA match",IF(AF807="Unconfirmed","Unconfirmed EIA candidate","")))</f>
        <v>Unconfirmed EIA candidate</v>
      </c>
      <c r="AA807" s="26">
        <v>0.53520000000000001</v>
      </c>
      <c r="AB807" t="s">
        <v>118</v>
      </c>
      <c r="AC807" t="s">
        <v>308</v>
      </c>
      <c r="AD807" s="26">
        <v>1560</v>
      </c>
      <c r="AE807" t="s">
        <v>157</v>
      </c>
      <c r="AF807" t="s">
        <v>158</v>
      </c>
      <c r="AG807" s="24">
        <f>IF(ISBLANK(S807),S807,I807)</f>
        <v>10.3</v>
      </c>
      <c r="AH807" s="34">
        <f t="shared" si="30"/>
        <v>130300.29999999999</v>
      </c>
      <c r="AI807">
        <f t="shared" si="29"/>
        <v>81370.255853668074</v>
      </c>
      <c r="AJ807" t="b" cm="1">
        <f t="array" ref="AJ807">OR(D807=$AT$2:$AT$8)</f>
        <v>0</v>
      </c>
    </row>
    <row r="808" spans="1:36" x14ac:dyDescent="0.25">
      <c r="A808" s="2" t="s">
        <v>1198</v>
      </c>
      <c r="B808" s="3">
        <v>790.2</v>
      </c>
      <c r="C808" s="2" t="s">
        <v>99</v>
      </c>
      <c r="D808" s="2" t="s">
        <v>81</v>
      </c>
      <c r="E808" s="2" t="s">
        <v>109</v>
      </c>
      <c r="F808" s="4" t="s">
        <v>109</v>
      </c>
      <c r="G808" s="4" t="s">
        <v>110</v>
      </c>
      <c r="H808" s="5">
        <v>9</v>
      </c>
      <c r="I808" s="5">
        <v>10.3</v>
      </c>
      <c r="J808" s="5">
        <v>12</v>
      </c>
      <c r="K808" s="4" t="s">
        <v>111</v>
      </c>
      <c r="L808" s="4" t="s">
        <v>112</v>
      </c>
      <c r="M808" s="6">
        <f>IF(OR(B808="",I808=""),"",B808*I808)</f>
        <v>8139.0600000000013</v>
      </c>
      <c r="N808" s="29" t="s">
        <v>154</v>
      </c>
      <c r="O808" s="9"/>
      <c r="P808" s="9"/>
      <c r="Q808" s="22"/>
      <c r="R808" s="22"/>
      <c r="S808" s="23" t="str">
        <f>IF(AND(ISNUMBER(Q808),Q808&gt;0,ISNUMBER(R808),R808&gt;0),R808/Q808,"")</f>
        <v/>
      </c>
      <c r="T808" s="9"/>
      <c r="U808" s="9"/>
      <c r="V808" s="9"/>
      <c r="W808" s="9" t="s">
        <v>1197</v>
      </c>
      <c r="X808" s="23">
        <f>IF(ISNUMBER(S808),S808,IF(ISNUMBER(I808),I808,""))</f>
        <v>10.3</v>
      </c>
      <c r="Y808" t="str">
        <f>IF(ISNUMBER(S808),"2025 EIA-923 plant/group proxy",IF(ISNUMBER(I808),"Technology estimate","No thermal heat rate"))</f>
        <v>Technology estimate</v>
      </c>
      <c r="Z808" t="str">
        <f>IF(ISNUMBER(S808),"Review: NOT unit verified",IF(AE808="No match","No EIA match",IF(AF808="Unconfirmed","Unconfirmed EIA candidate","")))</f>
        <v>Unconfirmed EIA candidate</v>
      </c>
      <c r="AA808" s="26">
        <v>0.53520000000000001</v>
      </c>
      <c r="AB808" t="s">
        <v>118</v>
      </c>
      <c r="AC808" t="s">
        <v>308</v>
      </c>
      <c r="AD808" s="26">
        <v>1560</v>
      </c>
      <c r="AE808" t="s">
        <v>157</v>
      </c>
      <c r="AF808" t="s">
        <v>158</v>
      </c>
      <c r="AG808" s="24">
        <f>IF(ISBLANK(S808),S808,I808)</f>
        <v>10.3</v>
      </c>
      <c r="AH808" s="34">
        <f t="shared" si="30"/>
        <v>131090.5</v>
      </c>
      <c r="AI808">
        <f t="shared" si="29"/>
        <v>81863.721917641597</v>
      </c>
      <c r="AJ808" t="b" cm="1">
        <f t="array" ref="AJ808">OR(D808=$AT$2:$AT$8)</f>
        <v>0</v>
      </c>
    </row>
    <row r="809" spans="1:36" x14ac:dyDescent="0.25">
      <c r="A809" s="2" t="s">
        <v>1251</v>
      </c>
      <c r="B809" s="3">
        <v>34</v>
      </c>
      <c r="C809" s="2" t="s">
        <v>99</v>
      </c>
      <c r="D809" s="2" t="s">
        <v>81</v>
      </c>
      <c r="E809" s="2" t="s">
        <v>109</v>
      </c>
      <c r="F809" s="4" t="s">
        <v>109</v>
      </c>
      <c r="G809" s="4" t="s">
        <v>110</v>
      </c>
      <c r="H809" s="5">
        <v>9</v>
      </c>
      <c r="I809" s="5">
        <v>10.3</v>
      </c>
      <c r="J809" s="5">
        <v>12</v>
      </c>
      <c r="K809" s="4" t="s">
        <v>111</v>
      </c>
      <c r="L809" s="4" t="s">
        <v>112</v>
      </c>
      <c r="M809" s="6">
        <f>IF(OR(B809="",I809=""),"",B809*I809)</f>
        <v>350.20000000000005</v>
      </c>
      <c r="N809" s="10" t="s">
        <v>10</v>
      </c>
      <c r="O809" s="9"/>
      <c r="P809" s="9"/>
      <c r="Q809" s="22"/>
      <c r="R809" s="22"/>
      <c r="S809" s="23" t="str">
        <f>IF(AND(ISNUMBER(Q809),Q809&gt;0,ISNUMBER(R809),R809&gt;0),R809/Q809,"")</f>
        <v/>
      </c>
      <c r="T809" s="9"/>
      <c r="U809" s="9"/>
      <c r="V809" s="9"/>
      <c r="W809" s="9"/>
      <c r="X809" s="23">
        <f>IF(ISNUMBER(S809),S809,IF(ISNUMBER(I809),I809,""))</f>
        <v>10.3</v>
      </c>
      <c r="Y809" t="str">
        <f>IF(ISNUMBER(S809),"2025 EIA-923 plant/group proxy",IF(ISNUMBER(I809),"Technology estimate","No thermal heat rate"))</f>
        <v>Technology estimate</v>
      </c>
      <c r="Z809" t="str">
        <f>IF(ISNUMBER(S809),"Review: NOT unit verified",IF(AE809="No match","No EIA match",IF(AF809="Unconfirmed","Unconfirmed EIA candidate","")))</f>
        <v>No EIA match</v>
      </c>
      <c r="AE809" t="s">
        <v>107</v>
      </c>
      <c r="AG809" s="24">
        <f>IF(ISBLANK(S809),S809,I809)</f>
        <v>10.3</v>
      </c>
      <c r="AH809" s="34">
        <f t="shared" si="30"/>
        <v>131124.5</v>
      </c>
      <c r="AI809">
        <f t="shared" si="29"/>
        <v>81884.954322317746</v>
      </c>
      <c r="AJ809" t="b" cm="1">
        <f t="array" ref="AJ809">OR(D809=$AT$2:$AT$8)</f>
        <v>0</v>
      </c>
    </row>
    <row r="810" spans="1:36" x14ac:dyDescent="0.25">
      <c r="A810" s="2" t="s">
        <v>1291</v>
      </c>
      <c r="B810" s="3">
        <v>111.4</v>
      </c>
      <c r="C810" s="2" t="s">
        <v>136</v>
      </c>
      <c r="D810" s="2" t="s">
        <v>136</v>
      </c>
      <c r="E810" s="2" t="s">
        <v>109</v>
      </c>
      <c r="F810" s="4" t="s">
        <v>109</v>
      </c>
      <c r="G810" s="4" t="s">
        <v>110</v>
      </c>
      <c r="H810" s="5">
        <v>9</v>
      </c>
      <c r="I810" s="5">
        <v>10.3</v>
      </c>
      <c r="J810" s="5">
        <v>12</v>
      </c>
      <c r="K810" s="4" t="s">
        <v>111</v>
      </c>
      <c r="L810" s="4" t="s">
        <v>112</v>
      </c>
      <c r="M810" s="6">
        <f>IF(OR(B810="",I810=""),"",B810*I810)</f>
        <v>1147.42</v>
      </c>
      <c r="N810" s="29" t="s">
        <v>154</v>
      </c>
      <c r="O810" s="9"/>
      <c r="P810" s="9"/>
      <c r="Q810" s="22"/>
      <c r="R810" s="22"/>
      <c r="S810" s="23" t="str">
        <f>IF(AND(ISNUMBER(Q810),Q810&gt;0,ISNUMBER(R810),R810&gt;0),R810/Q810,"")</f>
        <v/>
      </c>
      <c r="T810" s="9"/>
      <c r="U810" s="9"/>
      <c r="V810" s="9"/>
      <c r="W810" s="9" t="s">
        <v>1292</v>
      </c>
      <c r="X810" s="23">
        <f>IF(ISNUMBER(S810),S810,IF(ISNUMBER(I810),I810,""))</f>
        <v>10.3</v>
      </c>
      <c r="Y810" t="str">
        <f>IF(ISNUMBER(S810),"2025 EIA-923 plant/group proxy",IF(ISNUMBER(I810),"Technology estimate","No thermal heat rate"))</f>
        <v>Technology estimate</v>
      </c>
      <c r="Z810" t="str">
        <f>IF(ISNUMBER(S810),"Review: NOT unit verified",IF(AE810="No match","No EIA match",IF(AF810="Unconfirmed","Unconfirmed EIA candidate","")))</f>
        <v>Unconfirmed EIA candidate</v>
      </c>
      <c r="AA810" s="26">
        <v>0.54659999999999997</v>
      </c>
      <c r="AB810" t="s">
        <v>143</v>
      </c>
      <c r="AC810" t="s">
        <v>282</v>
      </c>
      <c r="AD810" s="26">
        <v>112</v>
      </c>
      <c r="AE810" t="s">
        <v>157</v>
      </c>
      <c r="AF810" t="s">
        <v>158</v>
      </c>
      <c r="AG810" s="24">
        <f>IF(ISBLANK(S810),S810,I810)</f>
        <v>10.3</v>
      </c>
      <c r="AH810" s="34">
        <f t="shared" si="30"/>
        <v>131235.9</v>
      </c>
      <c r="AI810">
        <f t="shared" si="29"/>
        <v>81954.52167175668</v>
      </c>
      <c r="AJ810" t="b" cm="1">
        <f t="array" ref="AJ810">OR(D810=$AT$2:$AT$8)</f>
        <v>0</v>
      </c>
    </row>
    <row r="811" spans="1:36" x14ac:dyDescent="0.25">
      <c r="A811" s="2" t="s">
        <v>1538</v>
      </c>
      <c r="B811" s="3">
        <v>86</v>
      </c>
      <c r="C811" s="2" t="s">
        <v>136</v>
      </c>
      <c r="D811" s="2" t="s">
        <v>136</v>
      </c>
      <c r="E811" s="2" t="s">
        <v>109</v>
      </c>
      <c r="F811" s="4" t="s">
        <v>109</v>
      </c>
      <c r="G811" s="4" t="s">
        <v>110</v>
      </c>
      <c r="H811" s="5">
        <v>9</v>
      </c>
      <c r="I811" s="5">
        <v>10.3</v>
      </c>
      <c r="J811" s="5">
        <v>12</v>
      </c>
      <c r="K811" s="4" t="s">
        <v>111</v>
      </c>
      <c r="L811" s="4" t="s">
        <v>112</v>
      </c>
      <c r="M811" s="6">
        <f>IF(OR(B811="",I811=""),"",B811*I811)</f>
        <v>885.80000000000007</v>
      </c>
      <c r="N811" s="10" t="s">
        <v>10</v>
      </c>
      <c r="O811" s="9"/>
      <c r="P811" s="9"/>
      <c r="Q811" s="22"/>
      <c r="R811" s="22"/>
      <c r="S811" s="23" t="str">
        <f>IF(AND(ISNUMBER(Q811),Q811&gt;0,ISNUMBER(R811),R811&gt;0),R811/Q811,"")</f>
        <v/>
      </c>
      <c r="T811" s="9"/>
      <c r="U811" s="9"/>
      <c r="V811" s="9"/>
      <c r="W811" s="9"/>
      <c r="X811" s="23">
        <f>IF(ISNUMBER(S811),S811,IF(ISNUMBER(I811),I811,""))</f>
        <v>10.3</v>
      </c>
      <c r="Y811" t="str">
        <f>IF(ISNUMBER(S811),"2025 EIA-923 plant/group proxy",IF(ISNUMBER(I811),"Technology estimate","No thermal heat rate"))</f>
        <v>Technology estimate</v>
      </c>
      <c r="Z811" t="str">
        <f>IF(ISNUMBER(S811),"Review: NOT unit verified",IF(AE811="No match","No EIA match",IF(AF811="Unconfirmed","Unconfirmed EIA candidate","")))</f>
        <v>No EIA match</v>
      </c>
      <c r="AE811" t="s">
        <v>107</v>
      </c>
      <c r="AG811" s="24">
        <f>IF(ISBLANK(S811),S811,I811)</f>
        <v>10.3</v>
      </c>
      <c r="AH811" s="34">
        <f t="shared" si="30"/>
        <v>131321.9</v>
      </c>
      <c r="AI811">
        <f t="shared" si="29"/>
        <v>82008.227165937555</v>
      </c>
      <c r="AJ811" t="b" cm="1">
        <f t="array" ref="AJ811">OR(D811=$AT$2:$AT$8)</f>
        <v>0</v>
      </c>
    </row>
    <row r="812" spans="1:36" x14ac:dyDescent="0.25">
      <c r="A812" s="2" t="s">
        <v>1547</v>
      </c>
      <c r="B812" s="3">
        <v>82.8</v>
      </c>
      <c r="C812" s="2" t="s">
        <v>86</v>
      </c>
      <c r="D812" s="2" t="s">
        <v>76</v>
      </c>
      <c r="E812" s="2" t="s">
        <v>109</v>
      </c>
      <c r="F812" s="4" t="s">
        <v>109</v>
      </c>
      <c r="G812" s="4" t="s">
        <v>110</v>
      </c>
      <c r="H812" s="5">
        <v>9</v>
      </c>
      <c r="I812" s="5">
        <v>10.3</v>
      </c>
      <c r="J812" s="5">
        <v>12</v>
      </c>
      <c r="K812" s="4" t="s">
        <v>111</v>
      </c>
      <c r="L812" s="4" t="s">
        <v>112</v>
      </c>
      <c r="M812" s="6">
        <f>IF(OR(B812="",I812=""),"",B812*I812)</f>
        <v>852.84</v>
      </c>
      <c r="N812" s="29" t="s">
        <v>154</v>
      </c>
      <c r="O812" s="9"/>
      <c r="P812" s="9"/>
      <c r="Q812" s="22"/>
      <c r="R812" s="22"/>
      <c r="S812" s="23" t="str">
        <f>IF(AND(ISNUMBER(Q812),Q812&gt;0,ISNUMBER(R812),R812&gt;0),R812/Q812,"")</f>
        <v/>
      </c>
      <c r="T812" s="9"/>
      <c r="U812" s="9"/>
      <c r="V812" s="9"/>
      <c r="W812" s="9" t="s">
        <v>1548</v>
      </c>
      <c r="X812" s="23">
        <f>IF(ISNUMBER(S812),S812,IF(ISNUMBER(I812),I812,""))</f>
        <v>10.3</v>
      </c>
      <c r="Y812" t="str">
        <f>IF(ISNUMBER(S812),"2025 EIA-923 plant/group proxy",IF(ISNUMBER(I812),"Technology estimate","No thermal heat rate"))</f>
        <v>Technology estimate</v>
      </c>
      <c r="Z812" t="str">
        <f>IF(ISNUMBER(S812),"Review: NOT unit verified",IF(AE812="No match","No EIA match",IF(AF812="Unconfirmed","Unconfirmed EIA candidate","")))</f>
        <v>Unconfirmed EIA candidate</v>
      </c>
      <c r="AA812" s="26">
        <v>0.48580000000000001</v>
      </c>
      <c r="AB812" t="s">
        <v>143</v>
      </c>
      <c r="AC812" t="s">
        <v>282</v>
      </c>
      <c r="AD812" s="26">
        <v>83.82</v>
      </c>
      <c r="AE812" t="s">
        <v>157</v>
      </c>
      <c r="AF812" t="s">
        <v>158</v>
      </c>
      <c r="AG812" s="24">
        <f>IF(ISBLANK(S812),S812,I812)</f>
        <v>10.3</v>
      </c>
      <c r="AH812" s="34">
        <f t="shared" si="30"/>
        <v>131404.69999999998</v>
      </c>
      <c r="AI812">
        <f t="shared" si="29"/>
        <v>82059.934316148894</v>
      </c>
      <c r="AJ812" t="b" cm="1">
        <f t="array" ref="AJ812">OR(D812=$AT$2:$AT$8)</f>
        <v>0</v>
      </c>
    </row>
    <row r="813" spans="1:36" x14ac:dyDescent="0.25">
      <c r="A813" s="2" t="s">
        <v>135</v>
      </c>
      <c r="B813" s="3">
        <v>43.7</v>
      </c>
      <c r="C813" s="2" t="s">
        <v>136</v>
      </c>
      <c r="D813" s="2" t="s">
        <v>136</v>
      </c>
      <c r="E813" s="2" t="s">
        <v>137</v>
      </c>
      <c r="F813" s="4" t="s">
        <v>138</v>
      </c>
      <c r="G813" s="4" t="s">
        <v>139</v>
      </c>
      <c r="H813" s="5">
        <v>9</v>
      </c>
      <c r="I813" s="5">
        <v>10.5</v>
      </c>
      <c r="J813" s="5">
        <v>13</v>
      </c>
      <c r="K813" s="4" t="s">
        <v>111</v>
      </c>
      <c r="L813" s="4" t="s">
        <v>112</v>
      </c>
      <c r="M813" s="6">
        <f>IF(OR(B813="",I813=""),"",B813*I813)</f>
        <v>458.85</v>
      </c>
      <c r="N813" s="28" t="s">
        <v>113</v>
      </c>
      <c r="O813" s="26">
        <v>50279</v>
      </c>
      <c r="P813" s="9" t="s">
        <v>140</v>
      </c>
      <c r="Q813" s="27">
        <v>60106.080999999998</v>
      </c>
      <c r="R813" s="27">
        <v>621918</v>
      </c>
      <c r="S813" s="23">
        <f>IF(AND(ISNUMBER(Q813),Q813&gt;0,ISNUMBER(R813),R813&gt;0),R813/Q813,"")</f>
        <v>10.347006320375471</v>
      </c>
      <c r="T813" s="9" t="s">
        <v>115</v>
      </c>
      <c r="U813" s="9" t="s">
        <v>141</v>
      </c>
      <c r="V813" s="9" t="s">
        <v>21</v>
      </c>
      <c r="W813" s="9" t="s">
        <v>142</v>
      </c>
      <c r="X813" s="23">
        <f>IF(ISNUMBER(S813),S813,IF(ISNUMBER(I813),I813,""))</f>
        <v>10.347006320375471</v>
      </c>
      <c r="Y813" t="str">
        <f>IF(ISNUMBER(S813),"2025 EIA-923 plant/group proxy",IF(ISNUMBER(I813),"Technology estimate","No thermal heat rate"))</f>
        <v>2025 EIA-923 plant/group proxy</v>
      </c>
      <c r="Z813" t="str">
        <f>IF(ISNUMBER(S813),"Review: NOT unit verified",IF(AE813="No match","No EIA match",IF(AF813="Unconfirmed","Unconfirmed EIA candidate","")))</f>
        <v>Review: NOT unit verified</v>
      </c>
      <c r="AA813" s="26">
        <v>0.65900000000000003</v>
      </c>
      <c r="AB813" t="s">
        <v>143</v>
      </c>
      <c r="AC813" t="s">
        <v>144</v>
      </c>
      <c r="AD813" s="26">
        <v>43.7</v>
      </c>
      <c r="AE813" t="s">
        <v>120</v>
      </c>
      <c r="AF813" t="s">
        <v>145</v>
      </c>
      <c r="AG813" s="27">
        <v>10.347</v>
      </c>
      <c r="AH813" s="34">
        <f t="shared" si="30"/>
        <v>131448.4</v>
      </c>
      <c r="AI813">
        <f t="shared" si="29"/>
        <v>82087.224200982673</v>
      </c>
      <c r="AJ813" t="b" cm="1">
        <f t="array" ref="AJ813">OR(D813=$AT$2:$AT$8)</f>
        <v>0</v>
      </c>
    </row>
    <row r="814" spans="1:36" x14ac:dyDescent="0.25">
      <c r="A814" s="2" t="s">
        <v>489</v>
      </c>
      <c r="B814" s="3">
        <v>850.4</v>
      </c>
      <c r="C814" s="2" t="s">
        <v>86</v>
      </c>
      <c r="D814" s="2" t="s">
        <v>76</v>
      </c>
      <c r="E814" s="2" t="s">
        <v>109</v>
      </c>
      <c r="F814" s="4" t="s">
        <v>109</v>
      </c>
      <c r="G814" s="4" t="s">
        <v>110</v>
      </c>
      <c r="H814" s="5">
        <v>9</v>
      </c>
      <c r="I814" s="5">
        <v>10.3</v>
      </c>
      <c r="J814" s="5">
        <v>12</v>
      </c>
      <c r="K814" s="4" t="s">
        <v>111</v>
      </c>
      <c r="L814" s="4" t="s">
        <v>112</v>
      </c>
      <c r="M814" s="6">
        <f>IF(OR(B814="",I814=""),"",B814*I814)</f>
        <v>8759.1200000000008</v>
      </c>
      <c r="N814" s="25" t="s">
        <v>113</v>
      </c>
      <c r="O814" s="26">
        <v>3118</v>
      </c>
      <c r="P814" s="9" t="s">
        <v>490</v>
      </c>
      <c r="Q814" s="27">
        <v>3889847.9279999998</v>
      </c>
      <c r="R814" s="27">
        <v>40303766</v>
      </c>
      <c r="S814" s="23">
        <f>IF(AND(ISNUMBER(Q814),Q814&gt;0,ISNUMBER(R814),R814&gt;0),R814/Q814,"")</f>
        <v>10.36127034938421</v>
      </c>
      <c r="T814" s="9" t="s">
        <v>115</v>
      </c>
      <c r="U814" s="9" t="s">
        <v>116</v>
      </c>
      <c r="V814" s="9" t="s">
        <v>21</v>
      </c>
      <c r="W814" s="9" t="s">
        <v>240</v>
      </c>
      <c r="X814" s="23">
        <f>IF(ISNUMBER(S814),S814,IF(ISNUMBER(I814),I814,""))</f>
        <v>10.36127034938421</v>
      </c>
      <c r="Y814" t="str">
        <f>IF(ISNUMBER(S814),"2025 EIA-923 plant/group proxy",IF(ISNUMBER(I814),"Technology estimate","No thermal heat rate"))</f>
        <v>2025 EIA-923 plant/group proxy</v>
      </c>
      <c r="Z814" t="str">
        <f>IF(ISNUMBER(S814),"Review: NOT unit verified",IF(AE814="No match","No EIA match",IF(AF814="Unconfirmed","Unconfirmed EIA candidate","")))</f>
        <v>Review: NOT unit verified</v>
      </c>
      <c r="AA814" s="26">
        <v>1</v>
      </c>
      <c r="AB814" t="s">
        <v>143</v>
      </c>
      <c r="AC814" t="s">
        <v>308</v>
      </c>
      <c r="AD814" s="26">
        <v>1700</v>
      </c>
      <c r="AE814" t="s">
        <v>120</v>
      </c>
      <c r="AF814" t="s">
        <v>121</v>
      </c>
      <c r="AG814" s="27">
        <v>10.3613</v>
      </c>
      <c r="AH814" s="34">
        <f t="shared" si="30"/>
        <v>132298.79999999999</v>
      </c>
      <c r="AI814">
        <f t="shared" si="29"/>
        <v>82618.284110882785</v>
      </c>
      <c r="AJ814" t="b" cm="1">
        <f t="array" ref="AJ814">OR(D814=$AT$2:$AT$8)</f>
        <v>0</v>
      </c>
    </row>
    <row r="815" spans="1:36" x14ac:dyDescent="0.25">
      <c r="A815" s="2" t="s">
        <v>491</v>
      </c>
      <c r="B815" s="3">
        <v>849.3</v>
      </c>
      <c r="C815" s="2" t="s">
        <v>86</v>
      </c>
      <c r="D815" s="2" t="s">
        <v>76</v>
      </c>
      <c r="E815" s="2" t="s">
        <v>109</v>
      </c>
      <c r="F815" s="4" t="s">
        <v>109</v>
      </c>
      <c r="G815" s="4" t="s">
        <v>110</v>
      </c>
      <c r="H815" s="5">
        <v>9</v>
      </c>
      <c r="I815" s="5">
        <v>10.3</v>
      </c>
      <c r="J815" s="5">
        <v>12</v>
      </c>
      <c r="K815" s="4" t="s">
        <v>111</v>
      </c>
      <c r="L815" s="4" t="s">
        <v>112</v>
      </c>
      <c r="M815" s="6">
        <f>IF(OR(B815="",I815=""),"",B815*I815)</f>
        <v>8747.7900000000009</v>
      </c>
      <c r="N815" s="25" t="s">
        <v>113</v>
      </c>
      <c r="O815" s="26">
        <v>3118</v>
      </c>
      <c r="P815" s="9" t="s">
        <v>490</v>
      </c>
      <c r="Q815" s="27">
        <v>3889847.9279999998</v>
      </c>
      <c r="R815" s="27">
        <v>40303766</v>
      </c>
      <c r="S815" s="23">
        <f>IF(AND(ISNUMBER(Q815),Q815&gt;0,ISNUMBER(R815),R815&gt;0),R815/Q815,"")</f>
        <v>10.36127034938421</v>
      </c>
      <c r="T815" s="9" t="s">
        <v>115</v>
      </c>
      <c r="U815" s="9" t="s">
        <v>116</v>
      </c>
      <c r="V815" s="9" t="s">
        <v>21</v>
      </c>
      <c r="W815" s="9" t="s">
        <v>240</v>
      </c>
      <c r="X815" s="23">
        <f>IF(ISNUMBER(S815),S815,IF(ISNUMBER(I815),I815,""))</f>
        <v>10.36127034938421</v>
      </c>
      <c r="Y815" t="str">
        <f>IF(ISNUMBER(S815),"2025 EIA-923 plant/group proxy",IF(ISNUMBER(I815),"Technology estimate","No thermal heat rate"))</f>
        <v>2025 EIA-923 plant/group proxy</v>
      </c>
      <c r="Z815" t="str">
        <f>IF(ISNUMBER(S815),"Review: NOT unit verified",IF(AE815="No match","No EIA match",IF(AF815="Unconfirmed","Unconfirmed EIA candidate","")))</f>
        <v>Review: NOT unit verified</v>
      </c>
      <c r="AA815" s="26">
        <v>1</v>
      </c>
      <c r="AB815" t="s">
        <v>143</v>
      </c>
      <c r="AC815" t="s">
        <v>308</v>
      </c>
      <c r="AD815" s="26">
        <v>1700</v>
      </c>
      <c r="AE815" t="s">
        <v>120</v>
      </c>
      <c r="AF815" t="s">
        <v>121</v>
      </c>
      <c r="AG815" s="27">
        <v>10.3613</v>
      </c>
      <c r="AH815" s="34">
        <f t="shared" si="30"/>
        <v>133148.09999999998</v>
      </c>
      <c r="AI815">
        <f t="shared" si="29"/>
        <v>83148.657090043387</v>
      </c>
      <c r="AJ815" t="b" cm="1">
        <f t="array" ref="AJ815">OR(D815=$AT$2:$AT$8)</f>
        <v>0</v>
      </c>
    </row>
    <row r="816" spans="1:36" x14ac:dyDescent="0.25">
      <c r="A816" s="2" t="s">
        <v>108</v>
      </c>
      <c r="B816" s="3">
        <v>800</v>
      </c>
      <c r="C816" s="2" t="s">
        <v>99</v>
      </c>
      <c r="D816" s="2" t="s">
        <v>81</v>
      </c>
      <c r="E816" s="2" t="s">
        <v>109</v>
      </c>
      <c r="F816" s="4" t="s">
        <v>109</v>
      </c>
      <c r="G816" s="4" t="s">
        <v>110</v>
      </c>
      <c r="H816" s="5">
        <v>9</v>
      </c>
      <c r="I816" s="5">
        <v>10.3</v>
      </c>
      <c r="J816" s="5">
        <v>12</v>
      </c>
      <c r="K816" s="4" t="s">
        <v>111</v>
      </c>
      <c r="L816" s="4" t="s">
        <v>112</v>
      </c>
      <c r="M816" s="6">
        <f>IF(OR(B816="",I816=""),"",B816*I816)</f>
        <v>8240</v>
      </c>
      <c r="N816" s="25" t="s">
        <v>113</v>
      </c>
      <c r="O816" s="26">
        <v>3935</v>
      </c>
      <c r="P816" s="9" t="s">
        <v>114</v>
      </c>
      <c r="Q816" s="27">
        <v>9023267.5810000002</v>
      </c>
      <c r="R816" s="27">
        <v>93691622</v>
      </c>
      <c r="S816" s="23">
        <f>IF(AND(ISNUMBER(Q816),Q816&gt;0,ISNUMBER(R816),R816&gt;0),R816/Q816,"")</f>
        <v>10.383336320124585</v>
      </c>
      <c r="T816" s="9" t="s">
        <v>115</v>
      </c>
      <c r="U816" s="9" t="s">
        <v>116</v>
      </c>
      <c r="V816" s="9" t="s">
        <v>21</v>
      </c>
      <c r="W816" s="9" t="s">
        <v>117</v>
      </c>
      <c r="X816" s="23">
        <f>IF(ISNUMBER(S816),S816,IF(ISNUMBER(I816),I816,""))</f>
        <v>10.383336320124585</v>
      </c>
      <c r="Y816" t="str">
        <f>IF(ISNUMBER(S816),"2025 EIA-923 plant/group proxy",IF(ISNUMBER(I816),"Technology estimate","No thermal heat rate"))</f>
        <v>2025 EIA-923 plant/group proxy</v>
      </c>
      <c r="Z816" t="str">
        <f>IF(ISNUMBER(S816),"Review: NOT unit verified",IF(AE816="No match","No EIA match",IF(AF816="Unconfirmed","Unconfirmed EIA candidate","")))</f>
        <v>Review: NOT unit verified</v>
      </c>
      <c r="AA816" s="26">
        <v>0.82579999999999998</v>
      </c>
      <c r="AB816" t="s">
        <v>118</v>
      </c>
      <c r="AC816" t="s">
        <v>119</v>
      </c>
      <c r="AD816" s="26">
        <v>2900</v>
      </c>
      <c r="AE816" t="s">
        <v>120</v>
      </c>
      <c r="AF816" t="s">
        <v>121</v>
      </c>
      <c r="AG816" s="27">
        <v>10.3833</v>
      </c>
      <c r="AH816" s="34">
        <f t="shared" si="30"/>
        <v>133948.09999999998</v>
      </c>
      <c r="AI816">
        <f t="shared" si="29"/>
        <v>83648.243082423563</v>
      </c>
      <c r="AJ816" t="b" cm="1">
        <f t="array" ref="AJ816">OR(D816=$AT$2:$AT$8)</f>
        <v>0</v>
      </c>
    </row>
    <row r="817" spans="1:36" x14ac:dyDescent="0.25">
      <c r="A817" s="2" t="s">
        <v>122</v>
      </c>
      <c r="B817" s="3">
        <v>800</v>
      </c>
      <c r="C817" s="2" t="s">
        <v>99</v>
      </c>
      <c r="D817" s="2" t="s">
        <v>81</v>
      </c>
      <c r="E817" s="2" t="s">
        <v>109</v>
      </c>
      <c r="F817" s="4" t="s">
        <v>109</v>
      </c>
      <c r="G817" s="4" t="s">
        <v>110</v>
      </c>
      <c r="H817" s="5">
        <v>9</v>
      </c>
      <c r="I817" s="5">
        <v>10.3</v>
      </c>
      <c r="J817" s="5">
        <v>12</v>
      </c>
      <c r="K817" s="4" t="s">
        <v>111</v>
      </c>
      <c r="L817" s="4" t="s">
        <v>112</v>
      </c>
      <c r="M817" s="6">
        <f>IF(OR(B817="",I817=""),"",B817*I817)</f>
        <v>8240</v>
      </c>
      <c r="N817" s="25" t="s">
        <v>113</v>
      </c>
      <c r="O817" s="26">
        <v>3935</v>
      </c>
      <c r="P817" s="9" t="s">
        <v>114</v>
      </c>
      <c r="Q817" s="27">
        <v>9023267.5810000002</v>
      </c>
      <c r="R817" s="27">
        <v>93691622</v>
      </c>
      <c r="S817" s="23">
        <f>IF(AND(ISNUMBER(Q817),Q817&gt;0,ISNUMBER(R817),R817&gt;0),R817/Q817,"")</f>
        <v>10.383336320124585</v>
      </c>
      <c r="T817" s="9" t="s">
        <v>115</v>
      </c>
      <c r="U817" s="9" t="s">
        <v>116</v>
      </c>
      <c r="V817" s="9" t="s">
        <v>21</v>
      </c>
      <c r="W817" s="9" t="s">
        <v>117</v>
      </c>
      <c r="X817" s="23">
        <f>IF(ISNUMBER(S817),S817,IF(ISNUMBER(I817),I817,""))</f>
        <v>10.383336320124585</v>
      </c>
      <c r="Y817" t="str">
        <f>IF(ISNUMBER(S817),"2025 EIA-923 plant/group proxy",IF(ISNUMBER(I817),"Technology estimate","No thermal heat rate"))</f>
        <v>2025 EIA-923 plant/group proxy</v>
      </c>
      <c r="Z817" t="str">
        <f>IF(ISNUMBER(S817),"Review: NOT unit verified",IF(AE817="No match","No EIA match",IF(AF817="Unconfirmed","Unconfirmed EIA candidate","")))</f>
        <v>Review: NOT unit verified</v>
      </c>
      <c r="AA817" s="26">
        <v>0.82579999999999998</v>
      </c>
      <c r="AB817" t="s">
        <v>118</v>
      </c>
      <c r="AC817" t="s">
        <v>119</v>
      </c>
      <c r="AD817" s="26">
        <v>2900</v>
      </c>
      <c r="AE817" t="s">
        <v>120</v>
      </c>
      <c r="AF817" t="s">
        <v>121</v>
      </c>
      <c r="AG817" s="27">
        <v>10.3833</v>
      </c>
      <c r="AH817" s="34">
        <f t="shared" si="30"/>
        <v>134748.09999999998</v>
      </c>
      <c r="AI817">
        <f t="shared" si="29"/>
        <v>84147.82907480374</v>
      </c>
      <c r="AJ817" t="b" cm="1">
        <f t="array" ref="AJ817">OR(D817=$AT$2:$AT$8)</f>
        <v>0</v>
      </c>
    </row>
    <row r="818" spans="1:36" x14ac:dyDescent="0.25">
      <c r="A818" s="2" t="s">
        <v>123</v>
      </c>
      <c r="B818" s="3">
        <v>1316.9</v>
      </c>
      <c r="C818" s="2" t="s">
        <v>99</v>
      </c>
      <c r="D818" s="2" t="s">
        <v>81</v>
      </c>
      <c r="E818" s="2" t="s">
        <v>109</v>
      </c>
      <c r="F818" s="4" t="s">
        <v>109</v>
      </c>
      <c r="G818" s="4" t="s">
        <v>110</v>
      </c>
      <c r="H818" s="5">
        <v>9</v>
      </c>
      <c r="I818" s="5">
        <v>10.3</v>
      </c>
      <c r="J818" s="5">
        <v>12</v>
      </c>
      <c r="K818" s="4" t="s">
        <v>111</v>
      </c>
      <c r="L818" s="4" t="s">
        <v>112</v>
      </c>
      <c r="M818" s="6">
        <f>IF(OR(B818="",I818=""),"",B818*I818)</f>
        <v>13564.070000000002</v>
      </c>
      <c r="N818" s="25" t="s">
        <v>113</v>
      </c>
      <c r="O818" s="26">
        <v>3935</v>
      </c>
      <c r="P818" s="9" t="s">
        <v>114</v>
      </c>
      <c r="Q818" s="27">
        <v>9023267.5810000002</v>
      </c>
      <c r="R818" s="27">
        <v>93691622</v>
      </c>
      <c r="S818" s="23">
        <f>IF(AND(ISNUMBER(Q818),Q818&gt;0,ISNUMBER(R818),R818&gt;0),R818/Q818,"")</f>
        <v>10.383336320124585</v>
      </c>
      <c r="T818" s="9" t="s">
        <v>115</v>
      </c>
      <c r="U818" s="9" t="s">
        <v>116</v>
      </c>
      <c r="V818" s="9" t="s">
        <v>21</v>
      </c>
      <c r="W818" s="9" t="s">
        <v>117</v>
      </c>
      <c r="X818" s="23">
        <f>IF(ISNUMBER(S818),S818,IF(ISNUMBER(I818),I818,""))</f>
        <v>10.383336320124585</v>
      </c>
      <c r="Y818" t="str">
        <f>IF(ISNUMBER(S818),"2025 EIA-923 plant/group proxy",IF(ISNUMBER(I818),"Technology estimate","No thermal heat rate"))</f>
        <v>2025 EIA-923 plant/group proxy</v>
      </c>
      <c r="Z818" t="str">
        <f>IF(ISNUMBER(S818),"Review: NOT unit verified",IF(AE818="No match","No EIA match",IF(AF818="Unconfirmed","Unconfirmed EIA candidate","")))</f>
        <v>Review: NOT unit verified</v>
      </c>
      <c r="AA818" s="26">
        <v>0.82579999999999998</v>
      </c>
      <c r="AB818" t="s">
        <v>118</v>
      </c>
      <c r="AC818" t="s">
        <v>119</v>
      </c>
      <c r="AD818" s="26">
        <v>2900</v>
      </c>
      <c r="AE818" t="s">
        <v>120</v>
      </c>
      <c r="AF818" t="s">
        <v>121</v>
      </c>
      <c r="AG818" s="27">
        <v>10.3833</v>
      </c>
      <c r="AH818" s="34">
        <f t="shared" si="30"/>
        <v>136064.99999999997</v>
      </c>
      <c r="AI818">
        <f t="shared" si="29"/>
        <v>84970.210066510539</v>
      </c>
      <c r="AJ818" t="b" cm="1">
        <f t="array" ref="AJ818">OR(D818=$AT$2:$AT$8)</f>
        <v>0</v>
      </c>
    </row>
    <row r="819" spans="1:36" x14ac:dyDescent="0.25">
      <c r="A819" s="2" t="s">
        <v>1237</v>
      </c>
      <c r="B819" s="3">
        <v>541.9</v>
      </c>
      <c r="C819" s="2" t="s">
        <v>78</v>
      </c>
      <c r="D819" s="2" t="s">
        <v>78</v>
      </c>
      <c r="E819" s="2" t="s">
        <v>109</v>
      </c>
      <c r="F819" s="4" t="s">
        <v>109</v>
      </c>
      <c r="G819" s="4" t="s">
        <v>110</v>
      </c>
      <c r="H819" s="5">
        <v>9</v>
      </c>
      <c r="I819" s="5">
        <v>10.3</v>
      </c>
      <c r="J819" s="5">
        <v>12</v>
      </c>
      <c r="K819" s="4" t="s">
        <v>111</v>
      </c>
      <c r="L819" s="4" t="s">
        <v>112</v>
      </c>
      <c r="M819" s="6">
        <f>IF(OR(B819="",I819=""),"",B819*I819)</f>
        <v>5581.57</v>
      </c>
      <c r="N819" s="25" t="s">
        <v>113</v>
      </c>
      <c r="O819" s="26">
        <v>3954</v>
      </c>
      <c r="P819" s="9" t="s">
        <v>1238</v>
      </c>
      <c r="Q819" s="27">
        <v>4334578.6150000002</v>
      </c>
      <c r="R819" s="27">
        <v>45198663</v>
      </c>
      <c r="S819" s="23">
        <f>IF(AND(ISNUMBER(Q819),Q819&gt;0,ISNUMBER(R819),R819&gt;0),R819/Q819,"")</f>
        <v>10.427464123868473</v>
      </c>
      <c r="T819" s="9" t="s">
        <v>115</v>
      </c>
      <c r="U819" s="9" t="s">
        <v>116</v>
      </c>
      <c r="V819" s="9" t="s">
        <v>21</v>
      </c>
      <c r="W819" s="9" t="s">
        <v>117</v>
      </c>
      <c r="X819" s="23">
        <f>IF(ISNUMBER(S819),S819,IF(ISNUMBER(I819),I819,""))</f>
        <v>10.427464123868473</v>
      </c>
      <c r="Y819" t="str">
        <f>IF(ISNUMBER(S819),"2025 EIA-923 plant/group proxy",IF(ISNUMBER(I819),"Technology estimate","No thermal heat rate"))</f>
        <v>2025 EIA-923 plant/group proxy</v>
      </c>
      <c r="Z819" t="str">
        <f>IF(ISNUMBER(S819),"Review: NOT unit verified",IF(AE819="No match","No EIA match",IF(AF819="Unconfirmed","Unconfirmed EIA candidate","")))</f>
        <v>Review: NOT unit verified</v>
      </c>
      <c r="AA819" s="26">
        <v>1</v>
      </c>
      <c r="AB819" t="s">
        <v>118</v>
      </c>
      <c r="AC819" t="s">
        <v>119</v>
      </c>
      <c r="AD819" s="26">
        <v>1613.5</v>
      </c>
      <c r="AE819" t="s">
        <v>120</v>
      </c>
      <c r="AF819" t="s">
        <v>121</v>
      </c>
      <c r="AG819" s="27">
        <v>10.4275</v>
      </c>
      <c r="AH819" s="34">
        <f t="shared" si="30"/>
        <v>136606.89999999997</v>
      </c>
      <c r="AI819">
        <f t="shared" si="29"/>
        <v>85308.617128099067</v>
      </c>
      <c r="AJ819" t="b" cm="1">
        <f t="array" ref="AJ819">OR(D819=$AT$2:$AT$8)</f>
        <v>1</v>
      </c>
    </row>
    <row r="820" spans="1:36" x14ac:dyDescent="0.25">
      <c r="A820" s="2" t="s">
        <v>1239</v>
      </c>
      <c r="B820" s="3">
        <v>551.6</v>
      </c>
      <c r="C820" s="2" t="s">
        <v>78</v>
      </c>
      <c r="D820" s="2" t="s">
        <v>78</v>
      </c>
      <c r="E820" s="2" t="s">
        <v>109</v>
      </c>
      <c r="F820" s="4" t="s">
        <v>109</v>
      </c>
      <c r="G820" s="4" t="s">
        <v>110</v>
      </c>
      <c r="H820" s="5">
        <v>9</v>
      </c>
      <c r="I820" s="5">
        <v>10.3</v>
      </c>
      <c r="J820" s="5">
        <v>12</v>
      </c>
      <c r="K820" s="4" t="s">
        <v>111</v>
      </c>
      <c r="L820" s="4" t="s">
        <v>112</v>
      </c>
      <c r="M820" s="6">
        <f>IF(OR(B820="",I820=""),"",B820*I820)</f>
        <v>5681.4800000000005</v>
      </c>
      <c r="N820" s="25" t="s">
        <v>113</v>
      </c>
      <c r="O820" s="26">
        <v>3954</v>
      </c>
      <c r="P820" s="9" t="s">
        <v>1238</v>
      </c>
      <c r="Q820" s="27">
        <v>4334578.6150000002</v>
      </c>
      <c r="R820" s="27">
        <v>45198663</v>
      </c>
      <c r="S820" s="23">
        <f>IF(AND(ISNUMBER(Q820),Q820&gt;0,ISNUMBER(R820),R820&gt;0),R820/Q820,"")</f>
        <v>10.427464123868473</v>
      </c>
      <c r="T820" s="9" t="s">
        <v>115</v>
      </c>
      <c r="U820" s="9" t="s">
        <v>116</v>
      </c>
      <c r="V820" s="9" t="s">
        <v>21</v>
      </c>
      <c r="W820" s="9" t="s">
        <v>117</v>
      </c>
      <c r="X820" s="23">
        <f>IF(ISNUMBER(S820),S820,IF(ISNUMBER(I820),I820,""))</f>
        <v>10.427464123868473</v>
      </c>
      <c r="Y820" t="str">
        <f>IF(ISNUMBER(S820),"2025 EIA-923 plant/group proxy",IF(ISNUMBER(I820),"Technology estimate","No thermal heat rate"))</f>
        <v>2025 EIA-923 plant/group proxy</v>
      </c>
      <c r="Z820" t="str">
        <f>IF(ISNUMBER(S820),"Review: NOT unit verified",IF(AE820="No match","No EIA match",IF(AF820="Unconfirmed","Unconfirmed EIA candidate","")))</f>
        <v>Review: NOT unit verified</v>
      </c>
      <c r="AA820" s="26">
        <v>1</v>
      </c>
      <c r="AB820" t="s">
        <v>118</v>
      </c>
      <c r="AC820" t="s">
        <v>119</v>
      </c>
      <c r="AD820" s="26">
        <v>1613.5</v>
      </c>
      <c r="AE820" t="s">
        <v>120</v>
      </c>
      <c r="AF820" t="s">
        <v>121</v>
      </c>
      <c r="AG820" s="27">
        <v>10.4275</v>
      </c>
      <c r="AH820" s="34">
        <f t="shared" si="30"/>
        <v>137158.49999999997</v>
      </c>
      <c r="AI820">
        <f t="shared" si="29"/>
        <v>85653.081669845196</v>
      </c>
      <c r="AJ820" t="b" cm="1">
        <f t="array" ref="AJ820">OR(D820=$AT$2:$AT$8)</f>
        <v>1</v>
      </c>
    </row>
    <row r="821" spans="1:36" x14ac:dyDescent="0.25">
      <c r="A821" s="2" t="s">
        <v>1240</v>
      </c>
      <c r="B821" s="3">
        <v>520</v>
      </c>
      <c r="C821" s="2" t="s">
        <v>78</v>
      </c>
      <c r="D821" s="2" t="s">
        <v>78</v>
      </c>
      <c r="E821" s="2" t="s">
        <v>109</v>
      </c>
      <c r="F821" s="4" t="s">
        <v>109</v>
      </c>
      <c r="G821" s="4" t="s">
        <v>110</v>
      </c>
      <c r="H821" s="5">
        <v>9</v>
      </c>
      <c r="I821" s="5">
        <v>10.3</v>
      </c>
      <c r="J821" s="5">
        <v>12</v>
      </c>
      <c r="K821" s="4" t="s">
        <v>111</v>
      </c>
      <c r="L821" s="4" t="s">
        <v>112</v>
      </c>
      <c r="M821" s="6">
        <f>IF(OR(B821="",I821=""),"",B821*I821)</f>
        <v>5356</v>
      </c>
      <c r="N821" s="25" t="s">
        <v>113</v>
      </c>
      <c r="O821" s="26">
        <v>3954</v>
      </c>
      <c r="P821" s="9" t="s">
        <v>1238</v>
      </c>
      <c r="Q821" s="27">
        <v>4334578.6150000002</v>
      </c>
      <c r="R821" s="27">
        <v>45198663</v>
      </c>
      <c r="S821" s="23">
        <f>IF(AND(ISNUMBER(Q821),Q821&gt;0,ISNUMBER(R821),R821&gt;0),R821/Q821,"")</f>
        <v>10.427464123868473</v>
      </c>
      <c r="T821" s="9" t="s">
        <v>115</v>
      </c>
      <c r="U821" s="9" t="s">
        <v>116</v>
      </c>
      <c r="V821" s="9" t="s">
        <v>21</v>
      </c>
      <c r="W821" s="9" t="s">
        <v>117</v>
      </c>
      <c r="X821" s="23">
        <f>IF(ISNUMBER(S821),S821,IF(ISNUMBER(I821),I821,""))</f>
        <v>10.427464123868473</v>
      </c>
      <c r="Y821" t="str">
        <f>IF(ISNUMBER(S821),"2025 EIA-923 plant/group proxy",IF(ISNUMBER(I821),"Technology estimate","No thermal heat rate"))</f>
        <v>2025 EIA-923 plant/group proxy</v>
      </c>
      <c r="Z821" t="str">
        <f>IF(ISNUMBER(S821),"Review: NOT unit verified",IF(AE821="No match","No EIA match",IF(AF821="Unconfirmed","Unconfirmed EIA candidate","")))</f>
        <v>Review: NOT unit verified</v>
      </c>
      <c r="AA821" s="26">
        <v>1</v>
      </c>
      <c r="AB821" t="s">
        <v>118</v>
      </c>
      <c r="AC821" t="s">
        <v>119</v>
      </c>
      <c r="AD821" s="26">
        <v>1613.5</v>
      </c>
      <c r="AE821" t="s">
        <v>120</v>
      </c>
      <c r="AF821" t="s">
        <v>121</v>
      </c>
      <c r="AG821" s="27">
        <v>10.4275</v>
      </c>
      <c r="AH821" s="34">
        <f t="shared" si="30"/>
        <v>137678.49999999997</v>
      </c>
      <c r="AI821">
        <f t="shared" si="29"/>
        <v>85977.812564892316</v>
      </c>
      <c r="AJ821" t="b" cm="1">
        <f t="array" ref="AJ821">OR(D821=$AT$2:$AT$8)</f>
        <v>1</v>
      </c>
    </row>
    <row r="822" spans="1:36" x14ac:dyDescent="0.25">
      <c r="A822" s="2" t="s">
        <v>552</v>
      </c>
      <c r="B822" s="3">
        <v>88.1</v>
      </c>
      <c r="C822" s="2" t="s">
        <v>57</v>
      </c>
      <c r="D822" s="2" t="s">
        <v>58</v>
      </c>
      <c r="E822" s="2" t="s">
        <v>125</v>
      </c>
      <c r="F822" s="4" t="s">
        <v>126</v>
      </c>
      <c r="G822" s="4" t="s">
        <v>127</v>
      </c>
      <c r="H822" s="5">
        <v>9.1999999999999993</v>
      </c>
      <c r="I822" s="5">
        <v>10.8</v>
      </c>
      <c r="J822" s="5">
        <v>13.5</v>
      </c>
      <c r="K822" s="4" t="s">
        <v>111</v>
      </c>
      <c r="L822" s="4" t="s">
        <v>128</v>
      </c>
      <c r="M822" s="6">
        <f>IF(OR(B822="",I822=""),"",B822*I822)</f>
        <v>951.48</v>
      </c>
      <c r="N822" s="25" t="s">
        <v>113</v>
      </c>
      <c r="O822" s="26">
        <v>5083</v>
      </c>
      <c r="P822" s="9" t="s">
        <v>553</v>
      </c>
      <c r="Q822" s="27">
        <v>119393.003</v>
      </c>
      <c r="R822" s="27">
        <v>1251516</v>
      </c>
      <c r="S822" s="23">
        <f>IF(AND(ISNUMBER(Q822),Q822&gt;0,ISNUMBER(R822),R822&gt;0),R822/Q822,"")</f>
        <v>10.482322820877535</v>
      </c>
      <c r="T822" s="9" t="s">
        <v>115</v>
      </c>
      <c r="U822" s="9" t="s">
        <v>352</v>
      </c>
      <c r="V822" s="9" t="s">
        <v>21</v>
      </c>
      <c r="W822" s="9" t="s">
        <v>240</v>
      </c>
      <c r="X822" s="23">
        <f>IF(ISNUMBER(S822),S822,IF(ISNUMBER(I822),I822,""))</f>
        <v>10.482322820877535</v>
      </c>
      <c r="Y822" t="str">
        <f>IF(ISNUMBER(S822),"2025 EIA-923 plant/group proxy",IF(ISNUMBER(I822),"Technology estimate","No thermal heat rate"))</f>
        <v>2025 EIA-923 plant/group proxy</v>
      </c>
      <c r="Z822" t="str">
        <f>IF(ISNUMBER(S822),"Review: NOT unit verified",IF(AE822="No match","No EIA match",IF(AF822="Unconfirmed","Unconfirmed EIA candidate","")))</f>
        <v>Review: NOT unit verified</v>
      </c>
      <c r="AA822" s="26">
        <v>0.87150000000000005</v>
      </c>
      <c r="AB822" t="s">
        <v>241</v>
      </c>
      <c r="AC822" t="s">
        <v>554</v>
      </c>
      <c r="AD822" s="26">
        <v>186.9</v>
      </c>
      <c r="AE822" t="s">
        <v>120</v>
      </c>
      <c r="AF822" t="s">
        <v>121</v>
      </c>
      <c r="AG822" s="27">
        <v>10.4823</v>
      </c>
      <c r="AH822" s="34">
        <f t="shared" si="30"/>
        <v>137766.59999999998</v>
      </c>
      <c r="AI822">
        <f t="shared" si="29"/>
        <v>86032.829472303187</v>
      </c>
      <c r="AJ822" t="b" cm="1">
        <f t="array" ref="AJ822">OR(D822=$AT$2:$AT$8)</f>
        <v>0</v>
      </c>
    </row>
    <row r="823" spans="1:36" x14ac:dyDescent="0.25">
      <c r="A823" s="2" t="s">
        <v>555</v>
      </c>
      <c r="B823" s="3">
        <v>78.5</v>
      </c>
      <c r="C823" s="2" t="s">
        <v>57</v>
      </c>
      <c r="D823" s="2" t="s">
        <v>58</v>
      </c>
      <c r="E823" s="2" t="s">
        <v>125</v>
      </c>
      <c r="F823" s="4" t="s">
        <v>126</v>
      </c>
      <c r="G823" s="4" t="s">
        <v>127</v>
      </c>
      <c r="H823" s="5">
        <v>9.1999999999999993</v>
      </c>
      <c r="I823" s="5">
        <v>10.8</v>
      </c>
      <c r="J823" s="5">
        <v>13.5</v>
      </c>
      <c r="K823" s="4" t="s">
        <v>111</v>
      </c>
      <c r="L823" s="4" t="s">
        <v>128</v>
      </c>
      <c r="M823" s="6">
        <f>IF(OR(B823="",I823=""),"",B823*I823)</f>
        <v>847.80000000000007</v>
      </c>
      <c r="N823" s="25" t="s">
        <v>113</v>
      </c>
      <c r="O823" s="26">
        <v>5083</v>
      </c>
      <c r="P823" s="9" t="s">
        <v>553</v>
      </c>
      <c r="Q823" s="27">
        <v>119393.003</v>
      </c>
      <c r="R823" s="27">
        <v>1251516</v>
      </c>
      <c r="S823" s="23">
        <f>IF(AND(ISNUMBER(Q823),Q823&gt;0,ISNUMBER(R823),R823&gt;0),R823/Q823,"")</f>
        <v>10.482322820877535</v>
      </c>
      <c r="T823" s="9" t="s">
        <v>115</v>
      </c>
      <c r="U823" s="9" t="s">
        <v>352</v>
      </c>
      <c r="V823" s="9" t="s">
        <v>21</v>
      </c>
      <c r="W823" s="9" t="s">
        <v>240</v>
      </c>
      <c r="X823" s="23">
        <f>IF(ISNUMBER(S823),S823,IF(ISNUMBER(I823),I823,""))</f>
        <v>10.482322820877535</v>
      </c>
      <c r="Y823" t="str">
        <f>IF(ISNUMBER(S823),"2025 EIA-923 plant/group proxy",IF(ISNUMBER(I823),"Technology estimate","No thermal heat rate"))</f>
        <v>2025 EIA-923 plant/group proxy</v>
      </c>
      <c r="Z823" t="str">
        <f>IF(ISNUMBER(S823),"Review: NOT unit verified",IF(AE823="No match","No EIA match",IF(AF823="Unconfirmed","Unconfirmed EIA candidate","")))</f>
        <v>Review: NOT unit verified</v>
      </c>
      <c r="AA823" s="26">
        <v>0.87150000000000005</v>
      </c>
      <c r="AB823" t="s">
        <v>241</v>
      </c>
      <c r="AC823" t="s">
        <v>554</v>
      </c>
      <c r="AD823" s="26">
        <v>186.9</v>
      </c>
      <c r="AE823" t="s">
        <v>120</v>
      </c>
      <c r="AF823" t="s">
        <v>121</v>
      </c>
      <c r="AG823" s="27">
        <v>10.4823</v>
      </c>
      <c r="AH823" s="34">
        <f t="shared" si="30"/>
        <v>137845.09999999998</v>
      </c>
      <c r="AI823">
        <f t="shared" si="29"/>
        <v>86081.851347805481</v>
      </c>
      <c r="AJ823" t="b" cm="1">
        <f t="array" ref="AJ823">OR(D823=$AT$2:$AT$8)</f>
        <v>0</v>
      </c>
    </row>
    <row r="824" spans="1:36" x14ac:dyDescent="0.25">
      <c r="A824" s="2" t="s">
        <v>785</v>
      </c>
      <c r="B824" s="3">
        <v>48</v>
      </c>
      <c r="C824" s="2" t="s">
        <v>80</v>
      </c>
      <c r="D824" s="2" t="s">
        <v>81</v>
      </c>
      <c r="E824" s="2" t="s">
        <v>137</v>
      </c>
      <c r="F824" s="4" t="s">
        <v>138</v>
      </c>
      <c r="G824" s="4" t="s">
        <v>139</v>
      </c>
      <c r="H824" s="5">
        <v>9</v>
      </c>
      <c r="I824" s="5">
        <v>10.5</v>
      </c>
      <c r="J824" s="5">
        <v>13</v>
      </c>
      <c r="K824" s="4" t="s">
        <v>111</v>
      </c>
      <c r="L824" s="4" t="s">
        <v>112</v>
      </c>
      <c r="M824" s="6">
        <f>IF(OR(B824="",I824=""),"",B824*I824)</f>
        <v>504</v>
      </c>
      <c r="N824" s="25" t="s">
        <v>113</v>
      </c>
      <c r="O824" s="26">
        <v>55377</v>
      </c>
      <c r="P824" s="9" t="s">
        <v>786</v>
      </c>
      <c r="Q824" s="27">
        <v>145465.00099999999</v>
      </c>
      <c r="R824" s="27">
        <v>1526314</v>
      </c>
      <c r="S824" s="23">
        <f>IF(AND(ISNUMBER(Q824),Q824&gt;0,ISNUMBER(R824),R824&gt;0),R824/Q824,"")</f>
        <v>10.492654518319497</v>
      </c>
      <c r="T824" s="9" t="s">
        <v>115</v>
      </c>
      <c r="U824" s="9" t="s">
        <v>141</v>
      </c>
      <c r="V824" s="9" t="s">
        <v>21</v>
      </c>
      <c r="W824" s="9" t="s">
        <v>240</v>
      </c>
      <c r="X824" s="23">
        <f>IF(ISNUMBER(S824),S824,IF(ISNUMBER(I824),I824,""))</f>
        <v>10.492654518319497</v>
      </c>
      <c r="Y824" t="str">
        <f>IF(ISNUMBER(S824),"2025 EIA-923 plant/group proxy",IF(ISNUMBER(I824),"Technology estimate","No thermal heat rate"))</f>
        <v>2025 EIA-923 plant/group proxy</v>
      </c>
      <c r="Z824" t="str">
        <f>IF(ISNUMBER(S824),"Review: NOT unit verified",IF(AE824="No match","No EIA match",IF(AF824="Unconfirmed","Unconfirmed EIA candidate","")))</f>
        <v>Review: NOT unit verified</v>
      </c>
      <c r="AA824" s="26">
        <v>1</v>
      </c>
      <c r="AB824" t="s">
        <v>143</v>
      </c>
      <c r="AC824" t="s">
        <v>787</v>
      </c>
      <c r="AD824" s="26">
        <v>97.4</v>
      </c>
      <c r="AE824" t="s">
        <v>120</v>
      </c>
      <c r="AF824" t="s">
        <v>121</v>
      </c>
      <c r="AG824" s="27">
        <v>10.492699999999999</v>
      </c>
      <c r="AH824" s="34">
        <f t="shared" si="30"/>
        <v>137893.09999999998</v>
      </c>
      <c r="AI824">
        <f t="shared" si="29"/>
        <v>86111.826507348291</v>
      </c>
      <c r="AJ824" t="b" cm="1">
        <f t="array" ref="AJ824">OR(D824=$AT$2:$AT$8)</f>
        <v>0</v>
      </c>
    </row>
    <row r="825" spans="1:36" x14ac:dyDescent="0.25">
      <c r="A825" s="2" t="s">
        <v>788</v>
      </c>
      <c r="B825" s="3">
        <v>48</v>
      </c>
      <c r="C825" s="2" t="s">
        <v>80</v>
      </c>
      <c r="D825" s="2" t="s">
        <v>81</v>
      </c>
      <c r="E825" s="2" t="s">
        <v>137</v>
      </c>
      <c r="F825" s="4" t="s">
        <v>138</v>
      </c>
      <c r="G825" s="4" t="s">
        <v>139</v>
      </c>
      <c r="H825" s="5">
        <v>9</v>
      </c>
      <c r="I825" s="5">
        <v>10.5</v>
      </c>
      <c r="J825" s="5">
        <v>13</v>
      </c>
      <c r="K825" s="4" t="s">
        <v>111</v>
      </c>
      <c r="L825" s="4" t="s">
        <v>112</v>
      </c>
      <c r="M825" s="6">
        <f>IF(OR(B825="",I825=""),"",B825*I825)</f>
        <v>504</v>
      </c>
      <c r="N825" s="25" t="s">
        <v>113</v>
      </c>
      <c r="O825" s="26">
        <v>55377</v>
      </c>
      <c r="P825" s="9" t="s">
        <v>786</v>
      </c>
      <c r="Q825" s="27">
        <v>145465.00099999999</v>
      </c>
      <c r="R825" s="27">
        <v>1526314</v>
      </c>
      <c r="S825" s="23">
        <f>IF(AND(ISNUMBER(Q825),Q825&gt;0,ISNUMBER(R825),R825&gt;0),R825/Q825,"")</f>
        <v>10.492654518319497</v>
      </c>
      <c r="T825" s="9" t="s">
        <v>115</v>
      </c>
      <c r="U825" s="9" t="s">
        <v>141</v>
      </c>
      <c r="V825" s="9" t="s">
        <v>21</v>
      </c>
      <c r="W825" s="9" t="s">
        <v>240</v>
      </c>
      <c r="X825" s="23">
        <f>IF(ISNUMBER(S825),S825,IF(ISNUMBER(I825),I825,""))</f>
        <v>10.492654518319497</v>
      </c>
      <c r="Y825" t="str">
        <f>IF(ISNUMBER(S825),"2025 EIA-923 plant/group proxy",IF(ISNUMBER(I825),"Technology estimate","No thermal heat rate"))</f>
        <v>2025 EIA-923 plant/group proxy</v>
      </c>
      <c r="Z825" t="str">
        <f>IF(ISNUMBER(S825),"Review: NOT unit verified",IF(AE825="No match","No EIA match",IF(AF825="Unconfirmed","Unconfirmed EIA candidate","")))</f>
        <v>Review: NOT unit verified</v>
      </c>
      <c r="AA825" s="26">
        <v>1</v>
      </c>
      <c r="AB825" t="s">
        <v>143</v>
      </c>
      <c r="AC825" t="s">
        <v>787</v>
      </c>
      <c r="AD825" s="26">
        <v>97.4</v>
      </c>
      <c r="AE825" t="s">
        <v>120</v>
      </c>
      <c r="AF825" t="s">
        <v>121</v>
      </c>
      <c r="AG825" s="27">
        <v>10.492699999999999</v>
      </c>
      <c r="AH825" s="34">
        <f t="shared" si="30"/>
        <v>137941.09999999998</v>
      </c>
      <c r="AI825">
        <f t="shared" si="29"/>
        <v>86141.8016668911</v>
      </c>
      <c r="AJ825" t="b" cm="1">
        <f t="array" ref="AJ825">OR(D825=$AT$2:$AT$8)</f>
        <v>0</v>
      </c>
    </row>
    <row r="826" spans="1:36" x14ac:dyDescent="0.25">
      <c r="A826" s="2" t="s">
        <v>441</v>
      </c>
      <c r="B826" s="3">
        <v>49.8</v>
      </c>
      <c r="C826" s="2" t="s">
        <v>80</v>
      </c>
      <c r="D826" s="2" t="s">
        <v>81</v>
      </c>
      <c r="E826" s="2" t="s">
        <v>137</v>
      </c>
      <c r="F826" s="4" t="s">
        <v>138</v>
      </c>
      <c r="G826" s="4" t="s">
        <v>139</v>
      </c>
      <c r="H826" s="5">
        <v>9</v>
      </c>
      <c r="I826" s="5">
        <v>10.5</v>
      </c>
      <c r="J826" s="5">
        <v>13</v>
      </c>
      <c r="K826" s="4" t="s">
        <v>111</v>
      </c>
      <c r="L826" s="4" t="s">
        <v>112</v>
      </c>
      <c r="M826" s="6">
        <f>IF(OR(B826="",I826=""),"",B826*I826)</f>
        <v>522.9</v>
      </c>
      <c r="N826" s="10" t="s">
        <v>10</v>
      </c>
      <c r="O826" s="9"/>
      <c r="P826" s="9"/>
      <c r="Q826" s="22"/>
      <c r="R826" s="22"/>
      <c r="S826" s="23" t="str">
        <f>IF(AND(ISNUMBER(Q826),Q826&gt;0,ISNUMBER(R826),R826&gt;0),R826/Q826,"")</f>
        <v/>
      </c>
      <c r="T826" s="9"/>
      <c r="U826" s="9"/>
      <c r="V826" s="9"/>
      <c r="W826" s="9"/>
      <c r="X826" s="23">
        <f>IF(ISNUMBER(S826),S826,IF(ISNUMBER(I826),I826,""))</f>
        <v>10.5</v>
      </c>
      <c r="Y826" t="str">
        <f>IF(ISNUMBER(S826),"2025 EIA-923 plant/group proxy",IF(ISNUMBER(I826),"Technology estimate","No thermal heat rate"))</f>
        <v>Technology estimate</v>
      </c>
      <c r="Z826" t="str">
        <f>IF(ISNUMBER(S826),"Review: NOT unit verified",IF(AE826="No match","No EIA match",IF(AF826="Unconfirmed","Unconfirmed EIA candidate","")))</f>
        <v>No EIA match</v>
      </c>
      <c r="AE826" t="s">
        <v>107</v>
      </c>
      <c r="AG826" s="24">
        <f>IF(ISBLANK(S826),S826,I826)</f>
        <v>10.5</v>
      </c>
      <c r="AH826" s="34">
        <f t="shared" si="30"/>
        <v>137990.89999999997</v>
      </c>
      <c r="AI826">
        <f t="shared" si="29"/>
        <v>86172.900894916762</v>
      </c>
      <c r="AJ826" t="b" cm="1">
        <f t="array" ref="AJ826">OR(D826=$AT$2:$AT$8)</f>
        <v>0</v>
      </c>
    </row>
    <row r="827" spans="1:36" x14ac:dyDescent="0.25">
      <c r="A827" s="2" t="s">
        <v>442</v>
      </c>
      <c r="B827" s="3">
        <v>49.2</v>
      </c>
      <c r="C827" s="2" t="s">
        <v>80</v>
      </c>
      <c r="D827" s="2" t="s">
        <v>81</v>
      </c>
      <c r="E827" s="2" t="s">
        <v>137</v>
      </c>
      <c r="F827" s="4" t="s">
        <v>138</v>
      </c>
      <c r="G827" s="4" t="s">
        <v>139</v>
      </c>
      <c r="H827" s="5">
        <v>9</v>
      </c>
      <c r="I827" s="5">
        <v>10.5</v>
      </c>
      <c r="J827" s="5">
        <v>13</v>
      </c>
      <c r="K827" s="4" t="s">
        <v>111</v>
      </c>
      <c r="L827" s="4" t="s">
        <v>112</v>
      </c>
      <c r="M827" s="6">
        <f>IF(OR(B827="",I827=""),"",B827*I827)</f>
        <v>516.6</v>
      </c>
      <c r="N827" s="10" t="s">
        <v>10</v>
      </c>
      <c r="O827" s="9"/>
      <c r="P827" s="9"/>
      <c r="Q827" s="22"/>
      <c r="R827" s="22"/>
      <c r="S827" s="23" t="str">
        <f>IF(AND(ISNUMBER(Q827),Q827&gt;0,ISNUMBER(R827),R827&gt;0),R827/Q827,"")</f>
        <v/>
      </c>
      <c r="T827" s="9"/>
      <c r="U827" s="9"/>
      <c r="V827" s="9"/>
      <c r="W827" s="9"/>
      <c r="X827" s="23">
        <f>IF(ISNUMBER(S827),S827,IF(ISNUMBER(I827),I827,""))</f>
        <v>10.5</v>
      </c>
      <c r="Y827" t="str">
        <f>IF(ISNUMBER(S827),"2025 EIA-923 plant/group proxy",IF(ISNUMBER(I827),"Technology estimate","No thermal heat rate"))</f>
        <v>Technology estimate</v>
      </c>
      <c r="Z827" t="str">
        <f>IF(ISNUMBER(S827),"Review: NOT unit verified",IF(AE827="No match","No EIA match",IF(AF827="Unconfirmed","Unconfirmed EIA candidate","")))</f>
        <v>No EIA match</v>
      </c>
      <c r="AE827" t="s">
        <v>107</v>
      </c>
      <c r="AG827" s="24">
        <f>IF(ISBLANK(S827),S827,I827)</f>
        <v>10.5</v>
      </c>
      <c r="AH827" s="34">
        <f t="shared" si="30"/>
        <v>138040.09999999998</v>
      </c>
      <c r="AI827">
        <f t="shared" si="29"/>
        <v>86203.625433448149</v>
      </c>
      <c r="AJ827" t="b" cm="1">
        <f t="array" ref="AJ827">OR(D827=$AT$2:$AT$8)</f>
        <v>0</v>
      </c>
    </row>
    <row r="828" spans="1:36" x14ac:dyDescent="0.25">
      <c r="A828" s="2" t="s">
        <v>607</v>
      </c>
      <c r="B828" s="3">
        <v>69</v>
      </c>
      <c r="C828" s="2" t="s">
        <v>319</v>
      </c>
      <c r="D828" s="2" t="s">
        <v>319</v>
      </c>
      <c r="E828" s="2" t="s">
        <v>137</v>
      </c>
      <c r="F828" s="4" t="s">
        <v>138</v>
      </c>
      <c r="G828" s="4" t="s">
        <v>139</v>
      </c>
      <c r="H828" s="5">
        <v>9</v>
      </c>
      <c r="I828" s="5">
        <v>10.5</v>
      </c>
      <c r="J828" s="5">
        <v>13</v>
      </c>
      <c r="K828" s="4" t="s">
        <v>111</v>
      </c>
      <c r="L828" s="4" t="s">
        <v>112</v>
      </c>
      <c r="M828" s="6">
        <f>IF(OR(B828="",I828=""),"",B828*I828)</f>
        <v>724.5</v>
      </c>
      <c r="N828" s="29" t="s">
        <v>154</v>
      </c>
      <c r="O828" s="9"/>
      <c r="P828" s="9"/>
      <c r="Q828" s="22"/>
      <c r="R828" s="22"/>
      <c r="S828" s="23" t="str">
        <f>IF(AND(ISNUMBER(Q828),Q828&gt;0,ISNUMBER(R828),R828&gt;0),R828/Q828,"")</f>
        <v/>
      </c>
      <c r="T828" s="9"/>
      <c r="U828" s="9"/>
      <c r="V828" s="9"/>
      <c r="W828" s="9" t="s">
        <v>608</v>
      </c>
      <c r="X828" s="23">
        <f>IF(ISNUMBER(S828),S828,IF(ISNUMBER(I828),I828,""))</f>
        <v>10.5</v>
      </c>
      <c r="Y828" t="str">
        <f>IF(ISNUMBER(S828),"2025 EIA-923 plant/group proxy",IF(ISNUMBER(I828),"Technology estimate","No thermal heat rate"))</f>
        <v>Technology estimate</v>
      </c>
      <c r="Z828" t="str">
        <f>IF(ISNUMBER(S828),"Review: NOT unit verified",IF(AE828="No match","No EIA match",IF(AF828="Unconfirmed","Unconfirmed EIA candidate","")))</f>
        <v>Unconfirmed EIA candidate</v>
      </c>
      <c r="AA828" s="26">
        <v>0.58140000000000003</v>
      </c>
      <c r="AB828" t="s">
        <v>322</v>
      </c>
      <c r="AC828" t="s">
        <v>609</v>
      </c>
      <c r="AD828" s="26">
        <v>136.19999999999999</v>
      </c>
      <c r="AE828" t="s">
        <v>157</v>
      </c>
      <c r="AF828" t="s">
        <v>158</v>
      </c>
      <c r="AG828" s="24">
        <f>IF(ISBLANK(S828),S828,I828)</f>
        <v>10.5</v>
      </c>
      <c r="AH828" s="34">
        <f t="shared" si="30"/>
        <v>138109.09999999998</v>
      </c>
      <c r="AI828">
        <f t="shared" si="29"/>
        <v>86246.714725290949</v>
      </c>
      <c r="AJ828" t="b" cm="1">
        <f t="array" ref="AJ828">OR(D828=$AT$2:$AT$8)</f>
        <v>0</v>
      </c>
    </row>
    <row r="829" spans="1:36" x14ac:dyDescent="0.25">
      <c r="A829" s="2" t="s">
        <v>610</v>
      </c>
      <c r="B829" s="3">
        <v>12.9</v>
      </c>
      <c r="C829" s="2" t="s">
        <v>319</v>
      </c>
      <c r="D829" s="2" t="s">
        <v>319</v>
      </c>
      <c r="E829" s="2" t="s">
        <v>137</v>
      </c>
      <c r="F829" s="4" t="s">
        <v>138</v>
      </c>
      <c r="G829" s="4" t="s">
        <v>139</v>
      </c>
      <c r="H829" s="5">
        <v>9</v>
      </c>
      <c r="I829" s="5">
        <v>10.5</v>
      </c>
      <c r="J829" s="5">
        <v>13</v>
      </c>
      <c r="K829" s="4" t="s">
        <v>111</v>
      </c>
      <c r="L829" s="4" t="s">
        <v>112</v>
      </c>
      <c r="M829" s="6">
        <f>IF(OR(B829="",I829=""),"",B829*I829)</f>
        <v>135.45000000000002</v>
      </c>
      <c r="N829" s="29" t="s">
        <v>154</v>
      </c>
      <c r="O829" s="9"/>
      <c r="P829" s="9"/>
      <c r="Q829" s="22"/>
      <c r="R829" s="22"/>
      <c r="S829" s="23" t="str">
        <f>IF(AND(ISNUMBER(Q829),Q829&gt;0,ISNUMBER(R829),R829&gt;0),R829/Q829,"")</f>
        <v/>
      </c>
      <c r="T829" s="9"/>
      <c r="U829" s="9"/>
      <c r="V829" s="9"/>
      <c r="W829" s="9" t="s">
        <v>608</v>
      </c>
      <c r="X829" s="23">
        <f>IF(ISNUMBER(S829),S829,IF(ISNUMBER(I829),I829,""))</f>
        <v>10.5</v>
      </c>
      <c r="Y829" t="str">
        <f>IF(ISNUMBER(S829),"2025 EIA-923 plant/group proxy",IF(ISNUMBER(I829),"Technology estimate","No thermal heat rate"))</f>
        <v>Technology estimate</v>
      </c>
      <c r="Z829" t="str">
        <f>IF(ISNUMBER(S829),"Review: NOT unit verified",IF(AE829="No match","No EIA match",IF(AF829="Unconfirmed","Unconfirmed EIA candidate","")))</f>
        <v>Unconfirmed EIA candidate</v>
      </c>
      <c r="AA829" s="26">
        <v>0.58140000000000003</v>
      </c>
      <c r="AB829" t="s">
        <v>322</v>
      </c>
      <c r="AC829" t="s">
        <v>609</v>
      </c>
      <c r="AD829" s="26">
        <v>136.19999999999999</v>
      </c>
      <c r="AE829" t="s">
        <v>157</v>
      </c>
      <c r="AF829" t="s">
        <v>158</v>
      </c>
      <c r="AG829" s="24">
        <f>IF(ISBLANK(S829),S829,I829)</f>
        <v>10.5</v>
      </c>
      <c r="AH829" s="34">
        <f t="shared" si="30"/>
        <v>138121.99999999997</v>
      </c>
      <c r="AI829">
        <f t="shared" si="29"/>
        <v>86254.77054941807</v>
      </c>
      <c r="AJ829" t="b" cm="1">
        <f t="array" ref="AJ829">OR(D829=$AT$2:$AT$8)</f>
        <v>0</v>
      </c>
    </row>
    <row r="830" spans="1:36" x14ac:dyDescent="0.25">
      <c r="A830" s="2" t="s">
        <v>611</v>
      </c>
      <c r="B830" s="3">
        <v>15</v>
      </c>
      <c r="C830" s="2" t="s">
        <v>319</v>
      </c>
      <c r="D830" s="2" t="s">
        <v>319</v>
      </c>
      <c r="E830" s="2" t="s">
        <v>137</v>
      </c>
      <c r="F830" s="4" t="s">
        <v>138</v>
      </c>
      <c r="G830" s="4" t="s">
        <v>139</v>
      </c>
      <c r="H830" s="5">
        <v>9</v>
      </c>
      <c r="I830" s="5">
        <v>10.5</v>
      </c>
      <c r="J830" s="5">
        <v>13</v>
      </c>
      <c r="K830" s="4" t="s">
        <v>111</v>
      </c>
      <c r="L830" s="4" t="s">
        <v>112</v>
      </c>
      <c r="M830" s="6">
        <f>IF(OR(B830="",I830=""),"",B830*I830)</f>
        <v>157.5</v>
      </c>
      <c r="N830" s="29" t="s">
        <v>154</v>
      </c>
      <c r="O830" s="9"/>
      <c r="P830" s="9"/>
      <c r="Q830" s="22"/>
      <c r="R830" s="22"/>
      <c r="S830" s="23" t="str">
        <f>IF(AND(ISNUMBER(Q830),Q830&gt;0,ISNUMBER(R830),R830&gt;0),R830/Q830,"")</f>
        <v/>
      </c>
      <c r="T830" s="9"/>
      <c r="U830" s="9"/>
      <c r="V830" s="9"/>
      <c r="W830" s="9" t="s">
        <v>608</v>
      </c>
      <c r="X830" s="23">
        <f>IF(ISNUMBER(S830),S830,IF(ISNUMBER(I830),I830,""))</f>
        <v>10.5</v>
      </c>
      <c r="Y830" t="str">
        <f>IF(ISNUMBER(S830),"2025 EIA-923 plant/group proxy",IF(ISNUMBER(I830),"Technology estimate","No thermal heat rate"))</f>
        <v>Technology estimate</v>
      </c>
      <c r="Z830" t="str">
        <f>IF(ISNUMBER(S830),"Review: NOT unit verified",IF(AE830="No match","No EIA match",IF(AF830="Unconfirmed","Unconfirmed EIA candidate","")))</f>
        <v>Unconfirmed EIA candidate</v>
      </c>
      <c r="AA830" s="26">
        <v>0.58140000000000003</v>
      </c>
      <c r="AB830" t="s">
        <v>322</v>
      </c>
      <c r="AC830" t="s">
        <v>609</v>
      </c>
      <c r="AD830" s="26">
        <v>136.19999999999999</v>
      </c>
      <c r="AE830" t="s">
        <v>157</v>
      </c>
      <c r="AF830" t="s">
        <v>158</v>
      </c>
      <c r="AG830" s="24">
        <f>IF(ISBLANK(S830),S830,I830)</f>
        <v>10.5</v>
      </c>
      <c r="AH830" s="34">
        <f t="shared" si="30"/>
        <v>138136.99999999997</v>
      </c>
      <c r="AI830">
        <f t="shared" si="29"/>
        <v>86264.137786775202</v>
      </c>
      <c r="AJ830" t="b" cm="1">
        <f t="array" ref="AJ830">OR(D830=$AT$2:$AT$8)</f>
        <v>0</v>
      </c>
    </row>
    <row r="831" spans="1:36" x14ac:dyDescent="0.25">
      <c r="A831" s="2" t="s">
        <v>612</v>
      </c>
      <c r="B831" s="3">
        <v>15</v>
      </c>
      <c r="C831" s="2" t="s">
        <v>319</v>
      </c>
      <c r="D831" s="2" t="s">
        <v>319</v>
      </c>
      <c r="E831" s="2" t="s">
        <v>137</v>
      </c>
      <c r="F831" s="4" t="s">
        <v>138</v>
      </c>
      <c r="G831" s="4" t="s">
        <v>139</v>
      </c>
      <c r="H831" s="5">
        <v>9</v>
      </c>
      <c r="I831" s="5">
        <v>10.5</v>
      </c>
      <c r="J831" s="5">
        <v>13</v>
      </c>
      <c r="K831" s="4" t="s">
        <v>111</v>
      </c>
      <c r="L831" s="4" t="s">
        <v>112</v>
      </c>
      <c r="M831" s="6">
        <f>IF(OR(B831="",I831=""),"",B831*I831)</f>
        <v>157.5</v>
      </c>
      <c r="N831" s="29" t="s">
        <v>154</v>
      </c>
      <c r="O831" s="9"/>
      <c r="P831" s="9"/>
      <c r="Q831" s="22"/>
      <c r="R831" s="22"/>
      <c r="S831" s="23" t="str">
        <f>IF(AND(ISNUMBER(Q831),Q831&gt;0,ISNUMBER(R831),R831&gt;0),R831/Q831,"")</f>
        <v/>
      </c>
      <c r="T831" s="9"/>
      <c r="U831" s="9"/>
      <c r="V831" s="9"/>
      <c r="W831" s="9" t="s">
        <v>608</v>
      </c>
      <c r="X831" s="23">
        <f>IF(ISNUMBER(S831),S831,IF(ISNUMBER(I831),I831,""))</f>
        <v>10.5</v>
      </c>
      <c r="Y831" t="str">
        <f>IF(ISNUMBER(S831),"2025 EIA-923 plant/group proxy",IF(ISNUMBER(I831),"Technology estimate","No thermal heat rate"))</f>
        <v>Technology estimate</v>
      </c>
      <c r="Z831" t="str">
        <f>IF(ISNUMBER(S831),"Review: NOT unit verified",IF(AE831="No match","No EIA match",IF(AF831="Unconfirmed","Unconfirmed EIA candidate","")))</f>
        <v>Unconfirmed EIA candidate</v>
      </c>
      <c r="AA831" s="26">
        <v>0.58140000000000003</v>
      </c>
      <c r="AB831" t="s">
        <v>322</v>
      </c>
      <c r="AC831" t="s">
        <v>609</v>
      </c>
      <c r="AD831" s="26">
        <v>136.19999999999999</v>
      </c>
      <c r="AE831" t="s">
        <v>157</v>
      </c>
      <c r="AF831" t="s">
        <v>158</v>
      </c>
      <c r="AG831" s="24">
        <f>IF(ISBLANK(S831),S831,I831)</f>
        <v>10.5</v>
      </c>
      <c r="AH831" s="34">
        <f t="shared" si="30"/>
        <v>138151.99999999997</v>
      </c>
      <c r="AI831">
        <f t="shared" si="29"/>
        <v>86273.505024132333</v>
      </c>
      <c r="AJ831" t="b" cm="1">
        <f t="array" ref="AJ831">OR(D831=$AT$2:$AT$8)</f>
        <v>0</v>
      </c>
    </row>
    <row r="832" spans="1:36" x14ac:dyDescent="0.25">
      <c r="A832" s="2" t="s">
        <v>729</v>
      </c>
      <c r="B832" s="3">
        <v>185</v>
      </c>
      <c r="C832" s="2" t="s">
        <v>99</v>
      </c>
      <c r="D832" s="2" t="s">
        <v>81</v>
      </c>
      <c r="E832" s="2" t="s">
        <v>137</v>
      </c>
      <c r="F832" s="4" t="s">
        <v>138</v>
      </c>
      <c r="G832" s="4" t="s">
        <v>139</v>
      </c>
      <c r="H832" s="5">
        <v>9</v>
      </c>
      <c r="I832" s="5">
        <v>10.5</v>
      </c>
      <c r="J832" s="5">
        <v>13</v>
      </c>
      <c r="K832" s="4" t="s">
        <v>111</v>
      </c>
      <c r="L832" s="4" t="s">
        <v>112</v>
      </c>
      <c r="M832" s="6">
        <f>IF(OR(B832="",I832=""),"",B832*I832)</f>
        <v>1942.5</v>
      </c>
      <c r="N832" s="10" t="s">
        <v>10</v>
      </c>
      <c r="O832" s="9"/>
      <c r="P832" s="9"/>
      <c r="Q832" s="22"/>
      <c r="R832" s="22"/>
      <c r="S832" s="23" t="str">
        <f>IF(AND(ISNUMBER(Q832),Q832&gt;0,ISNUMBER(R832),R832&gt;0),R832/Q832,"")</f>
        <v/>
      </c>
      <c r="T832" s="9"/>
      <c r="U832" s="9"/>
      <c r="V832" s="9"/>
      <c r="W832" s="9"/>
      <c r="X832" s="23">
        <f>IF(ISNUMBER(S832),S832,IF(ISNUMBER(I832),I832,""))</f>
        <v>10.5</v>
      </c>
      <c r="Y832" t="str">
        <f>IF(ISNUMBER(S832),"2025 EIA-923 plant/group proxy",IF(ISNUMBER(I832),"Technology estimate","No thermal heat rate"))</f>
        <v>Technology estimate</v>
      </c>
      <c r="Z832" t="str">
        <f>IF(ISNUMBER(S832),"Review: NOT unit verified",IF(AE832="No match","No EIA match",IF(AF832="Unconfirmed","Unconfirmed EIA candidate","")))</f>
        <v>No EIA match</v>
      </c>
      <c r="AE832" t="s">
        <v>107</v>
      </c>
      <c r="AG832" s="24">
        <f>IF(ISBLANK(S832),S832,I832)</f>
        <v>10.5</v>
      </c>
      <c r="AH832" s="34">
        <f t="shared" si="30"/>
        <v>138336.99999999997</v>
      </c>
      <c r="AI832">
        <f t="shared" si="29"/>
        <v>86389.034284870242</v>
      </c>
      <c r="AJ832" t="b" cm="1">
        <f t="array" ref="AJ832">OR(D832=$AT$2:$AT$8)</f>
        <v>0</v>
      </c>
    </row>
    <row r="833" spans="1:36" x14ac:dyDescent="0.25">
      <c r="A833" s="2" t="s">
        <v>730</v>
      </c>
      <c r="B833" s="3">
        <v>185</v>
      </c>
      <c r="C833" s="2" t="s">
        <v>99</v>
      </c>
      <c r="D833" s="2" t="s">
        <v>81</v>
      </c>
      <c r="E833" s="2" t="s">
        <v>137</v>
      </c>
      <c r="F833" s="4" t="s">
        <v>138</v>
      </c>
      <c r="G833" s="4" t="s">
        <v>139</v>
      </c>
      <c r="H833" s="5">
        <v>9</v>
      </c>
      <c r="I833" s="5">
        <v>10.5</v>
      </c>
      <c r="J833" s="5">
        <v>13</v>
      </c>
      <c r="K833" s="4" t="s">
        <v>111</v>
      </c>
      <c r="L833" s="4" t="s">
        <v>112</v>
      </c>
      <c r="M833" s="6">
        <f>IF(OR(B833="",I833=""),"",B833*I833)</f>
        <v>1942.5</v>
      </c>
      <c r="N833" s="10" t="s">
        <v>10</v>
      </c>
      <c r="O833" s="9"/>
      <c r="P833" s="9"/>
      <c r="Q833" s="22"/>
      <c r="R833" s="22"/>
      <c r="S833" s="23" t="str">
        <f>IF(AND(ISNUMBER(Q833),Q833&gt;0,ISNUMBER(R833),R833&gt;0),R833/Q833,"")</f>
        <v/>
      </c>
      <c r="T833" s="9"/>
      <c r="U833" s="9"/>
      <c r="V833" s="9"/>
      <c r="W833" s="9"/>
      <c r="X833" s="23">
        <f>IF(ISNUMBER(S833),S833,IF(ISNUMBER(I833),I833,""))</f>
        <v>10.5</v>
      </c>
      <c r="Y833" t="str">
        <f>IF(ISNUMBER(S833),"2025 EIA-923 plant/group proxy",IF(ISNUMBER(I833),"Technology estimate","No thermal heat rate"))</f>
        <v>Technology estimate</v>
      </c>
      <c r="Z833" t="str">
        <f>IF(ISNUMBER(S833),"Review: NOT unit verified",IF(AE833="No match","No EIA match",IF(AF833="Unconfirmed","Unconfirmed EIA candidate","")))</f>
        <v>No EIA match</v>
      </c>
      <c r="AE833" t="s">
        <v>107</v>
      </c>
      <c r="AG833" s="24">
        <f>IF(ISBLANK(S833),S833,I833)</f>
        <v>10.5</v>
      </c>
      <c r="AH833" s="34">
        <f t="shared" si="30"/>
        <v>138521.99999999997</v>
      </c>
      <c r="AI833">
        <f t="shared" si="29"/>
        <v>86504.563545608151</v>
      </c>
      <c r="AJ833" t="b" cm="1">
        <f t="array" ref="AJ833">OR(D833=$AT$2:$AT$8)</f>
        <v>0</v>
      </c>
    </row>
    <row r="834" spans="1:36" x14ac:dyDescent="0.25">
      <c r="A834" s="2" t="s">
        <v>731</v>
      </c>
      <c r="B834" s="3">
        <v>185</v>
      </c>
      <c r="C834" s="2" t="s">
        <v>99</v>
      </c>
      <c r="D834" s="2" t="s">
        <v>81</v>
      </c>
      <c r="E834" s="2" t="s">
        <v>137</v>
      </c>
      <c r="F834" s="4" t="s">
        <v>138</v>
      </c>
      <c r="G834" s="4" t="s">
        <v>139</v>
      </c>
      <c r="H834" s="5">
        <v>9</v>
      </c>
      <c r="I834" s="5">
        <v>10.5</v>
      </c>
      <c r="J834" s="5">
        <v>13</v>
      </c>
      <c r="K834" s="4" t="s">
        <v>111</v>
      </c>
      <c r="L834" s="4" t="s">
        <v>112</v>
      </c>
      <c r="M834" s="6">
        <f>IF(OR(B834="",I834=""),"",B834*I834)</f>
        <v>1942.5</v>
      </c>
      <c r="N834" s="10" t="s">
        <v>10</v>
      </c>
      <c r="O834" s="9"/>
      <c r="P834" s="9"/>
      <c r="Q834" s="22"/>
      <c r="R834" s="22"/>
      <c r="S834" s="23" t="str">
        <f>IF(AND(ISNUMBER(Q834),Q834&gt;0,ISNUMBER(R834),R834&gt;0),R834/Q834,"")</f>
        <v/>
      </c>
      <c r="T834" s="9"/>
      <c r="U834" s="9"/>
      <c r="V834" s="9"/>
      <c r="W834" s="9"/>
      <c r="X834" s="23">
        <f>IF(ISNUMBER(S834),S834,IF(ISNUMBER(I834),I834,""))</f>
        <v>10.5</v>
      </c>
      <c r="Y834" t="str">
        <f>IF(ISNUMBER(S834),"2025 EIA-923 plant/group proxy",IF(ISNUMBER(I834),"Technology estimate","No thermal heat rate"))</f>
        <v>Technology estimate</v>
      </c>
      <c r="Z834" t="str">
        <f>IF(ISNUMBER(S834),"Review: NOT unit verified",IF(AE834="No match","No EIA match",IF(AF834="Unconfirmed","Unconfirmed EIA candidate","")))</f>
        <v>No EIA match</v>
      </c>
      <c r="AE834" t="s">
        <v>107</v>
      </c>
      <c r="AG834" s="24">
        <f>IF(ISBLANK(S834),S834,I834)</f>
        <v>10.5</v>
      </c>
      <c r="AH834" s="34">
        <f t="shared" si="30"/>
        <v>138706.99999999997</v>
      </c>
      <c r="AI834">
        <f t="shared" si="29"/>
        <v>86620.092806346074</v>
      </c>
      <c r="AJ834" t="b" cm="1">
        <f t="array" ref="AJ834">OR(D834=$AT$2:$AT$8)</f>
        <v>0</v>
      </c>
    </row>
    <row r="835" spans="1:36" x14ac:dyDescent="0.25">
      <c r="A835" s="2" t="s">
        <v>732</v>
      </c>
      <c r="B835" s="3">
        <v>185</v>
      </c>
      <c r="C835" s="2" t="s">
        <v>99</v>
      </c>
      <c r="D835" s="2" t="s">
        <v>81</v>
      </c>
      <c r="E835" s="2" t="s">
        <v>137</v>
      </c>
      <c r="F835" s="4" t="s">
        <v>138</v>
      </c>
      <c r="G835" s="4" t="s">
        <v>139</v>
      </c>
      <c r="H835" s="5">
        <v>9</v>
      </c>
      <c r="I835" s="5">
        <v>10.5</v>
      </c>
      <c r="J835" s="5">
        <v>13</v>
      </c>
      <c r="K835" s="4" t="s">
        <v>111</v>
      </c>
      <c r="L835" s="4" t="s">
        <v>112</v>
      </c>
      <c r="M835" s="6">
        <f>IF(OR(B835="",I835=""),"",B835*I835)</f>
        <v>1942.5</v>
      </c>
      <c r="N835" s="10" t="s">
        <v>10</v>
      </c>
      <c r="O835" s="9"/>
      <c r="P835" s="9"/>
      <c r="Q835" s="22"/>
      <c r="R835" s="22"/>
      <c r="S835" s="23" t="str">
        <f>IF(AND(ISNUMBER(Q835),Q835&gt;0,ISNUMBER(R835),R835&gt;0),R835/Q835,"")</f>
        <v/>
      </c>
      <c r="T835" s="9"/>
      <c r="U835" s="9"/>
      <c r="V835" s="9"/>
      <c r="W835" s="9"/>
      <c r="X835" s="23">
        <f>IF(ISNUMBER(S835),S835,IF(ISNUMBER(I835),I835,""))</f>
        <v>10.5</v>
      </c>
      <c r="Y835" t="str">
        <f>IF(ISNUMBER(S835),"2025 EIA-923 plant/group proxy",IF(ISNUMBER(I835),"Technology estimate","No thermal heat rate"))</f>
        <v>Technology estimate</v>
      </c>
      <c r="Z835" t="str">
        <f>IF(ISNUMBER(S835),"Review: NOT unit verified",IF(AE835="No match","No EIA match",IF(AF835="Unconfirmed","Unconfirmed EIA candidate","")))</f>
        <v>No EIA match</v>
      </c>
      <c r="AE835" t="s">
        <v>107</v>
      </c>
      <c r="AG835" s="24">
        <f>IF(ISBLANK(S835),S835,I835)</f>
        <v>10.5</v>
      </c>
      <c r="AH835" s="34">
        <f t="shared" si="30"/>
        <v>138891.99999999997</v>
      </c>
      <c r="AI835">
        <f t="shared" ref="AI835:AI898" si="31">AH835*$AK$1</f>
        <v>86735.622067083983</v>
      </c>
      <c r="AJ835" t="b" cm="1">
        <f t="array" ref="AJ835">OR(D835=$AT$2:$AT$8)</f>
        <v>0</v>
      </c>
    </row>
    <row r="836" spans="1:36" x14ac:dyDescent="0.25">
      <c r="A836" s="2" t="s">
        <v>733</v>
      </c>
      <c r="B836" s="3">
        <v>185</v>
      </c>
      <c r="C836" s="2" t="s">
        <v>99</v>
      </c>
      <c r="D836" s="2" t="s">
        <v>81</v>
      </c>
      <c r="E836" s="2" t="s">
        <v>137</v>
      </c>
      <c r="F836" s="4" t="s">
        <v>138</v>
      </c>
      <c r="G836" s="4" t="s">
        <v>139</v>
      </c>
      <c r="H836" s="5">
        <v>9</v>
      </c>
      <c r="I836" s="5">
        <v>10.5</v>
      </c>
      <c r="J836" s="5">
        <v>13</v>
      </c>
      <c r="K836" s="4" t="s">
        <v>111</v>
      </c>
      <c r="L836" s="4" t="s">
        <v>112</v>
      </c>
      <c r="M836" s="6">
        <f>IF(OR(B836="",I836=""),"",B836*I836)</f>
        <v>1942.5</v>
      </c>
      <c r="N836" s="10" t="s">
        <v>10</v>
      </c>
      <c r="O836" s="9"/>
      <c r="P836" s="9"/>
      <c r="Q836" s="22"/>
      <c r="R836" s="22"/>
      <c r="S836" s="23" t="str">
        <f>IF(AND(ISNUMBER(Q836),Q836&gt;0,ISNUMBER(R836),R836&gt;0),R836/Q836,"")</f>
        <v/>
      </c>
      <c r="T836" s="9"/>
      <c r="U836" s="9"/>
      <c r="V836" s="9"/>
      <c r="W836" s="9"/>
      <c r="X836" s="23">
        <f>IF(ISNUMBER(S836),S836,IF(ISNUMBER(I836),I836,""))</f>
        <v>10.5</v>
      </c>
      <c r="Y836" t="str">
        <f>IF(ISNUMBER(S836),"2025 EIA-923 plant/group proxy",IF(ISNUMBER(I836),"Technology estimate","No thermal heat rate"))</f>
        <v>Technology estimate</v>
      </c>
      <c r="Z836" t="str">
        <f>IF(ISNUMBER(S836),"Review: NOT unit verified",IF(AE836="No match","No EIA match",IF(AF836="Unconfirmed","Unconfirmed EIA candidate","")))</f>
        <v>No EIA match</v>
      </c>
      <c r="AE836" t="s">
        <v>107</v>
      </c>
      <c r="AG836" s="24">
        <f>IF(ISBLANK(S836),S836,I836)</f>
        <v>10.5</v>
      </c>
      <c r="AH836" s="34">
        <f t="shared" ref="AH836:AH899" si="32">AH835+B836</f>
        <v>139076.99999999997</v>
      </c>
      <c r="AI836">
        <f t="shared" si="31"/>
        <v>86851.151327821906</v>
      </c>
      <c r="AJ836" t="b" cm="1">
        <f t="array" ref="AJ836">OR(D836=$AT$2:$AT$8)</f>
        <v>0</v>
      </c>
    </row>
    <row r="837" spans="1:36" x14ac:dyDescent="0.25">
      <c r="A837" s="2" t="s">
        <v>889</v>
      </c>
      <c r="B837" s="3">
        <v>326.7</v>
      </c>
      <c r="C837" s="2" t="s">
        <v>78</v>
      </c>
      <c r="D837" s="2" t="s">
        <v>78</v>
      </c>
      <c r="E837" s="2" t="s">
        <v>137</v>
      </c>
      <c r="F837" s="4" t="s">
        <v>138</v>
      </c>
      <c r="G837" s="4" t="s">
        <v>139</v>
      </c>
      <c r="H837" s="5">
        <v>9</v>
      </c>
      <c r="I837" s="5">
        <v>10.5</v>
      </c>
      <c r="J837" s="5">
        <v>13</v>
      </c>
      <c r="K837" s="4" t="s">
        <v>111</v>
      </c>
      <c r="L837" s="4" t="s">
        <v>112</v>
      </c>
      <c r="M837" s="6">
        <f>IF(OR(B837="",I837=""),"",B837*I837)</f>
        <v>3430.35</v>
      </c>
      <c r="N837" s="29" t="s">
        <v>154</v>
      </c>
      <c r="O837" s="9"/>
      <c r="P837" s="9"/>
      <c r="Q837" s="22"/>
      <c r="R837" s="22"/>
      <c r="S837" s="23" t="str">
        <f>IF(AND(ISNUMBER(Q837),Q837&gt;0,ISNUMBER(R837),R837&gt;0),R837/Q837,"")</f>
        <v/>
      </c>
      <c r="T837" s="9"/>
      <c r="U837" s="9"/>
      <c r="V837" s="9"/>
      <c r="W837" s="9" t="s">
        <v>890</v>
      </c>
      <c r="X837" s="23">
        <f>IF(ISNUMBER(S837),S837,IF(ISNUMBER(I837),I837,""))</f>
        <v>10.5</v>
      </c>
      <c r="Y837" t="str">
        <f>IF(ISNUMBER(S837),"2025 EIA-923 plant/group proxy",IF(ISNUMBER(I837),"Technology estimate","No thermal heat rate"))</f>
        <v>Technology estimate</v>
      </c>
      <c r="Z837" t="str">
        <f>IF(ISNUMBER(S837),"Review: NOT unit verified",IF(AE837="No match","No EIA match",IF(AF837="Unconfirmed","Unconfirmed EIA candidate","")))</f>
        <v>Unconfirmed EIA candidate</v>
      </c>
      <c r="AA837" s="26">
        <v>0.54849999999999999</v>
      </c>
      <c r="AB837" t="s">
        <v>131</v>
      </c>
      <c r="AC837" t="s">
        <v>119</v>
      </c>
      <c r="AD837" s="26">
        <v>126</v>
      </c>
      <c r="AE837" t="s">
        <v>157</v>
      </c>
      <c r="AF837" t="s">
        <v>158</v>
      </c>
      <c r="AG837" s="24">
        <f>IF(ISBLANK(S837),S837,I837)</f>
        <v>10.5</v>
      </c>
      <c r="AH837" s="34">
        <f t="shared" si="32"/>
        <v>139403.69999999998</v>
      </c>
      <c r="AI837">
        <f t="shared" si="31"/>
        <v>87055.169757460171</v>
      </c>
      <c r="AJ837" t="b" cm="1">
        <f t="array" ref="AJ837">OR(D837=$AT$2:$AT$8)</f>
        <v>1</v>
      </c>
    </row>
    <row r="838" spans="1:36" x14ac:dyDescent="0.25">
      <c r="A838" s="2" t="s">
        <v>984</v>
      </c>
      <c r="B838" s="3">
        <v>3</v>
      </c>
      <c r="C838" s="2" t="s">
        <v>432</v>
      </c>
      <c r="D838" s="2" t="s">
        <v>58</v>
      </c>
      <c r="E838" s="2" t="s">
        <v>137</v>
      </c>
      <c r="F838" s="4" t="s">
        <v>138</v>
      </c>
      <c r="G838" s="4" t="s">
        <v>139</v>
      </c>
      <c r="H838" s="5">
        <v>9</v>
      </c>
      <c r="I838" s="5">
        <v>10.5</v>
      </c>
      <c r="J838" s="5">
        <v>13</v>
      </c>
      <c r="K838" s="4" t="s">
        <v>111</v>
      </c>
      <c r="L838" s="4" t="s">
        <v>112</v>
      </c>
      <c r="M838" s="6">
        <f>IF(OR(B838="",I838=""),"",B838*I838)</f>
        <v>31.5</v>
      </c>
      <c r="N838" s="10" t="s">
        <v>10</v>
      </c>
      <c r="O838" s="9"/>
      <c r="P838" s="9"/>
      <c r="Q838" s="22"/>
      <c r="R838" s="22"/>
      <c r="S838" s="23" t="str">
        <f>IF(AND(ISNUMBER(Q838),Q838&gt;0,ISNUMBER(R838),R838&gt;0),R838/Q838,"")</f>
        <v/>
      </c>
      <c r="T838" s="9"/>
      <c r="U838" s="9"/>
      <c r="V838" s="9"/>
      <c r="W838" s="9"/>
      <c r="X838" s="23">
        <f>IF(ISNUMBER(S838),S838,IF(ISNUMBER(I838),I838,""))</f>
        <v>10.5</v>
      </c>
      <c r="Y838" t="str">
        <f>IF(ISNUMBER(S838),"2025 EIA-923 plant/group proxy",IF(ISNUMBER(I838),"Technology estimate","No thermal heat rate"))</f>
        <v>Technology estimate</v>
      </c>
      <c r="Z838" t="str">
        <f>IF(ISNUMBER(S838),"Review: NOT unit verified",IF(AE838="No match","No EIA match",IF(AF838="Unconfirmed","Unconfirmed EIA candidate","")))</f>
        <v>No EIA match</v>
      </c>
      <c r="AE838" t="s">
        <v>107</v>
      </c>
      <c r="AG838" s="24">
        <f>IF(ISBLANK(S838),S838,I838)</f>
        <v>10.5</v>
      </c>
      <c r="AH838" s="34">
        <f t="shared" si="32"/>
        <v>139406.69999999998</v>
      </c>
      <c r="AI838">
        <f t="shared" si="31"/>
        <v>87057.043204931586</v>
      </c>
      <c r="AJ838" t="b" cm="1">
        <f t="array" ref="AJ838">OR(D838=$AT$2:$AT$8)</f>
        <v>0</v>
      </c>
    </row>
    <row r="839" spans="1:36" x14ac:dyDescent="0.25">
      <c r="A839" s="2" t="s">
        <v>1047</v>
      </c>
      <c r="B839" s="3">
        <v>164.3</v>
      </c>
      <c r="C839" s="2" t="s">
        <v>91</v>
      </c>
      <c r="D839" s="2" t="s">
        <v>91</v>
      </c>
      <c r="E839" s="2" t="s">
        <v>137</v>
      </c>
      <c r="F839" s="4" t="s">
        <v>138</v>
      </c>
      <c r="G839" s="4" t="s">
        <v>139</v>
      </c>
      <c r="H839" s="5">
        <v>9</v>
      </c>
      <c r="I839" s="5">
        <v>10.5</v>
      </c>
      <c r="J839" s="5">
        <v>13</v>
      </c>
      <c r="K839" s="4" t="s">
        <v>111</v>
      </c>
      <c r="L839" s="4" t="s">
        <v>112</v>
      </c>
      <c r="M839" s="6">
        <f>IF(OR(B839="",I839=""),"",B839*I839)</f>
        <v>1725.15</v>
      </c>
      <c r="N839" s="10" t="s">
        <v>10</v>
      </c>
      <c r="O839" s="9"/>
      <c r="P839" s="9"/>
      <c r="Q839" s="22"/>
      <c r="R839" s="22"/>
      <c r="S839" s="23" t="str">
        <f>IF(AND(ISNUMBER(Q839),Q839&gt;0,ISNUMBER(R839),R839&gt;0),R839/Q839,"")</f>
        <v/>
      </c>
      <c r="T839" s="9"/>
      <c r="U839" s="9"/>
      <c r="V839" s="9"/>
      <c r="W839" s="9"/>
      <c r="X839" s="23">
        <f>IF(ISNUMBER(S839),S839,IF(ISNUMBER(I839),I839,""))</f>
        <v>10.5</v>
      </c>
      <c r="Y839" t="str">
        <f>IF(ISNUMBER(S839),"2025 EIA-923 plant/group proxy",IF(ISNUMBER(I839),"Technology estimate","No thermal heat rate"))</f>
        <v>Technology estimate</v>
      </c>
      <c r="Z839" t="str">
        <f>IF(ISNUMBER(S839),"Review: NOT unit verified",IF(AE839="No match","No EIA match",IF(AF839="Unconfirmed","Unconfirmed EIA candidate","")))</f>
        <v>No EIA match</v>
      </c>
      <c r="AE839" t="s">
        <v>107</v>
      </c>
      <c r="AG839" s="24">
        <f>IF(ISBLANK(S839),S839,I839)</f>
        <v>10.5</v>
      </c>
      <c r="AH839" s="34">
        <f t="shared" si="32"/>
        <v>139570.99999999997</v>
      </c>
      <c r="AI839">
        <f t="shared" si="31"/>
        <v>87159.645678116663</v>
      </c>
      <c r="AJ839" t="b" cm="1">
        <f t="array" ref="AJ839">OR(D839=$AT$2:$AT$8)</f>
        <v>1</v>
      </c>
    </row>
    <row r="840" spans="1:36" x14ac:dyDescent="0.25">
      <c r="A840" s="2" t="s">
        <v>1048</v>
      </c>
      <c r="B840" s="3">
        <v>166.2</v>
      </c>
      <c r="C840" s="2" t="s">
        <v>91</v>
      </c>
      <c r="D840" s="2" t="s">
        <v>91</v>
      </c>
      <c r="E840" s="2" t="s">
        <v>137</v>
      </c>
      <c r="F840" s="4" t="s">
        <v>138</v>
      </c>
      <c r="G840" s="4" t="s">
        <v>139</v>
      </c>
      <c r="H840" s="5">
        <v>9</v>
      </c>
      <c r="I840" s="5">
        <v>10.5</v>
      </c>
      <c r="J840" s="5">
        <v>13</v>
      </c>
      <c r="K840" s="4" t="s">
        <v>111</v>
      </c>
      <c r="L840" s="4" t="s">
        <v>112</v>
      </c>
      <c r="M840" s="6">
        <f>IF(OR(B840="",I840=""),"",B840*I840)</f>
        <v>1745.1</v>
      </c>
      <c r="N840" s="10" t="s">
        <v>10</v>
      </c>
      <c r="O840" s="9"/>
      <c r="P840" s="9"/>
      <c r="Q840" s="22"/>
      <c r="R840" s="22"/>
      <c r="S840" s="23" t="str">
        <f>IF(AND(ISNUMBER(Q840),Q840&gt;0,ISNUMBER(R840),R840&gt;0),R840/Q840,"")</f>
        <v/>
      </c>
      <c r="T840" s="9"/>
      <c r="U840" s="9"/>
      <c r="V840" s="9"/>
      <c r="W840" s="9"/>
      <c r="X840" s="23">
        <f>IF(ISNUMBER(S840),S840,IF(ISNUMBER(I840),I840,""))</f>
        <v>10.5</v>
      </c>
      <c r="Y840" t="str">
        <f>IF(ISNUMBER(S840),"2025 EIA-923 plant/group proxy",IF(ISNUMBER(I840),"Technology estimate","No thermal heat rate"))</f>
        <v>Technology estimate</v>
      </c>
      <c r="Z840" t="str">
        <f>IF(ISNUMBER(S840),"Review: NOT unit verified",IF(AE840="No match","No EIA match",IF(AF840="Unconfirmed","Unconfirmed EIA candidate","")))</f>
        <v>No EIA match</v>
      </c>
      <c r="AE840" t="s">
        <v>107</v>
      </c>
      <c r="AG840" s="24">
        <f>IF(ISBLANK(S840),S840,I840)</f>
        <v>10.5</v>
      </c>
      <c r="AH840" s="34">
        <f t="shared" si="32"/>
        <v>139737.19999999998</v>
      </c>
      <c r="AI840">
        <f t="shared" si="31"/>
        <v>87263.434668033646</v>
      </c>
      <c r="AJ840" t="b" cm="1">
        <f t="array" ref="AJ840">OR(D840=$AT$2:$AT$8)</f>
        <v>1</v>
      </c>
    </row>
    <row r="841" spans="1:36" x14ac:dyDescent="0.25">
      <c r="A841" s="2" t="s">
        <v>1065</v>
      </c>
      <c r="B841" s="3">
        <v>84.9</v>
      </c>
      <c r="C841" s="2" t="s">
        <v>97</v>
      </c>
      <c r="D841" s="2" t="s">
        <v>97</v>
      </c>
      <c r="E841" s="2" t="s">
        <v>137</v>
      </c>
      <c r="F841" s="4" t="s">
        <v>138</v>
      </c>
      <c r="G841" s="4" t="s">
        <v>139</v>
      </c>
      <c r="H841" s="5">
        <v>9</v>
      </c>
      <c r="I841" s="5">
        <v>10.5</v>
      </c>
      <c r="J841" s="5">
        <v>13</v>
      </c>
      <c r="K841" s="4" t="s">
        <v>111</v>
      </c>
      <c r="L841" s="4" t="s">
        <v>112</v>
      </c>
      <c r="M841" s="6">
        <f>IF(OR(B841="",I841=""),"",B841*I841)</f>
        <v>891.45</v>
      </c>
      <c r="N841" s="29" t="s">
        <v>154</v>
      </c>
      <c r="O841" s="9"/>
      <c r="P841" s="9"/>
      <c r="Q841" s="22"/>
      <c r="R841" s="22"/>
      <c r="S841" s="23" t="str">
        <f>IF(AND(ISNUMBER(Q841),Q841&gt;0,ISNUMBER(R841),R841&gt;0),R841/Q841,"")</f>
        <v/>
      </c>
      <c r="T841" s="9"/>
      <c r="U841" s="9"/>
      <c r="V841" s="9"/>
      <c r="W841" s="9" t="s">
        <v>1066</v>
      </c>
      <c r="X841" s="23">
        <f>IF(ISNUMBER(S841),S841,IF(ISNUMBER(I841),I841,""))</f>
        <v>10.5</v>
      </c>
      <c r="Y841" t="str">
        <f>IF(ISNUMBER(S841),"2025 EIA-923 plant/group proxy",IF(ISNUMBER(I841),"Technology estimate","No thermal heat rate"))</f>
        <v>Technology estimate</v>
      </c>
      <c r="Z841" t="str">
        <f>IF(ISNUMBER(S841),"Review: NOT unit verified",IF(AE841="No match","No EIA match",IF(AF841="Unconfirmed","Unconfirmed EIA candidate","")))</f>
        <v>Unconfirmed EIA candidate</v>
      </c>
      <c r="AA841" s="26">
        <v>0.59809999999999997</v>
      </c>
      <c r="AB841" t="s">
        <v>166</v>
      </c>
      <c r="AC841" t="s">
        <v>1067</v>
      </c>
      <c r="AD841" s="26">
        <v>676.8</v>
      </c>
      <c r="AE841" t="s">
        <v>157</v>
      </c>
      <c r="AF841" t="s">
        <v>158</v>
      </c>
      <c r="AG841" s="24">
        <f>IF(ISBLANK(S841),S841,I841)</f>
        <v>10.5</v>
      </c>
      <c r="AH841" s="34">
        <f t="shared" si="32"/>
        <v>139822.09999999998</v>
      </c>
      <c r="AI841">
        <f t="shared" si="31"/>
        <v>87316.453231474996</v>
      </c>
      <c r="AJ841" t="b" cm="1">
        <f t="array" ref="AJ841">OR(D841=$AT$2:$AT$8)</f>
        <v>0</v>
      </c>
    </row>
    <row r="842" spans="1:36" x14ac:dyDescent="0.25">
      <c r="A842" s="2" t="s">
        <v>1068</v>
      </c>
      <c r="B842" s="3">
        <v>84.9</v>
      </c>
      <c r="C842" s="2" t="s">
        <v>97</v>
      </c>
      <c r="D842" s="2" t="s">
        <v>97</v>
      </c>
      <c r="E842" s="2" t="s">
        <v>137</v>
      </c>
      <c r="F842" s="4" t="s">
        <v>138</v>
      </c>
      <c r="G842" s="4" t="s">
        <v>139</v>
      </c>
      <c r="H842" s="5">
        <v>9</v>
      </c>
      <c r="I842" s="5">
        <v>10.5</v>
      </c>
      <c r="J842" s="5">
        <v>13</v>
      </c>
      <c r="K842" s="4" t="s">
        <v>111</v>
      </c>
      <c r="L842" s="4" t="s">
        <v>112</v>
      </c>
      <c r="M842" s="6">
        <f>IF(OR(B842="",I842=""),"",B842*I842)</f>
        <v>891.45</v>
      </c>
      <c r="N842" s="29" t="s">
        <v>154</v>
      </c>
      <c r="O842" s="9"/>
      <c r="P842" s="9"/>
      <c r="Q842" s="22"/>
      <c r="R842" s="22"/>
      <c r="S842" s="23" t="str">
        <f>IF(AND(ISNUMBER(Q842),Q842&gt;0,ISNUMBER(R842),R842&gt;0),R842/Q842,"")</f>
        <v/>
      </c>
      <c r="T842" s="9"/>
      <c r="U842" s="9"/>
      <c r="V842" s="9"/>
      <c r="W842" s="9" t="s">
        <v>1066</v>
      </c>
      <c r="X842" s="23">
        <f>IF(ISNUMBER(S842),S842,IF(ISNUMBER(I842),I842,""))</f>
        <v>10.5</v>
      </c>
      <c r="Y842" t="str">
        <f>IF(ISNUMBER(S842),"2025 EIA-923 plant/group proxy",IF(ISNUMBER(I842),"Technology estimate","No thermal heat rate"))</f>
        <v>Technology estimate</v>
      </c>
      <c r="Z842" t="str">
        <f>IF(ISNUMBER(S842),"Review: NOT unit verified",IF(AE842="No match","No EIA match",IF(AF842="Unconfirmed","Unconfirmed EIA candidate","")))</f>
        <v>Unconfirmed EIA candidate</v>
      </c>
      <c r="AA842" s="26">
        <v>0.59809999999999997</v>
      </c>
      <c r="AB842" t="s">
        <v>166</v>
      </c>
      <c r="AC842" t="s">
        <v>1067</v>
      </c>
      <c r="AD842" s="26">
        <v>676.8</v>
      </c>
      <c r="AE842" t="s">
        <v>157</v>
      </c>
      <c r="AF842" t="s">
        <v>158</v>
      </c>
      <c r="AG842" s="24">
        <f>IF(ISBLANK(S842),S842,I842)</f>
        <v>10.5</v>
      </c>
      <c r="AH842" s="34">
        <f t="shared" si="32"/>
        <v>139906.99999999997</v>
      </c>
      <c r="AI842">
        <f t="shared" si="31"/>
        <v>87369.471794916331</v>
      </c>
      <c r="AJ842" t="b" cm="1">
        <f t="array" ref="AJ842">OR(D842=$AT$2:$AT$8)</f>
        <v>0</v>
      </c>
    </row>
    <row r="843" spans="1:36" x14ac:dyDescent="0.25">
      <c r="A843" s="2" t="s">
        <v>1069</v>
      </c>
      <c r="B843" s="3">
        <v>84.9</v>
      </c>
      <c r="C843" s="2" t="s">
        <v>97</v>
      </c>
      <c r="D843" s="2" t="s">
        <v>97</v>
      </c>
      <c r="E843" s="2" t="s">
        <v>137</v>
      </c>
      <c r="F843" s="4" t="s">
        <v>138</v>
      </c>
      <c r="G843" s="4" t="s">
        <v>139</v>
      </c>
      <c r="H843" s="5">
        <v>9</v>
      </c>
      <c r="I843" s="5">
        <v>10.5</v>
      </c>
      <c r="J843" s="5">
        <v>13</v>
      </c>
      <c r="K843" s="4" t="s">
        <v>111</v>
      </c>
      <c r="L843" s="4" t="s">
        <v>112</v>
      </c>
      <c r="M843" s="6">
        <f>IF(OR(B843="",I843=""),"",B843*I843)</f>
        <v>891.45</v>
      </c>
      <c r="N843" s="29" t="s">
        <v>154</v>
      </c>
      <c r="O843" s="9"/>
      <c r="P843" s="9"/>
      <c r="Q843" s="22"/>
      <c r="R843" s="22"/>
      <c r="S843" s="23" t="str">
        <f>IF(AND(ISNUMBER(Q843),Q843&gt;0,ISNUMBER(R843),R843&gt;0),R843/Q843,"")</f>
        <v/>
      </c>
      <c r="T843" s="9"/>
      <c r="U843" s="9"/>
      <c r="V843" s="9"/>
      <c r="W843" s="9" t="s">
        <v>1066</v>
      </c>
      <c r="X843" s="23">
        <f>IF(ISNUMBER(S843),S843,IF(ISNUMBER(I843),I843,""))</f>
        <v>10.5</v>
      </c>
      <c r="Y843" t="str">
        <f>IF(ISNUMBER(S843),"2025 EIA-923 plant/group proxy",IF(ISNUMBER(I843),"Technology estimate","No thermal heat rate"))</f>
        <v>Technology estimate</v>
      </c>
      <c r="Z843" t="str">
        <f>IF(ISNUMBER(S843),"Review: NOT unit verified",IF(AE843="No match","No EIA match",IF(AF843="Unconfirmed","Unconfirmed EIA candidate","")))</f>
        <v>Unconfirmed EIA candidate</v>
      </c>
      <c r="AA843" s="26">
        <v>0.59809999999999997</v>
      </c>
      <c r="AB843" t="s">
        <v>166</v>
      </c>
      <c r="AC843" t="s">
        <v>1067</v>
      </c>
      <c r="AD843" s="26">
        <v>676.8</v>
      </c>
      <c r="AE843" t="s">
        <v>157</v>
      </c>
      <c r="AF843" t="s">
        <v>158</v>
      </c>
      <c r="AG843" s="24">
        <f>IF(ISBLANK(S843),S843,I843)</f>
        <v>10.5</v>
      </c>
      <c r="AH843" s="34">
        <f t="shared" si="32"/>
        <v>139991.89999999997</v>
      </c>
      <c r="AI843">
        <f t="shared" si="31"/>
        <v>87422.490358357682</v>
      </c>
      <c r="AJ843" t="b" cm="1">
        <f t="array" ref="AJ843">OR(D843=$AT$2:$AT$8)</f>
        <v>0</v>
      </c>
    </row>
    <row r="844" spans="1:36" x14ac:dyDescent="0.25">
      <c r="A844" s="2" t="s">
        <v>1070</v>
      </c>
      <c r="B844" s="3">
        <v>84.1</v>
      </c>
      <c r="C844" s="2" t="s">
        <v>97</v>
      </c>
      <c r="D844" s="2" t="s">
        <v>97</v>
      </c>
      <c r="E844" s="2" t="s">
        <v>137</v>
      </c>
      <c r="F844" s="4" t="s">
        <v>138</v>
      </c>
      <c r="G844" s="4" t="s">
        <v>139</v>
      </c>
      <c r="H844" s="5">
        <v>9</v>
      </c>
      <c r="I844" s="5">
        <v>10.5</v>
      </c>
      <c r="J844" s="5">
        <v>13</v>
      </c>
      <c r="K844" s="4" t="s">
        <v>111</v>
      </c>
      <c r="L844" s="4" t="s">
        <v>112</v>
      </c>
      <c r="M844" s="6">
        <f>IF(OR(B844="",I844=""),"",B844*I844)</f>
        <v>883.05</v>
      </c>
      <c r="N844" s="29" t="s">
        <v>154</v>
      </c>
      <c r="O844" s="9"/>
      <c r="P844" s="9"/>
      <c r="Q844" s="22"/>
      <c r="R844" s="22"/>
      <c r="S844" s="23" t="str">
        <f>IF(AND(ISNUMBER(Q844),Q844&gt;0,ISNUMBER(R844),R844&gt;0),R844/Q844,"")</f>
        <v/>
      </c>
      <c r="T844" s="9"/>
      <c r="U844" s="9"/>
      <c r="V844" s="9"/>
      <c r="W844" s="9" t="s">
        <v>1066</v>
      </c>
      <c r="X844" s="23">
        <f>IF(ISNUMBER(S844),S844,IF(ISNUMBER(I844),I844,""))</f>
        <v>10.5</v>
      </c>
      <c r="Y844" t="str">
        <f>IF(ISNUMBER(S844),"2025 EIA-923 plant/group proxy",IF(ISNUMBER(I844),"Technology estimate","No thermal heat rate"))</f>
        <v>Technology estimate</v>
      </c>
      <c r="Z844" t="str">
        <f>IF(ISNUMBER(S844),"Review: NOT unit verified",IF(AE844="No match","No EIA match",IF(AF844="Unconfirmed","Unconfirmed EIA candidate","")))</f>
        <v>Unconfirmed EIA candidate</v>
      </c>
      <c r="AA844" s="26">
        <v>0.59809999999999997</v>
      </c>
      <c r="AB844" t="s">
        <v>166</v>
      </c>
      <c r="AC844" t="s">
        <v>1067</v>
      </c>
      <c r="AD844" s="26">
        <v>676.8</v>
      </c>
      <c r="AE844" t="s">
        <v>157</v>
      </c>
      <c r="AF844" t="s">
        <v>158</v>
      </c>
      <c r="AG844" s="24">
        <f>IF(ISBLANK(S844),S844,I844)</f>
        <v>10.5</v>
      </c>
      <c r="AH844" s="34">
        <f t="shared" si="32"/>
        <v>140075.99999999997</v>
      </c>
      <c r="AI844">
        <f t="shared" si="31"/>
        <v>87475.009335806652</v>
      </c>
      <c r="AJ844" t="b" cm="1">
        <f t="array" ref="AJ844">OR(D844=$AT$2:$AT$8)</f>
        <v>0</v>
      </c>
    </row>
    <row r="845" spans="1:36" x14ac:dyDescent="0.25">
      <c r="A845" s="2" t="s">
        <v>1071</v>
      </c>
      <c r="B845" s="3">
        <v>85.1</v>
      </c>
      <c r="C845" s="2" t="s">
        <v>97</v>
      </c>
      <c r="D845" s="2" t="s">
        <v>97</v>
      </c>
      <c r="E845" s="2" t="s">
        <v>137</v>
      </c>
      <c r="F845" s="4" t="s">
        <v>138</v>
      </c>
      <c r="G845" s="4" t="s">
        <v>139</v>
      </c>
      <c r="H845" s="5">
        <v>9</v>
      </c>
      <c r="I845" s="5">
        <v>10.5</v>
      </c>
      <c r="J845" s="5">
        <v>13</v>
      </c>
      <c r="K845" s="4" t="s">
        <v>111</v>
      </c>
      <c r="L845" s="4" t="s">
        <v>112</v>
      </c>
      <c r="M845" s="6">
        <f>IF(OR(B845="",I845=""),"",B845*I845)</f>
        <v>893.55</v>
      </c>
      <c r="N845" s="29" t="s">
        <v>154</v>
      </c>
      <c r="O845" s="9"/>
      <c r="P845" s="9"/>
      <c r="Q845" s="22"/>
      <c r="R845" s="22"/>
      <c r="S845" s="23" t="str">
        <f>IF(AND(ISNUMBER(Q845),Q845&gt;0,ISNUMBER(R845),R845&gt;0),R845/Q845,"")</f>
        <v/>
      </c>
      <c r="T845" s="9"/>
      <c r="U845" s="9"/>
      <c r="V845" s="9"/>
      <c r="W845" s="9" t="s">
        <v>1066</v>
      </c>
      <c r="X845" s="23">
        <f>IF(ISNUMBER(S845),S845,IF(ISNUMBER(I845),I845,""))</f>
        <v>10.5</v>
      </c>
      <c r="Y845" t="str">
        <f>IF(ISNUMBER(S845),"2025 EIA-923 plant/group proxy",IF(ISNUMBER(I845),"Technology estimate","No thermal heat rate"))</f>
        <v>Technology estimate</v>
      </c>
      <c r="Z845" t="str">
        <f>IF(ISNUMBER(S845),"Review: NOT unit verified",IF(AE845="No match","No EIA match",IF(AF845="Unconfirmed","Unconfirmed EIA candidate","")))</f>
        <v>Unconfirmed EIA candidate</v>
      </c>
      <c r="AA845" s="26">
        <v>0.59809999999999997</v>
      </c>
      <c r="AB845" t="s">
        <v>166</v>
      </c>
      <c r="AC845" t="s">
        <v>1067</v>
      </c>
      <c r="AD845" s="26">
        <v>676.8</v>
      </c>
      <c r="AE845" t="s">
        <v>157</v>
      </c>
      <c r="AF845" t="s">
        <v>158</v>
      </c>
      <c r="AG845" s="24">
        <f>IF(ISBLANK(S845),S845,I845)</f>
        <v>10.5</v>
      </c>
      <c r="AH845" s="34">
        <f t="shared" si="32"/>
        <v>140161.09999999998</v>
      </c>
      <c r="AI845">
        <f t="shared" si="31"/>
        <v>87528.152795746093</v>
      </c>
      <c r="AJ845" t="b" cm="1">
        <f t="array" ref="AJ845">OR(D845=$AT$2:$AT$8)</f>
        <v>0</v>
      </c>
    </row>
    <row r="846" spans="1:36" x14ac:dyDescent="0.25">
      <c r="A846" s="2" t="s">
        <v>1072</v>
      </c>
      <c r="B846" s="3">
        <v>85.1</v>
      </c>
      <c r="C846" s="2" t="s">
        <v>97</v>
      </c>
      <c r="D846" s="2" t="s">
        <v>97</v>
      </c>
      <c r="E846" s="2" t="s">
        <v>137</v>
      </c>
      <c r="F846" s="4" t="s">
        <v>138</v>
      </c>
      <c r="G846" s="4" t="s">
        <v>139</v>
      </c>
      <c r="H846" s="5">
        <v>9</v>
      </c>
      <c r="I846" s="5">
        <v>10.5</v>
      </c>
      <c r="J846" s="5">
        <v>13</v>
      </c>
      <c r="K846" s="4" t="s">
        <v>111</v>
      </c>
      <c r="L846" s="4" t="s">
        <v>112</v>
      </c>
      <c r="M846" s="6">
        <f>IF(OR(B846="",I846=""),"",B846*I846)</f>
        <v>893.55</v>
      </c>
      <c r="N846" s="29" t="s">
        <v>154</v>
      </c>
      <c r="O846" s="9"/>
      <c r="P846" s="9"/>
      <c r="Q846" s="22"/>
      <c r="R846" s="22"/>
      <c r="S846" s="23" t="str">
        <f>IF(AND(ISNUMBER(Q846),Q846&gt;0,ISNUMBER(R846),R846&gt;0),R846/Q846,"")</f>
        <v/>
      </c>
      <c r="T846" s="9"/>
      <c r="U846" s="9"/>
      <c r="V846" s="9"/>
      <c r="W846" s="9" t="s">
        <v>1066</v>
      </c>
      <c r="X846" s="23">
        <f>IF(ISNUMBER(S846),S846,IF(ISNUMBER(I846),I846,""))</f>
        <v>10.5</v>
      </c>
      <c r="Y846" t="str">
        <f>IF(ISNUMBER(S846),"2025 EIA-923 plant/group proxy",IF(ISNUMBER(I846),"Technology estimate","No thermal heat rate"))</f>
        <v>Technology estimate</v>
      </c>
      <c r="Z846" t="str">
        <f>IF(ISNUMBER(S846),"Review: NOT unit verified",IF(AE846="No match","No EIA match",IF(AF846="Unconfirmed","Unconfirmed EIA candidate","")))</f>
        <v>Unconfirmed EIA candidate</v>
      </c>
      <c r="AA846" s="26">
        <v>0.59809999999999997</v>
      </c>
      <c r="AB846" t="s">
        <v>166</v>
      </c>
      <c r="AC846" t="s">
        <v>1067</v>
      </c>
      <c r="AD846" s="26">
        <v>676.8</v>
      </c>
      <c r="AE846" t="s">
        <v>157</v>
      </c>
      <c r="AF846" t="s">
        <v>158</v>
      </c>
      <c r="AG846" s="24">
        <f>IF(ISBLANK(S846),S846,I846)</f>
        <v>10.5</v>
      </c>
      <c r="AH846" s="34">
        <f t="shared" si="32"/>
        <v>140246.19999999998</v>
      </c>
      <c r="AI846">
        <f t="shared" si="31"/>
        <v>87581.296255685535</v>
      </c>
      <c r="AJ846" t="b" cm="1">
        <f t="array" ref="AJ846">OR(D846=$AT$2:$AT$8)</f>
        <v>0</v>
      </c>
    </row>
    <row r="847" spans="1:36" x14ac:dyDescent="0.25">
      <c r="A847" s="2" t="s">
        <v>1073</v>
      </c>
      <c r="B847" s="3">
        <v>83.9</v>
      </c>
      <c r="C847" s="2" t="s">
        <v>97</v>
      </c>
      <c r="D847" s="2" t="s">
        <v>97</v>
      </c>
      <c r="E847" s="2" t="s">
        <v>137</v>
      </c>
      <c r="F847" s="4" t="s">
        <v>138</v>
      </c>
      <c r="G847" s="4" t="s">
        <v>139</v>
      </c>
      <c r="H847" s="5">
        <v>9</v>
      </c>
      <c r="I847" s="5">
        <v>10.5</v>
      </c>
      <c r="J847" s="5">
        <v>13</v>
      </c>
      <c r="K847" s="4" t="s">
        <v>111</v>
      </c>
      <c r="L847" s="4" t="s">
        <v>112</v>
      </c>
      <c r="M847" s="6">
        <f>IF(OR(B847="",I847=""),"",B847*I847)</f>
        <v>880.95</v>
      </c>
      <c r="N847" s="29" t="s">
        <v>154</v>
      </c>
      <c r="O847" s="9"/>
      <c r="P847" s="9"/>
      <c r="Q847" s="22"/>
      <c r="R847" s="22"/>
      <c r="S847" s="23" t="str">
        <f>IF(AND(ISNUMBER(Q847),Q847&gt;0,ISNUMBER(R847),R847&gt;0),R847/Q847,"")</f>
        <v/>
      </c>
      <c r="T847" s="9"/>
      <c r="U847" s="9"/>
      <c r="V847" s="9"/>
      <c r="W847" s="9" t="s">
        <v>1066</v>
      </c>
      <c r="X847" s="23">
        <f>IF(ISNUMBER(S847),S847,IF(ISNUMBER(I847),I847,""))</f>
        <v>10.5</v>
      </c>
      <c r="Y847" t="str">
        <f>IF(ISNUMBER(S847),"2025 EIA-923 plant/group proxy",IF(ISNUMBER(I847),"Technology estimate","No thermal heat rate"))</f>
        <v>Technology estimate</v>
      </c>
      <c r="Z847" t="str">
        <f>IF(ISNUMBER(S847),"Review: NOT unit verified",IF(AE847="No match","No EIA match",IF(AF847="Unconfirmed","Unconfirmed EIA candidate","")))</f>
        <v>Unconfirmed EIA candidate</v>
      </c>
      <c r="AA847" s="26">
        <v>0.59809999999999997</v>
      </c>
      <c r="AB847" t="s">
        <v>166</v>
      </c>
      <c r="AC847" t="s">
        <v>1067</v>
      </c>
      <c r="AD847" s="26">
        <v>676.8</v>
      </c>
      <c r="AE847" t="s">
        <v>157</v>
      </c>
      <c r="AF847" t="s">
        <v>158</v>
      </c>
      <c r="AG847" s="24">
        <f>IF(ISBLANK(S847),S847,I847)</f>
        <v>10.5</v>
      </c>
      <c r="AH847" s="34">
        <f t="shared" si="32"/>
        <v>140330.09999999998</v>
      </c>
      <c r="AI847">
        <f t="shared" si="31"/>
        <v>87633.690336636399</v>
      </c>
      <c r="AJ847" t="b" cm="1">
        <f t="array" ref="AJ847">OR(D847=$AT$2:$AT$8)</f>
        <v>0</v>
      </c>
    </row>
    <row r="848" spans="1:36" x14ac:dyDescent="0.25">
      <c r="A848" s="2" t="s">
        <v>1074</v>
      </c>
      <c r="B848" s="3">
        <v>83.9</v>
      </c>
      <c r="C848" s="2" t="s">
        <v>97</v>
      </c>
      <c r="D848" s="2" t="s">
        <v>97</v>
      </c>
      <c r="E848" s="2" t="s">
        <v>137</v>
      </c>
      <c r="F848" s="4" t="s">
        <v>138</v>
      </c>
      <c r="G848" s="4" t="s">
        <v>139</v>
      </c>
      <c r="H848" s="5">
        <v>9</v>
      </c>
      <c r="I848" s="5">
        <v>10.5</v>
      </c>
      <c r="J848" s="5">
        <v>13</v>
      </c>
      <c r="K848" s="4" t="s">
        <v>111</v>
      </c>
      <c r="L848" s="4" t="s">
        <v>112</v>
      </c>
      <c r="M848" s="6">
        <f>IF(OR(B848="",I848=""),"",B848*I848)</f>
        <v>880.95</v>
      </c>
      <c r="N848" s="29" t="s">
        <v>154</v>
      </c>
      <c r="O848" s="9"/>
      <c r="P848" s="9"/>
      <c r="Q848" s="22"/>
      <c r="R848" s="22"/>
      <c r="S848" s="23" t="str">
        <f>IF(AND(ISNUMBER(Q848),Q848&gt;0,ISNUMBER(R848),R848&gt;0),R848/Q848,"")</f>
        <v/>
      </c>
      <c r="T848" s="9"/>
      <c r="U848" s="9"/>
      <c r="V848" s="9"/>
      <c r="W848" s="9" t="s">
        <v>1066</v>
      </c>
      <c r="X848" s="23">
        <f>IF(ISNUMBER(S848),S848,IF(ISNUMBER(I848),I848,""))</f>
        <v>10.5</v>
      </c>
      <c r="Y848" t="str">
        <f>IF(ISNUMBER(S848),"2025 EIA-923 plant/group proxy",IF(ISNUMBER(I848),"Technology estimate","No thermal heat rate"))</f>
        <v>Technology estimate</v>
      </c>
      <c r="Z848" t="str">
        <f>IF(ISNUMBER(S848),"Review: NOT unit verified",IF(AE848="No match","No EIA match",IF(AF848="Unconfirmed","Unconfirmed EIA candidate","")))</f>
        <v>Unconfirmed EIA candidate</v>
      </c>
      <c r="AA848" s="26">
        <v>0.59809999999999997</v>
      </c>
      <c r="AB848" t="s">
        <v>166</v>
      </c>
      <c r="AC848" t="s">
        <v>1067</v>
      </c>
      <c r="AD848" s="26">
        <v>676.8</v>
      </c>
      <c r="AE848" t="s">
        <v>157</v>
      </c>
      <c r="AF848" t="s">
        <v>158</v>
      </c>
      <c r="AG848" s="24">
        <f>IF(ISBLANK(S848),S848,I848)</f>
        <v>10.5</v>
      </c>
      <c r="AH848" s="34">
        <f t="shared" si="32"/>
        <v>140413.99999999997</v>
      </c>
      <c r="AI848">
        <f t="shared" si="31"/>
        <v>87686.084417587277</v>
      </c>
      <c r="AJ848" t="b" cm="1">
        <f t="array" ref="AJ848">OR(D848=$AT$2:$AT$8)</f>
        <v>0</v>
      </c>
    </row>
    <row r="849" spans="1:36" x14ac:dyDescent="0.25">
      <c r="A849" s="2" t="s">
        <v>1271</v>
      </c>
      <c r="B849" s="3">
        <v>2</v>
      </c>
      <c r="C849" s="2" t="s">
        <v>228</v>
      </c>
      <c r="D849" s="2" t="s">
        <v>237</v>
      </c>
      <c r="E849" s="2" t="s">
        <v>137</v>
      </c>
      <c r="F849" s="4" t="s">
        <v>138</v>
      </c>
      <c r="G849" s="4" t="s">
        <v>139</v>
      </c>
      <c r="H849" s="5">
        <v>9</v>
      </c>
      <c r="I849" s="5">
        <v>10.5</v>
      </c>
      <c r="J849" s="5">
        <v>13</v>
      </c>
      <c r="K849" s="4" t="s">
        <v>111</v>
      </c>
      <c r="L849" s="4" t="s">
        <v>112</v>
      </c>
      <c r="M849" s="6">
        <f>IF(OR(B849="",I849=""),"",B849*I849)</f>
        <v>21</v>
      </c>
      <c r="N849" s="10" t="s">
        <v>10</v>
      </c>
      <c r="O849" s="9"/>
      <c r="P849" s="9"/>
      <c r="Q849" s="22"/>
      <c r="R849" s="22"/>
      <c r="S849" s="23" t="str">
        <f>IF(AND(ISNUMBER(Q849),Q849&gt;0,ISNUMBER(R849),R849&gt;0),R849/Q849,"")</f>
        <v/>
      </c>
      <c r="T849" s="9"/>
      <c r="U849" s="9"/>
      <c r="V849" s="9"/>
      <c r="W849" s="9"/>
      <c r="X849" s="23">
        <f>IF(ISNUMBER(S849),S849,IF(ISNUMBER(I849),I849,""))</f>
        <v>10.5</v>
      </c>
      <c r="Y849" t="str">
        <f>IF(ISNUMBER(S849),"2025 EIA-923 plant/group proxy",IF(ISNUMBER(I849),"Technology estimate","No thermal heat rate"))</f>
        <v>Technology estimate</v>
      </c>
      <c r="Z849" t="str">
        <f>IF(ISNUMBER(S849),"Review: NOT unit verified",IF(AE849="No match","No EIA match",IF(AF849="Unconfirmed","Unconfirmed EIA candidate","")))</f>
        <v>No EIA match</v>
      </c>
      <c r="AE849" t="s">
        <v>107</v>
      </c>
      <c r="AG849" s="24">
        <f>IF(ISBLANK(S849),S849,I849)</f>
        <v>10.5</v>
      </c>
      <c r="AH849" s="34">
        <f t="shared" si="32"/>
        <v>140415.99999999997</v>
      </c>
      <c r="AI849">
        <f t="shared" si="31"/>
        <v>87687.33338256822</v>
      </c>
      <c r="AJ849" t="b" cm="1">
        <f t="array" ref="AJ849">OR(D849=$AT$2:$AT$8)</f>
        <v>0</v>
      </c>
    </row>
    <row r="850" spans="1:36" x14ac:dyDescent="0.25">
      <c r="A850" s="2" t="s">
        <v>1379</v>
      </c>
      <c r="B850" s="3">
        <v>4.3</v>
      </c>
      <c r="C850" s="2" t="s">
        <v>209</v>
      </c>
      <c r="D850" s="2" t="s">
        <v>81</v>
      </c>
      <c r="E850" s="2" t="s">
        <v>137</v>
      </c>
      <c r="F850" s="4" t="s">
        <v>138</v>
      </c>
      <c r="G850" s="4" t="s">
        <v>139</v>
      </c>
      <c r="H850" s="5">
        <v>9</v>
      </c>
      <c r="I850" s="5">
        <v>10.5</v>
      </c>
      <c r="J850" s="5">
        <v>13</v>
      </c>
      <c r="K850" s="4" t="s">
        <v>111</v>
      </c>
      <c r="L850" s="4" t="s">
        <v>112</v>
      </c>
      <c r="M850" s="6">
        <f>IF(OR(B850="",I850=""),"",B850*I850)</f>
        <v>45.15</v>
      </c>
      <c r="N850" s="29" t="s">
        <v>154</v>
      </c>
      <c r="O850" s="9"/>
      <c r="P850" s="9"/>
      <c r="Q850" s="22"/>
      <c r="R850" s="22"/>
      <c r="S850" s="23" t="str">
        <f>IF(AND(ISNUMBER(Q850),Q850&gt;0,ISNUMBER(R850),R850&gt;0),R850/Q850,"")</f>
        <v/>
      </c>
      <c r="T850" s="9"/>
      <c r="U850" s="9"/>
      <c r="V850" s="9"/>
      <c r="W850" s="9" t="s">
        <v>1380</v>
      </c>
      <c r="X850" s="23">
        <f>IF(ISNUMBER(S850),S850,IF(ISNUMBER(I850),I850,""))</f>
        <v>10.5</v>
      </c>
      <c r="Y850" t="str">
        <f>IF(ISNUMBER(S850),"2025 EIA-923 plant/group proxy",IF(ISNUMBER(I850),"Technology estimate","No thermal heat rate"))</f>
        <v>Technology estimate</v>
      </c>
      <c r="Z850" t="str">
        <f>IF(ISNUMBER(S850),"Review: NOT unit verified",IF(AE850="No match","No EIA match",IF(AF850="Unconfirmed","Unconfirmed EIA candidate","")))</f>
        <v>Unconfirmed EIA candidate</v>
      </c>
      <c r="AA850" s="26">
        <v>0.3866</v>
      </c>
      <c r="AB850" t="s">
        <v>1381</v>
      </c>
      <c r="AC850" t="s">
        <v>1382</v>
      </c>
      <c r="AD850" s="26">
        <v>220</v>
      </c>
      <c r="AE850" t="s">
        <v>157</v>
      </c>
      <c r="AF850" t="s">
        <v>158</v>
      </c>
      <c r="AG850" s="24">
        <f>IF(ISBLANK(S850),S850,I850)</f>
        <v>10.5</v>
      </c>
      <c r="AH850" s="34">
        <f t="shared" si="32"/>
        <v>140420.29999999996</v>
      </c>
      <c r="AI850">
        <f t="shared" si="31"/>
        <v>87690.018657277251</v>
      </c>
      <c r="AJ850" t="b" cm="1">
        <f t="array" ref="AJ850">OR(D850=$AT$2:$AT$8)</f>
        <v>0</v>
      </c>
    </row>
    <row r="851" spans="1:36" x14ac:dyDescent="0.25">
      <c r="A851" s="2" t="s">
        <v>1491</v>
      </c>
      <c r="B851" s="3">
        <v>161.6</v>
      </c>
      <c r="C851" s="2" t="s">
        <v>97</v>
      </c>
      <c r="D851" s="2" t="s">
        <v>97</v>
      </c>
      <c r="E851" s="2" t="s">
        <v>137</v>
      </c>
      <c r="F851" s="4" t="s">
        <v>138</v>
      </c>
      <c r="G851" s="4" t="s">
        <v>139</v>
      </c>
      <c r="H851" s="5">
        <v>9</v>
      </c>
      <c r="I851" s="5">
        <v>10.5</v>
      </c>
      <c r="J851" s="5">
        <v>13</v>
      </c>
      <c r="K851" s="4" t="s">
        <v>111</v>
      </c>
      <c r="L851" s="4" t="s">
        <v>112</v>
      </c>
      <c r="M851" s="6">
        <f>IF(OR(B851="",I851=""),"",B851*I851)</f>
        <v>1696.8</v>
      </c>
      <c r="N851" s="29" t="s">
        <v>154</v>
      </c>
      <c r="O851" s="9"/>
      <c r="P851" s="9"/>
      <c r="Q851" s="22"/>
      <c r="R851" s="22"/>
      <c r="S851" s="23" t="str">
        <f>IF(AND(ISNUMBER(Q851),Q851&gt;0,ISNUMBER(R851),R851&gt;0),R851/Q851,"")</f>
        <v/>
      </c>
      <c r="T851" s="9"/>
      <c r="U851" s="9"/>
      <c r="V851" s="9"/>
      <c r="W851" s="9" t="s">
        <v>1492</v>
      </c>
      <c r="X851" s="23">
        <f>IF(ISNUMBER(S851),S851,IF(ISNUMBER(I851),I851,""))</f>
        <v>10.5</v>
      </c>
      <c r="Y851" t="str">
        <f>IF(ISNUMBER(S851),"2025 EIA-923 plant/group proxy",IF(ISNUMBER(I851),"Technology estimate","No thermal heat rate"))</f>
        <v>Technology estimate</v>
      </c>
      <c r="Z851" t="str">
        <f>IF(ISNUMBER(S851),"Review: NOT unit verified",IF(AE851="No match","No EIA match",IF(AF851="Unconfirmed","Unconfirmed EIA candidate","")))</f>
        <v>Unconfirmed EIA candidate</v>
      </c>
      <c r="AA851" s="26">
        <v>0.82750000000000001</v>
      </c>
      <c r="AB851" t="s">
        <v>250</v>
      </c>
      <c r="AC851" t="s">
        <v>1493</v>
      </c>
      <c r="AD851" s="26">
        <v>224</v>
      </c>
      <c r="AE851" t="s">
        <v>157</v>
      </c>
      <c r="AF851" t="s">
        <v>158</v>
      </c>
      <c r="AG851" s="24">
        <f>IF(ISBLANK(S851),S851,I851)</f>
        <v>10.5</v>
      </c>
      <c r="AH851" s="34">
        <f t="shared" si="32"/>
        <v>140581.89999999997</v>
      </c>
      <c r="AI851">
        <f t="shared" si="31"/>
        <v>87790.935027738058</v>
      </c>
      <c r="AJ851" t="b" cm="1">
        <f t="array" ref="AJ851">OR(D851=$AT$2:$AT$8)</f>
        <v>0</v>
      </c>
    </row>
    <row r="852" spans="1:36" x14ac:dyDescent="0.25">
      <c r="A852" s="2" t="s">
        <v>1494</v>
      </c>
      <c r="B852" s="3">
        <v>163.5</v>
      </c>
      <c r="C852" s="2" t="s">
        <v>97</v>
      </c>
      <c r="D852" s="2" t="s">
        <v>97</v>
      </c>
      <c r="E852" s="2" t="s">
        <v>137</v>
      </c>
      <c r="F852" s="4" t="s">
        <v>138</v>
      </c>
      <c r="G852" s="4" t="s">
        <v>139</v>
      </c>
      <c r="H852" s="5">
        <v>9</v>
      </c>
      <c r="I852" s="5">
        <v>10.5</v>
      </c>
      <c r="J852" s="5">
        <v>13</v>
      </c>
      <c r="K852" s="4" t="s">
        <v>111</v>
      </c>
      <c r="L852" s="4" t="s">
        <v>112</v>
      </c>
      <c r="M852" s="6">
        <f>IF(OR(B852="",I852=""),"",B852*I852)</f>
        <v>1716.75</v>
      </c>
      <c r="N852" s="29" t="s">
        <v>154</v>
      </c>
      <c r="O852" s="9"/>
      <c r="P852" s="9"/>
      <c r="Q852" s="22"/>
      <c r="R852" s="22"/>
      <c r="S852" s="23" t="str">
        <f>IF(AND(ISNUMBER(Q852),Q852&gt;0,ISNUMBER(R852),R852&gt;0),R852/Q852,"")</f>
        <v/>
      </c>
      <c r="T852" s="9"/>
      <c r="U852" s="9"/>
      <c r="V852" s="9"/>
      <c r="W852" s="9" t="s">
        <v>1492</v>
      </c>
      <c r="X852" s="23">
        <f>IF(ISNUMBER(S852),S852,IF(ISNUMBER(I852),I852,""))</f>
        <v>10.5</v>
      </c>
      <c r="Y852" t="str">
        <f>IF(ISNUMBER(S852),"2025 EIA-923 plant/group proxy",IF(ISNUMBER(I852),"Technology estimate","No thermal heat rate"))</f>
        <v>Technology estimate</v>
      </c>
      <c r="Z852" t="str">
        <f>IF(ISNUMBER(S852),"Review: NOT unit verified",IF(AE852="No match","No EIA match",IF(AF852="Unconfirmed","Unconfirmed EIA candidate","")))</f>
        <v>Unconfirmed EIA candidate</v>
      </c>
      <c r="AA852" s="26">
        <v>0.82750000000000001</v>
      </c>
      <c r="AB852" t="s">
        <v>250</v>
      </c>
      <c r="AC852" t="s">
        <v>1493</v>
      </c>
      <c r="AD852" s="26">
        <v>224</v>
      </c>
      <c r="AE852" t="s">
        <v>157</v>
      </c>
      <c r="AF852" t="s">
        <v>158</v>
      </c>
      <c r="AG852" s="24">
        <f>IF(ISBLANK(S852),S852,I852)</f>
        <v>10.5</v>
      </c>
      <c r="AH852" s="34">
        <f t="shared" si="32"/>
        <v>140745.39999999997</v>
      </c>
      <c r="AI852">
        <f t="shared" si="31"/>
        <v>87893.037914930756</v>
      </c>
      <c r="AJ852" t="b" cm="1">
        <f t="array" ref="AJ852">OR(D852=$AT$2:$AT$8)</f>
        <v>0</v>
      </c>
    </row>
    <row r="853" spans="1:36" x14ac:dyDescent="0.25">
      <c r="A853" s="2" t="s">
        <v>1694</v>
      </c>
      <c r="B853" s="3">
        <v>20</v>
      </c>
      <c r="C853" s="2" t="s">
        <v>228</v>
      </c>
      <c r="D853" s="2" t="s">
        <v>228</v>
      </c>
      <c r="E853" s="2" t="s">
        <v>137</v>
      </c>
      <c r="F853" s="4" t="s">
        <v>138</v>
      </c>
      <c r="G853" s="4" t="s">
        <v>139</v>
      </c>
      <c r="H853" s="5">
        <v>9</v>
      </c>
      <c r="I853" s="5">
        <v>10.5</v>
      </c>
      <c r="J853" s="5">
        <v>13</v>
      </c>
      <c r="K853" s="4" t="s">
        <v>111</v>
      </c>
      <c r="L853" s="4" t="s">
        <v>112</v>
      </c>
      <c r="M853" s="6">
        <f>IF(OR(B853="",I853=""),"",B853*I853)</f>
        <v>210</v>
      </c>
      <c r="N853" s="10" t="s">
        <v>10</v>
      </c>
      <c r="O853" s="9"/>
      <c r="P853" s="9"/>
      <c r="Q853" s="22"/>
      <c r="R853" s="22"/>
      <c r="S853" s="23" t="str">
        <f>IF(AND(ISNUMBER(Q853),Q853&gt;0,ISNUMBER(R853),R853&gt;0),R853/Q853,"")</f>
        <v/>
      </c>
      <c r="T853" s="9"/>
      <c r="U853" s="9"/>
      <c r="V853" s="9"/>
      <c r="W853" s="9"/>
      <c r="X853" s="23">
        <f>IF(ISNUMBER(S853),S853,IF(ISNUMBER(I853),I853,""))</f>
        <v>10.5</v>
      </c>
      <c r="Y853" t="str">
        <f>IF(ISNUMBER(S853),"2025 EIA-923 plant/group proxy",IF(ISNUMBER(I853),"Technology estimate","No thermal heat rate"))</f>
        <v>Technology estimate</v>
      </c>
      <c r="Z853" t="str">
        <f>IF(ISNUMBER(S853),"Review: NOT unit verified",IF(AE853="No match","No EIA match",IF(AF853="Unconfirmed","Unconfirmed EIA candidate","")))</f>
        <v>No EIA match</v>
      </c>
      <c r="AE853" t="s">
        <v>107</v>
      </c>
      <c r="AG853" s="24">
        <f>IF(ISBLANK(S853),S853,I853)</f>
        <v>10.5</v>
      </c>
      <c r="AH853" s="34">
        <f t="shared" si="32"/>
        <v>140765.39999999997</v>
      </c>
      <c r="AI853">
        <f t="shared" si="31"/>
        <v>87905.52756474026</v>
      </c>
      <c r="AJ853" t="b" cm="1">
        <f t="array" ref="AJ853">OR(D853=$AT$2:$AT$8)</f>
        <v>1</v>
      </c>
    </row>
    <row r="854" spans="1:36" x14ac:dyDescent="0.25">
      <c r="A854" s="2" t="s">
        <v>1803</v>
      </c>
      <c r="B854" s="3">
        <v>3</v>
      </c>
      <c r="C854" s="2" t="s">
        <v>80</v>
      </c>
      <c r="D854" s="2" t="s">
        <v>81</v>
      </c>
      <c r="E854" s="2" t="s">
        <v>137</v>
      </c>
      <c r="F854" s="4" t="s">
        <v>138</v>
      </c>
      <c r="G854" s="4" t="s">
        <v>139</v>
      </c>
      <c r="H854" s="5">
        <v>9</v>
      </c>
      <c r="I854" s="5">
        <v>10.5</v>
      </c>
      <c r="J854" s="5">
        <v>13</v>
      </c>
      <c r="K854" s="4" t="s">
        <v>111</v>
      </c>
      <c r="L854" s="4" t="s">
        <v>112</v>
      </c>
      <c r="M854" s="6">
        <f>IF(OR(B854="",I854=""),"",B854*I854)</f>
        <v>31.5</v>
      </c>
      <c r="N854" s="29" t="s">
        <v>154</v>
      </c>
      <c r="O854" s="9"/>
      <c r="P854" s="9"/>
      <c r="Q854" s="22"/>
      <c r="R854" s="22"/>
      <c r="S854" s="23" t="str">
        <f>IF(AND(ISNUMBER(Q854),Q854&gt;0,ISNUMBER(R854),R854&gt;0),R854/Q854,"")</f>
        <v/>
      </c>
      <c r="T854" s="9"/>
      <c r="U854" s="9"/>
      <c r="V854" s="9"/>
      <c r="W854" s="9" t="s">
        <v>1804</v>
      </c>
      <c r="X854" s="23">
        <f>IF(ISNUMBER(S854),S854,IF(ISNUMBER(I854),I854,""))</f>
        <v>10.5</v>
      </c>
      <c r="Y854" t="str">
        <f>IF(ISNUMBER(S854),"2025 EIA-923 plant/group proxy",IF(ISNUMBER(I854),"Technology estimate","No thermal heat rate"))</f>
        <v>Technology estimate</v>
      </c>
      <c r="Z854" t="str">
        <f>IF(ISNUMBER(S854),"Review: NOT unit verified",IF(AE854="No match","No EIA match",IF(AF854="Unconfirmed","Unconfirmed EIA candidate","")))</f>
        <v>Unconfirmed EIA candidate</v>
      </c>
      <c r="AA854" s="26">
        <v>0.85899999999999999</v>
      </c>
      <c r="AB854" t="s">
        <v>1805</v>
      </c>
      <c r="AC854" t="s">
        <v>1806</v>
      </c>
      <c r="AD854" s="26">
        <v>176</v>
      </c>
      <c r="AE854" t="s">
        <v>157</v>
      </c>
      <c r="AF854" t="s">
        <v>158</v>
      </c>
      <c r="AG854" s="24">
        <f>IF(ISBLANK(S854),S854,I854)</f>
        <v>10.5</v>
      </c>
      <c r="AH854" s="34">
        <f t="shared" si="32"/>
        <v>140768.39999999997</v>
      </c>
      <c r="AI854">
        <f t="shared" si="31"/>
        <v>87907.401012211689</v>
      </c>
      <c r="AJ854" t="b" cm="1">
        <f t="array" ref="AJ854">OR(D854=$AT$2:$AT$8)</f>
        <v>0</v>
      </c>
    </row>
    <row r="855" spans="1:36" x14ac:dyDescent="0.25">
      <c r="A855" s="2" t="s">
        <v>1809</v>
      </c>
      <c r="B855" s="3">
        <v>52.6</v>
      </c>
      <c r="C855" s="2" t="s">
        <v>99</v>
      </c>
      <c r="D855" s="2" t="s">
        <v>81</v>
      </c>
      <c r="E855" s="2" t="s">
        <v>137</v>
      </c>
      <c r="F855" s="4" t="s">
        <v>138</v>
      </c>
      <c r="G855" s="4" t="s">
        <v>139</v>
      </c>
      <c r="H855" s="5">
        <v>9</v>
      </c>
      <c r="I855" s="5">
        <v>10.5</v>
      </c>
      <c r="J855" s="5">
        <v>13</v>
      </c>
      <c r="K855" s="4" t="s">
        <v>111</v>
      </c>
      <c r="L855" s="4" t="s">
        <v>112</v>
      </c>
      <c r="M855" s="6">
        <f>IF(OR(B855="",I855=""),"",B855*I855)</f>
        <v>552.30000000000007</v>
      </c>
      <c r="N855" s="10" t="s">
        <v>10</v>
      </c>
      <c r="O855" s="9"/>
      <c r="P855" s="9"/>
      <c r="Q855" s="22"/>
      <c r="R855" s="22"/>
      <c r="S855" s="23" t="str">
        <f>IF(AND(ISNUMBER(Q855),Q855&gt;0,ISNUMBER(R855),R855&gt;0),R855/Q855,"")</f>
        <v/>
      </c>
      <c r="T855" s="9"/>
      <c r="U855" s="9"/>
      <c r="V855" s="9"/>
      <c r="W855" s="9"/>
      <c r="X855" s="23">
        <f>IF(ISNUMBER(S855),S855,IF(ISNUMBER(I855),I855,""))</f>
        <v>10.5</v>
      </c>
      <c r="Y855" t="str">
        <f>IF(ISNUMBER(S855),"2025 EIA-923 plant/group proxy",IF(ISNUMBER(I855),"Technology estimate","No thermal heat rate"))</f>
        <v>Technology estimate</v>
      </c>
      <c r="Z855" t="str">
        <f>IF(ISNUMBER(S855),"Review: NOT unit verified",IF(AE855="No match","No EIA match",IF(AF855="Unconfirmed","Unconfirmed EIA candidate","")))</f>
        <v>No EIA match</v>
      </c>
      <c r="AE855" t="s">
        <v>107</v>
      </c>
      <c r="AG855" s="24">
        <f>IF(ISBLANK(S855),S855,I855)</f>
        <v>10.5</v>
      </c>
      <c r="AH855" s="34">
        <f t="shared" si="32"/>
        <v>140820.99999999997</v>
      </c>
      <c r="AI855">
        <f t="shared" si="31"/>
        <v>87940.248791210688</v>
      </c>
      <c r="AJ855" t="b" cm="1">
        <f t="array" ref="AJ855">OR(D855=$AT$2:$AT$8)</f>
        <v>0</v>
      </c>
    </row>
    <row r="856" spans="1:36" x14ac:dyDescent="0.25">
      <c r="A856" s="2" t="s">
        <v>1810</v>
      </c>
      <c r="B856" s="3">
        <v>52.7</v>
      </c>
      <c r="C856" s="2" t="s">
        <v>99</v>
      </c>
      <c r="D856" s="2" t="s">
        <v>81</v>
      </c>
      <c r="E856" s="2" t="s">
        <v>137</v>
      </c>
      <c r="F856" s="4" t="s">
        <v>138</v>
      </c>
      <c r="G856" s="4" t="s">
        <v>139</v>
      </c>
      <c r="H856" s="5">
        <v>9</v>
      </c>
      <c r="I856" s="5">
        <v>10.5</v>
      </c>
      <c r="J856" s="5">
        <v>13</v>
      </c>
      <c r="K856" s="4" t="s">
        <v>111</v>
      </c>
      <c r="L856" s="4" t="s">
        <v>112</v>
      </c>
      <c r="M856" s="6">
        <f>IF(OR(B856="",I856=""),"",B856*I856)</f>
        <v>553.35</v>
      </c>
      <c r="N856" s="10" t="s">
        <v>10</v>
      </c>
      <c r="O856" s="9"/>
      <c r="P856" s="9"/>
      <c r="Q856" s="22"/>
      <c r="R856" s="22"/>
      <c r="S856" s="23" t="str">
        <f>IF(AND(ISNUMBER(Q856),Q856&gt;0,ISNUMBER(R856),R856&gt;0),R856/Q856,"")</f>
        <v/>
      </c>
      <c r="T856" s="9"/>
      <c r="U856" s="9"/>
      <c r="V856" s="9"/>
      <c r="W856" s="9"/>
      <c r="X856" s="23">
        <f>IF(ISNUMBER(S856),S856,IF(ISNUMBER(I856),I856,""))</f>
        <v>10.5</v>
      </c>
      <c r="Y856" t="str">
        <f>IF(ISNUMBER(S856),"2025 EIA-923 plant/group proxy",IF(ISNUMBER(I856),"Technology estimate","No thermal heat rate"))</f>
        <v>Technology estimate</v>
      </c>
      <c r="Z856" t="str">
        <f>IF(ISNUMBER(S856),"Review: NOT unit verified",IF(AE856="No match","No EIA match",IF(AF856="Unconfirmed","Unconfirmed EIA candidate","")))</f>
        <v>No EIA match</v>
      </c>
      <c r="AE856" t="s">
        <v>107</v>
      </c>
      <c r="AG856" s="24">
        <f>IF(ISBLANK(S856),S856,I856)</f>
        <v>10.5</v>
      </c>
      <c r="AH856" s="34">
        <f t="shared" si="32"/>
        <v>140873.69999999998</v>
      </c>
      <c r="AI856">
        <f t="shared" si="31"/>
        <v>87973.15901845874</v>
      </c>
      <c r="AJ856" t="b" cm="1">
        <f t="array" ref="AJ856">OR(D856=$AT$2:$AT$8)</f>
        <v>0</v>
      </c>
    </row>
    <row r="857" spans="1:36" x14ac:dyDescent="0.25">
      <c r="A857" s="2" t="s">
        <v>1811</v>
      </c>
      <c r="B857" s="3">
        <v>51.8</v>
      </c>
      <c r="C857" s="2" t="s">
        <v>99</v>
      </c>
      <c r="D857" s="2" t="s">
        <v>81</v>
      </c>
      <c r="E857" s="2" t="s">
        <v>137</v>
      </c>
      <c r="F857" s="4" t="s">
        <v>138</v>
      </c>
      <c r="G857" s="4" t="s">
        <v>139</v>
      </c>
      <c r="H857" s="5">
        <v>9</v>
      </c>
      <c r="I857" s="5">
        <v>10.5</v>
      </c>
      <c r="J857" s="5">
        <v>13</v>
      </c>
      <c r="K857" s="4" t="s">
        <v>111</v>
      </c>
      <c r="L857" s="4" t="s">
        <v>112</v>
      </c>
      <c r="M857" s="6">
        <f>IF(OR(B857="",I857=""),"",B857*I857)</f>
        <v>543.9</v>
      </c>
      <c r="N857" s="10" t="s">
        <v>10</v>
      </c>
      <c r="O857" s="9"/>
      <c r="P857" s="9"/>
      <c r="Q857" s="22"/>
      <c r="R857" s="22"/>
      <c r="S857" s="23" t="str">
        <f>IF(AND(ISNUMBER(Q857),Q857&gt;0,ISNUMBER(R857),R857&gt;0),R857/Q857,"")</f>
        <v/>
      </c>
      <c r="T857" s="9"/>
      <c r="U857" s="9"/>
      <c r="V857" s="9"/>
      <c r="W857" s="9"/>
      <c r="X857" s="23">
        <f>IF(ISNUMBER(S857),S857,IF(ISNUMBER(I857),I857,""))</f>
        <v>10.5</v>
      </c>
      <c r="Y857" t="str">
        <f>IF(ISNUMBER(S857),"2025 EIA-923 plant/group proxy",IF(ISNUMBER(I857),"Technology estimate","No thermal heat rate"))</f>
        <v>Technology estimate</v>
      </c>
      <c r="Z857" t="str">
        <f>IF(ISNUMBER(S857),"Review: NOT unit verified",IF(AE857="No match","No EIA match",IF(AF857="Unconfirmed","Unconfirmed EIA candidate","")))</f>
        <v>No EIA match</v>
      </c>
      <c r="AE857" t="s">
        <v>107</v>
      </c>
      <c r="AG857" s="24">
        <f>IF(ISBLANK(S857),S857,I857)</f>
        <v>10.5</v>
      </c>
      <c r="AH857" s="34">
        <f t="shared" si="32"/>
        <v>140925.49999999997</v>
      </c>
      <c r="AI857">
        <f t="shared" si="31"/>
        <v>88005.507211465345</v>
      </c>
      <c r="AJ857" t="b" cm="1">
        <f t="array" ref="AJ857">OR(D857=$AT$2:$AT$8)</f>
        <v>0</v>
      </c>
    </row>
    <row r="858" spans="1:36" x14ac:dyDescent="0.25">
      <c r="A858" s="2" t="s">
        <v>1812</v>
      </c>
      <c r="B858" s="3">
        <v>53.2</v>
      </c>
      <c r="C858" s="2" t="s">
        <v>99</v>
      </c>
      <c r="D858" s="2" t="s">
        <v>81</v>
      </c>
      <c r="E858" s="2" t="s">
        <v>137</v>
      </c>
      <c r="F858" s="4" t="s">
        <v>138</v>
      </c>
      <c r="G858" s="4" t="s">
        <v>139</v>
      </c>
      <c r="H858" s="5">
        <v>9</v>
      </c>
      <c r="I858" s="5">
        <v>10.5</v>
      </c>
      <c r="J858" s="5">
        <v>13</v>
      </c>
      <c r="K858" s="4" t="s">
        <v>111</v>
      </c>
      <c r="L858" s="4" t="s">
        <v>112</v>
      </c>
      <c r="M858" s="6">
        <f>IF(OR(B858="",I858=""),"",B858*I858)</f>
        <v>558.6</v>
      </c>
      <c r="N858" s="10" t="s">
        <v>10</v>
      </c>
      <c r="O858" s="9"/>
      <c r="P858" s="9"/>
      <c r="Q858" s="22"/>
      <c r="R858" s="22"/>
      <c r="S858" s="23" t="str">
        <f>IF(AND(ISNUMBER(Q858),Q858&gt;0,ISNUMBER(R858),R858&gt;0),R858/Q858,"")</f>
        <v/>
      </c>
      <c r="T858" s="9"/>
      <c r="U858" s="9"/>
      <c r="V858" s="9"/>
      <c r="W858" s="9"/>
      <c r="X858" s="23">
        <f>IF(ISNUMBER(S858),S858,IF(ISNUMBER(I858),I858,""))</f>
        <v>10.5</v>
      </c>
      <c r="Y858" t="str">
        <f>IF(ISNUMBER(S858),"2025 EIA-923 plant/group proxy",IF(ISNUMBER(I858),"Technology estimate","No thermal heat rate"))</f>
        <v>Technology estimate</v>
      </c>
      <c r="Z858" t="str">
        <f>IF(ISNUMBER(S858),"Review: NOT unit verified",IF(AE858="No match","No EIA match",IF(AF858="Unconfirmed","Unconfirmed EIA candidate","")))</f>
        <v>No EIA match</v>
      </c>
      <c r="AE858" t="s">
        <v>107</v>
      </c>
      <c r="AG858" s="24">
        <f>IF(ISBLANK(S858),S858,I858)</f>
        <v>10.5</v>
      </c>
      <c r="AH858" s="34">
        <f t="shared" si="32"/>
        <v>140978.69999999998</v>
      </c>
      <c r="AI858">
        <f t="shared" si="31"/>
        <v>88038.729679958633</v>
      </c>
      <c r="AJ858" t="b" cm="1">
        <f t="array" ref="AJ858">OR(D858=$AT$2:$AT$8)</f>
        <v>0</v>
      </c>
    </row>
    <row r="859" spans="1:36" x14ac:dyDescent="0.25">
      <c r="A859" s="2" t="s">
        <v>1813</v>
      </c>
      <c r="B859" s="3">
        <v>52.6</v>
      </c>
      <c r="C859" s="2" t="s">
        <v>99</v>
      </c>
      <c r="D859" s="2" t="s">
        <v>81</v>
      </c>
      <c r="E859" s="2" t="s">
        <v>137</v>
      </c>
      <c r="F859" s="4" t="s">
        <v>138</v>
      </c>
      <c r="G859" s="4" t="s">
        <v>139</v>
      </c>
      <c r="H859" s="5">
        <v>9</v>
      </c>
      <c r="I859" s="5">
        <v>10.5</v>
      </c>
      <c r="J859" s="5">
        <v>13</v>
      </c>
      <c r="K859" s="4" t="s">
        <v>111</v>
      </c>
      <c r="L859" s="4" t="s">
        <v>112</v>
      </c>
      <c r="M859" s="6">
        <f>IF(OR(B859="",I859=""),"",B859*I859)</f>
        <v>552.30000000000007</v>
      </c>
      <c r="N859" s="10" t="s">
        <v>10</v>
      </c>
      <c r="O859" s="9"/>
      <c r="P859" s="9"/>
      <c r="Q859" s="22"/>
      <c r="R859" s="22"/>
      <c r="S859" s="23" t="str">
        <f>IF(AND(ISNUMBER(Q859),Q859&gt;0,ISNUMBER(R859),R859&gt;0),R859/Q859,"")</f>
        <v/>
      </c>
      <c r="T859" s="9"/>
      <c r="U859" s="9"/>
      <c r="V859" s="9"/>
      <c r="W859" s="9"/>
      <c r="X859" s="23">
        <f>IF(ISNUMBER(S859),S859,IF(ISNUMBER(I859),I859,""))</f>
        <v>10.5</v>
      </c>
      <c r="Y859" t="str">
        <f>IF(ISNUMBER(S859),"2025 EIA-923 plant/group proxy",IF(ISNUMBER(I859),"Technology estimate","No thermal heat rate"))</f>
        <v>Technology estimate</v>
      </c>
      <c r="Z859" t="str">
        <f>IF(ISNUMBER(S859),"Review: NOT unit verified",IF(AE859="No match","No EIA match",IF(AF859="Unconfirmed","Unconfirmed EIA candidate","")))</f>
        <v>No EIA match</v>
      </c>
      <c r="AE859" t="s">
        <v>107</v>
      </c>
      <c r="AG859" s="24">
        <f>IF(ISBLANK(S859),S859,I859)</f>
        <v>10.5</v>
      </c>
      <c r="AH859" s="34">
        <f t="shared" si="32"/>
        <v>141031.29999999999</v>
      </c>
      <c r="AI859">
        <f t="shared" si="31"/>
        <v>88071.577458957632</v>
      </c>
      <c r="AJ859" t="b" cm="1">
        <f t="array" ref="AJ859">OR(D859=$AT$2:$AT$8)</f>
        <v>0</v>
      </c>
    </row>
    <row r="860" spans="1:36" x14ac:dyDescent="0.25">
      <c r="A860" s="2" t="s">
        <v>1855</v>
      </c>
      <c r="B860" s="3">
        <v>173.7</v>
      </c>
      <c r="C860" s="2" t="s">
        <v>99</v>
      </c>
      <c r="D860" s="2" t="s">
        <v>81</v>
      </c>
      <c r="E860" s="2" t="s">
        <v>137</v>
      </c>
      <c r="F860" s="4" t="s">
        <v>138</v>
      </c>
      <c r="G860" s="4" t="s">
        <v>139</v>
      </c>
      <c r="H860" s="5">
        <v>9</v>
      </c>
      <c r="I860" s="5">
        <v>10.5</v>
      </c>
      <c r="J860" s="5">
        <v>13</v>
      </c>
      <c r="K860" s="4" t="s">
        <v>111</v>
      </c>
      <c r="L860" s="4" t="s">
        <v>112</v>
      </c>
      <c r="M860" s="6">
        <f>IF(OR(B860="",I860=""),"",B860*I860)</f>
        <v>1823.85</v>
      </c>
      <c r="N860" s="10" t="s">
        <v>10</v>
      </c>
      <c r="O860" s="9"/>
      <c r="P860" s="9"/>
      <c r="Q860" s="22"/>
      <c r="R860" s="22"/>
      <c r="S860" s="23" t="str">
        <f>IF(AND(ISNUMBER(Q860),Q860&gt;0,ISNUMBER(R860),R860&gt;0),R860/Q860,"")</f>
        <v/>
      </c>
      <c r="T860" s="9"/>
      <c r="U860" s="9"/>
      <c r="V860" s="9"/>
      <c r="W860" s="9"/>
      <c r="X860" s="23">
        <f>IF(ISNUMBER(S860),S860,IF(ISNUMBER(I860),I860,""))</f>
        <v>10.5</v>
      </c>
      <c r="Y860" t="str">
        <f>IF(ISNUMBER(S860),"2025 EIA-923 plant/group proxy",IF(ISNUMBER(I860),"Technology estimate","No thermal heat rate"))</f>
        <v>Technology estimate</v>
      </c>
      <c r="Z860" t="str">
        <f>IF(ISNUMBER(S860),"Review: NOT unit verified",IF(AE860="No match","No EIA match",IF(AF860="Unconfirmed","Unconfirmed EIA candidate","")))</f>
        <v>No EIA match</v>
      </c>
      <c r="AE860" t="s">
        <v>107</v>
      </c>
      <c r="AG860" s="24">
        <f>IF(ISBLANK(S860),S860,I860)</f>
        <v>10.5</v>
      </c>
      <c r="AH860" s="34">
        <f t="shared" si="32"/>
        <v>141205</v>
      </c>
      <c r="AI860">
        <f t="shared" si="31"/>
        <v>88180.05006755318</v>
      </c>
      <c r="AJ860" t="b" cm="1">
        <f t="array" ref="AJ860">OR(D860=$AT$2:$AT$8)</f>
        <v>0</v>
      </c>
    </row>
    <row r="861" spans="1:36" x14ac:dyDescent="0.25">
      <c r="A861" s="2" t="s">
        <v>1856</v>
      </c>
      <c r="B861" s="3">
        <v>173.7</v>
      </c>
      <c r="C861" s="2" t="s">
        <v>99</v>
      </c>
      <c r="D861" s="2" t="s">
        <v>81</v>
      </c>
      <c r="E861" s="2" t="s">
        <v>137</v>
      </c>
      <c r="F861" s="4" t="s">
        <v>138</v>
      </c>
      <c r="G861" s="4" t="s">
        <v>139</v>
      </c>
      <c r="H861" s="5">
        <v>9</v>
      </c>
      <c r="I861" s="5">
        <v>10.5</v>
      </c>
      <c r="J861" s="5">
        <v>13</v>
      </c>
      <c r="K861" s="4" t="s">
        <v>111</v>
      </c>
      <c r="L861" s="4" t="s">
        <v>112</v>
      </c>
      <c r="M861" s="6">
        <f>IF(OR(B861="",I861=""),"",B861*I861)</f>
        <v>1823.85</v>
      </c>
      <c r="N861" s="10" t="s">
        <v>10</v>
      </c>
      <c r="O861" s="9"/>
      <c r="P861" s="9"/>
      <c r="Q861" s="22"/>
      <c r="R861" s="22"/>
      <c r="S861" s="23" t="str">
        <f>IF(AND(ISNUMBER(Q861),Q861&gt;0,ISNUMBER(R861),R861&gt;0),R861/Q861,"")</f>
        <v/>
      </c>
      <c r="T861" s="9"/>
      <c r="U861" s="9"/>
      <c r="V861" s="9"/>
      <c r="W861" s="9"/>
      <c r="X861" s="23">
        <f>IF(ISNUMBER(S861),S861,IF(ISNUMBER(I861),I861,""))</f>
        <v>10.5</v>
      </c>
      <c r="Y861" t="str">
        <f>IF(ISNUMBER(S861),"2025 EIA-923 plant/group proxy",IF(ISNUMBER(I861),"Technology estimate","No thermal heat rate"))</f>
        <v>Technology estimate</v>
      </c>
      <c r="Z861" t="str">
        <f>IF(ISNUMBER(S861),"Review: NOT unit verified",IF(AE861="No match","No EIA match",IF(AF861="Unconfirmed","Unconfirmed EIA candidate","")))</f>
        <v>No EIA match</v>
      </c>
      <c r="AE861" t="s">
        <v>107</v>
      </c>
      <c r="AG861" s="24">
        <f>IF(ISBLANK(S861),S861,I861)</f>
        <v>10.5</v>
      </c>
      <c r="AH861" s="34">
        <f t="shared" si="32"/>
        <v>141378.70000000001</v>
      </c>
      <c r="AI861">
        <f t="shared" si="31"/>
        <v>88288.522676148743</v>
      </c>
      <c r="AJ861" t="b" cm="1">
        <f t="array" ref="AJ861">OR(D861=$AT$2:$AT$8)</f>
        <v>0</v>
      </c>
    </row>
    <row r="862" spans="1:36" x14ac:dyDescent="0.25">
      <c r="A862" s="2" t="s">
        <v>982</v>
      </c>
      <c r="B862" s="3">
        <v>2.2000000000000002</v>
      </c>
      <c r="C862" s="2" t="s">
        <v>99</v>
      </c>
      <c r="D862" s="2" t="s">
        <v>81</v>
      </c>
      <c r="E862" s="2" t="s">
        <v>150</v>
      </c>
      <c r="F862" s="4" t="s">
        <v>151</v>
      </c>
      <c r="G862" s="4" t="s">
        <v>152</v>
      </c>
      <c r="H862" s="5">
        <v>9</v>
      </c>
      <c r="I862" s="5">
        <v>12</v>
      </c>
      <c r="J862" s="5">
        <v>16</v>
      </c>
      <c r="K862" s="4" t="s">
        <v>111</v>
      </c>
      <c r="L862" s="4" t="s">
        <v>153</v>
      </c>
      <c r="M862" s="6">
        <f>IF(OR(B862="",I862=""),"",B862*I862)</f>
        <v>26.400000000000002</v>
      </c>
      <c r="N862" s="28" t="s">
        <v>113</v>
      </c>
      <c r="O862" s="26">
        <v>56464</v>
      </c>
      <c r="P862" s="9" t="s">
        <v>983</v>
      </c>
      <c r="Q862" s="27">
        <v>16917</v>
      </c>
      <c r="R862" s="27">
        <v>177630</v>
      </c>
      <c r="S862" s="23">
        <f>IF(AND(ISNUMBER(Q862),Q862&gt;0,ISNUMBER(R862),R862&gt;0),R862/Q862,"")</f>
        <v>10.500088668203583</v>
      </c>
      <c r="T862" s="9" t="s">
        <v>115</v>
      </c>
      <c r="U862" s="9" t="s">
        <v>321</v>
      </c>
      <c r="V862" s="9" t="s">
        <v>21</v>
      </c>
      <c r="W862" s="9" t="s">
        <v>142</v>
      </c>
      <c r="X862" s="23">
        <f>IF(ISNUMBER(S862),S862,IF(ISNUMBER(I862),I862,""))</f>
        <v>10.500088668203583</v>
      </c>
      <c r="Y862" t="str">
        <f>IF(ISNUMBER(S862),"2025 EIA-923 plant/group proxy",IF(ISNUMBER(I862),"Technology estimate","No thermal heat rate"))</f>
        <v>2025 EIA-923 plant/group proxy</v>
      </c>
      <c r="Z862" t="str">
        <f>IF(ISNUMBER(S862),"Review: NOT unit verified",IF(AE862="No match","No EIA match",IF(AF862="Unconfirmed","Unconfirmed EIA candidate","")))</f>
        <v>Review: NOT unit verified</v>
      </c>
      <c r="AA862" s="26">
        <v>0.70799999999999996</v>
      </c>
      <c r="AB862" t="s">
        <v>131</v>
      </c>
      <c r="AC862" t="s">
        <v>567</v>
      </c>
      <c r="AD862" s="26">
        <v>3.2</v>
      </c>
      <c r="AE862" t="s">
        <v>120</v>
      </c>
      <c r="AF862" t="s">
        <v>145</v>
      </c>
      <c r="AG862" s="27">
        <v>10.5001</v>
      </c>
      <c r="AH862" s="34">
        <f t="shared" si="32"/>
        <v>141380.90000000002</v>
      </c>
      <c r="AI862">
        <f t="shared" si="31"/>
        <v>88289.896537627792</v>
      </c>
      <c r="AJ862" t="b" cm="1">
        <f t="array" ref="AJ862">OR(D862=$AT$2:$AT$8)</f>
        <v>0</v>
      </c>
    </row>
    <row r="863" spans="1:36" x14ac:dyDescent="0.25">
      <c r="A863" s="2" t="s">
        <v>1037</v>
      </c>
      <c r="B863" s="3">
        <v>154.69999999999999</v>
      </c>
      <c r="C863" s="2" t="s">
        <v>78</v>
      </c>
      <c r="D863" s="2" t="s">
        <v>78</v>
      </c>
      <c r="E863" s="2" t="s">
        <v>125</v>
      </c>
      <c r="F863" s="4" t="s">
        <v>126</v>
      </c>
      <c r="G863" s="4" t="s">
        <v>127</v>
      </c>
      <c r="H863" s="5">
        <v>9.1999999999999993</v>
      </c>
      <c r="I863" s="5">
        <v>10.8</v>
      </c>
      <c r="J863" s="5">
        <v>13.5</v>
      </c>
      <c r="K863" s="4" t="s">
        <v>111</v>
      </c>
      <c r="L863" s="4" t="s">
        <v>128</v>
      </c>
      <c r="M863" s="6">
        <f>IF(OR(B863="",I863=""),"",B863*I863)</f>
        <v>1670.76</v>
      </c>
      <c r="N863" s="28" t="s">
        <v>113</v>
      </c>
      <c r="O863" s="26">
        <v>7839</v>
      </c>
      <c r="P863" s="9" t="s">
        <v>1038</v>
      </c>
      <c r="Q863" s="27">
        <v>992525.01</v>
      </c>
      <c r="R863" s="27">
        <v>10449093</v>
      </c>
      <c r="S863" s="23">
        <f>IF(AND(ISNUMBER(Q863),Q863&gt;0,ISNUMBER(R863),R863&gt;0),R863/Q863,"")</f>
        <v>10.527788110850729</v>
      </c>
      <c r="T863" s="9" t="s">
        <v>115</v>
      </c>
      <c r="U863" s="9" t="s">
        <v>130</v>
      </c>
      <c r="V863" s="9" t="s">
        <v>21</v>
      </c>
      <c r="W863" s="9" t="s">
        <v>1027</v>
      </c>
      <c r="X863" s="23">
        <f>IF(ISNUMBER(S863),S863,IF(ISNUMBER(I863),I863,""))</f>
        <v>10.527788110850729</v>
      </c>
      <c r="Y863" t="str">
        <f>IF(ISNUMBER(S863),"2025 EIA-923 plant/group proxy",IF(ISNUMBER(I863),"Technology estimate","No thermal heat rate"))</f>
        <v>2025 EIA-923 plant/group proxy</v>
      </c>
      <c r="Z863" t="str">
        <f>IF(ISNUMBER(S863),"Review: NOT unit verified",IF(AE863="No match","No EIA match",IF(AF863="Unconfirmed","Unconfirmed EIA candidate","")))</f>
        <v>Review: NOT unit verified</v>
      </c>
      <c r="AA863" s="26">
        <v>0.6623</v>
      </c>
      <c r="AB863" t="s">
        <v>201</v>
      </c>
      <c r="AC863" t="s">
        <v>1028</v>
      </c>
      <c r="AD863" s="26">
        <v>788.9</v>
      </c>
      <c r="AE863" t="s">
        <v>120</v>
      </c>
      <c r="AF863" t="s">
        <v>145</v>
      </c>
      <c r="AG863" s="27">
        <v>10.527799999999999</v>
      </c>
      <c r="AH863" s="34">
        <f t="shared" si="32"/>
        <v>141535.60000000003</v>
      </c>
      <c r="AI863">
        <f t="shared" si="31"/>
        <v>88386.503978904308</v>
      </c>
      <c r="AJ863" t="b" cm="1">
        <f t="array" ref="AJ863">OR(D863=$AT$2:$AT$8)</f>
        <v>1</v>
      </c>
    </row>
    <row r="864" spans="1:36" x14ac:dyDescent="0.25">
      <c r="A864" s="2" t="s">
        <v>1039</v>
      </c>
      <c r="B864" s="3">
        <v>153.69999999999999</v>
      </c>
      <c r="C864" s="2" t="s">
        <v>78</v>
      </c>
      <c r="D864" s="2" t="s">
        <v>78</v>
      </c>
      <c r="E864" s="2" t="s">
        <v>125</v>
      </c>
      <c r="F864" s="4" t="s">
        <v>126</v>
      </c>
      <c r="G864" s="4" t="s">
        <v>127</v>
      </c>
      <c r="H864" s="5">
        <v>9.1999999999999993</v>
      </c>
      <c r="I864" s="5">
        <v>10.8</v>
      </c>
      <c r="J864" s="5">
        <v>13.5</v>
      </c>
      <c r="K864" s="4" t="s">
        <v>111</v>
      </c>
      <c r="L864" s="4" t="s">
        <v>128</v>
      </c>
      <c r="M864" s="6">
        <f>IF(OR(B864="",I864=""),"",B864*I864)</f>
        <v>1659.96</v>
      </c>
      <c r="N864" s="28" t="s">
        <v>113</v>
      </c>
      <c r="O864" s="26">
        <v>7839</v>
      </c>
      <c r="P864" s="9" t="s">
        <v>1038</v>
      </c>
      <c r="Q864" s="27">
        <v>992525.01</v>
      </c>
      <c r="R864" s="27">
        <v>10449093</v>
      </c>
      <c r="S864" s="23">
        <f>IF(AND(ISNUMBER(Q864),Q864&gt;0,ISNUMBER(R864),R864&gt;0),R864/Q864,"")</f>
        <v>10.527788110850729</v>
      </c>
      <c r="T864" s="9" t="s">
        <v>115</v>
      </c>
      <c r="U864" s="9" t="s">
        <v>130</v>
      </c>
      <c r="V864" s="9" t="s">
        <v>21</v>
      </c>
      <c r="W864" s="9" t="s">
        <v>1027</v>
      </c>
      <c r="X864" s="23">
        <f>IF(ISNUMBER(S864),S864,IF(ISNUMBER(I864),I864,""))</f>
        <v>10.527788110850729</v>
      </c>
      <c r="Y864" t="str">
        <f>IF(ISNUMBER(S864),"2025 EIA-923 plant/group proxy",IF(ISNUMBER(I864),"Technology estimate","No thermal heat rate"))</f>
        <v>2025 EIA-923 plant/group proxy</v>
      </c>
      <c r="Z864" t="str">
        <f>IF(ISNUMBER(S864),"Review: NOT unit verified",IF(AE864="No match","No EIA match",IF(AF864="Unconfirmed","Unconfirmed EIA candidate","")))</f>
        <v>Review: NOT unit verified</v>
      </c>
      <c r="AA864" s="26">
        <v>0.6623</v>
      </c>
      <c r="AB864" t="s">
        <v>201</v>
      </c>
      <c r="AC864" t="s">
        <v>1028</v>
      </c>
      <c r="AD864" s="26">
        <v>788.9</v>
      </c>
      <c r="AE864" t="s">
        <v>120</v>
      </c>
      <c r="AF864" t="s">
        <v>145</v>
      </c>
      <c r="AG864" s="27">
        <v>10.527799999999999</v>
      </c>
      <c r="AH864" s="34">
        <f t="shared" si="32"/>
        <v>141689.30000000005</v>
      </c>
      <c r="AI864">
        <f t="shared" si="31"/>
        <v>88482.486937690366</v>
      </c>
      <c r="AJ864" t="b" cm="1">
        <f t="array" ref="AJ864">OR(D864=$AT$2:$AT$8)</f>
        <v>1</v>
      </c>
    </row>
    <row r="865" spans="1:36" x14ac:dyDescent="0.25">
      <c r="A865" s="2" t="s">
        <v>1040</v>
      </c>
      <c r="B865" s="3">
        <v>159.80000000000001</v>
      </c>
      <c r="C865" s="2" t="s">
        <v>78</v>
      </c>
      <c r="D865" s="2" t="s">
        <v>78</v>
      </c>
      <c r="E865" s="2" t="s">
        <v>125</v>
      </c>
      <c r="F865" s="4" t="s">
        <v>126</v>
      </c>
      <c r="G865" s="4" t="s">
        <v>127</v>
      </c>
      <c r="H865" s="5">
        <v>9.1999999999999993</v>
      </c>
      <c r="I865" s="5">
        <v>10.8</v>
      </c>
      <c r="J865" s="5">
        <v>13.5</v>
      </c>
      <c r="K865" s="4" t="s">
        <v>111</v>
      </c>
      <c r="L865" s="4" t="s">
        <v>128</v>
      </c>
      <c r="M865" s="6">
        <f>IF(OR(B865="",I865=""),"",B865*I865)</f>
        <v>1725.8400000000001</v>
      </c>
      <c r="N865" s="28" t="s">
        <v>113</v>
      </c>
      <c r="O865" s="26">
        <v>7839</v>
      </c>
      <c r="P865" s="9" t="s">
        <v>1038</v>
      </c>
      <c r="Q865" s="27">
        <v>992525.01</v>
      </c>
      <c r="R865" s="27">
        <v>10449093</v>
      </c>
      <c r="S865" s="23">
        <f>IF(AND(ISNUMBER(Q865),Q865&gt;0,ISNUMBER(R865),R865&gt;0),R865/Q865,"")</f>
        <v>10.527788110850729</v>
      </c>
      <c r="T865" s="9" t="s">
        <v>115</v>
      </c>
      <c r="U865" s="9" t="s">
        <v>130</v>
      </c>
      <c r="V865" s="9" t="s">
        <v>21</v>
      </c>
      <c r="W865" s="9" t="s">
        <v>1027</v>
      </c>
      <c r="X865" s="23">
        <f>IF(ISNUMBER(S865),S865,IF(ISNUMBER(I865),I865,""))</f>
        <v>10.527788110850729</v>
      </c>
      <c r="Y865" t="str">
        <f>IF(ISNUMBER(S865),"2025 EIA-923 plant/group proxy",IF(ISNUMBER(I865),"Technology estimate","No thermal heat rate"))</f>
        <v>2025 EIA-923 plant/group proxy</v>
      </c>
      <c r="Z865" t="str">
        <f>IF(ISNUMBER(S865),"Review: NOT unit verified",IF(AE865="No match","No EIA match",IF(AF865="Unconfirmed","Unconfirmed EIA candidate","")))</f>
        <v>Review: NOT unit verified</v>
      </c>
      <c r="AA865" s="26">
        <v>0.6623</v>
      </c>
      <c r="AB865" t="s">
        <v>201</v>
      </c>
      <c r="AC865" t="s">
        <v>1028</v>
      </c>
      <c r="AD865" s="26">
        <v>788.9</v>
      </c>
      <c r="AE865" t="s">
        <v>120</v>
      </c>
      <c r="AF865" t="s">
        <v>145</v>
      </c>
      <c r="AG865" s="27">
        <v>10.527799999999999</v>
      </c>
      <c r="AH865" s="34">
        <f t="shared" si="32"/>
        <v>141849.10000000003</v>
      </c>
      <c r="AI865">
        <f t="shared" si="31"/>
        <v>88582.279239668293</v>
      </c>
      <c r="AJ865" t="b" cm="1">
        <f t="array" ref="AJ865">OR(D865=$AT$2:$AT$8)</f>
        <v>1</v>
      </c>
    </row>
    <row r="866" spans="1:36" x14ac:dyDescent="0.25">
      <c r="A866" s="2" t="s">
        <v>1041</v>
      </c>
      <c r="B866" s="3">
        <v>160.1</v>
      </c>
      <c r="C866" s="2" t="s">
        <v>78</v>
      </c>
      <c r="D866" s="2" t="s">
        <v>78</v>
      </c>
      <c r="E866" s="2" t="s">
        <v>125</v>
      </c>
      <c r="F866" s="4" t="s">
        <v>126</v>
      </c>
      <c r="G866" s="4" t="s">
        <v>127</v>
      </c>
      <c r="H866" s="5">
        <v>9.1999999999999993</v>
      </c>
      <c r="I866" s="5">
        <v>10.8</v>
      </c>
      <c r="J866" s="5">
        <v>13.5</v>
      </c>
      <c r="K866" s="4" t="s">
        <v>111</v>
      </c>
      <c r="L866" s="4" t="s">
        <v>128</v>
      </c>
      <c r="M866" s="6">
        <f>IF(OR(B866="",I866=""),"",B866*I866)</f>
        <v>1729.0800000000002</v>
      </c>
      <c r="N866" s="28" t="s">
        <v>113</v>
      </c>
      <c r="O866" s="26">
        <v>7839</v>
      </c>
      <c r="P866" s="9" t="s">
        <v>1038</v>
      </c>
      <c r="Q866" s="27">
        <v>992525.01</v>
      </c>
      <c r="R866" s="27">
        <v>10449093</v>
      </c>
      <c r="S866" s="23">
        <f>IF(AND(ISNUMBER(Q866),Q866&gt;0,ISNUMBER(R866),R866&gt;0),R866/Q866,"")</f>
        <v>10.527788110850729</v>
      </c>
      <c r="T866" s="9" t="s">
        <v>115</v>
      </c>
      <c r="U866" s="9" t="s">
        <v>130</v>
      </c>
      <c r="V866" s="9" t="s">
        <v>21</v>
      </c>
      <c r="W866" s="9" t="s">
        <v>1027</v>
      </c>
      <c r="X866" s="23">
        <f>IF(ISNUMBER(S866),S866,IF(ISNUMBER(I866),I866,""))</f>
        <v>10.527788110850729</v>
      </c>
      <c r="Y866" t="str">
        <f>IF(ISNUMBER(S866),"2025 EIA-923 plant/group proxy",IF(ISNUMBER(I866),"Technology estimate","No thermal heat rate"))</f>
        <v>2025 EIA-923 plant/group proxy</v>
      </c>
      <c r="Z866" t="str">
        <f>IF(ISNUMBER(S866),"Review: NOT unit verified",IF(AE866="No match","No EIA match",IF(AF866="Unconfirmed","Unconfirmed EIA candidate","")))</f>
        <v>Review: NOT unit verified</v>
      </c>
      <c r="AA866" s="26">
        <v>0.6623</v>
      </c>
      <c r="AB866" t="s">
        <v>201</v>
      </c>
      <c r="AC866" t="s">
        <v>1028</v>
      </c>
      <c r="AD866" s="26">
        <v>788.9</v>
      </c>
      <c r="AE866" t="s">
        <v>120</v>
      </c>
      <c r="AF866" t="s">
        <v>145</v>
      </c>
      <c r="AG866" s="27">
        <v>10.527799999999999</v>
      </c>
      <c r="AH866" s="34">
        <f t="shared" si="32"/>
        <v>142009.20000000004</v>
      </c>
      <c r="AI866">
        <f t="shared" si="31"/>
        <v>88682.258886393378</v>
      </c>
      <c r="AJ866" t="b" cm="1">
        <f t="array" ref="AJ866">OR(D866=$AT$2:$AT$8)</f>
        <v>1</v>
      </c>
    </row>
    <row r="867" spans="1:36" x14ac:dyDescent="0.25">
      <c r="A867" s="2" t="s">
        <v>1042</v>
      </c>
      <c r="B867" s="3">
        <v>160.6</v>
      </c>
      <c r="C867" s="2" t="s">
        <v>78</v>
      </c>
      <c r="D867" s="2" t="s">
        <v>78</v>
      </c>
      <c r="E867" s="2" t="s">
        <v>125</v>
      </c>
      <c r="F867" s="4" t="s">
        <v>126</v>
      </c>
      <c r="G867" s="4" t="s">
        <v>127</v>
      </c>
      <c r="H867" s="5">
        <v>9.1999999999999993</v>
      </c>
      <c r="I867" s="5">
        <v>10.8</v>
      </c>
      <c r="J867" s="5">
        <v>13.5</v>
      </c>
      <c r="K867" s="4" t="s">
        <v>111</v>
      </c>
      <c r="L867" s="4" t="s">
        <v>128</v>
      </c>
      <c r="M867" s="6">
        <f>IF(OR(B867="",I867=""),"",B867*I867)</f>
        <v>1734.48</v>
      </c>
      <c r="N867" s="28" t="s">
        <v>113</v>
      </c>
      <c r="O867" s="26">
        <v>7839</v>
      </c>
      <c r="P867" s="9" t="s">
        <v>1038</v>
      </c>
      <c r="Q867" s="27">
        <v>992525.01</v>
      </c>
      <c r="R867" s="27">
        <v>10449093</v>
      </c>
      <c r="S867" s="23">
        <f>IF(AND(ISNUMBER(Q867),Q867&gt;0,ISNUMBER(R867),R867&gt;0),R867/Q867,"")</f>
        <v>10.527788110850729</v>
      </c>
      <c r="T867" s="9" t="s">
        <v>115</v>
      </c>
      <c r="U867" s="9" t="s">
        <v>130</v>
      </c>
      <c r="V867" s="9" t="s">
        <v>21</v>
      </c>
      <c r="W867" s="9" t="s">
        <v>1027</v>
      </c>
      <c r="X867" s="23">
        <f>IF(ISNUMBER(S867),S867,IF(ISNUMBER(I867),I867,""))</f>
        <v>10.527788110850729</v>
      </c>
      <c r="Y867" t="str">
        <f>IF(ISNUMBER(S867),"2025 EIA-923 plant/group proxy",IF(ISNUMBER(I867),"Technology estimate","No thermal heat rate"))</f>
        <v>2025 EIA-923 plant/group proxy</v>
      </c>
      <c r="Z867" t="str">
        <f>IF(ISNUMBER(S867),"Review: NOT unit verified",IF(AE867="No match","No EIA match",IF(AF867="Unconfirmed","Unconfirmed EIA candidate","")))</f>
        <v>Review: NOT unit verified</v>
      </c>
      <c r="AA867" s="26">
        <v>0.6623</v>
      </c>
      <c r="AB867" t="s">
        <v>201</v>
      </c>
      <c r="AC867" t="s">
        <v>1028</v>
      </c>
      <c r="AD867" s="26">
        <v>788.9</v>
      </c>
      <c r="AE867" t="s">
        <v>120</v>
      </c>
      <c r="AF867" t="s">
        <v>145</v>
      </c>
      <c r="AG867" s="27">
        <v>10.527799999999999</v>
      </c>
      <c r="AH867" s="34">
        <f t="shared" si="32"/>
        <v>142169.80000000005</v>
      </c>
      <c r="AI867">
        <f t="shared" si="31"/>
        <v>88782.550774363699</v>
      </c>
      <c r="AJ867" t="b" cm="1">
        <f t="array" ref="AJ867">OR(D867=$AT$2:$AT$8)</f>
        <v>1</v>
      </c>
    </row>
    <row r="868" spans="1:36" x14ac:dyDescent="0.25">
      <c r="A868" s="2" t="s">
        <v>1165</v>
      </c>
      <c r="B868" s="3">
        <v>510</v>
      </c>
      <c r="C868" s="2" t="s">
        <v>319</v>
      </c>
      <c r="D868" s="2" t="s">
        <v>319</v>
      </c>
      <c r="E868" s="2" t="s">
        <v>109</v>
      </c>
      <c r="F868" s="4" t="s">
        <v>109</v>
      </c>
      <c r="G868" s="4" t="s">
        <v>110</v>
      </c>
      <c r="H868" s="5">
        <v>9</v>
      </c>
      <c r="I868" s="5">
        <v>10.3</v>
      </c>
      <c r="J868" s="5">
        <v>12</v>
      </c>
      <c r="K868" s="4" t="s">
        <v>111</v>
      </c>
      <c r="L868" s="4" t="s">
        <v>112</v>
      </c>
      <c r="M868" s="6">
        <f>IF(OR(B868="",I868=""),"",B868*I868)</f>
        <v>5253</v>
      </c>
      <c r="N868" s="25" t="s">
        <v>113</v>
      </c>
      <c r="O868" s="26">
        <v>2832</v>
      </c>
      <c r="P868" s="9" t="s">
        <v>1166</v>
      </c>
      <c r="Q868" s="27">
        <v>6702261</v>
      </c>
      <c r="R868" s="27">
        <v>70568590</v>
      </c>
      <c r="S868" s="23">
        <f>IF(AND(ISNUMBER(Q868),Q868&gt;0,ISNUMBER(R868),R868&gt;0),R868/Q868,"")</f>
        <v>10.52907220414126</v>
      </c>
      <c r="T868" s="9" t="s">
        <v>115</v>
      </c>
      <c r="U868" s="9" t="s">
        <v>116</v>
      </c>
      <c r="V868" s="9" t="s">
        <v>21</v>
      </c>
      <c r="W868" s="9" t="s">
        <v>240</v>
      </c>
      <c r="X868" s="23">
        <f>IF(ISNUMBER(S868),S868,IF(ISNUMBER(I868),I868,""))</f>
        <v>10.52907220414126</v>
      </c>
      <c r="Y868" t="str">
        <f>IF(ISNUMBER(S868),"2025 EIA-923 plant/group proxy",IF(ISNUMBER(I868),"Technology estimate","No thermal heat rate"))</f>
        <v>2025 EIA-923 plant/group proxy</v>
      </c>
      <c r="Z868" t="str">
        <f>IF(ISNUMBER(S868),"Review: NOT unit verified",IF(AE868="No match","No EIA match",IF(AF868="Unconfirmed","Unconfirmed EIA candidate","")))</f>
        <v>Review: NOT unit verified</v>
      </c>
      <c r="AA868" s="26">
        <v>1</v>
      </c>
      <c r="AB868" t="s">
        <v>322</v>
      </c>
      <c r="AC868" t="s">
        <v>1167</v>
      </c>
      <c r="AD868" s="26">
        <v>1020</v>
      </c>
      <c r="AE868" t="s">
        <v>120</v>
      </c>
      <c r="AF868" t="s">
        <v>121</v>
      </c>
      <c r="AG868" s="27">
        <v>10.5291</v>
      </c>
      <c r="AH868" s="34">
        <f t="shared" si="32"/>
        <v>142679.80000000005</v>
      </c>
      <c r="AI868">
        <f t="shared" si="31"/>
        <v>89101.036844506074</v>
      </c>
      <c r="AJ868" t="b" cm="1">
        <f t="array" ref="AJ868">OR(D868=$AT$2:$AT$8)</f>
        <v>0</v>
      </c>
    </row>
    <row r="869" spans="1:36" x14ac:dyDescent="0.25">
      <c r="A869" s="2" t="s">
        <v>1168</v>
      </c>
      <c r="B869" s="3">
        <v>510</v>
      </c>
      <c r="C869" s="2" t="s">
        <v>319</v>
      </c>
      <c r="D869" s="2" t="s">
        <v>319</v>
      </c>
      <c r="E869" s="2" t="s">
        <v>109</v>
      </c>
      <c r="F869" s="4" t="s">
        <v>109</v>
      </c>
      <c r="G869" s="4" t="s">
        <v>110</v>
      </c>
      <c r="H869" s="5">
        <v>9</v>
      </c>
      <c r="I869" s="5">
        <v>10.3</v>
      </c>
      <c r="J869" s="5">
        <v>12</v>
      </c>
      <c r="K869" s="4" t="s">
        <v>111</v>
      </c>
      <c r="L869" s="4" t="s">
        <v>112</v>
      </c>
      <c r="M869" s="6">
        <f>IF(OR(B869="",I869=""),"",B869*I869)</f>
        <v>5253</v>
      </c>
      <c r="N869" s="25" t="s">
        <v>113</v>
      </c>
      <c r="O869" s="26">
        <v>2832</v>
      </c>
      <c r="P869" s="9" t="s">
        <v>1166</v>
      </c>
      <c r="Q869" s="27">
        <v>6702261</v>
      </c>
      <c r="R869" s="27">
        <v>70568590</v>
      </c>
      <c r="S869" s="23">
        <f>IF(AND(ISNUMBER(Q869),Q869&gt;0,ISNUMBER(R869),R869&gt;0),R869/Q869,"")</f>
        <v>10.52907220414126</v>
      </c>
      <c r="T869" s="9" t="s">
        <v>115</v>
      </c>
      <c r="U869" s="9" t="s">
        <v>116</v>
      </c>
      <c r="V869" s="9" t="s">
        <v>21</v>
      </c>
      <c r="W869" s="9" t="s">
        <v>240</v>
      </c>
      <c r="X869" s="23">
        <f>IF(ISNUMBER(S869),S869,IF(ISNUMBER(I869),I869,""))</f>
        <v>10.52907220414126</v>
      </c>
      <c r="Y869" t="str">
        <f>IF(ISNUMBER(S869),"2025 EIA-923 plant/group proxy",IF(ISNUMBER(I869),"Technology estimate","No thermal heat rate"))</f>
        <v>2025 EIA-923 plant/group proxy</v>
      </c>
      <c r="Z869" t="str">
        <f>IF(ISNUMBER(S869),"Review: NOT unit verified",IF(AE869="No match","No EIA match",IF(AF869="Unconfirmed","Unconfirmed EIA candidate","")))</f>
        <v>Review: NOT unit verified</v>
      </c>
      <c r="AA869" s="26">
        <v>1</v>
      </c>
      <c r="AB869" t="s">
        <v>322</v>
      </c>
      <c r="AC869" t="s">
        <v>1167</v>
      </c>
      <c r="AD869" s="26">
        <v>1020</v>
      </c>
      <c r="AE869" t="s">
        <v>120</v>
      </c>
      <c r="AF869" t="s">
        <v>121</v>
      </c>
      <c r="AG869" s="27">
        <v>10.5291</v>
      </c>
      <c r="AH869" s="34">
        <f t="shared" si="32"/>
        <v>143189.80000000005</v>
      </c>
      <c r="AI869">
        <f t="shared" si="31"/>
        <v>89419.522914648434</v>
      </c>
      <c r="AJ869" t="b" cm="1">
        <f t="array" ref="AJ869">OR(D869=$AT$2:$AT$8)</f>
        <v>0</v>
      </c>
    </row>
    <row r="870" spans="1:36" x14ac:dyDescent="0.25">
      <c r="A870" s="2" t="s">
        <v>1499</v>
      </c>
      <c r="B870" s="3">
        <v>167.3</v>
      </c>
      <c r="C870" s="2" t="s">
        <v>68</v>
      </c>
      <c r="D870" s="2" t="s">
        <v>58</v>
      </c>
      <c r="E870" s="2" t="s">
        <v>137</v>
      </c>
      <c r="F870" s="4" t="s">
        <v>138</v>
      </c>
      <c r="G870" s="4" t="s">
        <v>139</v>
      </c>
      <c r="H870" s="5">
        <v>9</v>
      </c>
      <c r="I870" s="5">
        <v>10.5</v>
      </c>
      <c r="J870" s="5">
        <v>13</v>
      </c>
      <c r="K870" s="4" t="s">
        <v>111</v>
      </c>
      <c r="L870" s="4" t="s">
        <v>112</v>
      </c>
      <c r="M870" s="6">
        <f>IF(OR(B870="",I870=""),"",B870*I870)</f>
        <v>1756.65</v>
      </c>
      <c r="N870" s="28" t="s">
        <v>113</v>
      </c>
      <c r="O870" s="26">
        <v>7835</v>
      </c>
      <c r="P870" s="9" t="s">
        <v>1500</v>
      </c>
      <c r="Q870" s="27">
        <v>407685.99699999997</v>
      </c>
      <c r="R870" s="27">
        <v>4306303</v>
      </c>
      <c r="S870" s="23">
        <f>IF(AND(ISNUMBER(Q870),Q870&gt;0,ISNUMBER(R870),R870&gt;0),R870/Q870,"")</f>
        <v>10.562793502078513</v>
      </c>
      <c r="T870" s="9" t="s">
        <v>115</v>
      </c>
      <c r="U870" s="9" t="s">
        <v>141</v>
      </c>
      <c r="V870" s="9" t="s">
        <v>21</v>
      </c>
      <c r="W870" s="9" t="s">
        <v>332</v>
      </c>
      <c r="X870" s="23">
        <f>IF(ISNUMBER(S870),S870,IF(ISNUMBER(I870),I870,""))</f>
        <v>10.562793502078513</v>
      </c>
      <c r="Y870" t="str">
        <f>IF(ISNUMBER(S870),"2025 EIA-923 plant/group proxy",IF(ISNUMBER(I870),"Technology estimate","No thermal heat rate"))</f>
        <v>2025 EIA-923 plant/group proxy</v>
      </c>
      <c r="Z870" t="str">
        <f>IF(ISNUMBER(S870),"Review: NOT unit verified",IF(AE870="No match","No EIA match",IF(AF870="Unconfirmed","Unconfirmed EIA candidate","")))</f>
        <v>Review: NOT unit verified</v>
      </c>
      <c r="AA870" s="26">
        <v>0.67930000000000001</v>
      </c>
      <c r="AB870" t="s">
        <v>307</v>
      </c>
      <c r="AC870" t="s">
        <v>567</v>
      </c>
      <c r="AD870" s="26">
        <v>666.7</v>
      </c>
      <c r="AE870" t="s">
        <v>120</v>
      </c>
      <c r="AF870" t="s">
        <v>145</v>
      </c>
      <c r="AG870" s="27">
        <v>10.562799999999999</v>
      </c>
      <c r="AH870" s="34">
        <f t="shared" si="32"/>
        <v>143357.10000000003</v>
      </c>
      <c r="AI870">
        <f t="shared" si="31"/>
        <v>89523.998835304927</v>
      </c>
      <c r="AJ870" t="b" cm="1">
        <f t="array" ref="AJ870">OR(D870=$AT$2:$AT$8)</f>
        <v>0</v>
      </c>
    </row>
    <row r="871" spans="1:36" x14ac:dyDescent="0.25">
      <c r="A871" s="2" t="s">
        <v>1501</v>
      </c>
      <c r="B871" s="3">
        <v>164.1</v>
      </c>
      <c r="C871" s="2" t="s">
        <v>68</v>
      </c>
      <c r="D871" s="2" t="s">
        <v>58</v>
      </c>
      <c r="E871" s="2" t="s">
        <v>137</v>
      </c>
      <c r="F871" s="4" t="s">
        <v>138</v>
      </c>
      <c r="G871" s="4" t="s">
        <v>139</v>
      </c>
      <c r="H871" s="5">
        <v>9</v>
      </c>
      <c r="I871" s="5">
        <v>10.5</v>
      </c>
      <c r="J871" s="5">
        <v>13</v>
      </c>
      <c r="K871" s="4" t="s">
        <v>111</v>
      </c>
      <c r="L871" s="4" t="s">
        <v>112</v>
      </c>
      <c r="M871" s="6">
        <f>IF(OR(B871="",I871=""),"",B871*I871)</f>
        <v>1723.05</v>
      </c>
      <c r="N871" s="28" t="s">
        <v>113</v>
      </c>
      <c r="O871" s="26">
        <v>7835</v>
      </c>
      <c r="P871" s="9" t="s">
        <v>1500</v>
      </c>
      <c r="Q871" s="27">
        <v>407685.99699999997</v>
      </c>
      <c r="R871" s="27">
        <v>4306303</v>
      </c>
      <c r="S871" s="23">
        <f>IF(AND(ISNUMBER(Q871),Q871&gt;0,ISNUMBER(R871),R871&gt;0),R871/Q871,"")</f>
        <v>10.562793502078513</v>
      </c>
      <c r="T871" s="9" t="s">
        <v>115</v>
      </c>
      <c r="U871" s="9" t="s">
        <v>141</v>
      </c>
      <c r="V871" s="9" t="s">
        <v>21</v>
      </c>
      <c r="W871" s="9" t="s">
        <v>332</v>
      </c>
      <c r="X871" s="23">
        <f>IF(ISNUMBER(S871),S871,IF(ISNUMBER(I871),I871,""))</f>
        <v>10.562793502078513</v>
      </c>
      <c r="Y871" t="str">
        <f>IF(ISNUMBER(S871),"2025 EIA-923 plant/group proxy",IF(ISNUMBER(I871),"Technology estimate","No thermal heat rate"))</f>
        <v>2025 EIA-923 plant/group proxy</v>
      </c>
      <c r="Z871" t="str">
        <f>IF(ISNUMBER(S871),"Review: NOT unit verified",IF(AE871="No match","No EIA match",IF(AF871="Unconfirmed","Unconfirmed EIA candidate","")))</f>
        <v>Review: NOT unit verified</v>
      </c>
      <c r="AA871" s="26">
        <v>0.67930000000000001</v>
      </c>
      <c r="AB871" t="s">
        <v>307</v>
      </c>
      <c r="AC871" t="s">
        <v>567</v>
      </c>
      <c r="AD871" s="26">
        <v>666.7</v>
      </c>
      <c r="AE871" t="s">
        <v>120</v>
      </c>
      <c r="AF871" t="s">
        <v>145</v>
      </c>
      <c r="AG871" s="27">
        <v>10.562799999999999</v>
      </c>
      <c r="AH871" s="34">
        <f t="shared" si="32"/>
        <v>143521.20000000004</v>
      </c>
      <c r="AI871">
        <f t="shared" si="31"/>
        <v>89626.476411991913</v>
      </c>
      <c r="AJ871" t="b" cm="1">
        <f t="array" ref="AJ871">OR(D871=$AT$2:$AT$8)</f>
        <v>0</v>
      </c>
    </row>
    <row r="872" spans="1:36" x14ac:dyDescent="0.25">
      <c r="A872" s="2" t="s">
        <v>1502</v>
      </c>
      <c r="B872" s="3">
        <v>169</v>
      </c>
      <c r="C872" s="2" t="s">
        <v>68</v>
      </c>
      <c r="D872" s="2" t="s">
        <v>58</v>
      </c>
      <c r="E872" s="2" t="s">
        <v>137</v>
      </c>
      <c r="F872" s="4" t="s">
        <v>138</v>
      </c>
      <c r="G872" s="4" t="s">
        <v>139</v>
      </c>
      <c r="H872" s="5">
        <v>9</v>
      </c>
      <c r="I872" s="5">
        <v>10.5</v>
      </c>
      <c r="J872" s="5">
        <v>13</v>
      </c>
      <c r="K872" s="4" t="s">
        <v>111</v>
      </c>
      <c r="L872" s="4" t="s">
        <v>112</v>
      </c>
      <c r="M872" s="6">
        <f>IF(OR(B872="",I872=""),"",B872*I872)</f>
        <v>1774.5</v>
      </c>
      <c r="N872" s="28" t="s">
        <v>113</v>
      </c>
      <c r="O872" s="26">
        <v>7835</v>
      </c>
      <c r="P872" s="9" t="s">
        <v>1500</v>
      </c>
      <c r="Q872" s="27">
        <v>407685.99699999997</v>
      </c>
      <c r="R872" s="27">
        <v>4306303</v>
      </c>
      <c r="S872" s="23">
        <f>IF(AND(ISNUMBER(Q872),Q872&gt;0,ISNUMBER(R872),R872&gt;0),R872/Q872,"")</f>
        <v>10.562793502078513</v>
      </c>
      <c r="T872" s="9" t="s">
        <v>115</v>
      </c>
      <c r="U872" s="9" t="s">
        <v>141</v>
      </c>
      <c r="V872" s="9" t="s">
        <v>21</v>
      </c>
      <c r="W872" s="9" t="s">
        <v>332</v>
      </c>
      <c r="X872" s="23">
        <f>IF(ISNUMBER(S872),S872,IF(ISNUMBER(I872),I872,""))</f>
        <v>10.562793502078513</v>
      </c>
      <c r="Y872" t="str">
        <f>IF(ISNUMBER(S872),"2025 EIA-923 plant/group proxy",IF(ISNUMBER(I872),"Technology estimate","No thermal heat rate"))</f>
        <v>2025 EIA-923 plant/group proxy</v>
      </c>
      <c r="Z872" t="str">
        <f>IF(ISNUMBER(S872),"Review: NOT unit verified",IF(AE872="No match","No EIA match",IF(AF872="Unconfirmed","Unconfirmed EIA candidate","")))</f>
        <v>Review: NOT unit verified</v>
      </c>
      <c r="AA872" s="26">
        <v>0.67930000000000001</v>
      </c>
      <c r="AB872" t="s">
        <v>307</v>
      </c>
      <c r="AC872" t="s">
        <v>567</v>
      </c>
      <c r="AD872" s="26">
        <v>666.7</v>
      </c>
      <c r="AE872" t="s">
        <v>120</v>
      </c>
      <c r="AF872" t="s">
        <v>145</v>
      </c>
      <c r="AG872" s="27">
        <v>10.562799999999999</v>
      </c>
      <c r="AH872" s="34">
        <f t="shared" si="32"/>
        <v>143690.20000000004</v>
      </c>
      <c r="AI872">
        <f t="shared" si="31"/>
        <v>89732.013952882218</v>
      </c>
      <c r="AJ872" t="b" cm="1">
        <f t="array" ref="AJ872">OR(D872=$AT$2:$AT$8)</f>
        <v>0</v>
      </c>
    </row>
    <row r="873" spans="1:36" x14ac:dyDescent="0.25">
      <c r="A873" s="2" t="s">
        <v>1503</v>
      </c>
      <c r="B873" s="3">
        <v>166.3</v>
      </c>
      <c r="C873" s="2" t="s">
        <v>68</v>
      </c>
      <c r="D873" s="2" t="s">
        <v>58</v>
      </c>
      <c r="E873" s="2" t="s">
        <v>137</v>
      </c>
      <c r="F873" s="4" t="s">
        <v>138</v>
      </c>
      <c r="G873" s="4" t="s">
        <v>139</v>
      </c>
      <c r="H873" s="5">
        <v>9</v>
      </c>
      <c r="I873" s="5">
        <v>10.5</v>
      </c>
      <c r="J873" s="5">
        <v>13</v>
      </c>
      <c r="K873" s="4" t="s">
        <v>111</v>
      </c>
      <c r="L873" s="4" t="s">
        <v>112</v>
      </c>
      <c r="M873" s="6">
        <f>IF(OR(B873="",I873=""),"",B873*I873)</f>
        <v>1746.15</v>
      </c>
      <c r="N873" s="28" t="s">
        <v>113</v>
      </c>
      <c r="O873" s="26">
        <v>7835</v>
      </c>
      <c r="P873" s="9" t="s">
        <v>1500</v>
      </c>
      <c r="Q873" s="27">
        <v>407685.99699999997</v>
      </c>
      <c r="R873" s="27">
        <v>4306303</v>
      </c>
      <c r="S873" s="23">
        <f>IF(AND(ISNUMBER(Q873),Q873&gt;0,ISNUMBER(R873),R873&gt;0),R873/Q873,"")</f>
        <v>10.562793502078513</v>
      </c>
      <c r="T873" s="9" t="s">
        <v>115</v>
      </c>
      <c r="U873" s="9" t="s">
        <v>141</v>
      </c>
      <c r="V873" s="9" t="s">
        <v>21</v>
      </c>
      <c r="W873" s="9" t="s">
        <v>332</v>
      </c>
      <c r="X873" s="23">
        <f>IF(ISNUMBER(S873),S873,IF(ISNUMBER(I873),I873,""))</f>
        <v>10.562793502078513</v>
      </c>
      <c r="Y873" t="str">
        <f>IF(ISNUMBER(S873),"2025 EIA-923 plant/group proxy",IF(ISNUMBER(I873),"Technology estimate","No thermal heat rate"))</f>
        <v>2025 EIA-923 plant/group proxy</v>
      </c>
      <c r="Z873" t="str">
        <f>IF(ISNUMBER(S873),"Review: NOT unit verified",IF(AE873="No match","No EIA match",IF(AF873="Unconfirmed","Unconfirmed EIA candidate","")))</f>
        <v>Review: NOT unit verified</v>
      </c>
      <c r="AA873" s="26">
        <v>0.67930000000000001</v>
      </c>
      <c r="AB873" t="s">
        <v>307</v>
      </c>
      <c r="AC873" t="s">
        <v>567</v>
      </c>
      <c r="AD873" s="26">
        <v>666.7</v>
      </c>
      <c r="AE873" t="s">
        <v>120</v>
      </c>
      <c r="AF873" t="s">
        <v>145</v>
      </c>
      <c r="AG873" s="27">
        <v>10.562799999999999</v>
      </c>
      <c r="AH873" s="34">
        <f t="shared" si="32"/>
        <v>143856.50000000003</v>
      </c>
      <c r="AI873">
        <f t="shared" si="31"/>
        <v>89835.865391048239</v>
      </c>
      <c r="AJ873" t="b" cm="1">
        <f t="array" ref="AJ873">OR(D873=$AT$2:$AT$8)</f>
        <v>0</v>
      </c>
    </row>
    <row r="874" spans="1:36" x14ac:dyDescent="0.25">
      <c r="A874" s="2" t="s">
        <v>856</v>
      </c>
      <c r="B874" s="3">
        <v>49</v>
      </c>
      <c r="C874" s="2" t="s">
        <v>347</v>
      </c>
      <c r="D874" s="2" t="s">
        <v>347</v>
      </c>
      <c r="E874" s="2" t="s">
        <v>125</v>
      </c>
      <c r="F874" s="4" t="s">
        <v>126</v>
      </c>
      <c r="G874" s="4" t="s">
        <v>127</v>
      </c>
      <c r="H874" s="5">
        <v>9.1999999999999993</v>
      </c>
      <c r="I874" s="5">
        <v>10.8</v>
      </c>
      <c r="J874" s="5">
        <v>13.5</v>
      </c>
      <c r="K874" s="4" t="s">
        <v>111</v>
      </c>
      <c r="L874" s="4" t="s">
        <v>128</v>
      </c>
      <c r="M874" s="6">
        <f>IF(OR(B874="",I874=""),"",B874*I874)</f>
        <v>529.20000000000005</v>
      </c>
      <c r="N874" s="25" t="s">
        <v>113</v>
      </c>
      <c r="O874" s="26">
        <v>55228</v>
      </c>
      <c r="P874" s="9" t="s">
        <v>857</v>
      </c>
      <c r="Q874" s="27">
        <v>82206.001000000004</v>
      </c>
      <c r="R874" s="27">
        <v>871646</v>
      </c>
      <c r="S874" s="23">
        <f>IF(AND(ISNUMBER(Q874),Q874&gt;0,ISNUMBER(R874),R874&gt;0),R874/Q874,"")</f>
        <v>10.603191852137412</v>
      </c>
      <c r="T874" s="9" t="s">
        <v>115</v>
      </c>
      <c r="U874" s="9" t="s">
        <v>130</v>
      </c>
      <c r="V874" s="9" t="s">
        <v>21</v>
      </c>
      <c r="W874" s="9" t="s">
        <v>528</v>
      </c>
      <c r="X874" s="23">
        <f>IF(ISNUMBER(S874),S874,IF(ISNUMBER(I874),I874,""))</f>
        <v>10.603191852137412</v>
      </c>
      <c r="Y874" t="str">
        <f>IF(ISNUMBER(S874),"2025 EIA-923 plant/group proxy",IF(ISNUMBER(I874),"Technology estimate","No thermal heat rate"))</f>
        <v>2025 EIA-923 plant/group proxy</v>
      </c>
      <c r="Z874" t="str">
        <f>IF(ISNUMBER(S874),"Review: NOT unit verified",IF(AE874="No match","No EIA match",IF(AF874="Unconfirmed","Unconfirmed EIA candidate","")))</f>
        <v>Review: NOT unit verified</v>
      </c>
      <c r="AA874" s="26">
        <v>1</v>
      </c>
      <c r="AB874" t="s">
        <v>322</v>
      </c>
      <c r="AC874" t="s">
        <v>529</v>
      </c>
      <c r="AD874" s="26">
        <v>196</v>
      </c>
      <c r="AE874" t="s">
        <v>120</v>
      </c>
      <c r="AF874" t="s">
        <v>121</v>
      </c>
      <c r="AG874" s="27">
        <v>10.603199999999999</v>
      </c>
      <c r="AH874" s="34">
        <f t="shared" si="32"/>
        <v>143905.50000000003</v>
      </c>
      <c r="AI874">
        <f t="shared" si="31"/>
        <v>89866.465033081535</v>
      </c>
      <c r="AJ874" t="b" cm="1">
        <f t="array" ref="AJ874">OR(D874=$AT$2:$AT$8)</f>
        <v>0</v>
      </c>
    </row>
    <row r="875" spans="1:36" x14ac:dyDescent="0.25">
      <c r="A875" s="2" t="s">
        <v>858</v>
      </c>
      <c r="B875" s="3">
        <v>49</v>
      </c>
      <c r="C875" s="2" t="s">
        <v>347</v>
      </c>
      <c r="D875" s="2" t="s">
        <v>347</v>
      </c>
      <c r="E875" s="2" t="s">
        <v>125</v>
      </c>
      <c r="F875" s="4" t="s">
        <v>126</v>
      </c>
      <c r="G875" s="4" t="s">
        <v>127</v>
      </c>
      <c r="H875" s="5">
        <v>9.1999999999999993</v>
      </c>
      <c r="I875" s="5">
        <v>10.8</v>
      </c>
      <c r="J875" s="5">
        <v>13.5</v>
      </c>
      <c r="K875" s="4" t="s">
        <v>111</v>
      </c>
      <c r="L875" s="4" t="s">
        <v>128</v>
      </c>
      <c r="M875" s="6">
        <f>IF(OR(B875="",I875=""),"",B875*I875)</f>
        <v>529.20000000000005</v>
      </c>
      <c r="N875" s="25" t="s">
        <v>113</v>
      </c>
      <c r="O875" s="26">
        <v>55228</v>
      </c>
      <c r="P875" s="9" t="s">
        <v>857</v>
      </c>
      <c r="Q875" s="27">
        <v>82206.001000000004</v>
      </c>
      <c r="R875" s="27">
        <v>871646</v>
      </c>
      <c r="S875" s="23">
        <f>IF(AND(ISNUMBER(Q875),Q875&gt;0,ISNUMBER(R875),R875&gt;0),R875/Q875,"")</f>
        <v>10.603191852137412</v>
      </c>
      <c r="T875" s="9" t="s">
        <v>115</v>
      </c>
      <c r="U875" s="9" t="s">
        <v>130</v>
      </c>
      <c r="V875" s="9" t="s">
        <v>21</v>
      </c>
      <c r="W875" s="9" t="s">
        <v>528</v>
      </c>
      <c r="X875" s="23">
        <f>IF(ISNUMBER(S875),S875,IF(ISNUMBER(I875),I875,""))</f>
        <v>10.603191852137412</v>
      </c>
      <c r="Y875" t="str">
        <f>IF(ISNUMBER(S875),"2025 EIA-923 plant/group proxy",IF(ISNUMBER(I875),"Technology estimate","No thermal heat rate"))</f>
        <v>2025 EIA-923 plant/group proxy</v>
      </c>
      <c r="Z875" t="str">
        <f>IF(ISNUMBER(S875),"Review: NOT unit verified",IF(AE875="No match","No EIA match",IF(AF875="Unconfirmed","Unconfirmed EIA candidate","")))</f>
        <v>Review: NOT unit verified</v>
      </c>
      <c r="AA875" s="26">
        <v>1</v>
      </c>
      <c r="AB875" t="s">
        <v>322</v>
      </c>
      <c r="AC875" t="s">
        <v>529</v>
      </c>
      <c r="AD875" s="26">
        <v>196</v>
      </c>
      <c r="AE875" t="s">
        <v>120</v>
      </c>
      <c r="AF875" t="s">
        <v>121</v>
      </c>
      <c r="AG875" s="27">
        <v>10.603199999999999</v>
      </c>
      <c r="AH875" s="34">
        <f t="shared" si="32"/>
        <v>143954.50000000003</v>
      </c>
      <c r="AI875">
        <f t="shared" si="31"/>
        <v>89897.064675114816</v>
      </c>
      <c r="AJ875" t="b" cm="1">
        <f t="array" ref="AJ875">OR(D875=$AT$2:$AT$8)</f>
        <v>0</v>
      </c>
    </row>
    <row r="876" spans="1:36" x14ac:dyDescent="0.25">
      <c r="A876" s="2" t="s">
        <v>859</v>
      </c>
      <c r="B876" s="3">
        <v>49</v>
      </c>
      <c r="C876" s="2" t="s">
        <v>347</v>
      </c>
      <c r="D876" s="2" t="s">
        <v>347</v>
      </c>
      <c r="E876" s="2" t="s">
        <v>125</v>
      </c>
      <c r="F876" s="4" t="s">
        <v>126</v>
      </c>
      <c r="G876" s="4" t="s">
        <v>127</v>
      </c>
      <c r="H876" s="5">
        <v>9.1999999999999993</v>
      </c>
      <c r="I876" s="5">
        <v>10.8</v>
      </c>
      <c r="J876" s="5">
        <v>13.5</v>
      </c>
      <c r="K876" s="4" t="s">
        <v>111</v>
      </c>
      <c r="L876" s="4" t="s">
        <v>128</v>
      </c>
      <c r="M876" s="6">
        <f>IF(OR(B876="",I876=""),"",B876*I876)</f>
        <v>529.20000000000005</v>
      </c>
      <c r="N876" s="25" t="s">
        <v>113</v>
      </c>
      <c r="O876" s="26">
        <v>55228</v>
      </c>
      <c r="P876" s="9" t="s">
        <v>857</v>
      </c>
      <c r="Q876" s="27">
        <v>82206.001000000004</v>
      </c>
      <c r="R876" s="27">
        <v>871646</v>
      </c>
      <c r="S876" s="23">
        <f>IF(AND(ISNUMBER(Q876),Q876&gt;0,ISNUMBER(R876),R876&gt;0),R876/Q876,"")</f>
        <v>10.603191852137412</v>
      </c>
      <c r="T876" s="9" t="s">
        <v>115</v>
      </c>
      <c r="U876" s="9" t="s">
        <v>130</v>
      </c>
      <c r="V876" s="9" t="s">
        <v>21</v>
      </c>
      <c r="W876" s="9" t="s">
        <v>528</v>
      </c>
      <c r="X876" s="23">
        <f>IF(ISNUMBER(S876),S876,IF(ISNUMBER(I876),I876,""))</f>
        <v>10.603191852137412</v>
      </c>
      <c r="Y876" t="str">
        <f>IF(ISNUMBER(S876),"2025 EIA-923 plant/group proxy",IF(ISNUMBER(I876),"Technology estimate","No thermal heat rate"))</f>
        <v>2025 EIA-923 plant/group proxy</v>
      </c>
      <c r="Z876" t="str">
        <f>IF(ISNUMBER(S876),"Review: NOT unit verified",IF(AE876="No match","No EIA match",IF(AF876="Unconfirmed","Unconfirmed EIA candidate","")))</f>
        <v>Review: NOT unit verified</v>
      </c>
      <c r="AA876" s="26">
        <v>1</v>
      </c>
      <c r="AB876" t="s">
        <v>322</v>
      </c>
      <c r="AC876" t="s">
        <v>529</v>
      </c>
      <c r="AD876" s="26">
        <v>196</v>
      </c>
      <c r="AE876" t="s">
        <v>120</v>
      </c>
      <c r="AF876" t="s">
        <v>121</v>
      </c>
      <c r="AG876" s="27">
        <v>10.603199999999999</v>
      </c>
      <c r="AH876" s="34">
        <f t="shared" si="32"/>
        <v>144003.50000000003</v>
      </c>
      <c r="AI876">
        <f t="shared" si="31"/>
        <v>89927.664317148097</v>
      </c>
      <c r="AJ876" t="b" cm="1">
        <f t="array" ref="AJ876">OR(D876=$AT$2:$AT$8)</f>
        <v>0</v>
      </c>
    </row>
    <row r="877" spans="1:36" x14ac:dyDescent="0.25">
      <c r="A877" s="2" t="s">
        <v>860</v>
      </c>
      <c r="B877" s="3">
        <v>49</v>
      </c>
      <c r="C877" s="2" t="s">
        <v>347</v>
      </c>
      <c r="D877" s="2" t="s">
        <v>347</v>
      </c>
      <c r="E877" s="2" t="s">
        <v>125</v>
      </c>
      <c r="F877" s="4" t="s">
        <v>126</v>
      </c>
      <c r="G877" s="4" t="s">
        <v>127</v>
      </c>
      <c r="H877" s="5">
        <v>9.1999999999999993</v>
      </c>
      <c r="I877" s="5">
        <v>10.8</v>
      </c>
      <c r="J877" s="5">
        <v>13.5</v>
      </c>
      <c r="K877" s="4" t="s">
        <v>111</v>
      </c>
      <c r="L877" s="4" t="s">
        <v>128</v>
      </c>
      <c r="M877" s="6">
        <f>IF(OR(B877="",I877=""),"",B877*I877)</f>
        <v>529.20000000000005</v>
      </c>
      <c r="N877" s="25" t="s">
        <v>113</v>
      </c>
      <c r="O877" s="26">
        <v>55228</v>
      </c>
      <c r="P877" s="9" t="s">
        <v>857</v>
      </c>
      <c r="Q877" s="27">
        <v>82206.001000000004</v>
      </c>
      <c r="R877" s="27">
        <v>871646</v>
      </c>
      <c r="S877" s="23">
        <f>IF(AND(ISNUMBER(Q877),Q877&gt;0,ISNUMBER(R877),R877&gt;0),R877/Q877,"")</f>
        <v>10.603191852137412</v>
      </c>
      <c r="T877" s="9" t="s">
        <v>115</v>
      </c>
      <c r="U877" s="9" t="s">
        <v>130</v>
      </c>
      <c r="V877" s="9" t="s">
        <v>21</v>
      </c>
      <c r="W877" s="9" t="s">
        <v>528</v>
      </c>
      <c r="X877" s="23">
        <f>IF(ISNUMBER(S877),S877,IF(ISNUMBER(I877),I877,""))</f>
        <v>10.603191852137412</v>
      </c>
      <c r="Y877" t="str">
        <f>IF(ISNUMBER(S877),"2025 EIA-923 plant/group proxy",IF(ISNUMBER(I877),"Technology estimate","No thermal heat rate"))</f>
        <v>2025 EIA-923 plant/group proxy</v>
      </c>
      <c r="Z877" t="str">
        <f>IF(ISNUMBER(S877),"Review: NOT unit verified",IF(AE877="No match","No EIA match",IF(AF877="Unconfirmed","Unconfirmed EIA candidate","")))</f>
        <v>Review: NOT unit verified</v>
      </c>
      <c r="AA877" s="26">
        <v>1</v>
      </c>
      <c r="AB877" t="s">
        <v>322</v>
      </c>
      <c r="AC877" t="s">
        <v>529</v>
      </c>
      <c r="AD877" s="26">
        <v>196</v>
      </c>
      <c r="AE877" t="s">
        <v>120</v>
      </c>
      <c r="AF877" t="s">
        <v>121</v>
      </c>
      <c r="AG877" s="27">
        <v>10.603199999999999</v>
      </c>
      <c r="AH877" s="34">
        <f t="shared" si="32"/>
        <v>144052.50000000003</v>
      </c>
      <c r="AI877">
        <f t="shared" si="31"/>
        <v>89958.263959181393</v>
      </c>
      <c r="AJ877" t="b" cm="1">
        <f t="array" ref="AJ877">OR(D877=$AT$2:$AT$8)</f>
        <v>0</v>
      </c>
    </row>
    <row r="878" spans="1:36" x14ac:dyDescent="0.25">
      <c r="A878" s="2" t="s">
        <v>404</v>
      </c>
      <c r="B878" s="3">
        <v>595</v>
      </c>
      <c r="C878" s="2" t="s">
        <v>405</v>
      </c>
      <c r="D878" s="2" t="s">
        <v>405</v>
      </c>
      <c r="E878" s="2" t="s">
        <v>189</v>
      </c>
      <c r="F878" s="4" t="s">
        <v>103</v>
      </c>
      <c r="G878" s="4" t="s">
        <v>190</v>
      </c>
      <c r="H878" s="5"/>
      <c r="I878" s="5"/>
      <c r="J878" s="5"/>
      <c r="K878" s="4" t="s">
        <v>105</v>
      </c>
      <c r="L878" s="4" t="s">
        <v>191</v>
      </c>
      <c r="M878" s="6" t="str">
        <f>IF(OR(B878="",I878=""),"",B878*I878)</f>
        <v/>
      </c>
      <c r="N878" s="25" t="s">
        <v>113</v>
      </c>
      <c r="O878" s="26">
        <v>1571</v>
      </c>
      <c r="P878" s="9" t="s">
        <v>406</v>
      </c>
      <c r="Q878" s="27">
        <v>1651996</v>
      </c>
      <c r="R878" s="27">
        <v>17574144</v>
      </c>
      <c r="S878" s="23">
        <f>IF(AND(ISNUMBER(Q878),Q878&gt;0,ISNUMBER(R878),R878&gt;0),R878/Q878,"")</f>
        <v>10.638127453093107</v>
      </c>
      <c r="T878" s="9" t="s">
        <v>115</v>
      </c>
      <c r="U878" s="9" t="s">
        <v>265</v>
      </c>
      <c r="V878" s="9" t="s">
        <v>21</v>
      </c>
      <c r="W878" s="9" t="s">
        <v>240</v>
      </c>
      <c r="X878" s="23">
        <f>IF(ISNUMBER(S878),S878,IF(ISNUMBER(I878),I878,""))</f>
        <v>10.638127453093107</v>
      </c>
      <c r="Y878" t="str">
        <f>IF(ISNUMBER(S878),"2025 EIA-923 plant/group proxy",IF(ISNUMBER(I878),"Technology estimate","No thermal heat rate"))</f>
        <v>2025 EIA-923 plant/group proxy</v>
      </c>
      <c r="Z878" t="str">
        <f>IF(ISNUMBER(S878),"Review: NOT unit verified",IF(AE878="No match","No EIA match",IF(AF878="Unconfirmed","Unconfirmed EIA candidate","")))</f>
        <v>Review: NOT unit verified</v>
      </c>
      <c r="AA878" s="26">
        <v>1</v>
      </c>
      <c r="AB878" t="s">
        <v>307</v>
      </c>
      <c r="AC878" t="s">
        <v>407</v>
      </c>
      <c r="AD878" s="26">
        <v>1180.3</v>
      </c>
      <c r="AE878" t="s">
        <v>120</v>
      </c>
      <c r="AF878" t="s">
        <v>121</v>
      </c>
      <c r="AG878" s="27">
        <v>10.6381</v>
      </c>
      <c r="AH878" s="34">
        <f t="shared" si="32"/>
        <v>144647.50000000003</v>
      </c>
      <c r="AI878">
        <f t="shared" si="31"/>
        <v>90329.831041014142</v>
      </c>
      <c r="AJ878" t="b" cm="1">
        <f t="array" ref="AJ878">OR(D878=$AT$2:$AT$8)</f>
        <v>1</v>
      </c>
    </row>
    <row r="879" spans="1:36" x14ac:dyDescent="0.25">
      <c r="A879" s="2" t="s">
        <v>408</v>
      </c>
      <c r="B879" s="3">
        <v>585.29999999999995</v>
      </c>
      <c r="C879" s="2" t="s">
        <v>405</v>
      </c>
      <c r="D879" s="2" t="s">
        <v>405</v>
      </c>
      <c r="E879" s="2" t="s">
        <v>189</v>
      </c>
      <c r="F879" s="4" t="s">
        <v>103</v>
      </c>
      <c r="G879" s="4" t="s">
        <v>190</v>
      </c>
      <c r="H879" s="5"/>
      <c r="I879" s="5"/>
      <c r="J879" s="5"/>
      <c r="K879" s="4" t="s">
        <v>105</v>
      </c>
      <c r="L879" s="4" t="s">
        <v>191</v>
      </c>
      <c r="M879" s="6" t="str">
        <f>IF(OR(B879="",I879=""),"",B879*I879)</f>
        <v/>
      </c>
      <c r="N879" s="25" t="s">
        <v>113</v>
      </c>
      <c r="O879" s="26">
        <v>1571</v>
      </c>
      <c r="P879" s="9" t="s">
        <v>406</v>
      </c>
      <c r="Q879" s="27">
        <v>1651996</v>
      </c>
      <c r="R879" s="27">
        <v>17574144</v>
      </c>
      <c r="S879" s="23">
        <f>IF(AND(ISNUMBER(Q879),Q879&gt;0,ISNUMBER(R879),R879&gt;0),R879/Q879,"")</f>
        <v>10.638127453093107</v>
      </c>
      <c r="T879" s="9" t="s">
        <v>115</v>
      </c>
      <c r="U879" s="9" t="s">
        <v>265</v>
      </c>
      <c r="V879" s="9" t="s">
        <v>21</v>
      </c>
      <c r="W879" s="9" t="s">
        <v>240</v>
      </c>
      <c r="X879" s="23">
        <f>IF(ISNUMBER(S879),S879,IF(ISNUMBER(I879),I879,""))</f>
        <v>10.638127453093107</v>
      </c>
      <c r="Y879" t="str">
        <f>IF(ISNUMBER(S879),"2025 EIA-923 plant/group proxy",IF(ISNUMBER(I879),"Technology estimate","No thermal heat rate"))</f>
        <v>2025 EIA-923 plant/group proxy</v>
      </c>
      <c r="Z879" t="str">
        <f>IF(ISNUMBER(S879),"Review: NOT unit verified",IF(AE879="No match","No EIA match",IF(AF879="Unconfirmed","Unconfirmed EIA candidate","")))</f>
        <v>Review: NOT unit verified</v>
      </c>
      <c r="AA879" s="26">
        <v>1</v>
      </c>
      <c r="AB879" t="s">
        <v>307</v>
      </c>
      <c r="AC879" t="s">
        <v>407</v>
      </c>
      <c r="AD879" s="26">
        <v>1180.3</v>
      </c>
      <c r="AE879" t="s">
        <v>120</v>
      </c>
      <c r="AF879" t="s">
        <v>121</v>
      </c>
      <c r="AG879" s="27">
        <v>10.6381</v>
      </c>
      <c r="AH879" s="34">
        <f t="shared" si="32"/>
        <v>145232.80000000002</v>
      </c>
      <c r="AI879">
        <f t="shared" si="31"/>
        <v>90695.340642689276</v>
      </c>
      <c r="AJ879" t="b" cm="1">
        <f t="array" ref="AJ879">OR(D879=$AT$2:$AT$8)</f>
        <v>1</v>
      </c>
    </row>
    <row r="880" spans="1:36" x14ac:dyDescent="0.25">
      <c r="A880" s="2" t="s">
        <v>163</v>
      </c>
      <c r="B880" s="3">
        <v>167</v>
      </c>
      <c r="C880" s="2" t="s">
        <v>97</v>
      </c>
      <c r="D880" s="2" t="s">
        <v>97</v>
      </c>
      <c r="E880" s="2" t="s">
        <v>137</v>
      </c>
      <c r="F880" s="4" t="s">
        <v>138</v>
      </c>
      <c r="G880" s="4" t="s">
        <v>139</v>
      </c>
      <c r="H880" s="5">
        <v>9</v>
      </c>
      <c r="I880" s="5">
        <v>10.5</v>
      </c>
      <c r="J880" s="5">
        <v>13</v>
      </c>
      <c r="K880" s="4" t="s">
        <v>111</v>
      </c>
      <c r="L880" s="4" t="s">
        <v>112</v>
      </c>
      <c r="M880" s="6">
        <f>IF(OR(B880="",I880=""),"",B880*I880)</f>
        <v>1753.5</v>
      </c>
      <c r="N880" s="25" t="s">
        <v>113</v>
      </c>
      <c r="O880" s="26">
        <v>55279</v>
      </c>
      <c r="P880" s="9" t="s">
        <v>164</v>
      </c>
      <c r="Q880" s="27">
        <v>498735</v>
      </c>
      <c r="R880" s="27">
        <v>5330425</v>
      </c>
      <c r="S880" s="23">
        <f>IF(AND(ISNUMBER(Q880),Q880&gt;0,ISNUMBER(R880),R880&gt;0),R880/Q880,"")</f>
        <v>10.687890362617422</v>
      </c>
      <c r="T880" s="9" t="s">
        <v>115</v>
      </c>
      <c r="U880" s="9" t="s">
        <v>141</v>
      </c>
      <c r="V880" s="9" t="s">
        <v>21</v>
      </c>
      <c r="W880" s="9" t="s">
        <v>165</v>
      </c>
      <c r="X880" s="23">
        <f>IF(ISNUMBER(S880),S880,IF(ISNUMBER(I880),I880,""))</f>
        <v>10.687890362617422</v>
      </c>
      <c r="Y880" t="str">
        <f>IF(ISNUMBER(S880),"2025 EIA-923 plant/group proxy",IF(ISNUMBER(I880),"Technology estimate","No thermal heat rate"))</f>
        <v>2025 EIA-923 plant/group proxy</v>
      </c>
      <c r="Z880" t="str">
        <f>IF(ISNUMBER(S880),"Review: NOT unit verified",IF(AE880="No match","No EIA match",IF(AF880="Unconfirmed","Unconfirmed EIA candidate","")))</f>
        <v>Review: NOT unit verified</v>
      </c>
      <c r="AA880" s="26">
        <v>1</v>
      </c>
      <c r="AB880" t="s">
        <v>166</v>
      </c>
      <c r="AC880" t="s">
        <v>167</v>
      </c>
      <c r="AD880" s="26">
        <v>990.2</v>
      </c>
      <c r="AE880" t="s">
        <v>120</v>
      </c>
      <c r="AF880" t="s">
        <v>121</v>
      </c>
      <c r="AG880" s="27">
        <v>10.687900000000001</v>
      </c>
      <c r="AH880" s="34">
        <f t="shared" si="32"/>
        <v>145399.80000000002</v>
      </c>
      <c r="AI880">
        <f t="shared" si="31"/>
        <v>90799.629218598639</v>
      </c>
      <c r="AJ880" t="b" cm="1">
        <f t="array" ref="AJ880">OR(D880=$AT$2:$AT$8)</f>
        <v>0</v>
      </c>
    </row>
    <row r="881" spans="1:36" x14ac:dyDescent="0.25">
      <c r="A881" s="2" t="s">
        <v>168</v>
      </c>
      <c r="B881" s="3">
        <v>51</v>
      </c>
      <c r="C881" s="2" t="s">
        <v>97</v>
      </c>
      <c r="D881" s="2" t="s">
        <v>97</v>
      </c>
      <c r="E881" s="2" t="s">
        <v>137</v>
      </c>
      <c r="F881" s="4" t="s">
        <v>138</v>
      </c>
      <c r="G881" s="4" t="s">
        <v>139</v>
      </c>
      <c r="H881" s="5">
        <v>9</v>
      </c>
      <c r="I881" s="5">
        <v>10.5</v>
      </c>
      <c r="J881" s="5">
        <v>13</v>
      </c>
      <c r="K881" s="4" t="s">
        <v>111</v>
      </c>
      <c r="L881" s="4" t="s">
        <v>112</v>
      </c>
      <c r="M881" s="6">
        <f>IF(OR(B881="",I881=""),"",B881*I881)</f>
        <v>535.5</v>
      </c>
      <c r="N881" s="25" t="s">
        <v>113</v>
      </c>
      <c r="O881" s="26">
        <v>55279</v>
      </c>
      <c r="P881" s="9" t="s">
        <v>164</v>
      </c>
      <c r="Q881" s="27">
        <v>498735</v>
      </c>
      <c r="R881" s="27">
        <v>5330425</v>
      </c>
      <c r="S881" s="23">
        <f>IF(AND(ISNUMBER(Q881),Q881&gt;0,ISNUMBER(R881),R881&gt;0),R881/Q881,"")</f>
        <v>10.687890362617422</v>
      </c>
      <c r="T881" s="9" t="s">
        <v>115</v>
      </c>
      <c r="U881" s="9" t="s">
        <v>141</v>
      </c>
      <c r="V881" s="9" t="s">
        <v>21</v>
      </c>
      <c r="W881" s="9" t="s">
        <v>165</v>
      </c>
      <c r="X881" s="23">
        <f>IF(ISNUMBER(S881),S881,IF(ISNUMBER(I881),I881,""))</f>
        <v>10.687890362617422</v>
      </c>
      <c r="Y881" t="str">
        <f>IF(ISNUMBER(S881),"2025 EIA-923 plant/group proxy",IF(ISNUMBER(I881),"Technology estimate","No thermal heat rate"))</f>
        <v>2025 EIA-923 plant/group proxy</v>
      </c>
      <c r="Z881" t="str">
        <f>IF(ISNUMBER(S881),"Review: NOT unit verified",IF(AE881="No match","No EIA match",IF(AF881="Unconfirmed","Unconfirmed EIA candidate","")))</f>
        <v>Review: NOT unit verified</v>
      </c>
      <c r="AA881" s="26">
        <v>1</v>
      </c>
      <c r="AB881" t="s">
        <v>166</v>
      </c>
      <c r="AC881" t="s">
        <v>167</v>
      </c>
      <c r="AD881" s="26">
        <v>990.2</v>
      </c>
      <c r="AE881" t="s">
        <v>120</v>
      </c>
      <c r="AF881" t="s">
        <v>121</v>
      </c>
      <c r="AG881" s="27">
        <v>10.687900000000001</v>
      </c>
      <c r="AH881" s="34">
        <f t="shared" si="32"/>
        <v>145450.80000000002</v>
      </c>
      <c r="AI881">
        <f t="shared" si="31"/>
        <v>90831.477825612877</v>
      </c>
      <c r="AJ881" t="b" cm="1">
        <f t="array" ref="AJ881">OR(D881=$AT$2:$AT$8)</f>
        <v>0</v>
      </c>
    </row>
    <row r="882" spans="1:36" x14ac:dyDescent="0.25">
      <c r="A882" s="2" t="s">
        <v>169</v>
      </c>
      <c r="B882" s="3">
        <v>167</v>
      </c>
      <c r="C882" s="2" t="s">
        <v>97</v>
      </c>
      <c r="D882" s="2" t="s">
        <v>97</v>
      </c>
      <c r="E882" s="2" t="s">
        <v>137</v>
      </c>
      <c r="F882" s="4" t="s">
        <v>138</v>
      </c>
      <c r="G882" s="4" t="s">
        <v>139</v>
      </c>
      <c r="H882" s="5">
        <v>9</v>
      </c>
      <c r="I882" s="5">
        <v>10.5</v>
      </c>
      <c r="J882" s="5">
        <v>13</v>
      </c>
      <c r="K882" s="4" t="s">
        <v>111</v>
      </c>
      <c r="L882" s="4" t="s">
        <v>112</v>
      </c>
      <c r="M882" s="6">
        <f>IF(OR(B882="",I882=""),"",B882*I882)</f>
        <v>1753.5</v>
      </c>
      <c r="N882" s="25" t="s">
        <v>113</v>
      </c>
      <c r="O882" s="26">
        <v>55279</v>
      </c>
      <c r="P882" s="9" t="s">
        <v>164</v>
      </c>
      <c r="Q882" s="27">
        <v>498735</v>
      </c>
      <c r="R882" s="27">
        <v>5330425</v>
      </c>
      <c r="S882" s="23">
        <f>IF(AND(ISNUMBER(Q882),Q882&gt;0,ISNUMBER(R882),R882&gt;0),R882/Q882,"")</f>
        <v>10.687890362617422</v>
      </c>
      <c r="T882" s="9" t="s">
        <v>115</v>
      </c>
      <c r="U882" s="9" t="s">
        <v>141</v>
      </c>
      <c r="V882" s="9" t="s">
        <v>21</v>
      </c>
      <c r="W882" s="9" t="s">
        <v>165</v>
      </c>
      <c r="X882" s="23">
        <f>IF(ISNUMBER(S882),S882,IF(ISNUMBER(I882),I882,""))</f>
        <v>10.687890362617422</v>
      </c>
      <c r="Y882" t="str">
        <f>IF(ISNUMBER(S882),"2025 EIA-923 plant/group proxy",IF(ISNUMBER(I882),"Technology estimate","No thermal heat rate"))</f>
        <v>2025 EIA-923 plant/group proxy</v>
      </c>
      <c r="Z882" t="str">
        <f>IF(ISNUMBER(S882),"Review: NOT unit verified",IF(AE882="No match","No EIA match",IF(AF882="Unconfirmed","Unconfirmed EIA candidate","")))</f>
        <v>Review: NOT unit verified</v>
      </c>
      <c r="AA882" s="26">
        <v>1</v>
      </c>
      <c r="AB882" t="s">
        <v>166</v>
      </c>
      <c r="AC882" t="s">
        <v>167</v>
      </c>
      <c r="AD882" s="26">
        <v>990.2</v>
      </c>
      <c r="AE882" t="s">
        <v>120</v>
      </c>
      <c r="AF882" t="s">
        <v>121</v>
      </c>
      <c r="AG882" s="27">
        <v>10.687900000000001</v>
      </c>
      <c r="AH882" s="34">
        <f t="shared" si="32"/>
        <v>145617.80000000002</v>
      </c>
      <c r="AI882">
        <f t="shared" si="31"/>
        <v>90935.76640152224</v>
      </c>
      <c r="AJ882" t="b" cm="1">
        <f t="array" ref="AJ882">OR(D882=$AT$2:$AT$8)</f>
        <v>0</v>
      </c>
    </row>
    <row r="883" spans="1:36" x14ac:dyDescent="0.25">
      <c r="A883" s="2" t="s">
        <v>170</v>
      </c>
      <c r="B883" s="3">
        <v>167</v>
      </c>
      <c r="C883" s="2" t="s">
        <v>97</v>
      </c>
      <c r="D883" s="2" t="s">
        <v>97</v>
      </c>
      <c r="E883" s="2" t="s">
        <v>137</v>
      </c>
      <c r="F883" s="4" t="s">
        <v>138</v>
      </c>
      <c r="G883" s="4" t="s">
        <v>139</v>
      </c>
      <c r="H883" s="5">
        <v>9</v>
      </c>
      <c r="I883" s="5">
        <v>10.5</v>
      </c>
      <c r="J883" s="5">
        <v>13</v>
      </c>
      <c r="K883" s="4" t="s">
        <v>111</v>
      </c>
      <c r="L883" s="4" t="s">
        <v>112</v>
      </c>
      <c r="M883" s="6">
        <f>IF(OR(B883="",I883=""),"",B883*I883)</f>
        <v>1753.5</v>
      </c>
      <c r="N883" s="25" t="s">
        <v>113</v>
      </c>
      <c r="O883" s="26">
        <v>55279</v>
      </c>
      <c r="P883" s="9" t="s">
        <v>164</v>
      </c>
      <c r="Q883" s="27">
        <v>498735</v>
      </c>
      <c r="R883" s="27">
        <v>5330425</v>
      </c>
      <c r="S883" s="23">
        <f>IF(AND(ISNUMBER(Q883),Q883&gt;0,ISNUMBER(R883),R883&gt;0),R883/Q883,"")</f>
        <v>10.687890362617422</v>
      </c>
      <c r="T883" s="9" t="s">
        <v>115</v>
      </c>
      <c r="U883" s="9" t="s">
        <v>141</v>
      </c>
      <c r="V883" s="9" t="s">
        <v>21</v>
      </c>
      <c r="W883" s="9" t="s">
        <v>165</v>
      </c>
      <c r="X883" s="23">
        <f>IF(ISNUMBER(S883),S883,IF(ISNUMBER(I883),I883,""))</f>
        <v>10.687890362617422</v>
      </c>
      <c r="Y883" t="str">
        <f>IF(ISNUMBER(S883),"2025 EIA-923 plant/group proxy",IF(ISNUMBER(I883),"Technology estimate","No thermal heat rate"))</f>
        <v>2025 EIA-923 plant/group proxy</v>
      </c>
      <c r="Z883" t="str">
        <f>IF(ISNUMBER(S883),"Review: NOT unit verified",IF(AE883="No match","No EIA match",IF(AF883="Unconfirmed","Unconfirmed EIA candidate","")))</f>
        <v>Review: NOT unit verified</v>
      </c>
      <c r="AA883" s="26">
        <v>1</v>
      </c>
      <c r="AB883" t="s">
        <v>166</v>
      </c>
      <c r="AC883" t="s">
        <v>167</v>
      </c>
      <c r="AD883" s="26">
        <v>990.2</v>
      </c>
      <c r="AE883" t="s">
        <v>120</v>
      </c>
      <c r="AF883" t="s">
        <v>121</v>
      </c>
      <c r="AG883" s="27">
        <v>10.687900000000001</v>
      </c>
      <c r="AH883" s="34">
        <f t="shared" si="32"/>
        <v>145784.80000000002</v>
      </c>
      <c r="AI883">
        <f t="shared" si="31"/>
        <v>91040.054977431602</v>
      </c>
      <c r="AJ883" t="b" cm="1">
        <f t="array" ref="AJ883">OR(D883=$AT$2:$AT$8)</f>
        <v>0</v>
      </c>
    </row>
    <row r="884" spans="1:36" x14ac:dyDescent="0.25">
      <c r="A884" s="2" t="s">
        <v>171</v>
      </c>
      <c r="B884" s="3">
        <v>167</v>
      </c>
      <c r="C884" s="2" t="s">
        <v>97</v>
      </c>
      <c r="D884" s="2" t="s">
        <v>97</v>
      </c>
      <c r="E884" s="2" t="s">
        <v>137</v>
      </c>
      <c r="F884" s="4" t="s">
        <v>138</v>
      </c>
      <c r="G884" s="4" t="s">
        <v>139</v>
      </c>
      <c r="H884" s="5">
        <v>9</v>
      </c>
      <c r="I884" s="5">
        <v>10.5</v>
      </c>
      <c r="J884" s="5">
        <v>13</v>
      </c>
      <c r="K884" s="4" t="s">
        <v>111</v>
      </c>
      <c r="L884" s="4" t="s">
        <v>112</v>
      </c>
      <c r="M884" s="6">
        <f>IF(OR(B884="",I884=""),"",B884*I884)</f>
        <v>1753.5</v>
      </c>
      <c r="N884" s="25" t="s">
        <v>113</v>
      </c>
      <c r="O884" s="26">
        <v>55279</v>
      </c>
      <c r="P884" s="9" t="s">
        <v>164</v>
      </c>
      <c r="Q884" s="27">
        <v>498735</v>
      </c>
      <c r="R884" s="27">
        <v>5330425</v>
      </c>
      <c r="S884" s="23">
        <f>IF(AND(ISNUMBER(Q884),Q884&gt;0,ISNUMBER(R884),R884&gt;0),R884/Q884,"")</f>
        <v>10.687890362617422</v>
      </c>
      <c r="T884" s="9" t="s">
        <v>115</v>
      </c>
      <c r="U884" s="9" t="s">
        <v>141</v>
      </c>
      <c r="V884" s="9" t="s">
        <v>21</v>
      </c>
      <c r="W884" s="9" t="s">
        <v>165</v>
      </c>
      <c r="X884" s="23">
        <f>IF(ISNUMBER(S884),S884,IF(ISNUMBER(I884),I884,""))</f>
        <v>10.687890362617422</v>
      </c>
      <c r="Y884" t="str">
        <f>IF(ISNUMBER(S884),"2025 EIA-923 plant/group proxy",IF(ISNUMBER(I884),"Technology estimate","No thermal heat rate"))</f>
        <v>2025 EIA-923 plant/group proxy</v>
      </c>
      <c r="Z884" t="str">
        <f>IF(ISNUMBER(S884),"Review: NOT unit verified",IF(AE884="No match","No EIA match",IF(AF884="Unconfirmed","Unconfirmed EIA candidate","")))</f>
        <v>Review: NOT unit verified</v>
      </c>
      <c r="AA884" s="26">
        <v>1</v>
      </c>
      <c r="AB884" t="s">
        <v>166</v>
      </c>
      <c r="AC884" t="s">
        <v>167</v>
      </c>
      <c r="AD884" s="26">
        <v>990.2</v>
      </c>
      <c r="AE884" t="s">
        <v>120</v>
      </c>
      <c r="AF884" t="s">
        <v>121</v>
      </c>
      <c r="AG884" s="27">
        <v>10.687900000000001</v>
      </c>
      <c r="AH884" s="34">
        <f t="shared" si="32"/>
        <v>145951.80000000002</v>
      </c>
      <c r="AI884">
        <f t="shared" si="31"/>
        <v>91144.343553340965</v>
      </c>
      <c r="AJ884" t="b" cm="1">
        <f t="array" ref="AJ884">OR(D884=$AT$2:$AT$8)</f>
        <v>0</v>
      </c>
    </row>
    <row r="885" spans="1:36" x14ac:dyDescent="0.25">
      <c r="A885" s="2" t="s">
        <v>172</v>
      </c>
      <c r="B885" s="3">
        <v>51</v>
      </c>
      <c r="C885" s="2" t="s">
        <v>97</v>
      </c>
      <c r="D885" s="2" t="s">
        <v>97</v>
      </c>
      <c r="E885" s="2" t="s">
        <v>137</v>
      </c>
      <c r="F885" s="4" t="s">
        <v>138</v>
      </c>
      <c r="G885" s="4" t="s">
        <v>139</v>
      </c>
      <c r="H885" s="5">
        <v>9</v>
      </c>
      <c r="I885" s="5">
        <v>10.5</v>
      </c>
      <c r="J885" s="5">
        <v>13</v>
      </c>
      <c r="K885" s="4" t="s">
        <v>111</v>
      </c>
      <c r="L885" s="4" t="s">
        <v>112</v>
      </c>
      <c r="M885" s="6">
        <f>IF(OR(B885="",I885=""),"",B885*I885)</f>
        <v>535.5</v>
      </c>
      <c r="N885" s="25" t="s">
        <v>113</v>
      </c>
      <c r="O885" s="26">
        <v>55279</v>
      </c>
      <c r="P885" s="9" t="s">
        <v>164</v>
      </c>
      <c r="Q885" s="27">
        <v>498735</v>
      </c>
      <c r="R885" s="27">
        <v>5330425</v>
      </c>
      <c r="S885" s="23">
        <f>IF(AND(ISNUMBER(Q885),Q885&gt;0,ISNUMBER(R885),R885&gt;0),R885/Q885,"")</f>
        <v>10.687890362617422</v>
      </c>
      <c r="T885" s="9" t="s">
        <v>115</v>
      </c>
      <c r="U885" s="9" t="s">
        <v>141</v>
      </c>
      <c r="V885" s="9" t="s">
        <v>21</v>
      </c>
      <c r="W885" s="9" t="s">
        <v>165</v>
      </c>
      <c r="X885" s="23">
        <f>IF(ISNUMBER(S885),S885,IF(ISNUMBER(I885),I885,""))</f>
        <v>10.687890362617422</v>
      </c>
      <c r="Y885" t="str">
        <f>IF(ISNUMBER(S885),"2025 EIA-923 plant/group proxy",IF(ISNUMBER(I885),"Technology estimate","No thermal heat rate"))</f>
        <v>2025 EIA-923 plant/group proxy</v>
      </c>
      <c r="Z885" t="str">
        <f>IF(ISNUMBER(S885),"Review: NOT unit verified",IF(AE885="No match","No EIA match",IF(AF885="Unconfirmed","Unconfirmed EIA candidate","")))</f>
        <v>Review: NOT unit verified</v>
      </c>
      <c r="AA885" s="26">
        <v>1</v>
      </c>
      <c r="AB885" t="s">
        <v>166</v>
      </c>
      <c r="AC885" t="s">
        <v>167</v>
      </c>
      <c r="AD885" s="26">
        <v>990.2</v>
      </c>
      <c r="AE885" t="s">
        <v>120</v>
      </c>
      <c r="AF885" t="s">
        <v>121</v>
      </c>
      <c r="AG885" s="27">
        <v>10.687900000000001</v>
      </c>
      <c r="AH885" s="34">
        <f t="shared" si="32"/>
        <v>146002.80000000002</v>
      </c>
      <c r="AI885">
        <f t="shared" si="31"/>
        <v>91176.192160355204</v>
      </c>
      <c r="AJ885" t="b" cm="1">
        <f t="array" ref="AJ885">OR(D885=$AT$2:$AT$8)</f>
        <v>0</v>
      </c>
    </row>
    <row r="886" spans="1:36" x14ac:dyDescent="0.25">
      <c r="A886" s="2" t="s">
        <v>173</v>
      </c>
      <c r="B886" s="3">
        <v>51</v>
      </c>
      <c r="C886" s="2" t="s">
        <v>97</v>
      </c>
      <c r="D886" s="2" t="s">
        <v>97</v>
      </c>
      <c r="E886" s="2" t="s">
        <v>137</v>
      </c>
      <c r="F886" s="4" t="s">
        <v>138</v>
      </c>
      <c r="G886" s="4" t="s">
        <v>139</v>
      </c>
      <c r="H886" s="5">
        <v>9</v>
      </c>
      <c r="I886" s="5">
        <v>10.5</v>
      </c>
      <c r="J886" s="5">
        <v>13</v>
      </c>
      <c r="K886" s="4" t="s">
        <v>111</v>
      </c>
      <c r="L886" s="4" t="s">
        <v>112</v>
      </c>
      <c r="M886" s="6">
        <f>IF(OR(B886="",I886=""),"",B886*I886)</f>
        <v>535.5</v>
      </c>
      <c r="N886" s="25" t="s">
        <v>113</v>
      </c>
      <c r="O886" s="26">
        <v>55279</v>
      </c>
      <c r="P886" s="9" t="s">
        <v>164</v>
      </c>
      <c r="Q886" s="27">
        <v>498735</v>
      </c>
      <c r="R886" s="27">
        <v>5330425</v>
      </c>
      <c r="S886" s="23">
        <f>IF(AND(ISNUMBER(Q886),Q886&gt;0,ISNUMBER(R886),R886&gt;0),R886/Q886,"")</f>
        <v>10.687890362617422</v>
      </c>
      <c r="T886" s="9" t="s">
        <v>115</v>
      </c>
      <c r="U886" s="9" t="s">
        <v>141</v>
      </c>
      <c r="V886" s="9" t="s">
        <v>21</v>
      </c>
      <c r="W886" s="9" t="s">
        <v>165</v>
      </c>
      <c r="X886" s="23">
        <f>IF(ISNUMBER(S886),S886,IF(ISNUMBER(I886),I886,""))</f>
        <v>10.687890362617422</v>
      </c>
      <c r="Y886" t="str">
        <f>IF(ISNUMBER(S886),"2025 EIA-923 plant/group proxy",IF(ISNUMBER(I886),"Technology estimate","No thermal heat rate"))</f>
        <v>2025 EIA-923 plant/group proxy</v>
      </c>
      <c r="Z886" t="str">
        <f>IF(ISNUMBER(S886),"Review: NOT unit verified",IF(AE886="No match","No EIA match",IF(AF886="Unconfirmed","Unconfirmed EIA candidate","")))</f>
        <v>Review: NOT unit verified</v>
      </c>
      <c r="AA886" s="26">
        <v>1</v>
      </c>
      <c r="AB886" t="s">
        <v>166</v>
      </c>
      <c r="AC886" t="s">
        <v>167</v>
      </c>
      <c r="AD886" s="26">
        <v>990.2</v>
      </c>
      <c r="AE886" t="s">
        <v>120</v>
      </c>
      <c r="AF886" t="s">
        <v>121</v>
      </c>
      <c r="AG886" s="27">
        <v>10.687900000000001</v>
      </c>
      <c r="AH886" s="34">
        <f t="shared" si="32"/>
        <v>146053.80000000002</v>
      </c>
      <c r="AI886">
        <f t="shared" si="31"/>
        <v>91208.040767369428</v>
      </c>
      <c r="AJ886" t="b" cm="1">
        <f t="array" ref="AJ886">OR(D886=$AT$2:$AT$8)</f>
        <v>0</v>
      </c>
    </row>
    <row r="887" spans="1:36" x14ac:dyDescent="0.25">
      <c r="A887" s="2" t="s">
        <v>174</v>
      </c>
      <c r="B887" s="3">
        <v>51</v>
      </c>
      <c r="C887" s="2" t="s">
        <v>97</v>
      </c>
      <c r="D887" s="2" t="s">
        <v>97</v>
      </c>
      <c r="E887" s="2" t="s">
        <v>137</v>
      </c>
      <c r="F887" s="4" t="s">
        <v>138</v>
      </c>
      <c r="G887" s="4" t="s">
        <v>139</v>
      </c>
      <c r="H887" s="5">
        <v>9</v>
      </c>
      <c r="I887" s="5">
        <v>10.5</v>
      </c>
      <c r="J887" s="5">
        <v>13</v>
      </c>
      <c r="K887" s="4" t="s">
        <v>111</v>
      </c>
      <c r="L887" s="4" t="s">
        <v>112</v>
      </c>
      <c r="M887" s="6">
        <f>IF(OR(B887="",I887=""),"",B887*I887)</f>
        <v>535.5</v>
      </c>
      <c r="N887" s="25" t="s">
        <v>113</v>
      </c>
      <c r="O887" s="26">
        <v>55279</v>
      </c>
      <c r="P887" s="9" t="s">
        <v>164</v>
      </c>
      <c r="Q887" s="27">
        <v>498735</v>
      </c>
      <c r="R887" s="27">
        <v>5330425</v>
      </c>
      <c r="S887" s="23">
        <f>IF(AND(ISNUMBER(Q887),Q887&gt;0,ISNUMBER(R887),R887&gt;0),R887/Q887,"")</f>
        <v>10.687890362617422</v>
      </c>
      <c r="T887" s="9" t="s">
        <v>115</v>
      </c>
      <c r="U887" s="9" t="s">
        <v>141</v>
      </c>
      <c r="V887" s="9" t="s">
        <v>21</v>
      </c>
      <c r="W887" s="9" t="s">
        <v>165</v>
      </c>
      <c r="X887" s="23">
        <f>IF(ISNUMBER(S887),S887,IF(ISNUMBER(I887),I887,""))</f>
        <v>10.687890362617422</v>
      </c>
      <c r="Y887" t="str">
        <f>IF(ISNUMBER(S887),"2025 EIA-923 plant/group proxy",IF(ISNUMBER(I887),"Technology estimate","No thermal heat rate"))</f>
        <v>2025 EIA-923 plant/group proxy</v>
      </c>
      <c r="Z887" t="str">
        <f>IF(ISNUMBER(S887),"Review: NOT unit verified",IF(AE887="No match","No EIA match",IF(AF887="Unconfirmed","Unconfirmed EIA candidate","")))</f>
        <v>Review: NOT unit verified</v>
      </c>
      <c r="AA887" s="26">
        <v>1</v>
      </c>
      <c r="AB887" t="s">
        <v>166</v>
      </c>
      <c r="AC887" t="s">
        <v>167</v>
      </c>
      <c r="AD887" s="26">
        <v>990.2</v>
      </c>
      <c r="AE887" t="s">
        <v>120</v>
      </c>
      <c r="AF887" t="s">
        <v>121</v>
      </c>
      <c r="AG887" s="27">
        <v>10.687900000000001</v>
      </c>
      <c r="AH887" s="34">
        <f t="shared" si="32"/>
        <v>146104.80000000002</v>
      </c>
      <c r="AI887">
        <f t="shared" si="31"/>
        <v>91239.889374383667</v>
      </c>
      <c r="AJ887" t="b" cm="1">
        <f t="array" ref="AJ887">OR(D887=$AT$2:$AT$8)</f>
        <v>0</v>
      </c>
    </row>
    <row r="888" spans="1:36" x14ac:dyDescent="0.25">
      <c r="A888" s="2" t="s">
        <v>175</v>
      </c>
      <c r="B888" s="3">
        <v>51</v>
      </c>
      <c r="C888" s="2" t="s">
        <v>97</v>
      </c>
      <c r="D888" s="2" t="s">
        <v>97</v>
      </c>
      <c r="E888" s="2" t="s">
        <v>137</v>
      </c>
      <c r="F888" s="4" t="s">
        <v>138</v>
      </c>
      <c r="G888" s="4" t="s">
        <v>139</v>
      </c>
      <c r="H888" s="5">
        <v>9</v>
      </c>
      <c r="I888" s="5">
        <v>10.5</v>
      </c>
      <c r="J888" s="5">
        <v>13</v>
      </c>
      <c r="K888" s="4" t="s">
        <v>111</v>
      </c>
      <c r="L888" s="4" t="s">
        <v>112</v>
      </c>
      <c r="M888" s="6">
        <f>IF(OR(B888="",I888=""),"",B888*I888)</f>
        <v>535.5</v>
      </c>
      <c r="N888" s="25" t="s">
        <v>113</v>
      </c>
      <c r="O888" s="26">
        <v>55279</v>
      </c>
      <c r="P888" s="9" t="s">
        <v>164</v>
      </c>
      <c r="Q888" s="27">
        <v>498735</v>
      </c>
      <c r="R888" s="27">
        <v>5330425</v>
      </c>
      <c r="S888" s="23">
        <f>IF(AND(ISNUMBER(Q888),Q888&gt;0,ISNUMBER(R888),R888&gt;0),R888/Q888,"")</f>
        <v>10.687890362617422</v>
      </c>
      <c r="T888" s="9" t="s">
        <v>115</v>
      </c>
      <c r="U888" s="9" t="s">
        <v>141</v>
      </c>
      <c r="V888" s="9" t="s">
        <v>21</v>
      </c>
      <c r="W888" s="9" t="s">
        <v>165</v>
      </c>
      <c r="X888" s="23">
        <f>IF(ISNUMBER(S888),S888,IF(ISNUMBER(I888),I888,""))</f>
        <v>10.687890362617422</v>
      </c>
      <c r="Y888" t="str">
        <f>IF(ISNUMBER(S888),"2025 EIA-923 plant/group proxy",IF(ISNUMBER(I888),"Technology estimate","No thermal heat rate"))</f>
        <v>2025 EIA-923 plant/group proxy</v>
      </c>
      <c r="Z888" t="str">
        <f>IF(ISNUMBER(S888),"Review: NOT unit verified",IF(AE888="No match","No EIA match",IF(AF888="Unconfirmed","Unconfirmed EIA candidate","")))</f>
        <v>Review: NOT unit verified</v>
      </c>
      <c r="AA888" s="26">
        <v>1</v>
      </c>
      <c r="AB888" t="s">
        <v>166</v>
      </c>
      <c r="AC888" t="s">
        <v>167</v>
      </c>
      <c r="AD888" s="26">
        <v>990.2</v>
      </c>
      <c r="AE888" t="s">
        <v>120</v>
      </c>
      <c r="AF888" t="s">
        <v>121</v>
      </c>
      <c r="AG888" s="27">
        <v>10.687900000000001</v>
      </c>
      <c r="AH888" s="34">
        <f t="shared" si="32"/>
        <v>146155.80000000002</v>
      </c>
      <c r="AI888">
        <f t="shared" si="31"/>
        <v>91271.737981397906</v>
      </c>
      <c r="AJ888" t="b" cm="1">
        <f t="array" ref="AJ888">OR(D888=$AT$2:$AT$8)</f>
        <v>0</v>
      </c>
    </row>
    <row r="889" spans="1:36" x14ac:dyDescent="0.25">
      <c r="A889" s="2" t="s">
        <v>176</v>
      </c>
      <c r="B889" s="3">
        <v>51</v>
      </c>
      <c r="C889" s="2" t="s">
        <v>97</v>
      </c>
      <c r="D889" s="2" t="s">
        <v>97</v>
      </c>
      <c r="E889" s="2" t="s">
        <v>137</v>
      </c>
      <c r="F889" s="4" t="s">
        <v>138</v>
      </c>
      <c r="G889" s="4" t="s">
        <v>139</v>
      </c>
      <c r="H889" s="5">
        <v>9</v>
      </c>
      <c r="I889" s="5">
        <v>10.5</v>
      </c>
      <c r="J889" s="5">
        <v>13</v>
      </c>
      <c r="K889" s="4" t="s">
        <v>111</v>
      </c>
      <c r="L889" s="4" t="s">
        <v>112</v>
      </c>
      <c r="M889" s="6">
        <f>IF(OR(B889="",I889=""),"",B889*I889)</f>
        <v>535.5</v>
      </c>
      <c r="N889" s="25" t="s">
        <v>113</v>
      </c>
      <c r="O889" s="26">
        <v>55279</v>
      </c>
      <c r="P889" s="9" t="s">
        <v>164</v>
      </c>
      <c r="Q889" s="27">
        <v>498735</v>
      </c>
      <c r="R889" s="27">
        <v>5330425</v>
      </c>
      <c r="S889" s="23">
        <f>IF(AND(ISNUMBER(Q889),Q889&gt;0,ISNUMBER(R889),R889&gt;0),R889/Q889,"")</f>
        <v>10.687890362617422</v>
      </c>
      <c r="T889" s="9" t="s">
        <v>115</v>
      </c>
      <c r="U889" s="9" t="s">
        <v>141</v>
      </c>
      <c r="V889" s="9" t="s">
        <v>21</v>
      </c>
      <c r="W889" s="9" t="s">
        <v>165</v>
      </c>
      <c r="X889" s="23">
        <f>IF(ISNUMBER(S889),S889,IF(ISNUMBER(I889),I889,""))</f>
        <v>10.687890362617422</v>
      </c>
      <c r="Y889" t="str">
        <f>IF(ISNUMBER(S889),"2025 EIA-923 plant/group proxy",IF(ISNUMBER(I889),"Technology estimate","No thermal heat rate"))</f>
        <v>2025 EIA-923 plant/group proxy</v>
      </c>
      <c r="Z889" t="str">
        <f>IF(ISNUMBER(S889),"Review: NOT unit verified",IF(AE889="No match","No EIA match",IF(AF889="Unconfirmed","Unconfirmed EIA candidate","")))</f>
        <v>Review: NOT unit verified</v>
      </c>
      <c r="AA889" s="26">
        <v>1</v>
      </c>
      <c r="AB889" t="s">
        <v>166</v>
      </c>
      <c r="AC889" t="s">
        <v>167</v>
      </c>
      <c r="AD889" s="26">
        <v>990.2</v>
      </c>
      <c r="AE889" t="s">
        <v>120</v>
      </c>
      <c r="AF889" t="s">
        <v>121</v>
      </c>
      <c r="AG889" s="27">
        <v>10.687900000000001</v>
      </c>
      <c r="AH889" s="34">
        <f t="shared" si="32"/>
        <v>146206.80000000002</v>
      </c>
      <c r="AI889">
        <f t="shared" si="31"/>
        <v>91303.586588412145</v>
      </c>
      <c r="AJ889" t="b" cm="1">
        <f t="array" ref="AJ889">OR(D889=$AT$2:$AT$8)</f>
        <v>0</v>
      </c>
    </row>
    <row r="890" spans="1:36" x14ac:dyDescent="0.25">
      <c r="A890" s="2" t="s">
        <v>493</v>
      </c>
      <c r="B890" s="3">
        <v>11</v>
      </c>
      <c r="C890" s="2" t="s">
        <v>86</v>
      </c>
      <c r="D890" s="2" t="s">
        <v>76</v>
      </c>
      <c r="E890" s="2" t="s">
        <v>194</v>
      </c>
      <c r="F890" s="4" t="s">
        <v>195</v>
      </c>
      <c r="G890" s="4" t="s">
        <v>196</v>
      </c>
      <c r="H890" s="5">
        <v>8</v>
      </c>
      <c r="I890" s="5">
        <v>9.5</v>
      </c>
      <c r="J890" s="5">
        <v>12</v>
      </c>
      <c r="K890" s="4" t="s">
        <v>111</v>
      </c>
      <c r="L890" s="4" t="s">
        <v>197</v>
      </c>
      <c r="M890" s="6">
        <f>IF(OR(B890="",I890=""),"",B890*I890)</f>
        <v>104.5</v>
      </c>
      <c r="N890" s="28" t="s">
        <v>113</v>
      </c>
      <c r="O890" s="26">
        <v>3118</v>
      </c>
      <c r="P890" s="9" t="s">
        <v>490</v>
      </c>
      <c r="Q890" s="27">
        <v>682</v>
      </c>
      <c r="R890" s="27">
        <v>7304</v>
      </c>
      <c r="S890" s="23">
        <f>IF(AND(ISNUMBER(Q890),Q890&gt;0,ISNUMBER(R890),R890&gt;0),R890/Q890,"")</f>
        <v>10.709677419354838</v>
      </c>
      <c r="T890" s="9" t="s">
        <v>115</v>
      </c>
      <c r="U890" s="9" t="s">
        <v>199</v>
      </c>
      <c r="V890" s="9" t="s">
        <v>21</v>
      </c>
      <c r="W890" s="9" t="s">
        <v>142</v>
      </c>
      <c r="X890" s="23">
        <f>IF(ISNUMBER(S890),S890,IF(ISNUMBER(I890),I890,""))</f>
        <v>10.709677419354838</v>
      </c>
      <c r="Y890" t="str">
        <f>IF(ISNUMBER(S890),"2025 EIA-923 plant/group proxy",IF(ISNUMBER(I890),"Technology estimate","No thermal heat rate"))</f>
        <v>2025 EIA-923 plant/group proxy</v>
      </c>
      <c r="Z890" t="str">
        <f>IF(ISNUMBER(S890),"Review: NOT unit verified",IF(AE890="No match","No EIA match",IF(AF890="Unconfirmed","Unconfirmed EIA candidate","")))</f>
        <v>Review: NOT unit verified</v>
      </c>
      <c r="AA890" s="26">
        <v>0.64459999999999995</v>
      </c>
      <c r="AB890" t="s">
        <v>143</v>
      </c>
      <c r="AC890" t="s">
        <v>494</v>
      </c>
      <c r="AD890" s="26">
        <v>11.2</v>
      </c>
      <c r="AE890" t="s">
        <v>120</v>
      </c>
      <c r="AF890" t="s">
        <v>145</v>
      </c>
      <c r="AG890" s="27">
        <v>10.7097</v>
      </c>
      <c r="AH890" s="34">
        <f t="shared" si="32"/>
        <v>146217.80000000002</v>
      </c>
      <c r="AI890">
        <f t="shared" si="31"/>
        <v>91310.455895807376</v>
      </c>
      <c r="AJ890" t="b" cm="1">
        <f t="array" ref="AJ890">OR(D890=$AT$2:$AT$8)</f>
        <v>0</v>
      </c>
    </row>
    <row r="891" spans="1:36" x14ac:dyDescent="0.25">
      <c r="A891" s="2" t="s">
        <v>1025</v>
      </c>
      <c r="B891" s="3">
        <v>192</v>
      </c>
      <c r="C891" s="2" t="s">
        <v>456</v>
      </c>
      <c r="D891" s="2" t="s">
        <v>81</v>
      </c>
      <c r="E891" s="2" t="s">
        <v>109</v>
      </c>
      <c r="F891" s="4" t="s">
        <v>109</v>
      </c>
      <c r="G891" s="4" t="s">
        <v>110</v>
      </c>
      <c r="H891" s="5">
        <v>9</v>
      </c>
      <c r="I891" s="5">
        <v>10.3</v>
      </c>
      <c r="J891" s="5">
        <v>12</v>
      </c>
      <c r="K891" s="4" t="s">
        <v>111</v>
      </c>
      <c r="L891" s="4" t="s">
        <v>112</v>
      </c>
      <c r="M891" s="6">
        <f>IF(OR(B891="",I891=""),"",B891*I891)</f>
        <v>1977.6000000000001</v>
      </c>
      <c r="N891" s="28" t="s">
        <v>113</v>
      </c>
      <c r="O891" s="26">
        <v>2876</v>
      </c>
      <c r="P891" s="9" t="s">
        <v>1026</v>
      </c>
      <c r="Q891" s="27">
        <v>5375360.4850000003</v>
      </c>
      <c r="R891" s="27">
        <v>57819213</v>
      </c>
      <c r="S891" s="23">
        <f>IF(AND(ISNUMBER(Q891),Q891&gt;0,ISNUMBER(R891),R891&gt;0),R891/Q891,"")</f>
        <v>10.756341488416473</v>
      </c>
      <c r="T891" s="9" t="s">
        <v>115</v>
      </c>
      <c r="U891" s="9" t="s">
        <v>458</v>
      </c>
      <c r="V891" s="9" t="s">
        <v>21</v>
      </c>
      <c r="W891" s="9" t="s">
        <v>1027</v>
      </c>
      <c r="X891" s="23">
        <f>IF(ISNUMBER(S891),S891,IF(ISNUMBER(I891),I891,""))</f>
        <v>10.756341488416473</v>
      </c>
      <c r="Y891" t="str">
        <f>IF(ISNUMBER(S891),"2025 EIA-923 plant/group proxy",IF(ISNUMBER(I891),"Technology estimate","No thermal heat rate"))</f>
        <v>2025 EIA-923 plant/group proxy</v>
      </c>
      <c r="Z891" t="str">
        <f>IF(ISNUMBER(S891),"Review: NOT unit verified",IF(AE891="No match","No EIA match",IF(AF891="Unconfirmed","Unconfirmed EIA candidate","")))</f>
        <v>Review: NOT unit verified</v>
      </c>
      <c r="AA891" s="26">
        <v>0.76329999999999998</v>
      </c>
      <c r="AB891" t="s">
        <v>322</v>
      </c>
      <c r="AC891" t="s">
        <v>1028</v>
      </c>
      <c r="AD891" s="26">
        <v>962.8</v>
      </c>
      <c r="AE891" t="s">
        <v>120</v>
      </c>
      <c r="AF891" t="s">
        <v>145</v>
      </c>
      <c r="AG891" s="27">
        <v>10.7563</v>
      </c>
      <c r="AH891" s="34">
        <f t="shared" si="32"/>
        <v>146409.80000000002</v>
      </c>
      <c r="AI891">
        <f t="shared" si="31"/>
        <v>91430.356533978615</v>
      </c>
      <c r="AJ891" t="b" cm="1">
        <f t="array" ref="AJ891">OR(D891=$AT$2:$AT$8)</f>
        <v>0</v>
      </c>
    </row>
    <row r="892" spans="1:36" x14ac:dyDescent="0.25">
      <c r="A892" s="2" t="s">
        <v>1029</v>
      </c>
      <c r="B892" s="3">
        <v>191</v>
      </c>
      <c r="C892" s="2" t="s">
        <v>456</v>
      </c>
      <c r="D892" s="2" t="s">
        <v>81</v>
      </c>
      <c r="E892" s="2" t="s">
        <v>109</v>
      </c>
      <c r="F892" s="4" t="s">
        <v>109</v>
      </c>
      <c r="G892" s="4" t="s">
        <v>110</v>
      </c>
      <c r="H892" s="5">
        <v>9</v>
      </c>
      <c r="I892" s="5">
        <v>10.3</v>
      </c>
      <c r="J892" s="5">
        <v>12</v>
      </c>
      <c r="K892" s="4" t="s">
        <v>111</v>
      </c>
      <c r="L892" s="4" t="s">
        <v>112</v>
      </c>
      <c r="M892" s="6">
        <f>IF(OR(B892="",I892=""),"",B892*I892)</f>
        <v>1967.3000000000002</v>
      </c>
      <c r="N892" s="28" t="s">
        <v>113</v>
      </c>
      <c r="O892" s="26">
        <v>2876</v>
      </c>
      <c r="P892" s="9" t="s">
        <v>1026</v>
      </c>
      <c r="Q892" s="27">
        <v>5375360.4850000003</v>
      </c>
      <c r="R892" s="27">
        <v>57819213</v>
      </c>
      <c r="S892" s="23">
        <f>IF(AND(ISNUMBER(Q892),Q892&gt;0,ISNUMBER(R892),R892&gt;0),R892/Q892,"")</f>
        <v>10.756341488416473</v>
      </c>
      <c r="T892" s="9" t="s">
        <v>115</v>
      </c>
      <c r="U892" s="9" t="s">
        <v>458</v>
      </c>
      <c r="V892" s="9" t="s">
        <v>21</v>
      </c>
      <c r="W892" s="9" t="s">
        <v>1027</v>
      </c>
      <c r="X892" s="23">
        <f>IF(ISNUMBER(S892),S892,IF(ISNUMBER(I892),I892,""))</f>
        <v>10.756341488416473</v>
      </c>
      <c r="Y892" t="str">
        <f>IF(ISNUMBER(S892),"2025 EIA-923 plant/group proxy",IF(ISNUMBER(I892),"Technology estimate","No thermal heat rate"))</f>
        <v>2025 EIA-923 plant/group proxy</v>
      </c>
      <c r="Z892" t="str">
        <f>IF(ISNUMBER(S892),"Review: NOT unit verified",IF(AE892="No match","No EIA match",IF(AF892="Unconfirmed","Unconfirmed EIA candidate","")))</f>
        <v>Review: NOT unit verified</v>
      </c>
      <c r="AA892" s="26">
        <v>0.76329999999999998</v>
      </c>
      <c r="AB892" t="s">
        <v>322</v>
      </c>
      <c r="AC892" t="s">
        <v>1028</v>
      </c>
      <c r="AD892" s="26">
        <v>962.8</v>
      </c>
      <c r="AE892" t="s">
        <v>120</v>
      </c>
      <c r="AF892" t="s">
        <v>145</v>
      </c>
      <c r="AG892" s="27">
        <v>10.7563</v>
      </c>
      <c r="AH892" s="34">
        <f t="shared" si="32"/>
        <v>146600.80000000002</v>
      </c>
      <c r="AI892">
        <f t="shared" si="31"/>
        <v>91549.632689659382</v>
      </c>
      <c r="AJ892" t="b" cm="1">
        <f t="array" ref="AJ892">OR(D892=$AT$2:$AT$8)</f>
        <v>0</v>
      </c>
    </row>
    <row r="893" spans="1:36" x14ac:dyDescent="0.25">
      <c r="A893" s="2" t="s">
        <v>1030</v>
      </c>
      <c r="B893" s="3">
        <v>191</v>
      </c>
      <c r="C893" s="2" t="s">
        <v>456</v>
      </c>
      <c r="D893" s="2" t="s">
        <v>81</v>
      </c>
      <c r="E893" s="2" t="s">
        <v>109</v>
      </c>
      <c r="F893" s="4" t="s">
        <v>109</v>
      </c>
      <c r="G893" s="4" t="s">
        <v>110</v>
      </c>
      <c r="H893" s="5">
        <v>9</v>
      </c>
      <c r="I893" s="5">
        <v>10.3</v>
      </c>
      <c r="J893" s="5">
        <v>12</v>
      </c>
      <c r="K893" s="4" t="s">
        <v>111</v>
      </c>
      <c r="L893" s="4" t="s">
        <v>112</v>
      </c>
      <c r="M893" s="6">
        <f>IF(OR(B893="",I893=""),"",B893*I893)</f>
        <v>1967.3000000000002</v>
      </c>
      <c r="N893" s="28" t="s">
        <v>113</v>
      </c>
      <c r="O893" s="26">
        <v>2876</v>
      </c>
      <c r="P893" s="9" t="s">
        <v>1026</v>
      </c>
      <c r="Q893" s="27">
        <v>5375360.4850000003</v>
      </c>
      <c r="R893" s="27">
        <v>57819213</v>
      </c>
      <c r="S893" s="23">
        <f>IF(AND(ISNUMBER(Q893),Q893&gt;0,ISNUMBER(R893),R893&gt;0),R893/Q893,"")</f>
        <v>10.756341488416473</v>
      </c>
      <c r="T893" s="9" t="s">
        <v>115</v>
      </c>
      <c r="U893" s="9" t="s">
        <v>458</v>
      </c>
      <c r="V893" s="9" t="s">
        <v>21</v>
      </c>
      <c r="W893" s="9" t="s">
        <v>1027</v>
      </c>
      <c r="X893" s="23">
        <f>IF(ISNUMBER(S893),S893,IF(ISNUMBER(I893),I893,""))</f>
        <v>10.756341488416473</v>
      </c>
      <c r="Y893" t="str">
        <f>IF(ISNUMBER(S893),"2025 EIA-923 plant/group proxy",IF(ISNUMBER(I893),"Technology estimate","No thermal heat rate"))</f>
        <v>2025 EIA-923 plant/group proxy</v>
      </c>
      <c r="Z893" t="str">
        <f>IF(ISNUMBER(S893),"Review: NOT unit verified",IF(AE893="No match","No EIA match",IF(AF893="Unconfirmed","Unconfirmed EIA candidate","")))</f>
        <v>Review: NOT unit verified</v>
      </c>
      <c r="AA893" s="26">
        <v>0.76329999999999998</v>
      </c>
      <c r="AB893" t="s">
        <v>322</v>
      </c>
      <c r="AC893" t="s">
        <v>1028</v>
      </c>
      <c r="AD893" s="26">
        <v>962.8</v>
      </c>
      <c r="AE893" t="s">
        <v>120</v>
      </c>
      <c r="AF893" t="s">
        <v>145</v>
      </c>
      <c r="AG893" s="27">
        <v>10.7563</v>
      </c>
      <c r="AH893" s="34">
        <f t="shared" si="32"/>
        <v>146791.80000000002</v>
      </c>
      <c r="AI893">
        <f t="shared" si="31"/>
        <v>91668.908845340149</v>
      </c>
      <c r="AJ893" t="b" cm="1">
        <f t="array" ref="AJ893">OR(D893=$AT$2:$AT$8)</f>
        <v>0</v>
      </c>
    </row>
    <row r="894" spans="1:36" x14ac:dyDescent="0.25">
      <c r="A894" s="2" t="s">
        <v>1031</v>
      </c>
      <c r="B894" s="3">
        <v>191</v>
      </c>
      <c r="C894" s="2" t="s">
        <v>456</v>
      </c>
      <c r="D894" s="2" t="s">
        <v>81</v>
      </c>
      <c r="E894" s="2" t="s">
        <v>109</v>
      </c>
      <c r="F894" s="4" t="s">
        <v>109</v>
      </c>
      <c r="G894" s="4" t="s">
        <v>110</v>
      </c>
      <c r="H894" s="5">
        <v>9</v>
      </c>
      <c r="I894" s="5">
        <v>10.3</v>
      </c>
      <c r="J894" s="5">
        <v>12</v>
      </c>
      <c r="K894" s="4" t="s">
        <v>111</v>
      </c>
      <c r="L894" s="4" t="s">
        <v>112</v>
      </c>
      <c r="M894" s="6">
        <f>IF(OR(B894="",I894=""),"",B894*I894)</f>
        <v>1967.3000000000002</v>
      </c>
      <c r="N894" s="28" t="s">
        <v>113</v>
      </c>
      <c r="O894" s="26">
        <v>2876</v>
      </c>
      <c r="P894" s="9" t="s">
        <v>1026</v>
      </c>
      <c r="Q894" s="27">
        <v>5375360.4850000003</v>
      </c>
      <c r="R894" s="27">
        <v>57819213</v>
      </c>
      <c r="S894" s="23">
        <f>IF(AND(ISNUMBER(Q894),Q894&gt;0,ISNUMBER(R894),R894&gt;0),R894/Q894,"")</f>
        <v>10.756341488416473</v>
      </c>
      <c r="T894" s="9" t="s">
        <v>115</v>
      </c>
      <c r="U894" s="9" t="s">
        <v>458</v>
      </c>
      <c r="V894" s="9" t="s">
        <v>21</v>
      </c>
      <c r="W894" s="9" t="s">
        <v>1027</v>
      </c>
      <c r="X894" s="23">
        <f>IF(ISNUMBER(S894),S894,IF(ISNUMBER(I894),I894,""))</f>
        <v>10.756341488416473</v>
      </c>
      <c r="Y894" t="str">
        <f>IF(ISNUMBER(S894),"2025 EIA-923 plant/group proxy",IF(ISNUMBER(I894),"Technology estimate","No thermal heat rate"))</f>
        <v>2025 EIA-923 plant/group proxy</v>
      </c>
      <c r="Z894" t="str">
        <f>IF(ISNUMBER(S894),"Review: NOT unit verified",IF(AE894="No match","No EIA match",IF(AF894="Unconfirmed","Unconfirmed EIA candidate","")))</f>
        <v>Review: NOT unit verified</v>
      </c>
      <c r="AA894" s="26">
        <v>0.76329999999999998</v>
      </c>
      <c r="AB894" t="s">
        <v>322</v>
      </c>
      <c r="AC894" t="s">
        <v>1028</v>
      </c>
      <c r="AD894" s="26">
        <v>962.8</v>
      </c>
      <c r="AE894" t="s">
        <v>120</v>
      </c>
      <c r="AF894" t="s">
        <v>145</v>
      </c>
      <c r="AG894" s="27">
        <v>10.7563</v>
      </c>
      <c r="AH894" s="34">
        <f t="shared" si="32"/>
        <v>146982.80000000002</v>
      </c>
      <c r="AI894">
        <f t="shared" si="31"/>
        <v>91788.185001020916</v>
      </c>
      <c r="AJ894" t="b" cm="1">
        <f t="array" ref="AJ894">OR(D894=$AT$2:$AT$8)</f>
        <v>0</v>
      </c>
    </row>
    <row r="895" spans="1:36" x14ac:dyDescent="0.25">
      <c r="A895" s="2" t="s">
        <v>1032</v>
      </c>
      <c r="B895" s="3">
        <v>191</v>
      </c>
      <c r="C895" s="2" t="s">
        <v>456</v>
      </c>
      <c r="D895" s="2" t="s">
        <v>81</v>
      </c>
      <c r="E895" s="2" t="s">
        <v>109</v>
      </c>
      <c r="F895" s="4" t="s">
        <v>109</v>
      </c>
      <c r="G895" s="4" t="s">
        <v>110</v>
      </c>
      <c r="H895" s="5">
        <v>9</v>
      </c>
      <c r="I895" s="5">
        <v>10.3</v>
      </c>
      <c r="J895" s="5">
        <v>12</v>
      </c>
      <c r="K895" s="4" t="s">
        <v>111</v>
      </c>
      <c r="L895" s="4" t="s">
        <v>112</v>
      </c>
      <c r="M895" s="6">
        <f>IF(OR(B895="",I895=""),"",B895*I895)</f>
        <v>1967.3000000000002</v>
      </c>
      <c r="N895" s="28" t="s">
        <v>113</v>
      </c>
      <c r="O895" s="26">
        <v>2876</v>
      </c>
      <c r="P895" s="9" t="s">
        <v>1026</v>
      </c>
      <c r="Q895" s="27">
        <v>5375360.4850000003</v>
      </c>
      <c r="R895" s="27">
        <v>57819213</v>
      </c>
      <c r="S895" s="23">
        <f>IF(AND(ISNUMBER(Q895),Q895&gt;0,ISNUMBER(R895),R895&gt;0),R895/Q895,"")</f>
        <v>10.756341488416473</v>
      </c>
      <c r="T895" s="9" t="s">
        <v>115</v>
      </c>
      <c r="U895" s="9" t="s">
        <v>458</v>
      </c>
      <c r="V895" s="9" t="s">
        <v>21</v>
      </c>
      <c r="W895" s="9" t="s">
        <v>1027</v>
      </c>
      <c r="X895" s="23">
        <f>IF(ISNUMBER(S895),S895,IF(ISNUMBER(I895),I895,""))</f>
        <v>10.756341488416473</v>
      </c>
      <c r="Y895" t="str">
        <f>IF(ISNUMBER(S895),"2025 EIA-923 plant/group proxy",IF(ISNUMBER(I895),"Technology estimate","No thermal heat rate"))</f>
        <v>2025 EIA-923 plant/group proxy</v>
      </c>
      <c r="Z895" t="str">
        <f>IF(ISNUMBER(S895),"Review: NOT unit verified",IF(AE895="No match","No EIA match",IF(AF895="Unconfirmed","Unconfirmed EIA candidate","")))</f>
        <v>Review: NOT unit verified</v>
      </c>
      <c r="AA895" s="26">
        <v>0.76329999999999998</v>
      </c>
      <c r="AB895" t="s">
        <v>322</v>
      </c>
      <c r="AC895" t="s">
        <v>1028</v>
      </c>
      <c r="AD895" s="26">
        <v>962.8</v>
      </c>
      <c r="AE895" t="s">
        <v>120</v>
      </c>
      <c r="AF895" t="s">
        <v>145</v>
      </c>
      <c r="AG895" s="27">
        <v>10.7563</v>
      </c>
      <c r="AH895" s="34">
        <f t="shared" si="32"/>
        <v>147173.80000000002</v>
      </c>
      <c r="AI895">
        <f t="shared" si="31"/>
        <v>91907.461156701684</v>
      </c>
      <c r="AJ895" t="b" cm="1">
        <f t="array" ref="AJ895">OR(D895=$AT$2:$AT$8)</f>
        <v>0</v>
      </c>
    </row>
    <row r="896" spans="1:36" x14ac:dyDescent="0.25">
      <c r="A896" s="2" t="s">
        <v>1574</v>
      </c>
      <c r="B896" s="3">
        <v>12</v>
      </c>
      <c r="C896" s="2" t="s">
        <v>347</v>
      </c>
      <c r="D896" s="2" t="s">
        <v>347</v>
      </c>
      <c r="E896" s="2" t="s">
        <v>194</v>
      </c>
      <c r="F896" s="4" t="s">
        <v>195</v>
      </c>
      <c r="G896" s="4" t="s">
        <v>196</v>
      </c>
      <c r="H896" s="5">
        <v>8</v>
      </c>
      <c r="I896" s="5">
        <v>9.5</v>
      </c>
      <c r="J896" s="5">
        <v>12</v>
      </c>
      <c r="K896" s="4" t="s">
        <v>111</v>
      </c>
      <c r="L896" s="4" t="s">
        <v>197</v>
      </c>
      <c r="M896" s="6">
        <f>IF(OR(B896="",I896=""),"",B896*I896)</f>
        <v>114</v>
      </c>
      <c r="N896" s="25" t="s">
        <v>113</v>
      </c>
      <c r="O896" s="26">
        <v>2852</v>
      </c>
      <c r="P896" s="9" t="s">
        <v>1575</v>
      </c>
      <c r="Q896" s="27">
        <v>497</v>
      </c>
      <c r="R896" s="27">
        <v>5352</v>
      </c>
      <c r="S896" s="23">
        <f>IF(AND(ISNUMBER(Q896),Q896&gt;0,ISNUMBER(R896),R896&gt;0),R896/Q896,"")</f>
        <v>10.768611670020121</v>
      </c>
      <c r="T896" s="9" t="s">
        <v>115</v>
      </c>
      <c r="U896" s="9" t="s">
        <v>199</v>
      </c>
      <c r="V896" s="9" t="s">
        <v>21</v>
      </c>
      <c r="W896" s="9" t="s">
        <v>217</v>
      </c>
      <c r="X896" s="23">
        <f>IF(ISNUMBER(S896),S896,IF(ISNUMBER(I896),I896,""))</f>
        <v>10.768611670020121</v>
      </c>
      <c r="Y896" t="str">
        <f>IF(ISNUMBER(S896),"2025 EIA-923 plant/group proxy",IF(ISNUMBER(I896),"Technology estimate","No thermal heat rate"))</f>
        <v>2025 EIA-923 plant/group proxy</v>
      </c>
      <c r="Z896" t="str">
        <f>IF(ISNUMBER(S896),"Review: NOT unit verified",IF(AE896="No match","No EIA match",IF(AF896="Unconfirmed","Unconfirmed EIA candidate","")))</f>
        <v>Review: NOT unit verified</v>
      </c>
      <c r="AA896" s="26">
        <v>0.85899999999999999</v>
      </c>
      <c r="AB896" t="s">
        <v>322</v>
      </c>
      <c r="AC896" t="s">
        <v>1028</v>
      </c>
      <c r="AD896" s="26">
        <v>13.5</v>
      </c>
      <c r="AE896" t="s">
        <v>120</v>
      </c>
      <c r="AF896" t="s">
        <v>121</v>
      </c>
      <c r="AG896" s="27">
        <v>10.768599999999999</v>
      </c>
      <c r="AH896" s="34">
        <f t="shared" si="32"/>
        <v>147185.80000000002</v>
      </c>
      <c r="AI896">
        <f t="shared" si="31"/>
        <v>91914.954946587386</v>
      </c>
      <c r="AJ896" t="b" cm="1">
        <f t="array" ref="AJ896">OR(D896=$AT$2:$AT$8)</f>
        <v>0</v>
      </c>
    </row>
    <row r="897" spans="1:36" x14ac:dyDescent="0.25">
      <c r="A897" s="2" t="s">
        <v>1695</v>
      </c>
      <c r="B897" s="3">
        <v>175</v>
      </c>
      <c r="C897" s="2" t="s">
        <v>147</v>
      </c>
      <c r="D897" s="2" t="s">
        <v>147</v>
      </c>
      <c r="E897" s="2" t="s">
        <v>125</v>
      </c>
      <c r="F897" s="4" t="s">
        <v>126</v>
      </c>
      <c r="G897" s="4" t="s">
        <v>127</v>
      </c>
      <c r="H897" s="5">
        <v>9.1999999999999993</v>
      </c>
      <c r="I897" s="5">
        <v>10.8</v>
      </c>
      <c r="J897" s="5">
        <v>13.5</v>
      </c>
      <c r="K897" s="4" t="s">
        <v>111</v>
      </c>
      <c r="L897" s="4" t="s">
        <v>128</v>
      </c>
      <c r="M897" s="6">
        <f>IF(OR(B897="",I897=""),"",B897*I897)</f>
        <v>1890.0000000000002</v>
      </c>
      <c r="N897" s="25" t="s">
        <v>113</v>
      </c>
      <c r="O897" s="26">
        <v>55348</v>
      </c>
      <c r="P897" s="9" t="s">
        <v>1696</v>
      </c>
      <c r="Q897" s="27">
        <v>1276805.0009999999</v>
      </c>
      <c r="R897" s="27">
        <v>13749640</v>
      </c>
      <c r="S897" s="23">
        <f>IF(AND(ISNUMBER(Q897),Q897&gt;0,ISNUMBER(R897),R897&gt;0),R897/Q897,"")</f>
        <v>10.768786141369445</v>
      </c>
      <c r="T897" s="9" t="s">
        <v>115</v>
      </c>
      <c r="U897" s="9" t="s">
        <v>130</v>
      </c>
      <c r="V897" s="9" t="s">
        <v>21</v>
      </c>
      <c r="W897" s="9" t="s">
        <v>528</v>
      </c>
      <c r="X897" s="23">
        <f>IF(ISNUMBER(S897),S897,IF(ISNUMBER(I897),I897,""))</f>
        <v>10.768786141369445</v>
      </c>
      <c r="Y897" t="str">
        <f>IF(ISNUMBER(S897),"2025 EIA-923 plant/group proxy",IF(ISNUMBER(I897),"Technology estimate","No thermal heat rate"))</f>
        <v>2025 EIA-923 plant/group proxy</v>
      </c>
      <c r="Z897" t="str">
        <f>IF(ISNUMBER(S897),"Review: NOT unit verified",IF(AE897="No match","No EIA match",IF(AF897="Unconfirmed","Unconfirmed EIA candidate","")))</f>
        <v>Review: NOT unit verified</v>
      </c>
      <c r="AA897" s="26">
        <v>1</v>
      </c>
      <c r="AB897" t="s">
        <v>322</v>
      </c>
      <c r="AC897" t="s">
        <v>567</v>
      </c>
      <c r="AD897" s="26">
        <v>704.41</v>
      </c>
      <c r="AE897" t="s">
        <v>120</v>
      </c>
      <c r="AF897" t="s">
        <v>121</v>
      </c>
      <c r="AG897" s="27">
        <v>10.768800000000001</v>
      </c>
      <c r="AH897" s="34">
        <f t="shared" si="32"/>
        <v>147360.80000000002</v>
      </c>
      <c r="AI897">
        <f t="shared" si="31"/>
        <v>92024.23938242055</v>
      </c>
      <c r="AJ897" t="b" cm="1">
        <f t="array" ref="AJ897">OR(D897=$AT$2:$AT$8)</f>
        <v>0</v>
      </c>
    </row>
    <row r="898" spans="1:36" x14ac:dyDescent="0.25">
      <c r="A898" s="2" t="s">
        <v>1697</v>
      </c>
      <c r="B898" s="3">
        <v>175</v>
      </c>
      <c r="C898" s="2" t="s">
        <v>147</v>
      </c>
      <c r="D898" s="2" t="s">
        <v>147</v>
      </c>
      <c r="E898" s="2" t="s">
        <v>125</v>
      </c>
      <c r="F898" s="4" t="s">
        <v>126</v>
      </c>
      <c r="G898" s="4" t="s">
        <v>127</v>
      </c>
      <c r="H898" s="5">
        <v>9.1999999999999993</v>
      </c>
      <c r="I898" s="5">
        <v>10.8</v>
      </c>
      <c r="J898" s="5">
        <v>13.5</v>
      </c>
      <c r="K898" s="4" t="s">
        <v>111</v>
      </c>
      <c r="L898" s="4" t="s">
        <v>128</v>
      </c>
      <c r="M898" s="6">
        <f>IF(OR(B898="",I898=""),"",B898*I898)</f>
        <v>1890.0000000000002</v>
      </c>
      <c r="N898" s="25" t="s">
        <v>113</v>
      </c>
      <c r="O898" s="26">
        <v>55348</v>
      </c>
      <c r="P898" s="9" t="s">
        <v>1696</v>
      </c>
      <c r="Q898" s="27">
        <v>1276805.0009999999</v>
      </c>
      <c r="R898" s="27">
        <v>13749640</v>
      </c>
      <c r="S898" s="23">
        <f>IF(AND(ISNUMBER(Q898),Q898&gt;0,ISNUMBER(R898),R898&gt;0),R898/Q898,"")</f>
        <v>10.768786141369445</v>
      </c>
      <c r="T898" s="9" t="s">
        <v>115</v>
      </c>
      <c r="U898" s="9" t="s">
        <v>130</v>
      </c>
      <c r="V898" s="9" t="s">
        <v>21</v>
      </c>
      <c r="W898" s="9" t="s">
        <v>528</v>
      </c>
      <c r="X898" s="23">
        <f>IF(ISNUMBER(S898),S898,IF(ISNUMBER(I898),I898,""))</f>
        <v>10.768786141369445</v>
      </c>
      <c r="Y898" t="str">
        <f>IF(ISNUMBER(S898),"2025 EIA-923 plant/group proxy",IF(ISNUMBER(I898),"Technology estimate","No thermal heat rate"))</f>
        <v>2025 EIA-923 plant/group proxy</v>
      </c>
      <c r="Z898" t="str">
        <f>IF(ISNUMBER(S898),"Review: NOT unit verified",IF(AE898="No match","No EIA match",IF(AF898="Unconfirmed","Unconfirmed EIA candidate","")))</f>
        <v>Review: NOT unit verified</v>
      </c>
      <c r="AA898" s="26">
        <v>1</v>
      </c>
      <c r="AB898" t="s">
        <v>322</v>
      </c>
      <c r="AC898" t="s">
        <v>567</v>
      </c>
      <c r="AD898" s="26">
        <v>704.41</v>
      </c>
      <c r="AE898" t="s">
        <v>120</v>
      </c>
      <c r="AF898" t="s">
        <v>121</v>
      </c>
      <c r="AG898" s="27">
        <v>10.768800000000001</v>
      </c>
      <c r="AH898" s="34">
        <f t="shared" si="32"/>
        <v>147535.80000000002</v>
      </c>
      <c r="AI898">
        <f t="shared" si="31"/>
        <v>92133.523818253714</v>
      </c>
      <c r="AJ898" t="b" cm="1">
        <f t="array" ref="AJ898">OR(D898=$AT$2:$AT$8)</f>
        <v>0</v>
      </c>
    </row>
    <row r="899" spans="1:36" x14ac:dyDescent="0.25">
      <c r="A899" s="2" t="s">
        <v>1698</v>
      </c>
      <c r="B899" s="3">
        <v>175</v>
      </c>
      <c r="C899" s="2" t="s">
        <v>147</v>
      </c>
      <c r="D899" s="2" t="s">
        <v>147</v>
      </c>
      <c r="E899" s="2" t="s">
        <v>125</v>
      </c>
      <c r="F899" s="4" t="s">
        <v>126</v>
      </c>
      <c r="G899" s="4" t="s">
        <v>127</v>
      </c>
      <c r="H899" s="5">
        <v>9.1999999999999993</v>
      </c>
      <c r="I899" s="5">
        <v>10.8</v>
      </c>
      <c r="J899" s="5">
        <v>13.5</v>
      </c>
      <c r="K899" s="4" t="s">
        <v>111</v>
      </c>
      <c r="L899" s="4" t="s">
        <v>128</v>
      </c>
      <c r="M899" s="6">
        <f>IF(OR(B899="",I899=""),"",B899*I899)</f>
        <v>1890.0000000000002</v>
      </c>
      <c r="N899" s="25" t="s">
        <v>113</v>
      </c>
      <c r="O899" s="26">
        <v>55348</v>
      </c>
      <c r="P899" s="9" t="s">
        <v>1696</v>
      </c>
      <c r="Q899" s="27">
        <v>1276805.0009999999</v>
      </c>
      <c r="R899" s="27">
        <v>13749640</v>
      </c>
      <c r="S899" s="23">
        <f>IF(AND(ISNUMBER(Q899),Q899&gt;0,ISNUMBER(R899),R899&gt;0),R899/Q899,"")</f>
        <v>10.768786141369445</v>
      </c>
      <c r="T899" s="9" t="s">
        <v>115</v>
      </c>
      <c r="U899" s="9" t="s">
        <v>130</v>
      </c>
      <c r="V899" s="9" t="s">
        <v>21</v>
      </c>
      <c r="W899" s="9" t="s">
        <v>528</v>
      </c>
      <c r="X899" s="23">
        <f>IF(ISNUMBER(S899),S899,IF(ISNUMBER(I899),I899,""))</f>
        <v>10.768786141369445</v>
      </c>
      <c r="Y899" t="str">
        <f>IF(ISNUMBER(S899),"2025 EIA-923 plant/group proxy",IF(ISNUMBER(I899),"Technology estimate","No thermal heat rate"))</f>
        <v>2025 EIA-923 plant/group proxy</v>
      </c>
      <c r="Z899" t="str">
        <f>IF(ISNUMBER(S899),"Review: NOT unit verified",IF(AE899="No match","No EIA match",IF(AF899="Unconfirmed","Unconfirmed EIA candidate","")))</f>
        <v>Review: NOT unit verified</v>
      </c>
      <c r="AA899" s="26">
        <v>1</v>
      </c>
      <c r="AB899" t="s">
        <v>322</v>
      </c>
      <c r="AC899" t="s">
        <v>567</v>
      </c>
      <c r="AD899" s="26">
        <v>704.41</v>
      </c>
      <c r="AE899" t="s">
        <v>120</v>
      </c>
      <c r="AF899" t="s">
        <v>121</v>
      </c>
      <c r="AG899" s="27">
        <v>10.768800000000001</v>
      </c>
      <c r="AH899" s="34">
        <f t="shared" si="32"/>
        <v>147710.80000000002</v>
      </c>
      <c r="AI899">
        <f t="shared" ref="AI899:AI962" si="33">AH899*$AK$1</f>
        <v>92242.808254086878</v>
      </c>
      <c r="AJ899" t="b" cm="1">
        <f t="array" ref="AJ899">OR(D899=$AT$2:$AT$8)</f>
        <v>0</v>
      </c>
    </row>
    <row r="900" spans="1:36" x14ac:dyDescent="0.25">
      <c r="A900" s="2" t="s">
        <v>1699</v>
      </c>
      <c r="B900" s="3">
        <v>175</v>
      </c>
      <c r="C900" s="2" t="s">
        <v>147</v>
      </c>
      <c r="D900" s="2" t="s">
        <v>147</v>
      </c>
      <c r="E900" s="2" t="s">
        <v>125</v>
      </c>
      <c r="F900" s="4" t="s">
        <v>126</v>
      </c>
      <c r="G900" s="4" t="s">
        <v>127</v>
      </c>
      <c r="H900" s="5">
        <v>9.1999999999999993</v>
      </c>
      <c r="I900" s="5">
        <v>10.8</v>
      </c>
      <c r="J900" s="5">
        <v>13.5</v>
      </c>
      <c r="K900" s="4" t="s">
        <v>111</v>
      </c>
      <c r="L900" s="4" t="s">
        <v>128</v>
      </c>
      <c r="M900" s="6">
        <f>IF(OR(B900="",I900=""),"",B900*I900)</f>
        <v>1890.0000000000002</v>
      </c>
      <c r="N900" s="25" t="s">
        <v>113</v>
      </c>
      <c r="O900" s="26">
        <v>55348</v>
      </c>
      <c r="P900" s="9" t="s">
        <v>1696</v>
      </c>
      <c r="Q900" s="27">
        <v>1276805.0009999999</v>
      </c>
      <c r="R900" s="27">
        <v>13749640</v>
      </c>
      <c r="S900" s="23">
        <f>IF(AND(ISNUMBER(Q900),Q900&gt;0,ISNUMBER(R900),R900&gt;0),R900/Q900,"")</f>
        <v>10.768786141369445</v>
      </c>
      <c r="T900" s="9" t="s">
        <v>115</v>
      </c>
      <c r="U900" s="9" t="s">
        <v>130</v>
      </c>
      <c r="V900" s="9" t="s">
        <v>21</v>
      </c>
      <c r="W900" s="9" t="s">
        <v>528</v>
      </c>
      <c r="X900" s="23">
        <f>IF(ISNUMBER(S900),S900,IF(ISNUMBER(I900),I900,""))</f>
        <v>10.768786141369445</v>
      </c>
      <c r="Y900" t="str">
        <f>IF(ISNUMBER(S900),"2025 EIA-923 plant/group proxy",IF(ISNUMBER(I900),"Technology estimate","No thermal heat rate"))</f>
        <v>2025 EIA-923 plant/group proxy</v>
      </c>
      <c r="Z900" t="str">
        <f>IF(ISNUMBER(S900),"Review: NOT unit verified",IF(AE900="No match","No EIA match",IF(AF900="Unconfirmed","Unconfirmed EIA candidate","")))</f>
        <v>Review: NOT unit verified</v>
      </c>
      <c r="AA900" s="26">
        <v>1</v>
      </c>
      <c r="AB900" t="s">
        <v>322</v>
      </c>
      <c r="AC900" t="s">
        <v>567</v>
      </c>
      <c r="AD900" s="26">
        <v>704.41</v>
      </c>
      <c r="AE900" t="s">
        <v>120</v>
      </c>
      <c r="AF900" t="s">
        <v>121</v>
      </c>
      <c r="AG900" s="27">
        <v>10.768800000000001</v>
      </c>
      <c r="AH900" s="34">
        <f t="shared" ref="AH900:AH963" si="34">AH899+B900</f>
        <v>147885.80000000002</v>
      </c>
      <c r="AI900">
        <f t="shared" si="33"/>
        <v>92352.092689920028</v>
      </c>
      <c r="AJ900" t="b" cm="1">
        <f t="array" ref="AJ900">OR(D900=$AT$2:$AT$8)</f>
        <v>0</v>
      </c>
    </row>
    <row r="901" spans="1:36" x14ac:dyDescent="0.25">
      <c r="A901" s="2" t="s">
        <v>1708</v>
      </c>
      <c r="B901" s="3">
        <v>53.2</v>
      </c>
      <c r="C901" s="2" t="s">
        <v>97</v>
      </c>
      <c r="D901" s="2" t="s">
        <v>97</v>
      </c>
      <c r="E901" s="2" t="s">
        <v>137</v>
      </c>
      <c r="F901" s="4" t="s">
        <v>138</v>
      </c>
      <c r="G901" s="4" t="s">
        <v>139</v>
      </c>
      <c r="H901" s="5">
        <v>9</v>
      </c>
      <c r="I901" s="5">
        <v>10.5</v>
      </c>
      <c r="J901" s="5">
        <v>13</v>
      </c>
      <c r="K901" s="4" t="s">
        <v>111</v>
      </c>
      <c r="L901" s="4" t="s">
        <v>112</v>
      </c>
      <c r="M901" s="6">
        <f>IF(OR(B901="",I901=""),"",B901*I901)</f>
        <v>558.6</v>
      </c>
      <c r="N901" s="25" t="s">
        <v>113</v>
      </c>
      <c r="O901" s="26">
        <v>55640</v>
      </c>
      <c r="P901" s="9" t="s">
        <v>1709</v>
      </c>
      <c r="Q901" s="27">
        <v>277572</v>
      </c>
      <c r="R901" s="27">
        <v>2991172</v>
      </c>
      <c r="S901" s="23">
        <f>IF(AND(ISNUMBER(Q901),Q901&gt;0,ISNUMBER(R901),R901&gt;0),R901/Q901,"")</f>
        <v>10.77620221059761</v>
      </c>
      <c r="T901" s="9" t="s">
        <v>115</v>
      </c>
      <c r="U901" s="9" t="s">
        <v>141</v>
      </c>
      <c r="V901" s="9" t="s">
        <v>21</v>
      </c>
      <c r="W901" s="9" t="s">
        <v>1710</v>
      </c>
      <c r="X901" s="23">
        <f>IF(ISNUMBER(S901),S901,IF(ISNUMBER(I901),I901,""))</f>
        <v>10.77620221059761</v>
      </c>
      <c r="Y901" t="str">
        <f>IF(ISNUMBER(S901),"2025 EIA-923 plant/group proxy",IF(ISNUMBER(I901),"Technology estimate","No thermal heat rate"))</f>
        <v>2025 EIA-923 plant/group proxy</v>
      </c>
      <c r="Z901" t="str">
        <f>IF(ISNUMBER(S901),"Review: NOT unit verified",IF(AE901="No match","No EIA match",IF(AF901="Unconfirmed","Unconfirmed EIA candidate","")))</f>
        <v>Review: NOT unit verified</v>
      </c>
      <c r="AA901" s="26">
        <v>0.9</v>
      </c>
      <c r="AB901" t="s">
        <v>166</v>
      </c>
      <c r="AC901" t="s">
        <v>1711</v>
      </c>
      <c r="AD901" s="26">
        <v>540</v>
      </c>
      <c r="AE901" t="s">
        <v>120</v>
      </c>
      <c r="AF901" t="s">
        <v>121</v>
      </c>
      <c r="AG901" s="27">
        <v>10.776199999999999</v>
      </c>
      <c r="AH901" s="34">
        <f t="shared" si="34"/>
        <v>147939.00000000003</v>
      </c>
      <c r="AI901">
        <f t="shared" si="33"/>
        <v>92385.31515841333</v>
      </c>
      <c r="AJ901" t="b" cm="1">
        <f t="array" ref="AJ901">OR(D901=$AT$2:$AT$8)</f>
        <v>0</v>
      </c>
    </row>
    <row r="902" spans="1:36" x14ac:dyDescent="0.25">
      <c r="A902" s="2" t="s">
        <v>1712</v>
      </c>
      <c r="B902" s="3">
        <v>53.2</v>
      </c>
      <c r="C902" s="2" t="s">
        <v>97</v>
      </c>
      <c r="D902" s="2" t="s">
        <v>97</v>
      </c>
      <c r="E902" s="2" t="s">
        <v>137</v>
      </c>
      <c r="F902" s="4" t="s">
        <v>138</v>
      </c>
      <c r="G902" s="4" t="s">
        <v>139</v>
      </c>
      <c r="H902" s="5">
        <v>9</v>
      </c>
      <c r="I902" s="5">
        <v>10.5</v>
      </c>
      <c r="J902" s="5">
        <v>13</v>
      </c>
      <c r="K902" s="4" t="s">
        <v>111</v>
      </c>
      <c r="L902" s="4" t="s">
        <v>112</v>
      </c>
      <c r="M902" s="6">
        <f>IF(OR(B902="",I902=""),"",B902*I902)</f>
        <v>558.6</v>
      </c>
      <c r="N902" s="25" t="s">
        <v>113</v>
      </c>
      <c r="O902" s="26">
        <v>55640</v>
      </c>
      <c r="P902" s="9" t="s">
        <v>1709</v>
      </c>
      <c r="Q902" s="27">
        <v>277572</v>
      </c>
      <c r="R902" s="27">
        <v>2991172</v>
      </c>
      <c r="S902" s="23">
        <f>IF(AND(ISNUMBER(Q902),Q902&gt;0,ISNUMBER(R902),R902&gt;0),R902/Q902,"")</f>
        <v>10.77620221059761</v>
      </c>
      <c r="T902" s="9" t="s">
        <v>115</v>
      </c>
      <c r="U902" s="9" t="s">
        <v>141</v>
      </c>
      <c r="V902" s="9" t="s">
        <v>21</v>
      </c>
      <c r="W902" s="9" t="s">
        <v>1710</v>
      </c>
      <c r="X902" s="23">
        <f>IF(ISNUMBER(S902),S902,IF(ISNUMBER(I902),I902,""))</f>
        <v>10.77620221059761</v>
      </c>
      <c r="Y902" t="str">
        <f>IF(ISNUMBER(S902),"2025 EIA-923 plant/group proxy",IF(ISNUMBER(I902),"Technology estimate","No thermal heat rate"))</f>
        <v>2025 EIA-923 plant/group proxy</v>
      </c>
      <c r="Z902" t="str">
        <f>IF(ISNUMBER(S902),"Review: NOT unit verified",IF(AE902="No match","No EIA match",IF(AF902="Unconfirmed","Unconfirmed EIA candidate","")))</f>
        <v>Review: NOT unit verified</v>
      </c>
      <c r="AA902" s="26">
        <v>0.9</v>
      </c>
      <c r="AB902" t="s">
        <v>166</v>
      </c>
      <c r="AC902" t="s">
        <v>1711</v>
      </c>
      <c r="AD902" s="26">
        <v>540</v>
      </c>
      <c r="AE902" t="s">
        <v>120</v>
      </c>
      <c r="AF902" t="s">
        <v>121</v>
      </c>
      <c r="AG902" s="27">
        <v>10.776199999999999</v>
      </c>
      <c r="AH902" s="34">
        <f t="shared" si="34"/>
        <v>147992.20000000004</v>
      </c>
      <c r="AI902">
        <f t="shared" si="33"/>
        <v>92418.537626906618</v>
      </c>
      <c r="AJ902" t="b" cm="1">
        <f t="array" ref="AJ902">OR(D902=$AT$2:$AT$8)</f>
        <v>0</v>
      </c>
    </row>
    <row r="903" spans="1:36" x14ac:dyDescent="0.25">
      <c r="A903" s="2" t="s">
        <v>1713</v>
      </c>
      <c r="B903" s="3">
        <v>53.3</v>
      </c>
      <c r="C903" s="2" t="s">
        <v>97</v>
      </c>
      <c r="D903" s="2" t="s">
        <v>97</v>
      </c>
      <c r="E903" s="2" t="s">
        <v>137</v>
      </c>
      <c r="F903" s="4" t="s">
        <v>138</v>
      </c>
      <c r="G903" s="4" t="s">
        <v>139</v>
      </c>
      <c r="H903" s="5">
        <v>9</v>
      </c>
      <c r="I903" s="5">
        <v>10.5</v>
      </c>
      <c r="J903" s="5">
        <v>13</v>
      </c>
      <c r="K903" s="4" t="s">
        <v>111</v>
      </c>
      <c r="L903" s="4" t="s">
        <v>112</v>
      </c>
      <c r="M903" s="6">
        <f>IF(OR(B903="",I903=""),"",B903*I903)</f>
        <v>559.65</v>
      </c>
      <c r="N903" s="25" t="s">
        <v>113</v>
      </c>
      <c r="O903" s="26">
        <v>55640</v>
      </c>
      <c r="P903" s="9" t="s">
        <v>1709</v>
      </c>
      <c r="Q903" s="27">
        <v>277572</v>
      </c>
      <c r="R903" s="27">
        <v>2991172</v>
      </c>
      <c r="S903" s="23">
        <f>IF(AND(ISNUMBER(Q903),Q903&gt;0,ISNUMBER(R903),R903&gt;0),R903/Q903,"")</f>
        <v>10.77620221059761</v>
      </c>
      <c r="T903" s="9" t="s">
        <v>115</v>
      </c>
      <c r="U903" s="9" t="s">
        <v>141</v>
      </c>
      <c r="V903" s="9" t="s">
        <v>21</v>
      </c>
      <c r="W903" s="9" t="s">
        <v>1710</v>
      </c>
      <c r="X903" s="23">
        <f>IF(ISNUMBER(S903),S903,IF(ISNUMBER(I903),I903,""))</f>
        <v>10.77620221059761</v>
      </c>
      <c r="Y903" t="str">
        <f>IF(ISNUMBER(S903),"2025 EIA-923 plant/group proxy",IF(ISNUMBER(I903),"Technology estimate","No thermal heat rate"))</f>
        <v>2025 EIA-923 plant/group proxy</v>
      </c>
      <c r="Z903" t="str">
        <f>IF(ISNUMBER(S903),"Review: NOT unit verified",IF(AE903="No match","No EIA match",IF(AF903="Unconfirmed","Unconfirmed EIA candidate","")))</f>
        <v>Review: NOT unit verified</v>
      </c>
      <c r="AA903" s="26">
        <v>0.9</v>
      </c>
      <c r="AB903" t="s">
        <v>166</v>
      </c>
      <c r="AC903" t="s">
        <v>1711</v>
      </c>
      <c r="AD903" s="26">
        <v>540</v>
      </c>
      <c r="AE903" t="s">
        <v>120</v>
      </c>
      <c r="AF903" t="s">
        <v>121</v>
      </c>
      <c r="AG903" s="27">
        <v>10.776199999999999</v>
      </c>
      <c r="AH903" s="34">
        <f t="shared" si="34"/>
        <v>148045.50000000003</v>
      </c>
      <c r="AI903">
        <f t="shared" si="33"/>
        <v>92451.82254364893</v>
      </c>
      <c r="AJ903" t="b" cm="1">
        <f t="array" ref="AJ903">OR(D903=$AT$2:$AT$8)</f>
        <v>0</v>
      </c>
    </row>
    <row r="904" spans="1:36" x14ac:dyDescent="0.25">
      <c r="A904" s="2" t="s">
        <v>1714</v>
      </c>
      <c r="B904" s="3">
        <v>53.3</v>
      </c>
      <c r="C904" s="2" t="s">
        <v>97</v>
      </c>
      <c r="D904" s="2" t="s">
        <v>97</v>
      </c>
      <c r="E904" s="2" t="s">
        <v>137</v>
      </c>
      <c r="F904" s="4" t="s">
        <v>138</v>
      </c>
      <c r="G904" s="4" t="s">
        <v>139</v>
      </c>
      <c r="H904" s="5">
        <v>9</v>
      </c>
      <c r="I904" s="5">
        <v>10.5</v>
      </c>
      <c r="J904" s="5">
        <v>13</v>
      </c>
      <c r="K904" s="4" t="s">
        <v>111</v>
      </c>
      <c r="L904" s="4" t="s">
        <v>112</v>
      </c>
      <c r="M904" s="6">
        <f>IF(OR(B904="",I904=""),"",B904*I904)</f>
        <v>559.65</v>
      </c>
      <c r="N904" s="25" t="s">
        <v>113</v>
      </c>
      <c r="O904" s="26">
        <v>55640</v>
      </c>
      <c r="P904" s="9" t="s">
        <v>1709</v>
      </c>
      <c r="Q904" s="27">
        <v>277572</v>
      </c>
      <c r="R904" s="27">
        <v>2991172</v>
      </c>
      <c r="S904" s="23">
        <f>IF(AND(ISNUMBER(Q904),Q904&gt;0,ISNUMBER(R904),R904&gt;0),R904/Q904,"")</f>
        <v>10.77620221059761</v>
      </c>
      <c r="T904" s="9" t="s">
        <v>115</v>
      </c>
      <c r="U904" s="9" t="s">
        <v>141</v>
      </c>
      <c r="V904" s="9" t="s">
        <v>21</v>
      </c>
      <c r="W904" s="9" t="s">
        <v>1710</v>
      </c>
      <c r="X904" s="23">
        <f>IF(ISNUMBER(S904),S904,IF(ISNUMBER(I904),I904,""))</f>
        <v>10.77620221059761</v>
      </c>
      <c r="Y904" t="str">
        <f>IF(ISNUMBER(S904),"2025 EIA-923 plant/group proxy",IF(ISNUMBER(I904),"Technology estimate","No thermal heat rate"))</f>
        <v>2025 EIA-923 plant/group proxy</v>
      </c>
      <c r="Z904" t="str">
        <f>IF(ISNUMBER(S904),"Review: NOT unit verified",IF(AE904="No match","No EIA match",IF(AF904="Unconfirmed","Unconfirmed EIA candidate","")))</f>
        <v>Review: NOT unit verified</v>
      </c>
      <c r="AA904" s="26">
        <v>0.9</v>
      </c>
      <c r="AB904" t="s">
        <v>166</v>
      </c>
      <c r="AC904" t="s">
        <v>1711</v>
      </c>
      <c r="AD904" s="26">
        <v>540</v>
      </c>
      <c r="AE904" t="s">
        <v>120</v>
      </c>
      <c r="AF904" t="s">
        <v>121</v>
      </c>
      <c r="AG904" s="27">
        <v>10.776199999999999</v>
      </c>
      <c r="AH904" s="34">
        <f t="shared" si="34"/>
        <v>148098.80000000002</v>
      </c>
      <c r="AI904">
        <f t="shared" si="33"/>
        <v>92485.107460391257</v>
      </c>
      <c r="AJ904" t="b" cm="1">
        <f t="array" ref="AJ904">OR(D904=$AT$2:$AT$8)</f>
        <v>0</v>
      </c>
    </row>
    <row r="905" spans="1:36" x14ac:dyDescent="0.25">
      <c r="A905" s="2" t="s">
        <v>1715</v>
      </c>
      <c r="B905" s="3">
        <v>53.3</v>
      </c>
      <c r="C905" s="2" t="s">
        <v>97</v>
      </c>
      <c r="D905" s="2" t="s">
        <v>97</v>
      </c>
      <c r="E905" s="2" t="s">
        <v>137</v>
      </c>
      <c r="F905" s="4" t="s">
        <v>138</v>
      </c>
      <c r="G905" s="4" t="s">
        <v>139</v>
      </c>
      <c r="H905" s="5">
        <v>9</v>
      </c>
      <c r="I905" s="5">
        <v>10.5</v>
      </c>
      <c r="J905" s="5">
        <v>13</v>
      </c>
      <c r="K905" s="4" t="s">
        <v>111</v>
      </c>
      <c r="L905" s="4" t="s">
        <v>112</v>
      </c>
      <c r="M905" s="6">
        <f>IF(OR(B905="",I905=""),"",B905*I905)</f>
        <v>559.65</v>
      </c>
      <c r="N905" s="25" t="s">
        <v>113</v>
      </c>
      <c r="O905" s="26">
        <v>55640</v>
      </c>
      <c r="P905" s="9" t="s">
        <v>1709</v>
      </c>
      <c r="Q905" s="27">
        <v>277572</v>
      </c>
      <c r="R905" s="27">
        <v>2991172</v>
      </c>
      <c r="S905" s="23">
        <f>IF(AND(ISNUMBER(Q905),Q905&gt;0,ISNUMBER(R905),R905&gt;0),R905/Q905,"")</f>
        <v>10.77620221059761</v>
      </c>
      <c r="T905" s="9" t="s">
        <v>115</v>
      </c>
      <c r="U905" s="9" t="s">
        <v>141</v>
      </c>
      <c r="V905" s="9" t="s">
        <v>21</v>
      </c>
      <c r="W905" s="9" t="s">
        <v>1710</v>
      </c>
      <c r="X905" s="23">
        <f>IF(ISNUMBER(S905),S905,IF(ISNUMBER(I905),I905,""))</f>
        <v>10.77620221059761</v>
      </c>
      <c r="Y905" t="str">
        <f>IF(ISNUMBER(S905),"2025 EIA-923 plant/group proxy",IF(ISNUMBER(I905),"Technology estimate","No thermal heat rate"))</f>
        <v>2025 EIA-923 plant/group proxy</v>
      </c>
      <c r="Z905" t="str">
        <f>IF(ISNUMBER(S905),"Review: NOT unit verified",IF(AE905="No match","No EIA match",IF(AF905="Unconfirmed","Unconfirmed EIA candidate","")))</f>
        <v>Review: NOT unit verified</v>
      </c>
      <c r="AA905" s="26">
        <v>0.9</v>
      </c>
      <c r="AB905" t="s">
        <v>166</v>
      </c>
      <c r="AC905" t="s">
        <v>1711</v>
      </c>
      <c r="AD905" s="26">
        <v>540</v>
      </c>
      <c r="AE905" t="s">
        <v>120</v>
      </c>
      <c r="AF905" t="s">
        <v>121</v>
      </c>
      <c r="AG905" s="27">
        <v>10.776199999999999</v>
      </c>
      <c r="AH905" s="34">
        <f t="shared" si="34"/>
        <v>148152.1</v>
      </c>
      <c r="AI905">
        <f t="shared" si="33"/>
        <v>92518.392377133583</v>
      </c>
      <c r="AJ905" t="b" cm="1">
        <f t="array" ref="AJ905">OR(D905=$AT$2:$AT$8)</f>
        <v>0</v>
      </c>
    </row>
    <row r="906" spans="1:36" x14ac:dyDescent="0.25">
      <c r="A906" s="2" t="s">
        <v>1716</v>
      </c>
      <c r="B906" s="3">
        <v>53.3</v>
      </c>
      <c r="C906" s="2" t="s">
        <v>97</v>
      </c>
      <c r="D906" s="2" t="s">
        <v>97</v>
      </c>
      <c r="E906" s="2" t="s">
        <v>137</v>
      </c>
      <c r="F906" s="4" t="s">
        <v>138</v>
      </c>
      <c r="G906" s="4" t="s">
        <v>139</v>
      </c>
      <c r="H906" s="5">
        <v>9</v>
      </c>
      <c r="I906" s="5">
        <v>10.5</v>
      </c>
      <c r="J906" s="5">
        <v>13</v>
      </c>
      <c r="K906" s="4" t="s">
        <v>111</v>
      </c>
      <c r="L906" s="4" t="s">
        <v>112</v>
      </c>
      <c r="M906" s="6">
        <f>IF(OR(B906="",I906=""),"",B906*I906)</f>
        <v>559.65</v>
      </c>
      <c r="N906" s="25" t="s">
        <v>113</v>
      </c>
      <c r="O906" s="26">
        <v>55640</v>
      </c>
      <c r="P906" s="9" t="s">
        <v>1709</v>
      </c>
      <c r="Q906" s="27">
        <v>277572</v>
      </c>
      <c r="R906" s="27">
        <v>2991172</v>
      </c>
      <c r="S906" s="23">
        <f>IF(AND(ISNUMBER(Q906),Q906&gt;0,ISNUMBER(R906),R906&gt;0),R906/Q906,"")</f>
        <v>10.77620221059761</v>
      </c>
      <c r="T906" s="9" t="s">
        <v>115</v>
      </c>
      <c r="U906" s="9" t="s">
        <v>141</v>
      </c>
      <c r="V906" s="9" t="s">
        <v>21</v>
      </c>
      <c r="W906" s="9" t="s">
        <v>1710</v>
      </c>
      <c r="X906" s="23">
        <f>IF(ISNUMBER(S906),S906,IF(ISNUMBER(I906),I906,""))</f>
        <v>10.77620221059761</v>
      </c>
      <c r="Y906" t="str">
        <f>IF(ISNUMBER(S906),"2025 EIA-923 plant/group proxy",IF(ISNUMBER(I906),"Technology estimate","No thermal heat rate"))</f>
        <v>2025 EIA-923 plant/group proxy</v>
      </c>
      <c r="Z906" t="str">
        <f>IF(ISNUMBER(S906),"Review: NOT unit verified",IF(AE906="No match","No EIA match",IF(AF906="Unconfirmed","Unconfirmed EIA candidate","")))</f>
        <v>Review: NOT unit verified</v>
      </c>
      <c r="AA906" s="26">
        <v>0.9</v>
      </c>
      <c r="AB906" t="s">
        <v>166</v>
      </c>
      <c r="AC906" t="s">
        <v>1711</v>
      </c>
      <c r="AD906" s="26">
        <v>540</v>
      </c>
      <c r="AE906" t="s">
        <v>120</v>
      </c>
      <c r="AF906" t="s">
        <v>121</v>
      </c>
      <c r="AG906" s="27">
        <v>10.776199999999999</v>
      </c>
      <c r="AH906" s="34">
        <f t="shared" si="34"/>
        <v>148205.4</v>
      </c>
      <c r="AI906">
        <f t="shared" si="33"/>
        <v>92551.677293875895</v>
      </c>
      <c r="AJ906" t="b" cm="1">
        <f t="array" ref="AJ906">OR(D906=$AT$2:$AT$8)</f>
        <v>0</v>
      </c>
    </row>
    <row r="907" spans="1:36" x14ac:dyDescent="0.25">
      <c r="A907" s="2" t="s">
        <v>1717</v>
      </c>
      <c r="B907" s="3">
        <v>45.5</v>
      </c>
      <c r="C907" s="2" t="s">
        <v>97</v>
      </c>
      <c r="D907" s="2" t="s">
        <v>97</v>
      </c>
      <c r="E907" s="2" t="s">
        <v>137</v>
      </c>
      <c r="F907" s="4" t="s">
        <v>138</v>
      </c>
      <c r="G907" s="4" t="s">
        <v>139</v>
      </c>
      <c r="H907" s="5">
        <v>9</v>
      </c>
      <c r="I907" s="5">
        <v>10.5</v>
      </c>
      <c r="J907" s="5">
        <v>13</v>
      </c>
      <c r="K907" s="4" t="s">
        <v>111</v>
      </c>
      <c r="L907" s="4" t="s">
        <v>112</v>
      </c>
      <c r="M907" s="6">
        <f>IF(OR(B907="",I907=""),"",B907*I907)</f>
        <v>477.75</v>
      </c>
      <c r="N907" s="25" t="s">
        <v>113</v>
      </c>
      <c r="O907" s="26">
        <v>55640</v>
      </c>
      <c r="P907" s="9" t="s">
        <v>1709</v>
      </c>
      <c r="Q907" s="27">
        <v>277572</v>
      </c>
      <c r="R907" s="27">
        <v>2991172</v>
      </c>
      <c r="S907" s="23">
        <f>IF(AND(ISNUMBER(Q907),Q907&gt;0,ISNUMBER(R907),R907&gt;0),R907/Q907,"")</f>
        <v>10.77620221059761</v>
      </c>
      <c r="T907" s="9" t="s">
        <v>115</v>
      </c>
      <c r="U907" s="9" t="s">
        <v>141</v>
      </c>
      <c r="V907" s="9" t="s">
        <v>21</v>
      </c>
      <c r="W907" s="9" t="s">
        <v>1710</v>
      </c>
      <c r="X907" s="23">
        <f>IF(ISNUMBER(S907),S907,IF(ISNUMBER(I907),I907,""))</f>
        <v>10.77620221059761</v>
      </c>
      <c r="Y907" t="str">
        <f>IF(ISNUMBER(S907),"2025 EIA-923 plant/group proxy",IF(ISNUMBER(I907),"Technology estimate","No thermal heat rate"))</f>
        <v>2025 EIA-923 plant/group proxy</v>
      </c>
      <c r="Z907" t="str">
        <f>IF(ISNUMBER(S907),"Review: NOT unit verified",IF(AE907="No match","No EIA match",IF(AF907="Unconfirmed","Unconfirmed EIA candidate","")))</f>
        <v>Review: NOT unit verified</v>
      </c>
      <c r="AA907" s="26">
        <v>1</v>
      </c>
      <c r="AB907" t="s">
        <v>166</v>
      </c>
      <c r="AC907" t="s">
        <v>1711</v>
      </c>
      <c r="AD907" s="26">
        <v>540</v>
      </c>
      <c r="AE907" t="s">
        <v>120</v>
      </c>
      <c r="AF907" t="s">
        <v>121</v>
      </c>
      <c r="AG907" s="27">
        <v>10.776199999999999</v>
      </c>
      <c r="AH907" s="34">
        <f t="shared" si="34"/>
        <v>148250.9</v>
      </c>
      <c r="AI907">
        <f t="shared" si="33"/>
        <v>92580.091247192526</v>
      </c>
      <c r="AJ907" t="b" cm="1">
        <f t="array" ref="AJ907">OR(D907=$AT$2:$AT$8)</f>
        <v>0</v>
      </c>
    </row>
    <row r="908" spans="1:36" x14ac:dyDescent="0.25">
      <c r="A908" s="2" t="s">
        <v>1718</v>
      </c>
      <c r="B908" s="3">
        <v>45</v>
      </c>
      <c r="C908" s="2" t="s">
        <v>97</v>
      </c>
      <c r="D908" s="2" t="s">
        <v>97</v>
      </c>
      <c r="E908" s="2" t="s">
        <v>137</v>
      </c>
      <c r="F908" s="4" t="s">
        <v>138</v>
      </c>
      <c r="G908" s="4" t="s">
        <v>139</v>
      </c>
      <c r="H908" s="5">
        <v>9</v>
      </c>
      <c r="I908" s="5">
        <v>10.5</v>
      </c>
      <c r="J908" s="5">
        <v>13</v>
      </c>
      <c r="K908" s="4" t="s">
        <v>111</v>
      </c>
      <c r="L908" s="4" t="s">
        <v>112</v>
      </c>
      <c r="M908" s="6">
        <f>IF(OR(B908="",I908=""),"",B908*I908)</f>
        <v>472.5</v>
      </c>
      <c r="N908" s="25" t="s">
        <v>113</v>
      </c>
      <c r="O908" s="26">
        <v>55640</v>
      </c>
      <c r="P908" s="9" t="s">
        <v>1709</v>
      </c>
      <c r="Q908" s="27">
        <v>277572</v>
      </c>
      <c r="R908" s="27">
        <v>2991172</v>
      </c>
      <c r="S908" s="23">
        <f>IF(AND(ISNUMBER(Q908),Q908&gt;0,ISNUMBER(R908),R908&gt;0),R908/Q908,"")</f>
        <v>10.77620221059761</v>
      </c>
      <c r="T908" s="9" t="s">
        <v>115</v>
      </c>
      <c r="U908" s="9" t="s">
        <v>141</v>
      </c>
      <c r="V908" s="9" t="s">
        <v>21</v>
      </c>
      <c r="W908" s="9" t="s">
        <v>1710</v>
      </c>
      <c r="X908" s="23">
        <f>IF(ISNUMBER(S908),S908,IF(ISNUMBER(I908),I908,""))</f>
        <v>10.77620221059761</v>
      </c>
      <c r="Y908" t="str">
        <f>IF(ISNUMBER(S908),"2025 EIA-923 plant/group proxy",IF(ISNUMBER(I908),"Technology estimate","No thermal heat rate"))</f>
        <v>2025 EIA-923 plant/group proxy</v>
      </c>
      <c r="Z908" t="str">
        <f>IF(ISNUMBER(S908),"Review: NOT unit verified",IF(AE908="No match","No EIA match",IF(AF908="Unconfirmed","Unconfirmed EIA candidate","")))</f>
        <v>Review: NOT unit verified</v>
      </c>
      <c r="AA908" s="26">
        <v>1</v>
      </c>
      <c r="AB908" t="s">
        <v>166</v>
      </c>
      <c r="AC908" t="s">
        <v>1711</v>
      </c>
      <c r="AD908" s="26">
        <v>540</v>
      </c>
      <c r="AE908" t="s">
        <v>120</v>
      </c>
      <c r="AF908" t="s">
        <v>121</v>
      </c>
      <c r="AG908" s="27">
        <v>10.776199999999999</v>
      </c>
      <c r="AH908" s="34">
        <f t="shared" si="34"/>
        <v>148295.9</v>
      </c>
      <c r="AI908">
        <f t="shared" si="33"/>
        <v>92608.192959263906</v>
      </c>
      <c r="AJ908" t="b" cm="1">
        <f t="array" ref="AJ908">OR(D908=$AT$2:$AT$8)</f>
        <v>0</v>
      </c>
    </row>
    <row r="909" spans="1:36" x14ac:dyDescent="0.25">
      <c r="A909" s="2" t="s">
        <v>1719</v>
      </c>
      <c r="B909" s="3">
        <v>45.8</v>
      </c>
      <c r="C909" s="2" t="s">
        <v>97</v>
      </c>
      <c r="D909" s="2" t="s">
        <v>97</v>
      </c>
      <c r="E909" s="2" t="s">
        <v>137</v>
      </c>
      <c r="F909" s="4" t="s">
        <v>138</v>
      </c>
      <c r="G909" s="4" t="s">
        <v>139</v>
      </c>
      <c r="H909" s="5">
        <v>9</v>
      </c>
      <c r="I909" s="5">
        <v>10.5</v>
      </c>
      <c r="J909" s="5">
        <v>13</v>
      </c>
      <c r="K909" s="4" t="s">
        <v>111</v>
      </c>
      <c r="L909" s="4" t="s">
        <v>112</v>
      </c>
      <c r="M909" s="6">
        <f>IF(OR(B909="",I909=""),"",B909*I909)</f>
        <v>480.9</v>
      </c>
      <c r="N909" s="25" t="s">
        <v>113</v>
      </c>
      <c r="O909" s="26">
        <v>55640</v>
      </c>
      <c r="P909" s="9" t="s">
        <v>1709</v>
      </c>
      <c r="Q909" s="27">
        <v>277572</v>
      </c>
      <c r="R909" s="27">
        <v>2991172</v>
      </c>
      <c r="S909" s="23">
        <f>IF(AND(ISNUMBER(Q909),Q909&gt;0,ISNUMBER(R909),R909&gt;0),R909/Q909,"")</f>
        <v>10.77620221059761</v>
      </c>
      <c r="T909" s="9" t="s">
        <v>115</v>
      </c>
      <c r="U909" s="9" t="s">
        <v>141</v>
      </c>
      <c r="V909" s="9" t="s">
        <v>21</v>
      </c>
      <c r="W909" s="9" t="s">
        <v>1710</v>
      </c>
      <c r="X909" s="23">
        <f>IF(ISNUMBER(S909),S909,IF(ISNUMBER(I909),I909,""))</f>
        <v>10.77620221059761</v>
      </c>
      <c r="Y909" t="str">
        <f>IF(ISNUMBER(S909),"2025 EIA-923 plant/group proxy",IF(ISNUMBER(I909),"Technology estimate","No thermal heat rate"))</f>
        <v>2025 EIA-923 plant/group proxy</v>
      </c>
      <c r="Z909" t="str">
        <f>IF(ISNUMBER(S909),"Review: NOT unit verified",IF(AE909="No match","No EIA match",IF(AF909="Unconfirmed","Unconfirmed EIA candidate","")))</f>
        <v>Review: NOT unit verified</v>
      </c>
      <c r="AA909" s="26">
        <v>1</v>
      </c>
      <c r="AB909" t="s">
        <v>166</v>
      </c>
      <c r="AC909" t="s">
        <v>1711</v>
      </c>
      <c r="AD909" s="26">
        <v>540</v>
      </c>
      <c r="AE909" t="s">
        <v>120</v>
      </c>
      <c r="AF909" t="s">
        <v>121</v>
      </c>
      <c r="AG909" s="27">
        <v>10.776199999999999</v>
      </c>
      <c r="AH909" s="34">
        <f t="shared" si="34"/>
        <v>148341.69999999998</v>
      </c>
      <c r="AI909">
        <f t="shared" si="33"/>
        <v>92636.794257327667</v>
      </c>
      <c r="AJ909" t="b" cm="1">
        <f t="array" ref="AJ909">OR(D909=$AT$2:$AT$8)</f>
        <v>0</v>
      </c>
    </row>
    <row r="910" spans="1:36" x14ac:dyDescent="0.25">
      <c r="A910" s="2" t="s">
        <v>1720</v>
      </c>
      <c r="B910" s="3">
        <v>45.5</v>
      </c>
      <c r="C910" s="2" t="s">
        <v>97</v>
      </c>
      <c r="D910" s="2" t="s">
        <v>97</v>
      </c>
      <c r="E910" s="2" t="s">
        <v>137</v>
      </c>
      <c r="F910" s="4" t="s">
        <v>138</v>
      </c>
      <c r="G910" s="4" t="s">
        <v>139</v>
      </c>
      <c r="H910" s="5">
        <v>9</v>
      </c>
      <c r="I910" s="5">
        <v>10.5</v>
      </c>
      <c r="J910" s="5">
        <v>13</v>
      </c>
      <c r="K910" s="4" t="s">
        <v>111</v>
      </c>
      <c r="L910" s="4" t="s">
        <v>112</v>
      </c>
      <c r="M910" s="6">
        <f>IF(OR(B910="",I910=""),"",B910*I910)</f>
        <v>477.75</v>
      </c>
      <c r="N910" s="25" t="s">
        <v>113</v>
      </c>
      <c r="O910" s="26">
        <v>55640</v>
      </c>
      <c r="P910" s="9" t="s">
        <v>1709</v>
      </c>
      <c r="Q910" s="27">
        <v>277572</v>
      </c>
      <c r="R910" s="27">
        <v>2991172</v>
      </c>
      <c r="S910" s="23">
        <f>IF(AND(ISNUMBER(Q910),Q910&gt;0,ISNUMBER(R910),R910&gt;0),R910/Q910,"")</f>
        <v>10.77620221059761</v>
      </c>
      <c r="T910" s="9" t="s">
        <v>115</v>
      </c>
      <c r="U910" s="9" t="s">
        <v>141</v>
      </c>
      <c r="V910" s="9" t="s">
        <v>21</v>
      </c>
      <c r="W910" s="9" t="s">
        <v>1710</v>
      </c>
      <c r="X910" s="23">
        <f>IF(ISNUMBER(S910),S910,IF(ISNUMBER(I910),I910,""))</f>
        <v>10.77620221059761</v>
      </c>
      <c r="Y910" t="str">
        <f>IF(ISNUMBER(S910),"2025 EIA-923 plant/group proxy",IF(ISNUMBER(I910),"Technology estimate","No thermal heat rate"))</f>
        <v>2025 EIA-923 plant/group proxy</v>
      </c>
      <c r="Z910" t="str">
        <f>IF(ISNUMBER(S910),"Review: NOT unit verified",IF(AE910="No match","No EIA match",IF(AF910="Unconfirmed","Unconfirmed EIA candidate","")))</f>
        <v>Review: NOT unit verified</v>
      </c>
      <c r="AA910" s="26">
        <v>1</v>
      </c>
      <c r="AB910" t="s">
        <v>166</v>
      </c>
      <c r="AC910" t="s">
        <v>1711</v>
      </c>
      <c r="AD910" s="26">
        <v>540</v>
      </c>
      <c r="AE910" t="s">
        <v>120</v>
      </c>
      <c r="AF910" t="s">
        <v>121</v>
      </c>
      <c r="AG910" s="27">
        <v>10.776199999999999</v>
      </c>
      <c r="AH910" s="34">
        <f t="shared" si="34"/>
        <v>148387.19999999998</v>
      </c>
      <c r="AI910">
        <f t="shared" si="33"/>
        <v>92665.208210644283</v>
      </c>
      <c r="AJ910" t="b" cm="1">
        <f t="array" ref="AJ910">OR(D910=$AT$2:$AT$8)</f>
        <v>0</v>
      </c>
    </row>
    <row r="911" spans="1:36" x14ac:dyDescent="0.25">
      <c r="A911" s="2" t="s">
        <v>1721</v>
      </c>
      <c r="B911" s="3">
        <v>45.1</v>
      </c>
      <c r="C911" s="2" t="s">
        <v>97</v>
      </c>
      <c r="D911" s="2" t="s">
        <v>97</v>
      </c>
      <c r="E911" s="2" t="s">
        <v>137</v>
      </c>
      <c r="F911" s="4" t="s">
        <v>138</v>
      </c>
      <c r="G911" s="4" t="s">
        <v>139</v>
      </c>
      <c r="H911" s="5">
        <v>9</v>
      </c>
      <c r="I911" s="5">
        <v>10.5</v>
      </c>
      <c r="J911" s="5">
        <v>13</v>
      </c>
      <c r="K911" s="4" t="s">
        <v>111</v>
      </c>
      <c r="L911" s="4" t="s">
        <v>112</v>
      </c>
      <c r="M911" s="6">
        <f>IF(OR(B911="",I911=""),"",B911*I911)</f>
        <v>473.55</v>
      </c>
      <c r="N911" s="25" t="s">
        <v>113</v>
      </c>
      <c r="O911" s="26">
        <v>55640</v>
      </c>
      <c r="P911" s="9" t="s">
        <v>1709</v>
      </c>
      <c r="Q911" s="27">
        <v>277572</v>
      </c>
      <c r="R911" s="27">
        <v>2991172</v>
      </c>
      <c r="S911" s="23">
        <f>IF(AND(ISNUMBER(Q911),Q911&gt;0,ISNUMBER(R911),R911&gt;0),R911/Q911,"")</f>
        <v>10.77620221059761</v>
      </c>
      <c r="T911" s="9" t="s">
        <v>115</v>
      </c>
      <c r="U911" s="9" t="s">
        <v>141</v>
      </c>
      <c r="V911" s="9" t="s">
        <v>21</v>
      </c>
      <c r="W911" s="9" t="s">
        <v>1710</v>
      </c>
      <c r="X911" s="23">
        <f>IF(ISNUMBER(S911),S911,IF(ISNUMBER(I911),I911,""))</f>
        <v>10.77620221059761</v>
      </c>
      <c r="Y911" t="str">
        <f>IF(ISNUMBER(S911),"2025 EIA-923 plant/group proxy",IF(ISNUMBER(I911),"Technology estimate","No thermal heat rate"))</f>
        <v>2025 EIA-923 plant/group proxy</v>
      </c>
      <c r="Z911" t="str">
        <f>IF(ISNUMBER(S911),"Review: NOT unit verified",IF(AE911="No match","No EIA match",IF(AF911="Unconfirmed","Unconfirmed EIA candidate","")))</f>
        <v>Review: NOT unit verified</v>
      </c>
      <c r="AA911" s="26">
        <v>1</v>
      </c>
      <c r="AB911" t="s">
        <v>166</v>
      </c>
      <c r="AC911" t="s">
        <v>1711</v>
      </c>
      <c r="AD911" s="26">
        <v>540</v>
      </c>
      <c r="AE911" t="s">
        <v>120</v>
      </c>
      <c r="AF911" t="s">
        <v>121</v>
      </c>
      <c r="AG911" s="27">
        <v>10.776199999999999</v>
      </c>
      <c r="AH911" s="34">
        <f t="shared" si="34"/>
        <v>148432.29999999999</v>
      </c>
      <c r="AI911">
        <f t="shared" si="33"/>
        <v>92693.372370964717</v>
      </c>
      <c r="AJ911" t="b" cm="1">
        <f t="array" ref="AJ911">OR(D911=$AT$2:$AT$8)</f>
        <v>0</v>
      </c>
    </row>
    <row r="912" spans="1:36" x14ac:dyDescent="0.25">
      <c r="A912" s="2" t="s">
        <v>1722</v>
      </c>
      <c r="B912" s="3">
        <v>45.6</v>
      </c>
      <c r="C912" s="2" t="s">
        <v>97</v>
      </c>
      <c r="D912" s="2" t="s">
        <v>97</v>
      </c>
      <c r="E912" s="2" t="s">
        <v>137</v>
      </c>
      <c r="F912" s="4" t="s">
        <v>138</v>
      </c>
      <c r="G912" s="4" t="s">
        <v>139</v>
      </c>
      <c r="H912" s="5">
        <v>9</v>
      </c>
      <c r="I912" s="5">
        <v>10.5</v>
      </c>
      <c r="J912" s="5">
        <v>13</v>
      </c>
      <c r="K912" s="4" t="s">
        <v>111</v>
      </c>
      <c r="L912" s="4" t="s">
        <v>112</v>
      </c>
      <c r="M912" s="6">
        <f>IF(OR(B912="",I912=""),"",B912*I912)</f>
        <v>478.8</v>
      </c>
      <c r="N912" s="25" t="s">
        <v>113</v>
      </c>
      <c r="O912" s="26">
        <v>55640</v>
      </c>
      <c r="P912" s="9" t="s">
        <v>1709</v>
      </c>
      <c r="Q912" s="27">
        <v>277572</v>
      </c>
      <c r="R912" s="27">
        <v>2991172</v>
      </c>
      <c r="S912" s="23">
        <f>IF(AND(ISNUMBER(Q912),Q912&gt;0,ISNUMBER(R912),R912&gt;0),R912/Q912,"")</f>
        <v>10.77620221059761</v>
      </c>
      <c r="T912" s="9" t="s">
        <v>115</v>
      </c>
      <c r="U912" s="9" t="s">
        <v>141</v>
      </c>
      <c r="V912" s="9" t="s">
        <v>21</v>
      </c>
      <c r="W912" s="9" t="s">
        <v>1710</v>
      </c>
      <c r="X912" s="23">
        <f>IF(ISNUMBER(S912),S912,IF(ISNUMBER(I912),I912,""))</f>
        <v>10.77620221059761</v>
      </c>
      <c r="Y912" t="str">
        <f>IF(ISNUMBER(S912),"2025 EIA-923 plant/group proxy",IF(ISNUMBER(I912),"Technology estimate","No thermal heat rate"))</f>
        <v>2025 EIA-923 plant/group proxy</v>
      </c>
      <c r="Z912" t="str">
        <f>IF(ISNUMBER(S912),"Review: NOT unit verified",IF(AE912="No match","No EIA match",IF(AF912="Unconfirmed","Unconfirmed EIA candidate","")))</f>
        <v>Review: NOT unit verified</v>
      </c>
      <c r="AA912" s="26">
        <v>1</v>
      </c>
      <c r="AB912" t="s">
        <v>166</v>
      </c>
      <c r="AC912" t="s">
        <v>1711</v>
      </c>
      <c r="AD912" s="26">
        <v>540</v>
      </c>
      <c r="AE912" t="s">
        <v>120</v>
      </c>
      <c r="AF912" t="s">
        <v>121</v>
      </c>
      <c r="AG912" s="27">
        <v>10.776199999999999</v>
      </c>
      <c r="AH912" s="34">
        <f t="shared" si="34"/>
        <v>148477.9</v>
      </c>
      <c r="AI912">
        <f t="shared" si="33"/>
        <v>92721.8487725304</v>
      </c>
      <c r="AJ912" t="b" cm="1">
        <f t="array" ref="AJ912">OR(D912=$AT$2:$AT$8)</f>
        <v>0</v>
      </c>
    </row>
    <row r="913" spans="1:36" x14ac:dyDescent="0.25">
      <c r="A913" s="2" t="s">
        <v>1723</v>
      </c>
      <c r="B913" s="3">
        <v>45.7</v>
      </c>
      <c r="C913" s="2" t="s">
        <v>97</v>
      </c>
      <c r="D913" s="2" t="s">
        <v>97</v>
      </c>
      <c r="E913" s="2" t="s">
        <v>137</v>
      </c>
      <c r="F913" s="4" t="s">
        <v>138</v>
      </c>
      <c r="G913" s="4" t="s">
        <v>139</v>
      </c>
      <c r="H913" s="5">
        <v>9</v>
      </c>
      <c r="I913" s="5">
        <v>10.5</v>
      </c>
      <c r="J913" s="5">
        <v>13</v>
      </c>
      <c r="K913" s="4" t="s">
        <v>111</v>
      </c>
      <c r="L913" s="4" t="s">
        <v>112</v>
      </c>
      <c r="M913" s="6">
        <f>IF(OR(B913="",I913=""),"",B913*I913)</f>
        <v>479.85</v>
      </c>
      <c r="N913" s="25" t="s">
        <v>113</v>
      </c>
      <c r="O913" s="26">
        <v>55640</v>
      </c>
      <c r="P913" s="9" t="s">
        <v>1709</v>
      </c>
      <c r="Q913" s="27">
        <v>277572</v>
      </c>
      <c r="R913" s="27">
        <v>2991172</v>
      </c>
      <c r="S913" s="23">
        <f>IF(AND(ISNUMBER(Q913),Q913&gt;0,ISNUMBER(R913),R913&gt;0),R913/Q913,"")</f>
        <v>10.77620221059761</v>
      </c>
      <c r="T913" s="9" t="s">
        <v>115</v>
      </c>
      <c r="U913" s="9" t="s">
        <v>141</v>
      </c>
      <c r="V913" s="9" t="s">
        <v>21</v>
      </c>
      <c r="W913" s="9" t="s">
        <v>1710</v>
      </c>
      <c r="X913" s="23">
        <f>IF(ISNUMBER(S913),S913,IF(ISNUMBER(I913),I913,""))</f>
        <v>10.77620221059761</v>
      </c>
      <c r="Y913" t="str">
        <f>IF(ISNUMBER(S913),"2025 EIA-923 plant/group proxy",IF(ISNUMBER(I913),"Technology estimate","No thermal heat rate"))</f>
        <v>2025 EIA-923 plant/group proxy</v>
      </c>
      <c r="Z913" t="str">
        <f>IF(ISNUMBER(S913),"Review: NOT unit verified",IF(AE913="No match","No EIA match",IF(AF913="Unconfirmed","Unconfirmed EIA candidate","")))</f>
        <v>Review: NOT unit verified</v>
      </c>
      <c r="AA913" s="26">
        <v>1</v>
      </c>
      <c r="AB913" t="s">
        <v>166</v>
      </c>
      <c r="AC913" t="s">
        <v>1711</v>
      </c>
      <c r="AD913" s="26">
        <v>540</v>
      </c>
      <c r="AE913" t="s">
        <v>120</v>
      </c>
      <c r="AF913" t="s">
        <v>121</v>
      </c>
      <c r="AG913" s="27">
        <v>10.776199999999999</v>
      </c>
      <c r="AH913" s="34">
        <f t="shared" si="34"/>
        <v>148523.6</v>
      </c>
      <c r="AI913">
        <f t="shared" si="33"/>
        <v>92750.387622345123</v>
      </c>
      <c r="AJ913" t="b" cm="1">
        <f t="array" ref="AJ913">OR(D913=$AT$2:$AT$8)</f>
        <v>0</v>
      </c>
    </row>
    <row r="914" spans="1:36" x14ac:dyDescent="0.25">
      <c r="A914" s="2" t="s">
        <v>1724</v>
      </c>
      <c r="B914" s="3">
        <v>45.4</v>
      </c>
      <c r="C914" s="2" t="s">
        <v>97</v>
      </c>
      <c r="D914" s="2" t="s">
        <v>97</v>
      </c>
      <c r="E914" s="2" t="s">
        <v>137</v>
      </c>
      <c r="F914" s="4" t="s">
        <v>138</v>
      </c>
      <c r="G914" s="4" t="s">
        <v>139</v>
      </c>
      <c r="H914" s="5">
        <v>9</v>
      </c>
      <c r="I914" s="5">
        <v>10.5</v>
      </c>
      <c r="J914" s="5">
        <v>13</v>
      </c>
      <c r="K914" s="4" t="s">
        <v>111</v>
      </c>
      <c r="L914" s="4" t="s">
        <v>112</v>
      </c>
      <c r="M914" s="6">
        <f>IF(OR(B914="",I914=""),"",B914*I914)</f>
        <v>476.7</v>
      </c>
      <c r="N914" s="25" t="s">
        <v>113</v>
      </c>
      <c r="O914" s="26">
        <v>55640</v>
      </c>
      <c r="P914" s="9" t="s">
        <v>1709</v>
      </c>
      <c r="Q914" s="27">
        <v>277572</v>
      </c>
      <c r="R914" s="27">
        <v>2991172</v>
      </c>
      <c r="S914" s="23">
        <f>IF(AND(ISNUMBER(Q914),Q914&gt;0,ISNUMBER(R914),R914&gt;0),R914/Q914,"")</f>
        <v>10.77620221059761</v>
      </c>
      <c r="T914" s="9" t="s">
        <v>115</v>
      </c>
      <c r="U914" s="9" t="s">
        <v>141</v>
      </c>
      <c r="V914" s="9" t="s">
        <v>21</v>
      </c>
      <c r="W914" s="9" t="s">
        <v>1710</v>
      </c>
      <c r="X914" s="23">
        <f>IF(ISNUMBER(S914),S914,IF(ISNUMBER(I914),I914,""))</f>
        <v>10.77620221059761</v>
      </c>
      <c r="Y914" t="str">
        <f>IF(ISNUMBER(S914),"2025 EIA-923 plant/group proxy",IF(ISNUMBER(I914),"Technology estimate","No thermal heat rate"))</f>
        <v>2025 EIA-923 plant/group proxy</v>
      </c>
      <c r="Z914" t="str">
        <f>IF(ISNUMBER(S914),"Review: NOT unit verified",IF(AE914="No match","No EIA match",IF(AF914="Unconfirmed","Unconfirmed EIA candidate","")))</f>
        <v>Review: NOT unit verified</v>
      </c>
      <c r="AA914" s="26">
        <v>1</v>
      </c>
      <c r="AB914" t="s">
        <v>166</v>
      </c>
      <c r="AC914" t="s">
        <v>1711</v>
      </c>
      <c r="AD914" s="26">
        <v>540</v>
      </c>
      <c r="AE914" t="s">
        <v>120</v>
      </c>
      <c r="AF914" t="s">
        <v>121</v>
      </c>
      <c r="AG914" s="27">
        <v>10.776199999999999</v>
      </c>
      <c r="AH914" s="34">
        <f t="shared" si="34"/>
        <v>148569</v>
      </c>
      <c r="AI914">
        <f t="shared" si="33"/>
        <v>92778.739127412686</v>
      </c>
      <c r="AJ914" t="b" cm="1">
        <f t="array" ref="AJ914">OR(D914=$AT$2:$AT$8)</f>
        <v>0</v>
      </c>
    </row>
    <row r="915" spans="1:36" x14ac:dyDescent="0.25">
      <c r="A915" s="2" t="s">
        <v>1725</v>
      </c>
      <c r="B915" s="3">
        <v>45.4</v>
      </c>
      <c r="C915" s="2" t="s">
        <v>97</v>
      </c>
      <c r="D915" s="2" t="s">
        <v>97</v>
      </c>
      <c r="E915" s="2" t="s">
        <v>137</v>
      </c>
      <c r="F915" s="4" t="s">
        <v>138</v>
      </c>
      <c r="G915" s="4" t="s">
        <v>139</v>
      </c>
      <c r="H915" s="5">
        <v>9</v>
      </c>
      <c r="I915" s="5">
        <v>10.5</v>
      </c>
      <c r="J915" s="5">
        <v>13</v>
      </c>
      <c r="K915" s="4" t="s">
        <v>111</v>
      </c>
      <c r="L915" s="4" t="s">
        <v>112</v>
      </c>
      <c r="M915" s="6">
        <f>IF(OR(B915="",I915=""),"",B915*I915)</f>
        <v>476.7</v>
      </c>
      <c r="N915" s="25" t="s">
        <v>113</v>
      </c>
      <c r="O915" s="26">
        <v>55640</v>
      </c>
      <c r="P915" s="9" t="s">
        <v>1709</v>
      </c>
      <c r="Q915" s="27">
        <v>277572</v>
      </c>
      <c r="R915" s="27">
        <v>2991172</v>
      </c>
      <c r="S915" s="23">
        <f>IF(AND(ISNUMBER(Q915),Q915&gt;0,ISNUMBER(R915),R915&gt;0),R915/Q915,"")</f>
        <v>10.77620221059761</v>
      </c>
      <c r="T915" s="9" t="s">
        <v>115</v>
      </c>
      <c r="U915" s="9" t="s">
        <v>141</v>
      </c>
      <c r="V915" s="9" t="s">
        <v>21</v>
      </c>
      <c r="W915" s="9" t="s">
        <v>1710</v>
      </c>
      <c r="X915" s="23">
        <f>IF(ISNUMBER(S915),S915,IF(ISNUMBER(I915),I915,""))</f>
        <v>10.77620221059761</v>
      </c>
      <c r="Y915" t="str">
        <f>IF(ISNUMBER(S915),"2025 EIA-923 plant/group proxy",IF(ISNUMBER(I915),"Technology estimate","No thermal heat rate"))</f>
        <v>2025 EIA-923 plant/group proxy</v>
      </c>
      <c r="Z915" t="str">
        <f>IF(ISNUMBER(S915),"Review: NOT unit verified",IF(AE915="No match","No EIA match",IF(AF915="Unconfirmed","Unconfirmed EIA candidate","")))</f>
        <v>Review: NOT unit verified</v>
      </c>
      <c r="AA915" s="26">
        <v>1</v>
      </c>
      <c r="AB915" t="s">
        <v>166</v>
      </c>
      <c r="AC915" t="s">
        <v>1711</v>
      </c>
      <c r="AD915" s="26">
        <v>540</v>
      </c>
      <c r="AE915" t="s">
        <v>120</v>
      </c>
      <c r="AF915" t="s">
        <v>121</v>
      </c>
      <c r="AG915" s="27">
        <v>10.776199999999999</v>
      </c>
      <c r="AH915" s="34">
        <f t="shared" si="34"/>
        <v>148614.39999999999</v>
      </c>
      <c r="AI915">
        <f t="shared" si="33"/>
        <v>92807.090632480264</v>
      </c>
      <c r="AJ915" t="b" cm="1">
        <f t="array" ref="AJ915">OR(D915=$AT$2:$AT$8)</f>
        <v>0</v>
      </c>
    </row>
    <row r="916" spans="1:36" x14ac:dyDescent="0.25">
      <c r="A916" s="2" t="s">
        <v>1726</v>
      </c>
      <c r="B916" s="3">
        <v>45.1</v>
      </c>
      <c r="C916" s="2" t="s">
        <v>97</v>
      </c>
      <c r="D916" s="2" t="s">
        <v>97</v>
      </c>
      <c r="E916" s="2" t="s">
        <v>137</v>
      </c>
      <c r="F916" s="4" t="s">
        <v>138</v>
      </c>
      <c r="G916" s="4" t="s">
        <v>139</v>
      </c>
      <c r="H916" s="5">
        <v>9</v>
      </c>
      <c r="I916" s="5">
        <v>10.5</v>
      </c>
      <c r="J916" s="5">
        <v>13</v>
      </c>
      <c r="K916" s="4" t="s">
        <v>111</v>
      </c>
      <c r="L916" s="4" t="s">
        <v>112</v>
      </c>
      <c r="M916" s="6">
        <f>IF(OR(B916="",I916=""),"",B916*I916)</f>
        <v>473.55</v>
      </c>
      <c r="N916" s="25" t="s">
        <v>113</v>
      </c>
      <c r="O916" s="26">
        <v>55640</v>
      </c>
      <c r="P916" s="9" t="s">
        <v>1709</v>
      </c>
      <c r="Q916" s="27">
        <v>277572</v>
      </c>
      <c r="R916" s="27">
        <v>2991172</v>
      </c>
      <c r="S916" s="23">
        <f>IF(AND(ISNUMBER(Q916),Q916&gt;0,ISNUMBER(R916),R916&gt;0),R916/Q916,"")</f>
        <v>10.77620221059761</v>
      </c>
      <c r="T916" s="9" t="s">
        <v>115</v>
      </c>
      <c r="U916" s="9" t="s">
        <v>141</v>
      </c>
      <c r="V916" s="9" t="s">
        <v>21</v>
      </c>
      <c r="W916" s="9" t="s">
        <v>1710</v>
      </c>
      <c r="X916" s="23">
        <f>IF(ISNUMBER(S916),S916,IF(ISNUMBER(I916),I916,""))</f>
        <v>10.77620221059761</v>
      </c>
      <c r="Y916" t="str">
        <f>IF(ISNUMBER(S916),"2025 EIA-923 plant/group proxy",IF(ISNUMBER(I916),"Technology estimate","No thermal heat rate"))</f>
        <v>2025 EIA-923 plant/group proxy</v>
      </c>
      <c r="Z916" t="str">
        <f>IF(ISNUMBER(S916),"Review: NOT unit verified",IF(AE916="No match","No EIA match",IF(AF916="Unconfirmed","Unconfirmed EIA candidate","")))</f>
        <v>Review: NOT unit verified</v>
      </c>
      <c r="AA916" s="26">
        <v>0.82840000000000003</v>
      </c>
      <c r="AB916" t="s">
        <v>166</v>
      </c>
      <c r="AC916" t="s">
        <v>1711</v>
      </c>
      <c r="AD916" s="26">
        <v>540</v>
      </c>
      <c r="AE916" t="s">
        <v>120</v>
      </c>
      <c r="AF916" t="s">
        <v>121</v>
      </c>
      <c r="AG916" s="27">
        <v>10.776199999999999</v>
      </c>
      <c r="AH916" s="34">
        <f t="shared" si="34"/>
        <v>148659.5</v>
      </c>
      <c r="AI916">
        <f t="shared" si="33"/>
        <v>92835.254792800697</v>
      </c>
      <c r="AJ916" t="b" cm="1">
        <f t="array" ref="AJ916">OR(D916=$AT$2:$AT$8)</f>
        <v>0</v>
      </c>
    </row>
    <row r="917" spans="1:36" x14ac:dyDescent="0.25">
      <c r="A917" s="2" t="s">
        <v>1727</v>
      </c>
      <c r="B917" s="3">
        <v>45.5</v>
      </c>
      <c r="C917" s="2" t="s">
        <v>97</v>
      </c>
      <c r="D917" s="2" t="s">
        <v>97</v>
      </c>
      <c r="E917" s="2" t="s">
        <v>137</v>
      </c>
      <c r="F917" s="4" t="s">
        <v>138</v>
      </c>
      <c r="G917" s="4" t="s">
        <v>139</v>
      </c>
      <c r="H917" s="5">
        <v>9</v>
      </c>
      <c r="I917" s="5">
        <v>10.5</v>
      </c>
      <c r="J917" s="5">
        <v>13</v>
      </c>
      <c r="K917" s="4" t="s">
        <v>111</v>
      </c>
      <c r="L917" s="4" t="s">
        <v>112</v>
      </c>
      <c r="M917" s="6">
        <f>IF(OR(B917="",I917=""),"",B917*I917)</f>
        <v>477.75</v>
      </c>
      <c r="N917" s="25" t="s">
        <v>113</v>
      </c>
      <c r="O917" s="26">
        <v>55640</v>
      </c>
      <c r="P917" s="9" t="s">
        <v>1709</v>
      </c>
      <c r="Q917" s="27">
        <v>277572</v>
      </c>
      <c r="R917" s="27">
        <v>2991172</v>
      </c>
      <c r="S917" s="23">
        <f>IF(AND(ISNUMBER(Q917),Q917&gt;0,ISNUMBER(R917),R917&gt;0),R917/Q917,"")</f>
        <v>10.77620221059761</v>
      </c>
      <c r="T917" s="9" t="s">
        <v>115</v>
      </c>
      <c r="U917" s="9" t="s">
        <v>141</v>
      </c>
      <c r="V917" s="9" t="s">
        <v>21</v>
      </c>
      <c r="W917" s="9" t="s">
        <v>1710</v>
      </c>
      <c r="X917" s="23">
        <f>IF(ISNUMBER(S917),S917,IF(ISNUMBER(I917),I917,""))</f>
        <v>10.77620221059761</v>
      </c>
      <c r="Y917" t="str">
        <f>IF(ISNUMBER(S917),"2025 EIA-923 plant/group proxy",IF(ISNUMBER(I917),"Technology estimate","No thermal heat rate"))</f>
        <v>2025 EIA-923 plant/group proxy</v>
      </c>
      <c r="Z917" t="str">
        <f>IF(ISNUMBER(S917),"Review: NOT unit verified",IF(AE917="No match","No EIA match",IF(AF917="Unconfirmed","Unconfirmed EIA candidate","")))</f>
        <v>Review: NOT unit verified</v>
      </c>
      <c r="AA917" s="26">
        <v>0.82840000000000003</v>
      </c>
      <c r="AB917" t="s">
        <v>166</v>
      </c>
      <c r="AC917" t="s">
        <v>1711</v>
      </c>
      <c r="AD917" s="26">
        <v>540</v>
      </c>
      <c r="AE917" t="s">
        <v>120</v>
      </c>
      <c r="AF917" t="s">
        <v>121</v>
      </c>
      <c r="AG917" s="27">
        <v>10.776199999999999</v>
      </c>
      <c r="AH917" s="34">
        <f t="shared" si="34"/>
        <v>148705</v>
      </c>
      <c r="AI917">
        <f t="shared" si="33"/>
        <v>92863.668746117328</v>
      </c>
      <c r="AJ917" t="b" cm="1">
        <f t="array" ref="AJ917">OR(D917=$AT$2:$AT$8)</f>
        <v>0</v>
      </c>
    </row>
    <row r="918" spans="1:36" x14ac:dyDescent="0.25">
      <c r="A918" s="2" t="s">
        <v>1728</v>
      </c>
      <c r="B918" s="3">
        <v>45.8</v>
      </c>
      <c r="C918" s="2" t="s">
        <v>97</v>
      </c>
      <c r="D918" s="2" t="s">
        <v>97</v>
      </c>
      <c r="E918" s="2" t="s">
        <v>137</v>
      </c>
      <c r="F918" s="4" t="s">
        <v>138</v>
      </c>
      <c r="G918" s="4" t="s">
        <v>139</v>
      </c>
      <c r="H918" s="5">
        <v>9</v>
      </c>
      <c r="I918" s="5">
        <v>10.5</v>
      </c>
      <c r="J918" s="5">
        <v>13</v>
      </c>
      <c r="K918" s="4" t="s">
        <v>111</v>
      </c>
      <c r="L918" s="4" t="s">
        <v>112</v>
      </c>
      <c r="M918" s="6">
        <f>IF(OR(B918="",I918=""),"",B918*I918)</f>
        <v>480.9</v>
      </c>
      <c r="N918" s="25" t="s">
        <v>113</v>
      </c>
      <c r="O918" s="26">
        <v>55640</v>
      </c>
      <c r="P918" s="9" t="s">
        <v>1709</v>
      </c>
      <c r="Q918" s="27">
        <v>277572</v>
      </c>
      <c r="R918" s="27">
        <v>2991172</v>
      </c>
      <c r="S918" s="23">
        <f>IF(AND(ISNUMBER(Q918),Q918&gt;0,ISNUMBER(R918),R918&gt;0),R918/Q918,"")</f>
        <v>10.77620221059761</v>
      </c>
      <c r="T918" s="9" t="s">
        <v>115</v>
      </c>
      <c r="U918" s="9" t="s">
        <v>141</v>
      </c>
      <c r="V918" s="9" t="s">
        <v>21</v>
      </c>
      <c r="W918" s="9" t="s">
        <v>1710</v>
      </c>
      <c r="X918" s="23">
        <f>IF(ISNUMBER(S918),S918,IF(ISNUMBER(I918),I918,""))</f>
        <v>10.77620221059761</v>
      </c>
      <c r="Y918" t="str">
        <f>IF(ISNUMBER(S918),"2025 EIA-923 plant/group proxy",IF(ISNUMBER(I918),"Technology estimate","No thermal heat rate"))</f>
        <v>2025 EIA-923 plant/group proxy</v>
      </c>
      <c r="Z918" t="str">
        <f>IF(ISNUMBER(S918),"Review: NOT unit verified",IF(AE918="No match","No EIA match",IF(AF918="Unconfirmed","Unconfirmed EIA candidate","")))</f>
        <v>Review: NOT unit verified</v>
      </c>
      <c r="AA918" s="26">
        <v>0.82840000000000003</v>
      </c>
      <c r="AB918" t="s">
        <v>166</v>
      </c>
      <c r="AC918" t="s">
        <v>1711</v>
      </c>
      <c r="AD918" s="26">
        <v>540</v>
      </c>
      <c r="AE918" t="s">
        <v>120</v>
      </c>
      <c r="AF918" t="s">
        <v>121</v>
      </c>
      <c r="AG918" s="27">
        <v>10.776199999999999</v>
      </c>
      <c r="AH918" s="34">
        <f t="shared" si="34"/>
        <v>148750.79999999999</v>
      </c>
      <c r="AI918">
        <f t="shared" si="33"/>
        <v>92892.270044181074</v>
      </c>
      <c r="AJ918" t="b" cm="1">
        <f t="array" ref="AJ918">OR(D918=$AT$2:$AT$8)</f>
        <v>0</v>
      </c>
    </row>
    <row r="919" spans="1:36" x14ac:dyDescent="0.25">
      <c r="A919" s="2" t="s">
        <v>1211</v>
      </c>
      <c r="B919" s="3">
        <v>12</v>
      </c>
      <c r="C919" s="2" t="s">
        <v>347</v>
      </c>
      <c r="D919" s="2" t="s">
        <v>347</v>
      </c>
      <c r="E919" s="2" t="s">
        <v>194</v>
      </c>
      <c r="F919" s="4" t="s">
        <v>195</v>
      </c>
      <c r="G919" s="4" t="s">
        <v>196</v>
      </c>
      <c r="H919" s="5">
        <v>8</v>
      </c>
      <c r="I919" s="5">
        <v>9.5</v>
      </c>
      <c r="J919" s="5">
        <v>12</v>
      </c>
      <c r="K919" s="4" t="s">
        <v>111</v>
      </c>
      <c r="L919" s="4" t="s">
        <v>197</v>
      </c>
      <c r="M919" s="6">
        <f>IF(OR(B919="",I919=""),"",B919*I919)</f>
        <v>114</v>
      </c>
      <c r="N919" s="25" t="s">
        <v>113</v>
      </c>
      <c r="O919" s="26">
        <v>2851</v>
      </c>
      <c r="P919" s="9" t="s">
        <v>1212</v>
      </c>
      <c r="Q919" s="27">
        <v>522</v>
      </c>
      <c r="R919" s="27">
        <v>5626</v>
      </c>
      <c r="S919" s="23">
        <f>IF(AND(ISNUMBER(Q919),Q919&gt;0,ISNUMBER(R919),R919&gt;0),R919/Q919,"")</f>
        <v>10.777777777777779</v>
      </c>
      <c r="T919" s="9" t="s">
        <v>115</v>
      </c>
      <c r="U919" s="9" t="s">
        <v>199</v>
      </c>
      <c r="V919" s="9" t="s">
        <v>21</v>
      </c>
      <c r="W919" s="9" t="s">
        <v>217</v>
      </c>
      <c r="X919" s="23">
        <f>IF(ISNUMBER(S919),S919,IF(ISNUMBER(I919),I919,""))</f>
        <v>10.777777777777779</v>
      </c>
      <c r="Y919" t="str">
        <f>IF(ISNUMBER(S919),"2025 EIA-923 plant/group proxy",IF(ISNUMBER(I919),"Technology estimate","No thermal heat rate"))</f>
        <v>2025 EIA-923 plant/group proxy</v>
      </c>
      <c r="Z919" t="str">
        <f>IF(ISNUMBER(S919),"Review: NOT unit verified",IF(AE919="No match","No EIA match",IF(AF919="Unconfirmed","Unconfirmed EIA candidate","")))</f>
        <v>Review: NOT unit verified</v>
      </c>
      <c r="AA919" s="26">
        <v>1</v>
      </c>
      <c r="AB919" t="s">
        <v>322</v>
      </c>
      <c r="AC919" t="s">
        <v>1028</v>
      </c>
      <c r="AD919" s="26">
        <v>12.5</v>
      </c>
      <c r="AE919" t="s">
        <v>120</v>
      </c>
      <c r="AF919" t="s">
        <v>121</v>
      </c>
      <c r="AG919" s="27">
        <v>10.777799999999999</v>
      </c>
      <c r="AH919" s="34">
        <f t="shared" si="34"/>
        <v>148762.79999999999</v>
      </c>
      <c r="AI919">
        <f t="shared" si="33"/>
        <v>92899.763834066776</v>
      </c>
      <c r="AJ919" t="b" cm="1">
        <f t="array" ref="AJ919">OR(D919=$AT$2:$AT$8)</f>
        <v>0</v>
      </c>
    </row>
    <row r="920" spans="1:36" x14ac:dyDescent="0.25">
      <c r="A920" s="2" t="s">
        <v>411</v>
      </c>
      <c r="B920" s="3">
        <v>86</v>
      </c>
      <c r="C920" s="2" t="s">
        <v>405</v>
      </c>
      <c r="D920" s="2" t="s">
        <v>405</v>
      </c>
      <c r="E920" s="2" t="s">
        <v>125</v>
      </c>
      <c r="F920" s="4" t="s">
        <v>126</v>
      </c>
      <c r="G920" s="4" t="s">
        <v>127</v>
      </c>
      <c r="H920" s="5">
        <v>9.1999999999999993</v>
      </c>
      <c r="I920" s="5">
        <v>10.8</v>
      </c>
      <c r="J920" s="5">
        <v>13.5</v>
      </c>
      <c r="K920" s="4" t="s">
        <v>111</v>
      </c>
      <c r="L920" s="4" t="s">
        <v>128</v>
      </c>
      <c r="M920" s="6">
        <f>IF(OR(B920="",I920=""),"",B920*I920)</f>
        <v>928.80000000000007</v>
      </c>
      <c r="N920" s="29" t="s">
        <v>154</v>
      </c>
      <c r="O920" s="9"/>
      <c r="P920" s="9"/>
      <c r="Q920" s="22"/>
      <c r="R920" s="22"/>
      <c r="S920" s="23" t="str">
        <f>IF(AND(ISNUMBER(Q920),Q920&gt;0,ISNUMBER(R920),R920&gt;0),R920/Q920,"")</f>
        <v/>
      </c>
      <c r="T920" s="9"/>
      <c r="U920" s="9"/>
      <c r="V920" s="9"/>
      <c r="W920" s="9" t="s">
        <v>412</v>
      </c>
      <c r="X920" s="23">
        <f>IF(ISNUMBER(S920),S920,IF(ISNUMBER(I920),I920,""))</f>
        <v>10.8</v>
      </c>
      <c r="Y920" t="str">
        <f>IF(ISNUMBER(S920),"2025 EIA-923 plant/group proxy",IF(ISNUMBER(I920),"Technology estimate","No thermal heat rate"))</f>
        <v>Technology estimate</v>
      </c>
      <c r="Z920" t="str">
        <f>IF(ISNUMBER(S920),"Review: NOT unit verified",IF(AE920="No match","No EIA match",IF(AF920="Unconfirmed","Unconfirmed EIA candidate","")))</f>
        <v>Unconfirmed EIA candidate</v>
      </c>
      <c r="AA920" s="26">
        <v>1</v>
      </c>
      <c r="AB920" t="s">
        <v>307</v>
      </c>
      <c r="AC920" t="s">
        <v>413</v>
      </c>
      <c r="AD920" s="26">
        <v>434</v>
      </c>
      <c r="AE920" t="s">
        <v>157</v>
      </c>
      <c r="AF920" t="s">
        <v>158</v>
      </c>
      <c r="AG920" s="24">
        <f>IF(ISBLANK(S920),S920,I920)</f>
        <v>10.8</v>
      </c>
      <c r="AH920" s="34">
        <f t="shared" si="34"/>
        <v>148848.79999999999</v>
      </c>
      <c r="AI920">
        <f t="shared" si="33"/>
        <v>92953.469328247651</v>
      </c>
      <c r="AJ920" t="b" cm="1">
        <f t="array" ref="AJ920">OR(D920=$AT$2:$AT$8)</f>
        <v>1</v>
      </c>
    </row>
    <row r="921" spans="1:36" x14ac:dyDescent="0.25">
      <c r="A921" s="2" t="s">
        <v>414</v>
      </c>
      <c r="B921" s="3">
        <v>86</v>
      </c>
      <c r="C921" s="2" t="s">
        <v>405</v>
      </c>
      <c r="D921" s="2" t="s">
        <v>405</v>
      </c>
      <c r="E921" s="2" t="s">
        <v>125</v>
      </c>
      <c r="F921" s="4" t="s">
        <v>126</v>
      </c>
      <c r="G921" s="4" t="s">
        <v>127</v>
      </c>
      <c r="H921" s="5">
        <v>9.1999999999999993</v>
      </c>
      <c r="I921" s="5">
        <v>10.8</v>
      </c>
      <c r="J921" s="5">
        <v>13.5</v>
      </c>
      <c r="K921" s="4" t="s">
        <v>111</v>
      </c>
      <c r="L921" s="4" t="s">
        <v>128</v>
      </c>
      <c r="M921" s="6">
        <f>IF(OR(B921="",I921=""),"",B921*I921)</f>
        <v>928.80000000000007</v>
      </c>
      <c r="N921" s="29" t="s">
        <v>154</v>
      </c>
      <c r="O921" s="9"/>
      <c r="P921" s="9"/>
      <c r="Q921" s="22"/>
      <c r="R921" s="22"/>
      <c r="S921" s="23" t="str">
        <f>IF(AND(ISNUMBER(Q921),Q921&gt;0,ISNUMBER(R921),R921&gt;0),R921/Q921,"")</f>
        <v/>
      </c>
      <c r="T921" s="9"/>
      <c r="U921" s="9"/>
      <c r="V921" s="9"/>
      <c r="W921" s="9" t="s">
        <v>412</v>
      </c>
      <c r="X921" s="23">
        <f>IF(ISNUMBER(S921),S921,IF(ISNUMBER(I921),I921,""))</f>
        <v>10.8</v>
      </c>
      <c r="Y921" t="str">
        <f>IF(ISNUMBER(S921),"2025 EIA-923 plant/group proxy",IF(ISNUMBER(I921),"Technology estimate","No thermal heat rate"))</f>
        <v>Technology estimate</v>
      </c>
      <c r="Z921" t="str">
        <f>IF(ISNUMBER(S921),"Review: NOT unit verified",IF(AE921="No match","No EIA match",IF(AF921="Unconfirmed","Unconfirmed EIA candidate","")))</f>
        <v>Unconfirmed EIA candidate</v>
      </c>
      <c r="AA921" s="26">
        <v>1</v>
      </c>
      <c r="AB921" t="s">
        <v>307</v>
      </c>
      <c r="AC921" t="s">
        <v>413</v>
      </c>
      <c r="AD921" s="26">
        <v>434</v>
      </c>
      <c r="AE921" t="s">
        <v>157</v>
      </c>
      <c r="AF921" t="s">
        <v>158</v>
      </c>
      <c r="AG921" s="24">
        <f>IF(ISBLANK(S921),S921,I921)</f>
        <v>10.8</v>
      </c>
      <c r="AH921" s="34">
        <f t="shared" si="34"/>
        <v>148934.79999999999</v>
      </c>
      <c r="AI921">
        <f t="shared" si="33"/>
        <v>93007.174822428526</v>
      </c>
      <c r="AJ921" t="b" cm="1">
        <f t="array" ref="AJ921">OR(D921=$AT$2:$AT$8)</f>
        <v>1</v>
      </c>
    </row>
    <row r="922" spans="1:36" x14ac:dyDescent="0.25">
      <c r="A922" s="2" t="s">
        <v>415</v>
      </c>
      <c r="B922" s="3">
        <v>109</v>
      </c>
      <c r="C922" s="2" t="s">
        <v>405</v>
      </c>
      <c r="D922" s="2" t="s">
        <v>405</v>
      </c>
      <c r="E922" s="2" t="s">
        <v>125</v>
      </c>
      <c r="F922" s="4" t="s">
        <v>126</v>
      </c>
      <c r="G922" s="4" t="s">
        <v>127</v>
      </c>
      <c r="H922" s="5">
        <v>9.1999999999999993</v>
      </c>
      <c r="I922" s="5">
        <v>10.8</v>
      </c>
      <c r="J922" s="5">
        <v>13.5</v>
      </c>
      <c r="K922" s="4" t="s">
        <v>111</v>
      </c>
      <c r="L922" s="4" t="s">
        <v>128</v>
      </c>
      <c r="M922" s="6">
        <f>IF(OR(B922="",I922=""),"",B922*I922)</f>
        <v>1177.2</v>
      </c>
      <c r="N922" s="29" t="s">
        <v>154</v>
      </c>
      <c r="O922" s="9"/>
      <c r="P922" s="9"/>
      <c r="Q922" s="22"/>
      <c r="R922" s="22"/>
      <c r="S922" s="23" t="str">
        <f>IF(AND(ISNUMBER(Q922),Q922&gt;0,ISNUMBER(R922),R922&gt;0),R922/Q922,"")</f>
        <v/>
      </c>
      <c r="T922" s="9"/>
      <c r="U922" s="9"/>
      <c r="V922" s="9"/>
      <c r="W922" s="9" t="s">
        <v>412</v>
      </c>
      <c r="X922" s="23">
        <f>IF(ISNUMBER(S922),S922,IF(ISNUMBER(I922),I922,""))</f>
        <v>10.8</v>
      </c>
      <c r="Y922" t="str">
        <f>IF(ISNUMBER(S922),"2025 EIA-923 plant/group proxy",IF(ISNUMBER(I922),"Technology estimate","No thermal heat rate"))</f>
        <v>Technology estimate</v>
      </c>
      <c r="Z922" t="str">
        <f>IF(ISNUMBER(S922),"Review: NOT unit verified",IF(AE922="No match","No EIA match",IF(AF922="Unconfirmed","Unconfirmed EIA candidate","")))</f>
        <v>Unconfirmed EIA candidate</v>
      </c>
      <c r="AA922" s="26">
        <v>1</v>
      </c>
      <c r="AB922" t="s">
        <v>307</v>
      </c>
      <c r="AC922" t="s">
        <v>413</v>
      </c>
      <c r="AD922" s="26">
        <v>434</v>
      </c>
      <c r="AE922" t="s">
        <v>157</v>
      </c>
      <c r="AF922" t="s">
        <v>158</v>
      </c>
      <c r="AG922" s="24">
        <f>IF(ISBLANK(S922),S922,I922)</f>
        <v>10.8</v>
      </c>
      <c r="AH922" s="34">
        <f t="shared" si="34"/>
        <v>149043.79999999999</v>
      </c>
      <c r="AI922">
        <f t="shared" si="33"/>
        <v>93075.243413890319</v>
      </c>
      <c r="AJ922" t="b" cm="1">
        <f t="array" ref="AJ922">OR(D922=$AT$2:$AT$8)</f>
        <v>1</v>
      </c>
    </row>
    <row r="923" spans="1:36" x14ac:dyDescent="0.25">
      <c r="A923" s="2" t="s">
        <v>416</v>
      </c>
      <c r="B923" s="3">
        <v>109</v>
      </c>
      <c r="C923" s="2" t="s">
        <v>405</v>
      </c>
      <c r="D923" s="2" t="s">
        <v>405</v>
      </c>
      <c r="E923" s="2" t="s">
        <v>125</v>
      </c>
      <c r="F923" s="4" t="s">
        <v>126</v>
      </c>
      <c r="G923" s="4" t="s">
        <v>127</v>
      </c>
      <c r="H923" s="5">
        <v>9.1999999999999993</v>
      </c>
      <c r="I923" s="5">
        <v>10.8</v>
      </c>
      <c r="J923" s="5">
        <v>13.5</v>
      </c>
      <c r="K923" s="4" t="s">
        <v>111</v>
      </c>
      <c r="L923" s="4" t="s">
        <v>128</v>
      </c>
      <c r="M923" s="6">
        <f>IF(OR(B923="",I923=""),"",B923*I923)</f>
        <v>1177.2</v>
      </c>
      <c r="N923" s="29" t="s">
        <v>154</v>
      </c>
      <c r="O923" s="9"/>
      <c r="P923" s="9"/>
      <c r="Q923" s="22"/>
      <c r="R923" s="22"/>
      <c r="S923" s="23" t="str">
        <f>IF(AND(ISNUMBER(Q923),Q923&gt;0,ISNUMBER(R923),R923&gt;0),R923/Q923,"")</f>
        <v/>
      </c>
      <c r="T923" s="9"/>
      <c r="U923" s="9"/>
      <c r="V923" s="9"/>
      <c r="W923" s="9" t="s">
        <v>412</v>
      </c>
      <c r="X923" s="23">
        <f>IF(ISNUMBER(S923),S923,IF(ISNUMBER(I923),I923,""))</f>
        <v>10.8</v>
      </c>
      <c r="Y923" t="str">
        <f>IF(ISNUMBER(S923),"2025 EIA-923 plant/group proxy",IF(ISNUMBER(I923),"Technology estimate","No thermal heat rate"))</f>
        <v>Technology estimate</v>
      </c>
      <c r="Z923" t="str">
        <f>IF(ISNUMBER(S923),"Review: NOT unit verified",IF(AE923="No match","No EIA match",IF(AF923="Unconfirmed","Unconfirmed EIA candidate","")))</f>
        <v>Unconfirmed EIA candidate</v>
      </c>
      <c r="AA923" s="26">
        <v>1</v>
      </c>
      <c r="AB923" t="s">
        <v>307</v>
      </c>
      <c r="AC923" t="s">
        <v>413</v>
      </c>
      <c r="AD923" s="26">
        <v>434</v>
      </c>
      <c r="AE923" t="s">
        <v>157</v>
      </c>
      <c r="AF923" t="s">
        <v>158</v>
      </c>
      <c r="AG923" s="24">
        <f>IF(ISBLANK(S923),S923,I923)</f>
        <v>10.8</v>
      </c>
      <c r="AH923" s="34">
        <f t="shared" si="34"/>
        <v>149152.79999999999</v>
      </c>
      <c r="AI923">
        <f t="shared" si="33"/>
        <v>93143.312005352112</v>
      </c>
      <c r="AJ923" t="b" cm="1">
        <f t="array" ref="AJ923">OR(D923=$AT$2:$AT$8)</f>
        <v>1</v>
      </c>
    </row>
    <row r="924" spans="1:36" x14ac:dyDescent="0.25">
      <c r="A924" s="2" t="s">
        <v>599</v>
      </c>
      <c r="B924" s="3">
        <v>46.6</v>
      </c>
      <c r="C924" s="2" t="s">
        <v>68</v>
      </c>
      <c r="D924" s="2" t="s">
        <v>69</v>
      </c>
      <c r="E924" s="2" t="s">
        <v>125</v>
      </c>
      <c r="F924" s="4" t="s">
        <v>126</v>
      </c>
      <c r="G924" s="4" t="s">
        <v>127</v>
      </c>
      <c r="H924" s="5">
        <v>9.1999999999999993</v>
      </c>
      <c r="I924" s="5">
        <v>10.8</v>
      </c>
      <c r="J924" s="5">
        <v>13.5</v>
      </c>
      <c r="K924" s="4" t="s">
        <v>111</v>
      </c>
      <c r="L924" s="4" t="s">
        <v>128</v>
      </c>
      <c r="M924" s="6">
        <f>IF(OR(B924="",I924=""),"",B924*I924)</f>
        <v>503.28000000000003</v>
      </c>
      <c r="N924" s="10" t="s">
        <v>10</v>
      </c>
      <c r="O924" s="9"/>
      <c r="P924" s="9"/>
      <c r="Q924" s="22"/>
      <c r="R924" s="22"/>
      <c r="S924" s="23" t="str">
        <f>IF(AND(ISNUMBER(Q924),Q924&gt;0,ISNUMBER(R924),R924&gt;0),R924/Q924,"")</f>
        <v/>
      </c>
      <c r="T924" s="9"/>
      <c r="U924" s="9"/>
      <c r="V924" s="9"/>
      <c r="W924" s="9"/>
      <c r="X924" s="23">
        <f>IF(ISNUMBER(S924),S924,IF(ISNUMBER(I924),I924,""))</f>
        <v>10.8</v>
      </c>
      <c r="Y924" t="str">
        <f>IF(ISNUMBER(S924),"2025 EIA-923 plant/group proxy",IF(ISNUMBER(I924),"Technology estimate","No thermal heat rate"))</f>
        <v>Technology estimate</v>
      </c>
      <c r="Z924" t="str">
        <f>IF(ISNUMBER(S924),"Review: NOT unit verified",IF(AE924="No match","No EIA match",IF(AF924="Unconfirmed","Unconfirmed EIA candidate","")))</f>
        <v>No EIA match</v>
      </c>
      <c r="AE924" t="s">
        <v>107</v>
      </c>
      <c r="AG924" s="24">
        <f>IF(ISBLANK(S924),S924,I924)</f>
        <v>10.8</v>
      </c>
      <c r="AH924" s="34">
        <f t="shared" si="34"/>
        <v>149199.4</v>
      </c>
      <c r="AI924">
        <f t="shared" si="33"/>
        <v>93172.412889408268</v>
      </c>
      <c r="AJ924" t="b" cm="1">
        <f t="array" ref="AJ924">OR(D924=$AT$2:$AT$8)</f>
        <v>0</v>
      </c>
    </row>
    <row r="925" spans="1:36" x14ac:dyDescent="0.25">
      <c r="A925" s="2" t="s">
        <v>600</v>
      </c>
      <c r="B925" s="3">
        <v>49</v>
      </c>
      <c r="C925" s="2" t="s">
        <v>68</v>
      </c>
      <c r="D925" s="2" t="s">
        <v>69</v>
      </c>
      <c r="E925" s="2" t="s">
        <v>125</v>
      </c>
      <c r="F925" s="4" t="s">
        <v>126</v>
      </c>
      <c r="G925" s="4" t="s">
        <v>127</v>
      </c>
      <c r="H925" s="5">
        <v>9.1999999999999993</v>
      </c>
      <c r="I925" s="5">
        <v>10.8</v>
      </c>
      <c r="J925" s="5">
        <v>13.5</v>
      </c>
      <c r="K925" s="4" t="s">
        <v>111</v>
      </c>
      <c r="L925" s="4" t="s">
        <v>128</v>
      </c>
      <c r="M925" s="6">
        <f>IF(OR(B925="",I925=""),"",B925*I925)</f>
        <v>529.20000000000005</v>
      </c>
      <c r="N925" s="10" t="s">
        <v>10</v>
      </c>
      <c r="O925" s="9"/>
      <c r="P925" s="9"/>
      <c r="Q925" s="22"/>
      <c r="R925" s="22"/>
      <c r="S925" s="23" t="str">
        <f>IF(AND(ISNUMBER(Q925),Q925&gt;0,ISNUMBER(R925),R925&gt;0),R925/Q925,"")</f>
        <v/>
      </c>
      <c r="T925" s="9"/>
      <c r="U925" s="9"/>
      <c r="V925" s="9"/>
      <c r="W925" s="9"/>
      <c r="X925" s="23">
        <f>IF(ISNUMBER(S925),S925,IF(ISNUMBER(I925),I925,""))</f>
        <v>10.8</v>
      </c>
      <c r="Y925" t="str">
        <f>IF(ISNUMBER(S925),"2025 EIA-923 plant/group proxy",IF(ISNUMBER(I925),"Technology estimate","No thermal heat rate"))</f>
        <v>Technology estimate</v>
      </c>
      <c r="Z925" t="str">
        <f>IF(ISNUMBER(S925),"Review: NOT unit verified",IF(AE925="No match","No EIA match",IF(AF925="Unconfirmed","Unconfirmed EIA candidate","")))</f>
        <v>No EIA match</v>
      </c>
      <c r="AE925" t="s">
        <v>107</v>
      </c>
      <c r="AG925" s="24">
        <f>IF(ISBLANK(S925),S925,I925)</f>
        <v>10.8</v>
      </c>
      <c r="AH925" s="34">
        <f t="shared" si="34"/>
        <v>149248.4</v>
      </c>
      <c r="AI925">
        <f t="shared" si="33"/>
        <v>93203.012531441549</v>
      </c>
      <c r="AJ925" t="b" cm="1">
        <f t="array" ref="AJ925">OR(D925=$AT$2:$AT$8)</f>
        <v>0</v>
      </c>
    </row>
    <row r="926" spans="1:36" x14ac:dyDescent="0.25">
      <c r="A926" s="2" t="s">
        <v>760</v>
      </c>
      <c r="B926" s="3">
        <v>170</v>
      </c>
      <c r="C926" s="2" t="s">
        <v>78</v>
      </c>
      <c r="D926" s="2" t="s">
        <v>78</v>
      </c>
      <c r="E926" s="2" t="s">
        <v>125</v>
      </c>
      <c r="F926" s="4" t="s">
        <v>126</v>
      </c>
      <c r="G926" s="4" t="s">
        <v>127</v>
      </c>
      <c r="H926" s="5">
        <v>9.1999999999999993</v>
      </c>
      <c r="I926" s="5">
        <v>10.8</v>
      </c>
      <c r="J926" s="5">
        <v>13.5</v>
      </c>
      <c r="K926" s="4" t="s">
        <v>111</v>
      </c>
      <c r="L926" s="4" t="s">
        <v>128</v>
      </c>
      <c r="M926" s="6">
        <f>IF(OR(B926="",I926=""),"",B926*I926)</f>
        <v>1836.0000000000002</v>
      </c>
      <c r="N926" s="10" t="s">
        <v>475</v>
      </c>
      <c r="O926" s="9"/>
      <c r="P926" s="9"/>
      <c r="Q926" s="22"/>
      <c r="R926" s="22"/>
      <c r="S926" s="23" t="str">
        <f>IF(AND(ISNUMBER(Q926),Q926&gt;0,ISNUMBER(R926),R926&gt;0),R926/Q926,"")</f>
        <v/>
      </c>
      <c r="T926" s="9"/>
      <c r="U926" s="9"/>
      <c r="V926" s="9"/>
      <c r="W926" s="9" t="s">
        <v>761</v>
      </c>
      <c r="X926" s="23">
        <f>IF(ISNUMBER(S926),S926,IF(ISNUMBER(I926),I926,""))</f>
        <v>10.8</v>
      </c>
      <c r="Y926" t="str">
        <f>IF(ISNUMBER(S926),"2025 EIA-923 plant/group proxy",IF(ISNUMBER(I926),"Technology estimate","No thermal heat rate"))</f>
        <v>Technology estimate</v>
      </c>
      <c r="Z926" t="str">
        <f>IF(ISNUMBER(S926),"Review: NOT unit verified",IF(AE926="No match","No EIA match",IF(AF926="Unconfirmed","Unconfirmed EIA candidate","")))</f>
        <v/>
      </c>
      <c r="AA926" s="26">
        <v>0.61099999999999999</v>
      </c>
      <c r="AB926" t="s">
        <v>250</v>
      </c>
      <c r="AC926" t="s">
        <v>762</v>
      </c>
      <c r="AD926" s="26">
        <v>20</v>
      </c>
      <c r="AE926" t="s">
        <v>479</v>
      </c>
      <c r="AG926" s="24">
        <f>IF(ISBLANK(S926),S926,I926)</f>
        <v>10.8</v>
      </c>
      <c r="AH926" s="34">
        <f t="shared" si="34"/>
        <v>149418.4</v>
      </c>
      <c r="AI926">
        <f t="shared" si="33"/>
        <v>93309.174554822341</v>
      </c>
      <c r="AJ926" t="b" cm="1">
        <f t="array" ref="AJ926">OR(D926=$AT$2:$AT$8)</f>
        <v>1</v>
      </c>
    </row>
    <row r="927" spans="1:36" x14ac:dyDescent="0.25">
      <c r="A927" s="2" t="s">
        <v>1006</v>
      </c>
      <c r="B927" s="3">
        <v>44</v>
      </c>
      <c r="C927" s="2" t="s">
        <v>68</v>
      </c>
      <c r="D927" s="2" t="s">
        <v>69</v>
      </c>
      <c r="E927" s="2" t="s">
        <v>125</v>
      </c>
      <c r="F927" s="4" t="s">
        <v>126</v>
      </c>
      <c r="G927" s="4" t="s">
        <v>127</v>
      </c>
      <c r="H927" s="5">
        <v>9.1999999999999993</v>
      </c>
      <c r="I927" s="5">
        <v>10.8</v>
      </c>
      <c r="J927" s="5">
        <v>13.5</v>
      </c>
      <c r="K927" s="4" t="s">
        <v>111</v>
      </c>
      <c r="L927" s="4" t="s">
        <v>128</v>
      </c>
      <c r="M927" s="6">
        <f>IF(OR(B927="",I927=""),"",B927*I927)</f>
        <v>475.20000000000005</v>
      </c>
      <c r="N927" s="10" t="s">
        <v>10</v>
      </c>
      <c r="O927" s="9"/>
      <c r="P927" s="9"/>
      <c r="Q927" s="22"/>
      <c r="R927" s="22"/>
      <c r="S927" s="23" t="str">
        <f>IF(AND(ISNUMBER(Q927),Q927&gt;0,ISNUMBER(R927),R927&gt;0),R927/Q927,"")</f>
        <v/>
      </c>
      <c r="T927" s="9"/>
      <c r="U927" s="9"/>
      <c r="V927" s="9"/>
      <c r="W927" s="9"/>
      <c r="X927" s="23">
        <f>IF(ISNUMBER(S927),S927,IF(ISNUMBER(I927),I927,""))</f>
        <v>10.8</v>
      </c>
      <c r="Y927" t="str">
        <f>IF(ISNUMBER(S927),"2025 EIA-923 plant/group proxy",IF(ISNUMBER(I927),"Technology estimate","No thermal heat rate"))</f>
        <v>Technology estimate</v>
      </c>
      <c r="Z927" t="str">
        <f>IF(ISNUMBER(S927),"Review: NOT unit verified",IF(AE927="No match","No EIA match",IF(AF927="Unconfirmed","Unconfirmed EIA candidate","")))</f>
        <v>No EIA match</v>
      </c>
      <c r="AE927" t="s">
        <v>107</v>
      </c>
      <c r="AG927" s="24">
        <f>IF(ISBLANK(S927),S927,I927)</f>
        <v>10.8</v>
      </c>
      <c r="AH927" s="34">
        <f t="shared" si="34"/>
        <v>149462.39999999999</v>
      </c>
      <c r="AI927">
        <f t="shared" si="33"/>
        <v>93336.65178440325</v>
      </c>
      <c r="AJ927" t="b" cm="1">
        <f t="array" ref="AJ927">OR(D927=$AT$2:$AT$8)</f>
        <v>0</v>
      </c>
    </row>
    <row r="928" spans="1:36" x14ac:dyDescent="0.25">
      <c r="A928" s="2" t="s">
        <v>1301</v>
      </c>
      <c r="B928" s="3">
        <v>170.4</v>
      </c>
      <c r="C928" s="2" t="s">
        <v>80</v>
      </c>
      <c r="D928" s="2" t="s">
        <v>81</v>
      </c>
      <c r="E928" s="2" t="s">
        <v>125</v>
      </c>
      <c r="F928" s="4" t="s">
        <v>126</v>
      </c>
      <c r="G928" s="4" t="s">
        <v>127</v>
      </c>
      <c r="H928" s="5">
        <v>9.1999999999999993</v>
      </c>
      <c r="I928" s="5">
        <v>10.8</v>
      </c>
      <c r="J928" s="5">
        <v>13.5</v>
      </c>
      <c r="K928" s="4" t="s">
        <v>111</v>
      </c>
      <c r="L928" s="4" t="s">
        <v>128</v>
      </c>
      <c r="M928" s="6">
        <f>IF(OR(B928="",I928=""),"",B928*I928)</f>
        <v>1840.3200000000002</v>
      </c>
      <c r="N928" s="10" t="s">
        <v>10</v>
      </c>
      <c r="O928" s="9"/>
      <c r="P928" s="9"/>
      <c r="Q928" s="22"/>
      <c r="R928" s="22"/>
      <c r="S928" s="23" t="str">
        <f>IF(AND(ISNUMBER(Q928),Q928&gt;0,ISNUMBER(R928),R928&gt;0),R928/Q928,"")</f>
        <v/>
      </c>
      <c r="T928" s="9"/>
      <c r="U928" s="9"/>
      <c r="V928" s="9"/>
      <c r="W928" s="9"/>
      <c r="X928" s="23">
        <f>IF(ISNUMBER(S928),S928,IF(ISNUMBER(I928),I928,""))</f>
        <v>10.8</v>
      </c>
      <c r="Y928" t="str">
        <f>IF(ISNUMBER(S928),"2025 EIA-923 plant/group proxy",IF(ISNUMBER(I928),"Technology estimate","No thermal heat rate"))</f>
        <v>Technology estimate</v>
      </c>
      <c r="Z928" t="str">
        <f>IF(ISNUMBER(S928),"Review: NOT unit verified",IF(AE928="No match","No EIA match",IF(AF928="Unconfirmed","Unconfirmed EIA candidate","")))</f>
        <v>No EIA match</v>
      </c>
      <c r="AE928" t="s">
        <v>107</v>
      </c>
      <c r="AG928" s="24">
        <f>IF(ISBLANK(S928),S928,I928)</f>
        <v>10.8</v>
      </c>
      <c r="AH928" s="34">
        <f t="shared" si="34"/>
        <v>149632.79999999999</v>
      </c>
      <c r="AI928">
        <f t="shared" si="33"/>
        <v>93443.063600780224</v>
      </c>
      <c r="AJ928" t="b" cm="1">
        <f t="array" ref="AJ928">OR(D928=$AT$2:$AT$8)</f>
        <v>0</v>
      </c>
    </row>
    <row r="929" spans="1:36" x14ac:dyDescent="0.25">
      <c r="A929" s="2" t="s">
        <v>1302</v>
      </c>
      <c r="B929" s="3">
        <v>169.3</v>
      </c>
      <c r="C929" s="2" t="s">
        <v>80</v>
      </c>
      <c r="D929" s="2" t="s">
        <v>81</v>
      </c>
      <c r="E929" s="2" t="s">
        <v>125</v>
      </c>
      <c r="F929" s="4" t="s">
        <v>126</v>
      </c>
      <c r="G929" s="4" t="s">
        <v>127</v>
      </c>
      <c r="H929" s="5">
        <v>9.1999999999999993</v>
      </c>
      <c r="I929" s="5">
        <v>10.8</v>
      </c>
      <c r="J929" s="5">
        <v>13.5</v>
      </c>
      <c r="K929" s="4" t="s">
        <v>111</v>
      </c>
      <c r="L929" s="4" t="s">
        <v>128</v>
      </c>
      <c r="M929" s="6">
        <f>IF(OR(B929="",I929=""),"",B929*I929)</f>
        <v>1828.4400000000003</v>
      </c>
      <c r="N929" s="10" t="s">
        <v>10</v>
      </c>
      <c r="O929" s="9"/>
      <c r="P929" s="9"/>
      <c r="Q929" s="22"/>
      <c r="R929" s="22"/>
      <c r="S929" s="23" t="str">
        <f>IF(AND(ISNUMBER(Q929),Q929&gt;0,ISNUMBER(R929),R929&gt;0),R929/Q929,"")</f>
        <v/>
      </c>
      <c r="T929" s="9"/>
      <c r="U929" s="9"/>
      <c r="V929" s="9"/>
      <c r="W929" s="9"/>
      <c r="X929" s="23">
        <f>IF(ISNUMBER(S929),S929,IF(ISNUMBER(I929),I929,""))</f>
        <v>10.8</v>
      </c>
      <c r="Y929" t="str">
        <f>IF(ISNUMBER(S929),"2025 EIA-923 plant/group proxy",IF(ISNUMBER(I929),"Technology estimate","No thermal heat rate"))</f>
        <v>Technology estimate</v>
      </c>
      <c r="Z929" t="str">
        <f>IF(ISNUMBER(S929),"Review: NOT unit verified",IF(AE929="No match","No EIA match",IF(AF929="Unconfirmed","Unconfirmed EIA candidate","")))</f>
        <v>No EIA match</v>
      </c>
      <c r="AE929" t="s">
        <v>107</v>
      </c>
      <c r="AG929" s="24">
        <f>IF(ISBLANK(S929),S929,I929)</f>
        <v>10.8</v>
      </c>
      <c r="AH929" s="34">
        <f t="shared" si="34"/>
        <v>149802.09999999998</v>
      </c>
      <c r="AI929">
        <f t="shared" si="33"/>
        <v>93548.788486417674</v>
      </c>
      <c r="AJ929" t="b" cm="1">
        <f t="array" ref="AJ929">OR(D929=$AT$2:$AT$8)</f>
        <v>0</v>
      </c>
    </row>
    <row r="930" spans="1:36" x14ac:dyDescent="0.25">
      <c r="A930" s="2" t="s">
        <v>1483</v>
      </c>
      <c r="B930" s="3">
        <v>34.5</v>
      </c>
      <c r="C930" s="2" t="s">
        <v>99</v>
      </c>
      <c r="D930" s="2" t="s">
        <v>81</v>
      </c>
      <c r="E930" s="2" t="s">
        <v>125</v>
      </c>
      <c r="F930" s="4" t="s">
        <v>126</v>
      </c>
      <c r="G930" s="4" t="s">
        <v>127</v>
      </c>
      <c r="H930" s="5">
        <v>9.1999999999999993</v>
      </c>
      <c r="I930" s="5">
        <v>10.8</v>
      </c>
      <c r="J930" s="5">
        <v>13.5</v>
      </c>
      <c r="K930" s="4" t="s">
        <v>111</v>
      </c>
      <c r="L930" s="4" t="s">
        <v>128</v>
      </c>
      <c r="M930" s="6">
        <f>IF(OR(B930="",I930=""),"",B930*I930)</f>
        <v>372.6</v>
      </c>
      <c r="N930" s="29" t="s">
        <v>154</v>
      </c>
      <c r="O930" s="9"/>
      <c r="P930" s="9"/>
      <c r="Q930" s="22"/>
      <c r="R930" s="22"/>
      <c r="S930" s="23" t="str">
        <f>IF(AND(ISNUMBER(Q930),Q930&gt;0,ISNUMBER(R930),R930&gt;0),R930/Q930,"")</f>
        <v/>
      </c>
      <c r="T930" s="9"/>
      <c r="U930" s="9"/>
      <c r="V930" s="9"/>
      <c r="W930" s="9" t="s">
        <v>1484</v>
      </c>
      <c r="X930" s="23">
        <f>IF(ISNUMBER(S930),S930,IF(ISNUMBER(I930),I930,""))</f>
        <v>10.8</v>
      </c>
      <c r="Y930" t="str">
        <f>IF(ISNUMBER(S930),"2025 EIA-923 plant/group proxy",IF(ISNUMBER(I930),"Technology estimate","No thermal heat rate"))</f>
        <v>Technology estimate</v>
      </c>
      <c r="Z930" t="str">
        <f>IF(ISNUMBER(S930),"Review: NOT unit verified",IF(AE930="No match","No EIA match",IF(AF930="Unconfirmed","Unconfirmed EIA candidate","")))</f>
        <v>Unconfirmed EIA candidate</v>
      </c>
      <c r="AA930" s="26">
        <v>1</v>
      </c>
      <c r="AB930" t="s">
        <v>143</v>
      </c>
      <c r="AC930" t="s">
        <v>1485</v>
      </c>
      <c r="AD930" s="26">
        <v>98</v>
      </c>
      <c r="AE930" t="s">
        <v>157</v>
      </c>
      <c r="AF930" t="s">
        <v>158</v>
      </c>
      <c r="AG930" s="24">
        <f>IF(ISBLANK(S930),S930,I930)</f>
        <v>10.8</v>
      </c>
      <c r="AH930" s="34">
        <f t="shared" si="34"/>
        <v>149836.59999999998</v>
      </c>
      <c r="AI930">
        <f t="shared" si="33"/>
        <v>93570.333132339059</v>
      </c>
      <c r="AJ930" t="b" cm="1">
        <f t="array" ref="AJ930">OR(D930=$AT$2:$AT$8)</f>
        <v>0</v>
      </c>
    </row>
    <row r="931" spans="1:36" x14ac:dyDescent="0.25">
      <c r="A931" s="2" t="s">
        <v>1486</v>
      </c>
      <c r="B931" s="3">
        <v>34.5</v>
      </c>
      <c r="C931" s="2" t="s">
        <v>99</v>
      </c>
      <c r="D931" s="2" t="s">
        <v>81</v>
      </c>
      <c r="E931" s="2" t="s">
        <v>125</v>
      </c>
      <c r="F931" s="4" t="s">
        <v>126</v>
      </c>
      <c r="G931" s="4" t="s">
        <v>127</v>
      </c>
      <c r="H931" s="5">
        <v>9.1999999999999993</v>
      </c>
      <c r="I931" s="5">
        <v>10.8</v>
      </c>
      <c r="J931" s="5">
        <v>13.5</v>
      </c>
      <c r="K931" s="4" t="s">
        <v>111</v>
      </c>
      <c r="L931" s="4" t="s">
        <v>128</v>
      </c>
      <c r="M931" s="6">
        <f>IF(OR(B931="",I931=""),"",B931*I931)</f>
        <v>372.6</v>
      </c>
      <c r="N931" s="29" t="s">
        <v>154</v>
      </c>
      <c r="O931" s="9"/>
      <c r="P931" s="9"/>
      <c r="Q931" s="22"/>
      <c r="R931" s="22"/>
      <c r="S931" s="23" t="str">
        <f>IF(AND(ISNUMBER(Q931),Q931&gt;0,ISNUMBER(R931),R931&gt;0),R931/Q931,"")</f>
        <v/>
      </c>
      <c r="T931" s="9"/>
      <c r="U931" s="9"/>
      <c r="V931" s="9"/>
      <c r="W931" s="9" t="s">
        <v>1484</v>
      </c>
      <c r="X931" s="23">
        <f>IF(ISNUMBER(S931),S931,IF(ISNUMBER(I931),I931,""))</f>
        <v>10.8</v>
      </c>
      <c r="Y931" t="str">
        <f>IF(ISNUMBER(S931),"2025 EIA-923 plant/group proxy",IF(ISNUMBER(I931),"Technology estimate","No thermal heat rate"))</f>
        <v>Technology estimate</v>
      </c>
      <c r="Z931" t="str">
        <f>IF(ISNUMBER(S931),"Review: NOT unit verified",IF(AE931="No match","No EIA match",IF(AF931="Unconfirmed","Unconfirmed EIA candidate","")))</f>
        <v>Unconfirmed EIA candidate</v>
      </c>
      <c r="AA931" s="26">
        <v>1</v>
      </c>
      <c r="AB931" t="s">
        <v>143</v>
      </c>
      <c r="AC931" t="s">
        <v>1485</v>
      </c>
      <c r="AD931" s="26">
        <v>98</v>
      </c>
      <c r="AE931" t="s">
        <v>157</v>
      </c>
      <c r="AF931" t="s">
        <v>158</v>
      </c>
      <c r="AG931" s="24">
        <f>IF(ISBLANK(S931),S931,I931)</f>
        <v>10.8</v>
      </c>
      <c r="AH931" s="34">
        <f t="shared" si="34"/>
        <v>149871.09999999998</v>
      </c>
      <c r="AI931">
        <f t="shared" si="33"/>
        <v>93591.877778260459</v>
      </c>
      <c r="AJ931" t="b" cm="1">
        <f t="array" ref="AJ931">OR(D931=$AT$2:$AT$8)</f>
        <v>0</v>
      </c>
    </row>
    <row r="932" spans="1:36" x14ac:dyDescent="0.25">
      <c r="A932" s="2" t="s">
        <v>1533</v>
      </c>
      <c r="B932" s="3">
        <v>56.1</v>
      </c>
      <c r="C932" s="2" t="s">
        <v>91</v>
      </c>
      <c r="D932" s="2" t="s">
        <v>91</v>
      </c>
      <c r="E932" s="2" t="s">
        <v>125</v>
      </c>
      <c r="F932" s="4" t="s">
        <v>126</v>
      </c>
      <c r="G932" s="4" t="s">
        <v>127</v>
      </c>
      <c r="H932" s="5">
        <v>9.1999999999999993</v>
      </c>
      <c r="I932" s="5">
        <v>10.8</v>
      </c>
      <c r="J932" s="5">
        <v>13.5</v>
      </c>
      <c r="K932" s="4" t="s">
        <v>111</v>
      </c>
      <c r="L932" s="4" t="s">
        <v>128</v>
      </c>
      <c r="M932" s="6">
        <f>IF(OR(B932="",I932=""),"",B932*I932)</f>
        <v>605.88000000000011</v>
      </c>
      <c r="N932" s="10" t="s">
        <v>475</v>
      </c>
      <c r="O932" s="9"/>
      <c r="P932" s="9"/>
      <c r="Q932" s="22"/>
      <c r="R932" s="22"/>
      <c r="S932" s="23" t="str">
        <f>IF(AND(ISNUMBER(Q932),Q932&gt;0,ISNUMBER(R932),R932&gt;0),R932/Q932,"")</f>
        <v/>
      </c>
      <c r="T932" s="9"/>
      <c r="U932" s="9"/>
      <c r="V932" s="9"/>
      <c r="W932" s="9" t="s">
        <v>1534</v>
      </c>
      <c r="X932" s="23">
        <f>IF(ISNUMBER(S932),S932,IF(ISNUMBER(I932),I932,""))</f>
        <v>10.8</v>
      </c>
      <c r="Y932" t="str">
        <f>IF(ISNUMBER(S932),"2025 EIA-923 plant/group proxy",IF(ISNUMBER(I932),"Technology estimate","No thermal heat rate"))</f>
        <v>Technology estimate</v>
      </c>
      <c r="Z932" t="str">
        <f>IF(ISNUMBER(S932),"Review: NOT unit verified",IF(AE932="No match","No EIA match",IF(AF932="Unconfirmed","Unconfirmed EIA candidate","")))</f>
        <v/>
      </c>
      <c r="AA932" s="26">
        <v>1</v>
      </c>
      <c r="AB932" t="s">
        <v>241</v>
      </c>
      <c r="AC932" t="s">
        <v>529</v>
      </c>
      <c r="AD932" s="26">
        <v>202.8</v>
      </c>
      <c r="AE932" t="s">
        <v>479</v>
      </c>
      <c r="AG932" s="24">
        <f>IF(ISBLANK(S932),S932,I932)</f>
        <v>10.8</v>
      </c>
      <c r="AH932" s="34">
        <f t="shared" si="34"/>
        <v>149927.19999999998</v>
      </c>
      <c r="AI932">
        <f t="shared" si="33"/>
        <v>93626.911245976124</v>
      </c>
      <c r="AJ932" t="b" cm="1">
        <f t="array" ref="AJ932">OR(D932=$AT$2:$AT$8)</f>
        <v>1</v>
      </c>
    </row>
    <row r="933" spans="1:36" x14ac:dyDescent="0.25">
      <c r="A933" s="2" t="s">
        <v>1535</v>
      </c>
      <c r="B933" s="3">
        <v>54</v>
      </c>
      <c r="C933" s="2" t="s">
        <v>91</v>
      </c>
      <c r="D933" s="2" t="s">
        <v>91</v>
      </c>
      <c r="E933" s="2" t="s">
        <v>125</v>
      </c>
      <c r="F933" s="4" t="s">
        <v>126</v>
      </c>
      <c r="G933" s="4" t="s">
        <v>127</v>
      </c>
      <c r="H933" s="5">
        <v>9.1999999999999993</v>
      </c>
      <c r="I933" s="5">
        <v>10.8</v>
      </c>
      <c r="J933" s="5">
        <v>13.5</v>
      </c>
      <c r="K933" s="4" t="s">
        <v>111</v>
      </c>
      <c r="L933" s="4" t="s">
        <v>128</v>
      </c>
      <c r="M933" s="6">
        <f>IF(OR(B933="",I933=""),"",B933*I933)</f>
        <v>583.20000000000005</v>
      </c>
      <c r="N933" s="10" t="s">
        <v>475</v>
      </c>
      <c r="O933" s="9"/>
      <c r="P933" s="9"/>
      <c r="Q933" s="22"/>
      <c r="R933" s="22"/>
      <c r="S933" s="23" t="str">
        <f>IF(AND(ISNUMBER(Q933),Q933&gt;0,ISNUMBER(R933),R933&gt;0),R933/Q933,"")</f>
        <v/>
      </c>
      <c r="T933" s="9"/>
      <c r="U933" s="9"/>
      <c r="V933" s="9"/>
      <c r="W933" s="9" t="s">
        <v>1534</v>
      </c>
      <c r="X933" s="23">
        <f>IF(ISNUMBER(S933),S933,IF(ISNUMBER(I933),I933,""))</f>
        <v>10.8</v>
      </c>
      <c r="Y933" t="str">
        <f>IF(ISNUMBER(S933),"2025 EIA-923 plant/group proxy",IF(ISNUMBER(I933),"Technology estimate","No thermal heat rate"))</f>
        <v>Technology estimate</v>
      </c>
      <c r="Z933" t="str">
        <f>IF(ISNUMBER(S933),"Review: NOT unit verified",IF(AE933="No match","No EIA match",IF(AF933="Unconfirmed","Unconfirmed EIA candidate","")))</f>
        <v/>
      </c>
      <c r="AA933" s="26">
        <v>1</v>
      </c>
      <c r="AB933" t="s">
        <v>241</v>
      </c>
      <c r="AC933" t="s">
        <v>529</v>
      </c>
      <c r="AD933" s="26">
        <v>202.8</v>
      </c>
      <c r="AE933" t="s">
        <v>479</v>
      </c>
      <c r="AG933" s="24">
        <f>IF(ISBLANK(S933),S933,I933)</f>
        <v>10.8</v>
      </c>
      <c r="AH933" s="34">
        <f t="shared" si="34"/>
        <v>149981.19999999998</v>
      </c>
      <c r="AI933">
        <f t="shared" si="33"/>
        <v>93660.633300461792</v>
      </c>
      <c r="AJ933" t="b" cm="1">
        <f t="array" ref="AJ933">OR(D933=$AT$2:$AT$8)</f>
        <v>1</v>
      </c>
    </row>
    <row r="934" spans="1:36" x14ac:dyDescent="0.25">
      <c r="A934" s="2" t="s">
        <v>1536</v>
      </c>
      <c r="B934" s="3">
        <v>51.7</v>
      </c>
      <c r="C934" s="2" t="s">
        <v>91</v>
      </c>
      <c r="D934" s="2" t="s">
        <v>91</v>
      </c>
      <c r="E934" s="2" t="s">
        <v>125</v>
      </c>
      <c r="F934" s="4" t="s">
        <v>126</v>
      </c>
      <c r="G934" s="4" t="s">
        <v>127</v>
      </c>
      <c r="H934" s="5">
        <v>9.1999999999999993</v>
      </c>
      <c r="I934" s="5">
        <v>10.8</v>
      </c>
      <c r="J934" s="5">
        <v>13.5</v>
      </c>
      <c r="K934" s="4" t="s">
        <v>111</v>
      </c>
      <c r="L934" s="4" t="s">
        <v>128</v>
      </c>
      <c r="M934" s="6">
        <f>IF(OR(B934="",I934=""),"",B934*I934)</f>
        <v>558.36</v>
      </c>
      <c r="N934" s="10" t="s">
        <v>475</v>
      </c>
      <c r="O934" s="9"/>
      <c r="P934" s="9"/>
      <c r="Q934" s="22"/>
      <c r="R934" s="22"/>
      <c r="S934" s="23" t="str">
        <f>IF(AND(ISNUMBER(Q934),Q934&gt;0,ISNUMBER(R934),R934&gt;0),R934/Q934,"")</f>
        <v/>
      </c>
      <c r="T934" s="9"/>
      <c r="U934" s="9"/>
      <c r="V934" s="9"/>
      <c r="W934" s="9" t="s">
        <v>1534</v>
      </c>
      <c r="X934" s="23">
        <f>IF(ISNUMBER(S934),S934,IF(ISNUMBER(I934),I934,""))</f>
        <v>10.8</v>
      </c>
      <c r="Y934" t="str">
        <f>IF(ISNUMBER(S934),"2025 EIA-923 plant/group proxy",IF(ISNUMBER(I934),"Technology estimate","No thermal heat rate"))</f>
        <v>Technology estimate</v>
      </c>
      <c r="Z934" t="str">
        <f>IF(ISNUMBER(S934),"Review: NOT unit verified",IF(AE934="No match","No EIA match",IF(AF934="Unconfirmed","Unconfirmed EIA candidate","")))</f>
        <v/>
      </c>
      <c r="AA934" s="26">
        <v>1</v>
      </c>
      <c r="AB934" t="s">
        <v>241</v>
      </c>
      <c r="AC934" t="s">
        <v>529</v>
      </c>
      <c r="AD934" s="26">
        <v>202.8</v>
      </c>
      <c r="AE934" t="s">
        <v>479</v>
      </c>
      <c r="AG934" s="24">
        <f>IF(ISBLANK(S934),S934,I934)</f>
        <v>10.8</v>
      </c>
      <c r="AH934" s="34">
        <f t="shared" si="34"/>
        <v>150032.9</v>
      </c>
      <c r="AI934">
        <f t="shared" si="33"/>
        <v>93692.919045219358</v>
      </c>
      <c r="AJ934" t="b" cm="1">
        <f t="array" ref="AJ934">OR(D934=$AT$2:$AT$8)</f>
        <v>1</v>
      </c>
    </row>
    <row r="935" spans="1:36" x14ac:dyDescent="0.25">
      <c r="A935" s="2" t="s">
        <v>1537</v>
      </c>
      <c r="B935" s="3">
        <v>48.5</v>
      </c>
      <c r="C935" s="2" t="s">
        <v>91</v>
      </c>
      <c r="D935" s="2" t="s">
        <v>91</v>
      </c>
      <c r="E935" s="2" t="s">
        <v>125</v>
      </c>
      <c r="F935" s="4" t="s">
        <v>126</v>
      </c>
      <c r="G935" s="4" t="s">
        <v>127</v>
      </c>
      <c r="H935" s="5">
        <v>9.1999999999999993</v>
      </c>
      <c r="I935" s="5">
        <v>10.8</v>
      </c>
      <c r="J935" s="5">
        <v>13.5</v>
      </c>
      <c r="K935" s="4" t="s">
        <v>111</v>
      </c>
      <c r="L935" s="4" t="s">
        <v>128</v>
      </c>
      <c r="M935" s="6">
        <f>IF(OR(B935="",I935=""),"",B935*I935)</f>
        <v>523.80000000000007</v>
      </c>
      <c r="N935" s="10" t="s">
        <v>475</v>
      </c>
      <c r="O935" s="9"/>
      <c r="P935" s="9"/>
      <c r="Q935" s="22"/>
      <c r="R935" s="22"/>
      <c r="S935" s="23" t="str">
        <f>IF(AND(ISNUMBER(Q935),Q935&gt;0,ISNUMBER(R935),R935&gt;0),R935/Q935,"")</f>
        <v/>
      </c>
      <c r="T935" s="9"/>
      <c r="U935" s="9"/>
      <c r="V935" s="9"/>
      <c r="W935" s="9" t="s">
        <v>1534</v>
      </c>
      <c r="X935" s="23">
        <f>IF(ISNUMBER(S935),S935,IF(ISNUMBER(I935),I935,""))</f>
        <v>10.8</v>
      </c>
      <c r="Y935" t="str">
        <f>IF(ISNUMBER(S935),"2025 EIA-923 plant/group proxy",IF(ISNUMBER(I935),"Technology estimate","No thermal heat rate"))</f>
        <v>Technology estimate</v>
      </c>
      <c r="Z935" t="str">
        <f>IF(ISNUMBER(S935),"Review: NOT unit verified",IF(AE935="No match","No EIA match",IF(AF935="Unconfirmed","Unconfirmed EIA candidate","")))</f>
        <v/>
      </c>
      <c r="AA935" s="26">
        <v>1</v>
      </c>
      <c r="AB935" t="s">
        <v>241</v>
      </c>
      <c r="AC935" t="s">
        <v>529</v>
      </c>
      <c r="AD935" s="26">
        <v>202.8</v>
      </c>
      <c r="AE935" t="s">
        <v>479</v>
      </c>
      <c r="AG935" s="24">
        <f>IF(ISBLANK(S935),S935,I935)</f>
        <v>10.8</v>
      </c>
      <c r="AH935" s="34">
        <f t="shared" si="34"/>
        <v>150081.4</v>
      </c>
      <c r="AI935">
        <f t="shared" si="33"/>
        <v>93723.206446007403</v>
      </c>
      <c r="AJ935" t="b" cm="1">
        <f t="array" ref="AJ935">OR(D935=$AT$2:$AT$8)</f>
        <v>1</v>
      </c>
    </row>
    <row r="936" spans="1:36" x14ac:dyDescent="0.25">
      <c r="A936" s="2" t="s">
        <v>1577</v>
      </c>
      <c r="B936" s="3">
        <v>80.2</v>
      </c>
      <c r="C936" s="2" t="s">
        <v>405</v>
      </c>
      <c r="D936" s="2" t="s">
        <v>405</v>
      </c>
      <c r="E936" s="2" t="s">
        <v>125</v>
      </c>
      <c r="F936" s="4" t="s">
        <v>126</v>
      </c>
      <c r="G936" s="4" t="s">
        <v>127</v>
      </c>
      <c r="H936" s="5">
        <v>9.1999999999999993</v>
      </c>
      <c r="I936" s="5">
        <v>10.8</v>
      </c>
      <c r="J936" s="5">
        <v>13.5</v>
      </c>
      <c r="K936" s="4" t="s">
        <v>111</v>
      </c>
      <c r="L936" s="4" t="s">
        <v>128</v>
      </c>
      <c r="M936" s="6">
        <f>IF(OR(B936="",I936=""),"",B936*I936)</f>
        <v>866.16000000000008</v>
      </c>
      <c r="N936" s="10" t="s">
        <v>10</v>
      </c>
      <c r="O936" s="9"/>
      <c r="P936" s="9"/>
      <c r="Q936" s="22"/>
      <c r="R936" s="22"/>
      <c r="S936" s="23" t="str">
        <f>IF(AND(ISNUMBER(Q936),Q936&gt;0,ISNUMBER(R936),R936&gt;0),R936/Q936,"")</f>
        <v/>
      </c>
      <c r="T936" s="9"/>
      <c r="U936" s="9"/>
      <c r="V936" s="9"/>
      <c r="W936" s="9"/>
      <c r="X936" s="23">
        <f>IF(ISNUMBER(S936),S936,IF(ISNUMBER(I936),I936,""))</f>
        <v>10.8</v>
      </c>
      <c r="Y936" t="str">
        <f>IF(ISNUMBER(S936),"2025 EIA-923 plant/group proxy",IF(ISNUMBER(I936),"Technology estimate","No thermal heat rate"))</f>
        <v>Technology estimate</v>
      </c>
      <c r="Z936" t="str">
        <f>IF(ISNUMBER(S936),"Review: NOT unit verified",IF(AE936="No match","No EIA match",IF(AF936="Unconfirmed","Unconfirmed EIA candidate","")))</f>
        <v>No EIA match</v>
      </c>
      <c r="AE936" t="s">
        <v>107</v>
      </c>
      <c r="AG936" s="24">
        <f>IF(ISBLANK(S936),S936,I936)</f>
        <v>10.8</v>
      </c>
      <c r="AH936" s="34">
        <f t="shared" si="34"/>
        <v>150161.60000000001</v>
      </c>
      <c r="AI936">
        <f t="shared" si="33"/>
        <v>93773.289941743526</v>
      </c>
      <c r="AJ936" t="b" cm="1">
        <f t="array" ref="AJ936">OR(D936=$AT$2:$AT$8)</f>
        <v>1</v>
      </c>
    </row>
    <row r="937" spans="1:36" x14ac:dyDescent="0.25">
      <c r="A937" s="2" t="s">
        <v>1602</v>
      </c>
      <c r="B937" s="3">
        <v>192.5</v>
      </c>
      <c r="C937" s="2" t="s">
        <v>80</v>
      </c>
      <c r="D937" s="2" t="s">
        <v>81</v>
      </c>
      <c r="E937" s="2" t="s">
        <v>125</v>
      </c>
      <c r="F937" s="4" t="s">
        <v>126</v>
      </c>
      <c r="G937" s="4" t="s">
        <v>127</v>
      </c>
      <c r="H937" s="5">
        <v>9.1999999999999993</v>
      </c>
      <c r="I937" s="5">
        <v>10.8</v>
      </c>
      <c r="J937" s="5">
        <v>13.5</v>
      </c>
      <c r="K937" s="4" t="s">
        <v>111</v>
      </c>
      <c r="L937" s="4" t="s">
        <v>128</v>
      </c>
      <c r="M937" s="6">
        <f>IF(OR(B937="",I937=""),"",B937*I937)</f>
        <v>2079</v>
      </c>
      <c r="N937" s="29" t="s">
        <v>154</v>
      </c>
      <c r="O937" s="9"/>
      <c r="P937" s="9"/>
      <c r="Q937" s="22"/>
      <c r="R937" s="22"/>
      <c r="S937" s="23" t="str">
        <f>IF(AND(ISNUMBER(Q937),Q937&gt;0,ISNUMBER(R937),R937&gt;0),R937/Q937,"")</f>
        <v/>
      </c>
      <c r="T937" s="9"/>
      <c r="U937" s="9"/>
      <c r="V937" s="9"/>
      <c r="W937" s="9" t="s">
        <v>1603</v>
      </c>
      <c r="X937" s="23">
        <f>IF(ISNUMBER(S937),S937,IF(ISNUMBER(I937),I937,""))</f>
        <v>10.8</v>
      </c>
      <c r="Y937" t="str">
        <f>IF(ISNUMBER(S937),"2025 EIA-923 plant/group proxy",IF(ISNUMBER(I937),"Technology estimate","No thermal heat rate"))</f>
        <v>Technology estimate</v>
      </c>
      <c r="Z937" t="str">
        <f>IF(ISNUMBER(S937),"Review: NOT unit verified",IF(AE937="No match","No EIA match",IF(AF937="Unconfirmed","Unconfirmed EIA candidate","")))</f>
        <v>Unconfirmed EIA candidate</v>
      </c>
      <c r="AA937" s="26">
        <v>0.5081</v>
      </c>
      <c r="AB937" t="s">
        <v>1381</v>
      </c>
      <c r="AC937" t="s">
        <v>1604</v>
      </c>
      <c r="AD937" s="26">
        <v>150</v>
      </c>
      <c r="AE937" t="s">
        <v>157</v>
      </c>
      <c r="AF937" t="s">
        <v>158</v>
      </c>
      <c r="AG937" s="24">
        <f>IF(ISBLANK(S937),S937,I937)</f>
        <v>10.8</v>
      </c>
      <c r="AH937" s="34">
        <f t="shared" si="34"/>
        <v>150354.1</v>
      </c>
      <c r="AI937">
        <f t="shared" si="33"/>
        <v>93893.502821160015</v>
      </c>
      <c r="AJ937" t="b" cm="1">
        <f t="array" ref="AJ937">OR(D937=$AT$2:$AT$8)</f>
        <v>0</v>
      </c>
    </row>
    <row r="938" spans="1:36" x14ac:dyDescent="0.25">
      <c r="A938" s="2" t="s">
        <v>1605</v>
      </c>
      <c r="B938" s="3">
        <v>192.5</v>
      </c>
      <c r="C938" s="2" t="s">
        <v>80</v>
      </c>
      <c r="D938" s="2" t="s">
        <v>81</v>
      </c>
      <c r="E938" s="2" t="s">
        <v>125</v>
      </c>
      <c r="F938" s="4" t="s">
        <v>126</v>
      </c>
      <c r="G938" s="4" t="s">
        <v>127</v>
      </c>
      <c r="H938" s="5">
        <v>9.1999999999999993</v>
      </c>
      <c r="I938" s="5">
        <v>10.8</v>
      </c>
      <c r="J938" s="5">
        <v>13.5</v>
      </c>
      <c r="K938" s="4" t="s">
        <v>111</v>
      </c>
      <c r="L938" s="4" t="s">
        <v>128</v>
      </c>
      <c r="M938" s="6">
        <f>IF(OR(B938="",I938=""),"",B938*I938)</f>
        <v>2079</v>
      </c>
      <c r="N938" s="29" t="s">
        <v>154</v>
      </c>
      <c r="O938" s="9"/>
      <c r="P938" s="9"/>
      <c r="Q938" s="22"/>
      <c r="R938" s="22"/>
      <c r="S938" s="23" t="str">
        <f>IF(AND(ISNUMBER(Q938),Q938&gt;0,ISNUMBER(R938),R938&gt;0),R938/Q938,"")</f>
        <v/>
      </c>
      <c r="T938" s="9"/>
      <c r="U938" s="9"/>
      <c r="V938" s="9"/>
      <c r="W938" s="9" t="s">
        <v>1603</v>
      </c>
      <c r="X938" s="23">
        <f>IF(ISNUMBER(S938),S938,IF(ISNUMBER(I938),I938,""))</f>
        <v>10.8</v>
      </c>
      <c r="Y938" t="str">
        <f>IF(ISNUMBER(S938),"2025 EIA-923 plant/group proxy",IF(ISNUMBER(I938),"Technology estimate","No thermal heat rate"))</f>
        <v>Technology estimate</v>
      </c>
      <c r="Z938" t="str">
        <f>IF(ISNUMBER(S938),"Review: NOT unit verified",IF(AE938="No match","No EIA match",IF(AF938="Unconfirmed","Unconfirmed EIA candidate","")))</f>
        <v>Unconfirmed EIA candidate</v>
      </c>
      <c r="AA938" s="26">
        <v>0.5081</v>
      </c>
      <c r="AB938" t="s">
        <v>1381</v>
      </c>
      <c r="AC938" t="s">
        <v>1604</v>
      </c>
      <c r="AD938" s="26">
        <v>150</v>
      </c>
      <c r="AE938" t="s">
        <v>157</v>
      </c>
      <c r="AF938" t="s">
        <v>158</v>
      </c>
      <c r="AG938" s="24">
        <f>IF(ISBLANK(S938),S938,I938)</f>
        <v>10.8</v>
      </c>
      <c r="AH938" s="34">
        <f t="shared" si="34"/>
        <v>150546.6</v>
      </c>
      <c r="AI938">
        <f t="shared" si="33"/>
        <v>94013.715700576489</v>
      </c>
      <c r="AJ938" t="b" cm="1">
        <f t="array" ref="AJ938">OR(D938=$AT$2:$AT$8)</f>
        <v>0</v>
      </c>
    </row>
    <row r="939" spans="1:36" x14ac:dyDescent="0.25">
      <c r="A939" s="2" t="s">
        <v>1606</v>
      </c>
      <c r="B939" s="3">
        <v>192.5</v>
      </c>
      <c r="C939" s="2" t="s">
        <v>80</v>
      </c>
      <c r="D939" s="2" t="s">
        <v>81</v>
      </c>
      <c r="E939" s="2" t="s">
        <v>125</v>
      </c>
      <c r="F939" s="4" t="s">
        <v>126</v>
      </c>
      <c r="G939" s="4" t="s">
        <v>127</v>
      </c>
      <c r="H939" s="5">
        <v>9.1999999999999993</v>
      </c>
      <c r="I939" s="5">
        <v>10.8</v>
      </c>
      <c r="J939" s="5">
        <v>13.5</v>
      </c>
      <c r="K939" s="4" t="s">
        <v>111</v>
      </c>
      <c r="L939" s="4" t="s">
        <v>128</v>
      </c>
      <c r="M939" s="6">
        <f>IF(OR(B939="",I939=""),"",B939*I939)</f>
        <v>2079</v>
      </c>
      <c r="N939" s="29" t="s">
        <v>154</v>
      </c>
      <c r="O939" s="9"/>
      <c r="P939" s="9"/>
      <c r="Q939" s="22"/>
      <c r="R939" s="22"/>
      <c r="S939" s="23" t="str">
        <f>IF(AND(ISNUMBER(Q939),Q939&gt;0,ISNUMBER(R939),R939&gt;0),R939/Q939,"")</f>
        <v/>
      </c>
      <c r="T939" s="9"/>
      <c r="U939" s="9"/>
      <c r="V939" s="9"/>
      <c r="W939" s="9" t="s">
        <v>1603</v>
      </c>
      <c r="X939" s="23">
        <f>IF(ISNUMBER(S939),S939,IF(ISNUMBER(I939),I939,""))</f>
        <v>10.8</v>
      </c>
      <c r="Y939" t="str">
        <f>IF(ISNUMBER(S939),"2025 EIA-923 plant/group proxy",IF(ISNUMBER(I939),"Technology estimate","No thermal heat rate"))</f>
        <v>Technology estimate</v>
      </c>
      <c r="Z939" t="str">
        <f>IF(ISNUMBER(S939),"Review: NOT unit verified",IF(AE939="No match","No EIA match",IF(AF939="Unconfirmed","Unconfirmed EIA candidate","")))</f>
        <v>Unconfirmed EIA candidate</v>
      </c>
      <c r="AA939" s="26">
        <v>0.5081</v>
      </c>
      <c r="AB939" t="s">
        <v>1381</v>
      </c>
      <c r="AC939" t="s">
        <v>1604</v>
      </c>
      <c r="AD939" s="26">
        <v>150</v>
      </c>
      <c r="AE939" t="s">
        <v>157</v>
      </c>
      <c r="AF939" t="s">
        <v>158</v>
      </c>
      <c r="AG939" s="24">
        <f>IF(ISBLANK(S939),S939,I939)</f>
        <v>10.8</v>
      </c>
      <c r="AH939" s="34">
        <f t="shared" si="34"/>
        <v>150739.1</v>
      </c>
      <c r="AI939">
        <f t="shared" si="33"/>
        <v>94133.928579992964</v>
      </c>
      <c r="AJ939" t="b" cm="1">
        <f t="array" ref="AJ939">OR(D939=$AT$2:$AT$8)</f>
        <v>0</v>
      </c>
    </row>
    <row r="940" spans="1:36" x14ac:dyDescent="0.25">
      <c r="A940" s="2" t="s">
        <v>1607</v>
      </c>
      <c r="B940" s="3">
        <v>192.5</v>
      </c>
      <c r="C940" s="2" t="s">
        <v>80</v>
      </c>
      <c r="D940" s="2" t="s">
        <v>81</v>
      </c>
      <c r="E940" s="2" t="s">
        <v>125</v>
      </c>
      <c r="F940" s="4" t="s">
        <v>126</v>
      </c>
      <c r="G940" s="4" t="s">
        <v>127</v>
      </c>
      <c r="H940" s="5">
        <v>9.1999999999999993</v>
      </c>
      <c r="I940" s="5">
        <v>10.8</v>
      </c>
      <c r="J940" s="5">
        <v>13.5</v>
      </c>
      <c r="K940" s="4" t="s">
        <v>111</v>
      </c>
      <c r="L940" s="4" t="s">
        <v>128</v>
      </c>
      <c r="M940" s="6">
        <f>IF(OR(B940="",I940=""),"",B940*I940)</f>
        <v>2079</v>
      </c>
      <c r="N940" s="29" t="s">
        <v>154</v>
      </c>
      <c r="O940" s="9"/>
      <c r="P940" s="9"/>
      <c r="Q940" s="22"/>
      <c r="R940" s="22"/>
      <c r="S940" s="23" t="str">
        <f>IF(AND(ISNUMBER(Q940),Q940&gt;0,ISNUMBER(R940),R940&gt;0),R940/Q940,"")</f>
        <v/>
      </c>
      <c r="T940" s="9"/>
      <c r="U940" s="9"/>
      <c r="V940" s="9"/>
      <c r="W940" s="9" t="s">
        <v>1603</v>
      </c>
      <c r="X940" s="23">
        <f>IF(ISNUMBER(S940),S940,IF(ISNUMBER(I940),I940,""))</f>
        <v>10.8</v>
      </c>
      <c r="Y940" t="str">
        <f>IF(ISNUMBER(S940),"2025 EIA-923 plant/group proxy",IF(ISNUMBER(I940),"Technology estimate","No thermal heat rate"))</f>
        <v>Technology estimate</v>
      </c>
      <c r="Z940" t="str">
        <f>IF(ISNUMBER(S940),"Review: NOT unit verified",IF(AE940="No match","No EIA match",IF(AF940="Unconfirmed","Unconfirmed EIA candidate","")))</f>
        <v>Unconfirmed EIA candidate</v>
      </c>
      <c r="AA940" s="26">
        <v>0.5081</v>
      </c>
      <c r="AB940" t="s">
        <v>1381</v>
      </c>
      <c r="AC940" t="s">
        <v>1604</v>
      </c>
      <c r="AD940" s="26">
        <v>150</v>
      </c>
      <c r="AE940" t="s">
        <v>157</v>
      </c>
      <c r="AF940" t="s">
        <v>158</v>
      </c>
      <c r="AG940" s="24">
        <f>IF(ISBLANK(S940),S940,I940)</f>
        <v>10.8</v>
      </c>
      <c r="AH940" s="34">
        <f t="shared" si="34"/>
        <v>150931.6</v>
      </c>
      <c r="AI940">
        <f t="shared" si="33"/>
        <v>94254.141459409453</v>
      </c>
      <c r="AJ940" t="b" cm="1">
        <f t="array" ref="AJ940">OR(D940=$AT$2:$AT$8)</f>
        <v>0</v>
      </c>
    </row>
    <row r="941" spans="1:36" x14ac:dyDescent="0.25">
      <c r="A941" s="2" t="s">
        <v>1730</v>
      </c>
      <c r="B941" s="3">
        <v>42</v>
      </c>
      <c r="C941" s="2" t="s">
        <v>68</v>
      </c>
      <c r="D941" s="2" t="s">
        <v>69</v>
      </c>
      <c r="E941" s="2" t="s">
        <v>125</v>
      </c>
      <c r="F941" s="4" t="s">
        <v>126</v>
      </c>
      <c r="G941" s="4" t="s">
        <v>127</v>
      </c>
      <c r="H941" s="5">
        <v>9.1999999999999993</v>
      </c>
      <c r="I941" s="5">
        <v>10.8</v>
      </c>
      <c r="J941" s="5">
        <v>13.5</v>
      </c>
      <c r="K941" s="4" t="s">
        <v>111</v>
      </c>
      <c r="L941" s="4" t="s">
        <v>128</v>
      </c>
      <c r="M941" s="6">
        <f>IF(OR(B941="",I941=""),"",B941*I941)</f>
        <v>453.6</v>
      </c>
      <c r="N941" s="10" t="s">
        <v>10</v>
      </c>
      <c r="O941" s="9"/>
      <c r="P941" s="9"/>
      <c r="Q941" s="22"/>
      <c r="R941" s="22"/>
      <c r="S941" s="23" t="str">
        <f>IF(AND(ISNUMBER(Q941),Q941&gt;0,ISNUMBER(R941),R941&gt;0),R941/Q941,"")</f>
        <v/>
      </c>
      <c r="T941" s="9"/>
      <c r="U941" s="9"/>
      <c r="V941" s="9"/>
      <c r="W941" s="9"/>
      <c r="X941" s="23">
        <f>IF(ISNUMBER(S941),S941,IF(ISNUMBER(I941),I941,""))</f>
        <v>10.8</v>
      </c>
      <c r="Y941" t="str">
        <f>IF(ISNUMBER(S941),"2025 EIA-923 plant/group proxy",IF(ISNUMBER(I941),"Technology estimate","No thermal heat rate"))</f>
        <v>Technology estimate</v>
      </c>
      <c r="Z941" t="str">
        <f>IF(ISNUMBER(S941),"Review: NOT unit verified",IF(AE941="No match","No EIA match",IF(AF941="Unconfirmed","Unconfirmed EIA candidate","")))</f>
        <v>No EIA match</v>
      </c>
      <c r="AE941" t="s">
        <v>107</v>
      </c>
      <c r="AG941" s="24">
        <f>IF(ISBLANK(S941),S941,I941)</f>
        <v>10.8</v>
      </c>
      <c r="AH941" s="34">
        <f t="shared" si="34"/>
        <v>150973.6</v>
      </c>
      <c r="AI941">
        <f t="shared" si="33"/>
        <v>94280.369724009404</v>
      </c>
      <c r="AJ941" t="b" cm="1">
        <f t="array" ref="AJ941">OR(D941=$AT$2:$AT$8)</f>
        <v>0</v>
      </c>
    </row>
    <row r="942" spans="1:36" x14ac:dyDescent="0.25">
      <c r="A942" s="2" t="s">
        <v>455</v>
      </c>
      <c r="B942" s="3">
        <v>194</v>
      </c>
      <c r="C942" s="2" t="s">
        <v>456</v>
      </c>
      <c r="D942" s="2" t="s">
        <v>81</v>
      </c>
      <c r="E942" s="2" t="s">
        <v>109</v>
      </c>
      <c r="F942" s="4" t="s">
        <v>109</v>
      </c>
      <c r="G942" s="4" t="s">
        <v>110</v>
      </c>
      <c r="H942" s="5">
        <v>9</v>
      </c>
      <c r="I942" s="5">
        <v>10.3</v>
      </c>
      <c r="J942" s="5">
        <v>12</v>
      </c>
      <c r="K942" s="4" t="s">
        <v>111</v>
      </c>
      <c r="L942" s="4" t="s">
        <v>112</v>
      </c>
      <c r="M942" s="6">
        <f>IF(OR(B942="",I942=""),"",B942*I942)</f>
        <v>1998.2</v>
      </c>
      <c r="N942" s="28" t="s">
        <v>113</v>
      </c>
      <c r="O942" s="26">
        <v>983</v>
      </c>
      <c r="P942" s="9" t="s">
        <v>457</v>
      </c>
      <c r="Q942" s="27">
        <v>5771258.3389999997</v>
      </c>
      <c r="R942" s="27">
        <v>62576933</v>
      </c>
      <c r="S942" s="23">
        <f>IF(AND(ISNUMBER(Q942),Q942&gt;0,ISNUMBER(R942),R942&gt;0),R942/Q942,"")</f>
        <v>10.842857713911116</v>
      </c>
      <c r="T942" s="9" t="s">
        <v>115</v>
      </c>
      <c r="U942" s="9" t="s">
        <v>458</v>
      </c>
      <c r="V942" s="9" t="s">
        <v>21</v>
      </c>
      <c r="W942" s="9" t="s">
        <v>270</v>
      </c>
      <c r="X942" s="23">
        <f>IF(ISNUMBER(S942),S942,IF(ISNUMBER(I942),I942,""))</f>
        <v>10.842857713911116</v>
      </c>
      <c r="Y942" t="str">
        <f>IF(ISNUMBER(S942),"2025 EIA-923 plant/group proxy",IF(ISNUMBER(I942),"Technology estimate","No thermal heat rate"))</f>
        <v>2025 EIA-923 plant/group proxy</v>
      </c>
      <c r="Z942" t="str">
        <f>IF(ISNUMBER(S942),"Review: NOT unit verified",IF(AE942="No match","No EIA match",IF(AF942="Unconfirmed","Unconfirmed EIA candidate","")))</f>
        <v>Review: NOT unit verified</v>
      </c>
      <c r="AA942" s="26">
        <v>0.76559999999999995</v>
      </c>
      <c r="AB942" t="s">
        <v>131</v>
      </c>
      <c r="AC942" t="s">
        <v>459</v>
      </c>
      <c r="AD942" s="26">
        <v>1173</v>
      </c>
      <c r="AE942" t="s">
        <v>120</v>
      </c>
      <c r="AF942" t="s">
        <v>145</v>
      </c>
      <c r="AG942" s="27">
        <v>10.8429</v>
      </c>
      <c r="AH942" s="34">
        <f t="shared" si="34"/>
        <v>151167.6</v>
      </c>
      <c r="AI942">
        <f t="shared" si="33"/>
        <v>94401.519327161601</v>
      </c>
      <c r="AJ942" t="b" cm="1">
        <f t="array" ref="AJ942">OR(D942=$AT$2:$AT$8)</f>
        <v>0</v>
      </c>
    </row>
    <row r="943" spans="1:36" x14ac:dyDescent="0.25">
      <c r="A943" s="2" t="s">
        <v>460</v>
      </c>
      <c r="B943" s="3">
        <v>194</v>
      </c>
      <c r="C943" s="2" t="s">
        <v>456</v>
      </c>
      <c r="D943" s="2" t="s">
        <v>81</v>
      </c>
      <c r="E943" s="2" t="s">
        <v>109</v>
      </c>
      <c r="F943" s="4" t="s">
        <v>109</v>
      </c>
      <c r="G943" s="4" t="s">
        <v>110</v>
      </c>
      <c r="H943" s="5">
        <v>9</v>
      </c>
      <c r="I943" s="5">
        <v>10.3</v>
      </c>
      <c r="J943" s="5">
        <v>12</v>
      </c>
      <c r="K943" s="4" t="s">
        <v>111</v>
      </c>
      <c r="L943" s="4" t="s">
        <v>112</v>
      </c>
      <c r="M943" s="6">
        <f>IF(OR(B943="",I943=""),"",B943*I943)</f>
        <v>1998.2</v>
      </c>
      <c r="N943" s="28" t="s">
        <v>113</v>
      </c>
      <c r="O943" s="26">
        <v>983</v>
      </c>
      <c r="P943" s="9" t="s">
        <v>457</v>
      </c>
      <c r="Q943" s="27">
        <v>5771258.3389999997</v>
      </c>
      <c r="R943" s="27">
        <v>62576933</v>
      </c>
      <c r="S943" s="23">
        <f>IF(AND(ISNUMBER(Q943),Q943&gt;0,ISNUMBER(R943),R943&gt;0),R943/Q943,"")</f>
        <v>10.842857713911116</v>
      </c>
      <c r="T943" s="9" t="s">
        <v>115</v>
      </c>
      <c r="U943" s="9" t="s">
        <v>458</v>
      </c>
      <c r="V943" s="9" t="s">
        <v>21</v>
      </c>
      <c r="W943" s="9" t="s">
        <v>270</v>
      </c>
      <c r="X943" s="23">
        <f>IF(ISNUMBER(S943),S943,IF(ISNUMBER(I943),I943,""))</f>
        <v>10.842857713911116</v>
      </c>
      <c r="Y943" t="str">
        <f>IF(ISNUMBER(S943),"2025 EIA-923 plant/group proxy",IF(ISNUMBER(I943),"Technology estimate","No thermal heat rate"))</f>
        <v>2025 EIA-923 plant/group proxy</v>
      </c>
      <c r="Z943" t="str">
        <f>IF(ISNUMBER(S943),"Review: NOT unit verified",IF(AE943="No match","No EIA match",IF(AF943="Unconfirmed","Unconfirmed EIA candidate","")))</f>
        <v>Review: NOT unit verified</v>
      </c>
      <c r="AA943" s="26">
        <v>0.76559999999999995</v>
      </c>
      <c r="AB943" t="s">
        <v>131</v>
      </c>
      <c r="AC943" t="s">
        <v>459</v>
      </c>
      <c r="AD943" s="26">
        <v>1173</v>
      </c>
      <c r="AE943" t="s">
        <v>120</v>
      </c>
      <c r="AF943" t="s">
        <v>145</v>
      </c>
      <c r="AG943" s="27">
        <v>10.8429</v>
      </c>
      <c r="AH943" s="34">
        <f t="shared" si="34"/>
        <v>151361.60000000001</v>
      </c>
      <c r="AI943">
        <f t="shared" si="33"/>
        <v>94522.668930313797</v>
      </c>
      <c r="AJ943" t="b" cm="1">
        <f t="array" ref="AJ943">OR(D943=$AT$2:$AT$8)</f>
        <v>0</v>
      </c>
    </row>
    <row r="944" spans="1:36" x14ac:dyDescent="0.25">
      <c r="A944" s="2" t="s">
        <v>461</v>
      </c>
      <c r="B944" s="3">
        <v>194</v>
      </c>
      <c r="C944" s="2" t="s">
        <v>456</v>
      </c>
      <c r="D944" s="2" t="s">
        <v>81</v>
      </c>
      <c r="E944" s="2" t="s">
        <v>109</v>
      </c>
      <c r="F944" s="4" t="s">
        <v>109</v>
      </c>
      <c r="G944" s="4" t="s">
        <v>110</v>
      </c>
      <c r="H944" s="5">
        <v>9</v>
      </c>
      <c r="I944" s="5">
        <v>10.3</v>
      </c>
      <c r="J944" s="5">
        <v>12</v>
      </c>
      <c r="K944" s="4" t="s">
        <v>111</v>
      </c>
      <c r="L944" s="4" t="s">
        <v>112</v>
      </c>
      <c r="M944" s="6">
        <f>IF(OR(B944="",I944=""),"",B944*I944)</f>
        <v>1998.2</v>
      </c>
      <c r="N944" s="28" t="s">
        <v>113</v>
      </c>
      <c r="O944" s="26">
        <v>983</v>
      </c>
      <c r="P944" s="9" t="s">
        <v>457</v>
      </c>
      <c r="Q944" s="27">
        <v>5771258.3389999997</v>
      </c>
      <c r="R944" s="27">
        <v>62576933</v>
      </c>
      <c r="S944" s="23">
        <f>IF(AND(ISNUMBER(Q944),Q944&gt;0,ISNUMBER(R944),R944&gt;0),R944/Q944,"")</f>
        <v>10.842857713911116</v>
      </c>
      <c r="T944" s="9" t="s">
        <v>115</v>
      </c>
      <c r="U944" s="9" t="s">
        <v>458</v>
      </c>
      <c r="V944" s="9" t="s">
        <v>21</v>
      </c>
      <c r="W944" s="9" t="s">
        <v>270</v>
      </c>
      <c r="X944" s="23">
        <f>IF(ISNUMBER(S944),S944,IF(ISNUMBER(I944),I944,""))</f>
        <v>10.842857713911116</v>
      </c>
      <c r="Y944" t="str">
        <f>IF(ISNUMBER(S944),"2025 EIA-923 plant/group proxy",IF(ISNUMBER(I944),"Technology estimate","No thermal heat rate"))</f>
        <v>2025 EIA-923 plant/group proxy</v>
      </c>
      <c r="Z944" t="str">
        <f>IF(ISNUMBER(S944),"Review: NOT unit verified",IF(AE944="No match","No EIA match",IF(AF944="Unconfirmed","Unconfirmed EIA candidate","")))</f>
        <v>Review: NOT unit verified</v>
      </c>
      <c r="AA944" s="26">
        <v>0.76559999999999995</v>
      </c>
      <c r="AB944" t="s">
        <v>131</v>
      </c>
      <c r="AC944" t="s">
        <v>459</v>
      </c>
      <c r="AD944" s="26">
        <v>1173</v>
      </c>
      <c r="AE944" t="s">
        <v>120</v>
      </c>
      <c r="AF944" t="s">
        <v>145</v>
      </c>
      <c r="AG944" s="27">
        <v>10.8429</v>
      </c>
      <c r="AH944" s="34">
        <f t="shared" si="34"/>
        <v>151555.6</v>
      </c>
      <c r="AI944">
        <f t="shared" si="33"/>
        <v>94643.818533465979</v>
      </c>
      <c r="AJ944" t="b" cm="1">
        <f t="array" ref="AJ944">OR(D944=$AT$2:$AT$8)</f>
        <v>0</v>
      </c>
    </row>
    <row r="945" spans="1:36" x14ac:dyDescent="0.25">
      <c r="A945" s="2" t="s">
        <v>462</v>
      </c>
      <c r="B945" s="3">
        <v>194</v>
      </c>
      <c r="C945" s="2" t="s">
        <v>456</v>
      </c>
      <c r="D945" s="2" t="s">
        <v>81</v>
      </c>
      <c r="E945" s="2" t="s">
        <v>109</v>
      </c>
      <c r="F945" s="4" t="s">
        <v>109</v>
      </c>
      <c r="G945" s="4" t="s">
        <v>110</v>
      </c>
      <c r="H945" s="5">
        <v>9</v>
      </c>
      <c r="I945" s="5">
        <v>10.3</v>
      </c>
      <c r="J945" s="5">
        <v>12</v>
      </c>
      <c r="K945" s="4" t="s">
        <v>111</v>
      </c>
      <c r="L945" s="4" t="s">
        <v>112</v>
      </c>
      <c r="M945" s="6">
        <f>IF(OR(B945="",I945=""),"",B945*I945)</f>
        <v>1998.2</v>
      </c>
      <c r="N945" s="28" t="s">
        <v>113</v>
      </c>
      <c r="O945" s="26">
        <v>983</v>
      </c>
      <c r="P945" s="9" t="s">
        <v>457</v>
      </c>
      <c r="Q945" s="27">
        <v>5771258.3389999997</v>
      </c>
      <c r="R945" s="27">
        <v>62576933</v>
      </c>
      <c r="S945" s="23">
        <f>IF(AND(ISNUMBER(Q945),Q945&gt;0,ISNUMBER(R945),R945&gt;0),R945/Q945,"")</f>
        <v>10.842857713911116</v>
      </c>
      <c r="T945" s="9" t="s">
        <v>115</v>
      </c>
      <c r="U945" s="9" t="s">
        <v>458</v>
      </c>
      <c r="V945" s="9" t="s">
        <v>21</v>
      </c>
      <c r="W945" s="9" t="s">
        <v>270</v>
      </c>
      <c r="X945" s="23">
        <f>IF(ISNUMBER(S945),S945,IF(ISNUMBER(I945),I945,""))</f>
        <v>10.842857713911116</v>
      </c>
      <c r="Y945" t="str">
        <f>IF(ISNUMBER(S945),"2025 EIA-923 plant/group proxy",IF(ISNUMBER(I945),"Technology estimate","No thermal heat rate"))</f>
        <v>2025 EIA-923 plant/group proxy</v>
      </c>
      <c r="Z945" t="str">
        <f>IF(ISNUMBER(S945),"Review: NOT unit verified",IF(AE945="No match","No EIA match",IF(AF945="Unconfirmed","Unconfirmed EIA candidate","")))</f>
        <v>Review: NOT unit verified</v>
      </c>
      <c r="AA945" s="26">
        <v>0.76559999999999995</v>
      </c>
      <c r="AB945" t="s">
        <v>131</v>
      </c>
      <c r="AC945" t="s">
        <v>459</v>
      </c>
      <c r="AD945" s="26">
        <v>1173</v>
      </c>
      <c r="AE945" t="s">
        <v>120</v>
      </c>
      <c r="AF945" t="s">
        <v>145</v>
      </c>
      <c r="AG945" s="27">
        <v>10.8429</v>
      </c>
      <c r="AH945" s="34">
        <f t="shared" si="34"/>
        <v>151749.6</v>
      </c>
      <c r="AI945">
        <f t="shared" si="33"/>
        <v>94764.968136618176</v>
      </c>
      <c r="AJ945" t="b" cm="1">
        <f t="array" ref="AJ945">OR(D945=$AT$2:$AT$8)</f>
        <v>0</v>
      </c>
    </row>
    <row r="946" spans="1:36" x14ac:dyDescent="0.25">
      <c r="A946" s="2" t="s">
        <v>463</v>
      </c>
      <c r="B946" s="3">
        <v>194</v>
      </c>
      <c r="C946" s="2" t="s">
        <v>456</v>
      </c>
      <c r="D946" s="2" t="s">
        <v>81</v>
      </c>
      <c r="E946" s="2" t="s">
        <v>109</v>
      </c>
      <c r="F946" s="4" t="s">
        <v>109</v>
      </c>
      <c r="G946" s="4" t="s">
        <v>110</v>
      </c>
      <c r="H946" s="5">
        <v>9</v>
      </c>
      <c r="I946" s="5">
        <v>10.3</v>
      </c>
      <c r="J946" s="5">
        <v>12</v>
      </c>
      <c r="K946" s="4" t="s">
        <v>111</v>
      </c>
      <c r="L946" s="4" t="s">
        <v>112</v>
      </c>
      <c r="M946" s="6">
        <f>IF(OR(B946="",I946=""),"",B946*I946)</f>
        <v>1998.2</v>
      </c>
      <c r="N946" s="28" t="s">
        <v>113</v>
      </c>
      <c r="O946" s="26">
        <v>983</v>
      </c>
      <c r="P946" s="9" t="s">
        <v>457</v>
      </c>
      <c r="Q946" s="27">
        <v>5771258.3389999997</v>
      </c>
      <c r="R946" s="27">
        <v>62576933</v>
      </c>
      <c r="S946" s="23">
        <f>IF(AND(ISNUMBER(Q946),Q946&gt;0,ISNUMBER(R946),R946&gt;0),R946/Q946,"")</f>
        <v>10.842857713911116</v>
      </c>
      <c r="T946" s="9" t="s">
        <v>115</v>
      </c>
      <c r="U946" s="9" t="s">
        <v>458</v>
      </c>
      <c r="V946" s="9" t="s">
        <v>21</v>
      </c>
      <c r="W946" s="9" t="s">
        <v>270</v>
      </c>
      <c r="X946" s="23">
        <f>IF(ISNUMBER(S946),S946,IF(ISNUMBER(I946),I946,""))</f>
        <v>10.842857713911116</v>
      </c>
      <c r="Y946" t="str">
        <f>IF(ISNUMBER(S946),"2025 EIA-923 plant/group proxy",IF(ISNUMBER(I946),"Technology estimate","No thermal heat rate"))</f>
        <v>2025 EIA-923 plant/group proxy</v>
      </c>
      <c r="Z946" t="str">
        <f>IF(ISNUMBER(S946),"Review: NOT unit verified",IF(AE946="No match","No EIA match",IF(AF946="Unconfirmed","Unconfirmed EIA candidate","")))</f>
        <v>Review: NOT unit verified</v>
      </c>
      <c r="AA946" s="26">
        <v>0.76559999999999995</v>
      </c>
      <c r="AB946" t="s">
        <v>131</v>
      </c>
      <c r="AC946" t="s">
        <v>459</v>
      </c>
      <c r="AD946" s="26">
        <v>1173</v>
      </c>
      <c r="AE946" t="s">
        <v>120</v>
      </c>
      <c r="AF946" t="s">
        <v>145</v>
      </c>
      <c r="AG946" s="27">
        <v>10.8429</v>
      </c>
      <c r="AH946" s="34">
        <f t="shared" si="34"/>
        <v>151943.6</v>
      </c>
      <c r="AI946">
        <f t="shared" si="33"/>
        <v>94886.117739770372</v>
      </c>
      <c r="AJ946" t="b" cm="1">
        <f t="array" ref="AJ946">OR(D946=$AT$2:$AT$8)</f>
        <v>0</v>
      </c>
    </row>
    <row r="947" spans="1:36" x14ac:dyDescent="0.25">
      <c r="A947" s="2" t="s">
        <v>464</v>
      </c>
      <c r="B947" s="3">
        <v>194</v>
      </c>
      <c r="C947" s="2" t="s">
        <v>456</v>
      </c>
      <c r="D947" s="2" t="s">
        <v>81</v>
      </c>
      <c r="E947" s="2" t="s">
        <v>109</v>
      </c>
      <c r="F947" s="4" t="s">
        <v>109</v>
      </c>
      <c r="G947" s="4" t="s">
        <v>110</v>
      </c>
      <c r="H947" s="5">
        <v>9</v>
      </c>
      <c r="I947" s="5">
        <v>10.3</v>
      </c>
      <c r="J947" s="5">
        <v>12</v>
      </c>
      <c r="K947" s="4" t="s">
        <v>111</v>
      </c>
      <c r="L947" s="4" t="s">
        <v>112</v>
      </c>
      <c r="M947" s="6">
        <f>IF(OR(B947="",I947=""),"",B947*I947)</f>
        <v>1998.2</v>
      </c>
      <c r="N947" s="28" t="s">
        <v>113</v>
      </c>
      <c r="O947" s="26">
        <v>983</v>
      </c>
      <c r="P947" s="9" t="s">
        <v>457</v>
      </c>
      <c r="Q947" s="27">
        <v>5771258.3389999997</v>
      </c>
      <c r="R947" s="27">
        <v>62576933</v>
      </c>
      <c r="S947" s="23">
        <f>IF(AND(ISNUMBER(Q947),Q947&gt;0,ISNUMBER(R947),R947&gt;0),R947/Q947,"")</f>
        <v>10.842857713911116</v>
      </c>
      <c r="T947" s="9" t="s">
        <v>115</v>
      </c>
      <c r="U947" s="9" t="s">
        <v>458</v>
      </c>
      <c r="V947" s="9" t="s">
        <v>21</v>
      </c>
      <c r="W947" s="9" t="s">
        <v>270</v>
      </c>
      <c r="X947" s="23">
        <f>IF(ISNUMBER(S947),S947,IF(ISNUMBER(I947),I947,""))</f>
        <v>10.842857713911116</v>
      </c>
      <c r="Y947" t="str">
        <f>IF(ISNUMBER(S947),"2025 EIA-923 plant/group proxy",IF(ISNUMBER(I947),"Technology estimate","No thermal heat rate"))</f>
        <v>2025 EIA-923 plant/group proxy</v>
      </c>
      <c r="Z947" t="str">
        <f>IF(ISNUMBER(S947),"Review: NOT unit verified",IF(AE947="No match","No EIA match",IF(AF947="Unconfirmed","Unconfirmed EIA candidate","")))</f>
        <v>Review: NOT unit verified</v>
      </c>
      <c r="AA947" s="26">
        <v>0.76559999999999995</v>
      </c>
      <c r="AB947" t="s">
        <v>131</v>
      </c>
      <c r="AC947" t="s">
        <v>459</v>
      </c>
      <c r="AD947" s="26">
        <v>1173</v>
      </c>
      <c r="AE947" t="s">
        <v>120</v>
      </c>
      <c r="AF947" t="s">
        <v>145</v>
      </c>
      <c r="AG947" s="27">
        <v>10.8429</v>
      </c>
      <c r="AH947" s="34">
        <f t="shared" si="34"/>
        <v>152137.60000000001</v>
      </c>
      <c r="AI947">
        <f t="shared" si="33"/>
        <v>95007.267342922554</v>
      </c>
      <c r="AJ947" t="b" cm="1">
        <f t="array" ref="AJ947">OR(D947=$AT$2:$AT$8)</f>
        <v>0</v>
      </c>
    </row>
    <row r="948" spans="1:36" x14ac:dyDescent="0.25">
      <c r="A948" s="2" t="s">
        <v>1504</v>
      </c>
      <c r="B948" s="3">
        <v>179.1</v>
      </c>
      <c r="C948" s="2" t="s">
        <v>97</v>
      </c>
      <c r="D948" s="2" t="s">
        <v>97</v>
      </c>
      <c r="E948" s="2" t="s">
        <v>137</v>
      </c>
      <c r="F948" s="4" t="s">
        <v>138</v>
      </c>
      <c r="G948" s="4" t="s">
        <v>139</v>
      </c>
      <c r="H948" s="5">
        <v>9</v>
      </c>
      <c r="I948" s="5">
        <v>10.5</v>
      </c>
      <c r="J948" s="5">
        <v>13</v>
      </c>
      <c r="K948" s="4" t="s">
        <v>111</v>
      </c>
      <c r="L948" s="4" t="s">
        <v>112</v>
      </c>
      <c r="M948" s="6">
        <f>IF(OR(B948="",I948=""),"",B948*I948)</f>
        <v>1880.55</v>
      </c>
      <c r="N948" s="25" t="s">
        <v>113</v>
      </c>
      <c r="O948" s="26">
        <v>55238</v>
      </c>
      <c r="P948" s="9" t="s">
        <v>1505</v>
      </c>
      <c r="Q948" s="27">
        <v>106527</v>
      </c>
      <c r="R948" s="27">
        <v>1156723</v>
      </c>
      <c r="S948" s="23">
        <f>IF(AND(ISNUMBER(Q948),Q948&gt;0,ISNUMBER(R948),R948&gt;0),R948/Q948,"")</f>
        <v>10.858495968158307</v>
      </c>
      <c r="T948" s="9" t="s">
        <v>115</v>
      </c>
      <c r="U948" s="9" t="s">
        <v>141</v>
      </c>
      <c r="V948" s="9" t="s">
        <v>21</v>
      </c>
      <c r="W948" s="9" t="s">
        <v>117</v>
      </c>
      <c r="X948" s="23">
        <f>IF(ISNUMBER(S948),S948,IF(ISNUMBER(I948),I948,""))</f>
        <v>10.858495968158307</v>
      </c>
      <c r="Y948" t="str">
        <f>IF(ISNUMBER(S948),"2025 EIA-923 plant/group proxy",IF(ISNUMBER(I948),"Technology estimate","No thermal heat rate"))</f>
        <v>2025 EIA-923 plant/group proxy</v>
      </c>
      <c r="Z948" t="str">
        <f>IF(ISNUMBER(S948),"Review: NOT unit verified",IF(AE948="No match","No EIA match",IF(AF948="Unconfirmed","Unconfirmed EIA candidate","")))</f>
        <v>Review: NOT unit verified</v>
      </c>
      <c r="AA948" s="26">
        <v>0.85899999999999999</v>
      </c>
      <c r="AB948" t="s">
        <v>166</v>
      </c>
      <c r="AC948" t="s">
        <v>1506</v>
      </c>
      <c r="AD948" s="26">
        <v>362.2</v>
      </c>
      <c r="AE948" t="s">
        <v>120</v>
      </c>
      <c r="AF948" t="s">
        <v>121</v>
      </c>
      <c r="AG948" s="27">
        <v>10.858499999999999</v>
      </c>
      <c r="AH948" s="34">
        <f t="shared" si="34"/>
        <v>152316.70000000001</v>
      </c>
      <c r="AI948">
        <f t="shared" si="33"/>
        <v>95119.112156966672</v>
      </c>
      <c r="AJ948" t="b" cm="1">
        <f t="array" ref="AJ948">OR(D948=$AT$2:$AT$8)</f>
        <v>0</v>
      </c>
    </row>
    <row r="949" spans="1:36" x14ac:dyDescent="0.25">
      <c r="A949" s="2" t="s">
        <v>1507</v>
      </c>
      <c r="B949" s="3">
        <v>177.8</v>
      </c>
      <c r="C949" s="2" t="s">
        <v>97</v>
      </c>
      <c r="D949" s="2" t="s">
        <v>97</v>
      </c>
      <c r="E949" s="2" t="s">
        <v>137</v>
      </c>
      <c r="F949" s="4" t="s">
        <v>138</v>
      </c>
      <c r="G949" s="4" t="s">
        <v>139</v>
      </c>
      <c r="H949" s="5">
        <v>9</v>
      </c>
      <c r="I949" s="5">
        <v>10.5</v>
      </c>
      <c r="J949" s="5">
        <v>13</v>
      </c>
      <c r="K949" s="4" t="s">
        <v>111</v>
      </c>
      <c r="L949" s="4" t="s">
        <v>112</v>
      </c>
      <c r="M949" s="6">
        <f>IF(OR(B949="",I949=""),"",B949*I949)</f>
        <v>1866.9</v>
      </c>
      <c r="N949" s="25" t="s">
        <v>113</v>
      </c>
      <c r="O949" s="26">
        <v>55238</v>
      </c>
      <c r="P949" s="9" t="s">
        <v>1505</v>
      </c>
      <c r="Q949" s="27">
        <v>106527</v>
      </c>
      <c r="R949" s="27">
        <v>1156723</v>
      </c>
      <c r="S949" s="23">
        <f>IF(AND(ISNUMBER(Q949),Q949&gt;0,ISNUMBER(R949),R949&gt;0),R949/Q949,"")</f>
        <v>10.858495968158307</v>
      </c>
      <c r="T949" s="9" t="s">
        <v>115</v>
      </c>
      <c r="U949" s="9" t="s">
        <v>141</v>
      </c>
      <c r="V949" s="9" t="s">
        <v>21</v>
      </c>
      <c r="W949" s="9" t="s">
        <v>117</v>
      </c>
      <c r="X949" s="23">
        <f>IF(ISNUMBER(S949),S949,IF(ISNUMBER(I949),I949,""))</f>
        <v>10.858495968158307</v>
      </c>
      <c r="Y949" t="str">
        <f>IF(ISNUMBER(S949),"2025 EIA-923 plant/group proxy",IF(ISNUMBER(I949),"Technology estimate","No thermal heat rate"))</f>
        <v>2025 EIA-923 plant/group proxy</v>
      </c>
      <c r="Z949" t="str">
        <f>IF(ISNUMBER(S949),"Review: NOT unit verified",IF(AE949="No match","No EIA match",IF(AF949="Unconfirmed","Unconfirmed EIA candidate","")))</f>
        <v>Review: NOT unit verified</v>
      </c>
      <c r="AA949" s="26">
        <v>0.85899999999999999</v>
      </c>
      <c r="AB949" t="s">
        <v>166</v>
      </c>
      <c r="AC949" t="s">
        <v>1506</v>
      </c>
      <c r="AD949" s="26">
        <v>362.2</v>
      </c>
      <c r="AE949" t="s">
        <v>120</v>
      </c>
      <c r="AF949" t="s">
        <v>121</v>
      </c>
      <c r="AG949" s="27">
        <v>10.858499999999999</v>
      </c>
      <c r="AH949" s="34">
        <f t="shared" si="34"/>
        <v>152494.5</v>
      </c>
      <c r="AI949">
        <f t="shared" si="33"/>
        <v>95230.145143773159</v>
      </c>
      <c r="AJ949" t="b" cm="1">
        <f t="array" ref="AJ949">OR(D949=$AT$2:$AT$8)</f>
        <v>0</v>
      </c>
    </row>
    <row r="950" spans="1:36" x14ac:dyDescent="0.25">
      <c r="A950" s="2" t="s">
        <v>1508</v>
      </c>
      <c r="B950" s="3">
        <v>180</v>
      </c>
      <c r="C950" s="2" t="s">
        <v>97</v>
      </c>
      <c r="D950" s="2" t="s">
        <v>97</v>
      </c>
      <c r="E950" s="2" t="s">
        <v>137</v>
      </c>
      <c r="F950" s="4" t="s">
        <v>138</v>
      </c>
      <c r="G950" s="4" t="s">
        <v>139</v>
      </c>
      <c r="H950" s="5">
        <v>9</v>
      </c>
      <c r="I950" s="5">
        <v>10.5</v>
      </c>
      <c r="J950" s="5">
        <v>13</v>
      </c>
      <c r="K950" s="4" t="s">
        <v>111</v>
      </c>
      <c r="L950" s="4" t="s">
        <v>112</v>
      </c>
      <c r="M950" s="6">
        <f>IF(OR(B950="",I950=""),"",B950*I950)</f>
        <v>1890</v>
      </c>
      <c r="N950" s="25" t="s">
        <v>113</v>
      </c>
      <c r="O950" s="26">
        <v>55238</v>
      </c>
      <c r="P950" s="9" t="s">
        <v>1505</v>
      </c>
      <c r="Q950" s="27">
        <v>106527</v>
      </c>
      <c r="R950" s="27">
        <v>1156723</v>
      </c>
      <c r="S950" s="23">
        <f>IF(AND(ISNUMBER(Q950),Q950&gt;0,ISNUMBER(R950),R950&gt;0),R950/Q950,"")</f>
        <v>10.858495968158307</v>
      </c>
      <c r="T950" s="9" t="s">
        <v>115</v>
      </c>
      <c r="U950" s="9" t="s">
        <v>141</v>
      </c>
      <c r="V950" s="9" t="s">
        <v>21</v>
      </c>
      <c r="W950" s="9" t="s">
        <v>117</v>
      </c>
      <c r="X950" s="23">
        <f>IF(ISNUMBER(S950),S950,IF(ISNUMBER(I950),I950,""))</f>
        <v>10.858495968158307</v>
      </c>
      <c r="Y950" t="str">
        <f>IF(ISNUMBER(S950),"2025 EIA-923 plant/group proxy",IF(ISNUMBER(I950),"Technology estimate","No thermal heat rate"))</f>
        <v>2025 EIA-923 plant/group proxy</v>
      </c>
      <c r="Z950" t="str">
        <f>IF(ISNUMBER(S950),"Review: NOT unit verified",IF(AE950="No match","No EIA match",IF(AF950="Unconfirmed","Unconfirmed EIA candidate","")))</f>
        <v>Review: NOT unit verified</v>
      </c>
      <c r="AA950" s="26">
        <v>0.85899999999999999</v>
      </c>
      <c r="AB950" t="s">
        <v>166</v>
      </c>
      <c r="AC950" t="s">
        <v>1506</v>
      </c>
      <c r="AD950" s="26">
        <v>362.2</v>
      </c>
      <c r="AE950" t="s">
        <v>120</v>
      </c>
      <c r="AF950" t="s">
        <v>121</v>
      </c>
      <c r="AG950" s="27">
        <v>10.858499999999999</v>
      </c>
      <c r="AH950" s="34">
        <f t="shared" si="34"/>
        <v>152674.5</v>
      </c>
      <c r="AI950">
        <f t="shared" si="33"/>
        <v>95342.551992058696</v>
      </c>
      <c r="AJ950" t="b" cm="1">
        <f t="array" ref="AJ950">OR(D950=$AT$2:$AT$8)</f>
        <v>0</v>
      </c>
    </row>
    <row r="951" spans="1:36" x14ac:dyDescent="0.25">
      <c r="A951" s="2" t="s">
        <v>510</v>
      </c>
      <c r="B951" s="3">
        <v>116</v>
      </c>
      <c r="C951" s="2" t="s">
        <v>294</v>
      </c>
      <c r="D951" s="2" t="s">
        <v>81</v>
      </c>
      <c r="E951" s="2" t="s">
        <v>109</v>
      </c>
      <c r="F951" s="4" t="s">
        <v>109</v>
      </c>
      <c r="G951" s="4" t="s">
        <v>110</v>
      </c>
      <c r="H951" s="5">
        <v>9</v>
      </c>
      <c r="I951" s="5">
        <v>10.3</v>
      </c>
      <c r="J951" s="5">
        <v>12</v>
      </c>
      <c r="K951" s="4" t="s">
        <v>111</v>
      </c>
      <c r="L951" s="4" t="s">
        <v>112</v>
      </c>
      <c r="M951" s="6">
        <f>IF(OR(B951="",I951=""),"",B951*I951)</f>
        <v>1194.8000000000002</v>
      </c>
      <c r="N951" s="25" t="s">
        <v>113</v>
      </c>
      <c r="O951" s="26">
        <v>1384</v>
      </c>
      <c r="P951" s="9" t="s">
        <v>511</v>
      </c>
      <c r="Q951" s="27">
        <v>512838.35100000002</v>
      </c>
      <c r="R951" s="27">
        <v>5601003</v>
      </c>
      <c r="S951" s="23">
        <f>IF(AND(ISNUMBER(Q951),Q951&gt;0,ISNUMBER(R951),R951&gt;0),R951/Q951,"")</f>
        <v>10.921575948987481</v>
      </c>
      <c r="T951" s="9" t="s">
        <v>115</v>
      </c>
      <c r="U951" s="9" t="s">
        <v>116</v>
      </c>
      <c r="V951" s="9" t="s">
        <v>21</v>
      </c>
      <c r="W951" s="9" t="s">
        <v>240</v>
      </c>
      <c r="X951" s="23">
        <f>IF(ISNUMBER(S951),S951,IF(ISNUMBER(I951),I951,""))</f>
        <v>10.921575948987481</v>
      </c>
      <c r="Y951" t="str">
        <f>IF(ISNUMBER(S951),"2025 EIA-923 plant/group proxy",IF(ISNUMBER(I951),"Technology estimate","No thermal heat rate"))</f>
        <v>2025 EIA-923 plant/group proxy</v>
      </c>
      <c r="Z951" t="str">
        <f>IF(ISNUMBER(S951),"Review: NOT unit verified",IF(AE951="No match","No EIA match",IF(AF951="Unconfirmed","Unconfirmed EIA candidate","")))</f>
        <v>Review: NOT unit verified</v>
      </c>
      <c r="AA951" s="26">
        <v>1</v>
      </c>
      <c r="AB951" t="s">
        <v>266</v>
      </c>
      <c r="AC951" t="s">
        <v>308</v>
      </c>
      <c r="AD951" s="26">
        <v>341</v>
      </c>
      <c r="AE951" t="s">
        <v>120</v>
      </c>
      <c r="AF951" t="s">
        <v>121</v>
      </c>
      <c r="AG951" s="27">
        <v>10.9216</v>
      </c>
      <c r="AH951" s="34">
        <f t="shared" si="34"/>
        <v>152790.5</v>
      </c>
      <c r="AI951">
        <f t="shared" si="33"/>
        <v>95414.991960953819</v>
      </c>
      <c r="AJ951" t="b" cm="1">
        <f t="array" ref="AJ951">OR(D951=$AT$2:$AT$8)</f>
        <v>0</v>
      </c>
    </row>
    <row r="952" spans="1:36" x14ac:dyDescent="0.25">
      <c r="A952" s="2" t="s">
        <v>512</v>
      </c>
      <c r="B952" s="3">
        <v>225</v>
      </c>
      <c r="C952" s="2" t="s">
        <v>294</v>
      </c>
      <c r="D952" s="2" t="s">
        <v>81</v>
      </c>
      <c r="E952" s="2" t="s">
        <v>109</v>
      </c>
      <c r="F952" s="4" t="s">
        <v>109</v>
      </c>
      <c r="G952" s="4" t="s">
        <v>110</v>
      </c>
      <c r="H952" s="5">
        <v>9</v>
      </c>
      <c r="I952" s="5">
        <v>10.3</v>
      </c>
      <c r="J952" s="5">
        <v>12</v>
      </c>
      <c r="K952" s="4" t="s">
        <v>111</v>
      </c>
      <c r="L952" s="4" t="s">
        <v>112</v>
      </c>
      <c r="M952" s="6">
        <f>IF(OR(B952="",I952=""),"",B952*I952)</f>
        <v>2317.5</v>
      </c>
      <c r="N952" s="25" t="s">
        <v>113</v>
      </c>
      <c r="O952" s="26">
        <v>1384</v>
      </c>
      <c r="P952" s="9" t="s">
        <v>511</v>
      </c>
      <c r="Q952" s="27">
        <v>512838.35100000002</v>
      </c>
      <c r="R952" s="27">
        <v>5601003</v>
      </c>
      <c r="S952" s="23">
        <f>IF(AND(ISNUMBER(Q952),Q952&gt;0,ISNUMBER(R952),R952&gt;0),R952/Q952,"")</f>
        <v>10.921575948987481</v>
      </c>
      <c r="T952" s="9" t="s">
        <v>115</v>
      </c>
      <c r="U952" s="9" t="s">
        <v>116</v>
      </c>
      <c r="V952" s="9" t="s">
        <v>21</v>
      </c>
      <c r="W952" s="9" t="s">
        <v>240</v>
      </c>
      <c r="X952" s="23">
        <f>IF(ISNUMBER(S952),S952,IF(ISNUMBER(I952),I952,""))</f>
        <v>10.921575948987481</v>
      </c>
      <c r="Y952" t="str">
        <f>IF(ISNUMBER(S952),"2025 EIA-923 plant/group proxy",IF(ISNUMBER(I952),"Technology estimate","No thermal heat rate"))</f>
        <v>2025 EIA-923 plant/group proxy</v>
      </c>
      <c r="Z952" t="str">
        <f>IF(ISNUMBER(S952),"Review: NOT unit verified",IF(AE952="No match","No EIA match",IF(AF952="Unconfirmed","Unconfirmed EIA candidate","")))</f>
        <v>Review: NOT unit verified</v>
      </c>
      <c r="AA952" s="26">
        <v>1</v>
      </c>
      <c r="AB952" t="s">
        <v>266</v>
      </c>
      <c r="AC952" t="s">
        <v>308</v>
      </c>
      <c r="AD952" s="26">
        <v>341</v>
      </c>
      <c r="AE952" t="s">
        <v>120</v>
      </c>
      <c r="AF952" t="s">
        <v>121</v>
      </c>
      <c r="AG952" s="27">
        <v>10.9216</v>
      </c>
      <c r="AH952" s="34">
        <f t="shared" si="34"/>
        <v>153015.5</v>
      </c>
      <c r="AI952">
        <f t="shared" si="33"/>
        <v>95555.500521310751</v>
      </c>
      <c r="AJ952" t="b" cm="1">
        <f t="array" ref="AJ952">OR(D952=$AT$2:$AT$8)</f>
        <v>0</v>
      </c>
    </row>
    <row r="953" spans="1:36" x14ac:dyDescent="0.25">
      <c r="A953" s="2" t="s">
        <v>324</v>
      </c>
      <c r="B953" s="3">
        <v>306</v>
      </c>
      <c r="C953" s="2" t="s">
        <v>136</v>
      </c>
      <c r="D953" s="2" t="s">
        <v>136</v>
      </c>
      <c r="E953" s="2" t="s">
        <v>189</v>
      </c>
      <c r="F953" s="4" t="s">
        <v>103</v>
      </c>
      <c r="G953" s="4" t="s">
        <v>190</v>
      </c>
      <c r="H953" s="5"/>
      <c r="I953" s="5"/>
      <c r="J953" s="5"/>
      <c r="K953" s="4" t="s">
        <v>105</v>
      </c>
      <c r="L953" s="4" t="s">
        <v>191</v>
      </c>
      <c r="M953" s="6" t="str">
        <f>IF(OR(B953="",I953=""),"",B953*I953)</f>
        <v/>
      </c>
      <c r="N953" s="25" t="s">
        <v>113</v>
      </c>
      <c r="O953" s="26">
        <v>3140</v>
      </c>
      <c r="P953" s="9" t="s">
        <v>325</v>
      </c>
      <c r="Q953" s="27">
        <v>4191477.9929999998</v>
      </c>
      <c r="R953" s="27">
        <v>45961533</v>
      </c>
      <c r="S953" s="23">
        <f>IF(AND(ISNUMBER(Q953),Q953&gt;0,ISNUMBER(R953),R953&gt;0),R953/Q953,"")</f>
        <v>10.965471625225828</v>
      </c>
      <c r="T953" s="9" t="s">
        <v>115</v>
      </c>
      <c r="U953" s="9" t="s">
        <v>326</v>
      </c>
      <c r="V953" s="9" t="s">
        <v>21</v>
      </c>
      <c r="W953" s="9" t="s">
        <v>117</v>
      </c>
      <c r="X953" s="23">
        <f>IF(ISNUMBER(S953),S953,IF(ISNUMBER(I953),I953,""))</f>
        <v>10.965471625225828</v>
      </c>
      <c r="Y953" t="str">
        <f>IF(ISNUMBER(S953),"2025 EIA-923 plant/group proxy",IF(ISNUMBER(I953),"Technology estimate","No thermal heat rate"))</f>
        <v>2025 EIA-923 plant/group proxy</v>
      </c>
      <c r="Z953" t="str">
        <f>IF(ISNUMBER(S953),"Review: NOT unit verified",IF(AE953="No match","No EIA match",IF(AF953="Unconfirmed","Unconfirmed EIA candidate","")))</f>
        <v>Review: NOT unit verified</v>
      </c>
      <c r="AA953" s="26">
        <v>1</v>
      </c>
      <c r="AB953" t="s">
        <v>143</v>
      </c>
      <c r="AC953" t="s">
        <v>119</v>
      </c>
      <c r="AD953" s="26">
        <v>1411</v>
      </c>
      <c r="AE953" t="s">
        <v>120</v>
      </c>
      <c r="AF953" t="s">
        <v>121</v>
      </c>
      <c r="AG953" s="27">
        <v>10.9655</v>
      </c>
      <c r="AH953" s="34">
        <f t="shared" si="34"/>
        <v>153321.5</v>
      </c>
      <c r="AI953">
        <f t="shared" si="33"/>
        <v>95746.59216339617</v>
      </c>
      <c r="AJ953" t="b" cm="1">
        <f t="array" ref="AJ953">OR(D953=$AT$2:$AT$8)</f>
        <v>0</v>
      </c>
    </row>
    <row r="954" spans="1:36" x14ac:dyDescent="0.25">
      <c r="A954" s="2" t="s">
        <v>327</v>
      </c>
      <c r="B954" s="3">
        <v>363</v>
      </c>
      <c r="C954" s="2" t="s">
        <v>136</v>
      </c>
      <c r="D954" s="2" t="s">
        <v>136</v>
      </c>
      <c r="E954" s="2" t="s">
        <v>189</v>
      </c>
      <c r="F954" s="4" t="s">
        <v>103</v>
      </c>
      <c r="G954" s="4" t="s">
        <v>190</v>
      </c>
      <c r="H954" s="5"/>
      <c r="I954" s="5"/>
      <c r="J954" s="5"/>
      <c r="K954" s="4" t="s">
        <v>105</v>
      </c>
      <c r="L954" s="4" t="s">
        <v>191</v>
      </c>
      <c r="M954" s="6" t="str">
        <f>IF(OR(B954="",I954=""),"",B954*I954)</f>
        <v/>
      </c>
      <c r="N954" s="25" t="s">
        <v>113</v>
      </c>
      <c r="O954" s="26">
        <v>3140</v>
      </c>
      <c r="P954" s="9" t="s">
        <v>325</v>
      </c>
      <c r="Q954" s="27">
        <v>4191477.9929999998</v>
      </c>
      <c r="R954" s="27">
        <v>45961533</v>
      </c>
      <c r="S954" s="23">
        <f>IF(AND(ISNUMBER(Q954),Q954&gt;0,ISNUMBER(R954),R954&gt;0),R954/Q954,"")</f>
        <v>10.965471625225828</v>
      </c>
      <c r="T954" s="9" t="s">
        <v>115</v>
      </c>
      <c r="U954" s="9" t="s">
        <v>326</v>
      </c>
      <c r="V954" s="9" t="s">
        <v>21</v>
      </c>
      <c r="W954" s="9" t="s">
        <v>117</v>
      </c>
      <c r="X954" s="23">
        <f>IF(ISNUMBER(S954),S954,IF(ISNUMBER(I954),I954,""))</f>
        <v>10.965471625225828</v>
      </c>
      <c r="Y954" t="str">
        <f>IF(ISNUMBER(S954),"2025 EIA-923 plant/group proxy",IF(ISNUMBER(I954),"Technology estimate","No thermal heat rate"))</f>
        <v>2025 EIA-923 plant/group proxy</v>
      </c>
      <c r="Z954" t="str">
        <f>IF(ISNUMBER(S954),"Review: NOT unit verified",IF(AE954="No match","No EIA match",IF(AF954="Unconfirmed","Unconfirmed EIA candidate","")))</f>
        <v>Review: NOT unit verified</v>
      </c>
      <c r="AA954" s="26">
        <v>1</v>
      </c>
      <c r="AB954" t="s">
        <v>143</v>
      </c>
      <c r="AC954" t="s">
        <v>119</v>
      </c>
      <c r="AD954" s="26">
        <v>1411</v>
      </c>
      <c r="AE954" t="s">
        <v>120</v>
      </c>
      <c r="AF954" t="s">
        <v>121</v>
      </c>
      <c r="AG954" s="27">
        <v>10.9655</v>
      </c>
      <c r="AH954" s="34">
        <f t="shared" si="34"/>
        <v>153684.5</v>
      </c>
      <c r="AI954">
        <f t="shared" si="33"/>
        <v>95973.279307438672</v>
      </c>
      <c r="AJ954" t="b" cm="1">
        <f t="array" ref="AJ954">OR(D954=$AT$2:$AT$8)</f>
        <v>0</v>
      </c>
    </row>
    <row r="955" spans="1:36" x14ac:dyDescent="0.25">
      <c r="A955" s="2" t="s">
        <v>328</v>
      </c>
      <c r="B955" s="3">
        <v>742</v>
      </c>
      <c r="C955" s="2" t="s">
        <v>136</v>
      </c>
      <c r="D955" s="2" t="s">
        <v>136</v>
      </c>
      <c r="E955" s="2" t="s">
        <v>189</v>
      </c>
      <c r="F955" s="4" t="s">
        <v>103</v>
      </c>
      <c r="G955" s="4" t="s">
        <v>190</v>
      </c>
      <c r="H955" s="5"/>
      <c r="I955" s="5"/>
      <c r="J955" s="5"/>
      <c r="K955" s="4" t="s">
        <v>105</v>
      </c>
      <c r="L955" s="4" t="s">
        <v>191</v>
      </c>
      <c r="M955" s="6" t="str">
        <f>IF(OR(B955="",I955=""),"",B955*I955)</f>
        <v/>
      </c>
      <c r="N955" s="25" t="s">
        <v>113</v>
      </c>
      <c r="O955" s="26">
        <v>3140</v>
      </c>
      <c r="P955" s="9" t="s">
        <v>325</v>
      </c>
      <c r="Q955" s="27">
        <v>4191477.9929999998</v>
      </c>
      <c r="R955" s="27">
        <v>45961533</v>
      </c>
      <c r="S955" s="23">
        <f>IF(AND(ISNUMBER(Q955),Q955&gt;0,ISNUMBER(R955),R955&gt;0),R955/Q955,"")</f>
        <v>10.965471625225828</v>
      </c>
      <c r="T955" s="9" t="s">
        <v>115</v>
      </c>
      <c r="U955" s="9" t="s">
        <v>326</v>
      </c>
      <c r="V955" s="9" t="s">
        <v>21</v>
      </c>
      <c r="W955" s="9" t="s">
        <v>117</v>
      </c>
      <c r="X955" s="23">
        <f>IF(ISNUMBER(S955),S955,IF(ISNUMBER(I955),I955,""))</f>
        <v>10.965471625225828</v>
      </c>
      <c r="Y955" t="str">
        <f>IF(ISNUMBER(S955),"2025 EIA-923 plant/group proxy",IF(ISNUMBER(I955),"Technology estimate","No thermal heat rate"))</f>
        <v>2025 EIA-923 plant/group proxy</v>
      </c>
      <c r="Z955" t="str">
        <f>IF(ISNUMBER(S955),"Review: NOT unit verified",IF(AE955="No match","No EIA match",IF(AF955="Unconfirmed","Unconfirmed EIA candidate","")))</f>
        <v>Review: NOT unit verified</v>
      </c>
      <c r="AA955" s="26">
        <v>1</v>
      </c>
      <c r="AB955" t="s">
        <v>143</v>
      </c>
      <c r="AC955" t="s">
        <v>119</v>
      </c>
      <c r="AD955" s="26">
        <v>1411</v>
      </c>
      <c r="AE955" t="s">
        <v>120</v>
      </c>
      <c r="AF955" t="s">
        <v>121</v>
      </c>
      <c r="AG955" s="27">
        <v>10.9655</v>
      </c>
      <c r="AH955" s="34">
        <f t="shared" si="34"/>
        <v>154426.5</v>
      </c>
      <c r="AI955">
        <f t="shared" si="33"/>
        <v>96436.645315371279</v>
      </c>
      <c r="AJ955" t="b" cm="1">
        <f t="array" ref="AJ955">OR(D955=$AT$2:$AT$8)</f>
        <v>0</v>
      </c>
    </row>
    <row r="956" spans="1:36" x14ac:dyDescent="0.25">
      <c r="A956" s="2" t="s">
        <v>1013</v>
      </c>
      <c r="B956" s="3">
        <v>11</v>
      </c>
      <c r="C956" s="2" t="s">
        <v>86</v>
      </c>
      <c r="D956" s="2" t="s">
        <v>76</v>
      </c>
      <c r="E956" s="2" t="s">
        <v>194</v>
      </c>
      <c r="F956" s="4" t="s">
        <v>195</v>
      </c>
      <c r="G956" s="4" t="s">
        <v>196</v>
      </c>
      <c r="H956" s="5">
        <v>8</v>
      </c>
      <c r="I956" s="5">
        <v>9.5</v>
      </c>
      <c r="J956" s="5">
        <v>12</v>
      </c>
      <c r="K956" s="4" t="s">
        <v>111</v>
      </c>
      <c r="L956" s="4" t="s">
        <v>197</v>
      </c>
      <c r="M956" s="6">
        <f>IF(OR(B956="",I956=""),"",B956*I956)</f>
        <v>104.5</v>
      </c>
      <c r="N956" s="28" t="s">
        <v>113</v>
      </c>
      <c r="O956" s="26">
        <v>3136</v>
      </c>
      <c r="P956" s="9" t="s">
        <v>1011</v>
      </c>
      <c r="Q956" s="27">
        <v>519</v>
      </c>
      <c r="R956" s="27">
        <v>5695</v>
      </c>
      <c r="S956" s="23">
        <f>IF(AND(ISNUMBER(Q956),Q956&gt;0,ISNUMBER(R956),R956&gt;0),R956/Q956,"")</f>
        <v>10.973025048169557</v>
      </c>
      <c r="T956" s="9" t="s">
        <v>115</v>
      </c>
      <c r="U956" s="9" t="s">
        <v>199</v>
      </c>
      <c r="V956" s="9" t="s">
        <v>21</v>
      </c>
      <c r="W956" s="9" t="s">
        <v>142</v>
      </c>
      <c r="X956" s="23">
        <f>IF(ISNUMBER(S956),S956,IF(ISNUMBER(I956),I956,""))</f>
        <v>10.973025048169557</v>
      </c>
      <c r="Y956" t="str">
        <f>IF(ISNUMBER(S956),"2025 EIA-923 plant/group proxy",IF(ISNUMBER(I956),"Technology estimate","No thermal heat rate"))</f>
        <v>2025 EIA-923 plant/group proxy</v>
      </c>
      <c r="Z956" t="str">
        <f>IF(ISNUMBER(S956),"Review: NOT unit verified",IF(AE956="No match","No EIA match",IF(AF956="Unconfirmed","Unconfirmed EIA candidate","")))</f>
        <v>Review: NOT unit verified</v>
      </c>
      <c r="AA956" s="26">
        <v>0.64019999999999999</v>
      </c>
      <c r="AB956" t="s">
        <v>143</v>
      </c>
      <c r="AC956" t="s">
        <v>1014</v>
      </c>
      <c r="AD956" s="26">
        <v>11.2</v>
      </c>
      <c r="AE956" t="s">
        <v>120</v>
      </c>
      <c r="AF956" t="s">
        <v>145</v>
      </c>
      <c r="AG956" s="27">
        <v>10.973000000000001</v>
      </c>
      <c r="AH956" s="34">
        <f t="shared" si="34"/>
        <v>154437.5</v>
      </c>
      <c r="AI956">
        <f t="shared" si="33"/>
        <v>96443.51462276651</v>
      </c>
      <c r="AJ956" t="b" cm="1">
        <f t="array" ref="AJ956">OR(D956=$AT$2:$AT$8)</f>
        <v>0</v>
      </c>
    </row>
    <row r="957" spans="1:36" x14ac:dyDescent="0.25">
      <c r="A957" s="2" t="s">
        <v>1736</v>
      </c>
      <c r="B957" s="3">
        <v>610</v>
      </c>
      <c r="C957" s="2" t="s">
        <v>99</v>
      </c>
      <c r="D957" s="2" t="s">
        <v>81</v>
      </c>
      <c r="E957" s="2" t="s">
        <v>109</v>
      </c>
      <c r="F957" s="4" t="s">
        <v>109</v>
      </c>
      <c r="G957" s="4" t="s">
        <v>110</v>
      </c>
      <c r="H957" s="5">
        <v>9</v>
      </c>
      <c r="I957" s="5">
        <v>10.3</v>
      </c>
      <c r="J957" s="5">
        <v>12</v>
      </c>
      <c r="K957" s="4" t="s">
        <v>111</v>
      </c>
      <c r="L957" s="4" t="s">
        <v>112</v>
      </c>
      <c r="M957" s="6">
        <f>IF(OR(B957="",I957=""),"",B957*I957)</f>
        <v>6283</v>
      </c>
      <c r="N957" s="25" t="s">
        <v>113</v>
      </c>
      <c r="O957" s="26">
        <v>56808</v>
      </c>
      <c r="P957" s="9" t="s">
        <v>1737</v>
      </c>
      <c r="Q957" s="27">
        <v>1868730.797</v>
      </c>
      <c r="R957" s="27">
        <v>20517693</v>
      </c>
      <c r="S957" s="23">
        <f>IF(AND(ISNUMBER(Q957),Q957&gt;0,ISNUMBER(R957),R957&gt;0),R957/Q957,"")</f>
        <v>10.979480315162805</v>
      </c>
      <c r="T957" s="9" t="s">
        <v>115</v>
      </c>
      <c r="U957" s="9" t="s">
        <v>116</v>
      </c>
      <c r="V957" s="9" t="s">
        <v>21</v>
      </c>
      <c r="W957" s="9" t="s">
        <v>217</v>
      </c>
      <c r="X957" s="23">
        <f>IF(ISNUMBER(S957),S957,IF(ISNUMBER(I957),I957,""))</f>
        <v>10.979480315162805</v>
      </c>
      <c r="Y957" t="str">
        <f>IF(ISNUMBER(S957),"2025 EIA-923 plant/group proxy",IF(ISNUMBER(I957),"Technology estimate","No thermal heat rate"))</f>
        <v>2025 EIA-923 plant/group proxy</v>
      </c>
      <c r="Z957" t="str">
        <f>IF(ISNUMBER(S957),"Review: NOT unit verified",IF(AE957="No match","No EIA match",IF(AF957="Unconfirmed","Unconfirmed EIA candidate","")))</f>
        <v>Review: NOT unit verified</v>
      </c>
      <c r="AA957" s="26">
        <v>0.83199999999999996</v>
      </c>
      <c r="AB957" t="s">
        <v>201</v>
      </c>
      <c r="AC957" t="s">
        <v>267</v>
      </c>
      <c r="AD957" s="26">
        <v>610</v>
      </c>
      <c r="AE957" t="s">
        <v>120</v>
      </c>
      <c r="AF957" t="s">
        <v>121</v>
      </c>
      <c r="AG957" s="27">
        <v>10.9795</v>
      </c>
      <c r="AH957" s="34">
        <f t="shared" si="34"/>
        <v>155047.5</v>
      </c>
      <c r="AI957">
        <f t="shared" si="33"/>
        <v>96824.448941956391</v>
      </c>
      <c r="AJ957" t="b" cm="1">
        <f t="array" ref="AJ957">OR(D957=$AT$2:$AT$8)</f>
        <v>0</v>
      </c>
    </row>
    <row r="958" spans="1:36" x14ac:dyDescent="0.25">
      <c r="A958" s="2" t="s">
        <v>469</v>
      </c>
      <c r="B958" s="3">
        <v>440</v>
      </c>
      <c r="C958" s="2" t="s">
        <v>78</v>
      </c>
      <c r="D958" s="2" t="s">
        <v>78</v>
      </c>
      <c r="E958" s="2" t="s">
        <v>109</v>
      </c>
      <c r="F958" s="4" t="s">
        <v>109</v>
      </c>
      <c r="G958" s="4" t="s">
        <v>110</v>
      </c>
      <c r="H958" s="5">
        <v>9</v>
      </c>
      <c r="I958" s="5">
        <v>10.3</v>
      </c>
      <c r="J958" s="5">
        <v>12</v>
      </c>
      <c r="K958" s="4" t="s">
        <v>111</v>
      </c>
      <c r="L958" s="4" t="s">
        <v>112</v>
      </c>
      <c r="M958" s="6">
        <f>IF(OR(B958="",I958=""),"",B958*I958)</f>
        <v>4532</v>
      </c>
      <c r="N958" s="25" t="s">
        <v>113</v>
      </c>
      <c r="O958" s="26">
        <v>7213</v>
      </c>
      <c r="P958" s="9" t="s">
        <v>470</v>
      </c>
      <c r="Q958" s="27">
        <v>1639426.48</v>
      </c>
      <c r="R958" s="27">
        <v>18115203</v>
      </c>
      <c r="S958" s="23">
        <f>IF(AND(ISNUMBER(Q958),Q958&gt;0,ISNUMBER(R958),R958&gt;0),R958/Q958,"")</f>
        <v>11.049719655620056</v>
      </c>
      <c r="T958" s="9" t="s">
        <v>115</v>
      </c>
      <c r="U958" s="9" t="s">
        <v>116</v>
      </c>
      <c r="V958" s="9" t="s">
        <v>21</v>
      </c>
      <c r="W958" s="9" t="s">
        <v>240</v>
      </c>
      <c r="X958" s="23">
        <f>IF(ISNUMBER(S958),S958,IF(ISNUMBER(I958),I958,""))</f>
        <v>11.049719655620056</v>
      </c>
      <c r="Y958" t="str">
        <f>IF(ISNUMBER(S958),"2025 EIA-923 plant/group proxy",IF(ISNUMBER(I958),"Technology estimate","No thermal heat rate"))</f>
        <v>2025 EIA-923 plant/group proxy</v>
      </c>
      <c r="Z958" t="str">
        <f>IF(ISNUMBER(S958),"Review: NOT unit verified",IF(AE958="No match","No EIA match",IF(AF958="Unconfirmed","Unconfirmed EIA candidate","")))</f>
        <v>Review: NOT unit verified</v>
      </c>
      <c r="AA958" s="26">
        <v>1</v>
      </c>
      <c r="AB958" t="s">
        <v>201</v>
      </c>
      <c r="AC958" t="s">
        <v>308</v>
      </c>
      <c r="AD958" s="26">
        <v>877.1</v>
      </c>
      <c r="AE958" t="s">
        <v>120</v>
      </c>
      <c r="AF958" t="s">
        <v>121</v>
      </c>
      <c r="AG958" s="27">
        <v>11.0497</v>
      </c>
      <c r="AH958" s="34">
        <f t="shared" si="34"/>
        <v>155487.5</v>
      </c>
      <c r="AI958">
        <f t="shared" si="33"/>
        <v>97099.221237765494</v>
      </c>
      <c r="AJ958" t="b" cm="1">
        <f t="array" ref="AJ958">OR(D958=$AT$2:$AT$8)</f>
        <v>1</v>
      </c>
    </row>
    <row r="959" spans="1:36" x14ac:dyDescent="0.25">
      <c r="A959" s="2" t="s">
        <v>471</v>
      </c>
      <c r="B959" s="3">
        <v>437.1</v>
      </c>
      <c r="C959" s="2" t="s">
        <v>78</v>
      </c>
      <c r="D959" s="2" t="s">
        <v>78</v>
      </c>
      <c r="E959" s="2" t="s">
        <v>109</v>
      </c>
      <c r="F959" s="4" t="s">
        <v>109</v>
      </c>
      <c r="G959" s="4" t="s">
        <v>110</v>
      </c>
      <c r="H959" s="5">
        <v>9</v>
      </c>
      <c r="I959" s="5">
        <v>10.3</v>
      </c>
      <c r="J959" s="5">
        <v>12</v>
      </c>
      <c r="K959" s="4" t="s">
        <v>111</v>
      </c>
      <c r="L959" s="4" t="s">
        <v>112</v>
      </c>
      <c r="M959" s="6">
        <f>IF(OR(B959="",I959=""),"",B959*I959)</f>
        <v>4502.13</v>
      </c>
      <c r="N959" s="25" t="s">
        <v>113</v>
      </c>
      <c r="O959" s="26">
        <v>7213</v>
      </c>
      <c r="P959" s="9" t="s">
        <v>470</v>
      </c>
      <c r="Q959" s="27">
        <v>1639426.48</v>
      </c>
      <c r="R959" s="27">
        <v>18115203</v>
      </c>
      <c r="S959" s="23">
        <f>IF(AND(ISNUMBER(Q959),Q959&gt;0,ISNUMBER(R959),R959&gt;0),R959/Q959,"")</f>
        <v>11.049719655620056</v>
      </c>
      <c r="T959" s="9" t="s">
        <v>115</v>
      </c>
      <c r="U959" s="9" t="s">
        <v>116</v>
      </c>
      <c r="V959" s="9" t="s">
        <v>21</v>
      </c>
      <c r="W959" s="9" t="s">
        <v>240</v>
      </c>
      <c r="X959" s="23">
        <f>IF(ISNUMBER(S959),S959,IF(ISNUMBER(I959),I959,""))</f>
        <v>11.049719655620056</v>
      </c>
      <c r="Y959" t="str">
        <f>IF(ISNUMBER(S959),"2025 EIA-923 plant/group proxy",IF(ISNUMBER(I959),"Technology estimate","No thermal heat rate"))</f>
        <v>2025 EIA-923 plant/group proxy</v>
      </c>
      <c r="Z959" t="str">
        <f>IF(ISNUMBER(S959),"Review: NOT unit verified",IF(AE959="No match","No EIA match",IF(AF959="Unconfirmed","Unconfirmed EIA candidate","")))</f>
        <v>Review: NOT unit verified</v>
      </c>
      <c r="AA959" s="26">
        <v>1</v>
      </c>
      <c r="AB959" t="s">
        <v>201</v>
      </c>
      <c r="AC959" t="s">
        <v>308</v>
      </c>
      <c r="AD959" s="26">
        <v>877.1</v>
      </c>
      <c r="AE959" t="s">
        <v>120</v>
      </c>
      <c r="AF959" t="s">
        <v>121</v>
      </c>
      <c r="AG959" s="27">
        <v>11.0497</v>
      </c>
      <c r="AH959" s="34">
        <f t="shared" si="34"/>
        <v>155924.6</v>
      </c>
      <c r="AI959">
        <f t="shared" si="33"/>
        <v>97372.182534352207</v>
      </c>
      <c r="AJ959" t="b" cm="1">
        <f t="array" ref="AJ959">OR(D959=$AT$2:$AT$8)</f>
        <v>1</v>
      </c>
    </row>
    <row r="960" spans="1:36" x14ac:dyDescent="0.25">
      <c r="A960" s="2" t="s">
        <v>1256</v>
      </c>
      <c r="B960" s="3">
        <v>157</v>
      </c>
      <c r="C960" s="2" t="s">
        <v>97</v>
      </c>
      <c r="D960" s="2" t="s">
        <v>97</v>
      </c>
      <c r="E960" s="2" t="s">
        <v>125</v>
      </c>
      <c r="F960" s="4" t="s">
        <v>126</v>
      </c>
      <c r="G960" s="4" t="s">
        <v>127</v>
      </c>
      <c r="H960" s="5">
        <v>9.1999999999999993</v>
      </c>
      <c r="I960" s="5">
        <v>10.8</v>
      </c>
      <c r="J960" s="5">
        <v>13.5</v>
      </c>
      <c r="K960" s="4" t="s">
        <v>111</v>
      </c>
      <c r="L960" s="4" t="s">
        <v>128</v>
      </c>
      <c r="M960" s="6">
        <f>IF(OR(B960="",I960=""),"",B960*I960)</f>
        <v>1695.6000000000001</v>
      </c>
      <c r="N960" s="28" t="s">
        <v>113</v>
      </c>
      <c r="O960" s="26">
        <v>60387</v>
      </c>
      <c r="P960" s="9" t="s">
        <v>1257</v>
      </c>
      <c r="Q960" s="27">
        <v>858092.005</v>
      </c>
      <c r="R960" s="27">
        <v>9482544</v>
      </c>
      <c r="S960" s="23">
        <f>IF(AND(ISNUMBER(Q960),Q960&gt;0,ISNUMBER(R960),R960&gt;0),R960/Q960,"")</f>
        <v>11.050731092640818</v>
      </c>
      <c r="T960" s="9" t="s">
        <v>115</v>
      </c>
      <c r="U960" s="9" t="s">
        <v>130</v>
      </c>
      <c r="V960" s="9" t="s">
        <v>21</v>
      </c>
      <c r="W960" s="9" t="s">
        <v>585</v>
      </c>
      <c r="X960" s="23">
        <f>IF(ISNUMBER(S960),S960,IF(ISNUMBER(I960),I960,""))</f>
        <v>11.050731092640818</v>
      </c>
      <c r="Y960" t="str">
        <f>IF(ISNUMBER(S960),"2025 EIA-923 plant/group proxy",IF(ISNUMBER(I960),"Technology estimate","No thermal heat rate"))</f>
        <v>2025 EIA-923 plant/group proxy</v>
      </c>
      <c r="Z960" t="str">
        <f>IF(ISNUMBER(S960),"Review: NOT unit verified",IF(AE960="No match","No EIA match",IF(AF960="Unconfirmed","Unconfirmed EIA candidate","")))</f>
        <v>Review: NOT unit verified</v>
      </c>
      <c r="AA960" s="26">
        <v>0.74750000000000005</v>
      </c>
      <c r="AB960" t="s">
        <v>166</v>
      </c>
      <c r="AC960" t="s">
        <v>478</v>
      </c>
      <c r="AD960" s="26">
        <v>314</v>
      </c>
      <c r="AE960" t="s">
        <v>120</v>
      </c>
      <c r="AF960" t="s">
        <v>145</v>
      </c>
      <c r="AG960" s="27">
        <v>11.050700000000001</v>
      </c>
      <c r="AH960" s="34">
        <f t="shared" si="34"/>
        <v>156081.60000000001</v>
      </c>
      <c r="AI960">
        <f t="shared" si="33"/>
        <v>97470.226285356825</v>
      </c>
      <c r="AJ960" t="b" cm="1">
        <f t="array" ref="AJ960">OR(D960=$AT$2:$AT$8)</f>
        <v>0</v>
      </c>
    </row>
    <row r="961" spans="1:36" x14ac:dyDescent="0.25">
      <c r="A961" s="2" t="s">
        <v>1258</v>
      </c>
      <c r="B961" s="3">
        <v>157</v>
      </c>
      <c r="C961" s="2" t="s">
        <v>97</v>
      </c>
      <c r="D961" s="2" t="s">
        <v>97</v>
      </c>
      <c r="E961" s="2" t="s">
        <v>125</v>
      </c>
      <c r="F961" s="4" t="s">
        <v>126</v>
      </c>
      <c r="G961" s="4" t="s">
        <v>127</v>
      </c>
      <c r="H961" s="5">
        <v>9.1999999999999993</v>
      </c>
      <c r="I961" s="5">
        <v>10.8</v>
      </c>
      <c r="J961" s="5">
        <v>13.5</v>
      </c>
      <c r="K961" s="4" t="s">
        <v>111</v>
      </c>
      <c r="L961" s="4" t="s">
        <v>128</v>
      </c>
      <c r="M961" s="6">
        <f>IF(OR(B961="",I961=""),"",B961*I961)</f>
        <v>1695.6000000000001</v>
      </c>
      <c r="N961" s="28" t="s">
        <v>113</v>
      </c>
      <c r="O961" s="26">
        <v>60387</v>
      </c>
      <c r="P961" s="9" t="s">
        <v>1257</v>
      </c>
      <c r="Q961" s="27">
        <v>858092.005</v>
      </c>
      <c r="R961" s="27">
        <v>9482544</v>
      </c>
      <c r="S961" s="23">
        <f>IF(AND(ISNUMBER(Q961),Q961&gt;0,ISNUMBER(R961),R961&gt;0),R961/Q961,"")</f>
        <v>11.050731092640818</v>
      </c>
      <c r="T961" s="9" t="s">
        <v>115</v>
      </c>
      <c r="U961" s="9" t="s">
        <v>130</v>
      </c>
      <c r="V961" s="9" t="s">
        <v>21</v>
      </c>
      <c r="W961" s="9" t="s">
        <v>585</v>
      </c>
      <c r="X961" s="23">
        <f>IF(ISNUMBER(S961),S961,IF(ISNUMBER(I961),I961,""))</f>
        <v>11.050731092640818</v>
      </c>
      <c r="Y961" t="str">
        <f>IF(ISNUMBER(S961),"2025 EIA-923 plant/group proxy",IF(ISNUMBER(I961),"Technology estimate","No thermal heat rate"))</f>
        <v>2025 EIA-923 plant/group proxy</v>
      </c>
      <c r="Z961" t="str">
        <f>IF(ISNUMBER(S961),"Review: NOT unit verified",IF(AE961="No match","No EIA match",IF(AF961="Unconfirmed","Unconfirmed EIA candidate","")))</f>
        <v>Review: NOT unit verified</v>
      </c>
      <c r="AA961" s="26">
        <v>0.74750000000000005</v>
      </c>
      <c r="AB961" t="s">
        <v>166</v>
      </c>
      <c r="AC961" t="s">
        <v>478</v>
      </c>
      <c r="AD961" s="26">
        <v>314</v>
      </c>
      <c r="AE961" t="s">
        <v>120</v>
      </c>
      <c r="AF961" t="s">
        <v>145</v>
      </c>
      <c r="AG961" s="27">
        <v>11.050700000000001</v>
      </c>
      <c r="AH961" s="34">
        <f t="shared" si="34"/>
        <v>156238.6</v>
      </c>
      <c r="AI961">
        <f t="shared" si="33"/>
        <v>97568.270036361428</v>
      </c>
      <c r="AJ961" t="b" cm="1">
        <f t="array" ref="AJ961">OR(D961=$AT$2:$AT$8)</f>
        <v>0</v>
      </c>
    </row>
    <row r="962" spans="1:36" x14ac:dyDescent="0.25">
      <c r="A962" s="2" t="s">
        <v>1554</v>
      </c>
      <c r="B962" s="3">
        <v>525</v>
      </c>
      <c r="C962" s="2" t="s">
        <v>86</v>
      </c>
      <c r="D962" s="2" t="s">
        <v>76</v>
      </c>
      <c r="E962" s="2" t="s">
        <v>109</v>
      </c>
      <c r="F962" s="4" t="s">
        <v>109</v>
      </c>
      <c r="G962" s="4" t="s">
        <v>110</v>
      </c>
      <c r="H962" s="5">
        <v>9</v>
      </c>
      <c r="I962" s="5">
        <v>10.3</v>
      </c>
      <c r="J962" s="5">
        <v>12</v>
      </c>
      <c r="K962" s="4" t="s">
        <v>111</v>
      </c>
      <c r="L962" s="4" t="s">
        <v>112</v>
      </c>
      <c r="M962" s="6">
        <f>IF(OR(B962="",I962=""),"",B962*I962)</f>
        <v>5407.5</v>
      </c>
      <c r="N962" s="25" t="s">
        <v>113</v>
      </c>
      <c r="O962" s="26">
        <v>3130</v>
      </c>
      <c r="P962" s="9" t="s">
        <v>1555</v>
      </c>
      <c r="Q962" s="27">
        <v>3090530.9580000001</v>
      </c>
      <c r="R962" s="27">
        <v>34288680</v>
      </c>
      <c r="S962" s="23">
        <f>IF(AND(ISNUMBER(Q962),Q962&gt;0,ISNUMBER(R962),R962&gt;0),R962/Q962,"")</f>
        <v>11.094753770785557</v>
      </c>
      <c r="T962" s="9" t="s">
        <v>115</v>
      </c>
      <c r="U962" s="9" t="s">
        <v>662</v>
      </c>
      <c r="V962" s="9" t="s">
        <v>21</v>
      </c>
      <c r="W962" s="9" t="s">
        <v>217</v>
      </c>
      <c r="X962" s="23">
        <f>IF(ISNUMBER(S962),S962,IF(ISNUMBER(I962),I962,""))</f>
        <v>11.094753770785557</v>
      </c>
      <c r="Y962" t="str">
        <f>IF(ISNUMBER(S962),"2025 EIA-923 plant/group proxy",IF(ISNUMBER(I962),"Technology estimate","No thermal heat rate"))</f>
        <v>2025 EIA-923 plant/group proxy</v>
      </c>
      <c r="Z962" t="str">
        <f>IF(ISNUMBER(S962),"Review: NOT unit verified",IF(AE962="No match","No EIA match",IF(AF962="Unconfirmed","Unconfirmed EIA candidate","")))</f>
        <v>Review: NOT unit verified</v>
      </c>
      <c r="AA962" s="26">
        <v>0.85899999999999999</v>
      </c>
      <c r="AB962" t="s">
        <v>143</v>
      </c>
      <c r="AC962" t="s">
        <v>1556</v>
      </c>
      <c r="AD962" s="26">
        <v>521</v>
      </c>
      <c r="AE962" t="s">
        <v>120</v>
      </c>
      <c r="AF962" t="s">
        <v>121</v>
      </c>
      <c r="AG962" s="27">
        <v>11.094799999999999</v>
      </c>
      <c r="AH962" s="34">
        <f t="shared" si="34"/>
        <v>156763.6</v>
      </c>
      <c r="AI962">
        <f t="shared" si="33"/>
        <v>97896.12334386092</v>
      </c>
      <c r="AJ962" t="b" cm="1">
        <f t="array" ref="AJ962">OR(D962=$AT$2:$AT$8)</f>
        <v>0</v>
      </c>
    </row>
    <row r="963" spans="1:36" x14ac:dyDescent="0.25">
      <c r="A963" s="2" t="s">
        <v>635</v>
      </c>
      <c r="B963" s="3">
        <v>600</v>
      </c>
      <c r="C963" s="2" t="s">
        <v>319</v>
      </c>
      <c r="D963" s="2" t="s">
        <v>319</v>
      </c>
      <c r="E963" s="2" t="s">
        <v>109</v>
      </c>
      <c r="F963" s="4" t="s">
        <v>109</v>
      </c>
      <c r="G963" s="4" t="s">
        <v>110</v>
      </c>
      <c r="H963" s="5">
        <v>9</v>
      </c>
      <c r="I963" s="5">
        <v>10.3</v>
      </c>
      <c r="J963" s="5">
        <v>12</v>
      </c>
      <c r="K963" s="4" t="s">
        <v>111</v>
      </c>
      <c r="L963" s="4" t="s">
        <v>112</v>
      </c>
      <c r="M963" s="6">
        <f>IF(OR(B963="",I963=""),"",B963*I963)</f>
        <v>6180</v>
      </c>
      <c r="N963" s="25" t="s">
        <v>113</v>
      </c>
      <c r="O963" s="26">
        <v>6018</v>
      </c>
      <c r="P963" s="9" t="s">
        <v>636</v>
      </c>
      <c r="Q963" s="27">
        <v>2579610.202</v>
      </c>
      <c r="R963" s="27">
        <v>28838429</v>
      </c>
      <c r="S963" s="23">
        <f>IF(AND(ISNUMBER(Q963),Q963&gt;0,ISNUMBER(R963),R963&gt;0),R963/Q963,"")</f>
        <v>11.179374689106615</v>
      </c>
      <c r="T963" s="9" t="s">
        <v>115</v>
      </c>
      <c r="U963" s="9" t="s">
        <v>116</v>
      </c>
      <c r="V963" s="9" t="s">
        <v>21</v>
      </c>
      <c r="W963" s="9" t="s">
        <v>217</v>
      </c>
      <c r="X963" s="23">
        <f>IF(ISNUMBER(S963),S963,IF(ISNUMBER(I963),I963,""))</f>
        <v>11.179374689106615</v>
      </c>
      <c r="Y963" t="str">
        <f>IF(ISNUMBER(S963),"2025 EIA-923 plant/group proxy",IF(ISNUMBER(I963),"Technology estimate","No thermal heat rate"))</f>
        <v>2025 EIA-923 plant/group proxy</v>
      </c>
      <c r="Z963" t="str">
        <f>IF(ISNUMBER(S963),"Review: NOT unit verified",IF(AE963="No match","No EIA match",IF(AF963="Unconfirmed","Unconfirmed EIA candidate","")))</f>
        <v>Review: NOT unit verified</v>
      </c>
      <c r="AA963" s="26">
        <v>1</v>
      </c>
      <c r="AB963" t="s">
        <v>266</v>
      </c>
      <c r="AC963" t="s">
        <v>637</v>
      </c>
      <c r="AD963" s="26">
        <v>600</v>
      </c>
      <c r="AE963" t="s">
        <v>120</v>
      </c>
      <c r="AF963" t="s">
        <v>121</v>
      </c>
      <c r="AG963" s="27">
        <v>11.179399999999999</v>
      </c>
      <c r="AH963" s="34">
        <f t="shared" si="34"/>
        <v>157363.6</v>
      </c>
      <c r="AI963">
        <f t="shared" ref="AI963:AI1026" si="35">AH963*$AK$1</f>
        <v>98270.812838146056</v>
      </c>
      <c r="AJ963" t="b" cm="1">
        <f t="array" ref="AJ963">OR(D963=$AT$2:$AT$8)</f>
        <v>0</v>
      </c>
    </row>
    <row r="964" spans="1:36" x14ac:dyDescent="0.25">
      <c r="A964" s="2" t="s">
        <v>1347</v>
      </c>
      <c r="B964" s="3">
        <v>109.8</v>
      </c>
      <c r="C964" s="2" t="s">
        <v>305</v>
      </c>
      <c r="D964" s="2" t="s">
        <v>305</v>
      </c>
      <c r="E964" s="2" t="s">
        <v>125</v>
      </c>
      <c r="F964" s="4" t="s">
        <v>126</v>
      </c>
      <c r="G964" s="4" t="s">
        <v>127</v>
      </c>
      <c r="H964" s="5">
        <v>9.1999999999999993</v>
      </c>
      <c r="I964" s="5">
        <v>10.8</v>
      </c>
      <c r="J964" s="5">
        <v>13.5</v>
      </c>
      <c r="K964" s="4" t="s">
        <v>111</v>
      </c>
      <c r="L964" s="4" t="s">
        <v>128</v>
      </c>
      <c r="M964" s="6">
        <f>IF(OR(B964="",I964=""),"",B964*I964)</f>
        <v>1185.8400000000001</v>
      </c>
      <c r="N964" s="25" t="s">
        <v>113</v>
      </c>
      <c r="O964" s="26">
        <v>1556</v>
      </c>
      <c r="P964" s="9" t="s">
        <v>1348</v>
      </c>
      <c r="Q964" s="27">
        <v>250760</v>
      </c>
      <c r="R964" s="27">
        <v>2830233</v>
      </c>
      <c r="S964" s="23">
        <f>IF(AND(ISNUMBER(Q964),Q964&gt;0,ISNUMBER(R964),R964&gt;0),R964/Q964,"")</f>
        <v>11.286620673153614</v>
      </c>
      <c r="T964" s="9" t="s">
        <v>115</v>
      </c>
      <c r="U964" s="9" t="s">
        <v>130</v>
      </c>
      <c r="V964" s="9" t="s">
        <v>21</v>
      </c>
      <c r="W964" s="9" t="s">
        <v>240</v>
      </c>
      <c r="X964" s="23">
        <f>IF(ISNUMBER(S964),S964,IF(ISNUMBER(I964),I964,""))</f>
        <v>11.286620673153614</v>
      </c>
      <c r="Y964" t="str">
        <f>IF(ISNUMBER(S964),"2025 EIA-923 plant/group proxy",IF(ISNUMBER(I964),"Technology estimate","No thermal heat rate"))</f>
        <v>2025 EIA-923 plant/group proxy</v>
      </c>
      <c r="Z964" t="str">
        <f>IF(ISNUMBER(S964),"Review: NOT unit verified",IF(AE964="No match","No EIA match",IF(AF964="Unconfirmed","Unconfirmed EIA candidate","")))</f>
        <v>Review: NOT unit verified</v>
      </c>
      <c r="AA964" s="26">
        <v>1</v>
      </c>
      <c r="AB964" t="s">
        <v>307</v>
      </c>
      <c r="AC964" t="s">
        <v>1349</v>
      </c>
      <c r="AD964" s="26">
        <v>403.8</v>
      </c>
      <c r="AE964" t="s">
        <v>120</v>
      </c>
      <c r="AF964" t="s">
        <v>121</v>
      </c>
      <c r="AG964" s="27">
        <v>11.2866</v>
      </c>
      <c r="AH964" s="34">
        <f t="shared" ref="AH964:AH1027" si="36">AH963+B964</f>
        <v>157473.4</v>
      </c>
      <c r="AI964">
        <f t="shared" si="35"/>
        <v>98339.381015600229</v>
      </c>
      <c r="AJ964" t="b" cm="1">
        <f t="array" ref="AJ964">OR(D964=$AT$2:$AT$8)</f>
        <v>1</v>
      </c>
    </row>
    <row r="965" spans="1:36" x14ac:dyDescent="0.25">
      <c r="A965" s="2" t="s">
        <v>1353</v>
      </c>
      <c r="B965" s="3">
        <v>139</v>
      </c>
      <c r="C965" s="2" t="s">
        <v>305</v>
      </c>
      <c r="D965" s="2" t="s">
        <v>305</v>
      </c>
      <c r="E965" s="2" t="s">
        <v>125</v>
      </c>
      <c r="F965" s="4" t="s">
        <v>126</v>
      </c>
      <c r="G965" s="4" t="s">
        <v>127</v>
      </c>
      <c r="H965" s="5">
        <v>9.1999999999999993</v>
      </c>
      <c r="I965" s="5">
        <v>10.8</v>
      </c>
      <c r="J965" s="5">
        <v>13.5</v>
      </c>
      <c r="K965" s="4" t="s">
        <v>111</v>
      </c>
      <c r="L965" s="4" t="s">
        <v>128</v>
      </c>
      <c r="M965" s="6">
        <f>IF(OR(B965="",I965=""),"",B965*I965)</f>
        <v>1501.2</v>
      </c>
      <c r="N965" s="25" t="s">
        <v>113</v>
      </c>
      <c r="O965" s="26">
        <v>1556</v>
      </c>
      <c r="P965" s="9" t="s">
        <v>1348</v>
      </c>
      <c r="Q965" s="27">
        <v>250760</v>
      </c>
      <c r="R965" s="27">
        <v>2830233</v>
      </c>
      <c r="S965" s="23">
        <f>IF(AND(ISNUMBER(Q965),Q965&gt;0,ISNUMBER(R965),R965&gt;0),R965/Q965,"")</f>
        <v>11.286620673153614</v>
      </c>
      <c r="T965" s="9" t="s">
        <v>115</v>
      </c>
      <c r="U965" s="9" t="s">
        <v>130</v>
      </c>
      <c r="V965" s="9" t="s">
        <v>21</v>
      </c>
      <c r="W965" s="9" t="s">
        <v>240</v>
      </c>
      <c r="X965" s="23">
        <f>IF(ISNUMBER(S965),S965,IF(ISNUMBER(I965),I965,""))</f>
        <v>11.286620673153614</v>
      </c>
      <c r="Y965" t="str">
        <f>IF(ISNUMBER(S965),"2025 EIA-923 plant/group proxy",IF(ISNUMBER(I965),"Technology estimate","No thermal heat rate"))</f>
        <v>2025 EIA-923 plant/group proxy</v>
      </c>
      <c r="Z965" t="str">
        <f>IF(ISNUMBER(S965),"Review: NOT unit verified",IF(AE965="No match","No EIA match",IF(AF965="Unconfirmed","Unconfirmed EIA candidate","")))</f>
        <v>Review: NOT unit verified</v>
      </c>
      <c r="AA965" s="26">
        <v>1</v>
      </c>
      <c r="AB965" t="s">
        <v>307</v>
      </c>
      <c r="AC965" t="s">
        <v>1349</v>
      </c>
      <c r="AD965" s="26">
        <v>403.8</v>
      </c>
      <c r="AE965" t="s">
        <v>120</v>
      </c>
      <c r="AF965" t="s">
        <v>121</v>
      </c>
      <c r="AG965" s="27">
        <v>11.2866</v>
      </c>
      <c r="AH965" s="34">
        <f t="shared" si="36"/>
        <v>157612.4</v>
      </c>
      <c r="AI965">
        <f t="shared" si="35"/>
        <v>98426.184081776271</v>
      </c>
      <c r="AJ965" t="b" cm="1">
        <f t="array" ref="AJ965">OR(D965=$AT$2:$AT$8)</f>
        <v>1</v>
      </c>
    </row>
    <row r="966" spans="1:36" x14ac:dyDescent="0.25">
      <c r="A966" s="2" t="s">
        <v>1376</v>
      </c>
      <c r="B966" s="3">
        <v>4.7</v>
      </c>
      <c r="C966" s="2" t="s">
        <v>75</v>
      </c>
      <c r="D966" s="2" t="s">
        <v>76</v>
      </c>
      <c r="E966" s="2" t="s">
        <v>150</v>
      </c>
      <c r="F966" s="4" t="s">
        <v>151</v>
      </c>
      <c r="G966" s="4" t="s">
        <v>152</v>
      </c>
      <c r="H966" s="5">
        <v>9</v>
      </c>
      <c r="I966" s="5">
        <v>12</v>
      </c>
      <c r="J966" s="5">
        <v>16</v>
      </c>
      <c r="K966" s="4" t="s">
        <v>111</v>
      </c>
      <c r="L966" s="4" t="s">
        <v>153</v>
      </c>
      <c r="M966" s="6">
        <f>IF(OR(B966="",I966=""),"",B966*I966)</f>
        <v>56.400000000000006</v>
      </c>
      <c r="N966" s="25" t="s">
        <v>113</v>
      </c>
      <c r="O966" s="26">
        <v>56957</v>
      </c>
      <c r="P966" s="9" t="s">
        <v>1377</v>
      </c>
      <c r="Q966" s="27">
        <v>38037</v>
      </c>
      <c r="R966" s="27">
        <v>429321</v>
      </c>
      <c r="S966" s="23">
        <f>IF(AND(ISNUMBER(Q966),Q966&gt;0,ISNUMBER(R966),R966&gt;0),R966/Q966,"")</f>
        <v>11.286931145989431</v>
      </c>
      <c r="T966" s="9" t="s">
        <v>115</v>
      </c>
      <c r="U966" s="9" t="s">
        <v>321</v>
      </c>
      <c r="V966" s="9" t="s">
        <v>21</v>
      </c>
      <c r="W966" s="9" t="s">
        <v>217</v>
      </c>
      <c r="X966" s="23">
        <f>IF(ISNUMBER(S966),S966,IF(ISNUMBER(I966),I966,""))</f>
        <v>11.286931145989431</v>
      </c>
      <c r="Y966" t="str">
        <f>IF(ISNUMBER(S966),"2025 EIA-923 plant/group proxy",IF(ISNUMBER(I966),"Technology estimate","No thermal heat rate"))</f>
        <v>2025 EIA-923 plant/group proxy</v>
      </c>
      <c r="Z966" t="str">
        <f>IF(ISNUMBER(S966),"Review: NOT unit verified",IF(AE966="No match","No EIA match",IF(AF966="Unconfirmed","Unconfirmed EIA candidate","")))</f>
        <v>Review: NOT unit verified</v>
      </c>
      <c r="AA966" s="26">
        <v>0.8246</v>
      </c>
      <c r="AB966" t="s">
        <v>143</v>
      </c>
      <c r="AC966" t="s">
        <v>1378</v>
      </c>
      <c r="AD966" s="26">
        <v>8</v>
      </c>
      <c r="AE966" t="s">
        <v>120</v>
      </c>
      <c r="AF966" t="s">
        <v>121</v>
      </c>
      <c r="AG966" s="27">
        <v>11.286899999999999</v>
      </c>
      <c r="AH966" s="34">
        <f t="shared" si="36"/>
        <v>157617.1</v>
      </c>
      <c r="AI966">
        <f t="shared" si="35"/>
        <v>98429.119149481514</v>
      </c>
      <c r="AJ966" t="b" cm="1">
        <f t="array" ref="AJ966">OR(D966=$AT$2:$AT$8)</f>
        <v>0</v>
      </c>
    </row>
    <row r="967" spans="1:36" x14ac:dyDescent="0.25">
      <c r="A967" s="2" t="s">
        <v>1624</v>
      </c>
      <c r="B967" s="3">
        <v>48</v>
      </c>
      <c r="C967" s="2" t="s">
        <v>80</v>
      </c>
      <c r="D967" s="2" t="s">
        <v>81</v>
      </c>
      <c r="E967" s="2" t="s">
        <v>125</v>
      </c>
      <c r="F967" s="4" t="s">
        <v>126</v>
      </c>
      <c r="G967" s="4" t="s">
        <v>127</v>
      </c>
      <c r="H967" s="5">
        <v>9.1999999999999993</v>
      </c>
      <c r="I967" s="5">
        <v>10.8</v>
      </c>
      <c r="J967" s="5">
        <v>13.5</v>
      </c>
      <c r="K967" s="4" t="s">
        <v>111</v>
      </c>
      <c r="L967" s="4" t="s">
        <v>128</v>
      </c>
      <c r="M967" s="6">
        <f>IF(OR(B967="",I967=""),"",B967*I967)</f>
        <v>518.40000000000009</v>
      </c>
      <c r="N967" s="25" t="s">
        <v>113</v>
      </c>
      <c r="O967" s="26">
        <v>55196</v>
      </c>
      <c r="P967" s="9" t="s">
        <v>1625</v>
      </c>
      <c r="Q967" s="27">
        <v>147318.00099999999</v>
      </c>
      <c r="R967" s="27">
        <v>1663306</v>
      </c>
      <c r="S967" s="23">
        <f>IF(AND(ISNUMBER(Q967),Q967&gt;0,ISNUMBER(R967),R967&gt;0),R967/Q967,"")</f>
        <v>11.290582201152731</v>
      </c>
      <c r="T967" s="9" t="s">
        <v>115</v>
      </c>
      <c r="U967" s="9" t="s">
        <v>141</v>
      </c>
      <c r="V967" s="9" t="s">
        <v>21</v>
      </c>
      <c r="W967" s="9" t="s">
        <v>240</v>
      </c>
      <c r="X967" s="23">
        <f>IF(ISNUMBER(S967),S967,IF(ISNUMBER(I967),I967,""))</f>
        <v>11.290582201152731</v>
      </c>
      <c r="Y967" t="str">
        <f>IF(ISNUMBER(S967),"2025 EIA-923 plant/group proxy",IF(ISNUMBER(I967),"Technology estimate","No thermal heat rate"))</f>
        <v>2025 EIA-923 plant/group proxy</v>
      </c>
      <c r="Z967" t="str">
        <f>IF(ISNUMBER(S967),"Review: NOT unit verified",IF(AE967="No match","No EIA match",IF(AF967="Unconfirmed","Unconfirmed EIA candidate","")))</f>
        <v>Review: NOT unit verified</v>
      </c>
      <c r="AA967" s="26">
        <v>1</v>
      </c>
      <c r="AB967" t="s">
        <v>143</v>
      </c>
      <c r="AC967" t="s">
        <v>1626</v>
      </c>
      <c r="AD967" s="26">
        <v>96.8</v>
      </c>
      <c r="AE967" t="s">
        <v>120</v>
      </c>
      <c r="AF967" t="s">
        <v>121</v>
      </c>
      <c r="AG967" s="27">
        <v>11.2906</v>
      </c>
      <c r="AH967" s="34">
        <f t="shared" si="36"/>
        <v>157665.1</v>
      </c>
      <c r="AI967">
        <f t="shared" si="35"/>
        <v>98459.094309024324</v>
      </c>
      <c r="AJ967" t="b" cm="1">
        <f t="array" ref="AJ967">OR(D967=$AT$2:$AT$8)</f>
        <v>0</v>
      </c>
    </row>
    <row r="968" spans="1:36" x14ac:dyDescent="0.25">
      <c r="A968" s="2" t="s">
        <v>1627</v>
      </c>
      <c r="B968" s="3">
        <v>47.9</v>
      </c>
      <c r="C968" s="2" t="s">
        <v>80</v>
      </c>
      <c r="D968" s="2" t="s">
        <v>81</v>
      </c>
      <c r="E968" s="2" t="s">
        <v>125</v>
      </c>
      <c r="F968" s="4" t="s">
        <v>126</v>
      </c>
      <c r="G968" s="4" t="s">
        <v>127</v>
      </c>
      <c r="H968" s="5">
        <v>9.1999999999999993</v>
      </c>
      <c r="I968" s="5">
        <v>10.8</v>
      </c>
      <c r="J968" s="5">
        <v>13.5</v>
      </c>
      <c r="K968" s="4" t="s">
        <v>111</v>
      </c>
      <c r="L968" s="4" t="s">
        <v>128</v>
      </c>
      <c r="M968" s="6">
        <f>IF(OR(B968="",I968=""),"",B968*I968)</f>
        <v>517.32000000000005</v>
      </c>
      <c r="N968" s="25" t="s">
        <v>113</v>
      </c>
      <c r="O968" s="26">
        <v>55196</v>
      </c>
      <c r="P968" s="9" t="s">
        <v>1625</v>
      </c>
      <c r="Q968" s="27">
        <v>147318.00099999999</v>
      </c>
      <c r="R968" s="27">
        <v>1663306</v>
      </c>
      <c r="S968" s="23">
        <f>IF(AND(ISNUMBER(Q968),Q968&gt;0,ISNUMBER(R968),R968&gt;0),R968/Q968,"")</f>
        <v>11.290582201152731</v>
      </c>
      <c r="T968" s="9" t="s">
        <v>115</v>
      </c>
      <c r="U968" s="9" t="s">
        <v>141</v>
      </c>
      <c r="V968" s="9" t="s">
        <v>21</v>
      </c>
      <c r="W968" s="9" t="s">
        <v>240</v>
      </c>
      <c r="X968" s="23">
        <f>IF(ISNUMBER(S968),S968,IF(ISNUMBER(I968),I968,""))</f>
        <v>11.290582201152731</v>
      </c>
      <c r="Y968" t="str">
        <f>IF(ISNUMBER(S968),"2025 EIA-923 plant/group proxy",IF(ISNUMBER(I968),"Technology estimate","No thermal heat rate"))</f>
        <v>2025 EIA-923 plant/group proxy</v>
      </c>
      <c r="Z968" t="str">
        <f>IF(ISNUMBER(S968),"Review: NOT unit verified",IF(AE968="No match","No EIA match",IF(AF968="Unconfirmed","Unconfirmed EIA candidate","")))</f>
        <v>Review: NOT unit verified</v>
      </c>
      <c r="AA968" s="26">
        <v>1</v>
      </c>
      <c r="AB968" t="s">
        <v>143</v>
      </c>
      <c r="AC968" t="s">
        <v>1626</v>
      </c>
      <c r="AD968" s="26">
        <v>96.8</v>
      </c>
      <c r="AE968" t="s">
        <v>120</v>
      </c>
      <c r="AF968" t="s">
        <v>121</v>
      </c>
      <c r="AG968" s="27">
        <v>11.2906</v>
      </c>
      <c r="AH968" s="34">
        <f t="shared" si="36"/>
        <v>157713</v>
      </c>
      <c r="AI968">
        <f t="shared" si="35"/>
        <v>98489.007020318095</v>
      </c>
      <c r="AJ968" t="b" cm="1">
        <f t="array" ref="AJ968">OR(D968=$AT$2:$AT$8)</f>
        <v>0</v>
      </c>
    </row>
    <row r="969" spans="1:36" x14ac:dyDescent="0.25">
      <c r="A969" s="2" t="s">
        <v>1139</v>
      </c>
      <c r="B969" s="3">
        <v>161.80000000000001</v>
      </c>
      <c r="C969" s="2" t="s">
        <v>78</v>
      </c>
      <c r="D969" s="2" t="s">
        <v>78</v>
      </c>
      <c r="E969" s="2" t="s">
        <v>125</v>
      </c>
      <c r="F969" s="4" t="s">
        <v>126</v>
      </c>
      <c r="G969" s="4" t="s">
        <v>127</v>
      </c>
      <c r="H969" s="5">
        <v>9.1999999999999993</v>
      </c>
      <c r="I969" s="5">
        <v>10.8</v>
      </c>
      <c r="J969" s="5">
        <v>13.5</v>
      </c>
      <c r="K969" s="4" t="s">
        <v>111</v>
      </c>
      <c r="L969" s="4" t="s">
        <v>128</v>
      </c>
      <c r="M969" s="6">
        <f>IF(OR(B969="",I969=""),"",B969*I969)</f>
        <v>1747.4400000000003</v>
      </c>
      <c r="N969" s="28" t="s">
        <v>113</v>
      </c>
      <c r="O969" s="26">
        <v>7836</v>
      </c>
      <c r="P969" s="9" t="s">
        <v>1140</v>
      </c>
      <c r="Q969" s="27">
        <v>687397.00199999998</v>
      </c>
      <c r="R969" s="27">
        <v>7773398</v>
      </c>
      <c r="S969" s="23">
        <f>IF(AND(ISNUMBER(Q969),Q969&gt;0,ISNUMBER(R969),R969&gt;0),R969/Q969,"")</f>
        <v>11.308454906528674</v>
      </c>
      <c r="T969" s="9" t="s">
        <v>115</v>
      </c>
      <c r="U969" s="9" t="s">
        <v>130</v>
      </c>
      <c r="V969" s="9" t="s">
        <v>21</v>
      </c>
      <c r="W969" s="9" t="s">
        <v>865</v>
      </c>
      <c r="X969" s="23">
        <f>IF(ISNUMBER(S969),S969,IF(ISNUMBER(I969),I969,""))</f>
        <v>11.308454906528674</v>
      </c>
      <c r="Y969" t="str">
        <f>IF(ISNUMBER(S969),"2025 EIA-923 plant/group proxy",IF(ISNUMBER(I969),"Technology estimate","No thermal heat rate"))</f>
        <v>2025 EIA-923 plant/group proxy</v>
      </c>
      <c r="Z969" t="str">
        <f>IF(ISNUMBER(S969),"Review: NOT unit verified",IF(AE969="No match","No EIA match",IF(AF969="Unconfirmed","Unconfirmed EIA candidate","")))</f>
        <v>Review: NOT unit verified</v>
      </c>
      <c r="AA969" s="26">
        <v>0.76390000000000002</v>
      </c>
      <c r="AB969" t="s">
        <v>201</v>
      </c>
      <c r="AC969" t="s">
        <v>119</v>
      </c>
      <c r="AD969" s="26">
        <v>484</v>
      </c>
      <c r="AE969" t="s">
        <v>120</v>
      </c>
      <c r="AF969" t="s">
        <v>145</v>
      </c>
      <c r="AG969" s="27">
        <v>11.3085</v>
      </c>
      <c r="AH969" s="34">
        <f t="shared" si="36"/>
        <v>157874.79999999999</v>
      </c>
      <c r="AI969">
        <f t="shared" si="35"/>
        <v>98590.048287276964</v>
      </c>
      <c r="AJ969" t="b" cm="1">
        <f t="array" ref="AJ969">OR(D969=$AT$2:$AT$8)</f>
        <v>1</v>
      </c>
    </row>
    <row r="970" spans="1:36" x14ac:dyDescent="0.25">
      <c r="A970" s="2" t="s">
        <v>1141</v>
      </c>
      <c r="B970" s="3">
        <v>160.5</v>
      </c>
      <c r="C970" s="2" t="s">
        <v>78</v>
      </c>
      <c r="D970" s="2" t="s">
        <v>78</v>
      </c>
      <c r="E970" s="2" t="s">
        <v>125</v>
      </c>
      <c r="F970" s="4" t="s">
        <v>126</v>
      </c>
      <c r="G970" s="4" t="s">
        <v>127</v>
      </c>
      <c r="H970" s="5">
        <v>9.1999999999999993</v>
      </c>
      <c r="I970" s="5">
        <v>10.8</v>
      </c>
      <c r="J970" s="5">
        <v>13.5</v>
      </c>
      <c r="K970" s="4" t="s">
        <v>111</v>
      </c>
      <c r="L970" s="4" t="s">
        <v>128</v>
      </c>
      <c r="M970" s="6">
        <f>IF(OR(B970="",I970=""),"",B970*I970)</f>
        <v>1733.4</v>
      </c>
      <c r="N970" s="28" t="s">
        <v>113</v>
      </c>
      <c r="O970" s="26">
        <v>7836</v>
      </c>
      <c r="P970" s="9" t="s">
        <v>1140</v>
      </c>
      <c r="Q970" s="27">
        <v>687397.00199999998</v>
      </c>
      <c r="R970" s="27">
        <v>7773398</v>
      </c>
      <c r="S970" s="23">
        <f>IF(AND(ISNUMBER(Q970),Q970&gt;0,ISNUMBER(R970),R970&gt;0),R970/Q970,"")</f>
        <v>11.308454906528674</v>
      </c>
      <c r="T970" s="9" t="s">
        <v>115</v>
      </c>
      <c r="U970" s="9" t="s">
        <v>130</v>
      </c>
      <c r="V970" s="9" t="s">
        <v>21</v>
      </c>
      <c r="W970" s="9" t="s">
        <v>865</v>
      </c>
      <c r="X970" s="23">
        <f>IF(ISNUMBER(S970),S970,IF(ISNUMBER(I970),I970,""))</f>
        <v>11.308454906528674</v>
      </c>
      <c r="Y970" t="str">
        <f>IF(ISNUMBER(S970),"2025 EIA-923 plant/group proxy",IF(ISNUMBER(I970),"Technology estimate","No thermal heat rate"))</f>
        <v>2025 EIA-923 plant/group proxy</v>
      </c>
      <c r="Z970" t="str">
        <f>IF(ISNUMBER(S970),"Review: NOT unit verified",IF(AE970="No match","No EIA match",IF(AF970="Unconfirmed","Unconfirmed EIA candidate","")))</f>
        <v>Review: NOT unit verified</v>
      </c>
      <c r="AA970" s="26">
        <v>0.76390000000000002</v>
      </c>
      <c r="AB970" t="s">
        <v>201</v>
      </c>
      <c r="AC970" t="s">
        <v>119</v>
      </c>
      <c r="AD970" s="26">
        <v>484</v>
      </c>
      <c r="AE970" t="s">
        <v>120</v>
      </c>
      <c r="AF970" t="s">
        <v>145</v>
      </c>
      <c r="AG970" s="27">
        <v>11.3085</v>
      </c>
      <c r="AH970" s="34">
        <f t="shared" si="36"/>
        <v>158035.29999999999</v>
      </c>
      <c r="AI970">
        <f t="shared" si="35"/>
        <v>98690.277726998247</v>
      </c>
      <c r="AJ970" t="b" cm="1">
        <f t="array" ref="AJ970">OR(D970=$AT$2:$AT$8)</f>
        <v>1</v>
      </c>
    </row>
    <row r="971" spans="1:36" x14ac:dyDescent="0.25">
      <c r="A971" s="2" t="s">
        <v>1142</v>
      </c>
      <c r="B971" s="3">
        <v>161.69999999999999</v>
      </c>
      <c r="C971" s="2" t="s">
        <v>78</v>
      </c>
      <c r="D971" s="2" t="s">
        <v>78</v>
      </c>
      <c r="E971" s="2" t="s">
        <v>125</v>
      </c>
      <c r="F971" s="4" t="s">
        <v>126</v>
      </c>
      <c r="G971" s="4" t="s">
        <v>127</v>
      </c>
      <c r="H971" s="5">
        <v>9.1999999999999993</v>
      </c>
      <c r="I971" s="5">
        <v>10.8</v>
      </c>
      <c r="J971" s="5">
        <v>13.5</v>
      </c>
      <c r="K971" s="4" t="s">
        <v>111</v>
      </c>
      <c r="L971" s="4" t="s">
        <v>128</v>
      </c>
      <c r="M971" s="6">
        <f>IF(OR(B971="",I971=""),"",B971*I971)</f>
        <v>1746.36</v>
      </c>
      <c r="N971" s="28" t="s">
        <v>113</v>
      </c>
      <c r="O971" s="26">
        <v>7836</v>
      </c>
      <c r="P971" s="9" t="s">
        <v>1140</v>
      </c>
      <c r="Q971" s="27">
        <v>687397.00199999998</v>
      </c>
      <c r="R971" s="27">
        <v>7773398</v>
      </c>
      <c r="S971" s="23">
        <f>IF(AND(ISNUMBER(Q971),Q971&gt;0,ISNUMBER(R971),R971&gt;0),R971/Q971,"")</f>
        <v>11.308454906528674</v>
      </c>
      <c r="T971" s="9" t="s">
        <v>115</v>
      </c>
      <c r="U971" s="9" t="s">
        <v>130</v>
      </c>
      <c r="V971" s="9" t="s">
        <v>21</v>
      </c>
      <c r="W971" s="9" t="s">
        <v>865</v>
      </c>
      <c r="X971" s="23">
        <f>IF(ISNUMBER(S971),S971,IF(ISNUMBER(I971),I971,""))</f>
        <v>11.308454906528674</v>
      </c>
      <c r="Y971" t="str">
        <f>IF(ISNUMBER(S971),"2025 EIA-923 plant/group proxy",IF(ISNUMBER(I971),"Technology estimate","No thermal heat rate"))</f>
        <v>2025 EIA-923 plant/group proxy</v>
      </c>
      <c r="Z971" t="str">
        <f>IF(ISNUMBER(S971),"Review: NOT unit verified",IF(AE971="No match","No EIA match",IF(AF971="Unconfirmed","Unconfirmed EIA candidate","")))</f>
        <v>Review: NOT unit verified</v>
      </c>
      <c r="AA971" s="26">
        <v>0.76390000000000002</v>
      </c>
      <c r="AB971" t="s">
        <v>201</v>
      </c>
      <c r="AC971" t="s">
        <v>119</v>
      </c>
      <c r="AD971" s="26">
        <v>484</v>
      </c>
      <c r="AE971" t="s">
        <v>120</v>
      </c>
      <c r="AF971" t="s">
        <v>145</v>
      </c>
      <c r="AG971" s="27">
        <v>11.3085</v>
      </c>
      <c r="AH971" s="34">
        <f t="shared" si="36"/>
        <v>158197</v>
      </c>
      <c r="AI971">
        <f t="shared" si="35"/>
        <v>98791.256545708093</v>
      </c>
      <c r="AJ971" t="b" cm="1">
        <f t="array" ref="AJ971">OR(D971=$AT$2:$AT$8)</f>
        <v>1</v>
      </c>
    </row>
    <row r="972" spans="1:36" x14ac:dyDescent="0.25">
      <c r="A972" s="2" t="s">
        <v>1144</v>
      </c>
      <c r="B972" s="3">
        <v>850</v>
      </c>
      <c r="C972" s="2" t="s">
        <v>136</v>
      </c>
      <c r="D972" s="2" t="s">
        <v>136</v>
      </c>
      <c r="E972" s="2" t="s">
        <v>189</v>
      </c>
      <c r="F972" s="4" t="s">
        <v>103</v>
      </c>
      <c r="G972" s="4" t="s">
        <v>190</v>
      </c>
      <c r="H972" s="5"/>
      <c r="I972" s="5"/>
      <c r="J972" s="5"/>
      <c r="K972" s="4" t="s">
        <v>105</v>
      </c>
      <c r="L972" s="4" t="s">
        <v>191</v>
      </c>
      <c r="M972" s="6" t="str">
        <f>IF(OR(B972="",I972=""),"",B972*I972)</f>
        <v/>
      </c>
      <c r="N972" s="25" t="s">
        <v>113</v>
      </c>
      <c r="O972" s="26">
        <v>3148</v>
      </c>
      <c r="P972" s="9" t="s">
        <v>1145</v>
      </c>
      <c r="Q972" s="27">
        <v>2249590.0060000001</v>
      </c>
      <c r="R972" s="27">
        <v>25477267</v>
      </c>
      <c r="S972" s="23">
        <f>IF(AND(ISNUMBER(Q972),Q972&gt;0,ISNUMBER(R972),R972&gt;0),R972/Q972,"")</f>
        <v>11.325293467720002</v>
      </c>
      <c r="T972" s="9" t="s">
        <v>115</v>
      </c>
      <c r="U972" s="9" t="s">
        <v>671</v>
      </c>
      <c r="V972" s="9" t="s">
        <v>21</v>
      </c>
      <c r="W972" s="9" t="s">
        <v>240</v>
      </c>
      <c r="X972" s="23">
        <f>IF(ISNUMBER(S972),S972,IF(ISNUMBER(I972),I972,""))</f>
        <v>11.325293467720002</v>
      </c>
      <c r="Y972" t="str">
        <f>IF(ISNUMBER(S972),"2025 EIA-923 plant/group proxy",IF(ISNUMBER(I972),"Technology estimate","No thermal heat rate"))</f>
        <v>2025 EIA-923 plant/group proxy</v>
      </c>
      <c r="Z972" t="str">
        <f>IF(ISNUMBER(S972),"Review: NOT unit verified",IF(AE972="No match","No EIA match",IF(AF972="Unconfirmed","Unconfirmed EIA candidate","")))</f>
        <v>Review: NOT unit verified</v>
      </c>
      <c r="AA972" s="26">
        <v>0.87319999999999998</v>
      </c>
      <c r="AB972" t="s">
        <v>143</v>
      </c>
      <c r="AC972" t="s">
        <v>407</v>
      </c>
      <c r="AD972" s="26">
        <v>1700</v>
      </c>
      <c r="AE972" t="s">
        <v>120</v>
      </c>
      <c r="AF972" t="s">
        <v>121</v>
      </c>
      <c r="AG972" s="27">
        <v>11.3253</v>
      </c>
      <c r="AH972" s="34">
        <f t="shared" si="36"/>
        <v>159047</v>
      </c>
      <c r="AI972">
        <f t="shared" si="35"/>
        <v>99322.066662612022</v>
      </c>
      <c r="AJ972" t="b" cm="1">
        <f t="array" ref="AJ972">OR(D972=$AT$2:$AT$8)</f>
        <v>0</v>
      </c>
    </row>
    <row r="973" spans="1:36" x14ac:dyDescent="0.25">
      <c r="A973" s="2" t="s">
        <v>1146</v>
      </c>
      <c r="B973" s="3">
        <v>850</v>
      </c>
      <c r="C973" s="2" t="s">
        <v>136</v>
      </c>
      <c r="D973" s="2" t="s">
        <v>136</v>
      </c>
      <c r="E973" s="2" t="s">
        <v>189</v>
      </c>
      <c r="F973" s="4" t="s">
        <v>103</v>
      </c>
      <c r="G973" s="4" t="s">
        <v>190</v>
      </c>
      <c r="H973" s="5"/>
      <c r="I973" s="5"/>
      <c r="J973" s="5"/>
      <c r="K973" s="4" t="s">
        <v>105</v>
      </c>
      <c r="L973" s="4" t="s">
        <v>191</v>
      </c>
      <c r="M973" s="6" t="str">
        <f>IF(OR(B973="",I973=""),"",B973*I973)</f>
        <v/>
      </c>
      <c r="N973" s="25" t="s">
        <v>113</v>
      </c>
      <c r="O973" s="26">
        <v>3148</v>
      </c>
      <c r="P973" s="9" t="s">
        <v>1145</v>
      </c>
      <c r="Q973" s="27">
        <v>2249590.0060000001</v>
      </c>
      <c r="R973" s="27">
        <v>25477267</v>
      </c>
      <c r="S973" s="23">
        <f>IF(AND(ISNUMBER(Q973),Q973&gt;0,ISNUMBER(R973),R973&gt;0),R973/Q973,"")</f>
        <v>11.325293467720002</v>
      </c>
      <c r="T973" s="9" t="s">
        <v>115</v>
      </c>
      <c r="U973" s="9" t="s">
        <v>671</v>
      </c>
      <c r="V973" s="9" t="s">
        <v>21</v>
      </c>
      <c r="W973" s="9" t="s">
        <v>240</v>
      </c>
      <c r="X973" s="23">
        <f>IF(ISNUMBER(S973),S973,IF(ISNUMBER(I973),I973,""))</f>
        <v>11.325293467720002</v>
      </c>
      <c r="Y973" t="str">
        <f>IF(ISNUMBER(S973),"2025 EIA-923 plant/group proxy",IF(ISNUMBER(I973),"Technology estimate","No thermal heat rate"))</f>
        <v>2025 EIA-923 plant/group proxy</v>
      </c>
      <c r="Z973" t="str">
        <f>IF(ISNUMBER(S973),"Review: NOT unit verified",IF(AE973="No match","No EIA match",IF(AF973="Unconfirmed","Unconfirmed EIA candidate","")))</f>
        <v>Review: NOT unit verified</v>
      </c>
      <c r="AA973" s="26">
        <v>0.87319999999999998</v>
      </c>
      <c r="AB973" t="s">
        <v>143</v>
      </c>
      <c r="AC973" t="s">
        <v>407</v>
      </c>
      <c r="AD973" s="26">
        <v>1700</v>
      </c>
      <c r="AE973" t="s">
        <v>120</v>
      </c>
      <c r="AF973" t="s">
        <v>121</v>
      </c>
      <c r="AG973" s="27">
        <v>11.3253</v>
      </c>
      <c r="AH973" s="34">
        <f t="shared" si="36"/>
        <v>159897</v>
      </c>
      <c r="AI973">
        <f t="shared" si="35"/>
        <v>99852.876779515966</v>
      </c>
      <c r="AJ973" t="b" cm="1">
        <f t="array" ref="AJ973">OR(D973=$AT$2:$AT$8)</f>
        <v>0</v>
      </c>
    </row>
    <row r="974" spans="1:36" x14ac:dyDescent="0.25">
      <c r="A974" s="2" t="s">
        <v>1563</v>
      </c>
      <c r="B974" s="3">
        <v>122.2</v>
      </c>
      <c r="C974" s="2" t="s">
        <v>86</v>
      </c>
      <c r="D974" s="2" t="s">
        <v>76</v>
      </c>
      <c r="E974" s="2" t="s">
        <v>189</v>
      </c>
      <c r="F974" s="4" t="s">
        <v>103</v>
      </c>
      <c r="G974" s="4" t="s">
        <v>190</v>
      </c>
      <c r="H974" s="5"/>
      <c r="I974" s="5"/>
      <c r="J974" s="5"/>
      <c r="K974" s="4" t="s">
        <v>105</v>
      </c>
      <c r="L974" s="4" t="s">
        <v>191</v>
      </c>
      <c r="M974" s="6" t="str">
        <f>IF(OR(B974="",I974=""),"",B974*I974)</f>
        <v/>
      </c>
      <c r="N974" s="25" t="s">
        <v>113</v>
      </c>
      <c r="O974" s="26">
        <v>3131</v>
      </c>
      <c r="P974" s="9" t="s">
        <v>1564</v>
      </c>
      <c r="Q974" s="27">
        <v>1054049</v>
      </c>
      <c r="R974" s="27">
        <v>11946265</v>
      </c>
      <c r="S974" s="23">
        <f>IF(AND(ISNUMBER(Q974),Q974&gt;0,ISNUMBER(R974),R974&gt;0),R974/Q974,"")</f>
        <v>11.33369036923331</v>
      </c>
      <c r="T974" s="9" t="s">
        <v>115</v>
      </c>
      <c r="U974" s="9" t="s">
        <v>265</v>
      </c>
      <c r="V974" s="9" t="s">
        <v>21</v>
      </c>
      <c r="W974" s="9" t="s">
        <v>528</v>
      </c>
      <c r="X974" s="23">
        <f>IF(ISNUMBER(S974),S974,IF(ISNUMBER(I974),I974,""))</f>
        <v>11.33369036923331</v>
      </c>
      <c r="Y974" t="str">
        <f>IF(ISNUMBER(S974),"2025 EIA-923 plant/group proxy",IF(ISNUMBER(I974),"Technology estimate","No thermal heat rate"))</f>
        <v>2025 EIA-923 plant/group proxy</v>
      </c>
      <c r="Z974" t="str">
        <f>IF(ISNUMBER(S974),"Review: NOT unit verified",IF(AE974="No match","No EIA match",IF(AF974="Unconfirmed","Unconfirmed EIA candidate","")))</f>
        <v>Review: NOT unit verified</v>
      </c>
      <c r="AA974" s="26">
        <v>1</v>
      </c>
      <c r="AB974" t="s">
        <v>143</v>
      </c>
      <c r="AC974" t="s">
        <v>567</v>
      </c>
      <c r="AD974" s="26">
        <v>596</v>
      </c>
      <c r="AE974" t="s">
        <v>120</v>
      </c>
      <c r="AF974" t="s">
        <v>121</v>
      </c>
      <c r="AG974" s="27">
        <v>11.3337</v>
      </c>
      <c r="AH974" s="34">
        <f t="shared" si="36"/>
        <v>160019.20000000001</v>
      </c>
      <c r="AI974">
        <f t="shared" si="35"/>
        <v>99929.188539852039</v>
      </c>
      <c r="AJ974" t="b" cm="1">
        <f t="array" ref="AJ974">OR(D974=$AT$2:$AT$8)</f>
        <v>0</v>
      </c>
    </row>
    <row r="975" spans="1:36" x14ac:dyDescent="0.25">
      <c r="A975" s="2" t="s">
        <v>1565</v>
      </c>
      <c r="B975" s="3">
        <v>124.7</v>
      </c>
      <c r="C975" s="2" t="s">
        <v>86</v>
      </c>
      <c r="D975" s="2" t="s">
        <v>76</v>
      </c>
      <c r="E975" s="2" t="s">
        <v>189</v>
      </c>
      <c r="F975" s="4" t="s">
        <v>103</v>
      </c>
      <c r="G975" s="4" t="s">
        <v>190</v>
      </c>
      <c r="H975" s="5"/>
      <c r="I975" s="5"/>
      <c r="J975" s="5"/>
      <c r="K975" s="4" t="s">
        <v>105</v>
      </c>
      <c r="L975" s="4" t="s">
        <v>191</v>
      </c>
      <c r="M975" s="6" t="str">
        <f>IF(OR(B975="",I975=""),"",B975*I975)</f>
        <v/>
      </c>
      <c r="N975" s="25" t="s">
        <v>113</v>
      </c>
      <c r="O975" s="26">
        <v>3131</v>
      </c>
      <c r="P975" s="9" t="s">
        <v>1564</v>
      </c>
      <c r="Q975" s="27">
        <v>1054049</v>
      </c>
      <c r="R975" s="27">
        <v>11946265</v>
      </c>
      <c r="S975" s="23">
        <f>IF(AND(ISNUMBER(Q975),Q975&gt;0,ISNUMBER(R975),R975&gt;0),R975/Q975,"")</f>
        <v>11.33369036923331</v>
      </c>
      <c r="T975" s="9" t="s">
        <v>115</v>
      </c>
      <c r="U975" s="9" t="s">
        <v>265</v>
      </c>
      <c r="V975" s="9" t="s">
        <v>21</v>
      </c>
      <c r="W975" s="9" t="s">
        <v>528</v>
      </c>
      <c r="X975" s="23">
        <f>IF(ISNUMBER(S975),S975,IF(ISNUMBER(I975),I975,""))</f>
        <v>11.33369036923331</v>
      </c>
      <c r="Y975" t="str">
        <f>IF(ISNUMBER(S975),"2025 EIA-923 plant/group proxy",IF(ISNUMBER(I975),"Technology estimate","No thermal heat rate"))</f>
        <v>2025 EIA-923 plant/group proxy</v>
      </c>
      <c r="Z975" t="str">
        <f>IF(ISNUMBER(S975),"Review: NOT unit verified",IF(AE975="No match","No EIA match",IF(AF975="Unconfirmed","Unconfirmed EIA candidate","")))</f>
        <v>Review: NOT unit verified</v>
      </c>
      <c r="AA975" s="26">
        <v>1</v>
      </c>
      <c r="AB975" t="s">
        <v>143</v>
      </c>
      <c r="AC975" t="s">
        <v>567</v>
      </c>
      <c r="AD975" s="26">
        <v>596</v>
      </c>
      <c r="AE975" t="s">
        <v>120</v>
      </c>
      <c r="AF975" t="s">
        <v>121</v>
      </c>
      <c r="AG975" s="27">
        <v>11.3337</v>
      </c>
      <c r="AH975" s="34">
        <f t="shared" si="36"/>
        <v>160143.90000000002</v>
      </c>
      <c r="AI975">
        <f t="shared" si="35"/>
        <v>100007.06150641431</v>
      </c>
      <c r="AJ975" t="b" cm="1">
        <f t="array" ref="AJ975">OR(D975=$AT$2:$AT$8)</f>
        <v>0</v>
      </c>
    </row>
    <row r="976" spans="1:36" x14ac:dyDescent="0.25">
      <c r="A976" s="2" t="s">
        <v>1566</v>
      </c>
      <c r="B976" s="3">
        <v>173.4</v>
      </c>
      <c r="C976" s="2" t="s">
        <v>86</v>
      </c>
      <c r="D976" s="2" t="s">
        <v>76</v>
      </c>
      <c r="E976" s="2" t="s">
        <v>189</v>
      </c>
      <c r="F976" s="4" t="s">
        <v>103</v>
      </c>
      <c r="G976" s="4" t="s">
        <v>190</v>
      </c>
      <c r="H976" s="5"/>
      <c r="I976" s="5"/>
      <c r="J976" s="5"/>
      <c r="K976" s="4" t="s">
        <v>105</v>
      </c>
      <c r="L976" s="4" t="s">
        <v>191</v>
      </c>
      <c r="M976" s="6" t="str">
        <f>IF(OR(B976="",I976=""),"",B976*I976)</f>
        <v/>
      </c>
      <c r="N976" s="25" t="s">
        <v>113</v>
      </c>
      <c r="O976" s="26">
        <v>3131</v>
      </c>
      <c r="P976" s="9" t="s">
        <v>1564</v>
      </c>
      <c r="Q976" s="27">
        <v>1054049</v>
      </c>
      <c r="R976" s="27">
        <v>11946265</v>
      </c>
      <c r="S976" s="23">
        <f>IF(AND(ISNUMBER(Q976),Q976&gt;0,ISNUMBER(R976),R976&gt;0),R976/Q976,"")</f>
        <v>11.33369036923331</v>
      </c>
      <c r="T976" s="9" t="s">
        <v>115</v>
      </c>
      <c r="U976" s="9" t="s">
        <v>265</v>
      </c>
      <c r="V976" s="9" t="s">
        <v>21</v>
      </c>
      <c r="W976" s="9" t="s">
        <v>528</v>
      </c>
      <c r="X976" s="23">
        <f>IF(ISNUMBER(S976),S976,IF(ISNUMBER(I976),I976,""))</f>
        <v>11.33369036923331</v>
      </c>
      <c r="Y976" t="str">
        <f>IF(ISNUMBER(S976),"2025 EIA-923 plant/group proxy",IF(ISNUMBER(I976),"Technology estimate","No thermal heat rate"))</f>
        <v>2025 EIA-923 plant/group proxy</v>
      </c>
      <c r="Z976" t="str">
        <f>IF(ISNUMBER(S976),"Review: NOT unit verified",IF(AE976="No match","No EIA match",IF(AF976="Unconfirmed","Unconfirmed EIA candidate","")))</f>
        <v>Review: NOT unit verified</v>
      </c>
      <c r="AA976" s="26">
        <v>1</v>
      </c>
      <c r="AB976" t="s">
        <v>143</v>
      </c>
      <c r="AC976" t="s">
        <v>567</v>
      </c>
      <c r="AD976" s="26">
        <v>596</v>
      </c>
      <c r="AE976" t="s">
        <v>120</v>
      </c>
      <c r="AF976" t="s">
        <v>121</v>
      </c>
      <c r="AG976" s="27">
        <v>11.3337</v>
      </c>
      <c r="AH976" s="34">
        <f t="shared" si="36"/>
        <v>160317.30000000002</v>
      </c>
      <c r="AI976">
        <f t="shared" si="35"/>
        <v>100115.34677026271</v>
      </c>
      <c r="AJ976" t="b" cm="1">
        <f t="array" ref="AJ976">OR(D976=$AT$2:$AT$8)</f>
        <v>0</v>
      </c>
    </row>
    <row r="977" spans="1:36" x14ac:dyDescent="0.25">
      <c r="A977" s="2" t="s">
        <v>1567</v>
      </c>
      <c r="B977" s="3">
        <v>174.4</v>
      </c>
      <c r="C977" s="2" t="s">
        <v>86</v>
      </c>
      <c r="D977" s="2" t="s">
        <v>76</v>
      </c>
      <c r="E977" s="2" t="s">
        <v>189</v>
      </c>
      <c r="F977" s="4" t="s">
        <v>103</v>
      </c>
      <c r="G977" s="4" t="s">
        <v>190</v>
      </c>
      <c r="H977" s="5"/>
      <c r="I977" s="5"/>
      <c r="J977" s="5"/>
      <c r="K977" s="4" t="s">
        <v>105</v>
      </c>
      <c r="L977" s="4" t="s">
        <v>191</v>
      </c>
      <c r="M977" s="6" t="str">
        <f>IF(OR(B977="",I977=""),"",B977*I977)</f>
        <v/>
      </c>
      <c r="N977" s="25" t="s">
        <v>113</v>
      </c>
      <c r="O977" s="26">
        <v>3131</v>
      </c>
      <c r="P977" s="9" t="s">
        <v>1564</v>
      </c>
      <c r="Q977" s="27">
        <v>1054049</v>
      </c>
      <c r="R977" s="27">
        <v>11946265</v>
      </c>
      <c r="S977" s="23">
        <f>IF(AND(ISNUMBER(Q977),Q977&gt;0,ISNUMBER(R977),R977&gt;0),R977/Q977,"")</f>
        <v>11.33369036923331</v>
      </c>
      <c r="T977" s="9" t="s">
        <v>115</v>
      </c>
      <c r="U977" s="9" t="s">
        <v>265</v>
      </c>
      <c r="V977" s="9" t="s">
        <v>21</v>
      </c>
      <c r="W977" s="9" t="s">
        <v>528</v>
      </c>
      <c r="X977" s="23">
        <f>IF(ISNUMBER(S977),S977,IF(ISNUMBER(I977),I977,""))</f>
        <v>11.33369036923331</v>
      </c>
      <c r="Y977" t="str">
        <f>IF(ISNUMBER(S977),"2025 EIA-923 plant/group proxy",IF(ISNUMBER(I977),"Technology estimate","No thermal heat rate"))</f>
        <v>2025 EIA-923 plant/group proxy</v>
      </c>
      <c r="Z977" t="str">
        <f>IF(ISNUMBER(S977),"Review: NOT unit verified",IF(AE977="No match","No EIA match",IF(AF977="Unconfirmed","Unconfirmed EIA candidate","")))</f>
        <v>Review: NOT unit verified</v>
      </c>
      <c r="AA977" s="26">
        <v>1</v>
      </c>
      <c r="AB977" t="s">
        <v>143</v>
      </c>
      <c r="AC977" t="s">
        <v>567</v>
      </c>
      <c r="AD977" s="26">
        <v>596</v>
      </c>
      <c r="AE977" t="s">
        <v>120</v>
      </c>
      <c r="AF977" t="s">
        <v>121</v>
      </c>
      <c r="AG977" s="27">
        <v>11.3337</v>
      </c>
      <c r="AH977" s="34">
        <f t="shared" si="36"/>
        <v>160491.70000000001</v>
      </c>
      <c r="AI977">
        <f t="shared" si="35"/>
        <v>100224.25651660158</v>
      </c>
      <c r="AJ977" t="b" cm="1">
        <f t="array" ref="AJ977">OR(D977=$AT$2:$AT$8)</f>
        <v>0</v>
      </c>
    </row>
    <row r="978" spans="1:36" x14ac:dyDescent="0.25">
      <c r="A978" s="2" t="s">
        <v>1857</v>
      </c>
      <c r="B978" s="3">
        <v>162.69999999999999</v>
      </c>
      <c r="C978" s="2" t="s">
        <v>97</v>
      </c>
      <c r="D978" s="2" t="s">
        <v>97</v>
      </c>
      <c r="E978" s="2" t="s">
        <v>125</v>
      </c>
      <c r="F978" s="4" t="s">
        <v>126</v>
      </c>
      <c r="G978" s="4" t="s">
        <v>127</v>
      </c>
      <c r="H978" s="5">
        <v>9.1999999999999993</v>
      </c>
      <c r="I978" s="5">
        <v>10.8</v>
      </c>
      <c r="J978" s="5">
        <v>13.5</v>
      </c>
      <c r="K978" s="4" t="s">
        <v>111</v>
      </c>
      <c r="L978" s="4" t="s">
        <v>128</v>
      </c>
      <c r="M978" s="6">
        <f>IF(OR(B978="",I978=""),"",B978*I978)</f>
        <v>1757.16</v>
      </c>
      <c r="N978" s="25" t="s">
        <v>113</v>
      </c>
      <c r="O978" s="26">
        <v>55392</v>
      </c>
      <c r="P978" s="9" t="s">
        <v>1858</v>
      </c>
      <c r="Q978" s="27">
        <v>468240.00300000003</v>
      </c>
      <c r="R978" s="27">
        <v>5315881</v>
      </c>
      <c r="S978" s="23">
        <f>IF(AND(ISNUMBER(Q978),Q978&gt;0,ISNUMBER(R978),R978&gt;0),R978/Q978,"")</f>
        <v>11.352898013713705</v>
      </c>
      <c r="T978" s="9" t="s">
        <v>115</v>
      </c>
      <c r="U978" s="9" t="s">
        <v>130</v>
      </c>
      <c r="V978" s="9" t="s">
        <v>21</v>
      </c>
      <c r="W978" s="9" t="s">
        <v>117</v>
      </c>
      <c r="X978" s="23">
        <f>IF(ISNUMBER(S978),S978,IF(ISNUMBER(I978),I978,""))</f>
        <v>11.352898013713705</v>
      </c>
      <c r="Y978" t="str">
        <f>IF(ISNUMBER(S978),"2025 EIA-923 plant/group proxy",IF(ISNUMBER(I978),"Technology estimate","No thermal heat rate"))</f>
        <v>2025 EIA-923 plant/group proxy</v>
      </c>
      <c r="Z978" t="str">
        <f>IF(ISNUMBER(S978),"Review: NOT unit verified",IF(AE978="No match","No EIA match",IF(AF978="Unconfirmed","Unconfirmed EIA candidate","")))</f>
        <v>Review: NOT unit verified</v>
      </c>
      <c r="AA978" s="26">
        <v>0.81100000000000005</v>
      </c>
      <c r="AB978" t="s">
        <v>166</v>
      </c>
      <c r="AC978" t="s">
        <v>1859</v>
      </c>
      <c r="AD978" s="26">
        <v>478</v>
      </c>
      <c r="AE978" t="s">
        <v>120</v>
      </c>
      <c r="AF978" t="s">
        <v>121</v>
      </c>
      <c r="AG978" s="27">
        <v>11.3529</v>
      </c>
      <c r="AH978" s="34">
        <f t="shared" si="36"/>
        <v>160654.40000000002</v>
      </c>
      <c r="AI978">
        <f t="shared" si="35"/>
        <v>100325.8598178019</v>
      </c>
      <c r="AJ978" t="b" cm="1">
        <f t="array" ref="AJ978">OR(D978=$AT$2:$AT$8)</f>
        <v>0</v>
      </c>
    </row>
    <row r="979" spans="1:36" x14ac:dyDescent="0.25">
      <c r="A979" s="2" t="s">
        <v>1860</v>
      </c>
      <c r="B979" s="3">
        <v>158.9</v>
      </c>
      <c r="C979" s="2" t="s">
        <v>97</v>
      </c>
      <c r="D979" s="2" t="s">
        <v>97</v>
      </c>
      <c r="E979" s="2" t="s">
        <v>125</v>
      </c>
      <c r="F979" s="4" t="s">
        <v>126</v>
      </c>
      <c r="G979" s="4" t="s">
        <v>127</v>
      </c>
      <c r="H979" s="5">
        <v>9.1999999999999993</v>
      </c>
      <c r="I979" s="5">
        <v>10.8</v>
      </c>
      <c r="J979" s="5">
        <v>13.5</v>
      </c>
      <c r="K979" s="4" t="s">
        <v>111</v>
      </c>
      <c r="L979" s="4" t="s">
        <v>128</v>
      </c>
      <c r="M979" s="6">
        <f>IF(OR(B979="",I979=""),"",B979*I979)</f>
        <v>1716.1200000000001</v>
      </c>
      <c r="N979" s="25" t="s">
        <v>113</v>
      </c>
      <c r="O979" s="26">
        <v>55392</v>
      </c>
      <c r="P979" s="9" t="s">
        <v>1858</v>
      </c>
      <c r="Q979" s="27">
        <v>468240.00300000003</v>
      </c>
      <c r="R979" s="27">
        <v>5315881</v>
      </c>
      <c r="S979" s="23">
        <f>IF(AND(ISNUMBER(Q979),Q979&gt;0,ISNUMBER(R979),R979&gt;0),R979/Q979,"")</f>
        <v>11.352898013713705</v>
      </c>
      <c r="T979" s="9" t="s">
        <v>115</v>
      </c>
      <c r="U979" s="9" t="s">
        <v>130</v>
      </c>
      <c r="V979" s="9" t="s">
        <v>21</v>
      </c>
      <c r="W979" s="9" t="s">
        <v>117</v>
      </c>
      <c r="X979" s="23">
        <f>IF(ISNUMBER(S979),S979,IF(ISNUMBER(I979),I979,""))</f>
        <v>11.352898013713705</v>
      </c>
      <c r="Y979" t="str">
        <f>IF(ISNUMBER(S979),"2025 EIA-923 plant/group proxy",IF(ISNUMBER(I979),"Technology estimate","No thermal heat rate"))</f>
        <v>2025 EIA-923 plant/group proxy</v>
      </c>
      <c r="Z979" t="str">
        <f>IF(ISNUMBER(S979),"Review: NOT unit verified",IF(AE979="No match","No EIA match",IF(AF979="Unconfirmed","Unconfirmed EIA candidate","")))</f>
        <v>Review: NOT unit verified</v>
      </c>
      <c r="AA979" s="26">
        <v>0.81100000000000005</v>
      </c>
      <c r="AB979" t="s">
        <v>166</v>
      </c>
      <c r="AC979" t="s">
        <v>1859</v>
      </c>
      <c r="AD979" s="26">
        <v>478</v>
      </c>
      <c r="AE979" t="s">
        <v>120</v>
      </c>
      <c r="AF979" t="s">
        <v>121</v>
      </c>
      <c r="AG979" s="27">
        <v>11.3529</v>
      </c>
      <c r="AH979" s="34">
        <f t="shared" si="36"/>
        <v>160813.30000000002</v>
      </c>
      <c r="AI979">
        <f t="shared" si="35"/>
        <v>100425.09008553842</v>
      </c>
      <c r="AJ979" t="b" cm="1">
        <f t="array" ref="AJ979">OR(D979=$AT$2:$AT$8)</f>
        <v>0</v>
      </c>
    </row>
    <row r="980" spans="1:36" x14ac:dyDescent="0.25">
      <c r="A980" s="2" t="s">
        <v>1861</v>
      </c>
      <c r="B980" s="3">
        <v>155.30000000000001</v>
      </c>
      <c r="C980" s="2" t="s">
        <v>97</v>
      </c>
      <c r="D980" s="2" t="s">
        <v>97</v>
      </c>
      <c r="E980" s="2" t="s">
        <v>125</v>
      </c>
      <c r="F980" s="4" t="s">
        <v>126</v>
      </c>
      <c r="G980" s="4" t="s">
        <v>127</v>
      </c>
      <c r="H980" s="5">
        <v>9.1999999999999993</v>
      </c>
      <c r="I980" s="5">
        <v>10.8</v>
      </c>
      <c r="J980" s="5">
        <v>13.5</v>
      </c>
      <c r="K980" s="4" t="s">
        <v>111</v>
      </c>
      <c r="L980" s="4" t="s">
        <v>128</v>
      </c>
      <c r="M980" s="6">
        <f>IF(OR(B980="",I980=""),"",B980*I980)</f>
        <v>1677.2400000000002</v>
      </c>
      <c r="N980" s="25" t="s">
        <v>113</v>
      </c>
      <c r="O980" s="26">
        <v>55392</v>
      </c>
      <c r="P980" s="9" t="s">
        <v>1858</v>
      </c>
      <c r="Q980" s="27">
        <v>468240.00300000003</v>
      </c>
      <c r="R980" s="27">
        <v>5315881</v>
      </c>
      <c r="S980" s="23">
        <f>IF(AND(ISNUMBER(Q980),Q980&gt;0,ISNUMBER(R980),R980&gt;0),R980/Q980,"")</f>
        <v>11.352898013713705</v>
      </c>
      <c r="T980" s="9" t="s">
        <v>115</v>
      </c>
      <c r="U980" s="9" t="s">
        <v>130</v>
      </c>
      <c r="V980" s="9" t="s">
        <v>21</v>
      </c>
      <c r="W980" s="9" t="s">
        <v>117</v>
      </c>
      <c r="X980" s="23">
        <f>IF(ISNUMBER(S980),S980,IF(ISNUMBER(I980),I980,""))</f>
        <v>11.352898013713705</v>
      </c>
      <c r="Y980" t="str">
        <f>IF(ISNUMBER(S980),"2025 EIA-923 plant/group proxy",IF(ISNUMBER(I980),"Technology estimate","No thermal heat rate"))</f>
        <v>2025 EIA-923 plant/group proxy</v>
      </c>
      <c r="Z980" t="str">
        <f>IF(ISNUMBER(S980),"Review: NOT unit verified",IF(AE980="No match","No EIA match",IF(AF980="Unconfirmed","Unconfirmed EIA candidate","")))</f>
        <v>Review: NOT unit verified</v>
      </c>
      <c r="AA980" s="26">
        <v>0.81100000000000005</v>
      </c>
      <c r="AB980" t="s">
        <v>166</v>
      </c>
      <c r="AC980" t="s">
        <v>1859</v>
      </c>
      <c r="AD980" s="26">
        <v>478</v>
      </c>
      <c r="AE980" t="s">
        <v>120</v>
      </c>
      <c r="AF980" t="s">
        <v>121</v>
      </c>
      <c r="AG980" s="27">
        <v>11.3529</v>
      </c>
      <c r="AH980" s="34">
        <f t="shared" si="36"/>
        <v>160968.6</v>
      </c>
      <c r="AI980">
        <f t="shared" si="35"/>
        <v>100522.07221630921</v>
      </c>
      <c r="AJ980" t="b" cm="1">
        <f t="array" ref="AJ980">OR(D980=$AT$2:$AT$8)</f>
        <v>0</v>
      </c>
    </row>
    <row r="981" spans="1:36" x14ac:dyDescent="0.25">
      <c r="A981" s="2" t="s">
        <v>1568</v>
      </c>
      <c r="B981" s="3">
        <v>6</v>
      </c>
      <c r="C981" s="2" t="s">
        <v>86</v>
      </c>
      <c r="D981" s="2" t="s">
        <v>76</v>
      </c>
      <c r="E981" s="2" t="s">
        <v>194</v>
      </c>
      <c r="F981" s="4" t="s">
        <v>195</v>
      </c>
      <c r="G981" s="4" t="s">
        <v>196</v>
      </c>
      <c r="H981" s="5">
        <v>8</v>
      </c>
      <c r="I981" s="5">
        <v>9.5</v>
      </c>
      <c r="J981" s="5">
        <v>12</v>
      </c>
      <c r="K981" s="4" t="s">
        <v>111</v>
      </c>
      <c r="L981" s="4" t="s">
        <v>197</v>
      </c>
      <c r="M981" s="6">
        <f>IF(OR(B981="",I981=""),"",B981*I981)</f>
        <v>57</v>
      </c>
      <c r="N981" s="28" t="s">
        <v>113</v>
      </c>
      <c r="O981" s="26">
        <v>3131</v>
      </c>
      <c r="P981" s="9" t="s">
        <v>1564</v>
      </c>
      <c r="Q981" s="27">
        <v>322</v>
      </c>
      <c r="R981" s="27">
        <v>3689</v>
      </c>
      <c r="S981" s="23">
        <f>IF(AND(ISNUMBER(Q981),Q981&gt;0,ISNUMBER(R981),R981&gt;0),R981/Q981,"")</f>
        <v>11.456521739130435</v>
      </c>
      <c r="T981" s="9" t="s">
        <v>115</v>
      </c>
      <c r="U981" s="9" t="s">
        <v>199</v>
      </c>
      <c r="V981" s="9" t="s">
        <v>21</v>
      </c>
      <c r="W981" s="9" t="s">
        <v>142</v>
      </c>
      <c r="X981" s="23">
        <f>IF(ISNUMBER(S981),S981,IF(ISNUMBER(I981),I981,""))</f>
        <v>11.456521739130435</v>
      </c>
      <c r="Y981" t="str">
        <f>IF(ISNUMBER(S981),"2025 EIA-923 plant/group proxy",IF(ISNUMBER(I981),"Technology estimate","No thermal heat rate"))</f>
        <v>2025 EIA-923 plant/group proxy</v>
      </c>
      <c r="Z981" t="str">
        <f>IF(ISNUMBER(S981),"Review: NOT unit verified",IF(AE981="No match","No EIA match",IF(AF981="Unconfirmed","Unconfirmed EIA candidate","")))</f>
        <v>Review: NOT unit verified</v>
      </c>
      <c r="AA981" s="26">
        <v>0.64459999999999995</v>
      </c>
      <c r="AB981" t="s">
        <v>143</v>
      </c>
      <c r="AC981" t="s">
        <v>1569</v>
      </c>
      <c r="AD981" s="26">
        <v>6</v>
      </c>
      <c r="AE981" t="s">
        <v>120</v>
      </c>
      <c r="AF981" t="s">
        <v>145</v>
      </c>
      <c r="AG981" s="27">
        <v>11.4565</v>
      </c>
      <c r="AH981" s="34">
        <f t="shared" si="36"/>
        <v>160974.6</v>
      </c>
      <c r="AI981">
        <f t="shared" si="35"/>
        <v>100525.81911125206</v>
      </c>
      <c r="AJ981" t="b" cm="1">
        <f t="array" ref="AJ981">OR(D981=$AT$2:$AT$8)</f>
        <v>0</v>
      </c>
    </row>
    <row r="982" spans="1:36" x14ac:dyDescent="0.25">
      <c r="A982" s="2" t="s">
        <v>1205</v>
      </c>
      <c r="B982" s="3">
        <v>57.8</v>
      </c>
      <c r="C982" s="2" t="s">
        <v>99</v>
      </c>
      <c r="D982" s="2" t="s">
        <v>81</v>
      </c>
      <c r="E982" s="2" t="s">
        <v>125</v>
      </c>
      <c r="F982" s="4" t="s">
        <v>126</v>
      </c>
      <c r="G982" s="4" t="s">
        <v>127</v>
      </c>
      <c r="H982" s="5">
        <v>9.1999999999999993</v>
      </c>
      <c r="I982" s="5">
        <v>10.8</v>
      </c>
      <c r="J982" s="5">
        <v>13.5</v>
      </c>
      <c r="K982" s="4" t="s">
        <v>111</v>
      </c>
      <c r="L982" s="4" t="s">
        <v>128</v>
      </c>
      <c r="M982" s="6">
        <f>IF(OR(B982="",I982=""),"",B982*I982)</f>
        <v>624.24</v>
      </c>
      <c r="N982" s="25" t="s">
        <v>113</v>
      </c>
      <c r="O982" s="26">
        <v>55229</v>
      </c>
      <c r="P982" s="9" t="s">
        <v>1206</v>
      </c>
      <c r="Q982" s="27">
        <v>141926</v>
      </c>
      <c r="R982" s="27">
        <v>1639993</v>
      </c>
      <c r="S982" s="23">
        <f>IF(AND(ISNUMBER(Q982),Q982&gt;0,ISNUMBER(R982),R982&gt;0),R982/Q982,"")</f>
        <v>11.555268238377746</v>
      </c>
      <c r="T982" s="9" t="s">
        <v>115</v>
      </c>
      <c r="U982" s="9" t="s">
        <v>141</v>
      </c>
      <c r="V982" s="9" t="s">
        <v>21</v>
      </c>
      <c r="W982" s="9" t="s">
        <v>528</v>
      </c>
      <c r="X982" s="23">
        <f>IF(ISNUMBER(S982),S982,IF(ISNUMBER(I982),I982,""))</f>
        <v>11.555268238377746</v>
      </c>
      <c r="Y982" t="str">
        <f>IF(ISNUMBER(S982),"2025 EIA-923 plant/group proxy",IF(ISNUMBER(I982),"Technology estimate","No thermal heat rate"))</f>
        <v>2025 EIA-923 plant/group proxy</v>
      </c>
      <c r="Z982" t="str">
        <f>IF(ISNUMBER(S982),"Review: NOT unit verified",IF(AE982="No match","No EIA match",IF(AF982="Unconfirmed","Unconfirmed EIA candidate","")))</f>
        <v>Review: NOT unit verified</v>
      </c>
      <c r="AA982" s="26">
        <v>1</v>
      </c>
      <c r="AB982" t="s">
        <v>131</v>
      </c>
      <c r="AC982" t="s">
        <v>529</v>
      </c>
      <c r="AD982" s="26">
        <v>233.1</v>
      </c>
      <c r="AE982" t="s">
        <v>120</v>
      </c>
      <c r="AF982" t="s">
        <v>121</v>
      </c>
      <c r="AG982" s="27">
        <v>11.555300000000001</v>
      </c>
      <c r="AH982" s="34">
        <f t="shared" si="36"/>
        <v>161032.4</v>
      </c>
      <c r="AI982">
        <f t="shared" si="35"/>
        <v>100561.91419920152</v>
      </c>
      <c r="AJ982" t="b" cm="1">
        <f t="array" ref="AJ982">OR(D982=$AT$2:$AT$8)</f>
        <v>0</v>
      </c>
    </row>
    <row r="983" spans="1:36" x14ac:dyDescent="0.25">
      <c r="A983" s="2" t="s">
        <v>1207</v>
      </c>
      <c r="B983" s="3">
        <v>58.1</v>
      </c>
      <c r="C983" s="2" t="s">
        <v>99</v>
      </c>
      <c r="D983" s="2" t="s">
        <v>81</v>
      </c>
      <c r="E983" s="2" t="s">
        <v>125</v>
      </c>
      <c r="F983" s="4" t="s">
        <v>126</v>
      </c>
      <c r="G983" s="4" t="s">
        <v>127</v>
      </c>
      <c r="H983" s="5">
        <v>9.1999999999999993</v>
      </c>
      <c r="I983" s="5">
        <v>10.8</v>
      </c>
      <c r="J983" s="5">
        <v>13.5</v>
      </c>
      <c r="K983" s="4" t="s">
        <v>111</v>
      </c>
      <c r="L983" s="4" t="s">
        <v>128</v>
      </c>
      <c r="M983" s="6">
        <f>IF(OR(B983="",I983=""),"",B983*I983)</f>
        <v>627.48</v>
      </c>
      <c r="N983" s="25" t="s">
        <v>113</v>
      </c>
      <c r="O983" s="26">
        <v>55229</v>
      </c>
      <c r="P983" s="9" t="s">
        <v>1206</v>
      </c>
      <c r="Q983" s="27">
        <v>141926</v>
      </c>
      <c r="R983" s="27">
        <v>1639993</v>
      </c>
      <c r="S983" s="23">
        <f>IF(AND(ISNUMBER(Q983),Q983&gt;0,ISNUMBER(R983),R983&gt;0),R983/Q983,"")</f>
        <v>11.555268238377746</v>
      </c>
      <c r="T983" s="9" t="s">
        <v>115</v>
      </c>
      <c r="U983" s="9" t="s">
        <v>141</v>
      </c>
      <c r="V983" s="9" t="s">
        <v>21</v>
      </c>
      <c r="W983" s="9" t="s">
        <v>528</v>
      </c>
      <c r="X983" s="23">
        <f>IF(ISNUMBER(S983),S983,IF(ISNUMBER(I983),I983,""))</f>
        <v>11.555268238377746</v>
      </c>
      <c r="Y983" t="str">
        <f>IF(ISNUMBER(S983),"2025 EIA-923 plant/group proxy",IF(ISNUMBER(I983),"Technology estimate","No thermal heat rate"))</f>
        <v>2025 EIA-923 plant/group proxy</v>
      </c>
      <c r="Z983" t="str">
        <f>IF(ISNUMBER(S983),"Review: NOT unit verified",IF(AE983="No match","No EIA match",IF(AF983="Unconfirmed","Unconfirmed EIA candidate","")))</f>
        <v>Review: NOT unit verified</v>
      </c>
      <c r="AA983" s="26">
        <v>1</v>
      </c>
      <c r="AB983" t="s">
        <v>131</v>
      </c>
      <c r="AC983" t="s">
        <v>529</v>
      </c>
      <c r="AD983" s="26">
        <v>233.1</v>
      </c>
      <c r="AE983" t="s">
        <v>120</v>
      </c>
      <c r="AF983" t="s">
        <v>121</v>
      </c>
      <c r="AG983" s="27">
        <v>11.555300000000001</v>
      </c>
      <c r="AH983" s="34">
        <f t="shared" si="36"/>
        <v>161090.5</v>
      </c>
      <c r="AI983">
        <f t="shared" si="35"/>
        <v>100598.19663189814</v>
      </c>
      <c r="AJ983" t="b" cm="1">
        <f t="array" ref="AJ983">OR(D983=$AT$2:$AT$8)</f>
        <v>0</v>
      </c>
    </row>
    <row r="984" spans="1:36" x14ac:dyDescent="0.25">
      <c r="A984" s="2" t="s">
        <v>1208</v>
      </c>
      <c r="B984" s="3">
        <v>59</v>
      </c>
      <c r="C984" s="2" t="s">
        <v>99</v>
      </c>
      <c r="D984" s="2" t="s">
        <v>81</v>
      </c>
      <c r="E984" s="2" t="s">
        <v>125</v>
      </c>
      <c r="F984" s="4" t="s">
        <v>126</v>
      </c>
      <c r="G984" s="4" t="s">
        <v>127</v>
      </c>
      <c r="H984" s="5">
        <v>9.1999999999999993</v>
      </c>
      <c r="I984" s="5">
        <v>10.8</v>
      </c>
      <c r="J984" s="5">
        <v>13.5</v>
      </c>
      <c r="K984" s="4" t="s">
        <v>111</v>
      </c>
      <c r="L984" s="4" t="s">
        <v>128</v>
      </c>
      <c r="M984" s="6">
        <f>IF(OR(B984="",I984=""),"",B984*I984)</f>
        <v>637.20000000000005</v>
      </c>
      <c r="N984" s="25" t="s">
        <v>113</v>
      </c>
      <c r="O984" s="26">
        <v>55229</v>
      </c>
      <c r="P984" s="9" t="s">
        <v>1206</v>
      </c>
      <c r="Q984" s="27">
        <v>141926</v>
      </c>
      <c r="R984" s="27">
        <v>1639993</v>
      </c>
      <c r="S984" s="23">
        <f>IF(AND(ISNUMBER(Q984),Q984&gt;0,ISNUMBER(R984),R984&gt;0),R984/Q984,"")</f>
        <v>11.555268238377746</v>
      </c>
      <c r="T984" s="9" t="s">
        <v>115</v>
      </c>
      <c r="U984" s="9" t="s">
        <v>141</v>
      </c>
      <c r="V984" s="9" t="s">
        <v>21</v>
      </c>
      <c r="W984" s="9" t="s">
        <v>528</v>
      </c>
      <c r="X984" s="23">
        <f>IF(ISNUMBER(S984),S984,IF(ISNUMBER(I984),I984,""))</f>
        <v>11.555268238377746</v>
      </c>
      <c r="Y984" t="str">
        <f>IF(ISNUMBER(S984),"2025 EIA-923 plant/group proxy",IF(ISNUMBER(I984),"Technology estimate","No thermal heat rate"))</f>
        <v>2025 EIA-923 plant/group proxy</v>
      </c>
      <c r="Z984" t="str">
        <f>IF(ISNUMBER(S984),"Review: NOT unit verified",IF(AE984="No match","No EIA match",IF(AF984="Unconfirmed","Unconfirmed EIA candidate","")))</f>
        <v>Review: NOT unit verified</v>
      </c>
      <c r="AA984" s="26">
        <v>1</v>
      </c>
      <c r="AB984" t="s">
        <v>131</v>
      </c>
      <c r="AC984" t="s">
        <v>529</v>
      </c>
      <c r="AD984" s="26">
        <v>233.1</v>
      </c>
      <c r="AE984" t="s">
        <v>120</v>
      </c>
      <c r="AF984" t="s">
        <v>121</v>
      </c>
      <c r="AG984" s="27">
        <v>11.555300000000001</v>
      </c>
      <c r="AH984" s="34">
        <f t="shared" si="36"/>
        <v>161149.5</v>
      </c>
      <c r="AI984">
        <f t="shared" si="35"/>
        <v>100635.04109883617</v>
      </c>
      <c r="AJ984" t="b" cm="1">
        <f t="array" ref="AJ984">OR(D984=$AT$2:$AT$8)</f>
        <v>0</v>
      </c>
    </row>
    <row r="985" spans="1:36" x14ac:dyDescent="0.25">
      <c r="A985" s="2" t="s">
        <v>1209</v>
      </c>
      <c r="B985" s="3">
        <v>59</v>
      </c>
      <c r="C985" s="2" t="s">
        <v>99</v>
      </c>
      <c r="D985" s="2" t="s">
        <v>81</v>
      </c>
      <c r="E985" s="2" t="s">
        <v>125</v>
      </c>
      <c r="F985" s="4" t="s">
        <v>126</v>
      </c>
      <c r="G985" s="4" t="s">
        <v>127</v>
      </c>
      <c r="H985" s="5">
        <v>9.1999999999999993</v>
      </c>
      <c r="I985" s="5">
        <v>10.8</v>
      </c>
      <c r="J985" s="5">
        <v>13.5</v>
      </c>
      <c r="K985" s="4" t="s">
        <v>111</v>
      </c>
      <c r="L985" s="4" t="s">
        <v>128</v>
      </c>
      <c r="M985" s="6">
        <f>IF(OR(B985="",I985=""),"",B985*I985)</f>
        <v>637.20000000000005</v>
      </c>
      <c r="N985" s="25" t="s">
        <v>113</v>
      </c>
      <c r="O985" s="26">
        <v>55229</v>
      </c>
      <c r="P985" s="9" t="s">
        <v>1206</v>
      </c>
      <c r="Q985" s="27">
        <v>141926</v>
      </c>
      <c r="R985" s="27">
        <v>1639993</v>
      </c>
      <c r="S985" s="23">
        <f>IF(AND(ISNUMBER(Q985),Q985&gt;0,ISNUMBER(R985),R985&gt;0),R985/Q985,"")</f>
        <v>11.555268238377746</v>
      </c>
      <c r="T985" s="9" t="s">
        <v>115</v>
      </c>
      <c r="U985" s="9" t="s">
        <v>141</v>
      </c>
      <c r="V985" s="9" t="s">
        <v>21</v>
      </c>
      <c r="W985" s="9" t="s">
        <v>528</v>
      </c>
      <c r="X985" s="23">
        <f>IF(ISNUMBER(S985),S985,IF(ISNUMBER(I985),I985,""))</f>
        <v>11.555268238377746</v>
      </c>
      <c r="Y985" t="str">
        <f>IF(ISNUMBER(S985),"2025 EIA-923 plant/group proxy",IF(ISNUMBER(I985),"Technology estimate","No thermal heat rate"))</f>
        <v>2025 EIA-923 plant/group proxy</v>
      </c>
      <c r="Z985" t="str">
        <f>IF(ISNUMBER(S985),"Review: NOT unit verified",IF(AE985="No match","No EIA match",IF(AF985="Unconfirmed","Unconfirmed EIA candidate","")))</f>
        <v>Review: NOT unit verified</v>
      </c>
      <c r="AA985" s="26">
        <v>1</v>
      </c>
      <c r="AB985" t="s">
        <v>131</v>
      </c>
      <c r="AC985" t="s">
        <v>529</v>
      </c>
      <c r="AD985" s="26">
        <v>233.1</v>
      </c>
      <c r="AE985" t="s">
        <v>120</v>
      </c>
      <c r="AF985" t="s">
        <v>121</v>
      </c>
      <c r="AG985" s="27">
        <v>11.555300000000001</v>
      </c>
      <c r="AH985" s="34">
        <f t="shared" si="36"/>
        <v>161208.5</v>
      </c>
      <c r="AI985">
        <f t="shared" si="35"/>
        <v>100671.88556577421</v>
      </c>
      <c r="AJ985" t="b" cm="1">
        <f t="array" ref="AJ985">OR(D985=$AT$2:$AT$8)</f>
        <v>0</v>
      </c>
    </row>
    <row r="986" spans="1:36" x14ac:dyDescent="0.25">
      <c r="A986" s="2" t="s">
        <v>684</v>
      </c>
      <c r="B986" s="3">
        <v>109</v>
      </c>
      <c r="C986" s="2" t="s">
        <v>78</v>
      </c>
      <c r="D986" s="2" t="s">
        <v>78</v>
      </c>
      <c r="E986" s="2" t="s">
        <v>125</v>
      </c>
      <c r="F986" s="4" t="s">
        <v>126</v>
      </c>
      <c r="G986" s="4" t="s">
        <v>127</v>
      </c>
      <c r="H986" s="5">
        <v>9.1999999999999993</v>
      </c>
      <c r="I986" s="5">
        <v>10.8</v>
      </c>
      <c r="J986" s="5">
        <v>13.5</v>
      </c>
      <c r="K986" s="4" t="s">
        <v>111</v>
      </c>
      <c r="L986" s="4" t="s">
        <v>128</v>
      </c>
      <c r="M986" s="6">
        <f>IF(OR(B986="",I986=""),"",B986*I986)</f>
        <v>1177.2</v>
      </c>
      <c r="N986" s="25" t="s">
        <v>113</v>
      </c>
      <c r="O986" s="26">
        <v>52087</v>
      </c>
      <c r="P986" s="9" t="s">
        <v>685</v>
      </c>
      <c r="Q986" s="27">
        <v>173986.997</v>
      </c>
      <c r="R986" s="27">
        <v>2016581</v>
      </c>
      <c r="S986" s="23">
        <f>IF(AND(ISNUMBER(Q986),Q986&gt;0,ISNUMBER(R986),R986&gt;0),R986/Q986,"")</f>
        <v>11.590412127177526</v>
      </c>
      <c r="T986" s="9" t="s">
        <v>115</v>
      </c>
      <c r="U986" s="9" t="s">
        <v>130</v>
      </c>
      <c r="V986" s="9" t="s">
        <v>21</v>
      </c>
      <c r="W986" s="9" t="s">
        <v>117</v>
      </c>
      <c r="X986" s="23">
        <f>IF(ISNUMBER(S986),S986,IF(ISNUMBER(I986),I986,""))</f>
        <v>11.590412127177526</v>
      </c>
      <c r="Y986" t="str">
        <f>IF(ISNUMBER(S986),"2025 EIA-923 plant/group proxy",IF(ISNUMBER(I986),"Technology estimate","No thermal heat rate"))</f>
        <v>2025 EIA-923 plant/group proxy</v>
      </c>
      <c r="Z986" t="str">
        <f>IF(ISNUMBER(S986),"Review: NOT unit verified",IF(AE986="No match","No EIA match",IF(AF986="Unconfirmed","Unconfirmed EIA candidate","")))</f>
        <v>Review: NOT unit verified</v>
      </c>
      <c r="AA986" s="26">
        <v>1</v>
      </c>
      <c r="AB986" t="s">
        <v>201</v>
      </c>
      <c r="AC986" t="s">
        <v>686</v>
      </c>
      <c r="AD986" s="26">
        <v>325</v>
      </c>
      <c r="AE986" t="s">
        <v>120</v>
      </c>
      <c r="AF986" t="s">
        <v>121</v>
      </c>
      <c r="AG986" s="27">
        <v>11.590400000000001</v>
      </c>
      <c r="AH986" s="34">
        <f t="shared" si="36"/>
        <v>161317.5</v>
      </c>
      <c r="AI986">
        <f t="shared" si="35"/>
        <v>100739.95415723602</v>
      </c>
      <c r="AJ986" t="b" cm="1">
        <f t="array" ref="AJ986">OR(D986=$AT$2:$AT$8)</f>
        <v>1</v>
      </c>
    </row>
    <row r="987" spans="1:36" x14ac:dyDescent="0.25">
      <c r="A987" s="2" t="s">
        <v>687</v>
      </c>
      <c r="B987" s="3">
        <v>107</v>
      </c>
      <c r="C987" s="2" t="s">
        <v>78</v>
      </c>
      <c r="D987" s="2" t="s">
        <v>78</v>
      </c>
      <c r="E987" s="2" t="s">
        <v>125</v>
      </c>
      <c r="F987" s="4" t="s">
        <v>126</v>
      </c>
      <c r="G987" s="4" t="s">
        <v>127</v>
      </c>
      <c r="H987" s="5">
        <v>9.1999999999999993</v>
      </c>
      <c r="I987" s="5">
        <v>10.8</v>
      </c>
      <c r="J987" s="5">
        <v>13.5</v>
      </c>
      <c r="K987" s="4" t="s">
        <v>111</v>
      </c>
      <c r="L987" s="4" t="s">
        <v>128</v>
      </c>
      <c r="M987" s="6">
        <f>IF(OR(B987="",I987=""),"",B987*I987)</f>
        <v>1155.6000000000001</v>
      </c>
      <c r="N987" s="25" t="s">
        <v>113</v>
      </c>
      <c r="O987" s="26">
        <v>52087</v>
      </c>
      <c r="P987" s="9" t="s">
        <v>685</v>
      </c>
      <c r="Q987" s="27">
        <v>173986.997</v>
      </c>
      <c r="R987" s="27">
        <v>2016581</v>
      </c>
      <c r="S987" s="23">
        <f>IF(AND(ISNUMBER(Q987),Q987&gt;0,ISNUMBER(R987),R987&gt;0),R987/Q987,"")</f>
        <v>11.590412127177526</v>
      </c>
      <c r="T987" s="9" t="s">
        <v>115</v>
      </c>
      <c r="U987" s="9" t="s">
        <v>130</v>
      </c>
      <c r="V987" s="9" t="s">
        <v>21</v>
      </c>
      <c r="W987" s="9" t="s">
        <v>117</v>
      </c>
      <c r="X987" s="23">
        <f>IF(ISNUMBER(S987),S987,IF(ISNUMBER(I987),I987,""))</f>
        <v>11.590412127177526</v>
      </c>
      <c r="Y987" t="str">
        <f>IF(ISNUMBER(S987),"2025 EIA-923 plant/group proxy",IF(ISNUMBER(I987),"Technology estimate","No thermal heat rate"))</f>
        <v>2025 EIA-923 plant/group proxy</v>
      </c>
      <c r="Z987" t="str">
        <f>IF(ISNUMBER(S987),"Review: NOT unit verified",IF(AE987="No match","No EIA match",IF(AF987="Unconfirmed","Unconfirmed EIA candidate","")))</f>
        <v>Review: NOT unit verified</v>
      </c>
      <c r="AA987" s="26">
        <v>1</v>
      </c>
      <c r="AB987" t="s">
        <v>201</v>
      </c>
      <c r="AC987" t="s">
        <v>686</v>
      </c>
      <c r="AD987" s="26">
        <v>325</v>
      </c>
      <c r="AE987" t="s">
        <v>120</v>
      </c>
      <c r="AF987" t="s">
        <v>121</v>
      </c>
      <c r="AG987" s="27">
        <v>11.590400000000001</v>
      </c>
      <c r="AH987" s="34">
        <f t="shared" si="36"/>
        <v>161424.5</v>
      </c>
      <c r="AI987">
        <f t="shared" si="35"/>
        <v>100806.77378371685</v>
      </c>
      <c r="AJ987" t="b" cm="1">
        <f t="array" ref="AJ987">OR(D987=$AT$2:$AT$8)</f>
        <v>1</v>
      </c>
    </row>
    <row r="988" spans="1:36" x14ac:dyDescent="0.25">
      <c r="A988" s="2" t="s">
        <v>688</v>
      </c>
      <c r="B988" s="3">
        <v>109</v>
      </c>
      <c r="C988" s="2" t="s">
        <v>78</v>
      </c>
      <c r="D988" s="2" t="s">
        <v>78</v>
      </c>
      <c r="E988" s="2" t="s">
        <v>125</v>
      </c>
      <c r="F988" s="4" t="s">
        <v>126</v>
      </c>
      <c r="G988" s="4" t="s">
        <v>127</v>
      </c>
      <c r="H988" s="5">
        <v>9.1999999999999993</v>
      </c>
      <c r="I988" s="5">
        <v>10.8</v>
      </c>
      <c r="J988" s="5">
        <v>13.5</v>
      </c>
      <c r="K988" s="4" t="s">
        <v>111</v>
      </c>
      <c r="L988" s="4" t="s">
        <v>128</v>
      </c>
      <c r="M988" s="6">
        <f>IF(OR(B988="",I988=""),"",B988*I988)</f>
        <v>1177.2</v>
      </c>
      <c r="N988" s="25" t="s">
        <v>113</v>
      </c>
      <c r="O988" s="26">
        <v>52087</v>
      </c>
      <c r="P988" s="9" t="s">
        <v>685</v>
      </c>
      <c r="Q988" s="27">
        <v>173986.997</v>
      </c>
      <c r="R988" s="27">
        <v>2016581</v>
      </c>
      <c r="S988" s="23">
        <f>IF(AND(ISNUMBER(Q988),Q988&gt;0,ISNUMBER(R988),R988&gt;0),R988/Q988,"")</f>
        <v>11.590412127177526</v>
      </c>
      <c r="T988" s="9" t="s">
        <v>115</v>
      </c>
      <c r="U988" s="9" t="s">
        <v>130</v>
      </c>
      <c r="V988" s="9" t="s">
        <v>21</v>
      </c>
      <c r="W988" s="9" t="s">
        <v>117</v>
      </c>
      <c r="X988" s="23">
        <f>IF(ISNUMBER(S988),S988,IF(ISNUMBER(I988),I988,""))</f>
        <v>11.590412127177526</v>
      </c>
      <c r="Y988" t="str">
        <f>IF(ISNUMBER(S988),"2025 EIA-923 plant/group proxy",IF(ISNUMBER(I988),"Technology estimate","No thermal heat rate"))</f>
        <v>2025 EIA-923 plant/group proxy</v>
      </c>
      <c r="Z988" t="str">
        <f>IF(ISNUMBER(S988),"Review: NOT unit verified",IF(AE988="No match","No EIA match",IF(AF988="Unconfirmed","Unconfirmed EIA candidate","")))</f>
        <v>Review: NOT unit verified</v>
      </c>
      <c r="AA988" s="26">
        <v>1</v>
      </c>
      <c r="AB988" t="s">
        <v>201</v>
      </c>
      <c r="AC988" t="s">
        <v>686</v>
      </c>
      <c r="AD988" s="26">
        <v>325</v>
      </c>
      <c r="AE988" t="s">
        <v>120</v>
      </c>
      <c r="AF988" t="s">
        <v>121</v>
      </c>
      <c r="AG988" s="27">
        <v>11.590400000000001</v>
      </c>
      <c r="AH988" s="34">
        <f t="shared" si="36"/>
        <v>161533.5</v>
      </c>
      <c r="AI988">
        <f t="shared" si="35"/>
        <v>100874.84237517866</v>
      </c>
      <c r="AJ988" t="b" cm="1">
        <f t="array" ref="AJ988">OR(D988=$AT$2:$AT$8)</f>
        <v>1</v>
      </c>
    </row>
    <row r="989" spans="1:36" x14ac:dyDescent="0.25">
      <c r="A989" s="2" t="s">
        <v>987</v>
      </c>
      <c r="B989" s="3">
        <v>44.8</v>
      </c>
      <c r="C989" s="2" t="s">
        <v>228</v>
      </c>
      <c r="D989" s="2" t="s">
        <v>237</v>
      </c>
      <c r="E989" s="2" t="s">
        <v>125</v>
      </c>
      <c r="F989" s="4" t="s">
        <v>126</v>
      </c>
      <c r="G989" s="4" t="s">
        <v>127</v>
      </c>
      <c r="H989" s="5">
        <v>9.1999999999999993</v>
      </c>
      <c r="I989" s="5">
        <v>10.8</v>
      </c>
      <c r="J989" s="5">
        <v>13.5</v>
      </c>
      <c r="K989" s="4" t="s">
        <v>111</v>
      </c>
      <c r="L989" s="4" t="s">
        <v>128</v>
      </c>
      <c r="M989" s="6">
        <f>IF(OR(B989="",I989=""),"",B989*I989)</f>
        <v>483.84</v>
      </c>
      <c r="N989" s="25" t="s">
        <v>113</v>
      </c>
      <c r="O989" s="26">
        <v>2404</v>
      </c>
      <c r="P989" s="9" t="s">
        <v>988</v>
      </c>
      <c r="Q989" s="27">
        <v>270062</v>
      </c>
      <c r="R989" s="27">
        <v>3139010</v>
      </c>
      <c r="S989" s="23">
        <f>IF(AND(ISNUMBER(Q989),Q989&gt;0,ISNUMBER(R989),R989&gt;0),R989/Q989,"")</f>
        <v>11.623293910287268</v>
      </c>
      <c r="T989" s="9" t="s">
        <v>115</v>
      </c>
      <c r="U989" s="9" t="s">
        <v>352</v>
      </c>
      <c r="V989" s="9" t="s">
        <v>21</v>
      </c>
      <c r="W989" s="9" t="s">
        <v>200</v>
      </c>
      <c r="X989" s="23">
        <f>IF(ISNUMBER(S989),S989,IF(ISNUMBER(I989),I989,""))</f>
        <v>11.623293910287268</v>
      </c>
      <c r="Y989" t="str">
        <f>IF(ISNUMBER(S989),"2025 EIA-923 plant/group proxy",IF(ISNUMBER(I989),"Technology estimate","No thermal heat rate"))</f>
        <v>2025 EIA-923 plant/group proxy</v>
      </c>
      <c r="Z989" t="str">
        <f>IF(ISNUMBER(S989),"Review: NOT unit verified",IF(AE989="No match","No EIA match",IF(AF989="Unconfirmed","Unconfirmed EIA candidate","")))</f>
        <v>Review: NOT unit verified</v>
      </c>
      <c r="AA989" s="26">
        <v>1</v>
      </c>
      <c r="AB989" t="s">
        <v>241</v>
      </c>
      <c r="AC989" t="s">
        <v>989</v>
      </c>
      <c r="AD989" s="26">
        <v>457.9</v>
      </c>
      <c r="AE989" t="s">
        <v>120</v>
      </c>
      <c r="AF989" t="s">
        <v>121</v>
      </c>
      <c r="AG989" s="27">
        <v>11.6233</v>
      </c>
      <c r="AH989" s="34">
        <f t="shared" si="36"/>
        <v>161578.29999999999</v>
      </c>
      <c r="AI989">
        <f t="shared" si="35"/>
        <v>100902.81919075194</v>
      </c>
      <c r="AJ989" t="b" cm="1">
        <f t="array" ref="AJ989">OR(D989=$AT$2:$AT$8)</f>
        <v>0</v>
      </c>
    </row>
    <row r="990" spans="1:36" x14ac:dyDescent="0.25">
      <c r="A990" s="2" t="s">
        <v>990</v>
      </c>
      <c r="B990" s="3">
        <v>44</v>
      </c>
      <c r="C990" s="2" t="s">
        <v>228</v>
      </c>
      <c r="D990" s="2" t="s">
        <v>237</v>
      </c>
      <c r="E990" s="2" t="s">
        <v>125</v>
      </c>
      <c r="F990" s="4" t="s">
        <v>126</v>
      </c>
      <c r="G990" s="4" t="s">
        <v>127</v>
      </c>
      <c r="H990" s="5">
        <v>9.1999999999999993</v>
      </c>
      <c r="I990" s="5">
        <v>10.8</v>
      </c>
      <c r="J990" s="5">
        <v>13.5</v>
      </c>
      <c r="K990" s="4" t="s">
        <v>111</v>
      </c>
      <c r="L990" s="4" t="s">
        <v>128</v>
      </c>
      <c r="M990" s="6">
        <f>IF(OR(B990="",I990=""),"",B990*I990)</f>
        <v>475.20000000000005</v>
      </c>
      <c r="N990" s="25" t="s">
        <v>113</v>
      </c>
      <c r="O990" s="26">
        <v>2404</v>
      </c>
      <c r="P990" s="9" t="s">
        <v>988</v>
      </c>
      <c r="Q990" s="27">
        <v>270062</v>
      </c>
      <c r="R990" s="27">
        <v>3139010</v>
      </c>
      <c r="S990" s="23">
        <f>IF(AND(ISNUMBER(Q990),Q990&gt;0,ISNUMBER(R990),R990&gt;0),R990/Q990,"")</f>
        <v>11.623293910287268</v>
      </c>
      <c r="T990" s="9" t="s">
        <v>115</v>
      </c>
      <c r="U990" s="9" t="s">
        <v>352</v>
      </c>
      <c r="V990" s="9" t="s">
        <v>21</v>
      </c>
      <c r="W990" s="9" t="s">
        <v>200</v>
      </c>
      <c r="X990" s="23">
        <f>IF(ISNUMBER(S990),S990,IF(ISNUMBER(I990),I990,""))</f>
        <v>11.623293910287268</v>
      </c>
      <c r="Y990" t="str">
        <f>IF(ISNUMBER(S990),"2025 EIA-923 plant/group proxy",IF(ISNUMBER(I990),"Technology estimate","No thermal heat rate"))</f>
        <v>2025 EIA-923 plant/group proxy</v>
      </c>
      <c r="Z990" t="str">
        <f>IF(ISNUMBER(S990),"Review: NOT unit verified",IF(AE990="No match","No EIA match",IF(AF990="Unconfirmed","Unconfirmed EIA candidate","")))</f>
        <v>Review: NOT unit verified</v>
      </c>
      <c r="AA990" s="26">
        <v>1</v>
      </c>
      <c r="AB990" t="s">
        <v>241</v>
      </c>
      <c r="AC990" t="s">
        <v>989</v>
      </c>
      <c r="AD990" s="26">
        <v>457.9</v>
      </c>
      <c r="AE990" t="s">
        <v>120</v>
      </c>
      <c r="AF990" t="s">
        <v>121</v>
      </c>
      <c r="AG990" s="27">
        <v>11.6233</v>
      </c>
      <c r="AH990" s="34">
        <f t="shared" si="36"/>
        <v>161622.29999999999</v>
      </c>
      <c r="AI990">
        <f t="shared" si="35"/>
        <v>100930.29642033284</v>
      </c>
      <c r="AJ990" t="b" cm="1">
        <f t="array" ref="AJ990">OR(D990=$AT$2:$AT$8)</f>
        <v>0</v>
      </c>
    </row>
    <row r="991" spans="1:36" x14ac:dyDescent="0.25">
      <c r="A991" s="2" t="s">
        <v>991</v>
      </c>
      <c r="B991" s="3">
        <v>43.6</v>
      </c>
      <c r="C991" s="2" t="s">
        <v>228</v>
      </c>
      <c r="D991" s="2" t="s">
        <v>237</v>
      </c>
      <c r="E991" s="2" t="s">
        <v>125</v>
      </c>
      <c r="F991" s="4" t="s">
        <v>126</v>
      </c>
      <c r="G991" s="4" t="s">
        <v>127</v>
      </c>
      <c r="H991" s="5">
        <v>9.1999999999999993</v>
      </c>
      <c r="I991" s="5">
        <v>10.8</v>
      </c>
      <c r="J991" s="5">
        <v>13.5</v>
      </c>
      <c r="K991" s="4" t="s">
        <v>111</v>
      </c>
      <c r="L991" s="4" t="s">
        <v>128</v>
      </c>
      <c r="M991" s="6">
        <f>IF(OR(B991="",I991=""),"",B991*I991)</f>
        <v>470.88000000000005</v>
      </c>
      <c r="N991" s="25" t="s">
        <v>113</v>
      </c>
      <c r="O991" s="26">
        <v>2404</v>
      </c>
      <c r="P991" s="9" t="s">
        <v>988</v>
      </c>
      <c r="Q991" s="27">
        <v>270062</v>
      </c>
      <c r="R991" s="27">
        <v>3139010</v>
      </c>
      <c r="S991" s="23">
        <f>IF(AND(ISNUMBER(Q991),Q991&gt;0,ISNUMBER(R991),R991&gt;0),R991/Q991,"")</f>
        <v>11.623293910287268</v>
      </c>
      <c r="T991" s="9" t="s">
        <v>115</v>
      </c>
      <c r="U991" s="9" t="s">
        <v>352</v>
      </c>
      <c r="V991" s="9" t="s">
        <v>21</v>
      </c>
      <c r="W991" s="9" t="s">
        <v>200</v>
      </c>
      <c r="X991" s="23">
        <f>IF(ISNUMBER(S991),S991,IF(ISNUMBER(I991),I991,""))</f>
        <v>11.623293910287268</v>
      </c>
      <c r="Y991" t="str">
        <f>IF(ISNUMBER(S991),"2025 EIA-923 plant/group proxy",IF(ISNUMBER(I991),"Technology estimate","No thermal heat rate"))</f>
        <v>2025 EIA-923 plant/group proxy</v>
      </c>
      <c r="Z991" t="str">
        <f>IF(ISNUMBER(S991),"Review: NOT unit verified",IF(AE991="No match","No EIA match",IF(AF991="Unconfirmed","Unconfirmed EIA candidate","")))</f>
        <v>Review: NOT unit verified</v>
      </c>
      <c r="AA991" s="26">
        <v>1</v>
      </c>
      <c r="AB991" t="s">
        <v>241</v>
      </c>
      <c r="AC991" t="s">
        <v>989</v>
      </c>
      <c r="AD991" s="26">
        <v>457.9</v>
      </c>
      <c r="AE991" t="s">
        <v>120</v>
      </c>
      <c r="AF991" t="s">
        <v>121</v>
      </c>
      <c r="AG991" s="27">
        <v>11.6233</v>
      </c>
      <c r="AH991" s="34">
        <f t="shared" si="36"/>
        <v>161665.9</v>
      </c>
      <c r="AI991">
        <f t="shared" si="35"/>
        <v>100957.52385691757</v>
      </c>
      <c r="AJ991" t="b" cm="1">
        <f t="array" ref="AJ991">OR(D991=$AT$2:$AT$8)</f>
        <v>0</v>
      </c>
    </row>
    <row r="992" spans="1:36" x14ac:dyDescent="0.25">
      <c r="A992" s="2" t="s">
        <v>992</v>
      </c>
      <c r="B992" s="3">
        <v>43.9</v>
      </c>
      <c r="C992" s="2" t="s">
        <v>228</v>
      </c>
      <c r="D992" s="2" t="s">
        <v>237</v>
      </c>
      <c r="E992" s="2" t="s">
        <v>125</v>
      </c>
      <c r="F992" s="4" t="s">
        <v>126</v>
      </c>
      <c r="G992" s="4" t="s">
        <v>127</v>
      </c>
      <c r="H992" s="5">
        <v>9.1999999999999993</v>
      </c>
      <c r="I992" s="5">
        <v>10.8</v>
      </c>
      <c r="J992" s="5">
        <v>13.5</v>
      </c>
      <c r="K992" s="4" t="s">
        <v>111</v>
      </c>
      <c r="L992" s="4" t="s">
        <v>128</v>
      </c>
      <c r="M992" s="6">
        <f>IF(OR(B992="",I992=""),"",B992*I992)</f>
        <v>474.12</v>
      </c>
      <c r="N992" s="25" t="s">
        <v>113</v>
      </c>
      <c r="O992" s="26">
        <v>2404</v>
      </c>
      <c r="P992" s="9" t="s">
        <v>988</v>
      </c>
      <c r="Q992" s="27">
        <v>270062</v>
      </c>
      <c r="R992" s="27">
        <v>3139010</v>
      </c>
      <c r="S992" s="23">
        <f>IF(AND(ISNUMBER(Q992),Q992&gt;0,ISNUMBER(R992),R992&gt;0),R992/Q992,"")</f>
        <v>11.623293910287268</v>
      </c>
      <c r="T992" s="9" t="s">
        <v>115</v>
      </c>
      <c r="U992" s="9" t="s">
        <v>352</v>
      </c>
      <c r="V992" s="9" t="s">
        <v>21</v>
      </c>
      <c r="W992" s="9" t="s">
        <v>200</v>
      </c>
      <c r="X992" s="23">
        <f>IF(ISNUMBER(S992),S992,IF(ISNUMBER(I992),I992,""))</f>
        <v>11.623293910287268</v>
      </c>
      <c r="Y992" t="str">
        <f>IF(ISNUMBER(S992),"2025 EIA-923 plant/group proxy",IF(ISNUMBER(I992),"Technology estimate","No thermal heat rate"))</f>
        <v>2025 EIA-923 plant/group proxy</v>
      </c>
      <c r="Z992" t="str">
        <f>IF(ISNUMBER(S992),"Review: NOT unit verified",IF(AE992="No match","No EIA match",IF(AF992="Unconfirmed","Unconfirmed EIA candidate","")))</f>
        <v>Review: NOT unit verified</v>
      </c>
      <c r="AA992" s="26">
        <v>1</v>
      </c>
      <c r="AB992" t="s">
        <v>241</v>
      </c>
      <c r="AC992" t="s">
        <v>989</v>
      </c>
      <c r="AD992" s="26">
        <v>457.9</v>
      </c>
      <c r="AE992" t="s">
        <v>120</v>
      </c>
      <c r="AF992" t="s">
        <v>121</v>
      </c>
      <c r="AG992" s="27">
        <v>11.6233</v>
      </c>
      <c r="AH992" s="34">
        <f t="shared" si="36"/>
        <v>161709.79999999999</v>
      </c>
      <c r="AI992">
        <f t="shared" si="35"/>
        <v>100984.93863824943</v>
      </c>
      <c r="AJ992" t="b" cm="1">
        <f t="array" ref="AJ992">OR(D992=$AT$2:$AT$8)</f>
        <v>0</v>
      </c>
    </row>
    <row r="993" spans="1:36" x14ac:dyDescent="0.25">
      <c r="A993" s="2" t="s">
        <v>993</v>
      </c>
      <c r="B993" s="3">
        <v>187.8</v>
      </c>
      <c r="C993" s="2" t="s">
        <v>228</v>
      </c>
      <c r="D993" s="2" t="s">
        <v>237</v>
      </c>
      <c r="E993" s="2" t="s">
        <v>137</v>
      </c>
      <c r="F993" s="4" t="s">
        <v>138</v>
      </c>
      <c r="G993" s="4" t="s">
        <v>139</v>
      </c>
      <c r="H993" s="5">
        <v>9</v>
      </c>
      <c r="I993" s="5">
        <v>10.5</v>
      </c>
      <c r="J993" s="5">
        <v>13</v>
      </c>
      <c r="K993" s="4" t="s">
        <v>111</v>
      </c>
      <c r="L993" s="4" t="s">
        <v>112</v>
      </c>
      <c r="M993" s="6">
        <f>IF(OR(B993="",I993=""),"",B993*I993)</f>
        <v>1971.9</v>
      </c>
      <c r="N993" s="25" t="s">
        <v>113</v>
      </c>
      <c r="O993" s="26">
        <v>2404</v>
      </c>
      <c r="P993" s="9" t="s">
        <v>988</v>
      </c>
      <c r="Q993" s="27">
        <v>270062</v>
      </c>
      <c r="R993" s="27">
        <v>3139010</v>
      </c>
      <c r="S993" s="23">
        <f>IF(AND(ISNUMBER(Q993),Q993&gt;0,ISNUMBER(R993),R993&gt;0),R993/Q993,"")</f>
        <v>11.623293910287268</v>
      </c>
      <c r="T993" s="9" t="s">
        <v>115</v>
      </c>
      <c r="U993" s="9" t="s">
        <v>352</v>
      </c>
      <c r="V993" s="9" t="s">
        <v>21</v>
      </c>
      <c r="W993" s="9" t="s">
        <v>200</v>
      </c>
      <c r="X993" s="23">
        <f>IF(ISNUMBER(S993),S993,IF(ISNUMBER(I993),I993,""))</f>
        <v>11.623293910287268</v>
      </c>
      <c r="Y993" t="str">
        <f>IF(ISNUMBER(S993),"2025 EIA-923 plant/group proxy",IF(ISNUMBER(I993),"Technology estimate","No thermal heat rate"))</f>
        <v>2025 EIA-923 plant/group proxy</v>
      </c>
      <c r="Z993" t="str">
        <f>IF(ISNUMBER(S993),"Review: NOT unit verified",IF(AE993="No match","No EIA match",IF(AF993="Unconfirmed","Unconfirmed EIA candidate","")))</f>
        <v>Review: NOT unit verified</v>
      </c>
      <c r="AA993" s="26">
        <v>1</v>
      </c>
      <c r="AB993" t="s">
        <v>241</v>
      </c>
      <c r="AC993" t="s">
        <v>989</v>
      </c>
      <c r="AD993" s="26">
        <v>457.9</v>
      </c>
      <c r="AE993" t="s">
        <v>120</v>
      </c>
      <c r="AF993" t="s">
        <v>121</v>
      </c>
      <c r="AG993" s="27">
        <v>11.6233</v>
      </c>
      <c r="AH993" s="34">
        <f t="shared" si="36"/>
        <v>161897.59999999998</v>
      </c>
      <c r="AI993">
        <f t="shared" si="35"/>
        <v>101102.21644996067</v>
      </c>
      <c r="AJ993" t="b" cm="1">
        <f t="array" ref="AJ993">OR(D993=$AT$2:$AT$8)</f>
        <v>0</v>
      </c>
    </row>
    <row r="994" spans="1:36" x14ac:dyDescent="0.25">
      <c r="A994" s="2" t="s">
        <v>994</v>
      </c>
      <c r="B994" s="3">
        <v>93.5</v>
      </c>
      <c r="C994" s="2" t="s">
        <v>228</v>
      </c>
      <c r="D994" s="2" t="s">
        <v>237</v>
      </c>
      <c r="E994" s="2" t="s">
        <v>137</v>
      </c>
      <c r="F994" s="4" t="s">
        <v>138</v>
      </c>
      <c r="G994" s="4" t="s">
        <v>139</v>
      </c>
      <c r="H994" s="5">
        <v>9</v>
      </c>
      <c r="I994" s="5">
        <v>10.5</v>
      </c>
      <c r="J994" s="5">
        <v>13</v>
      </c>
      <c r="K994" s="4" t="s">
        <v>111</v>
      </c>
      <c r="L994" s="4" t="s">
        <v>112</v>
      </c>
      <c r="M994" s="6">
        <f>IF(OR(B994="",I994=""),"",B994*I994)</f>
        <v>981.75</v>
      </c>
      <c r="N994" s="25" t="s">
        <v>113</v>
      </c>
      <c r="O994" s="26">
        <v>2404</v>
      </c>
      <c r="P994" s="9" t="s">
        <v>988</v>
      </c>
      <c r="Q994" s="27">
        <v>270062</v>
      </c>
      <c r="R994" s="27">
        <v>3139010</v>
      </c>
      <c r="S994" s="23">
        <f>IF(AND(ISNUMBER(Q994),Q994&gt;0,ISNUMBER(R994),R994&gt;0),R994/Q994,"")</f>
        <v>11.623293910287268</v>
      </c>
      <c r="T994" s="9" t="s">
        <v>115</v>
      </c>
      <c r="U994" s="9" t="s">
        <v>352</v>
      </c>
      <c r="V994" s="9" t="s">
        <v>21</v>
      </c>
      <c r="W994" s="9" t="s">
        <v>200</v>
      </c>
      <c r="X994" s="23">
        <f>IF(ISNUMBER(S994),S994,IF(ISNUMBER(I994),I994,""))</f>
        <v>11.623293910287268</v>
      </c>
      <c r="Y994" t="str">
        <f>IF(ISNUMBER(S994),"2025 EIA-923 plant/group proxy",IF(ISNUMBER(I994),"Technology estimate","No thermal heat rate"))</f>
        <v>2025 EIA-923 plant/group proxy</v>
      </c>
      <c r="Z994" t="str">
        <f>IF(ISNUMBER(S994),"Review: NOT unit verified",IF(AE994="No match","No EIA match",IF(AF994="Unconfirmed","Unconfirmed EIA candidate","")))</f>
        <v>Review: NOT unit verified</v>
      </c>
      <c r="AA994" s="26">
        <v>1</v>
      </c>
      <c r="AB994" t="s">
        <v>241</v>
      </c>
      <c r="AC994" t="s">
        <v>989</v>
      </c>
      <c r="AD994" s="26">
        <v>457.9</v>
      </c>
      <c r="AE994" t="s">
        <v>120</v>
      </c>
      <c r="AF994" t="s">
        <v>121</v>
      </c>
      <c r="AG994" s="27">
        <v>11.6233</v>
      </c>
      <c r="AH994" s="34">
        <f t="shared" si="36"/>
        <v>161991.09999999998</v>
      </c>
      <c r="AI994">
        <f t="shared" si="35"/>
        <v>101160.6055628201</v>
      </c>
      <c r="AJ994" t="b" cm="1">
        <f t="array" ref="AJ994">OR(D994=$AT$2:$AT$8)</f>
        <v>0</v>
      </c>
    </row>
    <row r="995" spans="1:36" x14ac:dyDescent="0.25">
      <c r="A995" s="2" t="s">
        <v>1442</v>
      </c>
      <c r="B995" s="3">
        <v>147</v>
      </c>
      <c r="C995" s="2" t="s">
        <v>99</v>
      </c>
      <c r="D995" s="2" t="s">
        <v>81</v>
      </c>
      <c r="E995" s="2" t="s">
        <v>125</v>
      </c>
      <c r="F995" s="4" t="s">
        <v>126</v>
      </c>
      <c r="G995" s="4" t="s">
        <v>127</v>
      </c>
      <c r="H995" s="5">
        <v>9.1999999999999993</v>
      </c>
      <c r="I995" s="5">
        <v>10.8</v>
      </c>
      <c r="J995" s="5">
        <v>13.5</v>
      </c>
      <c r="K995" s="4" t="s">
        <v>111</v>
      </c>
      <c r="L995" s="4" t="s">
        <v>128</v>
      </c>
      <c r="M995" s="6">
        <f>IF(OR(B995="",I995=""),"",B995*I995)</f>
        <v>1587.6000000000001</v>
      </c>
      <c r="N995" s="25" t="s">
        <v>113</v>
      </c>
      <c r="O995" s="26">
        <v>7872</v>
      </c>
      <c r="P995" s="9" t="s">
        <v>1443</v>
      </c>
      <c r="Q995" s="27">
        <v>327867.99800000002</v>
      </c>
      <c r="R995" s="27">
        <v>3811569</v>
      </c>
      <c r="S995" s="23">
        <f>IF(AND(ISNUMBER(Q995),Q995&gt;0,ISNUMBER(R995),R995&gt;0),R995/Q995,"")</f>
        <v>11.625315746735367</v>
      </c>
      <c r="T995" s="9" t="s">
        <v>115</v>
      </c>
      <c r="U995" s="9" t="s">
        <v>130</v>
      </c>
      <c r="V995" s="9" t="s">
        <v>21</v>
      </c>
      <c r="W995" s="9" t="s">
        <v>117</v>
      </c>
      <c r="X995" s="23">
        <f>IF(ISNUMBER(S995),S995,IF(ISNUMBER(I995),I995,""))</f>
        <v>11.625315746735367</v>
      </c>
      <c r="Y995" t="str">
        <f>IF(ISNUMBER(S995),"2025 EIA-923 plant/group proxy",IF(ISNUMBER(I995),"Technology estimate","No thermal heat rate"))</f>
        <v>2025 EIA-923 plant/group proxy</v>
      </c>
      <c r="Z995" t="str">
        <f>IF(ISNUMBER(S995),"Review: NOT unit verified",IF(AE995="No match","No EIA match",IF(AF995="Unconfirmed","Unconfirmed EIA candidate","")))</f>
        <v>Review: NOT unit verified</v>
      </c>
      <c r="AA995" s="26">
        <v>0.81100000000000005</v>
      </c>
      <c r="AB995" t="s">
        <v>322</v>
      </c>
      <c r="AC995" t="s">
        <v>119</v>
      </c>
      <c r="AD995" s="26">
        <v>441</v>
      </c>
      <c r="AE995" t="s">
        <v>120</v>
      </c>
      <c r="AF995" t="s">
        <v>121</v>
      </c>
      <c r="AG995" s="27">
        <v>11.625299999999999</v>
      </c>
      <c r="AH995" s="34">
        <f t="shared" si="36"/>
        <v>162138.09999999998</v>
      </c>
      <c r="AI995">
        <f t="shared" si="35"/>
        <v>101252.40448891996</v>
      </c>
      <c r="AJ995" t="b" cm="1">
        <f t="array" ref="AJ995">OR(D995=$AT$2:$AT$8)</f>
        <v>0</v>
      </c>
    </row>
    <row r="996" spans="1:36" x14ac:dyDescent="0.25">
      <c r="A996" s="2" t="s">
        <v>1444</v>
      </c>
      <c r="B996" s="3">
        <v>147</v>
      </c>
      <c r="C996" s="2" t="s">
        <v>99</v>
      </c>
      <c r="D996" s="2" t="s">
        <v>81</v>
      </c>
      <c r="E996" s="2" t="s">
        <v>125</v>
      </c>
      <c r="F996" s="4" t="s">
        <v>126</v>
      </c>
      <c r="G996" s="4" t="s">
        <v>127</v>
      </c>
      <c r="H996" s="5">
        <v>9.1999999999999993</v>
      </c>
      <c r="I996" s="5">
        <v>10.8</v>
      </c>
      <c r="J996" s="5">
        <v>13.5</v>
      </c>
      <c r="K996" s="4" t="s">
        <v>111</v>
      </c>
      <c r="L996" s="4" t="s">
        <v>128</v>
      </c>
      <c r="M996" s="6">
        <f>IF(OR(B996="",I996=""),"",B996*I996)</f>
        <v>1587.6000000000001</v>
      </c>
      <c r="N996" s="25" t="s">
        <v>113</v>
      </c>
      <c r="O996" s="26">
        <v>7872</v>
      </c>
      <c r="P996" s="9" t="s">
        <v>1443</v>
      </c>
      <c r="Q996" s="27">
        <v>327867.99800000002</v>
      </c>
      <c r="R996" s="27">
        <v>3811569</v>
      </c>
      <c r="S996" s="23">
        <f>IF(AND(ISNUMBER(Q996),Q996&gt;0,ISNUMBER(R996),R996&gt;0),R996/Q996,"")</f>
        <v>11.625315746735367</v>
      </c>
      <c r="T996" s="9" t="s">
        <v>115</v>
      </c>
      <c r="U996" s="9" t="s">
        <v>130</v>
      </c>
      <c r="V996" s="9" t="s">
        <v>21</v>
      </c>
      <c r="W996" s="9" t="s">
        <v>117</v>
      </c>
      <c r="X996" s="23">
        <f>IF(ISNUMBER(S996),S996,IF(ISNUMBER(I996),I996,""))</f>
        <v>11.625315746735367</v>
      </c>
      <c r="Y996" t="str">
        <f>IF(ISNUMBER(S996),"2025 EIA-923 plant/group proxy",IF(ISNUMBER(I996),"Technology estimate","No thermal heat rate"))</f>
        <v>2025 EIA-923 plant/group proxy</v>
      </c>
      <c r="Z996" t="str">
        <f>IF(ISNUMBER(S996),"Review: NOT unit verified",IF(AE996="No match","No EIA match",IF(AF996="Unconfirmed","Unconfirmed EIA candidate","")))</f>
        <v>Review: NOT unit verified</v>
      </c>
      <c r="AA996" s="26">
        <v>0.81100000000000005</v>
      </c>
      <c r="AB996" t="s">
        <v>322</v>
      </c>
      <c r="AC996" t="s">
        <v>119</v>
      </c>
      <c r="AD996" s="26">
        <v>441</v>
      </c>
      <c r="AE996" t="s">
        <v>120</v>
      </c>
      <c r="AF996" t="s">
        <v>121</v>
      </c>
      <c r="AG996" s="27">
        <v>11.625299999999999</v>
      </c>
      <c r="AH996" s="34">
        <f t="shared" si="36"/>
        <v>162285.09999999998</v>
      </c>
      <c r="AI996">
        <f t="shared" si="35"/>
        <v>101344.20341501982</v>
      </c>
      <c r="AJ996" t="b" cm="1">
        <f t="array" ref="AJ996">OR(D996=$AT$2:$AT$8)</f>
        <v>0</v>
      </c>
    </row>
    <row r="997" spans="1:36" x14ac:dyDescent="0.25">
      <c r="A997" s="2" t="s">
        <v>1445</v>
      </c>
      <c r="B997" s="3">
        <v>147</v>
      </c>
      <c r="C997" s="2" t="s">
        <v>99</v>
      </c>
      <c r="D997" s="2" t="s">
        <v>81</v>
      </c>
      <c r="E997" s="2" t="s">
        <v>125</v>
      </c>
      <c r="F997" s="4" t="s">
        <v>126</v>
      </c>
      <c r="G997" s="4" t="s">
        <v>127</v>
      </c>
      <c r="H997" s="5">
        <v>9.1999999999999993</v>
      </c>
      <c r="I997" s="5">
        <v>10.8</v>
      </c>
      <c r="J997" s="5">
        <v>13.5</v>
      </c>
      <c r="K997" s="4" t="s">
        <v>111</v>
      </c>
      <c r="L997" s="4" t="s">
        <v>128</v>
      </c>
      <c r="M997" s="6">
        <f>IF(OR(B997="",I997=""),"",B997*I997)</f>
        <v>1587.6000000000001</v>
      </c>
      <c r="N997" s="25" t="s">
        <v>113</v>
      </c>
      <c r="O997" s="26">
        <v>7872</v>
      </c>
      <c r="P997" s="9" t="s">
        <v>1443</v>
      </c>
      <c r="Q997" s="27">
        <v>327867.99800000002</v>
      </c>
      <c r="R997" s="27">
        <v>3811569</v>
      </c>
      <c r="S997" s="23">
        <f>IF(AND(ISNUMBER(Q997),Q997&gt;0,ISNUMBER(R997),R997&gt;0),R997/Q997,"")</f>
        <v>11.625315746735367</v>
      </c>
      <c r="T997" s="9" t="s">
        <v>115</v>
      </c>
      <c r="U997" s="9" t="s">
        <v>130</v>
      </c>
      <c r="V997" s="9" t="s">
        <v>21</v>
      </c>
      <c r="W997" s="9" t="s">
        <v>117</v>
      </c>
      <c r="X997" s="23">
        <f>IF(ISNUMBER(S997),S997,IF(ISNUMBER(I997),I997,""))</f>
        <v>11.625315746735367</v>
      </c>
      <c r="Y997" t="str">
        <f>IF(ISNUMBER(S997),"2025 EIA-923 plant/group proxy",IF(ISNUMBER(I997),"Technology estimate","No thermal heat rate"))</f>
        <v>2025 EIA-923 plant/group proxy</v>
      </c>
      <c r="Z997" t="str">
        <f>IF(ISNUMBER(S997),"Review: NOT unit verified",IF(AE997="No match","No EIA match",IF(AF997="Unconfirmed","Unconfirmed EIA candidate","")))</f>
        <v>Review: NOT unit verified</v>
      </c>
      <c r="AA997" s="26">
        <v>0.81100000000000005</v>
      </c>
      <c r="AB997" t="s">
        <v>322</v>
      </c>
      <c r="AC997" t="s">
        <v>119</v>
      </c>
      <c r="AD997" s="26">
        <v>441</v>
      </c>
      <c r="AE997" t="s">
        <v>120</v>
      </c>
      <c r="AF997" t="s">
        <v>121</v>
      </c>
      <c r="AG997" s="27">
        <v>11.625299999999999</v>
      </c>
      <c r="AH997" s="34">
        <f t="shared" si="36"/>
        <v>162432.09999999998</v>
      </c>
      <c r="AI997">
        <f t="shared" si="35"/>
        <v>101436.00234111967</v>
      </c>
      <c r="AJ997" t="b" cm="1">
        <f t="array" ref="AJ997">OR(D997=$AT$2:$AT$8)</f>
        <v>0</v>
      </c>
    </row>
    <row r="998" spans="1:36" x14ac:dyDescent="0.25">
      <c r="A998" s="2" t="s">
        <v>295</v>
      </c>
      <c r="B998" s="3">
        <v>165</v>
      </c>
      <c r="C998" s="2" t="s">
        <v>294</v>
      </c>
      <c r="D998" s="2" t="s">
        <v>81</v>
      </c>
      <c r="E998" s="2" t="s">
        <v>125</v>
      </c>
      <c r="F998" s="4" t="s">
        <v>126</v>
      </c>
      <c r="G998" s="4" t="s">
        <v>127</v>
      </c>
      <c r="H998" s="5">
        <v>9.1999999999999993</v>
      </c>
      <c r="I998" s="5">
        <v>10.8</v>
      </c>
      <c r="J998" s="5">
        <v>13.5</v>
      </c>
      <c r="K998" s="4" t="s">
        <v>111</v>
      </c>
      <c r="L998" s="4" t="s">
        <v>128</v>
      </c>
      <c r="M998" s="6">
        <f>IF(OR(B998="",I998=""),"",B998*I998)</f>
        <v>1782.0000000000002</v>
      </c>
      <c r="N998" s="25" t="s">
        <v>113</v>
      </c>
      <c r="O998" s="26">
        <v>55164</v>
      </c>
      <c r="P998" s="9" t="s">
        <v>296</v>
      </c>
      <c r="Q998" s="27">
        <v>207288.00099999999</v>
      </c>
      <c r="R998" s="27">
        <v>2415104</v>
      </c>
      <c r="S998" s="23">
        <f>IF(AND(ISNUMBER(Q998),Q998&gt;0,ISNUMBER(R998),R998&gt;0),R998/Q998,"")</f>
        <v>11.650958995933394</v>
      </c>
      <c r="T998" s="9" t="s">
        <v>115</v>
      </c>
      <c r="U998" s="9" t="s">
        <v>130</v>
      </c>
      <c r="V998" s="9" t="s">
        <v>21</v>
      </c>
      <c r="W998" s="9" t="s">
        <v>117</v>
      </c>
      <c r="X998" s="23">
        <f>IF(ISNUMBER(S998),S998,IF(ISNUMBER(I998),I998,""))</f>
        <v>11.650958995933394</v>
      </c>
      <c r="Y998" t="str">
        <f>IF(ISNUMBER(S998),"2025 EIA-923 plant/group proxy",IF(ISNUMBER(I998),"Technology estimate","No thermal heat rate"))</f>
        <v>2025 EIA-923 plant/group proxy</v>
      </c>
      <c r="Z998" t="str">
        <f>IF(ISNUMBER(S998),"Review: NOT unit verified",IF(AE998="No match","No EIA match",IF(AF998="Unconfirmed","Unconfirmed EIA candidate","")))</f>
        <v>Review: NOT unit verified</v>
      </c>
      <c r="AA998" s="26">
        <v>1</v>
      </c>
      <c r="AB998" t="s">
        <v>266</v>
      </c>
      <c r="AC998" t="s">
        <v>297</v>
      </c>
      <c r="AD998" s="26">
        <v>495</v>
      </c>
      <c r="AE998" t="s">
        <v>120</v>
      </c>
      <c r="AF998" t="s">
        <v>121</v>
      </c>
      <c r="AG998" s="27">
        <v>11.651</v>
      </c>
      <c r="AH998" s="34">
        <f t="shared" si="36"/>
        <v>162597.09999999998</v>
      </c>
      <c r="AI998">
        <f t="shared" si="35"/>
        <v>101539.04195204809</v>
      </c>
      <c r="AJ998" t="b" cm="1">
        <f t="array" ref="AJ998">OR(D998=$AT$2:$AT$8)</f>
        <v>0</v>
      </c>
    </row>
    <row r="999" spans="1:36" x14ac:dyDescent="0.25">
      <c r="A999" s="2" t="s">
        <v>298</v>
      </c>
      <c r="B999" s="3">
        <v>165</v>
      </c>
      <c r="C999" s="2" t="s">
        <v>294</v>
      </c>
      <c r="D999" s="2" t="s">
        <v>81</v>
      </c>
      <c r="E999" s="2" t="s">
        <v>125</v>
      </c>
      <c r="F999" s="4" t="s">
        <v>126</v>
      </c>
      <c r="G999" s="4" t="s">
        <v>127</v>
      </c>
      <c r="H999" s="5">
        <v>9.1999999999999993</v>
      </c>
      <c r="I999" s="5">
        <v>10.8</v>
      </c>
      <c r="J999" s="5">
        <v>13.5</v>
      </c>
      <c r="K999" s="4" t="s">
        <v>111</v>
      </c>
      <c r="L999" s="4" t="s">
        <v>128</v>
      </c>
      <c r="M999" s="6">
        <f>IF(OR(B999="",I999=""),"",B999*I999)</f>
        <v>1782.0000000000002</v>
      </c>
      <c r="N999" s="25" t="s">
        <v>113</v>
      </c>
      <c r="O999" s="26">
        <v>55164</v>
      </c>
      <c r="P999" s="9" t="s">
        <v>296</v>
      </c>
      <c r="Q999" s="27">
        <v>207288.00099999999</v>
      </c>
      <c r="R999" s="27">
        <v>2415104</v>
      </c>
      <c r="S999" s="23">
        <f>IF(AND(ISNUMBER(Q999),Q999&gt;0,ISNUMBER(R999),R999&gt;0),R999/Q999,"")</f>
        <v>11.650958995933394</v>
      </c>
      <c r="T999" s="9" t="s">
        <v>115</v>
      </c>
      <c r="U999" s="9" t="s">
        <v>130</v>
      </c>
      <c r="V999" s="9" t="s">
        <v>21</v>
      </c>
      <c r="W999" s="9" t="s">
        <v>117</v>
      </c>
      <c r="X999" s="23">
        <f>IF(ISNUMBER(S999),S999,IF(ISNUMBER(I999),I999,""))</f>
        <v>11.650958995933394</v>
      </c>
      <c r="Y999" t="str">
        <f>IF(ISNUMBER(S999),"2025 EIA-923 plant/group proxy",IF(ISNUMBER(I999),"Technology estimate","No thermal heat rate"))</f>
        <v>2025 EIA-923 plant/group proxy</v>
      </c>
      <c r="Z999" t="str">
        <f>IF(ISNUMBER(S999),"Review: NOT unit verified",IF(AE999="No match","No EIA match",IF(AF999="Unconfirmed","Unconfirmed EIA candidate","")))</f>
        <v>Review: NOT unit verified</v>
      </c>
      <c r="AA999" s="26">
        <v>1</v>
      </c>
      <c r="AB999" t="s">
        <v>266</v>
      </c>
      <c r="AC999" t="s">
        <v>297</v>
      </c>
      <c r="AD999" s="26">
        <v>495</v>
      </c>
      <c r="AE999" t="s">
        <v>120</v>
      </c>
      <c r="AF999" t="s">
        <v>121</v>
      </c>
      <c r="AG999" s="27">
        <v>11.651</v>
      </c>
      <c r="AH999" s="34">
        <f t="shared" si="36"/>
        <v>162762.09999999998</v>
      </c>
      <c r="AI999">
        <f t="shared" si="35"/>
        <v>101642.0815629765</v>
      </c>
      <c r="AJ999" t="b" cm="1">
        <f t="array" ref="AJ999">OR(D999=$AT$2:$AT$8)</f>
        <v>0</v>
      </c>
    </row>
    <row r="1000" spans="1:36" x14ac:dyDescent="0.25">
      <c r="A1000" s="2" t="s">
        <v>299</v>
      </c>
      <c r="B1000" s="3">
        <v>165</v>
      </c>
      <c r="C1000" s="2" t="s">
        <v>294</v>
      </c>
      <c r="D1000" s="2" t="s">
        <v>81</v>
      </c>
      <c r="E1000" s="2" t="s">
        <v>125</v>
      </c>
      <c r="F1000" s="4" t="s">
        <v>126</v>
      </c>
      <c r="G1000" s="4" t="s">
        <v>127</v>
      </c>
      <c r="H1000" s="5">
        <v>9.1999999999999993</v>
      </c>
      <c r="I1000" s="5">
        <v>10.8</v>
      </c>
      <c r="J1000" s="5">
        <v>13.5</v>
      </c>
      <c r="K1000" s="4" t="s">
        <v>111</v>
      </c>
      <c r="L1000" s="4" t="s">
        <v>128</v>
      </c>
      <c r="M1000" s="6">
        <f>IF(OR(B1000="",I1000=""),"",B1000*I1000)</f>
        <v>1782.0000000000002</v>
      </c>
      <c r="N1000" s="25" t="s">
        <v>113</v>
      </c>
      <c r="O1000" s="26">
        <v>55164</v>
      </c>
      <c r="P1000" s="9" t="s">
        <v>296</v>
      </c>
      <c r="Q1000" s="27">
        <v>207288.00099999999</v>
      </c>
      <c r="R1000" s="27">
        <v>2415104</v>
      </c>
      <c r="S1000" s="23">
        <f>IF(AND(ISNUMBER(Q1000),Q1000&gt;0,ISNUMBER(R1000),R1000&gt;0),R1000/Q1000,"")</f>
        <v>11.650958995933394</v>
      </c>
      <c r="T1000" s="9" t="s">
        <v>115</v>
      </c>
      <c r="U1000" s="9" t="s">
        <v>130</v>
      </c>
      <c r="V1000" s="9" t="s">
        <v>21</v>
      </c>
      <c r="W1000" s="9" t="s">
        <v>117</v>
      </c>
      <c r="X1000" s="23">
        <f>IF(ISNUMBER(S1000),S1000,IF(ISNUMBER(I1000),I1000,""))</f>
        <v>11.650958995933394</v>
      </c>
      <c r="Y1000" t="str">
        <f>IF(ISNUMBER(S1000),"2025 EIA-923 plant/group proxy",IF(ISNUMBER(I1000),"Technology estimate","No thermal heat rate"))</f>
        <v>2025 EIA-923 plant/group proxy</v>
      </c>
      <c r="Z1000" t="str">
        <f>IF(ISNUMBER(S1000),"Review: NOT unit verified",IF(AE1000="No match","No EIA match",IF(AF1000="Unconfirmed","Unconfirmed EIA candidate","")))</f>
        <v>Review: NOT unit verified</v>
      </c>
      <c r="AA1000" s="26">
        <v>1</v>
      </c>
      <c r="AB1000" t="s">
        <v>266</v>
      </c>
      <c r="AC1000" t="s">
        <v>297</v>
      </c>
      <c r="AD1000" s="26">
        <v>495</v>
      </c>
      <c r="AE1000" t="s">
        <v>120</v>
      </c>
      <c r="AF1000" t="s">
        <v>121</v>
      </c>
      <c r="AG1000" s="27">
        <v>11.651</v>
      </c>
      <c r="AH1000" s="34">
        <f t="shared" si="36"/>
        <v>162927.09999999998</v>
      </c>
      <c r="AI1000">
        <f t="shared" si="35"/>
        <v>101745.1211739049</v>
      </c>
      <c r="AJ1000" t="b" cm="1">
        <f t="array" ref="AJ1000">OR(D1000=$AT$2:$AT$8)</f>
        <v>0</v>
      </c>
    </row>
    <row r="1001" spans="1:36" x14ac:dyDescent="0.25">
      <c r="A1001" s="2" t="s">
        <v>318</v>
      </c>
      <c r="B1001" s="3">
        <v>4.3</v>
      </c>
      <c r="C1001" s="2" t="s">
        <v>319</v>
      </c>
      <c r="D1001" s="2" t="s">
        <v>319</v>
      </c>
      <c r="E1001" s="2" t="s">
        <v>150</v>
      </c>
      <c r="F1001" s="4" t="s">
        <v>151</v>
      </c>
      <c r="G1001" s="4" t="s">
        <v>152</v>
      </c>
      <c r="H1001" s="5">
        <v>9</v>
      </c>
      <c r="I1001" s="5">
        <v>12</v>
      </c>
      <c r="J1001" s="5">
        <v>16</v>
      </c>
      <c r="K1001" s="4" t="s">
        <v>111</v>
      </c>
      <c r="L1001" s="4" t="s">
        <v>153</v>
      </c>
      <c r="M1001" s="6">
        <f>IF(OR(B1001="",I1001=""),"",B1001*I1001)</f>
        <v>51.599999999999994</v>
      </c>
      <c r="N1001" s="28" t="s">
        <v>113</v>
      </c>
      <c r="O1001" s="26">
        <v>61145</v>
      </c>
      <c r="P1001" s="9" t="s">
        <v>320</v>
      </c>
      <c r="Q1001" s="27">
        <v>26363</v>
      </c>
      <c r="R1001" s="27">
        <v>309357</v>
      </c>
      <c r="S1001" s="23">
        <f>IF(AND(ISNUMBER(Q1001),Q1001&gt;0,ISNUMBER(R1001),R1001&gt;0),R1001/Q1001,"")</f>
        <v>11.734514281379205</v>
      </c>
      <c r="T1001" s="9" t="s">
        <v>115</v>
      </c>
      <c r="U1001" s="9" t="s">
        <v>321</v>
      </c>
      <c r="V1001" s="9" t="s">
        <v>21</v>
      </c>
      <c r="W1001" s="9" t="s">
        <v>142</v>
      </c>
      <c r="X1001" s="23">
        <f>IF(ISNUMBER(S1001),S1001,IF(ISNUMBER(I1001),I1001,""))</f>
        <v>11.734514281379205</v>
      </c>
      <c r="Y1001" t="str">
        <f>IF(ISNUMBER(S1001),"2025 EIA-923 plant/group proxy",IF(ISNUMBER(I1001),"Technology estimate","No thermal heat rate"))</f>
        <v>2025 EIA-923 plant/group proxy</v>
      </c>
      <c r="Z1001" t="str">
        <f>IF(ISNUMBER(S1001),"Review: NOT unit verified",IF(AE1001="No match","No EIA match",IF(AF1001="Unconfirmed","Unconfirmed EIA candidate","")))</f>
        <v>Review: NOT unit verified</v>
      </c>
      <c r="AA1001" s="26">
        <v>0.71030000000000004</v>
      </c>
      <c r="AB1001" t="s">
        <v>322</v>
      </c>
      <c r="AC1001" t="s">
        <v>323</v>
      </c>
      <c r="AD1001" s="26">
        <v>4.5</v>
      </c>
      <c r="AE1001" t="s">
        <v>120</v>
      </c>
      <c r="AF1001" t="s">
        <v>145</v>
      </c>
      <c r="AG1001" s="27">
        <v>11.734500000000001</v>
      </c>
      <c r="AH1001" s="34">
        <f t="shared" si="36"/>
        <v>162931.39999999997</v>
      </c>
      <c r="AI1001">
        <f t="shared" si="35"/>
        <v>101747.80644861395</v>
      </c>
      <c r="AJ1001" t="b" cm="1">
        <f t="array" ref="AJ1001">OR(D1001=$AT$2:$AT$8)</f>
        <v>0</v>
      </c>
    </row>
    <row r="1002" spans="1:36" x14ac:dyDescent="0.25">
      <c r="A1002" s="2" t="s">
        <v>1265</v>
      </c>
      <c r="B1002" s="3">
        <v>2.5</v>
      </c>
      <c r="C1002" s="2" t="s">
        <v>147</v>
      </c>
      <c r="D1002" s="2" t="s">
        <v>147</v>
      </c>
      <c r="E1002" s="2" t="s">
        <v>194</v>
      </c>
      <c r="F1002" s="4" t="s">
        <v>195</v>
      </c>
      <c r="G1002" s="4" t="s">
        <v>196</v>
      </c>
      <c r="H1002" s="5">
        <v>8</v>
      </c>
      <c r="I1002" s="5">
        <v>9.5</v>
      </c>
      <c r="J1002" s="5">
        <v>12</v>
      </c>
      <c r="K1002" s="4" t="s">
        <v>111</v>
      </c>
      <c r="L1002" s="4" t="s">
        <v>197</v>
      </c>
      <c r="M1002" s="6">
        <f>IF(OR(B1002="",I1002=""),"",B1002*I1002)</f>
        <v>23.75</v>
      </c>
      <c r="N1002" s="28" t="s">
        <v>113</v>
      </c>
      <c r="O1002" s="26">
        <v>3138</v>
      </c>
      <c r="P1002" s="9" t="s">
        <v>1262</v>
      </c>
      <c r="Q1002" s="27">
        <v>62</v>
      </c>
      <c r="R1002" s="27">
        <v>732</v>
      </c>
      <c r="S1002" s="23">
        <f>IF(AND(ISNUMBER(Q1002),Q1002&gt;0,ISNUMBER(R1002),R1002&gt;0),R1002/Q1002,"")</f>
        <v>11.806451612903226</v>
      </c>
      <c r="T1002" s="9" t="s">
        <v>115</v>
      </c>
      <c r="U1002" s="9" t="s">
        <v>199</v>
      </c>
      <c r="V1002" s="9" t="s">
        <v>21</v>
      </c>
      <c r="W1002" s="9" t="s">
        <v>142</v>
      </c>
      <c r="X1002" s="23">
        <f>IF(ISNUMBER(S1002),S1002,IF(ISNUMBER(I1002),I1002,""))</f>
        <v>11.806451612903226</v>
      </c>
      <c r="Y1002" t="str">
        <f>IF(ISNUMBER(S1002),"2025 EIA-923 plant/group proxy",IF(ISNUMBER(I1002),"Technology estimate","No thermal heat rate"))</f>
        <v>2025 EIA-923 plant/group proxy</v>
      </c>
      <c r="Z1002" t="str">
        <f>IF(ISNUMBER(S1002),"Review: NOT unit verified",IF(AE1002="No match","No EIA match",IF(AF1002="Unconfirmed","Unconfirmed EIA candidate","")))</f>
        <v>Review: NOT unit verified</v>
      </c>
      <c r="AA1002" s="26">
        <v>0.75</v>
      </c>
      <c r="AB1002" t="s">
        <v>143</v>
      </c>
      <c r="AC1002" t="s">
        <v>1266</v>
      </c>
      <c r="AD1002" s="26">
        <v>5</v>
      </c>
      <c r="AE1002" t="s">
        <v>120</v>
      </c>
      <c r="AF1002" t="s">
        <v>145</v>
      </c>
      <c r="AG1002" s="27">
        <v>11.8065</v>
      </c>
      <c r="AH1002" s="34">
        <f t="shared" si="36"/>
        <v>162933.89999999997</v>
      </c>
      <c r="AI1002">
        <f t="shared" si="35"/>
        <v>101749.36765484013</v>
      </c>
      <c r="AJ1002" t="b" cm="1">
        <f t="array" ref="AJ1002">OR(D1002=$AT$2:$AT$8)</f>
        <v>0</v>
      </c>
    </row>
    <row r="1003" spans="1:36" x14ac:dyDescent="0.25">
      <c r="A1003" s="2" t="s">
        <v>304</v>
      </c>
      <c r="B1003" s="3">
        <v>635</v>
      </c>
      <c r="C1003" s="2" t="s">
        <v>305</v>
      </c>
      <c r="D1003" s="2" t="s">
        <v>305</v>
      </c>
      <c r="E1003" s="2" t="s">
        <v>109</v>
      </c>
      <c r="F1003" s="4" t="s">
        <v>109</v>
      </c>
      <c r="G1003" s="4" t="s">
        <v>110</v>
      </c>
      <c r="H1003" s="5">
        <v>9</v>
      </c>
      <c r="I1003" s="5">
        <v>10.3</v>
      </c>
      <c r="J1003" s="5">
        <v>12</v>
      </c>
      <c r="K1003" s="4" t="s">
        <v>111</v>
      </c>
      <c r="L1003" s="4" t="s">
        <v>112</v>
      </c>
      <c r="M1003" s="6">
        <f>IF(OR(B1003="",I1003=""),"",B1003*I1003)</f>
        <v>6540.5</v>
      </c>
      <c r="N1003" s="25" t="s">
        <v>113</v>
      </c>
      <c r="O1003" s="26">
        <v>602</v>
      </c>
      <c r="P1003" s="9" t="s">
        <v>306</v>
      </c>
      <c r="Q1003" s="27">
        <v>2293558.0410000002</v>
      </c>
      <c r="R1003" s="27">
        <v>27255313</v>
      </c>
      <c r="S1003" s="23">
        <f>IF(AND(ISNUMBER(Q1003),Q1003&gt;0,ISNUMBER(R1003),R1003&gt;0),R1003/Q1003,"")</f>
        <v>11.883419783925145</v>
      </c>
      <c r="T1003" s="9" t="s">
        <v>115</v>
      </c>
      <c r="U1003" s="9" t="s">
        <v>116</v>
      </c>
      <c r="V1003" s="9" t="s">
        <v>21</v>
      </c>
      <c r="W1003" s="9" t="s">
        <v>240</v>
      </c>
      <c r="X1003" s="23">
        <f>IF(ISNUMBER(S1003),S1003,IF(ISNUMBER(I1003),I1003,""))</f>
        <v>11.883419783925145</v>
      </c>
      <c r="Y1003" t="str">
        <f>IF(ISNUMBER(S1003),"2025 EIA-923 plant/group proxy",IF(ISNUMBER(I1003),"Technology estimate","No thermal heat rate"))</f>
        <v>2025 EIA-923 plant/group proxy</v>
      </c>
      <c r="Z1003" t="str">
        <f>IF(ISNUMBER(S1003),"Review: NOT unit verified",IF(AE1003="No match","No EIA match",IF(AF1003="Unconfirmed","Unconfirmed EIA candidate","")))</f>
        <v>Review: NOT unit verified</v>
      </c>
      <c r="AA1003" s="26">
        <v>1</v>
      </c>
      <c r="AB1003" t="s">
        <v>307</v>
      </c>
      <c r="AC1003" t="s">
        <v>308</v>
      </c>
      <c r="AD1003" s="26">
        <v>1273</v>
      </c>
      <c r="AE1003" t="s">
        <v>120</v>
      </c>
      <c r="AF1003" t="s">
        <v>121</v>
      </c>
      <c r="AG1003" s="27">
        <v>11.8834</v>
      </c>
      <c r="AH1003" s="34">
        <f t="shared" si="36"/>
        <v>163568.89999999997</v>
      </c>
      <c r="AI1003">
        <f t="shared" si="35"/>
        <v>102145.9140362919</v>
      </c>
      <c r="AJ1003" t="b" cm="1">
        <f t="array" ref="AJ1003">OR(D1003=$AT$2:$AT$8)</f>
        <v>1</v>
      </c>
    </row>
    <row r="1004" spans="1:36" x14ac:dyDescent="0.25">
      <c r="A1004" s="2" t="s">
        <v>309</v>
      </c>
      <c r="B1004" s="3">
        <v>638</v>
      </c>
      <c r="C1004" s="2" t="s">
        <v>305</v>
      </c>
      <c r="D1004" s="2" t="s">
        <v>305</v>
      </c>
      <c r="E1004" s="2" t="s">
        <v>109</v>
      </c>
      <c r="F1004" s="4" t="s">
        <v>109</v>
      </c>
      <c r="G1004" s="4" t="s">
        <v>110</v>
      </c>
      <c r="H1004" s="5">
        <v>9</v>
      </c>
      <c r="I1004" s="5">
        <v>10.3</v>
      </c>
      <c r="J1004" s="5">
        <v>12</v>
      </c>
      <c r="K1004" s="4" t="s">
        <v>111</v>
      </c>
      <c r="L1004" s="4" t="s">
        <v>112</v>
      </c>
      <c r="M1004" s="6">
        <f>IF(OR(B1004="",I1004=""),"",B1004*I1004)</f>
        <v>6571.4000000000005</v>
      </c>
      <c r="N1004" s="25" t="s">
        <v>113</v>
      </c>
      <c r="O1004" s="26">
        <v>602</v>
      </c>
      <c r="P1004" s="9" t="s">
        <v>306</v>
      </c>
      <c r="Q1004" s="27">
        <v>2293558.0410000002</v>
      </c>
      <c r="R1004" s="27">
        <v>27255313</v>
      </c>
      <c r="S1004" s="23">
        <f>IF(AND(ISNUMBER(Q1004),Q1004&gt;0,ISNUMBER(R1004),R1004&gt;0),R1004/Q1004,"")</f>
        <v>11.883419783925145</v>
      </c>
      <c r="T1004" s="9" t="s">
        <v>115</v>
      </c>
      <c r="U1004" s="9" t="s">
        <v>116</v>
      </c>
      <c r="V1004" s="9" t="s">
        <v>21</v>
      </c>
      <c r="W1004" s="9" t="s">
        <v>240</v>
      </c>
      <c r="X1004" s="23">
        <f>IF(ISNUMBER(S1004),S1004,IF(ISNUMBER(I1004),I1004,""))</f>
        <v>11.883419783925145</v>
      </c>
      <c r="Y1004" t="str">
        <f>IF(ISNUMBER(S1004),"2025 EIA-923 plant/group proxy",IF(ISNUMBER(I1004),"Technology estimate","No thermal heat rate"))</f>
        <v>2025 EIA-923 plant/group proxy</v>
      </c>
      <c r="Z1004" t="str">
        <f>IF(ISNUMBER(S1004),"Review: NOT unit verified",IF(AE1004="No match","No EIA match",IF(AF1004="Unconfirmed","Unconfirmed EIA candidate","")))</f>
        <v>Review: NOT unit verified</v>
      </c>
      <c r="AA1004" s="26">
        <v>1</v>
      </c>
      <c r="AB1004" t="s">
        <v>307</v>
      </c>
      <c r="AC1004" t="s">
        <v>308</v>
      </c>
      <c r="AD1004" s="26">
        <v>1273</v>
      </c>
      <c r="AE1004" t="s">
        <v>120</v>
      </c>
      <c r="AF1004" t="s">
        <v>121</v>
      </c>
      <c r="AG1004" s="27">
        <v>11.8834</v>
      </c>
      <c r="AH1004" s="34">
        <f t="shared" si="36"/>
        <v>164206.89999999997</v>
      </c>
      <c r="AI1004">
        <f t="shared" si="35"/>
        <v>102544.33386521509</v>
      </c>
      <c r="AJ1004" t="b" cm="1">
        <f t="array" ref="AJ1004">OR(D1004=$AT$2:$AT$8)</f>
        <v>1</v>
      </c>
    </row>
    <row r="1005" spans="1:36" x14ac:dyDescent="0.25">
      <c r="A1005" s="2" t="s">
        <v>1133</v>
      </c>
      <c r="B1005" s="3">
        <v>3.3</v>
      </c>
      <c r="C1005" s="2" t="s">
        <v>147</v>
      </c>
      <c r="D1005" s="2" t="s">
        <v>147</v>
      </c>
      <c r="E1005" s="2" t="s">
        <v>150</v>
      </c>
      <c r="F1005" s="4" t="s">
        <v>151</v>
      </c>
      <c r="G1005" s="4" t="s">
        <v>152</v>
      </c>
      <c r="H1005" s="5">
        <v>9</v>
      </c>
      <c r="I1005" s="5">
        <v>12</v>
      </c>
      <c r="J1005" s="5">
        <v>16</v>
      </c>
      <c r="K1005" s="4" t="s">
        <v>111</v>
      </c>
      <c r="L1005" s="4" t="s">
        <v>153</v>
      </c>
      <c r="M1005" s="6">
        <f>IF(OR(B1005="",I1005=""),"",B1005*I1005)</f>
        <v>39.599999999999994</v>
      </c>
      <c r="N1005" s="28" t="s">
        <v>113</v>
      </c>
      <c r="O1005" s="26">
        <v>57411</v>
      </c>
      <c r="P1005" s="9" t="s">
        <v>1134</v>
      </c>
      <c r="Q1005" s="27">
        <v>27413</v>
      </c>
      <c r="R1005" s="27">
        <v>327802</v>
      </c>
      <c r="S1005" s="23">
        <f>IF(AND(ISNUMBER(Q1005),Q1005&gt;0,ISNUMBER(R1005),R1005&gt;0),R1005/Q1005,"")</f>
        <v>11.957903184620436</v>
      </c>
      <c r="T1005" s="9" t="s">
        <v>115</v>
      </c>
      <c r="U1005" s="9" t="s">
        <v>321</v>
      </c>
      <c r="V1005" s="9" t="s">
        <v>21</v>
      </c>
      <c r="W1005" s="9" t="s">
        <v>142</v>
      </c>
      <c r="X1005" s="23">
        <f>IF(ISNUMBER(S1005),S1005,IF(ISNUMBER(I1005),I1005,""))</f>
        <v>11.957903184620436</v>
      </c>
      <c r="Y1005" t="str">
        <f>IF(ISNUMBER(S1005),"2025 EIA-923 plant/group proxy",IF(ISNUMBER(I1005),"Technology estimate","No thermal heat rate"))</f>
        <v>2025 EIA-923 plant/group proxy</v>
      </c>
      <c r="Z1005" t="str">
        <f>IF(ISNUMBER(S1005),"Review: NOT unit verified",IF(AE1005="No match","No EIA match",IF(AF1005="Unconfirmed","Unconfirmed EIA candidate","")))</f>
        <v>Review: NOT unit verified</v>
      </c>
      <c r="AA1005" s="26">
        <v>0.66659999999999997</v>
      </c>
      <c r="AB1005" t="s">
        <v>322</v>
      </c>
      <c r="AC1005" t="s">
        <v>805</v>
      </c>
      <c r="AD1005" s="26">
        <v>4</v>
      </c>
      <c r="AE1005" t="s">
        <v>120</v>
      </c>
      <c r="AF1005" t="s">
        <v>145</v>
      </c>
      <c r="AG1005" s="27">
        <v>11.9579</v>
      </c>
      <c r="AH1005" s="34">
        <f t="shared" si="36"/>
        <v>164210.19999999995</v>
      </c>
      <c r="AI1005">
        <f t="shared" si="35"/>
        <v>102546.39465743364</v>
      </c>
      <c r="AJ1005" t="b" cm="1">
        <f t="array" ref="AJ1005">OR(D1005=$AT$2:$AT$8)</f>
        <v>0</v>
      </c>
    </row>
    <row r="1006" spans="1:36" x14ac:dyDescent="0.25">
      <c r="A1006" s="2" t="s">
        <v>149</v>
      </c>
      <c r="B1006" s="3">
        <v>4</v>
      </c>
      <c r="C1006" s="2" t="s">
        <v>80</v>
      </c>
      <c r="D1006" s="2" t="s">
        <v>81</v>
      </c>
      <c r="E1006" s="2" t="s">
        <v>150</v>
      </c>
      <c r="F1006" s="4" t="s">
        <v>151</v>
      </c>
      <c r="G1006" s="4" t="s">
        <v>152</v>
      </c>
      <c r="H1006" s="5">
        <v>9</v>
      </c>
      <c r="I1006" s="5">
        <v>12</v>
      </c>
      <c r="J1006" s="5">
        <v>16</v>
      </c>
      <c r="K1006" s="4" t="s">
        <v>111</v>
      </c>
      <c r="L1006" s="4" t="s">
        <v>153</v>
      </c>
      <c r="M1006" s="6">
        <f>IF(OR(B1006="",I1006=""),"",B1006*I1006)</f>
        <v>48</v>
      </c>
      <c r="N1006" s="29" t="s">
        <v>154</v>
      </c>
      <c r="O1006" s="9"/>
      <c r="P1006" s="9"/>
      <c r="Q1006" s="22"/>
      <c r="R1006" s="22"/>
      <c r="S1006" s="23" t="str">
        <f>IF(AND(ISNUMBER(Q1006),Q1006&gt;0,ISNUMBER(R1006),R1006&gt;0),R1006/Q1006,"")</f>
        <v/>
      </c>
      <c r="T1006" s="9"/>
      <c r="U1006" s="9"/>
      <c r="V1006" s="9"/>
      <c r="W1006" s="9" t="s">
        <v>155</v>
      </c>
      <c r="X1006" s="23">
        <f>IF(ISNUMBER(S1006),S1006,IF(ISNUMBER(I1006),I1006,""))</f>
        <v>12</v>
      </c>
      <c r="Y1006" t="str">
        <f>IF(ISNUMBER(S1006),"2025 EIA-923 plant/group proxy",IF(ISNUMBER(I1006),"Technology estimate","No thermal heat rate"))</f>
        <v>Technology estimate</v>
      </c>
      <c r="Z1006" t="str">
        <f>IF(ISNUMBER(S1006),"Review: NOT unit verified",IF(AE1006="No match","No EIA match",IF(AF1006="Unconfirmed","Unconfirmed EIA candidate","")))</f>
        <v>Unconfirmed EIA candidate</v>
      </c>
      <c r="AA1006" s="26">
        <v>0.4375</v>
      </c>
      <c r="AB1006" t="s">
        <v>143</v>
      </c>
      <c r="AC1006" t="s">
        <v>156</v>
      </c>
      <c r="AD1006" s="26">
        <v>4.8</v>
      </c>
      <c r="AE1006" t="s">
        <v>157</v>
      </c>
      <c r="AF1006" t="s">
        <v>158</v>
      </c>
      <c r="AG1006" s="24">
        <f>IF(ISBLANK(S1006),S1006,I1006)</f>
        <v>12</v>
      </c>
      <c r="AH1006" s="34">
        <f t="shared" si="36"/>
        <v>164214.19999999995</v>
      </c>
      <c r="AI1006">
        <f t="shared" si="35"/>
        <v>102548.89258739554</v>
      </c>
      <c r="AJ1006" t="b" cm="1">
        <f t="array" ref="AJ1006">OR(D1006=$AT$2:$AT$8)</f>
        <v>0</v>
      </c>
    </row>
    <row r="1007" spans="1:36" x14ac:dyDescent="0.25">
      <c r="A1007" s="2" t="s">
        <v>248</v>
      </c>
      <c r="B1007" s="3">
        <v>4.8</v>
      </c>
      <c r="C1007" s="2" t="s">
        <v>99</v>
      </c>
      <c r="D1007" s="2" t="s">
        <v>81</v>
      </c>
      <c r="E1007" s="2" t="s">
        <v>150</v>
      </c>
      <c r="F1007" s="4" t="s">
        <v>151</v>
      </c>
      <c r="G1007" s="4" t="s">
        <v>152</v>
      </c>
      <c r="H1007" s="5">
        <v>9</v>
      </c>
      <c r="I1007" s="5">
        <v>12</v>
      </c>
      <c r="J1007" s="5">
        <v>16</v>
      </c>
      <c r="K1007" s="4" t="s">
        <v>111</v>
      </c>
      <c r="L1007" s="4" t="s">
        <v>153</v>
      </c>
      <c r="M1007" s="6">
        <f>IF(OR(B1007="",I1007=""),"",B1007*I1007)</f>
        <v>57.599999999999994</v>
      </c>
      <c r="N1007" s="29" t="s">
        <v>154</v>
      </c>
      <c r="O1007" s="9"/>
      <c r="P1007" s="9"/>
      <c r="Q1007" s="22"/>
      <c r="R1007" s="22"/>
      <c r="S1007" s="23" t="str">
        <f>IF(AND(ISNUMBER(Q1007),Q1007&gt;0,ISNUMBER(R1007),R1007&gt;0),R1007/Q1007,"")</f>
        <v/>
      </c>
      <c r="T1007" s="9"/>
      <c r="U1007" s="9"/>
      <c r="V1007" s="9"/>
      <c r="W1007" s="9" t="s">
        <v>249</v>
      </c>
      <c r="X1007" s="23">
        <f>IF(ISNUMBER(S1007),S1007,IF(ISNUMBER(I1007),I1007,""))</f>
        <v>12</v>
      </c>
      <c r="Y1007" t="str">
        <f>IF(ISNUMBER(S1007),"2025 EIA-923 plant/group proxy",IF(ISNUMBER(I1007),"Technology estimate","No thermal heat rate"))</f>
        <v>Technology estimate</v>
      </c>
      <c r="Z1007" t="str">
        <f>IF(ISNUMBER(S1007),"Review: NOT unit verified",IF(AE1007="No match","No EIA match",IF(AF1007="Unconfirmed","Unconfirmed EIA candidate","")))</f>
        <v>Unconfirmed EIA candidate</v>
      </c>
      <c r="AA1007" s="26">
        <v>0.41120000000000001</v>
      </c>
      <c r="AB1007" t="s">
        <v>250</v>
      </c>
      <c r="AC1007" t="s">
        <v>251</v>
      </c>
      <c r="AD1007" s="26">
        <v>4.5999999999999996</v>
      </c>
      <c r="AE1007" t="s">
        <v>157</v>
      </c>
      <c r="AF1007" t="s">
        <v>158</v>
      </c>
      <c r="AG1007" s="24">
        <f>IF(ISBLANK(S1007),S1007,I1007)</f>
        <v>12</v>
      </c>
      <c r="AH1007" s="34">
        <f t="shared" si="36"/>
        <v>164218.99999999994</v>
      </c>
      <c r="AI1007">
        <f t="shared" si="35"/>
        <v>102551.89010334983</v>
      </c>
      <c r="AJ1007" t="b" cm="1">
        <f t="array" ref="AJ1007">OR(D1007=$AT$2:$AT$8)</f>
        <v>0</v>
      </c>
    </row>
    <row r="1008" spans="1:36" x14ac:dyDescent="0.25">
      <c r="A1008" s="2" t="s">
        <v>260</v>
      </c>
      <c r="B1008" s="3">
        <v>4.5</v>
      </c>
      <c r="C1008" s="2" t="s">
        <v>78</v>
      </c>
      <c r="D1008" s="2" t="s">
        <v>78</v>
      </c>
      <c r="E1008" s="2" t="s">
        <v>150</v>
      </c>
      <c r="F1008" s="4" t="s">
        <v>151</v>
      </c>
      <c r="G1008" s="4" t="s">
        <v>152</v>
      </c>
      <c r="H1008" s="5">
        <v>9</v>
      </c>
      <c r="I1008" s="5">
        <v>12</v>
      </c>
      <c r="J1008" s="5">
        <v>16</v>
      </c>
      <c r="K1008" s="4" t="s">
        <v>111</v>
      </c>
      <c r="L1008" s="4" t="s">
        <v>153</v>
      </c>
      <c r="M1008" s="6">
        <f>IF(OR(B1008="",I1008=""),"",B1008*I1008)</f>
        <v>54</v>
      </c>
      <c r="N1008" s="29" t="s">
        <v>154</v>
      </c>
      <c r="O1008" s="9"/>
      <c r="P1008" s="9"/>
      <c r="Q1008" s="22"/>
      <c r="R1008" s="22"/>
      <c r="S1008" s="23" t="str">
        <f>IF(AND(ISNUMBER(Q1008),Q1008&gt;0,ISNUMBER(R1008),R1008&gt;0),R1008/Q1008,"")</f>
        <v/>
      </c>
      <c r="T1008" s="9"/>
      <c r="U1008" s="9"/>
      <c r="V1008" s="9"/>
      <c r="W1008" s="9" t="s">
        <v>261</v>
      </c>
      <c r="X1008" s="23">
        <f>IF(ISNUMBER(S1008),S1008,IF(ISNUMBER(I1008),I1008,""))</f>
        <v>12</v>
      </c>
      <c r="Y1008" t="str">
        <f>IF(ISNUMBER(S1008),"2025 EIA-923 plant/group proxy",IF(ISNUMBER(I1008),"Technology estimate","No thermal heat rate"))</f>
        <v>Technology estimate</v>
      </c>
      <c r="Z1008" t="str">
        <f>IF(ISNUMBER(S1008),"Review: NOT unit verified",IF(AE1008="No match","No EIA match",IF(AF1008="Unconfirmed","Unconfirmed EIA candidate","")))</f>
        <v>Unconfirmed EIA candidate</v>
      </c>
      <c r="AA1008" s="26">
        <v>0.44280000000000003</v>
      </c>
      <c r="AB1008" t="s">
        <v>201</v>
      </c>
      <c r="AC1008" t="s">
        <v>156</v>
      </c>
      <c r="AD1008" s="26">
        <v>4.8</v>
      </c>
      <c r="AE1008" t="s">
        <v>157</v>
      </c>
      <c r="AF1008" t="s">
        <v>158</v>
      </c>
      <c r="AG1008" s="24">
        <f>IF(ISBLANK(S1008),S1008,I1008)</f>
        <v>12</v>
      </c>
      <c r="AH1008" s="34">
        <f t="shared" si="36"/>
        <v>164223.49999999994</v>
      </c>
      <c r="AI1008">
        <f t="shared" si="35"/>
        <v>102554.70027455696</v>
      </c>
      <c r="AJ1008" t="b" cm="1">
        <f t="array" ref="AJ1008">OR(D1008=$AT$2:$AT$8)</f>
        <v>1</v>
      </c>
    </row>
    <row r="1009" spans="1:36" x14ac:dyDescent="0.25">
      <c r="A1009" s="2" t="s">
        <v>314</v>
      </c>
      <c r="B1009" s="3">
        <v>7</v>
      </c>
      <c r="C1009" s="2" t="s">
        <v>136</v>
      </c>
      <c r="D1009" s="2" t="s">
        <v>136</v>
      </c>
      <c r="E1009" s="2" t="s">
        <v>150</v>
      </c>
      <c r="F1009" s="4" t="s">
        <v>151</v>
      </c>
      <c r="G1009" s="4" t="s">
        <v>152</v>
      </c>
      <c r="H1009" s="5">
        <v>9</v>
      </c>
      <c r="I1009" s="5">
        <v>12</v>
      </c>
      <c r="J1009" s="5">
        <v>16</v>
      </c>
      <c r="K1009" s="4" t="s">
        <v>111</v>
      </c>
      <c r="L1009" s="4" t="s">
        <v>153</v>
      </c>
      <c r="M1009" s="6">
        <f>IF(OR(B1009="",I1009=""),"",B1009*I1009)</f>
        <v>84</v>
      </c>
      <c r="N1009" s="29" t="s">
        <v>154</v>
      </c>
      <c r="O1009" s="9"/>
      <c r="P1009" s="9"/>
      <c r="Q1009" s="22"/>
      <c r="R1009" s="22"/>
      <c r="S1009" s="23" t="str">
        <f>IF(AND(ISNUMBER(Q1009),Q1009&gt;0,ISNUMBER(R1009),R1009&gt;0),R1009/Q1009,"")</f>
        <v/>
      </c>
      <c r="T1009" s="9"/>
      <c r="U1009" s="9"/>
      <c r="V1009" s="9"/>
      <c r="W1009" s="9" t="s">
        <v>315</v>
      </c>
      <c r="X1009" s="23">
        <f>IF(ISNUMBER(S1009),S1009,IF(ISNUMBER(I1009),I1009,""))</f>
        <v>12</v>
      </c>
      <c r="Y1009" t="str">
        <f>IF(ISNUMBER(S1009),"2025 EIA-923 plant/group proxy",IF(ISNUMBER(I1009),"Technology estimate","No thermal heat rate"))</f>
        <v>Technology estimate</v>
      </c>
      <c r="Z1009" t="str">
        <f>IF(ISNUMBER(S1009),"Review: NOT unit verified",IF(AE1009="No match","No EIA match",IF(AF1009="Unconfirmed","Unconfirmed EIA candidate","")))</f>
        <v>Unconfirmed EIA candidate</v>
      </c>
      <c r="AA1009" s="26">
        <v>0.40429999999999999</v>
      </c>
      <c r="AB1009" t="s">
        <v>143</v>
      </c>
      <c r="AC1009" t="s">
        <v>316</v>
      </c>
      <c r="AD1009" s="26">
        <v>14.4</v>
      </c>
      <c r="AE1009" t="s">
        <v>157</v>
      </c>
      <c r="AF1009" t="s">
        <v>158</v>
      </c>
      <c r="AG1009" s="24">
        <f>IF(ISBLANK(S1009),S1009,I1009)</f>
        <v>12</v>
      </c>
      <c r="AH1009" s="34">
        <f t="shared" si="36"/>
        <v>164230.49999999994</v>
      </c>
      <c r="AI1009">
        <f t="shared" si="35"/>
        <v>102559.07165199029</v>
      </c>
      <c r="AJ1009" t="b" cm="1">
        <f t="array" ref="AJ1009">OR(D1009=$AT$2:$AT$8)</f>
        <v>0</v>
      </c>
    </row>
    <row r="1010" spans="1:36" x14ac:dyDescent="0.25">
      <c r="A1010" s="2" t="s">
        <v>486</v>
      </c>
      <c r="B1010" s="3">
        <v>5.6</v>
      </c>
      <c r="C1010" s="2" t="s">
        <v>86</v>
      </c>
      <c r="D1010" s="2" t="s">
        <v>76</v>
      </c>
      <c r="E1010" s="2" t="s">
        <v>150</v>
      </c>
      <c r="F1010" s="4" t="s">
        <v>151</v>
      </c>
      <c r="G1010" s="4" t="s">
        <v>152</v>
      </c>
      <c r="H1010" s="5">
        <v>9</v>
      </c>
      <c r="I1010" s="5">
        <v>12</v>
      </c>
      <c r="J1010" s="5">
        <v>16</v>
      </c>
      <c r="K1010" s="4" t="s">
        <v>111</v>
      </c>
      <c r="L1010" s="4" t="s">
        <v>153</v>
      </c>
      <c r="M1010" s="6">
        <f>IF(OR(B1010="",I1010=""),"",B1010*I1010)</f>
        <v>67.199999999999989</v>
      </c>
      <c r="N1010" s="29" t="s">
        <v>154</v>
      </c>
      <c r="O1010" s="9"/>
      <c r="P1010" s="9"/>
      <c r="Q1010" s="22"/>
      <c r="R1010" s="22"/>
      <c r="S1010" s="23" t="str">
        <f>IF(AND(ISNUMBER(Q1010),Q1010&gt;0,ISNUMBER(R1010),R1010&gt;0),R1010/Q1010,"")</f>
        <v/>
      </c>
      <c r="T1010" s="9"/>
      <c r="U1010" s="9"/>
      <c r="V1010" s="9"/>
      <c r="W1010" s="9" t="s">
        <v>487</v>
      </c>
      <c r="X1010" s="23">
        <f>IF(ISNUMBER(S1010),S1010,IF(ISNUMBER(I1010),I1010,""))</f>
        <v>12</v>
      </c>
      <c r="Y1010" t="str">
        <f>IF(ISNUMBER(S1010),"2025 EIA-923 plant/group proxy",IF(ISNUMBER(I1010),"Technology estimate","No thermal heat rate"))</f>
        <v>Technology estimate</v>
      </c>
      <c r="Z1010" t="str">
        <f>IF(ISNUMBER(S1010),"Review: NOT unit verified",IF(AE1010="No match","No EIA match",IF(AF1010="Unconfirmed","Unconfirmed EIA candidate","")))</f>
        <v>Unconfirmed EIA candidate</v>
      </c>
      <c r="AA1010" s="26">
        <v>0.39610000000000001</v>
      </c>
      <c r="AB1010" t="s">
        <v>143</v>
      </c>
      <c r="AC1010" t="s">
        <v>488</v>
      </c>
      <c r="AD1010" s="26">
        <v>2.5</v>
      </c>
      <c r="AE1010" t="s">
        <v>157</v>
      </c>
      <c r="AF1010" t="s">
        <v>158</v>
      </c>
      <c r="AG1010" s="24">
        <f>IF(ISBLANK(S1010),S1010,I1010)</f>
        <v>12</v>
      </c>
      <c r="AH1010" s="34">
        <f t="shared" si="36"/>
        <v>164236.09999999995</v>
      </c>
      <c r="AI1010">
        <f t="shared" si="35"/>
        <v>102562.56875393695</v>
      </c>
      <c r="AJ1010" t="b" cm="1">
        <f t="array" ref="AJ1010">OR(D1010=$AT$2:$AT$8)</f>
        <v>0</v>
      </c>
    </row>
    <row r="1011" spans="1:36" x14ac:dyDescent="0.25">
      <c r="A1011" s="2" t="s">
        <v>691</v>
      </c>
      <c r="B1011" s="3">
        <v>3.5</v>
      </c>
      <c r="C1011" s="2" t="s">
        <v>99</v>
      </c>
      <c r="D1011" s="2" t="s">
        <v>81</v>
      </c>
      <c r="E1011" s="2" t="s">
        <v>150</v>
      </c>
      <c r="F1011" s="4" t="s">
        <v>151</v>
      </c>
      <c r="G1011" s="4" t="s">
        <v>152</v>
      </c>
      <c r="H1011" s="5">
        <v>9</v>
      </c>
      <c r="I1011" s="5">
        <v>12</v>
      </c>
      <c r="J1011" s="5">
        <v>16</v>
      </c>
      <c r="K1011" s="4" t="s">
        <v>111</v>
      </c>
      <c r="L1011" s="4" t="s">
        <v>153</v>
      </c>
      <c r="M1011" s="6">
        <f>IF(OR(B1011="",I1011=""),"",B1011*I1011)</f>
        <v>42</v>
      </c>
      <c r="N1011" s="10" t="s">
        <v>10</v>
      </c>
      <c r="O1011" s="9"/>
      <c r="P1011" s="9"/>
      <c r="Q1011" s="22"/>
      <c r="R1011" s="22"/>
      <c r="S1011" s="23" t="str">
        <f>IF(AND(ISNUMBER(Q1011),Q1011&gt;0,ISNUMBER(R1011),R1011&gt;0),R1011/Q1011,"")</f>
        <v/>
      </c>
      <c r="T1011" s="9"/>
      <c r="U1011" s="9"/>
      <c r="V1011" s="9"/>
      <c r="W1011" s="9"/>
      <c r="X1011" s="23">
        <f>IF(ISNUMBER(S1011),S1011,IF(ISNUMBER(I1011),I1011,""))</f>
        <v>12</v>
      </c>
      <c r="Y1011" t="str">
        <f>IF(ISNUMBER(S1011),"2025 EIA-923 plant/group proxy",IF(ISNUMBER(I1011),"Technology estimate","No thermal heat rate"))</f>
        <v>Technology estimate</v>
      </c>
      <c r="Z1011" t="str">
        <f>IF(ISNUMBER(S1011),"Review: NOT unit verified",IF(AE1011="No match","No EIA match",IF(AF1011="Unconfirmed","Unconfirmed EIA candidate","")))</f>
        <v>No EIA match</v>
      </c>
      <c r="AE1011" t="s">
        <v>107</v>
      </c>
      <c r="AG1011" s="24">
        <f>IF(ISBLANK(S1011),S1011,I1011)</f>
        <v>12</v>
      </c>
      <c r="AH1011" s="34">
        <f t="shared" si="36"/>
        <v>164239.59999999995</v>
      </c>
      <c r="AI1011">
        <f t="shared" si="35"/>
        <v>102564.75444265362</v>
      </c>
      <c r="AJ1011" t="b" cm="1">
        <f t="array" ref="AJ1011">OR(D1011=$AT$2:$AT$8)</f>
        <v>0</v>
      </c>
    </row>
    <row r="1012" spans="1:36" x14ac:dyDescent="0.25">
      <c r="A1012" s="2" t="s">
        <v>706</v>
      </c>
      <c r="B1012" s="3">
        <v>2</v>
      </c>
      <c r="C1012" s="2" t="s">
        <v>147</v>
      </c>
      <c r="D1012" s="2" t="s">
        <v>147</v>
      </c>
      <c r="E1012" s="2" t="s">
        <v>150</v>
      </c>
      <c r="F1012" s="4" t="s">
        <v>151</v>
      </c>
      <c r="G1012" s="4" t="s">
        <v>152</v>
      </c>
      <c r="H1012" s="5">
        <v>9</v>
      </c>
      <c r="I1012" s="5">
        <v>12</v>
      </c>
      <c r="J1012" s="5">
        <v>16</v>
      </c>
      <c r="K1012" s="4" t="s">
        <v>111</v>
      </c>
      <c r="L1012" s="4" t="s">
        <v>153</v>
      </c>
      <c r="M1012" s="6">
        <f>IF(OR(B1012="",I1012=""),"",B1012*I1012)</f>
        <v>24</v>
      </c>
      <c r="N1012" s="29" t="s">
        <v>154</v>
      </c>
      <c r="O1012" s="9"/>
      <c r="P1012" s="9"/>
      <c r="Q1012" s="22"/>
      <c r="R1012" s="22"/>
      <c r="S1012" s="23" t="str">
        <f>IF(AND(ISNUMBER(Q1012),Q1012&gt;0,ISNUMBER(R1012),R1012&gt;0),R1012/Q1012,"")</f>
        <v/>
      </c>
      <c r="T1012" s="9"/>
      <c r="U1012" s="9"/>
      <c r="V1012" s="9"/>
      <c r="W1012" s="9" t="s">
        <v>707</v>
      </c>
      <c r="X1012" s="23">
        <f>IF(ISNUMBER(S1012),S1012,IF(ISNUMBER(I1012),I1012,""))</f>
        <v>12</v>
      </c>
      <c r="Y1012" t="str">
        <f>IF(ISNUMBER(S1012),"2025 EIA-923 plant/group proxy",IF(ISNUMBER(I1012),"Technology estimate","No thermal heat rate"))</f>
        <v>Technology estimate</v>
      </c>
      <c r="Z1012" t="str">
        <f>IF(ISNUMBER(S1012),"Review: NOT unit verified",IF(AE1012="No match","No EIA match",IF(AF1012="Unconfirmed","Unconfirmed EIA candidate","")))</f>
        <v>Unconfirmed EIA candidate</v>
      </c>
      <c r="AA1012" s="26">
        <v>0.4083</v>
      </c>
      <c r="AB1012" t="s">
        <v>708</v>
      </c>
      <c r="AC1012" t="s">
        <v>308</v>
      </c>
      <c r="AD1012" s="26">
        <v>3.2</v>
      </c>
      <c r="AE1012" t="s">
        <v>157</v>
      </c>
      <c r="AF1012" t="s">
        <v>158</v>
      </c>
      <c r="AG1012" s="24">
        <f>IF(ISBLANK(S1012),S1012,I1012)</f>
        <v>12</v>
      </c>
      <c r="AH1012" s="34">
        <f t="shared" si="36"/>
        <v>164241.59999999995</v>
      </c>
      <c r="AI1012">
        <f t="shared" si="35"/>
        <v>102566.00340763456</v>
      </c>
      <c r="AJ1012" t="b" cm="1">
        <f t="array" ref="AJ1012">OR(D1012=$AT$2:$AT$8)</f>
        <v>0</v>
      </c>
    </row>
    <row r="1013" spans="1:36" x14ac:dyDescent="0.25">
      <c r="A1013" s="2" t="s">
        <v>824</v>
      </c>
      <c r="B1013" s="3">
        <v>3.8</v>
      </c>
      <c r="C1013" s="2" t="s">
        <v>75</v>
      </c>
      <c r="D1013" s="2" t="s">
        <v>76</v>
      </c>
      <c r="E1013" s="2" t="s">
        <v>150</v>
      </c>
      <c r="F1013" s="4" t="s">
        <v>151</v>
      </c>
      <c r="G1013" s="4" t="s">
        <v>152</v>
      </c>
      <c r="H1013" s="5">
        <v>9</v>
      </c>
      <c r="I1013" s="5">
        <v>12</v>
      </c>
      <c r="J1013" s="5">
        <v>16</v>
      </c>
      <c r="K1013" s="4" t="s">
        <v>111</v>
      </c>
      <c r="L1013" s="4" t="s">
        <v>153</v>
      </c>
      <c r="M1013" s="6">
        <f>IF(OR(B1013="",I1013=""),"",B1013*I1013)</f>
        <v>45.599999999999994</v>
      </c>
      <c r="N1013" s="29" t="s">
        <v>154</v>
      </c>
      <c r="O1013" s="9"/>
      <c r="P1013" s="9"/>
      <c r="Q1013" s="22"/>
      <c r="R1013" s="22"/>
      <c r="S1013" s="23" t="str">
        <f>IF(AND(ISNUMBER(Q1013),Q1013&gt;0,ISNUMBER(R1013),R1013&gt;0),R1013/Q1013,"")</f>
        <v/>
      </c>
      <c r="T1013" s="9"/>
      <c r="U1013" s="9"/>
      <c r="V1013" s="9"/>
      <c r="W1013" s="9" t="s">
        <v>825</v>
      </c>
      <c r="X1013" s="23">
        <f>IF(ISNUMBER(S1013),S1013,IF(ISNUMBER(I1013),I1013,""))</f>
        <v>12</v>
      </c>
      <c r="Y1013" t="str">
        <f>IF(ISNUMBER(S1013),"2025 EIA-923 plant/group proxy",IF(ISNUMBER(I1013),"Technology estimate","No thermal heat rate"))</f>
        <v>Technology estimate</v>
      </c>
      <c r="Z1013" t="str">
        <f>IF(ISNUMBER(S1013),"Review: NOT unit verified",IF(AE1013="No match","No EIA match",IF(AF1013="Unconfirmed","Unconfirmed EIA candidate","")))</f>
        <v>Unconfirmed EIA candidate</v>
      </c>
      <c r="AA1013" s="26">
        <v>0.52290000000000003</v>
      </c>
      <c r="AB1013" t="s">
        <v>250</v>
      </c>
      <c r="AC1013" t="s">
        <v>119</v>
      </c>
      <c r="AD1013" s="26">
        <v>4</v>
      </c>
      <c r="AE1013" t="s">
        <v>157</v>
      </c>
      <c r="AF1013" t="s">
        <v>158</v>
      </c>
      <c r="AG1013" s="24">
        <f>IF(ISBLANK(S1013),S1013,I1013)</f>
        <v>12</v>
      </c>
      <c r="AH1013" s="34">
        <f t="shared" si="36"/>
        <v>164245.39999999994</v>
      </c>
      <c r="AI1013">
        <f t="shared" si="35"/>
        <v>102568.37644109836</v>
      </c>
      <c r="AJ1013" t="b" cm="1">
        <f t="array" ref="AJ1013">OR(D1013=$AT$2:$AT$8)</f>
        <v>0</v>
      </c>
    </row>
    <row r="1014" spans="1:36" x14ac:dyDescent="0.25">
      <c r="A1014" s="2" t="s">
        <v>848</v>
      </c>
      <c r="B1014" s="3">
        <v>1.9</v>
      </c>
      <c r="C1014" s="2" t="s">
        <v>75</v>
      </c>
      <c r="D1014" s="2" t="s">
        <v>76</v>
      </c>
      <c r="E1014" s="2" t="s">
        <v>150</v>
      </c>
      <c r="F1014" s="4" t="s">
        <v>151</v>
      </c>
      <c r="G1014" s="4" t="s">
        <v>152</v>
      </c>
      <c r="H1014" s="5">
        <v>9</v>
      </c>
      <c r="I1014" s="5">
        <v>12</v>
      </c>
      <c r="J1014" s="5">
        <v>16</v>
      </c>
      <c r="K1014" s="4" t="s">
        <v>111</v>
      </c>
      <c r="L1014" s="4" t="s">
        <v>153</v>
      </c>
      <c r="M1014" s="6">
        <f>IF(OR(B1014="",I1014=""),"",B1014*I1014)</f>
        <v>22.799999999999997</v>
      </c>
      <c r="N1014" s="10" t="s">
        <v>10</v>
      </c>
      <c r="O1014" s="9"/>
      <c r="P1014" s="9"/>
      <c r="Q1014" s="22"/>
      <c r="R1014" s="22"/>
      <c r="S1014" s="23" t="str">
        <f>IF(AND(ISNUMBER(Q1014),Q1014&gt;0,ISNUMBER(R1014),R1014&gt;0),R1014/Q1014,"")</f>
        <v/>
      </c>
      <c r="T1014" s="9"/>
      <c r="U1014" s="9"/>
      <c r="V1014" s="9"/>
      <c r="W1014" s="9"/>
      <c r="X1014" s="23">
        <f>IF(ISNUMBER(S1014),S1014,IF(ISNUMBER(I1014),I1014,""))</f>
        <v>12</v>
      </c>
      <c r="Y1014" t="str">
        <f>IF(ISNUMBER(S1014),"2025 EIA-923 plant/group proxy",IF(ISNUMBER(I1014),"Technology estimate","No thermal heat rate"))</f>
        <v>Technology estimate</v>
      </c>
      <c r="Z1014" t="str">
        <f>IF(ISNUMBER(S1014),"Review: NOT unit verified",IF(AE1014="No match","No EIA match",IF(AF1014="Unconfirmed","Unconfirmed EIA candidate","")))</f>
        <v>No EIA match</v>
      </c>
      <c r="AE1014" t="s">
        <v>107</v>
      </c>
      <c r="AG1014" s="24">
        <f>IF(ISBLANK(S1014),S1014,I1014)</f>
        <v>12</v>
      </c>
      <c r="AH1014" s="34">
        <f t="shared" si="36"/>
        <v>164247.29999999993</v>
      </c>
      <c r="AI1014">
        <f t="shared" si="35"/>
        <v>102569.56295783026</v>
      </c>
      <c r="AJ1014" t="b" cm="1">
        <f t="array" ref="AJ1014">OR(D1014=$AT$2:$AT$8)</f>
        <v>0</v>
      </c>
    </row>
    <row r="1015" spans="1:36" x14ac:dyDescent="0.25">
      <c r="A1015" s="2" t="s">
        <v>1020</v>
      </c>
      <c r="B1015" s="3">
        <v>8.6</v>
      </c>
      <c r="C1015" s="2" t="s">
        <v>78</v>
      </c>
      <c r="D1015" s="2" t="s">
        <v>78</v>
      </c>
      <c r="E1015" s="2" t="s">
        <v>150</v>
      </c>
      <c r="F1015" s="4" t="s">
        <v>151</v>
      </c>
      <c r="G1015" s="4" t="s">
        <v>152</v>
      </c>
      <c r="H1015" s="5">
        <v>9</v>
      </c>
      <c r="I1015" s="5">
        <v>12</v>
      </c>
      <c r="J1015" s="5">
        <v>16</v>
      </c>
      <c r="K1015" s="4" t="s">
        <v>111</v>
      </c>
      <c r="L1015" s="4" t="s">
        <v>153</v>
      </c>
      <c r="M1015" s="6">
        <f>IF(OR(B1015="",I1015=""),"",B1015*I1015)</f>
        <v>103.19999999999999</v>
      </c>
      <c r="N1015" s="29" t="s">
        <v>154</v>
      </c>
      <c r="O1015" s="9"/>
      <c r="P1015" s="9"/>
      <c r="Q1015" s="22"/>
      <c r="R1015" s="22"/>
      <c r="S1015" s="23" t="str">
        <f>IF(AND(ISNUMBER(Q1015),Q1015&gt;0,ISNUMBER(R1015),R1015&gt;0),R1015/Q1015,"")</f>
        <v/>
      </c>
      <c r="T1015" s="9"/>
      <c r="U1015" s="9"/>
      <c r="V1015" s="9"/>
      <c r="W1015" s="9" t="s">
        <v>1021</v>
      </c>
      <c r="X1015" s="23">
        <f>IF(ISNUMBER(S1015),S1015,IF(ISNUMBER(I1015),I1015,""))</f>
        <v>12</v>
      </c>
      <c r="Y1015" t="str">
        <f>IF(ISNUMBER(S1015),"2025 EIA-923 plant/group proxy",IF(ISNUMBER(I1015),"Technology estimate","No thermal heat rate"))</f>
        <v>Technology estimate</v>
      </c>
      <c r="Z1015" t="str">
        <f>IF(ISNUMBER(S1015),"Review: NOT unit verified",IF(AE1015="No match","No EIA match",IF(AF1015="Unconfirmed","Unconfirmed EIA candidate","")))</f>
        <v>Unconfirmed EIA candidate</v>
      </c>
      <c r="AA1015" s="26">
        <v>0.59570000000000001</v>
      </c>
      <c r="AB1015" t="s">
        <v>201</v>
      </c>
      <c r="AC1015" t="s">
        <v>916</v>
      </c>
      <c r="AD1015" s="26">
        <v>11.3</v>
      </c>
      <c r="AE1015" t="s">
        <v>157</v>
      </c>
      <c r="AF1015" t="s">
        <v>158</v>
      </c>
      <c r="AG1015" s="24">
        <f>IF(ISBLANK(S1015),S1015,I1015)</f>
        <v>12</v>
      </c>
      <c r="AH1015" s="34">
        <f t="shared" si="36"/>
        <v>164255.89999999994</v>
      </c>
      <c r="AI1015">
        <f t="shared" si="35"/>
        <v>102574.93350724835</v>
      </c>
      <c r="AJ1015" t="b" cm="1">
        <f t="array" ref="AJ1015">OR(D1015=$AT$2:$AT$8)</f>
        <v>1</v>
      </c>
    </row>
    <row r="1016" spans="1:36" x14ac:dyDescent="0.25">
      <c r="A1016" s="2" t="s">
        <v>1045</v>
      </c>
      <c r="B1016" s="3">
        <v>4.7</v>
      </c>
      <c r="C1016" s="2" t="s">
        <v>86</v>
      </c>
      <c r="D1016" s="2" t="s">
        <v>76</v>
      </c>
      <c r="E1016" s="2" t="s">
        <v>150</v>
      </c>
      <c r="F1016" s="4" t="s">
        <v>151</v>
      </c>
      <c r="G1016" s="4" t="s">
        <v>152</v>
      </c>
      <c r="H1016" s="5">
        <v>9</v>
      </c>
      <c r="I1016" s="5">
        <v>12</v>
      </c>
      <c r="J1016" s="5">
        <v>16</v>
      </c>
      <c r="K1016" s="4" t="s">
        <v>111</v>
      </c>
      <c r="L1016" s="4" t="s">
        <v>153</v>
      </c>
      <c r="M1016" s="6">
        <f>IF(OR(B1016="",I1016=""),"",B1016*I1016)</f>
        <v>56.400000000000006</v>
      </c>
      <c r="N1016" s="29" t="s">
        <v>154</v>
      </c>
      <c r="O1016" s="9"/>
      <c r="P1016" s="9"/>
      <c r="Q1016" s="22"/>
      <c r="R1016" s="22"/>
      <c r="S1016" s="23" t="str">
        <f>IF(AND(ISNUMBER(Q1016),Q1016&gt;0,ISNUMBER(R1016),R1016&gt;0),R1016/Q1016,"")</f>
        <v/>
      </c>
      <c r="T1016" s="9"/>
      <c r="U1016" s="9"/>
      <c r="V1016" s="9"/>
      <c r="W1016" s="9" t="s">
        <v>1046</v>
      </c>
      <c r="X1016" s="23">
        <f>IF(ISNUMBER(S1016),S1016,IF(ISNUMBER(I1016),I1016,""))</f>
        <v>12</v>
      </c>
      <c r="Y1016" t="str">
        <f>IF(ISNUMBER(S1016),"2025 EIA-923 plant/group proxy",IF(ISNUMBER(I1016),"Technology estimate","No thermal heat rate"))</f>
        <v>Technology estimate</v>
      </c>
      <c r="Z1016" t="str">
        <f>IF(ISNUMBER(S1016),"Review: NOT unit verified",IF(AE1016="No match","No EIA match",IF(AF1016="Unconfirmed","Unconfirmed EIA candidate","")))</f>
        <v>Unconfirmed EIA candidate</v>
      </c>
      <c r="AA1016" s="26">
        <v>0.42480000000000001</v>
      </c>
      <c r="AB1016" t="s">
        <v>143</v>
      </c>
      <c r="AC1016" t="s">
        <v>368</v>
      </c>
      <c r="AD1016" s="26">
        <v>3.2</v>
      </c>
      <c r="AE1016" t="s">
        <v>157</v>
      </c>
      <c r="AF1016" t="s">
        <v>158</v>
      </c>
      <c r="AG1016" s="24">
        <f>IF(ISBLANK(S1016),S1016,I1016)</f>
        <v>12</v>
      </c>
      <c r="AH1016" s="34">
        <f t="shared" si="36"/>
        <v>164260.59999999995</v>
      </c>
      <c r="AI1016">
        <f t="shared" si="35"/>
        <v>102577.86857495359</v>
      </c>
      <c r="AJ1016" t="b" cm="1">
        <f t="array" ref="AJ1016">OR(D1016=$AT$2:$AT$8)</f>
        <v>0</v>
      </c>
    </row>
    <row r="1017" spans="1:36" x14ac:dyDescent="0.25">
      <c r="A1017" s="2" t="s">
        <v>1173</v>
      </c>
      <c r="B1017" s="3">
        <v>6</v>
      </c>
      <c r="C1017" s="2" t="s">
        <v>78</v>
      </c>
      <c r="D1017" s="2" t="s">
        <v>78</v>
      </c>
      <c r="E1017" s="2" t="s">
        <v>150</v>
      </c>
      <c r="F1017" s="4" t="s">
        <v>151</v>
      </c>
      <c r="G1017" s="4" t="s">
        <v>152</v>
      </c>
      <c r="H1017" s="5">
        <v>9</v>
      </c>
      <c r="I1017" s="5">
        <v>12</v>
      </c>
      <c r="J1017" s="5">
        <v>16</v>
      </c>
      <c r="K1017" s="4" t="s">
        <v>111</v>
      </c>
      <c r="L1017" s="4" t="s">
        <v>153</v>
      </c>
      <c r="M1017" s="6">
        <f>IF(OR(B1017="",I1017=""),"",B1017*I1017)</f>
        <v>72</v>
      </c>
      <c r="N1017" s="29" t="s">
        <v>154</v>
      </c>
      <c r="O1017" s="9"/>
      <c r="P1017" s="9"/>
      <c r="Q1017" s="22"/>
      <c r="R1017" s="22"/>
      <c r="S1017" s="23" t="str">
        <f>IF(AND(ISNUMBER(Q1017),Q1017&gt;0,ISNUMBER(R1017),R1017&gt;0),R1017/Q1017,"")</f>
        <v/>
      </c>
      <c r="T1017" s="9"/>
      <c r="U1017" s="9"/>
      <c r="V1017" s="9"/>
      <c r="W1017" s="9" t="s">
        <v>1174</v>
      </c>
      <c r="X1017" s="23">
        <f>IF(ISNUMBER(S1017),S1017,IF(ISNUMBER(I1017),I1017,""))</f>
        <v>12</v>
      </c>
      <c r="Y1017" t="str">
        <f>IF(ISNUMBER(S1017),"2025 EIA-923 plant/group proxy",IF(ISNUMBER(I1017),"Technology estimate","No thermal heat rate"))</f>
        <v>Technology estimate</v>
      </c>
      <c r="Z1017" t="str">
        <f>IF(ISNUMBER(S1017),"Review: NOT unit verified",IF(AE1017="No match","No EIA match",IF(AF1017="Unconfirmed","Unconfirmed EIA candidate","")))</f>
        <v>Unconfirmed EIA candidate</v>
      </c>
      <c r="AA1017" s="26">
        <v>0.60860000000000003</v>
      </c>
      <c r="AB1017" t="s">
        <v>201</v>
      </c>
      <c r="AC1017" t="s">
        <v>1175</v>
      </c>
      <c r="AD1017" s="26">
        <v>6.4</v>
      </c>
      <c r="AE1017" t="s">
        <v>157</v>
      </c>
      <c r="AF1017" t="s">
        <v>158</v>
      </c>
      <c r="AG1017" s="24">
        <f>IF(ISBLANK(S1017),S1017,I1017)</f>
        <v>12</v>
      </c>
      <c r="AH1017" s="34">
        <f t="shared" si="36"/>
        <v>164266.59999999995</v>
      </c>
      <c r="AI1017">
        <f t="shared" si="35"/>
        <v>102581.61546989644</v>
      </c>
      <c r="AJ1017" t="b" cm="1">
        <f t="array" ref="AJ1017">OR(D1017=$AT$2:$AT$8)</f>
        <v>1</v>
      </c>
    </row>
    <row r="1018" spans="1:36" x14ac:dyDescent="0.25">
      <c r="A1018" s="2" t="s">
        <v>1187</v>
      </c>
      <c r="B1018" s="3">
        <v>3.1</v>
      </c>
      <c r="C1018" s="2" t="s">
        <v>305</v>
      </c>
      <c r="D1018" s="2" t="s">
        <v>305</v>
      </c>
      <c r="E1018" s="2" t="s">
        <v>150</v>
      </c>
      <c r="F1018" s="4" t="s">
        <v>151</v>
      </c>
      <c r="G1018" s="4" t="s">
        <v>152</v>
      </c>
      <c r="H1018" s="5">
        <v>9</v>
      </c>
      <c r="I1018" s="5">
        <v>12</v>
      </c>
      <c r="J1018" s="5">
        <v>16</v>
      </c>
      <c r="K1018" s="4" t="s">
        <v>111</v>
      </c>
      <c r="L1018" s="4" t="s">
        <v>153</v>
      </c>
      <c r="M1018" s="6">
        <f>IF(OR(B1018="",I1018=""),"",B1018*I1018)</f>
        <v>37.200000000000003</v>
      </c>
      <c r="N1018" s="29" t="s">
        <v>154</v>
      </c>
      <c r="O1018" s="9"/>
      <c r="P1018" s="9"/>
      <c r="Q1018" s="22"/>
      <c r="R1018" s="22"/>
      <c r="S1018" s="23" t="str">
        <f>IF(AND(ISNUMBER(Q1018),Q1018&gt;0,ISNUMBER(R1018),R1018&gt;0),R1018/Q1018,"")</f>
        <v/>
      </c>
      <c r="T1018" s="9"/>
      <c r="U1018" s="9"/>
      <c r="V1018" s="9"/>
      <c r="W1018" s="9" t="s">
        <v>1188</v>
      </c>
      <c r="X1018" s="23">
        <f>IF(ISNUMBER(S1018),S1018,IF(ISNUMBER(I1018),I1018,""))</f>
        <v>12</v>
      </c>
      <c r="Y1018" t="str">
        <f>IF(ISNUMBER(S1018),"2025 EIA-923 plant/group proxy",IF(ISNUMBER(I1018),"Technology estimate","No thermal heat rate"))</f>
        <v>Technology estimate</v>
      </c>
      <c r="Z1018" t="str">
        <f>IF(ISNUMBER(S1018),"Review: NOT unit verified",IF(AE1018="No match","No EIA match",IF(AF1018="Unconfirmed","Unconfirmed EIA candidate","")))</f>
        <v>Unconfirmed EIA candidate</v>
      </c>
      <c r="AA1018" s="26">
        <v>0.58420000000000005</v>
      </c>
      <c r="AB1018" t="s">
        <v>307</v>
      </c>
      <c r="AC1018" t="s">
        <v>1189</v>
      </c>
      <c r="AD1018" s="26">
        <v>3</v>
      </c>
      <c r="AE1018" t="s">
        <v>157</v>
      </c>
      <c r="AF1018" t="s">
        <v>158</v>
      </c>
      <c r="AG1018" s="24">
        <f>IF(ISBLANK(S1018),S1018,I1018)</f>
        <v>12</v>
      </c>
      <c r="AH1018" s="34">
        <f t="shared" si="36"/>
        <v>164269.69999999995</v>
      </c>
      <c r="AI1018">
        <f t="shared" si="35"/>
        <v>102583.55136561692</v>
      </c>
      <c r="AJ1018" t="b" cm="1">
        <f t="array" ref="AJ1018">OR(D1018=$AT$2:$AT$8)</f>
        <v>1</v>
      </c>
    </row>
    <row r="1019" spans="1:36" x14ac:dyDescent="0.25">
      <c r="A1019" s="2" t="s">
        <v>1293</v>
      </c>
      <c r="B1019" s="3">
        <v>3.9</v>
      </c>
      <c r="C1019" s="2" t="s">
        <v>78</v>
      </c>
      <c r="D1019" s="2" t="s">
        <v>78</v>
      </c>
      <c r="E1019" s="2" t="s">
        <v>150</v>
      </c>
      <c r="F1019" s="4" t="s">
        <v>151</v>
      </c>
      <c r="G1019" s="4" t="s">
        <v>152</v>
      </c>
      <c r="H1019" s="5">
        <v>9</v>
      </c>
      <c r="I1019" s="5">
        <v>12</v>
      </c>
      <c r="J1019" s="5">
        <v>16</v>
      </c>
      <c r="K1019" s="4" t="s">
        <v>111</v>
      </c>
      <c r="L1019" s="4" t="s">
        <v>153</v>
      </c>
      <c r="M1019" s="6">
        <f>IF(OR(B1019="",I1019=""),"",B1019*I1019)</f>
        <v>46.8</v>
      </c>
      <c r="N1019" s="29" t="s">
        <v>154</v>
      </c>
      <c r="O1019" s="9"/>
      <c r="P1019" s="9"/>
      <c r="Q1019" s="22"/>
      <c r="R1019" s="22"/>
      <c r="S1019" s="23" t="str">
        <f>IF(AND(ISNUMBER(Q1019),Q1019&gt;0,ISNUMBER(R1019),R1019&gt;0),R1019/Q1019,"")</f>
        <v/>
      </c>
      <c r="T1019" s="9"/>
      <c r="U1019" s="9"/>
      <c r="V1019" s="9"/>
      <c r="W1019" s="9" t="s">
        <v>1294</v>
      </c>
      <c r="X1019" s="23">
        <f>IF(ISNUMBER(S1019),S1019,IF(ISNUMBER(I1019),I1019,""))</f>
        <v>12</v>
      </c>
      <c r="Y1019" t="str">
        <f>IF(ISNUMBER(S1019),"2025 EIA-923 plant/group proxy",IF(ISNUMBER(I1019),"Technology estimate","No thermal heat rate"))</f>
        <v>Technology estimate</v>
      </c>
      <c r="Z1019" t="str">
        <f>IF(ISNUMBER(S1019),"Review: NOT unit verified",IF(AE1019="No match","No EIA match",IF(AF1019="Unconfirmed","Unconfirmed EIA candidate","")))</f>
        <v>Unconfirmed EIA candidate</v>
      </c>
      <c r="AA1019" s="26">
        <v>0.43070000000000003</v>
      </c>
      <c r="AB1019" t="s">
        <v>143</v>
      </c>
      <c r="AC1019" t="s">
        <v>1295</v>
      </c>
      <c r="AD1019" s="26">
        <v>5.6</v>
      </c>
      <c r="AE1019" t="s">
        <v>157</v>
      </c>
      <c r="AF1019" t="s">
        <v>158</v>
      </c>
      <c r="AG1019" s="24">
        <f>IF(ISBLANK(S1019),S1019,I1019)</f>
        <v>12</v>
      </c>
      <c r="AH1019" s="34">
        <f t="shared" si="36"/>
        <v>164273.59999999995</v>
      </c>
      <c r="AI1019">
        <f t="shared" si="35"/>
        <v>102585.98684732977</v>
      </c>
      <c r="AJ1019" t="b" cm="1">
        <f t="array" ref="AJ1019">OR(D1019=$AT$2:$AT$8)</f>
        <v>1</v>
      </c>
    </row>
    <row r="1020" spans="1:36" x14ac:dyDescent="0.25">
      <c r="A1020" s="2" t="s">
        <v>1315</v>
      </c>
      <c r="B1020" s="3">
        <v>3.2</v>
      </c>
      <c r="C1020" s="2" t="s">
        <v>99</v>
      </c>
      <c r="D1020" s="2" t="s">
        <v>81</v>
      </c>
      <c r="E1020" s="2" t="s">
        <v>150</v>
      </c>
      <c r="F1020" s="4" t="s">
        <v>151</v>
      </c>
      <c r="G1020" s="4" t="s">
        <v>152</v>
      </c>
      <c r="H1020" s="5">
        <v>9</v>
      </c>
      <c r="I1020" s="5">
        <v>12</v>
      </c>
      <c r="J1020" s="5">
        <v>16</v>
      </c>
      <c r="K1020" s="4" t="s">
        <v>111</v>
      </c>
      <c r="L1020" s="4" t="s">
        <v>153</v>
      </c>
      <c r="M1020" s="6">
        <f>IF(OR(B1020="",I1020=""),"",B1020*I1020)</f>
        <v>38.400000000000006</v>
      </c>
      <c r="N1020" s="10" t="s">
        <v>10</v>
      </c>
      <c r="O1020" s="9"/>
      <c r="P1020" s="9"/>
      <c r="Q1020" s="22"/>
      <c r="R1020" s="22"/>
      <c r="S1020" s="23" t="str">
        <f>IF(AND(ISNUMBER(Q1020),Q1020&gt;0,ISNUMBER(R1020),R1020&gt;0),R1020/Q1020,"")</f>
        <v/>
      </c>
      <c r="T1020" s="9"/>
      <c r="U1020" s="9"/>
      <c r="V1020" s="9"/>
      <c r="W1020" s="9"/>
      <c r="X1020" s="23">
        <f>IF(ISNUMBER(S1020),S1020,IF(ISNUMBER(I1020),I1020,""))</f>
        <v>12</v>
      </c>
      <c r="Y1020" t="str">
        <f>IF(ISNUMBER(S1020),"2025 EIA-923 plant/group proxy",IF(ISNUMBER(I1020),"Technology estimate","No thermal heat rate"))</f>
        <v>Technology estimate</v>
      </c>
      <c r="Z1020" t="str">
        <f>IF(ISNUMBER(S1020),"Review: NOT unit verified",IF(AE1020="No match","No EIA match",IF(AF1020="Unconfirmed","Unconfirmed EIA candidate","")))</f>
        <v>No EIA match</v>
      </c>
      <c r="AE1020" t="s">
        <v>107</v>
      </c>
      <c r="AG1020" s="24">
        <f>IF(ISBLANK(S1020),S1020,I1020)</f>
        <v>12</v>
      </c>
      <c r="AH1020" s="34">
        <f t="shared" si="36"/>
        <v>164276.79999999996</v>
      </c>
      <c r="AI1020">
        <f t="shared" si="35"/>
        <v>102587.9851912993</v>
      </c>
      <c r="AJ1020" t="b" cm="1">
        <f t="array" ref="AJ1020">OR(D1020=$AT$2:$AT$8)</f>
        <v>0</v>
      </c>
    </row>
    <row r="1021" spans="1:36" x14ac:dyDescent="0.25">
      <c r="A1021" s="2" t="s">
        <v>1448</v>
      </c>
      <c r="B1021" s="3">
        <v>1.1000000000000001</v>
      </c>
      <c r="C1021" s="2" t="s">
        <v>99</v>
      </c>
      <c r="D1021" s="2" t="s">
        <v>81</v>
      </c>
      <c r="E1021" s="2" t="s">
        <v>150</v>
      </c>
      <c r="F1021" s="4" t="s">
        <v>151</v>
      </c>
      <c r="G1021" s="4" t="s">
        <v>152</v>
      </c>
      <c r="H1021" s="5">
        <v>9</v>
      </c>
      <c r="I1021" s="5">
        <v>12</v>
      </c>
      <c r="J1021" s="5">
        <v>16</v>
      </c>
      <c r="K1021" s="4" t="s">
        <v>111</v>
      </c>
      <c r="L1021" s="4" t="s">
        <v>153</v>
      </c>
      <c r="M1021" s="6">
        <f>IF(OR(B1021="",I1021=""),"",B1021*I1021)</f>
        <v>13.200000000000001</v>
      </c>
      <c r="N1021" s="29" t="s">
        <v>154</v>
      </c>
      <c r="O1021" s="9"/>
      <c r="P1021" s="9"/>
      <c r="Q1021" s="22"/>
      <c r="R1021" s="22"/>
      <c r="S1021" s="23" t="str">
        <f>IF(AND(ISNUMBER(Q1021),Q1021&gt;0,ISNUMBER(R1021),R1021&gt;0),R1021/Q1021,"")</f>
        <v/>
      </c>
      <c r="T1021" s="9"/>
      <c r="U1021" s="9"/>
      <c r="V1021" s="9"/>
      <c r="W1021" s="9" t="s">
        <v>1449</v>
      </c>
      <c r="X1021" s="23">
        <f>IF(ISNUMBER(S1021),S1021,IF(ISNUMBER(I1021),I1021,""))</f>
        <v>12</v>
      </c>
      <c r="Y1021" t="str">
        <f>IF(ISNUMBER(S1021),"2025 EIA-923 plant/group proxy",IF(ISNUMBER(I1021),"Technology estimate","No thermal heat rate"))</f>
        <v>Technology estimate</v>
      </c>
      <c r="Z1021" t="str">
        <f>IF(ISNUMBER(S1021),"Review: NOT unit verified",IF(AE1021="No match","No EIA match",IF(AF1021="Unconfirmed","Unconfirmed EIA candidate","")))</f>
        <v>Unconfirmed EIA candidate</v>
      </c>
      <c r="AA1021" s="26">
        <v>0.42080000000000001</v>
      </c>
      <c r="AB1021" t="s">
        <v>143</v>
      </c>
      <c r="AC1021" t="s">
        <v>308</v>
      </c>
      <c r="AD1021" s="26">
        <v>3</v>
      </c>
      <c r="AE1021" t="s">
        <v>157</v>
      </c>
      <c r="AF1021" t="s">
        <v>158</v>
      </c>
      <c r="AG1021" s="24">
        <f>IF(ISBLANK(S1021),S1021,I1021)</f>
        <v>12</v>
      </c>
      <c r="AH1021" s="34">
        <f t="shared" si="36"/>
        <v>164277.89999999997</v>
      </c>
      <c r="AI1021">
        <f t="shared" si="35"/>
        <v>102588.67212203883</v>
      </c>
      <c r="AJ1021" t="b" cm="1">
        <f t="array" ref="AJ1021">OR(D1021=$AT$2:$AT$8)</f>
        <v>0</v>
      </c>
    </row>
    <row r="1022" spans="1:36" x14ac:dyDescent="0.25">
      <c r="A1022" s="2" t="s">
        <v>1611</v>
      </c>
      <c r="B1022" s="3">
        <v>2.9</v>
      </c>
      <c r="C1022" s="2" t="s">
        <v>68</v>
      </c>
      <c r="D1022" s="2" t="s">
        <v>69</v>
      </c>
      <c r="E1022" s="2" t="s">
        <v>150</v>
      </c>
      <c r="F1022" s="4" t="s">
        <v>151</v>
      </c>
      <c r="G1022" s="4" t="s">
        <v>152</v>
      </c>
      <c r="H1022" s="5">
        <v>9</v>
      </c>
      <c r="I1022" s="5">
        <v>12</v>
      </c>
      <c r="J1022" s="5">
        <v>16</v>
      </c>
      <c r="K1022" s="4" t="s">
        <v>111</v>
      </c>
      <c r="L1022" s="4" t="s">
        <v>153</v>
      </c>
      <c r="M1022" s="6">
        <f>IF(OR(B1022="",I1022=""),"",B1022*I1022)</f>
        <v>34.799999999999997</v>
      </c>
      <c r="N1022" s="10" t="s">
        <v>10</v>
      </c>
      <c r="O1022" s="9"/>
      <c r="P1022" s="9"/>
      <c r="Q1022" s="22"/>
      <c r="R1022" s="22"/>
      <c r="S1022" s="23" t="str">
        <f>IF(AND(ISNUMBER(Q1022),Q1022&gt;0,ISNUMBER(R1022),R1022&gt;0),R1022/Q1022,"")</f>
        <v/>
      </c>
      <c r="T1022" s="9"/>
      <c r="U1022" s="9"/>
      <c r="V1022" s="9"/>
      <c r="W1022" s="9"/>
      <c r="X1022" s="23">
        <f>IF(ISNUMBER(S1022),S1022,IF(ISNUMBER(I1022),I1022,""))</f>
        <v>12</v>
      </c>
      <c r="Y1022" t="str">
        <f>IF(ISNUMBER(S1022),"2025 EIA-923 plant/group proxy",IF(ISNUMBER(I1022),"Technology estimate","No thermal heat rate"))</f>
        <v>Technology estimate</v>
      </c>
      <c r="Z1022" t="str">
        <f>IF(ISNUMBER(S1022),"Review: NOT unit verified",IF(AE1022="No match","No EIA match",IF(AF1022="Unconfirmed","Unconfirmed EIA candidate","")))</f>
        <v>No EIA match</v>
      </c>
      <c r="AE1022" t="s">
        <v>107</v>
      </c>
      <c r="AG1022" s="24">
        <f>IF(ISBLANK(S1022),S1022,I1022)</f>
        <v>12</v>
      </c>
      <c r="AH1022" s="34">
        <f t="shared" si="36"/>
        <v>164280.79999999996</v>
      </c>
      <c r="AI1022">
        <f t="shared" si="35"/>
        <v>102590.4831212612</v>
      </c>
      <c r="AJ1022" t="b" cm="1">
        <f t="array" ref="AJ1022">OR(D1022=$AT$2:$AT$8)</f>
        <v>0</v>
      </c>
    </row>
    <row r="1023" spans="1:36" x14ac:dyDescent="0.25">
      <c r="A1023" s="2" t="s">
        <v>1612</v>
      </c>
      <c r="B1023" s="3">
        <v>0.9</v>
      </c>
      <c r="C1023" s="2" t="s">
        <v>68</v>
      </c>
      <c r="D1023" s="2" t="s">
        <v>69</v>
      </c>
      <c r="E1023" s="2" t="s">
        <v>150</v>
      </c>
      <c r="F1023" s="4" t="s">
        <v>151</v>
      </c>
      <c r="G1023" s="4" t="s">
        <v>152</v>
      </c>
      <c r="H1023" s="5">
        <v>9</v>
      </c>
      <c r="I1023" s="5">
        <v>12</v>
      </c>
      <c r="J1023" s="5">
        <v>16</v>
      </c>
      <c r="K1023" s="4" t="s">
        <v>111</v>
      </c>
      <c r="L1023" s="4" t="s">
        <v>153</v>
      </c>
      <c r="M1023" s="6">
        <f>IF(OR(B1023="",I1023=""),"",B1023*I1023)</f>
        <v>10.8</v>
      </c>
      <c r="N1023" s="10" t="s">
        <v>10</v>
      </c>
      <c r="O1023" s="9"/>
      <c r="P1023" s="9"/>
      <c r="Q1023" s="22"/>
      <c r="R1023" s="22"/>
      <c r="S1023" s="23" t="str">
        <f>IF(AND(ISNUMBER(Q1023),Q1023&gt;0,ISNUMBER(R1023),R1023&gt;0),R1023/Q1023,"")</f>
        <v/>
      </c>
      <c r="T1023" s="9"/>
      <c r="U1023" s="9"/>
      <c r="V1023" s="9"/>
      <c r="W1023" s="9"/>
      <c r="X1023" s="23">
        <f>IF(ISNUMBER(S1023),S1023,IF(ISNUMBER(I1023),I1023,""))</f>
        <v>12</v>
      </c>
      <c r="Y1023" t="str">
        <f>IF(ISNUMBER(S1023),"2025 EIA-923 plant/group proxy",IF(ISNUMBER(I1023),"Technology estimate","No thermal heat rate"))</f>
        <v>Technology estimate</v>
      </c>
      <c r="Z1023" t="str">
        <f>IF(ISNUMBER(S1023),"Review: NOT unit verified",IF(AE1023="No match","No EIA match",IF(AF1023="Unconfirmed","Unconfirmed EIA candidate","")))</f>
        <v>No EIA match</v>
      </c>
      <c r="AE1023" t="s">
        <v>107</v>
      </c>
      <c r="AG1023" s="24">
        <f>IF(ISBLANK(S1023),S1023,I1023)</f>
        <v>12</v>
      </c>
      <c r="AH1023" s="34">
        <f t="shared" si="36"/>
        <v>164281.69999999995</v>
      </c>
      <c r="AI1023">
        <f t="shared" si="35"/>
        <v>102591.04515550262</v>
      </c>
      <c r="AJ1023" t="b" cm="1">
        <f t="array" ref="AJ1023">OR(D1023=$AT$2:$AT$8)</f>
        <v>0</v>
      </c>
    </row>
    <row r="1024" spans="1:36" x14ac:dyDescent="0.25">
      <c r="A1024" s="2" t="s">
        <v>1639</v>
      </c>
      <c r="B1024" s="3">
        <v>1.4</v>
      </c>
      <c r="C1024" s="2" t="s">
        <v>78</v>
      </c>
      <c r="D1024" s="2" t="s">
        <v>78</v>
      </c>
      <c r="E1024" s="2" t="s">
        <v>150</v>
      </c>
      <c r="F1024" s="4" t="s">
        <v>151</v>
      </c>
      <c r="G1024" s="4" t="s">
        <v>152</v>
      </c>
      <c r="H1024" s="5">
        <v>9</v>
      </c>
      <c r="I1024" s="5">
        <v>12</v>
      </c>
      <c r="J1024" s="5">
        <v>16</v>
      </c>
      <c r="K1024" s="4" t="s">
        <v>111</v>
      </c>
      <c r="L1024" s="4" t="s">
        <v>153</v>
      </c>
      <c r="M1024" s="6">
        <f>IF(OR(B1024="",I1024=""),"",B1024*I1024)</f>
        <v>16.799999999999997</v>
      </c>
      <c r="N1024" s="10" t="s">
        <v>475</v>
      </c>
      <c r="O1024" s="9"/>
      <c r="P1024" s="9"/>
      <c r="Q1024" s="22"/>
      <c r="R1024" s="22"/>
      <c r="S1024" s="23" t="str">
        <f>IF(AND(ISNUMBER(Q1024),Q1024&gt;0,ISNUMBER(R1024),R1024&gt;0),R1024/Q1024,"")</f>
        <v/>
      </c>
      <c r="T1024" s="9"/>
      <c r="U1024" s="9"/>
      <c r="V1024" s="9"/>
      <c r="W1024" s="9" t="s">
        <v>1640</v>
      </c>
      <c r="X1024" s="23">
        <f>IF(ISNUMBER(S1024),S1024,IF(ISNUMBER(I1024),I1024,""))</f>
        <v>12</v>
      </c>
      <c r="Y1024" t="str">
        <f>IF(ISNUMBER(S1024),"2025 EIA-923 plant/group proxy",IF(ISNUMBER(I1024),"Technology estimate","No thermal heat rate"))</f>
        <v>Technology estimate</v>
      </c>
      <c r="Z1024" t="str">
        <f>IF(ISNUMBER(S1024),"Review: NOT unit verified",IF(AE1024="No match","No EIA match",IF(AF1024="Unconfirmed","Unconfirmed EIA candidate","")))</f>
        <v/>
      </c>
      <c r="AA1024" s="26">
        <v>0.83020000000000005</v>
      </c>
      <c r="AB1024" t="s">
        <v>201</v>
      </c>
      <c r="AC1024" t="s">
        <v>308</v>
      </c>
      <c r="AD1024" s="26">
        <v>2</v>
      </c>
      <c r="AE1024" t="s">
        <v>479</v>
      </c>
      <c r="AG1024" s="24">
        <f>IF(ISBLANK(S1024),S1024,I1024)</f>
        <v>12</v>
      </c>
      <c r="AH1024" s="34">
        <f t="shared" si="36"/>
        <v>164283.09999999995</v>
      </c>
      <c r="AI1024">
        <f t="shared" si="35"/>
        <v>102591.91943098929</v>
      </c>
      <c r="AJ1024" t="b" cm="1">
        <f t="array" ref="AJ1024">OR(D1024=$AT$2:$AT$8)</f>
        <v>1</v>
      </c>
    </row>
    <row r="1025" spans="1:36" x14ac:dyDescent="0.25">
      <c r="A1025" s="2" t="s">
        <v>1645</v>
      </c>
      <c r="B1025" s="3">
        <v>9</v>
      </c>
      <c r="C1025" s="2" t="s">
        <v>97</v>
      </c>
      <c r="D1025" s="2" t="s">
        <v>97</v>
      </c>
      <c r="E1025" s="2" t="s">
        <v>150</v>
      </c>
      <c r="F1025" s="4" t="s">
        <v>151</v>
      </c>
      <c r="G1025" s="4" t="s">
        <v>152</v>
      </c>
      <c r="H1025" s="5">
        <v>9</v>
      </c>
      <c r="I1025" s="5">
        <v>12</v>
      </c>
      <c r="J1025" s="5">
        <v>16</v>
      </c>
      <c r="K1025" s="4" t="s">
        <v>111</v>
      </c>
      <c r="L1025" s="4" t="s">
        <v>153</v>
      </c>
      <c r="M1025" s="6">
        <f>IF(OR(B1025="",I1025=""),"",B1025*I1025)</f>
        <v>108</v>
      </c>
      <c r="N1025" s="10" t="s">
        <v>10</v>
      </c>
      <c r="O1025" s="9"/>
      <c r="P1025" s="9"/>
      <c r="Q1025" s="22"/>
      <c r="R1025" s="22"/>
      <c r="S1025" s="23" t="str">
        <f>IF(AND(ISNUMBER(Q1025),Q1025&gt;0,ISNUMBER(R1025),R1025&gt;0),R1025/Q1025,"")</f>
        <v/>
      </c>
      <c r="T1025" s="9"/>
      <c r="U1025" s="9"/>
      <c r="V1025" s="9"/>
      <c r="W1025" s="9"/>
      <c r="X1025" s="23">
        <f>IF(ISNUMBER(S1025),S1025,IF(ISNUMBER(I1025),I1025,""))</f>
        <v>12</v>
      </c>
      <c r="Y1025" t="str">
        <f>IF(ISNUMBER(S1025),"2025 EIA-923 plant/group proxy",IF(ISNUMBER(I1025),"Technology estimate","No thermal heat rate"))</f>
        <v>Technology estimate</v>
      </c>
      <c r="Z1025" t="str">
        <f>IF(ISNUMBER(S1025),"Review: NOT unit verified",IF(AE1025="No match","No EIA match",IF(AF1025="Unconfirmed","Unconfirmed EIA candidate","")))</f>
        <v>No EIA match</v>
      </c>
      <c r="AE1025" t="s">
        <v>107</v>
      </c>
      <c r="AG1025" s="24">
        <f>IF(ISBLANK(S1025),S1025,I1025)</f>
        <v>12</v>
      </c>
      <c r="AH1025" s="34">
        <f t="shared" si="36"/>
        <v>164292.09999999995</v>
      </c>
      <c r="AI1025">
        <f t="shared" si="35"/>
        <v>102597.53977340357</v>
      </c>
      <c r="AJ1025" t="b" cm="1">
        <f t="array" ref="AJ1025">OR(D1025=$AT$2:$AT$8)</f>
        <v>0</v>
      </c>
    </row>
    <row r="1026" spans="1:36" x14ac:dyDescent="0.25">
      <c r="A1026" s="2" t="s">
        <v>1814</v>
      </c>
      <c r="B1026" s="3">
        <v>0.9</v>
      </c>
      <c r="C1026" s="2" t="s">
        <v>57</v>
      </c>
      <c r="D1026" s="2" t="s">
        <v>58</v>
      </c>
      <c r="E1026" s="2" t="s">
        <v>150</v>
      </c>
      <c r="F1026" s="4" t="s">
        <v>151</v>
      </c>
      <c r="G1026" s="4" t="s">
        <v>152</v>
      </c>
      <c r="H1026" s="5">
        <v>9</v>
      </c>
      <c r="I1026" s="5">
        <v>12</v>
      </c>
      <c r="J1026" s="5">
        <v>16</v>
      </c>
      <c r="K1026" s="4" t="s">
        <v>111</v>
      </c>
      <c r="L1026" s="4" t="s">
        <v>153</v>
      </c>
      <c r="M1026" s="6">
        <f>IF(OR(B1026="",I1026=""),"",B1026*I1026)</f>
        <v>10.8</v>
      </c>
      <c r="N1026" s="29" t="s">
        <v>154</v>
      </c>
      <c r="O1026" s="9"/>
      <c r="P1026" s="9"/>
      <c r="Q1026" s="22"/>
      <c r="R1026" s="22"/>
      <c r="S1026" s="23" t="str">
        <f>IF(AND(ISNUMBER(Q1026),Q1026&gt;0,ISNUMBER(R1026),R1026&gt;0),R1026/Q1026,"")</f>
        <v/>
      </c>
      <c r="T1026" s="9"/>
      <c r="U1026" s="9"/>
      <c r="V1026" s="9"/>
      <c r="W1026" s="9" t="s">
        <v>1815</v>
      </c>
      <c r="X1026" s="23">
        <f>IF(ISNUMBER(S1026),S1026,IF(ISNUMBER(I1026),I1026,""))</f>
        <v>12</v>
      </c>
      <c r="Y1026" t="str">
        <f>IF(ISNUMBER(S1026),"2025 EIA-923 plant/group proxy",IF(ISNUMBER(I1026),"Technology estimate","No thermal heat rate"))</f>
        <v>Technology estimate</v>
      </c>
      <c r="Z1026" t="str">
        <f>IF(ISNUMBER(S1026),"Review: NOT unit verified",IF(AE1026="No match","No EIA match",IF(AF1026="Unconfirmed","Unconfirmed EIA candidate","")))</f>
        <v>Unconfirmed EIA candidate</v>
      </c>
      <c r="AA1026" s="26">
        <v>0.5514</v>
      </c>
      <c r="AB1026" t="s">
        <v>241</v>
      </c>
      <c r="AC1026" t="s">
        <v>1816</v>
      </c>
      <c r="AD1026" s="26">
        <v>1</v>
      </c>
      <c r="AE1026" t="s">
        <v>157</v>
      </c>
      <c r="AF1026" t="s">
        <v>158</v>
      </c>
      <c r="AG1026" s="24">
        <f>IF(ISBLANK(S1026),S1026,I1026)</f>
        <v>12</v>
      </c>
      <c r="AH1026" s="34">
        <f t="shared" si="36"/>
        <v>164292.99999999994</v>
      </c>
      <c r="AI1026">
        <f t="shared" si="35"/>
        <v>102598.10180764498</v>
      </c>
      <c r="AJ1026" t="b" cm="1">
        <f t="array" ref="AJ1026">OR(D1026=$AT$2:$AT$8)</f>
        <v>0</v>
      </c>
    </row>
    <row r="1027" spans="1:36" x14ac:dyDescent="0.25">
      <c r="A1027" s="2" t="s">
        <v>1261</v>
      </c>
      <c r="B1027" s="3">
        <v>92.3</v>
      </c>
      <c r="C1027" s="2" t="s">
        <v>147</v>
      </c>
      <c r="D1027" s="2" t="s">
        <v>147</v>
      </c>
      <c r="E1027" s="2" t="s">
        <v>189</v>
      </c>
      <c r="F1027" s="4" t="s">
        <v>103</v>
      </c>
      <c r="G1027" s="4" t="s">
        <v>190</v>
      </c>
      <c r="H1027" s="5"/>
      <c r="I1027" s="5"/>
      <c r="J1027" s="5"/>
      <c r="K1027" s="4" t="s">
        <v>105</v>
      </c>
      <c r="L1027" s="4" t="s">
        <v>191</v>
      </c>
      <c r="M1027" s="6" t="str">
        <f>IF(OR(B1027="",I1027=""),"",B1027*I1027)</f>
        <v/>
      </c>
      <c r="N1027" s="25" t="s">
        <v>113</v>
      </c>
      <c r="O1027" s="26">
        <v>3138</v>
      </c>
      <c r="P1027" s="9" t="s">
        <v>1262</v>
      </c>
      <c r="Q1027" s="27">
        <v>695342</v>
      </c>
      <c r="R1027" s="27">
        <v>8352664</v>
      </c>
      <c r="S1027" s="23">
        <f>IF(AND(ISNUMBER(Q1027),Q1027&gt;0,ISNUMBER(R1027),R1027&gt;0),R1027/Q1027,"")</f>
        <v>12.012310488939256</v>
      </c>
      <c r="T1027" s="9" t="s">
        <v>115</v>
      </c>
      <c r="U1027" s="9" t="s">
        <v>265</v>
      </c>
      <c r="V1027" s="9" t="s">
        <v>21</v>
      </c>
      <c r="W1027" s="9" t="s">
        <v>117</v>
      </c>
      <c r="X1027" s="23">
        <f>IF(ISNUMBER(S1027),S1027,IF(ISNUMBER(I1027),I1027,""))</f>
        <v>12.012310488939256</v>
      </c>
      <c r="Y1027" t="str">
        <f>IF(ISNUMBER(S1027),"2025 EIA-923 plant/group proxy",IF(ISNUMBER(I1027),"Technology estimate","No thermal heat rate"))</f>
        <v>2025 EIA-923 plant/group proxy</v>
      </c>
      <c r="Z1027" t="str">
        <f>IF(ISNUMBER(S1027),"Review: NOT unit verified",IF(AE1027="No match","No EIA match",IF(AF1027="Unconfirmed","Unconfirmed EIA candidate","")))</f>
        <v>Review: NOT unit verified</v>
      </c>
      <c r="AA1027" s="26">
        <v>1</v>
      </c>
      <c r="AB1027" t="s">
        <v>143</v>
      </c>
      <c r="AC1027" t="s">
        <v>673</v>
      </c>
      <c r="AD1027" s="26">
        <v>326.3</v>
      </c>
      <c r="AE1027" t="s">
        <v>120</v>
      </c>
      <c r="AF1027" t="s">
        <v>121</v>
      </c>
      <c r="AG1027" s="27">
        <v>12.0123</v>
      </c>
      <c r="AH1027" s="34">
        <f t="shared" si="36"/>
        <v>164385.29999999993</v>
      </c>
      <c r="AI1027">
        <f t="shared" ref="AI1027:AI1090" si="37">AH1027*$AK$1</f>
        <v>102655.74154151585</v>
      </c>
      <c r="AJ1027" t="b" cm="1">
        <f t="array" ref="AJ1027">OR(D1027=$AT$2:$AT$8)</f>
        <v>0</v>
      </c>
    </row>
    <row r="1028" spans="1:36" x14ac:dyDescent="0.25">
      <c r="A1028" s="2" t="s">
        <v>1263</v>
      </c>
      <c r="B1028" s="3">
        <v>93</v>
      </c>
      <c r="C1028" s="2" t="s">
        <v>147</v>
      </c>
      <c r="D1028" s="2" t="s">
        <v>147</v>
      </c>
      <c r="E1028" s="2" t="s">
        <v>189</v>
      </c>
      <c r="F1028" s="4" t="s">
        <v>103</v>
      </c>
      <c r="G1028" s="4" t="s">
        <v>190</v>
      </c>
      <c r="H1028" s="5"/>
      <c r="I1028" s="5"/>
      <c r="J1028" s="5"/>
      <c r="K1028" s="4" t="s">
        <v>105</v>
      </c>
      <c r="L1028" s="4" t="s">
        <v>191</v>
      </c>
      <c r="M1028" s="6" t="str">
        <f>IF(OR(B1028="",I1028=""),"",B1028*I1028)</f>
        <v/>
      </c>
      <c r="N1028" s="25" t="s">
        <v>113</v>
      </c>
      <c r="O1028" s="26">
        <v>3138</v>
      </c>
      <c r="P1028" s="9" t="s">
        <v>1262</v>
      </c>
      <c r="Q1028" s="27">
        <v>695342</v>
      </c>
      <c r="R1028" s="27">
        <v>8352664</v>
      </c>
      <c r="S1028" s="23">
        <f>IF(AND(ISNUMBER(Q1028),Q1028&gt;0,ISNUMBER(R1028),R1028&gt;0),R1028/Q1028,"")</f>
        <v>12.012310488939256</v>
      </c>
      <c r="T1028" s="9" t="s">
        <v>115</v>
      </c>
      <c r="U1028" s="9" t="s">
        <v>265</v>
      </c>
      <c r="V1028" s="9" t="s">
        <v>21</v>
      </c>
      <c r="W1028" s="9" t="s">
        <v>117</v>
      </c>
      <c r="X1028" s="23">
        <f>IF(ISNUMBER(S1028),S1028,IF(ISNUMBER(I1028),I1028,""))</f>
        <v>12.012310488939256</v>
      </c>
      <c r="Y1028" t="str">
        <f>IF(ISNUMBER(S1028),"2025 EIA-923 plant/group proxy",IF(ISNUMBER(I1028),"Technology estimate","No thermal heat rate"))</f>
        <v>2025 EIA-923 plant/group proxy</v>
      </c>
      <c r="Z1028" t="str">
        <f>IF(ISNUMBER(S1028),"Review: NOT unit verified",IF(AE1028="No match","No EIA match",IF(AF1028="Unconfirmed","Unconfirmed EIA candidate","")))</f>
        <v>Review: NOT unit verified</v>
      </c>
      <c r="AA1028" s="26">
        <v>1</v>
      </c>
      <c r="AB1028" t="s">
        <v>143</v>
      </c>
      <c r="AC1028" t="s">
        <v>673</v>
      </c>
      <c r="AD1028" s="26">
        <v>326.3</v>
      </c>
      <c r="AE1028" t="s">
        <v>120</v>
      </c>
      <c r="AF1028" t="s">
        <v>121</v>
      </c>
      <c r="AG1028" s="27">
        <v>12.0123</v>
      </c>
      <c r="AH1028" s="34">
        <f t="shared" ref="AH1028:AH1091" si="38">AH1027+B1028</f>
        <v>164478.29999999993</v>
      </c>
      <c r="AI1028">
        <f t="shared" si="37"/>
        <v>102713.81841313004</v>
      </c>
      <c r="AJ1028" t="b" cm="1">
        <f t="array" ref="AJ1028">OR(D1028=$AT$2:$AT$8)</f>
        <v>0</v>
      </c>
    </row>
    <row r="1029" spans="1:36" x14ac:dyDescent="0.25">
      <c r="A1029" s="2" t="s">
        <v>1264</v>
      </c>
      <c r="B1029" s="3">
        <v>141</v>
      </c>
      <c r="C1029" s="2" t="s">
        <v>147</v>
      </c>
      <c r="D1029" s="2" t="s">
        <v>147</v>
      </c>
      <c r="E1029" s="2" t="s">
        <v>189</v>
      </c>
      <c r="F1029" s="4" t="s">
        <v>103</v>
      </c>
      <c r="G1029" s="4" t="s">
        <v>190</v>
      </c>
      <c r="H1029" s="5"/>
      <c r="I1029" s="5"/>
      <c r="J1029" s="5"/>
      <c r="K1029" s="4" t="s">
        <v>105</v>
      </c>
      <c r="L1029" s="4" t="s">
        <v>191</v>
      </c>
      <c r="M1029" s="6" t="str">
        <f>IF(OR(B1029="",I1029=""),"",B1029*I1029)</f>
        <v/>
      </c>
      <c r="N1029" s="25" t="s">
        <v>113</v>
      </c>
      <c r="O1029" s="26">
        <v>3138</v>
      </c>
      <c r="P1029" s="9" t="s">
        <v>1262</v>
      </c>
      <c r="Q1029" s="27">
        <v>695342</v>
      </c>
      <c r="R1029" s="27">
        <v>8352664</v>
      </c>
      <c r="S1029" s="23">
        <f>IF(AND(ISNUMBER(Q1029),Q1029&gt;0,ISNUMBER(R1029),R1029&gt;0),R1029/Q1029,"")</f>
        <v>12.012310488939256</v>
      </c>
      <c r="T1029" s="9" t="s">
        <v>115</v>
      </c>
      <c r="U1029" s="9" t="s">
        <v>265</v>
      </c>
      <c r="V1029" s="9" t="s">
        <v>21</v>
      </c>
      <c r="W1029" s="9" t="s">
        <v>117</v>
      </c>
      <c r="X1029" s="23">
        <f>IF(ISNUMBER(S1029),S1029,IF(ISNUMBER(I1029),I1029,""))</f>
        <v>12.012310488939256</v>
      </c>
      <c r="Y1029" t="str">
        <f>IF(ISNUMBER(S1029),"2025 EIA-923 plant/group proxy",IF(ISNUMBER(I1029),"Technology estimate","No thermal heat rate"))</f>
        <v>2025 EIA-923 plant/group proxy</v>
      </c>
      <c r="Z1029" t="str">
        <f>IF(ISNUMBER(S1029),"Review: NOT unit verified",IF(AE1029="No match","No EIA match",IF(AF1029="Unconfirmed","Unconfirmed EIA candidate","")))</f>
        <v>Review: NOT unit verified</v>
      </c>
      <c r="AA1029" s="26">
        <v>1</v>
      </c>
      <c r="AB1029" t="s">
        <v>143</v>
      </c>
      <c r="AC1029" t="s">
        <v>673</v>
      </c>
      <c r="AD1029" s="26">
        <v>326.3</v>
      </c>
      <c r="AE1029" t="s">
        <v>120</v>
      </c>
      <c r="AF1029" t="s">
        <v>121</v>
      </c>
      <c r="AG1029" s="27">
        <v>12.0123</v>
      </c>
      <c r="AH1029" s="34">
        <f t="shared" si="38"/>
        <v>164619.29999999993</v>
      </c>
      <c r="AI1029">
        <f t="shared" si="37"/>
        <v>102801.87044428704</v>
      </c>
      <c r="AJ1029" t="b" cm="1">
        <f t="array" ref="AJ1029">OR(D1029=$AT$2:$AT$8)</f>
        <v>0</v>
      </c>
    </row>
    <row r="1030" spans="1:36" x14ac:dyDescent="0.25">
      <c r="A1030" s="2" t="s">
        <v>914</v>
      </c>
      <c r="B1030" s="3">
        <v>28.3</v>
      </c>
      <c r="C1030" s="2" t="s">
        <v>136</v>
      </c>
      <c r="D1030" s="2" t="s">
        <v>136</v>
      </c>
      <c r="E1030" s="2" t="s">
        <v>125</v>
      </c>
      <c r="F1030" s="4" t="s">
        <v>126</v>
      </c>
      <c r="G1030" s="4" t="s">
        <v>127</v>
      </c>
      <c r="H1030" s="5">
        <v>9.1999999999999993</v>
      </c>
      <c r="I1030" s="5">
        <v>10.8</v>
      </c>
      <c r="J1030" s="5">
        <v>13.5</v>
      </c>
      <c r="K1030" s="4" t="s">
        <v>111</v>
      </c>
      <c r="L1030" s="4" t="s">
        <v>128</v>
      </c>
      <c r="M1030" s="6">
        <f>IF(OR(B1030="",I1030=""),"",B1030*I1030)</f>
        <v>305.64000000000004</v>
      </c>
      <c r="N1030" s="25" t="s">
        <v>113</v>
      </c>
      <c r="O1030" s="26">
        <v>10870</v>
      </c>
      <c r="P1030" s="9" t="s">
        <v>915</v>
      </c>
      <c r="Q1030" s="27">
        <v>8095.9979999999996</v>
      </c>
      <c r="R1030" s="27">
        <v>97273</v>
      </c>
      <c r="S1030" s="23">
        <f>IF(AND(ISNUMBER(Q1030),Q1030&gt;0,ISNUMBER(R1030),R1030&gt;0),R1030/Q1030,"")</f>
        <v>12.014948620293632</v>
      </c>
      <c r="T1030" s="9" t="s">
        <v>115</v>
      </c>
      <c r="U1030" s="9" t="s">
        <v>130</v>
      </c>
      <c r="V1030" s="9" t="s">
        <v>21</v>
      </c>
      <c r="W1030" s="9" t="s">
        <v>528</v>
      </c>
      <c r="X1030" s="23">
        <f>IF(ISNUMBER(S1030),S1030,IF(ISNUMBER(I1030),I1030,""))</f>
        <v>12.014948620293632</v>
      </c>
      <c r="Y1030" t="str">
        <f>IF(ISNUMBER(S1030),"2025 EIA-923 plant/group proxy",IF(ISNUMBER(I1030),"Technology estimate","No thermal heat rate"))</f>
        <v>2025 EIA-923 plant/group proxy</v>
      </c>
      <c r="Z1030" t="str">
        <f>IF(ISNUMBER(S1030),"Review: NOT unit verified",IF(AE1030="No match","No EIA match",IF(AF1030="Unconfirmed","Unconfirmed EIA candidate","")))</f>
        <v>Review: NOT unit verified</v>
      </c>
      <c r="AA1030" s="26">
        <v>1</v>
      </c>
      <c r="AB1030" t="s">
        <v>143</v>
      </c>
      <c r="AC1030" t="s">
        <v>916</v>
      </c>
      <c r="AD1030" s="26">
        <v>145.6</v>
      </c>
      <c r="AE1030" t="s">
        <v>120</v>
      </c>
      <c r="AF1030" t="s">
        <v>121</v>
      </c>
      <c r="AG1030" s="27">
        <v>12.014900000000001</v>
      </c>
      <c r="AH1030" s="34">
        <f t="shared" si="38"/>
        <v>164647.59999999992</v>
      </c>
      <c r="AI1030">
        <f t="shared" si="37"/>
        <v>102819.54329876749</v>
      </c>
      <c r="AJ1030" t="b" cm="1">
        <f t="array" ref="AJ1030">OR(D1030=$AT$2:$AT$8)</f>
        <v>0</v>
      </c>
    </row>
    <row r="1031" spans="1:36" x14ac:dyDescent="0.25">
      <c r="A1031" s="2" t="s">
        <v>917</v>
      </c>
      <c r="B1031" s="3">
        <v>29.3</v>
      </c>
      <c r="C1031" s="2" t="s">
        <v>136</v>
      </c>
      <c r="D1031" s="2" t="s">
        <v>136</v>
      </c>
      <c r="E1031" s="2" t="s">
        <v>125</v>
      </c>
      <c r="F1031" s="4" t="s">
        <v>126</v>
      </c>
      <c r="G1031" s="4" t="s">
        <v>127</v>
      </c>
      <c r="H1031" s="5">
        <v>9.1999999999999993</v>
      </c>
      <c r="I1031" s="5">
        <v>10.8</v>
      </c>
      <c r="J1031" s="5">
        <v>13.5</v>
      </c>
      <c r="K1031" s="4" t="s">
        <v>111</v>
      </c>
      <c r="L1031" s="4" t="s">
        <v>128</v>
      </c>
      <c r="M1031" s="6">
        <f>IF(OR(B1031="",I1031=""),"",B1031*I1031)</f>
        <v>316.44000000000005</v>
      </c>
      <c r="N1031" s="25" t="s">
        <v>113</v>
      </c>
      <c r="O1031" s="26">
        <v>10870</v>
      </c>
      <c r="P1031" s="9" t="s">
        <v>915</v>
      </c>
      <c r="Q1031" s="27">
        <v>8095.9979999999996</v>
      </c>
      <c r="R1031" s="27">
        <v>97273</v>
      </c>
      <c r="S1031" s="23">
        <f>IF(AND(ISNUMBER(Q1031),Q1031&gt;0,ISNUMBER(R1031),R1031&gt;0),R1031/Q1031,"")</f>
        <v>12.014948620293632</v>
      </c>
      <c r="T1031" s="9" t="s">
        <v>115</v>
      </c>
      <c r="U1031" s="9" t="s">
        <v>130</v>
      </c>
      <c r="V1031" s="9" t="s">
        <v>21</v>
      </c>
      <c r="W1031" s="9" t="s">
        <v>528</v>
      </c>
      <c r="X1031" s="23">
        <f>IF(ISNUMBER(S1031),S1031,IF(ISNUMBER(I1031),I1031,""))</f>
        <v>12.014948620293632</v>
      </c>
      <c r="Y1031" t="str">
        <f>IF(ISNUMBER(S1031),"2025 EIA-923 plant/group proxy",IF(ISNUMBER(I1031),"Technology estimate","No thermal heat rate"))</f>
        <v>2025 EIA-923 plant/group proxy</v>
      </c>
      <c r="Z1031" t="str">
        <f>IF(ISNUMBER(S1031),"Review: NOT unit verified",IF(AE1031="No match","No EIA match",IF(AF1031="Unconfirmed","Unconfirmed EIA candidate","")))</f>
        <v>Review: NOT unit verified</v>
      </c>
      <c r="AA1031" s="26">
        <v>1</v>
      </c>
      <c r="AB1031" t="s">
        <v>143</v>
      </c>
      <c r="AC1031" t="s">
        <v>916</v>
      </c>
      <c r="AD1031" s="26">
        <v>145.6</v>
      </c>
      <c r="AE1031" t="s">
        <v>120</v>
      </c>
      <c r="AF1031" t="s">
        <v>121</v>
      </c>
      <c r="AG1031" s="27">
        <v>12.014900000000001</v>
      </c>
      <c r="AH1031" s="34">
        <f t="shared" si="38"/>
        <v>164676.89999999991</v>
      </c>
      <c r="AI1031">
        <f t="shared" si="37"/>
        <v>102837.84063573841</v>
      </c>
      <c r="AJ1031" t="b" cm="1">
        <f t="array" ref="AJ1031">OR(D1031=$AT$2:$AT$8)</f>
        <v>0</v>
      </c>
    </row>
    <row r="1032" spans="1:36" x14ac:dyDescent="0.25">
      <c r="A1032" s="2" t="s">
        <v>918</v>
      </c>
      <c r="B1032" s="3">
        <v>29.1</v>
      </c>
      <c r="C1032" s="2" t="s">
        <v>136</v>
      </c>
      <c r="D1032" s="2" t="s">
        <v>136</v>
      </c>
      <c r="E1032" s="2" t="s">
        <v>125</v>
      </c>
      <c r="F1032" s="4" t="s">
        <v>126</v>
      </c>
      <c r="G1032" s="4" t="s">
        <v>127</v>
      </c>
      <c r="H1032" s="5">
        <v>9.1999999999999993</v>
      </c>
      <c r="I1032" s="5">
        <v>10.8</v>
      </c>
      <c r="J1032" s="5">
        <v>13.5</v>
      </c>
      <c r="K1032" s="4" t="s">
        <v>111</v>
      </c>
      <c r="L1032" s="4" t="s">
        <v>128</v>
      </c>
      <c r="M1032" s="6">
        <f>IF(OR(B1032="",I1032=""),"",B1032*I1032)</f>
        <v>314.28000000000003</v>
      </c>
      <c r="N1032" s="25" t="s">
        <v>113</v>
      </c>
      <c r="O1032" s="26">
        <v>10870</v>
      </c>
      <c r="P1032" s="9" t="s">
        <v>915</v>
      </c>
      <c r="Q1032" s="27">
        <v>8095.9979999999996</v>
      </c>
      <c r="R1032" s="27">
        <v>97273</v>
      </c>
      <c r="S1032" s="23">
        <f>IF(AND(ISNUMBER(Q1032),Q1032&gt;0,ISNUMBER(R1032),R1032&gt;0),R1032/Q1032,"")</f>
        <v>12.014948620293632</v>
      </c>
      <c r="T1032" s="9" t="s">
        <v>115</v>
      </c>
      <c r="U1032" s="9" t="s">
        <v>130</v>
      </c>
      <c r="V1032" s="9" t="s">
        <v>21</v>
      </c>
      <c r="W1032" s="9" t="s">
        <v>528</v>
      </c>
      <c r="X1032" s="23">
        <f>IF(ISNUMBER(S1032),S1032,IF(ISNUMBER(I1032),I1032,""))</f>
        <v>12.014948620293632</v>
      </c>
      <c r="Y1032" t="str">
        <f>IF(ISNUMBER(S1032),"2025 EIA-923 plant/group proxy",IF(ISNUMBER(I1032),"Technology estimate","No thermal heat rate"))</f>
        <v>2025 EIA-923 plant/group proxy</v>
      </c>
      <c r="Z1032" t="str">
        <f>IF(ISNUMBER(S1032),"Review: NOT unit verified",IF(AE1032="No match","No EIA match",IF(AF1032="Unconfirmed","Unconfirmed EIA candidate","")))</f>
        <v>Review: NOT unit verified</v>
      </c>
      <c r="AA1032" s="26">
        <v>1</v>
      </c>
      <c r="AB1032" t="s">
        <v>143</v>
      </c>
      <c r="AC1032" t="s">
        <v>916</v>
      </c>
      <c r="AD1032" s="26">
        <v>145.6</v>
      </c>
      <c r="AE1032" t="s">
        <v>120</v>
      </c>
      <c r="AF1032" t="s">
        <v>121</v>
      </c>
      <c r="AG1032" s="27">
        <v>12.014900000000001</v>
      </c>
      <c r="AH1032" s="34">
        <f t="shared" si="38"/>
        <v>164705.99999999991</v>
      </c>
      <c r="AI1032">
        <f t="shared" si="37"/>
        <v>102856.01307621124</v>
      </c>
      <c r="AJ1032" t="b" cm="1">
        <f t="array" ref="AJ1032">OR(D1032=$AT$2:$AT$8)</f>
        <v>0</v>
      </c>
    </row>
    <row r="1033" spans="1:36" x14ac:dyDescent="0.25">
      <c r="A1033" s="2" t="s">
        <v>919</v>
      </c>
      <c r="B1033" s="3">
        <v>58.9</v>
      </c>
      <c r="C1033" s="2" t="s">
        <v>136</v>
      </c>
      <c r="D1033" s="2" t="s">
        <v>136</v>
      </c>
      <c r="E1033" s="2" t="s">
        <v>125</v>
      </c>
      <c r="F1033" s="4" t="s">
        <v>126</v>
      </c>
      <c r="G1033" s="4" t="s">
        <v>127</v>
      </c>
      <c r="H1033" s="5">
        <v>9.1999999999999993</v>
      </c>
      <c r="I1033" s="5">
        <v>10.8</v>
      </c>
      <c r="J1033" s="5">
        <v>13.5</v>
      </c>
      <c r="K1033" s="4" t="s">
        <v>111</v>
      </c>
      <c r="L1033" s="4" t="s">
        <v>128</v>
      </c>
      <c r="M1033" s="6">
        <f>IF(OR(B1033="",I1033=""),"",B1033*I1033)</f>
        <v>636.12</v>
      </c>
      <c r="N1033" s="28" t="s">
        <v>113</v>
      </c>
      <c r="O1033" s="26">
        <v>10870</v>
      </c>
      <c r="P1033" s="9" t="s">
        <v>915</v>
      </c>
      <c r="Q1033" s="27">
        <v>8095.9979999999996</v>
      </c>
      <c r="R1033" s="27">
        <v>97273</v>
      </c>
      <c r="S1033" s="23">
        <f>IF(AND(ISNUMBER(Q1033),Q1033&gt;0,ISNUMBER(R1033),R1033&gt;0),R1033/Q1033,"")</f>
        <v>12.014948620293632</v>
      </c>
      <c r="T1033" s="9" t="s">
        <v>115</v>
      </c>
      <c r="U1033" s="9" t="s">
        <v>130</v>
      </c>
      <c r="V1033" s="9" t="s">
        <v>21</v>
      </c>
      <c r="W1033" s="9" t="s">
        <v>332</v>
      </c>
      <c r="X1033" s="23">
        <f>IF(ISNUMBER(S1033),S1033,IF(ISNUMBER(I1033),I1033,""))</f>
        <v>12.014948620293632</v>
      </c>
      <c r="Y1033" t="str">
        <f>IF(ISNUMBER(S1033),"2025 EIA-923 plant/group proxy",IF(ISNUMBER(I1033),"Technology estimate","No thermal heat rate"))</f>
        <v>2025 EIA-923 plant/group proxy</v>
      </c>
      <c r="Z1033" t="str">
        <f>IF(ISNUMBER(S1033),"Review: NOT unit verified",IF(AE1033="No match","No EIA match",IF(AF1033="Unconfirmed","Unconfirmed EIA candidate","")))</f>
        <v>Review: NOT unit verified</v>
      </c>
      <c r="AA1033" s="26">
        <v>0.65900000000000003</v>
      </c>
      <c r="AB1033" t="s">
        <v>143</v>
      </c>
      <c r="AC1033" t="s">
        <v>916</v>
      </c>
      <c r="AD1033" s="26">
        <v>145.6</v>
      </c>
      <c r="AE1033" t="s">
        <v>120</v>
      </c>
      <c r="AF1033" t="s">
        <v>145</v>
      </c>
      <c r="AG1033" s="27">
        <v>12.014900000000001</v>
      </c>
      <c r="AH1033" s="34">
        <f t="shared" si="38"/>
        <v>164764.89999999991</v>
      </c>
      <c r="AI1033">
        <f t="shared" si="37"/>
        <v>102892.79509490023</v>
      </c>
      <c r="AJ1033" t="b" cm="1">
        <f t="array" ref="AJ1033">OR(D1033=$AT$2:$AT$8)</f>
        <v>0</v>
      </c>
    </row>
    <row r="1034" spans="1:36" x14ac:dyDescent="0.25">
      <c r="A1034" s="2" t="s">
        <v>603</v>
      </c>
      <c r="B1034" s="3">
        <v>147</v>
      </c>
      <c r="C1034" s="2" t="s">
        <v>405</v>
      </c>
      <c r="D1034" s="2" t="s">
        <v>405</v>
      </c>
      <c r="E1034" s="2" t="s">
        <v>125</v>
      </c>
      <c r="F1034" s="4" t="s">
        <v>126</v>
      </c>
      <c r="G1034" s="4" t="s">
        <v>127</v>
      </c>
      <c r="H1034" s="5">
        <v>9.1999999999999993</v>
      </c>
      <c r="I1034" s="5">
        <v>10.8</v>
      </c>
      <c r="J1034" s="5">
        <v>13.5</v>
      </c>
      <c r="K1034" s="4" t="s">
        <v>111</v>
      </c>
      <c r="L1034" s="4" t="s">
        <v>128</v>
      </c>
      <c r="M1034" s="6">
        <f>IF(OR(B1034="",I1034=""),"",B1034*I1034)</f>
        <v>1587.6000000000001</v>
      </c>
      <c r="N1034" s="28" t="s">
        <v>113</v>
      </c>
      <c r="O1034" s="26">
        <v>1572</v>
      </c>
      <c r="P1034" s="9" t="s">
        <v>604</v>
      </c>
      <c r="Q1034" s="27">
        <v>237150</v>
      </c>
      <c r="R1034" s="27">
        <v>2850692</v>
      </c>
      <c r="S1034" s="23">
        <f>IF(AND(ISNUMBER(Q1034),Q1034&gt;0,ISNUMBER(R1034),R1034&gt;0),R1034/Q1034,"")</f>
        <v>12.020628294328484</v>
      </c>
      <c r="T1034" s="9" t="s">
        <v>115</v>
      </c>
      <c r="U1034" s="9" t="s">
        <v>130</v>
      </c>
      <c r="V1034" s="9" t="s">
        <v>21</v>
      </c>
      <c r="W1034" s="9" t="s">
        <v>585</v>
      </c>
      <c r="X1034" s="23">
        <f>IF(ISNUMBER(S1034),S1034,IF(ISNUMBER(I1034),I1034,""))</f>
        <v>12.020628294328484</v>
      </c>
      <c r="Y1034" t="str">
        <f>IF(ISNUMBER(S1034),"2025 EIA-923 plant/group proxy",IF(ISNUMBER(I1034),"Technology estimate","No thermal heat rate"))</f>
        <v>2025 EIA-923 plant/group proxy</v>
      </c>
      <c r="Z1034" t="str">
        <f>IF(ISNUMBER(S1034),"Review: NOT unit verified",IF(AE1034="No match","No EIA match",IF(AF1034="Unconfirmed","Unconfirmed EIA candidate","")))</f>
        <v>Review: NOT unit verified</v>
      </c>
      <c r="AA1034" s="26">
        <v>0.65590000000000004</v>
      </c>
      <c r="AB1034" t="s">
        <v>307</v>
      </c>
      <c r="AC1034" t="s">
        <v>605</v>
      </c>
      <c r="AD1034" s="26">
        <v>299</v>
      </c>
      <c r="AE1034" t="s">
        <v>120</v>
      </c>
      <c r="AF1034" t="s">
        <v>145</v>
      </c>
      <c r="AG1034" s="27">
        <v>12.0206</v>
      </c>
      <c r="AH1034" s="34">
        <f t="shared" si="38"/>
        <v>164911.89999999991</v>
      </c>
      <c r="AI1034">
        <f t="shared" si="37"/>
        <v>102984.59402100008</v>
      </c>
      <c r="AJ1034" t="b" cm="1">
        <f t="array" ref="AJ1034">OR(D1034=$AT$2:$AT$8)</f>
        <v>1</v>
      </c>
    </row>
    <row r="1035" spans="1:36" x14ac:dyDescent="0.25">
      <c r="A1035" s="2" t="s">
        <v>606</v>
      </c>
      <c r="B1035" s="3">
        <v>152</v>
      </c>
      <c r="C1035" s="2" t="s">
        <v>405</v>
      </c>
      <c r="D1035" s="2" t="s">
        <v>405</v>
      </c>
      <c r="E1035" s="2" t="s">
        <v>125</v>
      </c>
      <c r="F1035" s="4" t="s">
        <v>126</v>
      </c>
      <c r="G1035" s="4" t="s">
        <v>127</v>
      </c>
      <c r="H1035" s="5">
        <v>9.1999999999999993</v>
      </c>
      <c r="I1035" s="5">
        <v>10.8</v>
      </c>
      <c r="J1035" s="5">
        <v>13.5</v>
      </c>
      <c r="K1035" s="4" t="s">
        <v>111</v>
      </c>
      <c r="L1035" s="4" t="s">
        <v>128</v>
      </c>
      <c r="M1035" s="6">
        <f>IF(OR(B1035="",I1035=""),"",B1035*I1035)</f>
        <v>1641.6000000000001</v>
      </c>
      <c r="N1035" s="28" t="s">
        <v>113</v>
      </c>
      <c r="O1035" s="26">
        <v>1572</v>
      </c>
      <c r="P1035" s="9" t="s">
        <v>604</v>
      </c>
      <c r="Q1035" s="27">
        <v>237150</v>
      </c>
      <c r="R1035" s="27">
        <v>2850692</v>
      </c>
      <c r="S1035" s="23">
        <f>IF(AND(ISNUMBER(Q1035),Q1035&gt;0,ISNUMBER(R1035),R1035&gt;0),R1035/Q1035,"")</f>
        <v>12.020628294328484</v>
      </c>
      <c r="T1035" s="9" t="s">
        <v>115</v>
      </c>
      <c r="U1035" s="9" t="s">
        <v>130</v>
      </c>
      <c r="V1035" s="9" t="s">
        <v>21</v>
      </c>
      <c r="W1035" s="9" t="s">
        <v>585</v>
      </c>
      <c r="X1035" s="23">
        <f>IF(ISNUMBER(S1035),S1035,IF(ISNUMBER(I1035),I1035,""))</f>
        <v>12.020628294328484</v>
      </c>
      <c r="Y1035" t="str">
        <f>IF(ISNUMBER(S1035),"2025 EIA-923 plant/group proxy",IF(ISNUMBER(I1035),"Technology estimate","No thermal heat rate"))</f>
        <v>2025 EIA-923 plant/group proxy</v>
      </c>
      <c r="Z1035" t="str">
        <f>IF(ISNUMBER(S1035),"Review: NOT unit verified",IF(AE1035="No match","No EIA match",IF(AF1035="Unconfirmed","Unconfirmed EIA candidate","")))</f>
        <v>Review: NOT unit verified</v>
      </c>
      <c r="AA1035" s="26">
        <v>0.65590000000000004</v>
      </c>
      <c r="AB1035" t="s">
        <v>307</v>
      </c>
      <c r="AC1035" t="s">
        <v>605</v>
      </c>
      <c r="AD1035" s="26">
        <v>299</v>
      </c>
      <c r="AE1035" t="s">
        <v>120</v>
      </c>
      <c r="AF1035" t="s">
        <v>145</v>
      </c>
      <c r="AG1035" s="27">
        <v>12.0206</v>
      </c>
      <c r="AH1035" s="34">
        <f t="shared" si="38"/>
        <v>165063.89999999991</v>
      </c>
      <c r="AI1035">
        <f t="shared" si="37"/>
        <v>103079.51535955232</v>
      </c>
      <c r="AJ1035" t="b" cm="1">
        <f t="array" ref="AJ1035">OR(D1035=$AT$2:$AT$8)</f>
        <v>1</v>
      </c>
    </row>
    <row r="1036" spans="1:36" x14ac:dyDescent="0.25">
      <c r="A1036" s="2" t="s">
        <v>807</v>
      </c>
      <c r="B1036" s="3">
        <v>49</v>
      </c>
      <c r="C1036" s="2" t="s">
        <v>91</v>
      </c>
      <c r="D1036" s="2" t="s">
        <v>91</v>
      </c>
      <c r="E1036" s="2" t="s">
        <v>244</v>
      </c>
      <c r="F1036" s="4" t="s">
        <v>138</v>
      </c>
      <c r="G1036" s="4" t="s">
        <v>245</v>
      </c>
      <c r="H1036" s="5">
        <v>6.5</v>
      </c>
      <c r="I1036" s="5">
        <v>7.2</v>
      </c>
      <c r="J1036" s="5">
        <v>8.1999999999999993</v>
      </c>
      <c r="K1036" s="4" t="s">
        <v>111</v>
      </c>
      <c r="L1036" s="4" t="s">
        <v>112</v>
      </c>
      <c r="M1036" s="6">
        <f>IF(OR(B1036="",I1036=""),"",B1036*I1036)</f>
        <v>352.8</v>
      </c>
      <c r="N1036" s="25" t="s">
        <v>113</v>
      </c>
      <c r="O1036" s="26">
        <v>2393</v>
      </c>
      <c r="P1036" s="9" t="s">
        <v>808</v>
      </c>
      <c r="Q1036" s="27">
        <v>62284</v>
      </c>
      <c r="R1036" s="27">
        <v>749295</v>
      </c>
      <c r="S1036" s="23">
        <f>IF(AND(ISNUMBER(Q1036),Q1036&gt;0,ISNUMBER(R1036),R1036&gt;0),R1036/Q1036,"")</f>
        <v>12.03029670541391</v>
      </c>
      <c r="T1036" s="9" t="s">
        <v>115</v>
      </c>
      <c r="U1036" s="9" t="s">
        <v>331</v>
      </c>
      <c r="V1036" s="9" t="s">
        <v>21</v>
      </c>
      <c r="W1036" s="9" t="s">
        <v>809</v>
      </c>
      <c r="X1036" s="23">
        <f>IF(ISNUMBER(S1036),S1036,IF(ISNUMBER(I1036),I1036,""))</f>
        <v>12.03029670541391</v>
      </c>
      <c r="Y1036" t="str">
        <f>IF(ISNUMBER(S1036),"2025 EIA-923 plant/group proxy",IF(ISNUMBER(I1036),"Technology estimate","No thermal heat rate"))</f>
        <v>2025 EIA-923 plant/group proxy</v>
      </c>
      <c r="Z1036" t="str">
        <f>IF(ISNUMBER(S1036),"Review: NOT unit verified",IF(AE1036="No match","No EIA match",IF(AF1036="Unconfirmed","Unconfirmed EIA candidate","")))</f>
        <v>Review: NOT unit verified</v>
      </c>
      <c r="AA1036" s="26">
        <v>1</v>
      </c>
      <c r="AB1036" t="s">
        <v>241</v>
      </c>
      <c r="AC1036" t="s">
        <v>810</v>
      </c>
      <c r="AD1036" s="26">
        <v>302.5</v>
      </c>
      <c r="AE1036" t="s">
        <v>120</v>
      </c>
      <c r="AF1036" t="s">
        <v>121</v>
      </c>
      <c r="AG1036" s="27">
        <v>12.0303</v>
      </c>
      <c r="AH1036" s="34">
        <f t="shared" si="38"/>
        <v>165112.89999999991</v>
      </c>
      <c r="AI1036">
        <f t="shared" si="37"/>
        <v>103110.1150015856</v>
      </c>
      <c r="AJ1036" t="b" cm="1">
        <f t="array" ref="AJ1036">OR(D1036=$AT$2:$AT$8)</f>
        <v>1</v>
      </c>
    </row>
    <row r="1037" spans="1:36" x14ac:dyDescent="0.25">
      <c r="A1037" s="2" t="s">
        <v>811</v>
      </c>
      <c r="B1037" s="3">
        <v>53</v>
      </c>
      <c r="C1037" s="2" t="s">
        <v>91</v>
      </c>
      <c r="D1037" s="2" t="s">
        <v>91</v>
      </c>
      <c r="E1037" s="2" t="s">
        <v>244</v>
      </c>
      <c r="F1037" s="4" t="s">
        <v>138</v>
      </c>
      <c r="G1037" s="4" t="s">
        <v>245</v>
      </c>
      <c r="H1037" s="5">
        <v>6.5</v>
      </c>
      <c r="I1037" s="5">
        <v>7.2</v>
      </c>
      <c r="J1037" s="5">
        <v>8.1999999999999993</v>
      </c>
      <c r="K1037" s="4" t="s">
        <v>111</v>
      </c>
      <c r="L1037" s="4" t="s">
        <v>112</v>
      </c>
      <c r="M1037" s="6">
        <f>IF(OR(B1037="",I1037=""),"",B1037*I1037)</f>
        <v>381.6</v>
      </c>
      <c r="N1037" s="25" t="s">
        <v>113</v>
      </c>
      <c r="O1037" s="26">
        <v>2393</v>
      </c>
      <c r="P1037" s="9" t="s">
        <v>808</v>
      </c>
      <c r="Q1037" s="27">
        <v>62284</v>
      </c>
      <c r="R1037" s="27">
        <v>749295</v>
      </c>
      <c r="S1037" s="23">
        <f>IF(AND(ISNUMBER(Q1037),Q1037&gt;0,ISNUMBER(R1037),R1037&gt;0),R1037/Q1037,"")</f>
        <v>12.03029670541391</v>
      </c>
      <c r="T1037" s="9" t="s">
        <v>115</v>
      </c>
      <c r="U1037" s="9" t="s">
        <v>331</v>
      </c>
      <c r="V1037" s="9" t="s">
        <v>21</v>
      </c>
      <c r="W1037" s="9" t="s">
        <v>809</v>
      </c>
      <c r="X1037" s="23">
        <f>IF(ISNUMBER(S1037),S1037,IF(ISNUMBER(I1037),I1037,""))</f>
        <v>12.03029670541391</v>
      </c>
      <c r="Y1037" t="str">
        <f>IF(ISNUMBER(S1037),"2025 EIA-923 plant/group proxy",IF(ISNUMBER(I1037),"Technology estimate","No thermal heat rate"))</f>
        <v>2025 EIA-923 plant/group proxy</v>
      </c>
      <c r="Z1037" t="str">
        <f>IF(ISNUMBER(S1037),"Review: NOT unit verified",IF(AE1037="No match","No EIA match",IF(AF1037="Unconfirmed","Unconfirmed EIA candidate","")))</f>
        <v>Review: NOT unit verified</v>
      </c>
      <c r="AA1037" s="26">
        <v>1</v>
      </c>
      <c r="AB1037" t="s">
        <v>241</v>
      </c>
      <c r="AC1037" t="s">
        <v>810</v>
      </c>
      <c r="AD1037" s="26">
        <v>302.5</v>
      </c>
      <c r="AE1037" t="s">
        <v>120</v>
      </c>
      <c r="AF1037" t="s">
        <v>121</v>
      </c>
      <c r="AG1037" s="27">
        <v>12.0303</v>
      </c>
      <c r="AH1037" s="34">
        <f t="shared" si="38"/>
        <v>165165.89999999991</v>
      </c>
      <c r="AI1037">
        <f t="shared" si="37"/>
        <v>103143.21257358078</v>
      </c>
      <c r="AJ1037" t="b" cm="1">
        <f t="array" ref="AJ1037">OR(D1037=$AT$2:$AT$8)</f>
        <v>1</v>
      </c>
    </row>
    <row r="1038" spans="1:36" x14ac:dyDescent="0.25">
      <c r="A1038" s="2" t="s">
        <v>812</v>
      </c>
      <c r="B1038" s="3">
        <v>55</v>
      </c>
      <c r="C1038" s="2" t="s">
        <v>91</v>
      </c>
      <c r="D1038" s="2" t="s">
        <v>91</v>
      </c>
      <c r="E1038" s="2" t="s">
        <v>244</v>
      </c>
      <c r="F1038" s="4" t="s">
        <v>138</v>
      </c>
      <c r="G1038" s="4" t="s">
        <v>245</v>
      </c>
      <c r="H1038" s="5">
        <v>6.5</v>
      </c>
      <c r="I1038" s="5">
        <v>7.2</v>
      </c>
      <c r="J1038" s="5">
        <v>8.1999999999999993</v>
      </c>
      <c r="K1038" s="4" t="s">
        <v>111</v>
      </c>
      <c r="L1038" s="4" t="s">
        <v>112</v>
      </c>
      <c r="M1038" s="6">
        <f>IF(OR(B1038="",I1038=""),"",B1038*I1038)</f>
        <v>396</v>
      </c>
      <c r="N1038" s="25" t="s">
        <v>113</v>
      </c>
      <c r="O1038" s="26">
        <v>2393</v>
      </c>
      <c r="P1038" s="9" t="s">
        <v>808</v>
      </c>
      <c r="Q1038" s="27">
        <v>62284</v>
      </c>
      <c r="R1038" s="27">
        <v>749295</v>
      </c>
      <c r="S1038" s="23">
        <f>IF(AND(ISNUMBER(Q1038),Q1038&gt;0,ISNUMBER(R1038),R1038&gt;0),R1038/Q1038,"")</f>
        <v>12.03029670541391</v>
      </c>
      <c r="T1038" s="9" t="s">
        <v>115</v>
      </c>
      <c r="U1038" s="9" t="s">
        <v>331</v>
      </c>
      <c r="V1038" s="9" t="s">
        <v>21</v>
      </c>
      <c r="W1038" s="9" t="s">
        <v>809</v>
      </c>
      <c r="X1038" s="23">
        <f>IF(ISNUMBER(S1038),S1038,IF(ISNUMBER(I1038),I1038,""))</f>
        <v>12.03029670541391</v>
      </c>
      <c r="Y1038" t="str">
        <f>IF(ISNUMBER(S1038),"2025 EIA-923 plant/group proxy",IF(ISNUMBER(I1038),"Technology estimate","No thermal heat rate"))</f>
        <v>2025 EIA-923 plant/group proxy</v>
      </c>
      <c r="Z1038" t="str">
        <f>IF(ISNUMBER(S1038),"Review: NOT unit verified",IF(AE1038="No match","No EIA match",IF(AF1038="Unconfirmed","Unconfirmed EIA candidate","")))</f>
        <v>Review: NOT unit verified</v>
      </c>
      <c r="AA1038" s="26">
        <v>1</v>
      </c>
      <c r="AB1038" t="s">
        <v>241</v>
      </c>
      <c r="AC1038" t="s">
        <v>810</v>
      </c>
      <c r="AD1038" s="26">
        <v>302.5</v>
      </c>
      <c r="AE1038" t="s">
        <v>120</v>
      </c>
      <c r="AF1038" t="s">
        <v>121</v>
      </c>
      <c r="AG1038" s="27">
        <v>12.0303</v>
      </c>
      <c r="AH1038" s="34">
        <f t="shared" si="38"/>
        <v>165220.89999999991</v>
      </c>
      <c r="AI1038">
        <f t="shared" si="37"/>
        <v>103177.55911055692</v>
      </c>
      <c r="AJ1038" t="b" cm="1">
        <f t="array" ref="AJ1038">OR(D1038=$AT$2:$AT$8)</f>
        <v>1</v>
      </c>
    </row>
    <row r="1039" spans="1:36" x14ac:dyDescent="0.25">
      <c r="A1039" s="2" t="s">
        <v>813</v>
      </c>
      <c r="B1039" s="3">
        <v>55.5</v>
      </c>
      <c r="C1039" s="2" t="s">
        <v>91</v>
      </c>
      <c r="D1039" s="2" t="s">
        <v>91</v>
      </c>
      <c r="E1039" s="2" t="s">
        <v>244</v>
      </c>
      <c r="F1039" s="4" t="s">
        <v>138</v>
      </c>
      <c r="G1039" s="4" t="s">
        <v>245</v>
      </c>
      <c r="H1039" s="5">
        <v>6.5</v>
      </c>
      <c r="I1039" s="5">
        <v>7.2</v>
      </c>
      <c r="J1039" s="5">
        <v>8.1999999999999993</v>
      </c>
      <c r="K1039" s="4" t="s">
        <v>111</v>
      </c>
      <c r="L1039" s="4" t="s">
        <v>112</v>
      </c>
      <c r="M1039" s="6">
        <f>IF(OR(B1039="",I1039=""),"",B1039*I1039)</f>
        <v>399.6</v>
      </c>
      <c r="N1039" s="25" t="s">
        <v>113</v>
      </c>
      <c r="O1039" s="26">
        <v>2393</v>
      </c>
      <c r="P1039" s="9" t="s">
        <v>808</v>
      </c>
      <c r="Q1039" s="27">
        <v>62284</v>
      </c>
      <c r="R1039" s="27">
        <v>749295</v>
      </c>
      <c r="S1039" s="23">
        <f>IF(AND(ISNUMBER(Q1039),Q1039&gt;0,ISNUMBER(R1039),R1039&gt;0),R1039/Q1039,"")</f>
        <v>12.03029670541391</v>
      </c>
      <c r="T1039" s="9" t="s">
        <v>115</v>
      </c>
      <c r="U1039" s="9" t="s">
        <v>331</v>
      </c>
      <c r="V1039" s="9" t="s">
        <v>21</v>
      </c>
      <c r="W1039" s="9" t="s">
        <v>809</v>
      </c>
      <c r="X1039" s="23">
        <f>IF(ISNUMBER(S1039),S1039,IF(ISNUMBER(I1039),I1039,""))</f>
        <v>12.03029670541391</v>
      </c>
      <c r="Y1039" t="str">
        <f>IF(ISNUMBER(S1039),"2025 EIA-923 plant/group proxy",IF(ISNUMBER(I1039),"Technology estimate","No thermal heat rate"))</f>
        <v>2025 EIA-923 plant/group proxy</v>
      </c>
      <c r="Z1039" t="str">
        <f>IF(ISNUMBER(S1039),"Review: NOT unit verified",IF(AE1039="No match","No EIA match",IF(AF1039="Unconfirmed","Unconfirmed EIA candidate","")))</f>
        <v>Review: NOT unit verified</v>
      </c>
      <c r="AA1039" s="26">
        <v>1</v>
      </c>
      <c r="AB1039" t="s">
        <v>241</v>
      </c>
      <c r="AC1039" t="s">
        <v>810</v>
      </c>
      <c r="AD1039" s="26">
        <v>302.5</v>
      </c>
      <c r="AE1039" t="s">
        <v>120</v>
      </c>
      <c r="AF1039" t="s">
        <v>121</v>
      </c>
      <c r="AG1039" s="27">
        <v>12.0303</v>
      </c>
      <c r="AH1039" s="34">
        <f t="shared" si="38"/>
        <v>165276.39999999991</v>
      </c>
      <c r="AI1039">
        <f t="shared" si="37"/>
        <v>103212.21788877829</v>
      </c>
      <c r="AJ1039" t="b" cm="1">
        <f t="array" ref="AJ1039">OR(D1039=$AT$2:$AT$8)</f>
        <v>1</v>
      </c>
    </row>
    <row r="1040" spans="1:36" x14ac:dyDescent="0.25">
      <c r="A1040" s="2" t="s">
        <v>814</v>
      </c>
      <c r="B1040" s="3">
        <v>90</v>
      </c>
      <c r="C1040" s="2" t="s">
        <v>91</v>
      </c>
      <c r="D1040" s="2" t="s">
        <v>91</v>
      </c>
      <c r="E1040" s="2" t="s">
        <v>244</v>
      </c>
      <c r="F1040" s="4" t="s">
        <v>138</v>
      </c>
      <c r="G1040" s="4" t="s">
        <v>245</v>
      </c>
      <c r="H1040" s="5">
        <v>6.5</v>
      </c>
      <c r="I1040" s="5">
        <v>7.2</v>
      </c>
      <c r="J1040" s="5">
        <v>8.1999999999999993</v>
      </c>
      <c r="K1040" s="4" t="s">
        <v>111</v>
      </c>
      <c r="L1040" s="4" t="s">
        <v>112</v>
      </c>
      <c r="M1040" s="6">
        <f>IF(OR(B1040="",I1040=""),"",B1040*I1040)</f>
        <v>648</v>
      </c>
      <c r="N1040" s="25" t="s">
        <v>113</v>
      </c>
      <c r="O1040" s="26">
        <v>2393</v>
      </c>
      <c r="P1040" s="9" t="s">
        <v>808</v>
      </c>
      <c r="Q1040" s="27">
        <v>62284</v>
      </c>
      <c r="R1040" s="27">
        <v>749295</v>
      </c>
      <c r="S1040" s="23">
        <f>IF(AND(ISNUMBER(Q1040),Q1040&gt;0,ISNUMBER(R1040),R1040&gt;0),R1040/Q1040,"")</f>
        <v>12.03029670541391</v>
      </c>
      <c r="T1040" s="9" t="s">
        <v>115</v>
      </c>
      <c r="U1040" s="9" t="s">
        <v>331</v>
      </c>
      <c r="V1040" s="9" t="s">
        <v>21</v>
      </c>
      <c r="W1040" s="9" t="s">
        <v>809</v>
      </c>
      <c r="X1040" s="23">
        <f>IF(ISNUMBER(S1040),S1040,IF(ISNUMBER(I1040),I1040,""))</f>
        <v>12.03029670541391</v>
      </c>
      <c r="Y1040" t="str">
        <f>IF(ISNUMBER(S1040),"2025 EIA-923 plant/group proxy",IF(ISNUMBER(I1040),"Technology estimate","No thermal heat rate"))</f>
        <v>2025 EIA-923 plant/group proxy</v>
      </c>
      <c r="Z1040" t="str">
        <f>IF(ISNUMBER(S1040),"Review: NOT unit verified",IF(AE1040="No match","No EIA match",IF(AF1040="Unconfirmed","Unconfirmed EIA candidate","")))</f>
        <v>Review: NOT unit verified</v>
      </c>
      <c r="AA1040" s="26">
        <v>1</v>
      </c>
      <c r="AB1040" t="s">
        <v>241</v>
      </c>
      <c r="AC1040" t="s">
        <v>810</v>
      </c>
      <c r="AD1040" s="26">
        <v>302.5</v>
      </c>
      <c r="AE1040" t="s">
        <v>120</v>
      </c>
      <c r="AF1040" t="s">
        <v>121</v>
      </c>
      <c r="AG1040" s="27">
        <v>12.0303</v>
      </c>
      <c r="AH1040" s="34">
        <f t="shared" si="38"/>
        <v>165366.39999999991</v>
      </c>
      <c r="AI1040">
        <f t="shared" si="37"/>
        <v>103268.42131292107</v>
      </c>
      <c r="AJ1040" t="b" cm="1">
        <f t="array" ref="AJ1040">OR(D1040=$AT$2:$AT$8)</f>
        <v>1</v>
      </c>
    </row>
    <row r="1041" spans="1:36" x14ac:dyDescent="0.25">
      <c r="A1041" s="2" t="s">
        <v>329</v>
      </c>
      <c r="B1041" s="3">
        <v>101.6</v>
      </c>
      <c r="C1041" s="2" t="s">
        <v>209</v>
      </c>
      <c r="D1041" s="2" t="s">
        <v>81</v>
      </c>
      <c r="E1041" s="2" t="s">
        <v>244</v>
      </c>
      <c r="F1041" s="4" t="s">
        <v>138</v>
      </c>
      <c r="G1041" s="4" t="s">
        <v>245</v>
      </c>
      <c r="H1041" s="5">
        <v>6.5</v>
      </c>
      <c r="I1041" s="5">
        <v>7.2</v>
      </c>
      <c r="J1041" s="5">
        <v>8.1999999999999993</v>
      </c>
      <c r="K1041" s="4" t="s">
        <v>111</v>
      </c>
      <c r="L1041" s="4" t="s">
        <v>112</v>
      </c>
      <c r="M1041" s="6">
        <f>IF(OR(B1041="",I1041=""),"",B1041*I1041)</f>
        <v>731.52</v>
      </c>
      <c r="N1041" s="28" t="s">
        <v>113</v>
      </c>
      <c r="O1041" s="26">
        <v>3096</v>
      </c>
      <c r="P1041" s="9" t="s">
        <v>330</v>
      </c>
      <c r="Q1041" s="27">
        <v>44516</v>
      </c>
      <c r="R1041" s="27">
        <v>537040</v>
      </c>
      <c r="S1041" s="23">
        <f>IF(AND(ISNUMBER(Q1041),Q1041&gt;0,ISNUMBER(R1041),R1041&gt;0),R1041/Q1041,"")</f>
        <v>12.063976997034773</v>
      </c>
      <c r="T1041" s="9" t="s">
        <v>115</v>
      </c>
      <c r="U1041" s="9" t="s">
        <v>331</v>
      </c>
      <c r="V1041" s="9" t="s">
        <v>21</v>
      </c>
      <c r="W1041" s="9" t="s">
        <v>332</v>
      </c>
      <c r="X1041" s="23">
        <f>IF(ISNUMBER(S1041),S1041,IF(ISNUMBER(I1041),I1041,""))</f>
        <v>12.063976997034773</v>
      </c>
      <c r="Y1041" t="str">
        <f>IF(ISNUMBER(S1041),"2025 EIA-923 plant/group proxy",IF(ISNUMBER(I1041),"Technology estimate","No thermal heat rate"))</f>
        <v>2025 EIA-923 plant/group proxy</v>
      </c>
      <c r="Z1041" t="str">
        <f>IF(ISNUMBER(S1041),"Review: NOT unit verified",IF(AE1041="No match","No EIA match",IF(AF1041="Unconfirmed","Unconfirmed EIA candidate","")))</f>
        <v>Review: NOT unit verified</v>
      </c>
      <c r="AA1041" s="26">
        <v>0.77270000000000005</v>
      </c>
      <c r="AB1041" t="s">
        <v>143</v>
      </c>
      <c r="AC1041" t="s">
        <v>333</v>
      </c>
      <c r="AD1041" s="26">
        <v>243.5</v>
      </c>
      <c r="AE1041" t="s">
        <v>120</v>
      </c>
      <c r="AF1041" t="s">
        <v>145</v>
      </c>
      <c r="AG1041" s="27">
        <v>12.064</v>
      </c>
      <c r="AH1041" s="34">
        <f t="shared" si="38"/>
        <v>165467.99999999991</v>
      </c>
      <c r="AI1041">
        <f t="shared" si="37"/>
        <v>103331.86873395335</v>
      </c>
      <c r="AJ1041" t="b" cm="1">
        <f t="array" ref="AJ1041">OR(D1041=$AT$2:$AT$8)</f>
        <v>0</v>
      </c>
    </row>
    <row r="1042" spans="1:36" x14ac:dyDescent="0.25">
      <c r="A1042" s="2" t="s">
        <v>335</v>
      </c>
      <c r="B1042" s="3">
        <v>47.4</v>
      </c>
      <c r="C1042" s="2" t="s">
        <v>209</v>
      </c>
      <c r="D1042" s="2" t="s">
        <v>81</v>
      </c>
      <c r="E1042" s="2" t="s">
        <v>244</v>
      </c>
      <c r="F1042" s="4" t="s">
        <v>138</v>
      </c>
      <c r="G1042" s="4" t="s">
        <v>245</v>
      </c>
      <c r="H1042" s="5">
        <v>6.5</v>
      </c>
      <c r="I1042" s="5">
        <v>7.2</v>
      </c>
      <c r="J1042" s="5">
        <v>8.1999999999999993</v>
      </c>
      <c r="K1042" s="4" t="s">
        <v>111</v>
      </c>
      <c r="L1042" s="4" t="s">
        <v>112</v>
      </c>
      <c r="M1042" s="6">
        <f>IF(OR(B1042="",I1042=""),"",B1042*I1042)</f>
        <v>341.28</v>
      </c>
      <c r="N1042" s="28" t="s">
        <v>113</v>
      </c>
      <c r="O1042" s="26">
        <v>3096</v>
      </c>
      <c r="P1042" s="9" t="s">
        <v>330</v>
      </c>
      <c r="Q1042" s="27">
        <v>44516</v>
      </c>
      <c r="R1042" s="27">
        <v>537040</v>
      </c>
      <c r="S1042" s="23">
        <f>IF(AND(ISNUMBER(Q1042),Q1042&gt;0,ISNUMBER(R1042),R1042&gt;0),R1042/Q1042,"")</f>
        <v>12.063976997034773</v>
      </c>
      <c r="T1042" s="9" t="s">
        <v>115</v>
      </c>
      <c r="U1042" s="9" t="s">
        <v>331</v>
      </c>
      <c r="V1042" s="9" t="s">
        <v>21</v>
      </c>
      <c r="W1042" s="9" t="s">
        <v>332</v>
      </c>
      <c r="X1042" s="23">
        <f>IF(ISNUMBER(S1042),S1042,IF(ISNUMBER(I1042),I1042,""))</f>
        <v>12.063976997034773</v>
      </c>
      <c r="Y1042" t="str">
        <f>IF(ISNUMBER(S1042),"2025 EIA-923 plant/group proxy",IF(ISNUMBER(I1042),"Technology estimate","No thermal heat rate"))</f>
        <v>2025 EIA-923 plant/group proxy</v>
      </c>
      <c r="Z1042" t="str">
        <f>IF(ISNUMBER(S1042),"Review: NOT unit verified",IF(AE1042="No match","No EIA match",IF(AF1042="Unconfirmed","Unconfirmed EIA candidate","")))</f>
        <v>Review: NOT unit verified</v>
      </c>
      <c r="AA1042" s="26">
        <v>0.76759999999999995</v>
      </c>
      <c r="AB1042" t="s">
        <v>143</v>
      </c>
      <c r="AC1042" t="s">
        <v>333</v>
      </c>
      <c r="AD1042" s="26">
        <v>243.5</v>
      </c>
      <c r="AE1042" t="s">
        <v>120</v>
      </c>
      <c r="AF1042" t="s">
        <v>145</v>
      </c>
      <c r="AG1042" s="27">
        <v>12.064</v>
      </c>
      <c r="AH1042" s="34">
        <f t="shared" si="38"/>
        <v>165515.39999999991</v>
      </c>
      <c r="AI1042">
        <f t="shared" si="37"/>
        <v>103361.46920400187</v>
      </c>
      <c r="AJ1042" t="b" cm="1">
        <f t="array" ref="AJ1042">OR(D1042=$AT$2:$AT$8)</f>
        <v>0</v>
      </c>
    </row>
    <row r="1043" spans="1:36" x14ac:dyDescent="0.25">
      <c r="A1043" s="2" t="s">
        <v>336</v>
      </c>
      <c r="B1043" s="3">
        <v>47</v>
      </c>
      <c r="C1043" s="2" t="s">
        <v>209</v>
      </c>
      <c r="D1043" s="2" t="s">
        <v>81</v>
      </c>
      <c r="E1043" s="2" t="s">
        <v>244</v>
      </c>
      <c r="F1043" s="4" t="s">
        <v>138</v>
      </c>
      <c r="G1043" s="4" t="s">
        <v>245</v>
      </c>
      <c r="H1043" s="5">
        <v>6.5</v>
      </c>
      <c r="I1043" s="5">
        <v>7.2</v>
      </c>
      <c r="J1043" s="5">
        <v>8.1999999999999993</v>
      </c>
      <c r="K1043" s="4" t="s">
        <v>111</v>
      </c>
      <c r="L1043" s="4" t="s">
        <v>112</v>
      </c>
      <c r="M1043" s="6">
        <f>IF(OR(B1043="",I1043=""),"",B1043*I1043)</f>
        <v>338.40000000000003</v>
      </c>
      <c r="N1043" s="28" t="s">
        <v>113</v>
      </c>
      <c r="O1043" s="26">
        <v>3096</v>
      </c>
      <c r="P1043" s="9" t="s">
        <v>330</v>
      </c>
      <c r="Q1043" s="27">
        <v>44516</v>
      </c>
      <c r="R1043" s="27">
        <v>537040</v>
      </c>
      <c r="S1043" s="23">
        <f>IF(AND(ISNUMBER(Q1043),Q1043&gt;0,ISNUMBER(R1043),R1043&gt;0),R1043/Q1043,"")</f>
        <v>12.063976997034773</v>
      </c>
      <c r="T1043" s="9" t="s">
        <v>115</v>
      </c>
      <c r="U1043" s="9" t="s">
        <v>331</v>
      </c>
      <c r="V1043" s="9" t="s">
        <v>21</v>
      </c>
      <c r="W1043" s="9" t="s">
        <v>332</v>
      </c>
      <c r="X1043" s="23">
        <f>IF(ISNUMBER(S1043),S1043,IF(ISNUMBER(I1043),I1043,""))</f>
        <v>12.063976997034773</v>
      </c>
      <c r="Y1043" t="str">
        <f>IF(ISNUMBER(S1043),"2025 EIA-923 plant/group proxy",IF(ISNUMBER(I1043),"Technology estimate","No thermal heat rate"))</f>
        <v>2025 EIA-923 plant/group proxy</v>
      </c>
      <c r="Z1043" t="str">
        <f>IF(ISNUMBER(S1043),"Review: NOT unit verified",IF(AE1043="No match","No EIA match",IF(AF1043="Unconfirmed","Unconfirmed EIA candidate","")))</f>
        <v>Review: NOT unit verified</v>
      </c>
      <c r="AA1043" s="26">
        <v>0.76759999999999995</v>
      </c>
      <c r="AB1043" t="s">
        <v>143</v>
      </c>
      <c r="AC1043" t="s">
        <v>333</v>
      </c>
      <c r="AD1043" s="26">
        <v>243.5</v>
      </c>
      <c r="AE1043" t="s">
        <v>120</v>
      </c>
      <c r="AF1043" t="s">
        <v>145</v>
      </c>
      <c r="AG1043" s="27">
        <v>12.064</v>
      </c>
      <c r="AH1043" s="34">
        <f t="shared" si="38"/>
        <v>165562.39999999991</v>
      </c>
      <c r="AI1043">
        <f t="shared" si="37"/>
        <v>103390.81988105421</v>
      </c>
      <c r="AJ1043" t="b" cm="1">
        <f t="array" ref="AJ1043">OR(D1043=$AT$2:$AT$8)</f>
        <v>0</v>
      </c>
    </row>
    <row r="1044" spans="1:36" x14ac:dyDescent="0.25">
      <c r="A1044" s="2" t="s">
        <v>337</v>
      </c>
      <c r="B1044" s="3">
        <v>47.5</v>
      </c>
      <c r="C1044" s="2" t="s">
        <v>209</v>
      </c>
      <c r="D1044" s="2" t="s">
        <v>81</v>
      </c>
      <c r="E1044" s="2" t="s">
        <v>244</v>
      </c>
      <c r="F1044" s="4" t="s">
        <v>138</v>
      </c>
      <c r="G1044" s="4" t="s">
        <v>245</v>
      </c>
      <c r="H1044" s="5">
        <v>6.5</v>
      </c>
      <c r="I1044" s="5">
        <v>7.2</v>
      </c>
      <c r="J1044" s="5">
        <v>8.1999999999999993</v>
      </c>
      <c r="K1044" s="4" t="s">
        <v>111</v>
      </c>
      <c r="L1044" s="4" t="s">
        <v>112</v>
      </c>
      <c r="M1044" s="6">
        <f>IF(OR(B1044="",I1044=""),"",B1044*I1044)</f>
        <v>342</v>
      </c>
      <c r="N1044" s="28" t="s">
        <v>113</v>
      </c>
      <c r="O1044" s="26">
        <v>3096</v>
      </c>
      <c r="P1044" s="9" t="s">
        <v>330</v>
      </c>
      <c r="Q1044" s="27">
        <v>44516</v>
      </c>
      <c r="R1044" s="27">
        <v>537040</v>
      </c>
      <c r="S1044" s="23">
        <f>IF(AND(ISNUMBER(Q1044),Q1044&gt;0,ISNUMBER(R1044),R1044&gt;0),R1044/Q1044,"")</f>
        <v>12.063976997034773</v>
      </c>
      <c r="T1044" s="9" t="s">
        <v>115</v>
      </c>
      <c r="U1044" s="9" t="s">
        <v>331</v>
      </c>
      <c r="V1044" s="9" t="s">
        <v>21</v>
      </c>
      <c r="W1044" s="9" t="s">
        <v>332</v>
      </c>
      <c r="X1044" s="23">
        <f>IF(ISNUMBER(S1044),S1044,IF(ISNUMBER(I1044),I1044,""))</f>
        <v>12.063976997034773</v>
      </c>
      <c r="Y1044" t="str">
        <f>IF(ISNUMBER(S1044),"2025 EIA-923 plant/group proxy",IF(ISNUMBER(I1044),"Technology estimate","No thermal heat rate"))</f>
        <v>2025 EIA-923 plant/group proxy</v>
      </c>
      <c r="Z1044" t="str">
        <f>IF(ISNUMBER(S1044),"Review: NOT unit verified",IF(AE1044="No match","No EIA match",IF(AF1044="Unconfirmed","Unconfirmed EIA candidate","")))</f>
        <v>Review: NOT unit verified</v>
      </c>
      <c r="AA1044" s="26">
        <v>0.77270000000000005</v>
      </c>
      <c r="AB1044" t="s">
        <v>143</v>
      </c>
      <c r="AC1044" t="s">
        <v>333</v>
      </c>
      <c r="AD1044" s="26">
        <v>243.5</v>
      </c>
      <c r="AE1044" t="s">
        <v>120</v>
      </c>
      <c r="AF1044" t="s">
        <v>145</v>
      </c>
      <c r="AG1044" s="27">
        <v>12.064</v>
      </c>
      <c r="AH1044" s="34">
        <f t="shared" si="38"/>
        <v>165609.89999999991</v>
      </c>
      <c r="AI1044">
        <f t="shared" si="37"/>
        <v>103420.48279935178</v>
      </c>
      <c r="AJ1044" t="b" cm="1">
        <f t="array" ref="AJ1044">OR(D1044=$AT$2:$AT$8)</f>
        <v>0</v>
      </c>
    </row>
    <row r="1045" spans="1:36" x14ac:dyDescent="0.25">
      <c r="A1045" s="2" t="s">
        <v>1016</v>
      </c>
      <c r="B1045" s="3">
        <v>556</v>
      </c>
      <c r="C1045" s="2" t="s">
        <v>97</v>
      </c>
      <c r="D1045" s="2" t="s">
        <v>97</v>
      </c>
      <c r="E1045" s="2" t="s">
        <v>109</v>
      </c>
      <c r="F1045" s="4" t="s">
        <v>109</v>
      </c>
      <c r="G1045" s="4" t="s">
        <v>110</v>
      </c>
      <c r="H1045" s="5">
        <v>9</v>
      </c>
      <c r="I1045" s="5">
        <v>10.3</v>
      </c>
      <c r="J1045" s="5">
        <v>12</v>
      </c>
      <c r="K1045" s="4" t="s">
        <v>111</v>
      </c>
      <c r="L1045" s="4" t="s">
        <v>112</v>
      </c>
      <c r="M1045" s="6">
        <f>IF(OR(B1045="",I1045=""),"",B1045*I1045)</f>
        <v>5726.8</v>
      </c>
      <c r="N1045" s="28" t="s">
        <v>113</v>
      </c>
      <c r="O1045" s="26">
        <v>876</v>
      </c>
      <c r="P1045" s="9" t="s">
        <v>1017</v>
      </c>
      <c r="Q1045" s="27">
        <v>2677545.9410000001</v>
      </c>
      <c r="R1045" s="27">
        <v>32439159</v>
      </c>
      <c r="S1045" s="23">
        <f>IF(AND(ISNUMBER(Q1045),Q1045&gt;0,ISNUMBER(R1045),R1045&gt;0),R1045/Q1045,"")</f>
        <v>12.115257670568573</v>
      </c>
      <c r="T1045" s="9" t="s">
        <v>115</v>
      </c>
      <c r="U1045" s="9" t="s">
        <v>1018</v>
      </c>
      <c r="V1045" s="9" t="s">
        <v>21</v>
      </c>
      <c r="W1045" s="9" t="s">
        <v>585</v>
      </c>
      <c r="X1045" s="23">
        <f>IF(ISNUMBER(S1045),S1045,IF(ISNUMBER(I1045),I1045,""))</f>
        <v>12.115257670568573</v>
      </c>
      <c r="Y1045" t="str">
        <f>IF(ISNUMBER(S1045),"2025 EIA-923 plant/group proxy",IF(ISNUMBER(I1045),"Technology estimate","No thermal heat rate"))</f>
        <v>2025 EIA-923 plant/group proxy</v>
      </c>
      <c r="Z1045" t="str">
        <f>IF(ISNUMBER(S1045),"Review: NOT unit verified",IF(AE1045="No match","No EIA match",IF(AF1045="Unconfirmed","Unconfirmed EIA candidate","")))</f>
        <v>Review: NOT unit verified</v>
      </c>
      <c r="AA1045" s="26">
        <v>0.64759999999999995</v>
      </c>
      <c r="AB1045" t="s">
        <v>166</v>
      </c>
      <c r="AC1045" t="s">
        <v>308</v>
      </c>
      <c r="AD1045" s="26">
        <v>1112</v>
      </c>
      <c r="AE1045" t="s">
        <v>120</v>
      </c>
      <c r="AF1045" t="s">
        <v>145</v>
      </c>
      <c r="AG1045" s="27">
        <v>12.1153</v>
      </c>
      <c r="AH1045" s="34">
        <f t="shared" si="38"/>
        <v>166165.89999999991</v>
      </c>
      <c r="AI1045">
        <f t="shared" si="37"/>
        <v>103767.695064056</v>
      </c>
      <c r="AJ1045" t="b" cm="1">
        <f t="array" ref="AJ1045">OR(D1045=$AT$2:$AT$8)</f>
        <v>0</v>
      </c>
    </row>
    <row r="1046" spans="1:36" x14ac:dyDescent="0.25">
      <c r="A1046" s="2" t="s">
        <v>1019</v>
      </c>
      <c r="B1046" s="3">
        <v>556</v>
      </c>
      <c r="C1046" s="2" t="s">
        <v>97</v>
      </c>
      <c r="D1046" s="2" t="s">
        <v>97</v>
      </c>
      <c r="E1046" s="2" t="s">
        <v>109</v>
      </c>
      <c r="F1046" s="4" t="s">
        <v>109</v>
      </c>
      <c r="G1046" s="4" t="s">
        <v>110</v>
      </c>
      <c r="H1046" s="5">
        <v>9</v>
      </c>
      <c r="I1046" s="5">
        <v>10.3</v>
      </c>
      <c r="J1046" s="5">
        <v>12</v>
      </c>
      <c r="K1046" s="4" t="s">
        <v>111</v>
      </c>
      <c r="L1046" s="4" t="s">
        <v>112</v>
      </c>
      <c r="M1046" s="6">
        <f>IF(OR(B1046="",I1046=""),"",B1046*I1046)</f>
        <v>5726.8</v>
      </c>
      <c r="N1046" s="28" t="s">
        <v>113</v>
      </c>
      <c r="O1046" s="26">
        <v>876</v>
      </c>
      <c r="P1046" s="9" t="s">
        <v>1017</v>
      </c>
      <c r="Q1046" s="27">
        <v>2677545.9410000001</v>
      </c>
      <c r="R1046" s="27">
        <v>32439159</v>
      </c>
      <c r="S1046" s="23">
        <f>IF(AND(ISNUMBER(Q1046),Q1046&gt;0,ISNUMBER(R1046),R1046&gt;0),R1046/Q1046,"")</f>
        <v>12.115257670568573</v>
      </c>
      <c r="T1046" s="9" t="s">
        <v>115</v>
      </c>
      <c r="U1046" s="9" t="s">
        <v>1018</v>
      </c>
      <c r="V1046" s="9" t="s">
        <v>21</v>
      </c>
      <c r="W1046" s="9" t="s">
        <v>585</v>
      </c>
      <c r="X1046" s="23">
        <f>IF(ISNUMBER(S1046),S1046,IF(ISNUMBER(I1046),I1046,""))</f>
        <v>12.115257670568573</v>
      </c>
      <c r="Y1046" t="str">
        <f>IF(ISNUMBER(S1046),"2025 EIA-923 plant/group proxy",IF(ISNUMBER(I1046),"Technology estimate","No thermal heat rate"))</f>
        <v>2025 EIA-923 plant/group proxy</v>
      </c>
      <c r="Z1046" t="str">
        <f>IF(ISNUMBER(S1046),"Review: NOT unit verified",IF(AE1046="No match","No EIA match",IF(AF1046="Unconfirmed","Unconfirmed EIA candidate","")))</f>
        <v>Review: NOT unit verified</v>
      </c>
      <c r="AA1046" s="26">
        <v>0.64759999999999995</v>
      </c>
      <c r="AB1046" t="s">
        <v>166</v>
      </c>
      <c r="AC1046" t="s">
        <v>308</v>
      </c>
      <c r="AD1046" s="26">
        <v>1112</v>
      </c>
      <c r="AE1046" t="s">
        <v>120</v>
      </c>
      <c r="AF1046" t="s">
        <v>145</v>
      </c>
      <c r="AG1046" s="27">
        <v>12.1153</v>
      </c>
      <c r="AH1046" s="34">
        <f t="shared" si="38"/>
        <v>166721.89999999991</v>
      </c>
      <c r="AI1046">
        <f t="shared" si="37"/>
        <v>104114.90732876022</v>
      </c>
      <c r="AJ1046" t="b" cm="1">
        <f t="array" ref="AJ1046">OR(D1046=$AT$2:$AT$8)</f>
        <v>0</v>
      </c>
    </row>
    <row r="1047" spans="1:36" x14ac:dyDescent="0.25">
      <c r="A1047" s="2" t="s">
        <v>677</v>
      </c>
      <c r="B1047" s="3">
        <v>121</v>
      </c>
      <c r="C1047" s="2" t="s">
        <v>97</v>
      </c>
      <c r="D1047" s="2" t="s">
        <v>97</v>
      </c>
      <c r="E1047" s="2" t="s">
        <v>137</v>
      </c>
      <c r="F1047" s="4" t="s">
        <v>138</v>
      </c>
      <c r="G1047" s="4" t="s">
        <v>139</v>
      </c>
      <c r="H1047" s="5">
        <v>9</v>
      </c>
      <c r="I1047" s="5">
        <v>10.5</v>
      </c>
      <c r="J1047" s="5">
        <v>13</v>
      </c>
      <c r="K1047" s="4" t="s">
        <v>111</v>
      </c>
      <c r="L1047" s="4" t="s">
        <v>112</v>
      </c>
      <c r="M1047" s="6">
        <f>IF(OR(B1047="",I1047=""),"",B1047*I1047)</f>
        <v>1270.5</v>
      </c>
      <c r="N1047" s="25" t="s">
        <v>113</v>
      </c>
      <c r="O1047" s="26">
        <v>55438</v>
      </c>
      <c r="P1047" s="9" t="s">
        <v>678</v>
      </c>
      <c r="Q1047" s="27">
        <v>197855.99900000001</v>
      </c>
      <c r="R1047" s="27">
        <v>2401675</v>
      </c>
      <c r="S1047" s="23">
        <f>IF(AND(ISNUMBER(Q1047),Q1047&gt;0,ISNUMBER(R1047),R1047&gt;0),R1047/Q1047,"")</f>
        <v>12.138499778316046</v>
      </c>
      <c r="T1047" s="9" t="s">
        <v>115</v>
      </c>
      <c r="U1047" s="9" t="s">
        <v>141</v>
      </c>
      <c r="V1047" s="9" t="s">
        <v>21</v>
      </c>
      <c r="W1047" s="9" t="s">
        <v>528</v>
      </c>
      <c r="X1047" s="23">
        <f>IF(ISNUMBER(S1047),S1047,IF(ISNUMBER(I1047),I1047,""))</f>
        <v>12.138499778316046</v>
      </c>
      <c r="Y1047" t="str">
        <f>IF(ISNUMBER(S1047),"2025 EIA-923 plant/group proxy",IF(ISNUMBER(I1047),"Technology estimate","No thermal heat rate"))</f>
        <v>2025 EIA-923 plant/group proxy</v>
      </c>
      <c r="Z1047" t="str">
        <f>IF(ISNUMBER(S1047),"Review: NOT unit verified",IF(AE1047="No match","No EIA match",IF(AF1047="Unconfirmed","Unconfirmed EIA candidate","")))</f>
        <v>Review: NOT unit verified</v>
      </c>
      <c r="AA1047" s="26">
        <v>0.84360000000000002</v>
      </c>
      <c r="AB1047" t="s">
        <v>166</v>
      </c>
      <c r="AC1047" t="s">
        <v>679</v>
      </c>
      <c r="AD1047" s="26">
        <v>487.9</v>
      </c>
      <c r="AE1047" t="s">
        <v>120</v>
      </c>
      <c r="AF1047" t="s">
        <v>121</v>
      </c>
      <c r="AG1047" s="27">
        <v>12.138500000000001</v>
      </c>
      <c r="AH1047" s="34">
        <f t="shared" si="38"/>
        <v>166842.89999999991</v>
      </c>
      <c r="AI1047">
        <f t="shared" si="37"/>
        <v>104190.46971010772</v>
      </c>
      <c r="AJ1047" t="b" cm="1">
        <f t="array" ref="AJ1047">OR(D1047=$AT$2:$AT$8)</f>
        <v>0</v>
      </c>
    </row>
    <row r="1048" spans="1:36" x14ac:dyDescent="0.25">
      <c r="A1048" s="2" t="s">
        <v>680</v>
      </c>
      <c r="B1048" s="3">
        <v>121</v>
      </c>
      <c r="C1048" s="2" t="s">
        <v>97</v>
      </c>
      <c r="D1048" s="2" t="s">
        <v>97</v>
      </c>
      <c r="E1048" s="2" t="s">
        <v>137</v>
      </c>
      <c r="F1048" s="4" t="s">
        <v>138</v>
      </c>
      <c r="G1048" s="4" t="s">
        <v>139</v>
      </c>
      <c r="H1048" s="5">
        <v>9</v>
      </c>
      <c r="I1048" s="5">
        <v>10.5</v>
      </c>
      <c r="J1048" s="5">
        <v>13</v>
      </c>
      <c r="K1048" s="4" t="s">
        <v>111</v>
      </c>
      <c r="L1048" s="4" t="s">
        <v>112</v>
      </c>
      <c r="M1048" s="6">
        <f>IF(OR(B1048="",I1048=""),"",B1048*I1048)</f>
        <v>1270.5</v>
      </c>
      <c r="N1048" s="25" t="s">
        <v>113</v>
      </c>
      <c r="O1048" s="26">
        <v>55438</v>
      </c>
      <c r="P1048" s="9" t="s">
        <v>678</v>
      </c>
      <c r="Q1048" s="27">
        <v>197855.99900000001</v>
      </c>
      <c r="R1048" s="27">
        <v>2401675</v>
      </c>
      <c r="S1048" s="23">
        <f>IF(AND(ISNUMBER(Q1048),Q1048&gt;0,ISNUMBER(R1048),R1048&gt;0),R1048/Q1048,"")</f>
        <v>12.138499778316046</v>
      </c>
      <c r="T1048" s="9" t="s">
        <v>115</v>
      </c>
      <c r="U1048" s="9" t="s">
        <v>141</v>
      </c>
      <c r="V1048" s="9" t="s">
        <v>21</v>
      </c>
      <c r="W1048" s="9" t="s">
        <v>528</v>
      </c>
      <c r="X1048" s="23">
        <f>IF(ISNUMBER(S1048),S1048,IF(ISNUMBER(I1048),I1048,""))</f>
        <v>12.138499778316046</v>
      </c>
      <c r="Y1048" t="str">
        <f>IF(ISNUMBER(S1048),"2025 EIA-923 plant/group proxy",IF(ISNUMBER(I1048),"Technology estimate","No thermal heat rate"))</f>
        <v>2025 EIA-923 plant/group proxy</v>
      </c>
      <c r="Z1048" t="str">
        <f>IF(ISNUMBER(S1048),"Review: NOT unit verified",IF(AE1048="No match","No EIA match",IF(AF1048="Unconfirmed","Unconfirmed EIA candidate","")))</f>
        <v>Review: NOT unit verified</v>
      </c>
      <c r="AA1048" s="26">
        <v>0.84360000000000002</v>
      </c>
      <c r="AB1048" t="s">
        <v>166</v>
      </c>
      <c r="AC1048" t="s">
        <v>679</v>
      </c>
      <c r="AD1048" s="26">
        <v>487.9</v>
      </c>
      <c r="AE1048" t="s">
        <v>120</v>
      </c>
      <c r="AF1048" t="s">
        <v>121</v>
      </c>
      <c r="AG1048" s="27">
        <v>12.138500000000001</v>
      </c>
      <c r="AH1048" s="34">
        <f t="shared" si="38"/>
        <v>166963.89999999991</v>
      </c>
      <c r="AI1048">
        <f t="shared" si="37"/>
        <v>104266.03209145523</v>
      </c>
      <c r="AJ1048" t="b" cm="1">
        <f t="array" ref="AJ1048">OR(D1048=$AT$2:$AT$8)</f>
        <v>0</v>
      </c>
    </row>
    <row r="1049" spans="1:36" x14ac:dyDescent="0.25">
      <c r="A1049" s="2" t="s">
        <v>681</v>
      </c>
      <c r="B1049" s="3">
        <v>120.1</v>
      </c>
      <c r="C1049" s="2" t="s">
        <v>97</v>
      </c>
      <c r="D1049" s="2" t="s">
        <v>97</v>
      </c>
      <c r="E1049" s="2" t="s">
        <v>137</v>
      </c>
      <c r="F1049" s="4" t="s">
        <v>138</v>
      </c>
      <c r="G1049" s="4" t="s">
        <v>139</v>
      </c>
      <c r="H1049" s="5">
        <v>9</v>
      </c>
      <c r="I1049" s="5">
        <v>10.5</v>
      </c>
      <c r="J1049" s="5">
        <v>13</v>
      </c>
      <c r="K1049" s="4" t="s">
        <v>111</v>
      </c>
      <c r="L1049" s="4" t="s">
        <v>112</v>
      </c>
      <c r="M1049" s="6">
        <f>IF(OR(B1049="",I1049=""),"",B1049*I1049)</f>
        <v>1261.05</v>
      </c>
      <c r="N1049" s="25" t="s">
        <v>113</v>
      </c>
      <c r="O1049" s="26">
        <v>55438</v>
      </c>
      <c r="P1049" s="9" t="s">
        <v>678</v>
      </c>
      <c r="Q1049" s="27">
        <v>197855.99900000001</v>
      </c>
      <c r="R1049" s="27">
        <v>2401675</v>
      </c>
      <c r="S1049" s="23">
        <f>IF(AND(ISNUMBER(Q1049),Q1049&gt;0,ISNUMBER(R1049),R1049&gt;0),R1049/Q1049,"")</f>
        <v>12.138499778316046</v>
      </c>
      <c r="T1049" s="9" t="s">
        <v>115</v>
      </c>
      <c r="U1049" s="9" t="s">
        <v>141</v>
      </c>
      <c r="V1049" s="9" t="s">
        <v>21</v>
      </c>
      <c r="W1049" s="9" t="s">
        <v>528</v>
      </c>
      <c r="X1049" s="23">
        <f>IF(ISNUMBER(S1049),S1049,IF(ISNUMBER(I1049),I1049,""))</f>
        <v>12.138499778316046</v>
      </c>
      <c r="Y1049" t="str">
        <f>IF(ISNUMBER(S1049),"2025 EIA-923 plant/group proxy",IF(ISNUMBER(I1049),"Technology estimate","No thermal heat rate"))</f>
        <v>2025 EIA-923 plant/group proxy</v>
      </c>
      <c r="Z1049" t="str">
        <f>IF(ISNUMBER(S1049),"Review: NOT unit verified",IF(AE1049="No match","No EIA match",IF(AF1049="Unconfirmed","Unconfirmed EIA candidate","")))</f>
        <v>Review: NOT unit verified</v>
      </c>
      <c r="AA1049" s="26">
        <v>0.84360000000000002</v>
      </c>
      <c r="AB1049" t="s">
        <v>166</v>
      </c>
      <c r="AC1049" t="s">
        <v>679</v>
      </c>
      <c r="AD1049" s="26">
        <v>487.9</v>
      </c>
      <c r="AE1049" t="s">
        <v>120</v>
      </c>
      <c r="AF1049" t="s">
        <v>121</v>
      </c>
      <c r="AG1049" s="27">
        <v>12.138500000000001</v>
      </c>
      <c r="AH1049" s="34">
        <f t="shared" si="38"/>
        <v>167083.99999999991</v>
      </c>
      <c r="AI1049">
        <f t="shared" si="37"/>
        <v>104341.03243856131</v>
      </c>
      <c r="AJ1049" t="b" cm="1">
        <f t="array" ref="AJ1049">OR(D1049=$AT$2:$AT$8)</f>
        <v>0</v>
      </c>
    </row>
    <row r="1050" spans="1:36" x14ac:dyDescent="0.25">
      <c r="A1050" s="2" t="s">
        <v>682</v>
      </c>
      <c r="B1050" s="3">
        <v>121</v>
      </c>
      <c r="C1050" s="2" t="s">
        <v>97</v>
      </c>
      <c r="D1050" s="2" t="s">
        <v>97</v>
      </c>
      <c r="E1050" s="2" t="s">
        <v>137</v>
      </c>
      <c r="F1050" s="4" t="s">
        <v>138</v>
      </c>
      <c r="G1050" s="4" t="s">
        <v>139</v>
      </c>
      <c r="H1050" s="5">
        <v>9</v>
      </c>
      <c r="I1050" s="5">
        <v>10.5</v>
      </c>
      <c r="J1050" s="5">
        <v>13</v>
      </c>
      <c r="K1050" s="4" t="s">
        <v>111</v>
      </c>
      <c r="L1050" s="4" t="s">
        <v>112</v>
      </c>
      <c r="M1050" s="6">
        <f>IF(OR(B1050="",I1050=""),"",B1050*I1050)</f>
        <v>1270.5</v>
      </c>
      <c r="N1050" s="25" t="s">
        <v>113</v>
      </c>
      <c r="O1050" s="26">
        <v>55438</v>
      </c>
      <c r="P1050" s="9" t="s">
        <v>678</v>
      </c>
      <c r="Q1050" s="27">
        <v>197855.99900000001</v>
      </c>
      <c r="R1050" s="27">
        <v>2401675</v>
      </c>
      <c r="S1050" s="23">
        <f>IF(AND(ISNUMBER(Q1050),Q1050&gt;0,ISNUMBER(R1050),R1050&gt;0),R1050/Q1050,"")</f>
        <v>12.138499778316046</v>
      </c>
      <c r="T1050" s="9" t="s">
        <v>115</v>
      </c>
      <c r="U1050" s="9" t="s">
        <v>141</v>
      </c>
      <c r="V1050" s="9" t="s">
        <v>21</v>
      </c>
      <c r="W1050" s="9" t="s">
        <v>528</v>
      </c>
      <c r="X1050" s="23">
        <f>IF(ISNUMBER(S1050),S1050,IF(ISNUMBER(I1050),I1050,""))</f>
        <v>12.138499778316046</v>
      </c>
      <c r="Y1050" t="str">
        <f>IF(ISNUMBER(S1050),"2025 EIA-923 plant/group proxy",IF(ISNUMBER(I1050),"Technology estimate","No thermal heat rate"))</f>
        <v>2025 EIA-923 plant/group proxy</v>
      </c>
      <c r="Z1050" t="str">
        <f>IF(ISNUMBER(S1050),"Review: NOT unit verified",IF(AE1050="No match","No EIA match",IF(AF1050="Unconfirmed","Unconfirmed EIA candidate","")))</f>
        <v>Review: NOT unit verified</v>
      </c>
      <c r="AA1050" s="26">
        <v>0.84360000000000002</v>
      </c>
      <c r="AB1050" t="s">
        <v>166</v>
      </c>
      <c r="AC1050" t="s">
        <v>679</v>
      </c>
      <c r="AD1050" s="26">
        <v>487.9</v>
      </c>
      <c r="AE1050" t="s">
        <v>120</v>
      </c>
      <c r="AF1050" t="s">
        <v>121</v>
      </c>
      <c r="AG1050" s="27">
        <v>12.138500000000001</v>
      </c>
      <c r="AH1050" s="34">
        <f t="shared" si="38"/>
        <v>167204.99999999991</v>
      </c>
      <c r="AI1050">
        <f t="shared" si="37"/>
        <v>104416.5948199088</v>
      </c>
      <c r="AJ1050" t="b" cm="1">
        <f t="array" ref="AJ1050">OR(D1050=$AT$2:$AT$8)</f>
        <v>0</v>
      </c>
    </row>
    <row r="1051" spans="1:36" x14ac:dyDescent="0.25">
      <c r="A1051" s="2" t="s">
        <v>396</v>
      </c>
      <c r="B1051" s="3">
        <v>75.5</v>
      </c>
      <c r="C1051" s="2" t="s">
        <v>99</v>
      </c>
      <c r="D1051" s="2" t="s">
        <v>81</v>
      </c>
      <c r="E1051" s="2" t="s">
        <v>137</v>
      </c>
      <c r="F1051" s="4" t="s">
        <v>138</v>
      </c>
      <c r="G1051" s="4" t="s">
        <v>139</v>
      </c>
      <c r="H1051" s="5">
        <v>9</v>
      </c>
      <c r="I1051" s="5">
        <v>10.5</v>
      </c>
      <c r="J1051" s="5">
        <v>13</v>
      </c>
      <c r="K1051" s="4" t="s">
        <v>111</v>
      </c>
      <c r="L1051" s="4" t="s">
        <v>112</v>
      </c>
      <c r="M1051" s="6">
        <f>IF(OR(B1051="",I1051=""),"",B1051*I1051)</f>
        <v>792.75</v>
      </c>
      <c r="N1051" s="25" t="s">
        <v>113</v>
      </c>
      <c r="O1051" s="26">
        <v>55276</v>
      </c>
      <c r="P1051" s="9" t="s">
        <v>397</v>
      </c>
      <c r="Q1051" s="27">
        <v>702143</v>
      </c>
      <c r="R1051" s="27">
        <v>8546211</v>
      </c>
      <c r="S1051" s="23">
        <f>IF(AND(ISNUMBER(Q1051),Q1051&gt;0,ISNUMBER(R1051),R1051&gt;0),R1051/Q1051,"")</f>
        <v>12.171610341483145</v>
      </c>
      <c r="T1051" s="9" t="s">
        <v>115</v>
      </c>
      <c r="U1051" s="9" t="s">
        <v>141</v>
      </c>
      <c r="V1051" s="9" t="s">
        <v>21</v>
      </c>
      <c r="W1051" s="9" t="s">
        <v>200</v>
      </c>
      <c r="X1051" s="23">
        <f>IF(ISNUMBER(S1051),S1051,IF(ISNUMBER(I1051),I1051,""))</f>
        <v>12.171610341483145</v>
      </c>
      <c r="Y1051" t="str">
        <f>IF(ISNUMBER(S1051),"2025 EIA-923 plant/group proxy",IF(ISNUMBER(I1051),"Technology estimate","No thermal heat rate"))</f>
        <v>2025 EIA-923 plant/group proxy</v>
      </c>
      <c r="Z1051" t="str">
        <f>IF(ISNUMBER(S1051),"Review: NOT unit verified",IF(AE1051="No match","No EIA match",IF(AF1051="Unconfirmed","Unconfirmed EIA candidate","")))</f>
        <v>Review: NOT unit verified</v>
      </c>
      <c r="AA1051" s="26">
        <v>1</v>
      </c>
      <c r="AB1051" t="s">
        <v>118</v>
      </c>
      <c r="AC1051" t="s">
        <v>398</v>
      </c>
      <c r="AD1051" s="26">
        <v>450</v>
      </c>
      <c r="AE1051" t="s">
        <v>120</v>
      </c>
      <c r="AF1051" t="s">
        <v>121</v>
      </c>
      <c r="AG1051" s="27">
        <v>12.1716</v>
      </c>
      <c r="AH1051" s="34">
        <f t="shared" si="38"/>
        <v>167280.49999999991</v>
      </c>
      <c r="AI1051">
        <f t="shared" si="37"/>
        <v>104463.74324793968</v>
      </c>
      <c r="AJ1051" t="b" cm="1">
        <f t="array" ref="AJ1051">OR(D1051=$AT$2:$AT$8)</f>
        <v>0</v>
      </c>
    </row>
    <row r="1052" spans="1:36" x14ac:dyDescent="0.25">
      <c r="A1052" s="2" t="s">
        <v>399</v>
      </c>
      <c r="B1052" s="3">
        <v>75.5</v>
      </c>
      <c r="C1052" s="2" t="s">
        <v>99</v>
      </c>
      <c r="D1052" s="2" t="s">
        <v>81</v>
      </c>
      <c r="E1052" s="2" t="s">
        <v>137</v>
      </c>
      <c r="F1052" s="4" t="s">
        <v>138</v>
      </c>
      <c r="G1052" s="4" t="s">
        <v>139</v>
      </c>
      <c r="H1052" s="5">
        <v>9</v>
      </c>
      <c r="I1052" s="5">
        <v>10.5</v>
      </c>
      <c r="J1052" s="5">
        <v>13</v>
      </c>
      <c r="K1052" s="4" t="s">
        <v>111</v>
      </c>
      <c r="L1052" s="4" t="s">
        <v>112</v>
      </c>
      <c r="M1052" s="6">
        <f>IF(OR(B1052="",I1052=""),"",B1052*I1052)</f>
        <v>792.75</v>
      </c>
      <c r="N1052" s="25" t="s">
        <v>113</v>
      </c>
      <c r="O1052" s="26">
        <v>55276</v>
      </c>
      <c r="P1052" s="9" t="s">
        <v>397</v>
      </c>
      <c r="Q1052" s="27">
        <v>702143</v>
      </c>
      <c r="R1052" s="27">
        <v>8546211</v>
      </c>
      <c r="S1052" s="23">
        <f>IF(AND(ISNUMBER(Q1052),Q1052&gt;0,ISNUMBER(R1052),R1052&gt;0),R1052/Q1052,"")</f>
        <v>12.171610341483145</v>
      </c>
      <c r="T1052" s="9" t="s">
        <v>115</v>
      </c>
      <c r="U1052" s="9" t="s">
        <v>141</v>
      </c>
      <c r="V1052" s="9" t="s">
        <v>21</v>
      </c>
      <c r="W1052" s="9" t="s">
        <v>200</v>
      </c>
      <c r="X1052" s="23">
        <f>IF(ISNUMBER(S1052),S1052,IF(ISNUMBER(I1052),I1052,""))</f>
        <v>12.171610341483145</v>
      </c>
      <c r="Y1052" t="str">
        <f>IF(ISNUMBER(S1052),"2025 EIA-923 plant/group proxy",IF(ISNUMBER(I1052),"Technology estimate","No thermal heat rate"))</f>
        <v>2025 EIA-923 plant/group proxy</v>
      </c>
      <c r="Z1052" t="str">
        <f>IF(ISNUMBER(S1052),"Review: NOT unit verified",IF(AE1052="No match","No EIA match",IF(AF1052="Unconfirmed","Unconfirmed EIA candidate","")))</f>
        <v>Review: NOT unit verified</v>
      </c>
      <c r="AA1052" s="26">
        <v>1</v>
      </c>
      <c r="AB1052" t="s">
        <v>118</v>
      </c>
      <c r="AC1052" t="s">
        <v>398</v>
      </c>
      <c r="AD1052" s="26">
        <v>450</v>
      </c>
      <c r="AE1052" t="s">
        <v>120</v>
      </c>
      <c r="AF1052" t="s">
        <v>121</v>
      </c>
      <c r="AG1052" s="27">
        <v>12.1716</v>
      </c>
      <c r="AH1052" s="34">
        <f t="shared" si="38"/>
        <v>167355.99999999991</v>
      </c>
      <c r="AI1052">
        <f t="shared" si="37"/>
        <v>104510.89167597056</v>
      </c>
      <c r="AJ1052" t="b" cm="1">
        <f t="array" ref="AJ1052">OR(D1052=$AT$2:$AT$8)</f>
        <v>0</v>
      </c>
    </row>
    <row r="1053" spans="1:36" x14ac:dyDescent="0.25">
      <c r="A1053" s="2" t="s">
        <v>400</v>
      </c>
      <c r="B1053" s="3">
        <v>75.5</v>
      </c>
      <c r="C1053" s="2" t="s">
        <v>99</v>
      </c>
      <c r="D1053" s="2" t="s">
        <v>81</v>
      </c>
      <c r="E1053" s="2" t="s">
        <v>137</v>
      </c>
      <c r="F1053" s="4" t="s">
        <v>138</v>
      </c>
      <c r="G1053" s="4" t="s">
        <v>139</v>
      </c>
      <c r="H1053" s="5">
        <v>9</v>
      </c>
      <c r="I1053" s="5">
        <v>10.5</v>
      </c>
      <c r="J1053" s="5">
        <v>13</v>
      </c>
      <c r="K1053" s="4" t="s">
        <v>111</v>
      </c>
      <c r="L1053" s="4" t="s">
        <v>112</v>
      </c>
      <c r="M1053" s="6">
        <f>IF(OR(B1053="",I1053=""),"",B1053*I1053)</f>
        <v>792.75</v>
      </c>
      <c r="N1053" s="25" t="s">
        <v>113</v>
      </c>
      <c r="O1053" s="26">
        <v>55276</v>
      </c>
      <c r="P1053" s="9" t="s">
        <v>397</v>
      </c>
      <c r="Q1053" s="27">
        <v>702143</v>
      </c>
      <c r="R1053" s="27">
        <v>8546211</v>
      </c>
      <c r="S1053" s="23">
        <f>IF(AND(ISNUMBER(Q1053),Q1053&gt;0,ISNUMBER(R1053),R1053&gt;0),R1053/Q1053,"")</f>
        <v>12.171610341483145</v>
      </c>
      <c r="T1053" s="9" t="s">
        <v>115</v>
      </c>
      <c r="U1053" s="9" t="s">
        <v>141</v>
      </c>
      <c r="V1053" s="9" t="s">
        <v>21</v>
      </c>
      <c r="W1053" s="9" t="s">
        <v>200</v>
      </c>
      <c r="X1053" s="23">
        <f>IF(ISNUMBER(S1053),S1053,IF(ISNUMBER(I1053),I1053,""))</f>
        <v>12.171610341483145</v>
      </c>
      <c r="Y1053" t="str">
        <f>IF(ISNUMBER(S1053),"2025 EIA-923 plant/group proxy",IF(ISNUMBER(I1053),"Technology estimate","No thermal heat rate"))</f>
        <v>2025 EIA-923 plant/group proxy</v>
      </c>
      <c r="Z1053" t="str">
        <f>IF(ISNUMBER(S1053),"Review: NOT unit verified",IF(AE1053="No match","No EIA match",IF(AF1053="Unconfirmed","Unconfirmed EIA candidate","")))</f>
        <v>Review: NOT unit verified</v>
      </c>
      <c r="AA1053" s="26">
        <v>1</v>
      </c>
      <c r="AB1053" t="s">
        <v>118</v>
      </c>
      <c r="AC1053" t="s">
        <v>398</v>
      </c>
      <c r="AD1053" s="26">
        <v>450</v>
      </c>
      <c r="AE1053" t="s">
        <v>120</v>
      </c>
      <c r="AF1053" t="s">
        <v>121</v>
      </c>
      <c r="AG1053" s="27">
        <v>12.1716</v>
      </c>
      <c r="AH1053" s="34">
        <f t="shared" si="38"/>
        <v>167431.49999999991</v>
      </c>
      <c r="AI1053">
        <f t="shared" si="37"/>
        <v>104558.04010400144</v>
      </c>
      <c r="AJ1053" t="b" cm="1">
        <f t="array" ref="AJ1053">OR(D1053=$AT$2:$AT$8)</f>
        <v>0</v>
      </c>
    </row>
    <row r="1054" spans="1:36" x14ac:dyDescent="0.25">
      <c r="A1054" s="2" t="s">
        <v>401</v>
      </c>
      <c r="B1054" s="3">
        <v>75.5</v>
      </c>
      <c r="C1054" s="2" t="s">
        <v>99</v>
      </c>
      <c r="D1054" s="2" t="s">
        <v>81</v>
      </c>
      <c r="E1054" s="2" t="s">
        <v>137</v>
      </c>
      <c r="F1054" s="4" t="s">
        <v>138</v>
      </c>
      <c r="G1054" s="4" t="s">
        <v>139</v>
      </c>
      <c r="H1054" s="5">
        <v>9</v>
      </c>
      <c r="I1054" s="5">
        <v>10.5</v>
      </c>
      <c r="J1054" s="5">
        <v>13</v>
      </c>
      <c r="K1054" s="4" t="s">
        <v>111</v>
      </c>
      <c r="L1054" s="4" t="s">
        <v>112</v>
      </c>
      <c r="M1054" s="6">
        <f>IF(OR(B1054="",I1054=""),"",B1054*I1054)</f>
        <v>792.75</v>
      </c>
      <c r="N1054" s="25" t="s">
        <v>113</v>
      </c>
      <c r="O1054" s="26">
        <v>55276</v>
      </c>
      <c r="P1054" s="9" t="s">
        <v>397</v>
      </c>
      <c r="Q1054" s="27">
        <v>702143</v>
      </c>
      <c r="R1054" s="27">
        <v>8546211</v>
      </c>
      <c r="S1054" s="23">
        <f>IF(AND(ISNUMBER(Q1054),Q1054&gt;0,ISNUMBER(R1054),R1054&gt;0),R1054/Q1054,"")</f>
        <v>12.171610341483145</v>
      </c>
      <c r="T1054" s="9" t="s">
        <v>115</v>
      </c>
      <c r="U1054" s="9" t="s">
        <v>141</v>
      </c>
      <c r="V1054" s="9" t="s">
        <v>21</v>
      </c>
      <c r="W1054" s="9" t="s">
        <v>200</v>
      </c>
      <c r="X1054" s="23">
        <f>IF(ISNUMBER(S1054),S1054,IF(ISNUMBER(I1054),I1054,""))</f>
        <v>12.171610341483145</v>
      </c>
      <c r="Y1054" t="str">
        <f>IF(ISNUMBER(S1054),"2025 EIA-923 plant/group proxy",IF(ISNUMBER(I1054),"Technology estimate","No thermal heat rate"))</f>
        <v>2025 EIA-923 plant/group proxy</v>
      </c>
      <c r="Z1054" t="str">
        <f>IF(ISNUMBER(S1054),"Review: NOT unit verified",IF(AE1054="No match","No EIA match",IF(AF1054="Unconfirmed","Unconfirmed EIA candidate","")))</f>
        <v>Review: NOT unit verified</v>
      </c>
      <c r="AA1054" s="26">
        <v>1</v>
      </c>
      <c r="AB1054" t="s">
        <v>118</v>
      </c>
      <c r="AC1054" t="s">
        <v>398</v>
      </c>
      <c r="AD1054" s="26">
        <v>450</v>
      </c>
      <c r="AE1054" t="s">
        <v>120</v>
      </c>
      <c r="AF1054" t="s">
        <v>121</v>
      </c>
      <c r="AG1054" s="27">
        <v>12.1716</v>
      </c>
      <c r="AH1054" s="34">
        <f t="shared" si="38"/>
        <v>167506.99999999991</v>
      </c>
      <c r="AI1054">
        <f t="shared" si="37"/>
        <v>104605.18853203232</v>
      </c>
      <c r="AJ1054" t="b" cm="1">
        <f t="array" ref="AJ1054">OR(D1054=$AT$2:$AT$8)</f>
        <v>0</v>
      </c>
    </row>
    <row r="1055" spans="1:36" x14ac:dyDescent="0.25">
      <c r="A1055" s="2" t="s">
        <v>402</v>
      </c>
      <c r="B1055" s="3">
        <v>75.400000000000006</v>
      </c>
      <c r="C1055" s="2" t="s">
        <v>99</v>
      </c>
      <c r="D1055" s="2" t="s">
        <v>81</v>
      </c>
      <c r="E1055" s="2" t="s">
        <v>137</v>
      </c>
      <c r="F1055" s="4" t="s">
        <v>138</v>
      </c>
      <c r="G1055" s="4" t="s">
        <v>139</v>
      </c>
      <c r="H1055" s="5">
        <v>9</v>
      </c>
      <c r="I1055" s="5">
        <v>10.5</v>
      </c>
      <c r="J1055" s="5">
        <v>13</v>
      </c>
      <c r="K1055" s="4" t="s">
        <v>111</v>
      </c>
      <c r="L1055" s="4" t="s">
        <v>112</v>
      </c>
      <c r="M1055" s="6">
        <f>IF(OR(B1055="",I1055=""),"",B1055*I1055)</f>
        <v>791.7</v>
      </c>
      <c r="N1055" s="25" t="s">
        <v>113</v>
      </c>
      <c r="O1055" s="26">
        <v>55276</v>
      </c>
      <c r="P1055" s="9" t="s">
        <v>397</v>
      </c>
      <c r="Q1055" s="27">
        <v>702143</v>
      </c>
      <c r="R1055" s="27">
        <v>8546211</v>
      </c>
      <c r="S1055" s="23">
        <f>IF(AND(ISNUMBER(Q1055),Q1055&gt;0,ISNUMBER(R1055),R1055&gt;0),R1055/Q1055,"")</f>
        <v>12.171610341483145</v>
      </c>
      <c r="T1055" s="9" t="s">
        <v>115</v>
      </c>
      <c r="U1055" s="9" t="s">
        <v>141</v>
      </c>
      <c r="V1055" s="9" t="s">
        <v>21</v>
      </c>
      <c r="W1055" s="9" t="s">
        <v>200</v>
      </c>
      <c r="X1055" s="23">
        <f>IF(ISNUMBER(S1055),S1055,IF(ISNUMBER(I1055),I1055,""))</f>
        <v>12.171610341483145</v>
      </c>
      <c r="Y1055" t="str">
        <f>IF(ISNUMBER(S1055),"2025 EIA-923 plant/group proxy",IF(ISNUMBER(I1055),"Technology estimate","No thermal heat rate"))</f>
        <v>2025 EIA-923 plant/group proxy</v>
      </c>
      <c r="Z1055" t="str">
        <f>IF(ISNUMBER(S1055),"Review: NOT unit verified",IF(AE1055="No match","No EIA match",IF(AF1055="Unconfirmed","Unconfirmed EIA candidate","")))</f>
        <v>Review: NOT unit verified</v>
      </c>
      <c r="AA1055" s="26">
        <v>1</v>
      </c>
      <c r="AB1055" t="s">
        <v>118</v>
      </c>
      <c r="AC1055" t="s">
        <v>398</v>
      </c>
      <c r="AD1055" s="26">
        <v>450</v>
      </c>
      <c r="AE1055" t="s">
        <v>120</v>
      </c>
      <c r="AF1055" t="s">
        <v>121</v>
      </c>
      <c r="AG1055" s="27">
        <v>12.1716</v>
      </c>
      <c r="AH1055" s="34">
        <f t="shared" si="38"/>
        <v>167582.39999999991</v>
      </c>
      <c r="AI1055">
        <f t="shared" si="37"/>
        <v>104652.27451181415</v>
      </c>
      <c r="AJ1055" t="b" cm="1">
        <f t="array" ref="AJ1055">OR(D1055=$AT$2:$AT$8)</f>
        <v>0</v>
      </c>
    </row>
    <row r="1056" spans="1:36" x14ac:dyDescent="0.25">
      <c r="A1056" s="2" t="s">
        <v>403</v>
      </c>
      <c r="B1056" s="3">
        <v>75.5</v>
      </c>
      <c r="C1056" s="2" t="s">
        <v>99</v>
      </c>
      <c r="D1056" s="2" t="s">
        <v>81</v>
      </c>
      <c r="E1056" s="2" t="s">
        <v>137</v>
      </c>
      <c r="F1056" s="4" t="s">
        <v>138</v>
      </c>
      <c r="G1056" s="4" t="s">
        <v>139</v>
      </c>
      <c r="H1056" s="5">
        <v>9</v>
      </c>
      <c r="I1056" s="5">
        <v>10.5</v>
      </c>
      <c r="J1056" s="5">
        <v>13</v>
      </c>
      <c r="K1056" s="4" t="s">
        <v>111</v>
      </c>
      <c r="L1056" s="4" t="s">
        <v>112</v>
      </c>
      <c r="M1056" s="6">
        <f>IF(OR(B1056="",I1056=""),"",B1056*I1056)</f>
        <v>792.75</v>
      </c>
      <c r="N1056" s="25" t="s">
        <v>113</v>
      </c>
      <c r="O1056" s="26">
        <v>55276</v>
      </c>
      <c r="P1056" s="9" t="s">
        <v>397</v>
      </c>
      <c r="Q1056" s="27">
        <v>702143</v>
      </c>
      <c r="R1056" s="27">
        <v>8546211</v>
      </c>
      <c r="S1056" s="23">
        <f>IF(AND(ISNUMBER(Q1056),Q1056&gt;0,ISNUMBER(R1056),R1056&gt;0),R1056/Q1056,"")</f>
        <v>12.171610341483145</v>
      </c>
      <c r="T1056" s="9" t="s">
        <v>115</v>
      </c>
      <c r="U1056" s="9" t="s">
        <v>141</v>
      </c>
      <c r="V1056" s="9" t="s">
        <v>21</v>
      </c>
      <c r="W1056" s="9" t="s">
        <v>200</v>
      </c>
      <c r="X1056" s="23">
        <f>IF(ISNUMBER(S1056),S1056,IF(ISNUMBER(I1056),I1056,""))</f>
        <v>12.171610341483145</v>
      </c>
      <c r="Y1056" t="str">
        <f>IF(ISNUMBER(S1056),"2025 EIA-923 plant/group proxy",IF(ISNUMBER(I1056),"Technology estimate","No thermal heat rate"))</f>
        <v>2025 EIA-923 plant/group proxy</v>
      </c>
      <c r="Z1056" t="str">
        <f>IF(ISNUMBER(S1056),"Review: NOT unit verified",IF(AE1056="No match","No EIA match",IF(AF1056="Unconfirmed","Unconfirmed EIA candidate","")))</f>
        <v>Review: NOT unit verified</v>
      </c>
      <c r="AA1056" s="26">
        <v>1</v>
      </c>
      <c r="AB1056" t="s">
        <v>118</v>
      </c>
      <c r="AC1056" t="s">
        <v>398</v>
      </c>
      <c r="AD1056" s="26">
        <v>450</v>
      </c>
      <c r="AE1056" t="s">
        <v>120</v>
      </c>
      <c r="AF1056" t="s">
        <v>121</v>
      </c>
      <c r="AG1056" s="27">
        <v>12.1716</v>
      </c>
      <c r="AH1056" s="34">
        <f t="shared" si="38"/>
        <v>167657.89999999991</v>
      </c>
      <c r="AI1056">
        <f t="shared" si="37"/>
        <v>104699.42293984503</v>
      </c>
      <c r="AJ1056" t="b" cm="1">
        <f t="array" ref="AJ1056">OR(D1056=$AT$2:$AT$8)</f>
        <v>0</v>
      </c>
    </row>
    <row r="1057" spans="1:36" x14ac:dyDescent="0.25">
      <c r="A1057" s="2" t="s">
        <v>1771</v>
      </c>
      <c r="B1057" s="3">
        <v>75.099999999999994</v>
      </c>
      <c r="C1057" s="2" t="s">
        <v>147</v>
      </c>
      <c r="D1057" s="2" t="s">
        <v>803</v>
      </c>
      <c r="E1057" s="2" t="s">
        <v>125</v>
      </c>
      <c r="F1057" s="4" t="s">
        <v>126</v>
      </c>
      <c r="G1057" s="4" t="s">
        <v>127</v>
      </c>
      <c r="H1057" s="5">
        <v>9.1999999999999993</v>
      </c>
      <c r="I1057" s="5">
        <v>10.8</v>
      </c>
      <c r="J1057" s="5">
        <v>13.5</v>
      </c>
      <c r="K1057" s="4" t="s">
        <v>111</v>
      </c>
      <c r="L1057" s="4" t="s">
        <v>128</v>
      </c>
      <c r="M1057" s="6">
        <f>IF(OR(B1057="",I1057=""),"",B1057*I1057)</f>
        <v>811.08</v>
      </c>
      <c r="N1057" s="25" t="s">
        <v>113</v>
      </c>
      <c r="O1057" s="26">
        <v>2869</v>
      </c>
      <c r="P1057" s="9" t="s">
        <v>1772</v>
      </c>
      <c r="Q1057" s="27">
        <v>1305712.0020000001</v>
      </c>
      <c r="R1057" s="27">
        <v>15943499</v>
      </c>
      <c r="S1057" s="23">
        <f>IF(AND(ISNUMBER(Q1057),Q1057&gt;0,ISNUMBER(R1057),R1057&gt;0),R1057/Q1057,"")</f>
        <v>12.210578577495529</v>
      </c>
      <c r="T1057" s="9" t="s">
        <v>115</v>
      </c>
      <c r="U1057" s="9" t="s">
        <v>130</v>
      </c>
      <c r="V1057" s="9" t="s">
        <v>21</v>
      </c>
      <c r="W1057" s="9" t="s">
        <v>809</v>
      </c>
      <c r="X1057" s="23">
        <f>IF(ISNUMBER(S1057),S1057,IF(ISNUMBER(I1057),I1057,""))</f>
        <v>12.210578577495529</v>
      </c>
      <c r="Y1057" t="str">
        <f>IF(ISNUMBER(S1057),"2025 EIA-923 plant/group proxy",IF(ISNUMBER(I1057),"Technology estimate","No thermal heat rate"))</f>
        <v>2025 EIA-923 plant/group proxy</v>
      </c>
      <c r="Z1057" t="str">
        <f>IF(ISNUMBER(S1057),"Review: NOT unit verified",IF(AE1057="No match","No EIA match",IF(AF1057="Unconfirmed","Unconfirmed EIA candidate","")))</f>
        <v>Review: NOT unit verified</v>
      </c>
      <c r="AA1057" s="26">
        <v>1</v>
      </c>
      <c r="AB1057" t="s">
        <v>322</v>
      </c>
      <c r="AC1057" t="s">
        <v>1773</v>
      </c>
      <c r="AD1057" s="26">
        <v>500.5</v>
      </c>
      <c r="AE1057" t="s">
        <v>120</v>
      </c>
      <c r="AF1057" t="s">
        <v>121</v>
      </c>
      <c r="AG1057" s="27">
        <v>12.210599999999999</v>
      </c>
      <c r="AH1057" s="34">
        <f t="shared" si="38"/>
        <v>167732.99999999991</v>
      </c>
      <c r="AI1057">
        <f t="shared" si="37"/>
        <v>104746.32157487972</v>
      </c>
      <c r="AJ1057" t="b" cm="1">
        <f t="array" ref="AJ1057">OR(D1057=$AT$2:$AT$8)</f>
        <v>0</v>
      </c>
    </row>
    <row r="1058" spans="1:36" x14ac:dyDescent="0.25">
      <c r="A1058" s="2" t="s">
        <v>1774</v>
      </c>
      <c r="B1058" s="3">
        <v>77.5</v>
      </c>
      <c r="C1058" s="2" t="s">
        <v>147</v>
      </c>
      <c r="D1058" s="2" t="s">
        <v>803</v>
      </c>
      <c r="E1058" s="2" t="s">
        <v>125</v>
      </c>
      <c r="F1058" s="4" t="s">
        <v>126</v>
      </c>
      <c r="G1058" s="4" t="s">
        <v>127</v>
      </c>
      <c r="H1058" s="5">
        <v>9.1999999999999993</v>
      </c>
      <c r="I1058" s="5">
        <v>10.8</v>
      </c>
      <c r="J1058" s="5">
        <v>13.5</v>
      </c>
      <c r="K1058" s="4" t="s">
        <v>111</v>
      </c>
      <c r="L1058" s="4" t="s">
        <v>128</v>
      </c>
      <c r="M1058" s="6">
        <f>IF(OR(B1058="",I1058=""),"",B1058*I1058)</f>
        <v>837</v>
      </c>
      <c r="N1058" s="25" t="s">
        <v>113</v>
      </c>
      <c r="O1058" s="26">
        <v>2869</v>
      </c>
      <c r="P1058" s="9" t="s">
        <v>1772</v>
      </c>
      <c r="Q1058" s="27">
        <v>1305712.0020000001</v>
      </c>
      <c r="R1058" s="27">
        <v>15943499</v>
      </c>
      <c r="S1058" s="23">
        <f>IF(AND(ISNUMBER(Q1058),Q1058&gt;0,ISNUMBER(R1058),R1058&gt;0),R1058/Q1058,"")</f>
        <v>12.210578577495529</v>
      </c>
      <c r="T1058" s="9" t="s">
        <v>115</v>
      </c>
      <c r="U1058" s="9" t="s">
        <v>130</v>
      </c>
      <c r="V1058" s="9" t="s">
        <v>21</v>
      </c>
      <c r="W1058" s="9" t="s">
        <v>809</v>
      </c>
      <c r="X1058" s="23">
        <f>IF(ISNUMBER(S1058),S1058,IF(ISNUMBER(I1058),I1058,""))</f>
        <v>12.210578577495529</v>
      </c>
      <c r="Y1058" t="str">
        <f>IF(ISNUMBER(S1058),"2025 EIA-923 plant/group proxy",IF(ISNUMBER(I1058),"Technology estimate","No thermal heat rate"))</f>
        <v>2025 EIA-923 plant/group proxy</v>
      </c>
      <c r="Z1058" t="str">
        <f>IF(ISNUMBER(S1058),"Review: NOT unit verified",IF(AE1058="No match","No EIA match",IF(AF1058="Unconfirmed","Unconfirmed EIA candidate","")))</f>
        <v>Review: NOT unit verified</v>
      </c>
      <c r="AA1058" s="26">
        <v>1</v>
      </c>
      <c r="AB1058" t="s">
        <v>322</v>
      </c>
      <c r="AC1058" t="s">
        <v>1773</v>
      </c>
      <c r="AD1058" s="26">
        <v>500.5</v>
      </c>
      <c r="AE1058" t="s">
        <v>120</v>
      </c>
      <c r="AF1058" t="s">
        <v>121</v>
      </c>
      <c r="AG1058" s="27">
        <v>12.210599999999999</v>
      </c>
      <c r="AH1058" s="34">
        <f t="shared" si="38"/>
        <v>167810.49999999991</v>
      </c>
      <c r="AI1058">
        <f t="shared" si="37"/>
        <v>104794.71896789155</v>
      </c>
      <c r="AJ1058" t="b" cm="1">
        <f t="array" ref="AJ1058">OR(D1058=$AT$2:$AT$8)</f>
        <v>0</v>
      </c>
    </row>
    <row r="1059" spans="1:36" x14ac:dyDescent="0.25">
      <c r="A1059" s="2" t="s">
        <v>1775</v>
      </c>
      <c r="B1059" s="3">
        <v>75.8</v>
      </c>
      <c r="C1059" s="2" t="s">
        <v>147</v>
      </c>
      <c r="D1059" s="2" t="s">
        <v>803</v>
      </c>
      <c r="E1059" s="2" t="s">
        <v>125</v>
      </c>
      <c r="F1059" s="4" t="s">
        <v>126</v>
      </c>
      <c r="G1059" s="4" t="s">
        <v>127</v>
      </c>
      <c r="H1059" s="5">
        <v>9.1999999999999993</v>
      </c>
      <c r="I1059" s="5">
        <v>10.8</v>
      </c>
      <c r="J1059" s="5">
        <v>13.5</v>
      </c>
      <c r="K1059" s="4" t="s">
        <v>111</v>
      </c>
      <c r="L1059" s="4" t="s">
        <v>128</v>
      </c>
      <c r="M1059" s="6">
        <f>IF(OR(B1059="",I1059=""),"",B1059*I1059)</f>
        <v>818.64</v>
      </c>
      <c r="N1059" s="25" t="s">
        <v>113</v>
      </c>
      <c r="O1059" s="26">
        <v>2869</v>
      </c>
      <c r="P1059" s="9" t="s">
        <v>1772</v>
      </c>
      <c r="Q1059" s="27">
        <v>1305712.0020000001</v>
      </c>
      <c r="R1059" s="27">
        <v>15943499</v>
      </c>
      <c r="S1059" s="23">
        <f>IF(AND(ISNUMBER(Q1059),Q1059&gt;0,ISNUMBER(R1059),R1059&gt;0),R1059/Q1059,"")</f>
        <v>12.210578577495529</v>
      </c>
      <c r="T1059" s="9" t="s">
        <v>115</v>
      </c>
      <c r="U1059" s="9" t="s">
        <v>130</v>
      </c>
      <c r="V1059" s="9" t="s">
        <v>21</v>
      </c>
      <c r="W1059" s="9" t="s">
        <v>809</v>
      </c>
      <c r="X1059" s="23">
        <f>IF(ISNUMBER(S1059),S1059,IF(ISNUMBER(I1059),I1059,""))</f>
        <v>12.210578577495529</v>
      </c>
      <c r="Y1059" t="str">
        <f>IF(ISNUMBER(S1059),"2025 EIA-923 plant/group proxy",IF(ISNUMBER(I1059),"Technology estimate","No thermal heat rate"))</f>
        <v>2025 EIA-923 plant/group proxy</v>
      </c>
      <c r="Z1059" t="str">
        <f>IF(ISNUMBER(S1059),"Review: NOT unit verified",IF(AE1059="No match","No EIA match",IF(AF1059="Unconfirmed","Unconfirmed EIA candidate","")))</f>
        <v>Review: NOT unit verified</v>
      </c>
      <c r="AA1059" s="26">
        <v>1</v>
      </c>
      <c r="AB1059" t="s">
        <v>322</v>
      </c>
      <c r="AC1059" t="s">
        <v>1773</v>
      </c>
      <c r="AD1059" s="26">
        <v>500.5</v>
      </c>
      <c r="AE1059" t="s">
        <v>120</v>
      </c>
      <c r="AF1059" t="s">
        <v>121</v>
      </c>
      <c r="AG1059" s="27">
        <v>12.210599999999999</v>
      </c>
      <c r="AH1059" s="34">
        <f t="shared" si="38"/>
        <v>167886.2999999999</v>
      </c>
      <c r="AI1059">
        <f t="shared" si="37"/>
        <v>104842.05474066957</v>
      </c>
      <c r="AJ1059" t="b" cm="1">
        <f t="array" ref="AJ1059">OR(D1059=$AT$2:$AT$8)</f>
        <v>0</v>
      </c>
    </row>
    <row r="1060" spans="1:36" x14ac:dyDescent="0.25">
      <c r="A1060" s="2" t="s">
        <v>1776</v>
      </c>
      <c r="B1060" s="3">
        <v>76.2</v>
      </c>
      <c r="C1060" s="2" t="s">
        <v>147</v>
      </c>
      <c r="D1060" s="2" t="s">
        <v>803</v>
      </c>
      <c r="E1060" s="2" t="s">
        <v>125</v>
      </c>
      <c r="F1060" s="4" t="s">
        <v>126</v>
      </c>
      <c r="G1060" s="4" t="s">
        <v>127</v>
      </c>
      <c r="H1060" s="5">
        <v>9.1999999999999993</v>
      </c>
      <c r="I1060" s="5">
        <v>10.8</v>
      </c>
      <c r="J1060" s="5">
        <v>13.5</v>
      </c>
      <c r="K1060" s="4" t="s">
        <v>111</v>
      </c>
      <c r="L1060" s="4" t="s">
        <v>128</v>
      </c>
      <c r="M1060" s="6">
        <f>IF(OR(B1060="",I1060=""),"",B1060*I1060)</f>
        <v>822.96</v>
      </c>
      <c r="N1060" s="25" t="s">
        <v>113</v>
      </c>
      <c r="O1060" s="26">
        <v>2869</v>
      </c>
      <c r="P1060" s="9" t="s">
        <v>1772</v>
      </c>
      <c r="Q1060" s="27">
        <v>1305712.0020000001</v>
      </c>
      <c r="R1060" s="27">
        <v>15943499</v>
      </c>
      <c r="S1060" s="23">
        <f>IF(AND(ISNUMBER(Q1060),Q1060&gt;0,ISNUMBER(R1060),R1060&gt;0),R1060/Q1060,"")</f>
        <v>12.210578577495529</v>
      </c>
      <c r="T1060" s="9" t="s">
        <v>115</v>
      </c>
      <c r="U1060" s="9" t="s">
        <v>130</v>
      </c>
      <c r="V1060" s="9" t="s">
        <v>21</v>
      </c>
      <c r="W1060" s="9" t="s">
        <v>809</v>
      </c>
      <c r="X1060" s="23">
        <f>IF(ISNUMBER(S1060),S1060,IF(ISNUMBER(I1060),I1060,""))</f>
        <v>12.210578577495529</v>
      </c>
      <c r="Y1060" t="str">
        <f>IF(ISNUMBER(S1060),"2025 EIA-923 plant/group proxy",IF(ISNUMBER(I1060),"Technology estimate","No thermal heat rate"))</f>
        <v>2025 EIA-923 plant/group proxy</v>
      </c>
      <c r="Z1060" t="str">
        <f>IF(ISNUMBER(S1060),"Review: NOT unit verified",IF(AE1060="No match","No EIA match",IF(AF1060="Unconfirmed","Unconfirmed EIA candidate","")))</f>
        <v>Review: NOT unit verified</v>
      </c>
      <c r="AA1060" s="26">
        <v>1</v>
      </c>
      <c r="AB1060" t="s">
        <v>322</v>
      </c>
      <c r="AC1060" t="s">
        <v>1773</v>
      </c>
      <c r="AD1060" s="26">
        <v>500.5</v>
      </c>
      <c r="AE1060" t="s">
        <v>120</v>
      </c>
      <c r="AF1060" t="s">
        <v>121</v>
      </c>
      <c r="AG1060" s="27">
        <v>12.210599999999999</v>
      </c>
      <c r="AH1060" s="34">
        <f t="shared" si="38"/>
        <v>167962.49999999991</v>
      </c>
      <c r="AI1060">
        <f t="shared" si="37"/>
        <v>104889.64030644378</v>
      </c>
      <c r="AJ1060" t="b" cm="1">
        <f t="array" ref="AJ1060">OR(D1060=$AT$2:$AT$8)</f>
        <v>0</v>
      </c>
    </row>
    <row r="1061" spans="1:36" x14ac:dyDescent="0.25">
      <c r="A1061" s="2" t="s">
        <v>1777</v>
      </c>
      <c r="B1061" s="3">
        <v>76.2</v>
      </c>
      <c r="C1061" s="2" t="s">
        <v>147</v>
      </c>
      <c r="D1061" s="2" t="s">
        <v>803</v>
      </c>
      <c r="E1061" s="2" t="s">
        <v>125</v>
      </c>
      <c r="F1061" s="4" t="s">
        <v>126</v>
      </c>
      <c r="G1061" s="4" t="s">
        <v>127</v>
      </c>
      <c r="H1061" s="5">
        <v>9.1999999999999993</v>
      </c>
      <c r="I1061" s="5">
        <v>10.8</v>
      </c>
      <c r="J1061" s="5">
        <v>13.5</v>
      </c>
      <c r="K1061" s="4" t="s">
        <v>111</v>
      </c>
      <c r="L1061" s="4" t="s">
        <v>128</v>
      </c>
      <c r="M1061" s="6">
        <f>IF(OR(B1061="",I1061=""),"",B1061*I1061)</f>
        <v>822.96</v>
      </c>
      <c r="N1061" s="25" t="s">
        <v>113</v>
      </c>
      <c r="O1061" s="26">
        <v>2869</v>
      </c>
      <c r="P1061" s="9" t="s">
        <v>1772</v>
      </c>
      <c r="Q1061" s="27">
        <v>1305712.0020000001</v>
      </c>
      <c r="R1061" s="27">
        <v>15943499</v>
      </c>
      <c r="S1061" s="23">
        <f>IF(AND(ISNUMBER(Q1061),Q1061&gt;0,ISNUMBER(R1061),R1061&gt;0),R1061/Q1061,"")</f>
        <v>12.210578577495529</v>
      </c>
      <c r="T1061" s="9" t="s">
        <v>115</v>
      </c>
      <c r="U1061" s="9" t="s">
        <v>130</v>
      </c>
      <c r="V1061" s="9" t="s">
        <v>21</v>
      </c>
      <c r="W1061" s="9" t="s">
        <v>809</v>
      </c>
      <c r="X1061" s="23">
        <f>IF(ISNUMBER(S1061),S1061,IF(ISNUMBER(I1061),I1061,""))</f>
        <v>12.210578577495529</v>
      </c>
      <c r="Y1061" t="str">
        <f>IF(ISNUMBER(S1061),"2025 EIA-923 plant/group proxy",IF(ISNUMBER(I1061),"Technology estimate","No thermal heat rate"))</f>
        <v>2025 EIA-923 plant/group proxy</v>
      </c>
      <c r="Z1061" t="str">
        <f>IF(ISNUMBER(S1061),"Review: NOT unit verified",IF(AE1061="No match","No EIA match",IF(AF1061="Unconfirmed","Unconfirmed EIA candidate","")))</f>
        <v>Review: NOT unit verified</v>
      </c>
      <c r="AA1061" s="26">
        <v>1</v>
      </c>
      <c r="AB1061" t="s">
        <v>322</v>
      </c>
      <c r="AC1061" t="s">
        <v>1773</v>
      </c>
      <c r="AD1061" s="26">
        <v>500.5</v>
      </c>
      <c r="AE1061" t="s">
        <v>120</v>
      </c>
      <c r="AF1061" t="s">
        <v>121</v>
      </c>
      <c r="AG1061" s="27">
        <v>12.210599999999999</v>
      </c>
      <c r="AH1061" s="34">
        <f t="shared" si="38"/>
        <v>168038.69999999992</v>
      </c>
      <c r="AI1061">
        <f t="shared" si="37"/>
        <v>104937.225872218</v>
      </c>
      <c r="AJ1061" t="b" cm="1">
        <f t="array" ref="AJ1061">OR(D1061=$AT$2:$AT$8)</f>
        <v>0</v>
      </c>
    </row>
    <row r="1062" spans="1:36" x14ac:dyDescent="0.25">
      <c r="A1062" s="2" t="s">
        <v>873</v>
      </c>
      <c r="B1062" s="3">
        <v>53.5</v>
      </c>
      <c r="C1062" s="2" t="s">
        <v>86</v>
      </c>
      <c r="D1062" s="2" t="s">
        <v>76</v>
      </c>
      <c r="E1062" s="2" t="s">
        <v>137</v>
      </c>
      <c r="F1062" s="4" t="s">
        <v>138</v>
      </c>
      <c r="G1062" s="4" t="s">
        <v>139</v>
      </c>
      <c r="H1062" s="5">
        <v>9</v>
      </c>
      <c r="I1062" s="5">
        <v>10.5</v>
      </c>
      <c r="J1062" s="5">
        <v>13</v>
      </c>
      <c r="K1062" s="4" t="s">
        <v>111</v>
      </c>
      <c r="L1062" s="4" t="s">
        <v>112</v>
      </c>
      <c r="M1062" s="6">
        <f>IF(OR(B1062="",I1062=""),"",B1062*I1062)</f>
        <v>561.75</v>
      </c>
      <c r="N1062" s="25" t="s">
        <v>113</v>
      </c>
      <c r="O1062" s="26">
        <v>55233</v>
      </c>
      <c r="P1062" s="9" t="s">
        <v>874</v>
      </c>
      <c r="Q1062" s="27">
        <v>163619.00099999999</v>
      </c>
      <c r="R1062" s="27">
        <v>2013990</v>
      </c>
      <c r="S1062" s="23">
        <f>IF(AND(ISNUMBER(Q1062),Q1062&gt;0,ISNUMBER(R1062),R1062&gt;0),R1062/Q1062,"")</f>
        <v>12.309022715521898</v>
      </c>
      <c r="T1062" s="9" t="s">
        <v>115</v>
      </c>
      <c r="U1062" s="9" t="s">
        <v>141</v>
      </c>
      <c r="V1062" s="9" t="s">
        <v>21</v>
      </c>
      <c r="W1062" s="9" t="s">
        <v>809</v>
      </c>
      <c r="X1062" s="23">
        <f>IF(ISNUMBER(S1062),S1062,IF(ISNUMBER(I1062),I1062,""))</f>
        <v>12.309022715521898</v>
      </c>
      <c r="Y1062" t="str">
        <f>IF(ISNUMBER(S1062),"2025 EIA-923 plant/group proxy",IF(ISNUMBER(I1062),"Technology estimate","No thermal heat rate"))</f>
        <v>2025 EIA-923 plant/group proxy</v>
      </c>
      <c r="Z1062" t="str">
        <f>IF(ISNUMBER(S1062),"Review: NOT unit verified",IF(AE1062="No match","No EIA match",IF(AF1062="Unconfirmed","Unconfirmed EIA candidate","")))</f>
        <v>Review: NOT unit verified</v>
      </c>
      <c r="AA1062" s="26">
        <v>1</v>
      </c>
      <c r="AB1062" t="s">
        <v>143</v>
      </c>
      <c r="AC1062" t="s">
        <v>875</v>
      </c>
      <c r="AD1062" s="26">
        <v>267.5</v>
      </c>
      <c r="AE1062" t="s">
        <v>120</v>
      </c>
      <c r="AF1062" t="s">
        <v>121</v>
      </c>
      <c r="AG1062" s="27">
        <v>12.308999999999999</v>
      </c>
      <c r="AH1062" s="34">
        <f t="shared" si="38"/>
        <v>168092.19999999992</v>
      </c>
      <c r="AI1062">
        <f t="shared" si="37"/>
        <v>104970.63568545843</v>
      </c>
      <c r="AJ1062" t="b" cm="1">
        <f t="array" ref="AJ1062">OR(D1062=$AT$2:$AT$8)</f>
        <v>0</v>
      </c>
    </row>
    <row r="1063" spans="1:36" x14ac:dyDescent="0.25">
      <c r="A1063" s="2" t="s">
        <v>876</v>
      </c>
      <c r="B1063" s="3">
        <v>53.5</v>
      </c>
      <c r="C1063" s="2" t="s">
        <v>86</v>
      </c>
      <c r="D1063" s="2" t="s">
        <v>76</v>
      </c>
      <c r="E1063" s="2" t="s">
        <v>137</v>
      </c>
      <c r="F1063" s="4" t="s">
        <v>138</v>
      </c>
      <c r="G1063" s="4" t="s">
        <v>139</v>
      </c>
      <c r="H1063" s="5">
        <v>9</v>
      </c>
      <c r="I1063" s="5">
        <v>10.5</v>
      </c>
      <c r="J1063" s="5">
        <v>13</v>
      </c>
      <c r="K1063" s="4" t="s">
        <v>111</v>
      </c>
      <c r="L1063" s="4" t="s">
        <v>112</v>
      </c>
      <c r="M1063" s="6">
        <f>IF(OR(B1063="",I1063=""),"",B1063*I1063)</f>
        <v>561.75</v>
      </c>
      <c r="N1063" s="25" t="s">
        <v>113</v>
      </c>
      <c r="O1063" s="26">
        <v>55233</v>
      </c>
      <c r="P1063" s="9" t="s">
        <v>874</v>
      </c>
      <c r="Q1063" s="27">
        <v>163619.00099999999</v>
      </c>
      <c r="R1063" s="27">
        <v>2013990</v>
      </c>
      <c r="S1063" s="23">
        <f>IF(AND(ISNUMBER(Q1063),Q1063&gt;0,ISNUMBER(R1063),R1063&gt;0),R1063/Q1063,"")</f>
        <v>12.309022715521898</v>
      </c>
      <c r="T1063" s="9" t="s">
        <v>115</v>
      </c>
      <c r="U1063" s="9" t="s">
        <v>141</v>
      </c>
      <c r="V1063" s="9" t="s">
        <v>21</v>
      </c>
      <c r="W1063" s="9" t="s">
        <v>809</v>
      </c>
      <c r="X1063" s="23">
        <f>IF(ISNUMBER(S1063),S1063,IF(ISNUMBER(I1063),I1063,""))</f>
        <v>12.309022715521898</v>
      </c>
      <c r="Y1063" t="str">
        <f>IF(ISNUMBER(S1063),"2025 EIA-923 plant/group proxy",IF(ISNUMBER(I1063),"Technology estimate","No thermal heat rate"))</f>
        <v>2025 EIA-923 plant/group proxy</v>
      </c>
      <c r="Z1063" t="str">
        <f>IF(ISNUMBER(S1063),"Review: NOT unit verified",IF(AE1063="No match","No EIA match",IF(AF1063="Unconfirmed","Unconfirmed EIA candidate","")))</f>
        <v>Review: NOT unit verified</v>
      </c>
      <c r="AA1063" s="26">
        <v>1</v>
      </c>
      <c r="AB1063" t="s">
        <v>143</v>
      </c>
      <c r="AC1063" t="s">
        <v>875</v>
      </c>
      <c r="AD1063" s="26">
        <v>267.5</v>
      </c>
      <c r="AE1063" t="s">
        <v>120</v>
      </c>
      <c r="AF1063" t="s">
        <v>121</v>
      </c>
      <c r="AG1063" s="27">
        <v>12.308999999999999</v>
      </c>
      <c r="AH1063" s="34">
        <f t="shared" si="38"/>
        <v>168145.69999999992</v>
      </c>
      <c r="AI1063">
        <f t="shared" si="37"/>
        <v>105004.04549869885</v>
      </c>
      <c r="AJ1063" t="b" cm="1">
        <f t="array" ref="AJ1063">OR(D1063=$AT$2:$AT$8)</f>
        <v>0</v>
      </c>
    </row>
    <row r="1064" spans="1:36" x14ac:dyDescent="0.25">
      <c r="A1064" s="2" t="s">
        <v>877</v>
      </c>
      <c r="B1064" s="3">
        <v>53.5</v>
      </c>
      <c r="C1064" s="2" t="s">
        <v>86</v>
      </c>
      <c r="D1064" s="2" t="s">
        <v>76</v>
      </c>
      <c r="E1064" s="2" t="s">
        <v>137</v>
      </c>
      <c r="F1064" s="4" t="s">
        <v>138</v>
      </c>
      <c r="G1064" s="4" t="s">
        <v>139</v>
      </c>
      <c r="H1064" s="5">
        <v>9</v>
      </c>
      <c r="I1064" s="5">
        <v>10.5</v>
      </c>
      <c r="J1064" s="5">
        <v>13</v>
      </c>
      <c r="K1064" s="4" t="s">
        <v>111</v>
      </c>
      <c r="L1064" s="4" t="s">
        <v>112</v>
      </c>
      <c r="M1064" s="6">
        <f>IF(OR(B1064="",I1064=""),"",B1064*I1064)</f>
        <v>561.75</v>
      </c>
      <c r="N1064" s="25" t="s">
        <v>113</v>
      </c>
      <c r="O1064" s="26">
        <v>55233</v>
      </c>
      <c r="P1064" s="9" t="s">
        <v>874</v>
      </c>
      <c r="Q1064" s="27">
        <v>163619.00099999999</v>
      </c>
      <c r="R1064" s="27">
        <v>2013990</v>
      </c>
      <c r="S1064" s="23">
        <f>IF(AND(ISNUMBER(Q1064),Q1064&gt;0,ISNUMBER(R1064),R1064&gt;0),R1064/Q1064,"")</f>
        <v>12.309022715521898</v>
      </c>
      <c r="T1064" s="9" t="s">
        <v>115</v>
      </c>
      <c r="U1064" s="9" t="s">
        <v>141</v>
      </c>
      <c r="V1064" s="9" t="s">
        <v>21</v>
      </c>
      <c r="W1064" s="9" t="s">
        <v>809</v>
      </c>
      <c r="X1064" s="23">
        <f>IF(ISNUMBER(S1064),S1064,IF(ISNUMBER(I1064),I1064,""))</f>
        <v>12.309022715521898</v>
      </c>
      <c r="Y1064" t="str">
        <f>IF(ISNUMBER(S1064),"2025 EIA-923 plant/group proxy",IF(ISNUMBER(I1064),"Technology estimate","No thermal heat rate"))</f>
        <v>2025 EIA-923 plant/group proxy</v>
      </c>
      <c r="Z1064" t="str">
        <f>IF(ISNUMBER(S1064),"Review: NOT unit verified",IF(AE1064="No match","No EIA match",IF(AF1064="Unconfirmed","Unconfirmed EIA candidate","")))</f>
        <v>Review: NOT unit verified</v>
      </c>
      <c r="AA1064" s="26">
        <v>1</v>
      </c>
      <c r="AB1064" t="s">
        <v>143</v>
      </c>
      <c r="AC1064" t="s">
        <v>875</v>
      </c>
      <c r="AD1064" s="26">
        <v>267.5</v>
      </c>
      <c r="AE1064" t="s">
        <v>120</v>
      </c>
      <c r="AF1064" t="s">
        <v>121</v>
      </c>
      <c r="AG1064" s="27">
        <v>12.308999999999999</v>
      </c>
      <c r="AH1064" s="34">
        <f t="shared" si="38"/>
        <v>168199.19999999992</v>
      </c>
      <c r="AI1064">
        <f t="shared" si="37"/>
        <v>105037.45531193928</v>
      </c>
      <c r="AJ1064" t="b" cm="1">
        <f t="array" ref="AJ1064">OR(D1064=$AT$2:$AT$8)</f>
        <v>0</v>
      </c>
    </row>
    <row r="1065" spans="1:36" x14ac:dyDescent="0.25">
      <c r="A1065" s="2" t="s">
        <v>878</v>
      </c>
      <c r="B1065" s="3">
        <v>53.5</v>
      </c>
      <c r="C1065" s="2" t="s">
        <v>86</v>
      </c>
      <c r="D1065" s="2" t="s">
        <v>76</v>
      </c>
      <c r="E1065" s="2" t="s">
        <v>137</v>
      </c>
      <c r="F1065" s="4" t="s">
        <v>138</v>
      </c>
      <c r="G1065" s="4" t="s">
        <v>139</v>
      </c>
      <c r="H1065" s="5">
        <v>9</v>
      </c>
      <c r="I1065" s="5">
        <v>10.5</v>
      </c>
      <c r="J1065" s="5">
        <v>13</v>
      </c>
      <c r="K1065" s="4" t="s">
        <v>111</v>
      </c>
      <c r="L1065" s="4" t="s">
        <v>112</v>
      </c>
      <c r="M1065" s="6">
        <f>IF(OR(B1065="",I1065=""),"",B1065*I1065)</f>
        <v>561.75</v>
      </c>
      <c r="N1065" s="25" t="s">
        <v>113</v>
      </c>
      <c r="O1065" s="26">
        <v>55233</v>
      </c>
      <c r="P1065" s="9" t="s">
        <v>874</v>
      </c>
      <c r="Q1065" s="27">
        <v>163619.00099999999</v>
      </c>
      <c r="R1065" s="27">
        <v>2013990</v>
      </c>
      <c r="S1065" s="23">
        <f>IF(AND(ISNUMBER(Q1065),Q1065&gt;0,ISNUMBER(R1065),R1065&gt;0),R1065/Q1065,"")</f>
        <v>12.309022715521898</v>
      </c>
      <c r="T1065" s="9" t="s">
        <v>115</v>
      </c>
      <c r="U1065" s="9" t="s">
        <v>141</v>
      </c>
      <c r="V1065" s="9" t="s">
        <v>21</v>
      </c>
      <c r="W1065" s="9" t="s">
        <v>809</v>
      </c>
      <c r="X1065" s="23">
        <f>IF(ISNUMBER(S1065),S1065,IF(ISNUMBER(I1065),I1065,""))</f>
        <v>12.309022715521898</v>
      </c>
      <c r="Y1065" t="str">
        <f>IF(ISNUMBER(S1065),"2025 EIA-923 plant/group proxy",IF(ISNUMBER(I1065),"Technology estimate","No thermal heat rate"))</f>
        <v>2025 EIA-923 plant/group proxy</v>
      </c>
      <c r="Z1065" t="str">
        <f>IF(ISNUMBER(S1065),"Review: NOT unit verified",IF(AE1065="No match","No EIA match",IF(AF1065="Unconfirmed","Unconfirmed EIA candidate","")))</f>
        <v>Review: NOT unit verified</v>
      </c>
      <c r="AA1065" s="26">
        <v>1</v>
      </c>
      <c r="AB1065" t="s">
        <v>143</v>
      </c>
      <c r="AC1065" t="s">
        <v>875</v>
      </c>
      <c r="AD1065" s="26">
        <v>267.5</v>
      </c>
      <c r="AE1065" t="s">
        <v>120</v>
      </c>
      <c r="AF1065" t="s">
        <v>121</v>
      </c>
      <c r="AG1065" s="27">
        <v>12.308999999999999</v>
      </c>
      <c r="AH1065" s="34">
        <f t="shared" si="38"/>
        <v>168252.69999999992</v>
      </c>
      <c r="AI1065">
        <f t="shared" si="37"/>
        <v>105070.8651251797</v>
      </c>
      <c r="AJ1065" t="b" cm="1">
        <f t="array" ref="AJ1065">OR(D1065=$AT$2:$AT$8)</f>
        <v>0</v>
      </c>
    </row>
    <row r="1066" spans="1:36" x14ac:dyDescent="0.25">
      <c r="A1066" s="2" t="s">
        <v>879</v>
      </c>
      <c r="B1066" s="3">
        <v>53.5</v>
      </c>
      <c r="C1066" s="2" t="s">
        <v>86</v>
      </c>
      <c r="D1066" s="2" t="s">
        <v>76</v>
      </c>
      <c r="E1066" s="2" t="s">
        <v>137</v>
      </c>
      <c r="F1066" s="4" t="s">
        <v>138</v>
      </c>
      <c r="G1066" s="4" t="s">
        <v>139</v>
      </c>
      <c r="H1066" s="5">
        <v>9</v>
      </c>
      <c r="I1066" s="5">
        <v>10.5</v>
      </c>
      <c r="J1066" s="5">
        <v>13</v>
      </c>
      <c r="K1066" s="4" t="s">
        <v>111</v>
      </c>
      <c r="L1066" s="4" t="s">
        <v>112</v>
      </c>
      <c r="M1066" s="6">
        <f>IF(OR(B1066="",I1066=""),"",B1066*I1066)</f>
        <v>561.75</v>
      </c>
      <c r="N1066" s="25" t="s">
        <v>113</v>
      </c>
      <c r="O1066" s="26">
        <v>55233</v>
      </c>
      <c r="P1066" s="9" t="s">
        <v>874</v>
      </c>
      <c r="Q1066" s="27">
        <v>163619.00099999999</v>
      </c>
      <c r="R1066" s="27">
        <v>2013990</v>
      </c>
      <c r="S1066" s="23">
        <f>IF(AND(ISNUMBER(Q1066),Q1066&gt;0,ISNUMBER(R1066),R1066&gt;0),R1066/Q1066,"")</f>
        <v>12.309022715521898</v>
      </c>
      <c r="T1066" s="9" t="s">
        <v>115</v>
      </c>
      <c r="U1066" s="9" t="s">
        <v>141</v>
      </c>
      <c r="V1066" s="9" t="s">
        <v>21</v>
      </c>
      <c r="W1066" s="9" t="s">
        <v>809</v>
      </c>
      <c r="X1066" s="23">
        <f>IF(ISNUMBER(S1066),S1066,IF(ISNUMBER(I1066),I1066,""))</f>
        <v>12.309022715521898</v>
      </c>
      <c r="Y1066" t="str">
        <f>IF(ISNUMBER(S1066),"2025 EIA-923 plant/group proxy",IF(ISNUMBER(I1066),"Technology estimate","No thermal heat rate"))</f>
        <v>2025 EIA-923 plant/group proxy</v>
      </c>
      <c r="Z1066" t="str">
        <f>IF(ISNUMBER(S1066),"Review: NOT unit verified",IF(AE1066="No match","No EIA match",IF(AF1066="Unconfirmed","Unconfirmed EIA candidate","")))</f>
        <v>Review: NOT unit verified</v>
      </c>
      <c r="AA1066" s="26">
        <v>1</v>
      </c>
      <c r="AB1066" t="s">
        <v>143</v>
      </c>
      <c r="AC1066" t="s">
        <v>875</v>
      </c>
      <c r="AD1066" s="26">
        <v>267.5</v>
      </c>
      <c r="AE1066" t="s">
        <v>120</v>
      </c>
      <c r="AF1066" t="s">
        <v>121</v>
      </c>
      <c r="AG1066" s="27">
        <v>12.308999999999999</v>
      </c>
      <c r="AH1066" s="34">
        <f t="shared" si="38"/>
        <v>168306.19999999992</v>
      </c>
      <c r="AI1066">
        <f t="shared" si="37"/>
        <v>105104.27493842012</v>
      </c>
      <c r="AJ1066" t="b" cm="1">
        <f t="array" ref="AJ1066">OR(D1066=$AT$2:$AT$8)</f>
        <v>0</v>
      </c>
    </row>
    <row r="1067" spans="1:36" x14ac:dyDescent="0.25">
      <c r="A1067" s="2" t="s">
        <v>1578</v>
      </c>
      <c r="B1067" s="3">
        <v>110</v>
      </c>
      <c r="C1067" s="2" t="s">
        <v>294</v>
      </c>
      <c r="D1067" s="2" t="s">
        <v>81</v>
      </c>
      <c r="E1067" s="2" t="s">
        <v>125</v>
      </c>
      <c r="F1067" s="4" t="s">
        <v>126</v>
      </c>
      <c r="G1067" s="4" t="s">
        <v>127</v>
      </c>
      <c r="H1067" s="5">
        <v>9.1999999999999993</v>
      </c>
      <c r="I1067" s="5">
        <v>10.8</v>
      </c>
      <c r="J1067" s="5">
        <v>13.5</v>
      </c>
      <c r="K1067" s="4" t="s">
        <v>111</v>
      </c>
      <c r="L1067" s="4" t="s">
        <v>128</v>
      </c>
      <c r="M1067" s="6">
        <f>IF(OR(B1067="",I1067=""),"",B1067*I1067)</f>
        <v>1188</v>
      </c>
      <c r="N1067" s="25" t="s">
        <v>113</v>
      </c>
      <c r="O1067" s="26">
        <v>54</v>
      </c>
      <c r="P1067" s="9" t="s">
        <v>1579</v>
      </c>
      <c r="Q1067" s="27">
        <v>954114</v>
      </c>
      <c r="R1067" s="27">
        <v>11916684</v>
      </c>
      <c r="S1067" s="23">
        <f>IF(AND(ISNUMBER(Q1067),Q1067&gt;0,ISNUMBER(R1067),R1067&gt;0),R1067/Q1067,"")</f>
        <v>12.489790528175879</v>
      </c>
      <c r="T1067" s="9" t="s">
        <v>115</v>
      </c>
      <c r="U1067" s="9" t="s">
        <v>130</v>
      </c>
      <c r="V1067" s="9" t="s">
        <v>21</v>
      </c>
      <c r="W1067" s="9" t="s">
        <v>1580</v>
      </c>
      <c r="X1067" s="23">
        <f>IF(ISNUMBER(S1067),S1067,IF(ISNUMBER(I1067),I1067,""))</f>
        <v>12.489790528175879</v>
      </c>
      <c r="Y1067" t="str">
        <f>IF(ISNUMBER(S1067),"2025 EIA-923 plant/group proxy",IF(ISNUMBER(I1067),"Technology estimate","No thermal heat rate"))</f>
        <v>2025 EIA-923 plant/group proxy</v>
      </c>
      <c r="Z1067" t="str">
        <f>IF(ISNUMBER(S1067),"Review: NOT unit verified",IF(AE1067="No match","No EIA match",IF(AF1067="Unconfirmed","Unconfirmed EIA candidate","")))</f>
        <v>Review: NOT unit verified</v>
      </c>
      <c r="AA1067" s="26">
        <v>1</v>
      </c>
      <c r="AB1067" t="s">
        <v>266</v>
      </c>
      <c r="AC1067" t="s">
        <v>1581</v>
      </c>
      <c r="AD1067" s="26">
        <v>755.6</v>
      </c>
      <c r="AE1067" t="s">
        <v>120</v>
      </c>
      <c r="AF1067" t="s">
        <v>121</v>
      </c>
      <c r="AG1067" s="27">
        <v>12.489800000000001</v>
      </c>
      <c r="AH1067" s="34">
        <f t="shared" si="38"/>
        <v>168416.19999999992</v>
      </c>
      <c r="AI1067">
        <f t="shared" si="37"/>
        <v>105172.9680123724</v>
      </c>
      <c r="AJ1067" t="b" cm="1">
        <f t="array" ref="AJ1067">OR(D1067=$AT$2:$AT$8)</f>
        <v>0</v>
      </c>
    </row>
    <row r="1068" spans="1:36" x14ac:dyDescent="0.25">
      <c r="A1068" s="2" t="s">
        <v>1583</v>
      </c>
      <c r="B1068" s="3">
        <v>105</v>
      </c>
      <c r="C1068" s="2" t="s">
        <v>294</v>
      </c>
      <c r="D1068" s="2" t="s">
        <v>81</v>
      </c>
      <c r="E1068" s="2" t="s">
        <v>125</v>
      </c>
      <c r="F1068" s="4" t="s">
        <v>126</v>
      </c>
      <c r="G1068" s="4" t="s">
        <v>127</v>
      </c>
      <c r="H1068" s="5">
        <v>9.1999999999999993</v>
      </c>
      <c r="I1068" s="5">
        <v>10.8</v>
      </c>
      <c r="J1068" s="5">
        <v>13.5</v>
      </c>
      <c r="K1068" s="4" t="s">
        <v>111</v>
      </c>
      <c r="L1068" s="4" t="s">
        <v>128</v>
      </c>
      <c r="M1068" s="6">
        <f>IF(OR(B1068="",I1068=""),"",B1068*I1068)</f>
        <v>1134</v>
      </c>
      <c r="N1068" s="25" t="s">
        <v>113</v>
      </c>
      <c r="O1068" s="26">
        <v>54</v>
      </c>
      <c r="P1068" s="9" t="s">
        <v>1579</v>
      </c>
      <c r="Q1068" s="27">
        <v>954114</v>
      </c>
      <c r="R1068" s="27">
        <v>11916684</v>
      </c>
      <c r="S1068" s="23">
        <f>IF(AND(ISNUMBER(Q1068),Q1068&gt;0,ISNUMBER(R1068),R1068&gt;0),R1068/Q1068,"")</f>
        <v>12.489790528175879</v>
      </c>
      <c r="T1068" s="9" t="s">
        <v>115</v>
      </c>
      <c r="U1068" s="9" t="s">
        <v>130</v>
      </c>
      <c r="V1068" s="9" t="s">
        <v>21</v>
      </c>
      <c r="W1068" s="9" t="s">
        <v>1580</v>
      </c>
      <c r="X1068" s="23">
        <f>IF(ISNUMBER(S1068),S1068,IF(ISNUMBER(I1068),I1068,""))</f>
        <v>12.489790528175879</v>
      </c>
      <c r="Y1068" t="str">
        <f>IF(ISNUMBER(S1068),"2025 EIA-923 plant/group proxy",IF(ISNUMBER(I1068),"Technology estimate","No thermal heat rate"))</f>
        <v>2025 EIA-923 plant/group proxy</v>
      </c>
      <c r="Z1068" t="str">
        <f>IF(ISNUMBER(S1068),"Review: NOT unit verified",IF(AE1068="No match","No EIA match",IF(AF1068="Unconfirmed","Unconfirmed EIA candidate","")))</f>
        <v>Review: NOT unit verified</v>
      </c>
      <c r="AA1068" s="26">
        <v>1</v>
      </c>
      <c r="AB1068" t="s">
        <v>266</v>
      </c>
      <c r="AC1068" t="s">
        <v>1581</v>
      </c>
      <c r="AD1068" s="26">
        <v>755.6</v>
      </c>
      <c r="AE1068" t="s">
        <v>120</v>
      </c>
      <c r="AF1068" t="s">
        <v>121</v>
      </c>
      <c r="AG1068" s="27">
        <v>12.489800000000001</v>
      </c>
      <c r="AH1068" s="34">
        <f t="shared" si="38"/>
        <v>168521.19999999992</v>
      </c>
      <c r="AI1068">
        <f t="shared" si="37"/>
        <v>105238.53867387229</v>
      </c>
      <c r="AJ1068" t="b" cm="1">
        <f t="array" ref="AJ1068">OR(D1068=$AT$2:$AT$8)</f>
        <v>0</v>
      </c>
    </row>
    <row r="1069" spans="1:36" x14ac:dyDescent="0.25">
      <c r="A1069" s="2" t="s">
        <v>1584</v>
      </c>
      <c r="B1069" s="3">
        <v>106</v>
      </c>
      <c r="C1069" s="2" t="s">
        <v>294</v>
      </c>
      <c r="D1069" s="2" t="s">
        <v>81</v>
      </c>
      <c r="E1069" s="2" t="s">
        <v>125</v>
      </c>
      <c r="F1069" s="4" t="s">
        <v>126</v>
      </c>
      <c r="G1069" s="4" t="s">
        <v>127</v>
      </c>
      <c r="H1069" s="5">
        <v>9.1999999999999993</v>
      </c>
      <c r="I1069" s="5">
        <v>10.8</v>
      </c>
      <c r="J1069" s="5">
        <v>13.5</v>
      </c>
      <c r="K1069" s="4" t="s">
        <v>111</v>
      </c>
      <c r="L1069" s="4" t="s">
        <v>128</v>
      </c>
      <c r="M1069" s="6">
        <f>IF(OR(B1069="",I1069=""),"",B1069*I1069)</f>
        <v>1144.8000000000002</v>
      </c>
      <c r="N1069" s="25" t="s">
        <v>113</v>
      </c>
      <c r="O1069" s="26">
        <v>54</v>
      </c>
      <c r="P1069" s="9" t="s">
        <v>1579</v>
      </c>
      <c r="Q1069" s="27">
        <v>954114</v>
      </c>
      <c r="R1069" s="27">
        <v>11916684</v>
      </c>
      <c r="S1069" s="23">
        <f>IF(AND(ISNUMBER(Q1069),Q1069&gt;0,ISNUMBER(R1069),R1069&gt;0),R1069/Q1069,"")</f>
        <v>12.489790528175879</v>
      </c>
      <c r="T1069" s="9" t="s">
        <v>115</v>
      </c>
      <c r="U1069" s="9" t="s">
        <v>130</v>
      </c>
      <c r="V1069" s="9" t="s">
        <v>21</v>
      </c>
      <c r="W1069" s="9" t="s">
        <v>1580</v>
      </c>
      <c r="X1069" s="23">
        <f>IF(ISNUMBER(S1069),S1069,IF(ISNUMBER(I1069),I1069,""))</f>
        <v>12.489790528175879</v>
      </c>
      <c r="Y1069" t="str">
        <f>IF(ISNUMBER(S1069),"2025 EIA-923 plant/group proxy",IF(ISNUMBER(I1069),"Technology estimate","No thermal heat rate"))</f>
        <v>2025 EIA-923 plant/group proxy</v>
      </c>
      <c r="Z1069" t="str">
        <f>IF(ISNUMBER(S1069),"Review: NOT unit verified",IF(AE1069="No match","No EIA match",IF(AF1069="Unconfirmed","Unconfirmed EIA candidate","")))</f>
        <v>Review: NOT unit verified</v>
      </c>
      <c r="AA1069" s="26">
        <v>1</v>
      </c>
      <c r="AB1069" t="s">
        <v>266</v>
      </c>
      <c r="AC1069" t="s">
        <v>1581</v>
      </c>
      <c r="AD1069" s="26">
        <v>755.6</v>
      </c>
      <c r="AE1069" t="s">
        <v>120</v>
      </c>
      <c r="AF1069" t="s">
        <v>121</v>
      </c>
      <c r="AG1069" s="27">
        <v>12.489800000000001</v>
      </c>
      <c r="AH1069" s="34">
        <f t="shared" si="38"/>
        <v>168627.19999999992</v>
      </c>
      <c r="AI1069">
        <f t="shared" si="37"/>
        <v>105304.73381786267</v>
      </c>
      <c r="AJ1069" t="b" cm="1">
        <f t="array" ref="AJ1069">OR(D1069=$AT$2:$AT$8)</f>
        <v>0</v>
      </c>
    </row>
    <row r="1070" spans="1:36" x14ac:dyDescent="0.25">
      <c r="A1070" s="2" t="s">
        <v>1585</v>
      </c>
      <c r="B1070" s="3">
        <v>71</v>
      </c>
      <c r="C1070" s="2" t="s">
        <v>294</v>
      </c>
      <c r="D1070" s="2" t="s">
        <v>81</v>
      </c>
      <c r="E1070" s="2" t="s">
        <v>125</v>
      </c>
      <c r="F1070" s="4" t="s">
        <v>126</v>
      </c>
      <c r="G1070" s="4" t="s">
        <v>127</v>
      </c>
      <c r="H1070" s="5">
        <v>9.1999999999999993</v>
      </c>
      <c r="I1070" s="5">
        <v>10.8</v>
      </c>
      <c r="J1070" s="5">
        <v>13.5</v>
      </c>
      <c r="K1070" s="4" t="s">
        <v>111</v>
      </c>
      <c r="L1070" s="4" t="s">
        <v>128</v>
      </c>
      <c r="M1070" s="6">
        <f>IF(OR(B1070="",I1070=""),"",B1070*I1070)</f>
        <v>766.80000000000007</v>
      </c>
      <c r="N1070" s="25" t="s">
        <v>113</v>
      </c>
      <c r="O1070" s="26">
        <v>54</v>
      </c>
      <c r="P1070" s="9" t="s">
        <v>1579</v>
      </c>
      <c r="Q1070" s="27">
        <v>954114</v>
      </c>
      <c r="R1070" s="27">
        <v>11916684</v>
      </c>
      <c r="S1070" s="23">
        <f>IF(AND(ISNUMBER(Q1070),Q1070&gt;0,ISNUMBER(R1070),R1070&gt;0),R1070/Q1070,"")</f>
        <v>12.489790528175879</v>
      </c>
      <c r="T1070" s="9" t="s">
        <v>115</v>
      </c>
      <c r="U1070" s="9" t="s">
        <v>130</v>
      </c>
      <c r="V1070" s="9" t="s">
        <v>21</v>
      </c>
      <c r="W1070" s="9" t="s">
        <v>1580</v>
      </c>
      <c r="X1070" s="23">
        <f>IF(ISNUMBER(S1070),S1070,IF(ISNUMBER(I1070),I1070,""))</f>
        <v>12.489790528175879</v>
      </c>
      <c r="Y1070" t="str">
        <f>IF(ISNUMBER(S1070),"2025 EIA-923 plant/group proxy",IF(ISNUMBER(I1070),"Technology estimate","No thermal heat rate"))</f>
        <v>2025 EIA-923 plant/group proxy</v>
      </c>
      <c r="Z1070" t="str">
        <f>IF(ISNUMBER(S1070),"Review: NOT unit verified",IF(AE1070="No match","No EIA match",IF(AF1070="Unconfirmed","Unconfirmed EIA candidate","")))</f>
        <v>Review: NOT unit verified</v>
      </c>
      <c r="AA1070" s="26">
        <v>1</v>
      </c>
      <c r="AB1070" t="s">
        <v>266</v>
      </c>
      <c r="AC1070" t="s">
        <v>1581</v>
      </c>
      <c r="AD1070" s="26">
        <v>755.6</v>
      </c>
      <c r="AE1070" t="s">
        <v>120</v>
      </c>
      <c r="AF1070" t="s">
        <v>121</v>
      </c>
      <c r="AG1070" s="27">
        <v>12.489800000000001</v>
      </c>
      <c r="AH1070" s="34">
        <f t="shared" si="38"/>
        <v>168698.19999999992</v>
      </c>
      <c r="AI1070">
        <f t="shared" si="37"/>
        <v>105349.07207468641</v>
      </c>
      <c r="AJ1070" t="b" cm="1">
        <f t="array" ref="AJ1070">OR(D1070=$AT$2:$AT$8)</f>
        <v>0</v>
      </c>
    </row>
    <row r="1071" spans="1:36" x14ac:dyDescent="0.25">
      <c r="A1071" s="2" t="s">
        <v>1586</v>
      </c>
      <c r="B1071" s="3">
        <v>70.599999999999994</v>
      </c>
      <c r="C1071" s="2" t="s">
        <v>294</v>
      </c>
      <c r="D1071" s="2" t="s">
        <v>81</v>
      </c>
      <c r="E1071" s="2" t="s">
        <v>125</v>
      </c>
      <c r="F1071" s="4" t="s">
        <v>126</v>
      </c>
      <c r="G1071" s="4" t="s">
        <v>127</v>
      </c>
      <c r="H1071" s="5">
        <v>9.1999999999999993</v>
      </c>
      <c r="I1071" s="5">
        <v>10.8</v>
      </c>
      <c r="J1071" s="5">
        <v>13.5</v>
      </c>
      <c r="K1071" s="4" t="s">
        <v>111</v>
      </c>
      <c r="L1071" s="4" t="s">
        <v>128</v>
      </c>
      <c r="M1071" s="6">
        <f>IF(OR(B1071="",I1071=""),"",B1071*I1071)</f>
        <v>762.48</v>
      </c>
      <c r="N1071" s="25" t="s">
        <v>113</v>
      </c>
      <c r="O1071" s="26">
        <v>54</v>
      </c>
      <c r="P1071" s="9" t="s">
        <v>1579</v>
      </c>
      <c r="Q1071" s="27">
        <v>954114</v>
      </c>
      <c r="R1071" s="27">
        <v>11916684</v>
      </c>
      <c r="S1071" s="23">
        <f>IF(AND(ISNUMBER(Q1071),Q1071&gt;0,ISNUMBER(R1071),R1071&gt;0),R1071/Q1071,"")</f>
        <v>12.489790528175879</v>
      </c>
      <c r="T1071" s="9" t="s">
        <v>115</v>
      </c>
      <c r="U1071" s="9" t="s">
        <v>130</v>
      </c>
      <c r="V1071" s="9" t="s">
        <v>21</v>
      </c>
      <c r="W1071" s="9" t="s">
        <v>1580</v>
      </c>
      <c r="X1071" s="23">
        <f>IF(ISNUMBER(S1071),S1071,IF(ISNUMBER(I1071),I1071,""))</f>
        <v>12.489790528175879</v>
      </c>
      <c r="Y1071" t="str">
        <f>IF(ISNUMBER(S1071),"2025 EIA-923 plant/group proxy",IF(ISNUMBER(I1071),"Technology estimate","No thermal heat rate"))</f>
        <v>2025 EIA-923 plant/group proxy</v>
      </c>
      <c r="Z1071" t="str">
        <f>IF(ISNUMBER(S1071),"Review: NOT unit verified",IF(AE1071="No match","No EIA match",IF(AF1071="Unconfirmed","Unconfirmed EIA candidate","")))</f>
        <v>Review: NOT unit verified</v>
      </c>
      <c r="AA1071" s="26">
        <v>1</v>
      </c>
      <c r="AB1071" t="s">
        <v>266</v>
      </c>
      <c r="AC1071" t="s">
        <v>1581</v>
      </c>
      <c r="AD1071" s="26">
        <v>755.6</v>
      </c>
      <c r="AE1071" t="s">
        <v>120</v>
      </c>
      <c r="AF1071" t="s">
        <v>121</v>
      </c>
      <c r="AG1071" s="27">
        <v>12.489800000000001</v>
      </c>
      <c r="AH1071" s="34">
        <f t="shared" si="38"/>
        <v>168768.79999999993</v>
      </c>
      <c r="AI1071">
        <f t="shared" si="37"/>
        <v>105393.16053851396</v>
      </c>
      <c r="AJ1071" t="b" cm="1">
        <f t="array" ref="AJ1071">OR(D1071=$AT$2:$AT$8)</f>
        <v>0</v>
      </c>
    </row>
    <row r="1072" spans="1:36" x14ac:dyDescent="0.25">
      <c r="A1072" s="2" t="s">
        <v>1587</v>
      </c>
      <c r="B1072" s="3">
        <v>69</v>
      </c>
      <c r="C1072" s="2" t="s">
        <v>294</v>
      </c>
      <c r="D1072" s="2" t="s">
        <v>81</v>
      </c>
      <c r="E1072" s="2" t="s">
        <v>125</v>
      </c>
      <c r="F1072" s="4" t="s">
        <v>126</v>
      </c>
      <c r="G1072" s="4" t="s">
        <v>127</v>
      </c>
      <c r="H1072" s="5">
        <v>9.1999999999999993</v>
      </c>
      <c r="I1072" s="5">
        <v>10.8</v>
      </c>
      <c r="J1072" s="5">
        <v>13.5</v>
      </c>
      <c r="K1072" s="4" t="s">
        <v>111</v>
      </c>
      <c r="L1072" s="4" t="s">
        <v>128</v>
      </c>
      <c r="M1072" s="6">
        <f>IF(OR(B1072="",I1072=""),"",B1072*I1072)</f>
        <v>745.2</v>
      </c>
      <c r="N1072" s="25" t="s">
        <v>113</v>
      </c>
      <c r="O1072" s="26">
        <v>54</v>
      </c>
      <c r="P1072" s="9" t="s">
        <v>1579</v>
      </c>
      <c r="Q1072" s="27">
        <v>954114</v>
      </c>
      <c r="R1072" s="27">
        <v>11916684</v>
      </c>
      <c r="S1072" s="23">
        <f>IF(AND(ISNUMBER(Q1072),Q1072&gt;0,ISNUMBER(R1072),R1072&gt;0),R1072/Q1072,"")</f>
        <v>12.489790528175879</v>
      </c>
      <c r="T1072" s="9" t="s">
        <v>115</v>
      </c>
      <c r="U1072" s="9" t="s">
        <v>130</v>
      </c>
      <c r="V1072" s="9" t="s">
        <v>21</v>
      </c>
      <c r="W1072" s="9" t="s">
        <v>1580</v>
      </c>
      <c r="X1072" s="23">
        <f>IF(ISNUMBER(S1072),S1072,IF(ISNUMBER(I1072),I1072,""))</f>
        <v>12.489790528175879</v>
      </c>
      <c r="Y1072" t="str">
        <f>IF(ISNUMBER(S1072),"2025 EIA-923 plant/group proxy",IF(ISNUMBER(I1072),"Technology estimate","No thermal heat rate"))</f>
        <v>2025 EIA-923 plant/group proxy</v>
      </c>
      <c r="Z1072" t="str">
        <f>IF(ISNUMBER(S1072),"Review: NOT unit verified",IF(AE1072="No match","No EIA match",IF(AF1072="Unconfirmed","Unconfirmed EIA candidate","")))</f>
        <v>Review: NOT unit verified</v>
      </c>
      <c r="AA1072" s="26">
        <v>1</v>
      </c>
      <c r="AB1072" t="s">
        <v>266</v>
      </c>
      <c r="AC1072" t="s">
        <v>1581</v>
      </c>
      <c r="AD1072" s="26">
        <v>755.6</v>
      </c>
      <c r="AE1072" t="s">
        <v>120</v>
      </c>
      <c r="AF1072" t="s">
        <v>121</v>
      </c>
      <c r="AG1072" s="27">
        <v>12.489800000000001</v>
      </c>
      <c r="AH1072" s="34">
        <f t="shared" si="38"/>
        <v>168837.79999999993</v>
      </c>
      <c r="AI1072">
        <f t="shared" si="37"/>
        <v>105436.24983035676</v>
      </c>
      <c r="AJ1072" t="b" cm="1">
        <f t="array" ref="AJ1072">OR(D1072=$AT$2:$AT$8)</f>
        <v>0</v>
      </c>
    </row>
    <row r="1073" spans="1:36" x14ac:dyDescent="0.25">
      <c r="A1073" s="2" t="s">
        <v>1588</v>
      </c>
      <c r="B1073" s="3">
        <v>69</v>
      </c>
      <c r="C1073" s="2" t="s">
        <v>294</v>
      </c>
      <c r="D1073" s="2" t="s">
        <v>81</v>
      </c>
      <c r="E1073" s="2" t="s">
        <v>125</v>
      </c>
      <c r="F1073" s="4" t="s">
        <v>126</v>
      </c>
      <c r="G1073" s="4" t="s">
        <v>127</v>
      </c>
      <c r="H1073" s="5">
        <v>9.1999999999999993</v>
      </c>
      <c r="I1073" s="5">
        <v>10.8</v>
      </c>
      <c r="J1073" s="5">
        <v>13.5</v>
      </c>
      <c r="K1073" s="4" t="s">
        <v>111</v>
      </c>
      <c r="L1073" s="4" t="s">
        <v>128</v>
      </c>
      <c r="M1073" s="6">
        <f>IF(OR(B1073="",I1073=""),"",B1073*I1073)</f>
        <v>745.2</v>
      </c>
      <c r="N1073" s="25" t="s">
        <v>113</v>
      </c>
      <c r="O1073" s="26">
        <v>54</v>
      </c>
      <c r="P1073" s="9" t="s">
        <v>1579</v>
      </c>
      <c r="Q1073" s="27">
        <v>954114</v>
      </c>
      <c r="R1073" s="27">
        <v>11916684</v>
      </c>
      <c r="S1073" s="23">
        <f>IF(AND(ISNUMBER(Q1073),Q1073&gt;0,ISNUMBER(R1073),R1073&gt;0),R1073/Q1073,"")</f>
        <v>12.489790528175879</v>
      </c>
      <c r="T1073" s="9" t="s">
        <v>115</v>
      </c>
      <c r="U1073" s="9" t="s">
        <v>130</v>
      </c>
      <c r="V1073" s="9" t="s">
        <v>21</v>
      </c>
      <c r="W1073" s="9" t="s">
        <v>1580</v>
      </c>
      <c r="X1073" s="23">
        <f>IF(ISNUMBER(S1073),S1073,IF(ISNUMBER(I1073),I1073,""))</f>
        <v>12.489790528175879</v>
      </c>
      <c r="Y1073" t="str">
        <f>IF(ISNUMBER(S1073),"2025 EIA-923 plant/group proxy",IF(ISNUMBER(I1073),"Technology estimate","No thermal heat rate"))</f>
        <v>2025 EIA-923 plant/group proxy</v>
      </c>
      <c r="Z1073" t="str">
        <f>IF(ISNUMBER(S1073),"Review: NOT unit verified",IF(AE1073="No match","No EIA match",IF(AF1073="Unconfirmed","Unconfirmed EIA candidate","")))</f>
        <v>Review: NOT unit verified</v>
      </c>
      <c r="AA1073" s="26">
        <v>1</v>
      </c>
      <c r="AB1073" t="s">
        <v>266</v>
      </c>
      <c r="AC1073" t="s">
        <v>1581</v>
      </c>
      <c r="AD1073" s="26">
        <v>755.6</v>
      </c>
      <c r="AE1073" t="s">
        <v>120</v>
      </c>
      <c r="AF1073" t="s">
        <v>121</v>
      </c>
      <c r="AG1073" s="27">
        <v>12.489800000000001</v>
      </c>
      <c r="AH1073" s="34">
        <f t="shared" si="38"/>
        <v>168906.79999999993</v>
      </c>
      <c r="AI1073">
        <f t="shared" si="37"/>
        <v>105479.33912219954</v>
      </c>
      <c r="AJ1073" t="b" cm="1">
        <f t="array" ref="AJ1073">OR(D1073=$AT$2:$AT$8)</f>
        <v>0</v>
      </c>
    </row>
    <row r="1074" spans="1:36" x14ac:dyDescent="0.25">
      <c r="A1074" s="2" t="s">
        <v>1582</v>
      </c>
      <c r="B1074" s="3">
        <v>76</v>
      </c>
      <c r="C1074" s="2" t="s">
        <v>294</v>
      </c>
      <c r="D1074" s="2" t="s">
        <v>81</v>
      </c>
      <c r="E1074" s="2" t="s">
        <v>137</v>
      </c>
      <c r="F1074" s="4" t="s">
        <v>138</v>
      </c>
      <c r="G1074" s="4" t="s">
        <v>139</v>
      </c>
      <c r="H1074" s="5">
        <v>9</v>
      </c>
      <c r="I1074" s="5">
        <v>10.5</v>
      </c>
      <c r="J1074" s="5">
        <v>13</v>
      </c>
      <c r="K1074" s="4" t="s">
        <v>111</v>
      </c>
      <c r="L1074" s="4" t="s">
        <v>112</v>
      </c>
      <c r="M1074" s="6">
        <f>IF(OR(B1074="",I1074=""),"",B1074*I1074)</f>
        <v>798</v>
      </c>
      <c r="N1074" s="25" t="s">
        <v>113</v>
      </c>
      <c r="O1074" s="26">
        <v>54</v>
      </c>
      <c r="P1074" s="9" t="s">
        <v>1579</v>
      </c>
      <c r="Q1074" s="27">
        <v>954114</v>
      </c>
      <c r="R1074" s="27">
        <v>11916684</v>
      </c>
      <c r="S1074" s="23">
        <f>IF(AND(ISNUMBER(Q1074),Q1074&gt;0,ISNUMBER(R1074),R1074&gt;0),R1074/Q1074,"")</f>
        <v>12.489790528175879</v>
      </c>
      <c r="T1074" s="9" t="s">
        <v>115</v>
      </c>
      <c r="U1074" s="9" t="s">
        <v>130</v>
      </c>
      <c r="V1074" s="9" t="s">
        <v>21</v>
      </c>
      <c r="W1074" s="9" t="s">
        <v>1580</v>
      </c>
      <c r="X1074" s="23">
        <f>IF(ISNUMBER(S1074),S1074,IF(ISNUMBER(I1074),I1074,""))</f>
        <v>12.489790528175879</v>
      </c>
      <c r="Y1074" t="str">
        <f>IF(ISNUMBER(S1074),"2025 EIA-923 plant/group proxy",IF(ISNUMBER(I1074),"Technology estimate","No thermal heat rate"))</f>
        <v>2025 EIA-923 plant/group proxy</v>
      </c>
      <c r="Z1074" t="str">
        <f>IF(ISNUMBER(S1074),"Review: NOT unit verified",IF(AE1074="No match","No EIA match",IF(AF1074="Unconfirmed","Unconfirmed EIA candidate","")))</f>
        <v>Review: NOT unit verified</v>
      </c>
      <c r="AA1074" s="26">
        <v>1</v>
      </c>
      <c r="AB1074" t="s">
        <v>266</v>
      </c>
      <c r="AC1074" t="s">
        <v>1581</v>
      </c>
      <c r="AD1074" s="26">
        <v>755.6</v>
      </c>
      <c r="AE1074" t="s">
        <v>120</v>
      </c>
      <c r="AF1074" t="s">
        <v>121</v>
      </c>
      <c r="AG1074" s="27">
        <v>12.489800000000001</v>
      </c>
      <c r="AH1074" s="34">
        <f t="shared" si="38"/>
        <v>168982.79999999993</v>
      </c>
      <c r="AI1074">
        <f t="shared" si="37"/>
        <v>105526.79979147566</v>
      </c>
      <c r="AJ1074" t="b" cm="1">
        <f t="array" ref="AJ1074">OR(D1074=$AT$2:$AT$8)</f>
        <v>0</v>
      </c>
    </row>
    <row r="1075" spans="1:36" x14ac:dyDescent="0.25">
      <c r="A1075" s="2" t="s">
        <v>1589</v>
      </c>
      <c r="B1075" s="3">
        <v>76</v>
      </c>
      <c r="C1075" s="2" t="s">
        <v>294</v>
      </c>
      <c r="D1075" s="2" t="s">
        <v>81</v>
      </c>
      <c r="E1075" s="2" t="s">
        <v>137</v>
      </c>
      <c r="F1075" s="4" t="s">
        <v>138</v>
      </c>
      <c r="G1075" s="4" t="s">
        <v>139</v>
      </c>
      <c r="H1075" s="5">
        <v>9</v>
      </c>
      <c r="I1075" s="5">
        <v>10.5</v>
      </c>
      <c r="J1075" s="5">
        <v>13</v>
      </c>
      <c r="K1075" s="4" t="s">
        <v>111</v>
      </c>
      <c r="L1075" s="4" t="s">
        <v>112</v>
      </c>
      <c r="M1075" s="6">
        <f>IF(OR(B1075="",I1075=""),"",B1075*I1075)</f>
        <v>798</v>
      </c>
      <c r="N1075" s="25" t="s">
        <v>113</v>
      </c>
      <c r="O1075" s="26">
        <v>54</v>
      </c>
      <c r="P1075" s="9" t="s">
        <v>1579</v>
      </c>
      <c r="Q1075" s="27">
        <v>954114</v>
      </c>
      <c r="R1075" s="27">
        <v>11916684</v>
      </c>
      <c r="S1075" s="23">
        <f>IF(AND(ISNUMBER(Q1075),Q1075&gt;0,ISNUMBER(R1075),R1075&gt;0),R1075/Q1075,"")</f>
        <v>12.489790528175879</v>
      </c>
      <c r="T1075" s="9" t="s">
        <v>115</v>
      </c>
      <c r="U1075" s="9" t="s">
        <v>130</v>
      </c>
      <c r="V1075" s="9" t="s">
        <v>21</v>
      </c>
      <c r="W1075" s="9" t="s">
        <v>1580</v>
      </c>
      <c r="X1075" s="23">
        <f>IF(ISNUMBER(S1075),S1075,IF(ISNUMBER(I1075),I1075,""))</f>
        <v>12.489790528175879</v>
      </c>
      <c r="Y1075" t="str">
        <f>IF(ISNUMBER(S1075),"2025 EIA-923 plant/group proxy",IF(ISNUMBER(I1075),"Technology estimate","No thermal heat rate"))</f>
        <v>2025 EIA-923 plant/group proxy</v>
      </c>
      <c r="Z1075" t="str">
        <f>IF(ISNUMBER(S1075),"Review: NOT unit verified",IF(AE1075="No match","No EIA match",IF(AF1075="Unconfirmed","Unconfirmed EIA candidate","")))</f>
        <v>Review: NOT unit verified</v>
      </c>
      <c r="AA1075" s="26">
        <v>1</v>
      </c>
      <c r="AB1075" t="s">
        <v>266</v>
      </c>
      <c r="AC1075" t="s">
        <v>1581</v>
      </c>
      <c r="AD1075" s="26">
        <v>755.6</v>
      </c>
      <c r="AE1075" t="s">
        <v>120</v>
      </c>
      <c r="AF1075" t="s">
        <v>121</v>
      </c>
      <c r="AG1075" s="27">
        <v>12.489800000000001</v>
      </c>
      <c r="AH1075" s="34">
        <f t="shared" si="38"/>
        <v>169058.79999999993</v>
      </c>
      <c r="AI1075">
        <f t="shared" si="37"/>
        <v>105574.26046075177</v>
      </c>
      <c r="AJ1075" t="b" cm="1">
        <f t="array" ref="AJ1075">OR(D1075=$AT$2:$AT$8)</f>
        <v>0</v>
      </c>
    </row>
    <row r="1076" spans="1:36" x14ac:dyDescent="0.25">
      <c r="A1076" s="2" t="s">
        <v>1114</v>
      </c>
      <c r="B1076" s="3">
        <v>76.5</v>
      </c>
      <c r="C1076" s="2" t="s">
        <v>78</v>
      </c>
      <c r="D1076" s="2" t="s">
        <v>78</v>
      </c>
      <c r="E1076" s="2" t="s">
        <v>125</v>
      </c>
      <c r="F1076" s="4" t="s">
        <v>126</v>
      </c>
      <c r="G1076" s="4" t="s">
        <v>127</v>
      </c>
      <c r="H1076" s="5">
        <v>9.1999999999999993</v>
      </c>
      <c r="I1076" s="5">
        <v>10.8</v>
      </c>
      <c r="J1076" s="5">
        <v>13.5</v>
      </c>
      <c r="K1076" s="4" t="s">
        <v>111</v>
      </c>
      <c r="L1076" s="4" t="s">
        <v>128</v>
      </c>
      <c r="M1076" s="6">
        <f>IF(OR(B1076="",I1076=""),"",B1076*I1076)</f>
        <v>826.2</v>
      </c>
      <c r="N1076" s="28" t="s">
        <v>113</v>
      </c>
      <c r="O1076" s="26">
        <v>7837</v>
      </c>
      <c r="P1076" s="9" t="s">
        <v>1115</v>
      </c>
      <c r="Q1076" s="27">
        <v>646052.99800000002</v>
      </c>
      <c r="R1076" s="27">
        <v>8070431</v>
      </c>
      <c r="S1076" s="23">
        <f>IF(AND(ISNUMBER(Q1076),Q1076&gt;0,ISNUMBER(R1076),R1076&gt;0),R1076/Q1076,"")</f>
        <v>12.491902405814701</v>
      </c>
      <c r="T1076" s="9" t="s">
        <v>115</v>
      </c>
      <c r="U1076" s="9" t="s">
        <v>130</v>
      </c>
      <c r="V1076" s="9" t="s">
        <v>21</v>
      </c>
      <c r="W1076" s="9" t="s">
        <v>1027</v>
      </c>
      <c r="X1076" s="23">
        <f>IF(ISNUMBER(S1076),S1076,IF(ISNUMBER(I1076),I1076,""))</f>
        <v>12.491902405814701</v>
      </c>
      <c r="Y1076" t="str">
        <f>IF(ISNUMBER(S1076),"2025 EIA-923 plant/group proxy",IF(ISNUMBER(I1076),"Technology estimate","No thermal heat rate"))</f>
        <v>2025 EIA-923 plant/group proxy</v>
      </c>
      <c r="Z1076" t="str">
        <f>IF(ISNUMBER(S1076),"Review: NOT unit verified",IF(AE1076="No match","No EIA match",IF(AF1076="Unconfirmed","Unconfirmed EIA candidate","")))</f>
        <v>Review: NOT unit verified</v>
      </c>
      <c r="AA1076" s="26">
        <v>0.65900000000000003</v>
      </c>
      <c r="AB1076" t="s">
        <v>201</v>
      </c>
      <c r="AC1076" t="s">
        <v>1028</v>
      </c>
      <c r="AD1076" s="26">
        <v>466</v>
      </c>
      <c r="AE1076" t="s">
        <v>120</v>
      </c>
      <c r="AF1076" t="s">
        <v>145</v>
      </c>
      <c r="AG1076" s="27">
        <v>12.491899999999999</v>
      </c>
      <c r="AH1076" s="34">
        <f t="shared" si="38"/>
        <v>169135.29999999993</v>
      </c>
      <c r="AI1076">
        <f t="shared" si="37"/>
        <v>105622.03337127312</v>
      </c>
      <c r="AJ1076" t="b" cm="1">
        <f t="array" ref="AJ1076">OR(D1076=$AT$2:$AT$8)</f>
        <v>1</v>
      </c>
    </row>
    <row r="1077" spans="1:36" x14ac:dyDescent="0.25">
      <c r="A1077" s="2" t="s">
        <v>1116</v>
      </c>
      <c r="B1077" s="3">
        <v>77</v>
      </c>
      <c r="C1077" s="2" t="s">
        <v>78</v>
      </c>
      <c r="D1077" s="2" t="s">
        <v>78</v>
      </c>
      <c r="E1077" s="2" t="s">
        <v>125</v>
      </c>
      <c r="F1077" s="4" t="s">
        <v>126</v>
      </c>
      <c r="G1077" s="4" t="s">
        <v>127</v>
      </c>
      <c r="H1077" s="5">
        <v>9.1999999999999993</v>
      </c>
      <c r="I1077" s="5">
        <v>10.8</v>
      </c>
      <c r="J1077" s="5">
        <v>13.5</v>
      </c>
      <c r="K1077" s="4" t="s">
        <v>111</v>
      </c>
      <c r="L1077" s="4" t="s">
        <v>128</v>
      </c>
      <c r="M1077" s="6">
        <f>IF(OR(B1077="",I1077=""),"",B1077*I1077)</f>
        <v>831.6</v>
      </c>
      <c r="N1077" s="28" t="s">
        <v>113</v>
      </c>
      <c r="O1077" s="26">
        <v>7837</v>
      </c>
      <c r="P1077" s="9" t="s">
        <v>1115</v>
      </c>
      <c r="Q1077" s="27">
        <v>646052.99800000002</v>
      </c>
      <c r="R1077" s="27">
        <v>8070431</v>
      </c>
      <c r="S1077" s="23">
        <f>IF(AND(ISNUMBER(Q1077),Q1077&gt;0,ISNUMBER(R1077),R1077&gt;0),R1077/Q1077,"")</f>
        <v>12.491902405814701</v>
      </c>
      <c r="T1077" s="9" t="s">
        <v>115</v>
      </c>
      <c r="U1077" s="9" t="s">
        <v>130</v>
      </c>
      <c r="V1077" s="9" t="s">
        <v>21</v>
      </c>
      <c r="W1077" s="9" t="s">
        <v>1027</v>
      </c>
      <c r="X1077" s="23">
        <f>IF(ISNUMBER(S1077),S1077,IF(ISNUMBER(I1077),I1077,""))</f>
        <v>12.491902405814701</v>
      </c>
      <c r="Y1077" t="str">
        <f>IF(ISNUMBER(S1077),"2025 EIA-923 plant/group proxy",IF(ISNUMBER(I1077),"Technology estimate","No thermal heat rate"))</f>
        <v>2025 EIA-923 plant/group proxy</v>
      </c>
      <c r="Z1077" t="str">
        <f>IF(ISNUMBER(S1077),"Review: NOT unit verified",IF(AE1077="No match","No EIA match",IF(AF1077="Unconfirmed","Unconfirmed EIA candidate","")))</f>
        <v>Review: NOT unit verified</v>
      </c>
      <c r="AA1077" s="26">
        <v>0.65900000000000003</v>
      </c>
      <c r="AB1077" t="s">
        <v>201</v>
      </c>
      <c r="AC1077" t="s">
        <v>1028</v>
      </c>
      <c r="AD1077" s="26">
        <v>466</v>
      </c>
      <c r="AE1077" t="s">
        <v>120</v>
      </c>
      <c r="AF1077" t="s">
        <v>145</v>
      </c>
      <c r="AG1077" s="27">
        <v>12.491899999999999</v>
      </c>
      <c r="AH1077" s="34">
        <f t="shared" si="38"/>
        <v>169212.29999999993</v>
      </c>
      <c r="AI1077">
        <f t="shared" si="37"/>
        <v>105670.11852303972</v>
      </c>
      <c r="AJ1077" t="b" cm="1">
        <f t="array" ref="AJ1077">OR(D1077=$AT$2:$AT$8)</f>
        <v>1</v>
      </c>
    </row>
    <row r="1078" spans="1:36" x14ac:dyDescent="0.25">
      <c r="A1078" s="2" t="s">
        <v>1117</v>
      </c>
      <c r="B1078" s="3">
        <v>77.3</v>
      </c>
      <c r="C1078" s="2" t="s">
        <v>78</v>
      </c>
      <c r="D1078" s="2" t="s">
        <v>78</v>
      </c>
      <c r="E1078" s="2" t="s">
        <v>125</v>
      </c>
      <c r="F1078" s="4" t="s">
        <v>126</v>
      </c>
      <c r="G1078" s="4" t="s">
        <v>127</v>
      </c>
      <c r="H1078" s="5">
        <v>9.1999999999999993</v>
      </c>
      <c r="I1078" s="5">
        <v>10.8</v>
      </c>
      <c r="J1078" s="5">
        <v>13.5</v>
      </c>
      <c r="K1078" s="4" t="s">
        <v>111</v>
      </c>
      <c r="L1078" s="4" t="s">
        <v>128</v>
      </c>
      <c r="M1078" s="6">
        <f>IF(OR(B1078="",I1078=""),"",B1078*I1078)</f>
        <v>834.84</v>
      </c>
      <c r="N1078" s="28" t="s">
        <v>113</v>
      </c>
      <c r="O1078" s="26">
        <v>7837</v>
      </c>
      <c r="P1078" s="9" t="s">
        <v>1115</v>
      </c>
      <c r="Q1078" s="27">
        <v>646052.99800000002</v>
      </c>
      <c r="R1078" s="27">
        <v>8070431</v>
      </c>
      <c r="S1078" s="23">
        <f>IF(AND(ISNUMBER(Q1078),Q1078&gt;0,ISNUMBER(R1078),R1078&gt;0),R1078/Q1078,"")</f>
        <v>12.491902405814701</v>
      </c>
      <c r="T1078" s="9" t="s">
        <v>115</v>
      </c>
      <c r="U1078" s="9" t="s">
        <v>130</v>
      </c>
      <c r="V1078" s="9" t="s">
        <v>21</v>
      </c>
      <c r="W1078" s="9" t="s">
        <v>1027</v>
      </c>
      <c r="X1078" s="23">
        <f>IF(ISNUMBER(S1078),S1078,IF(ISNUMBER(I1078),I1078,""))</f>
        <v>12.491902405814701</v>
      </c>
      <c r="Y1078" t="str">
        <f>IF(ISNUMBER(S1078),"2025 EIA-923 plant/group proxy",IF(ISNUMBER(I1078),"Technology estimate","No thermal heat rate"))</f>
        <v>2025 EIA-923 plant/group proxy</v>
      </c>
      <c r="Z1078" t="str">
        <f>IF(ISNUMBER(S1078),"Review: NOT unit verified",IF(AE1078="No match","No EIA match",IF(AF1078="Unconfirmed","Unconfirmed EIA candidate","")))</f>
        <v>Review: NOT unit verified</v>
      </c>
      <c r="AA1078" s="26">
        <v>0.65900000000000003</v>
      </c>
      <c r="AB1078" t="s">
        <v>201</v>
      </c>
      <c r="AC1078" t="s">
        <v>1028</v>
      </c>
      <c r="AD1078" s="26">
        <v>466</v>
      </c>
      <c r="AE1078" t="s">
        <v>120</v>
      </c>
      <c r="AF1078" t="s">
        <v>145</v>
      </c>
      <c r="AG1078" s="27">
        <v>12.491899999999999</v>
      </c>
      <c r="AH1078" s="34">
        <f t="shared" si="38"/>
        <v>169289.59999999992</v>
      </c>
      <c r="AI1078">
        <f t="shared" si="37"/>
        <v>105718.39101955344</v>
      </c>
      <c r="AJ1078" t="b" cm="1">
        <f t="array" ref="AJ1078">OR(D1078=$AT$2:$AT$8)</f>
        <v>1</v>
      </c>
    </row>
    <row r="1079" spans="1:36" x14ac:dyDescent="0.25">
      <c r="A1079" s="2" t="s">
        <v>1118</v>
      </c>
      <c r="B1079" s="3">
        <v>77.2</v>
      </c>
      <c r="C1079" s="2" t="s">
        <v>78</v>
      </c>
      <c r="D1079" s="2" t="s">
        <v>78</v>
      </c>
      <c r="E1079" s="2" t="s">
        <v>125</v>
      </c>
      <c r="F1079" s="4" t="s">
        <v>126</v>
      </c>
      <c r="G1079" s="4" t="s">
        <v>127</v>
      </c>
      <c r="H1079" s="5">
        <v>9.1999999999999993</v>
      </c>
      <c r="I1079" s="5">
        <v>10.8</v>
      </c>
      <c r="J1079" s="5">
        <v>13.5</v>
      </c>
      <c r="K1079" s="4" t="s">
        <v>111</v>
      </c>
      <c r="L1079" s="4" t="s">
        <v>128</v>
      </c>
      <c r="M1079" s="6">
        <f>IF(OR(B1079="",I1079=""),"",B1079*I1079)</f>
        <v>833.7600000000001</v>
      </c>
      <c r="N1079" s="28" t="s">
        <v>113</v>
      </c>
      <c r="O1079" s="26">
        <v>7837</v>
      </c>
      <c r="P1079" s="9" t="s">
        <v>1115</v>
      </c>
      <c r="Q1079" s="27">
        <v>646052.99800000002</v>
      </c>
      <c r="R1079" s="27">
        <v>8070431</v>
      </c>
      <c r="S1079" s="23">
        <f>IF(AND(ISNUMBER(Q1079),Q1079&gt;0,ISNUMBER(R1079),R1079&gt;0),R1079/Q1079,"")</f>
        <v>12.491902405814701</v>
      </c>
      <c r="T1079" s="9" t="s">
        <v>115</v>
      </c>
      <c r="U1079" s="9" t="s">
        <v>130</v>
      </c>
      <c r="V1079" s="9" t="s">
        <v>21</v>
      </c>
      <c r="W1079" s="9" t="s">
        <v>1027</v>
      </c>
      <c r="X1079" s="23">
        <f>IF(ISNUMBER(S1079),S1079,IF(ISNUMBER(I1079),I1079,""))</f>
        <v>12.491902405814701</v>
      </c>
      <c r="Y1079" t="str">
        <f>IF(ISNUMBER(S1079),"2025 EIA-923 plant/group proxy",IF(ISNUMBER(I1079),"Technology estimate","No thermal heat rate"))</f>
        <v>2025 EIA-923 plant/group proxy</v>
      </c>
      <c r="Z1079" t="str">
        <f>IF(ISNUMBER(S1079),"Review: NOT unit verified",IF(AE1079="No match","No EIA match",IF(AF1079="Unconfirmed","Unconfirmed EIA candidate","")))</f>
        <v>Review: NOT unit verified</v>
      </c>
      <c r="AA1079" s="26">
        <v>0.65900000000000003</v>
      </c>
      <c r="AB1079" t="s">
        <v>201</v>
      </c>
      <c r="AC1079" t="s">
        <v>1028</v>
      </c>
      <c r="AD1079" s="26">
        <v>466</v>
      </c>
      <c r="AE1079" t="s">
        <v>120</v>
      </c>
      <c r="AF1079" t="s">
        <v>145</v>
      </c>
      <c r="AG1079" s="27">
        <v>12.491899999999999</v>
      </c>
      <c r="AH1079" s="34">
        <f t="shared" si="38"/>
        <v>169366.79999999993</v>
      </c>
      <c r="AI1079">
        <f t="shared" si="37"/>
        <v>105766.60106781815</v>
      </c>
      <c r="AJ1079" t="b" cm="1">
        <f t="array" ref="AJ1079">OR(D1079=$AT$2:$AT$8)</f>
        <v>1</v>
      </c>
    </row>
    <row r="1080" spans="1:36" x14ac:dyDescent="0.25">
      <c r="A1080" s="2" t="s">
        <v>1119</v>
      </c>
      <c r="B1080" s="3">
        <v>158</v>
      </c>
      <c r="C1080" s="2" t="s">
        <v>78</v>
      </c>
      <c r="D1080" s="2" t="s">
        <v>78</v>
      </c>
      <c r="E1080" s="2" t="s">
        <v>125</v>
      </c>
      <c r="F1080" s="4" t="s">
        <v>126</v>
      </c>
      <c r="G1080" s="4" t="s">
        <v>127</v>
      </c>
      <c r="H1080" s="5">
        <v>9.1999999999999993</v>
      </c>
      <c r="I1080" s="5">
        <v>10.8</v>
      </c>
      <c r="J1080" s="5">
        <v>13.5</v>
      </c>
      <c r="K1080" s="4" t="s">
        <v>111</v>
      </c>
      <c r="L1080" s="4" t="s">
        <v>128</v>
      </c>
      <c r="M1080" s="6">
        <f>IF(OR(B1080="",I1080=""),"",B1080*I1080)</f>
        <v>1706.4</v>
      </c>
      <c r="N1080" s="28" t="s">
        <v>113</v>
      </c>
      <c r="O1080" s="26">
        <v>7837</v>
      </c>
      <c r="P1080" s="9" t="s">
        <v>1115</v>
      </c>
      <c r="Q1080" s="27">
        <v>646052.99800000002</v>
      </c>
      <c r="R1080" s="27">
        <v>8070431</v>
      </c>
      <c r="S1080" s="23">
        <f>IF(AND(ISNUMBER(Q1080),Q1080&gt;0,ISNUMBER(R1080),R1080&gt;0),R1080/Q1080,"")</f>
        <v>12.491902405814701</v>
      </c>
      <c r="T1080" s="9" t="s">
        <v>115</v>
      </c>
      <c r="U1080" s="9" t="s">
        <v>130</v>
      </c>
      <c r="V1080" s="9" t="s">
        <v>21</v>
      </c>
      <c r="W1080" s="9" t="s">
        <v>1027</v>
      </c>
      <c r="X1080" s="23">
        <f>IF(ISNUMBER(S1080),S1080,IF(ISNUMBER(I1080),I1080,""))</f>
        <v>12.491902405814701</v>
      </c>
      <c r="Y1080" t="str">
        <f>IF(ISNUMBER(S1080),"2025 EIA-923 plant/group proxy",IF(ISNUMBER(I1080),"Technology estimate","No thermal heat rate"))</f>
        <v>2025 EIA-923 plant/group proxy</v>
      </c>
      <c r="Z1080" t="str">
        <f>IF(ISNUMBER(S1080),"Review: NOT unit verified",IF(AE1080="No match","No EIA match",IF(AF1080="Unconfirmed","Unconfirmed EIA candidate","")))</f>
        <v>Review: NOT unit verified</v>
      </c>
      <c r="AA1080" s="26">
        <v>0.65900000000000003</v>
      </c>
      <c r="AB1080" t="s">
        <v>201</v>
      </c>
      <c r="AC1080" t="s">
        <v>1028</v>
      </c>
      <c r="AD1080" s="26">
        <v>466</v>
      </c>
      <c r="AE1080" t="s">
        <v>120</v>
      </c>
      <c r="AF1080" t="s">
        <v>145</v>
      </c>
      <c r="AG1080" s="27">
        <v>12.491899999999999</v>
      </c>
      <c r="AH1080" s="34">
        <f t="shared" si="38"/>
        <v>169524.79999999993</v>
      </c>
      <c r="AI1080">
        <f t="shared" si="37"/>
        <v>105865.26930131322</v>
      </c>
      <c r="AJ1080" t="b" cm="1">
        <f t="array" ref="AJ1080">OR(D1080=$AT$2:$AT$8)</f>
        <v>1</v>
      </c>
    </row>
    <row r="1081" spans="1:36" x14ac:dyDescent="0.25">
      <c r="A1081" s="2" t="s">
        <v>393</v>
      </c>
      <c r="B1081" s="3">
        <v>2.8</v>
      </c>
      <c r="C1081" s="2" t="s">
        <v>68</v>
      </c>
      <c r="D1081" s="2" t="s">
        <v>69</v>
      </c>
      <c r="E1081" s="2" t="s">
        <v>150</v>
      </c>
      <c r="F1081" s="4" t="s">
        <v>151</v>
      </c>
      <c r="G1081" s="4" t="s">
        <v>152</v>
      </c>
      <c r="H1081" s="5">
        <v>9</v>
      </c>
      <c r="I1081" s="5">
        <v>12</v>
      </c>
      <c r="J1081" s="5">
        <v>16</v>
      </c>
      <c r="K1081" s="4" t="s">
        <v>111</v>
      </c>
      <c r="L1081" s="4" t="s">
        <v>153</v>
      </c>
      <c r="M1081" s="6">
        <f>IF(OR(B1081="",I1081=""),"",B1081*I1081)</f>
        <v>33.599999999999994</v>
      </c>
      <c r="N1081" s="28" t="s">
        <v>113</v>
      </c>
      <c r="O1081" s="26">
        <v>63977</v>
      </c>
      <c r="P1081" s="9" t="s">
        <v>394</v>
      </c>
      <c r="Q1081" s="27">
        <v>12864</v>
      </c>
      <c r="R1081" s="27">
        <v>160777</v>
      </c>
      <c r="S1081" s="23">
        <f>IF(AND(ISNUMBER(Q1081),Q1081&gt;0,ISNUMBER(R1081),R1081&gt;0),R1081/Q1081,"")</f>
        <v>12.498212064676617</v>
      </c>
      <c r="T1081" s="9" t="s">
        <v>115</v>
      </c>
      <c r="U1081" s="9" t="s">
        <v>321</v>
      </c>
      <c r="V1081" s="9" t="s">
        <v>21</v>
      </c>
      <c r="W1081" s="9" t="s">
        <v>142</v>
      </c>
      <c r="X1081" s="23">
        <f>IF(ISNUMBER(S1081),S1081,IF(ISNUMBER(I1081),I1081,""))</f>
        <v>12.498212064676617</v>
      </c>
      <c r="Y1081" t="str">
        <f>IF(ISNUMBER(S1081),"2025 EIA-923 plant/group proxy",IF(ISNUMBER(I1081),"Technology estimate","No thermal heat rate"))</f>
        <v>2025 EIA-923 plant/group proxy</v>
      </c>
      <c r="Z1081" t="str">
        <f>IF(ISNUMBER(S1081),"Review: NOT unit verified",IF(AE1081="No match","No EIA match",IF(AF1081="Unconfirmed","Unconfirmed EIA candidate","")))</f>
        <v>Review: NOT unit verified</v>
      </c>
      <c r="AA1081" s="26">
        <v>0.66320000000000001</v>
      </c>
      <c r="AB1081" t="s">
        <v>250</v>
      </c>
      <c r="AC1081" t="s">
        <v>119</v>
      </c>
      <c r="AD1081" s="26">
        <v>4</v>
      </c>
      <c r="AE1081" t="s">
        <v>120</v>
      </c>
      <c r="AF1081" t="s">
        <v>145</v>
      </c>
      <c r="AG1081" s="27">
        <v>12.498200000000001</v>
      </c>
      <c r="AH1081" s="34">
        <f t="shared" si="38"/>
        <v>169527.59999999992</v>
      </c>
      <c r="AI1081">
        <f t="shared" si="37"/>
        <v>105867.01785228655</v>
      </c>
      <c r="AJ1081" t="b" cm="1">
        <f t="array" ref="AJ1081">OR(D1081=$AT$2:$AT$8)</f>
        <v>0</v>
      </c>
    </row>
    <row r="1082" spans="1:36" x14ac:dyDescent="0.25">
      <c r="A1082" s="2" t="s">
        <v>815</v>
      </c>
      <c r="B1082" s="3">
        <v>150.30000000000001</v>
      </c>
      <c r="C1082" s="2" t="s">
        <v>91</v>
      </c>
      <c r="D1082" s="2" t="s">
        <v>91</v>
      </c>
      <c r="E1082" s="2" t="s">
        <v>125</v>
      </c>
      <c r="F1082" s="4" t="s">
        <v>126</v>
      </c>
      <c r="G1082" s="4" t="s">
        <v>127</v>
      </c>
      <c r="H1082" s="5">
        <v>9.1999999999999993</v>
      </c>
      <c r="I1082" s="5">
        <v>10.8</v>
      </c>
      <c r="J1082" s="5">
        <v>13.5</v>
      </c>
      <c r="K1082" s="4" t="s">
        <v>111</v>
      </c>
      <c r="L1082" s="4" t="s">
        <v>128</v>
      </c>
      <c r="M1082" s="6">
        <f>IF(OR(B1082="",I1082=""),"",B1082*I1082)</f>
        <v>1623.2400000000002</v>
      </c>
      <c r="N1082" s="25" t="s">
        <v>113</v>
      </c>
      <c r="O1082" s="26">
        <v>2393</v>
      </c>
      <c r="P1082" s="9" t="s">
        <v>808</v>
      </c>
      <c r="Q1082" s="27">
        <v>26037</v>
      </c>
      <c r="R1082" s="27">
        <v>326444</v>
      </c>
      <c r="S1082" s="23">
        <f>IF(AND(ISNUMBER(Q1082),Q1082&gt;0,ISNUMBER(R1082),R1082&gt;0),R1082/Q1082,"")</f>
        <v>12.537696355186849</v>
      </c>
      <c r="T1082" s="9" t="s">
        <v>115</v>
      </c>
      <c r="U1082" s="9" t="s">
        <v>141</v>
      </c>
      <c r="V1082" s="9" t="s">
        <v>21</v>
      </c>
      <c r="W1082" s="9" t="s">
        <v>217</v>
      </c>
      <c r="X1082" s="23">
        <f>IF(ISNUMBER(S1082),S1082,IF(ISNUMBER(I1082),I1082,""))</f>
        <v>12.537696355186849</v>
      </c>
      <c r="Y1082" t="str">
        <f>IF(ISNUMBER(S1082),"2025 EIA-923 plant/group proxy",IF(ISNUMBER(I1082),"Technology estimate","No thermal heat rate"))</f>
        <v>2025 EIA-923 plant/group proxy</v>
      </c>
      <c r="Z1082" t="str">
        <f>IF(ISNUMBER(S1082),"Review: NOT unit verified",IF(AE1082="No match","No EIA match",IF(AF1082="Unconfirmed","Unconfirmed EIA candidate","")))</f>
        <v>Review: NOT unit verified</v>
      </c>
      <c r="AA1082" s="26">
        <v>1</v>
      </c>
      <c r="AB1082" t="s">
        <v>241</v>
      </c>
      <c r="AC1082" t="s">
        <v>816</v>
      </c>
      <c r="AD1082" s="26">
        <v>152.69999999999999</v>
      </c>
      <c r="AE1082" t="s">
        <v>120</v>
      </c>
      <c r="AF1082" t="s">
        <v>121</v>
      </c>
      <c r="AG1082" s="27">
        <v>12.537699999999999</v>
      </c>
      <c r="AH1082" s="34">
        <f t="shared" si="38"/>
        <v>169677.89999999991</v>
      </c>
      <c r="AI1082">
        <f t="shared" si="37"/>
        <v>105960.87757060496</v>
      </c>
      <c r="AJ1082" t="b" cm="1">
        <f t="array" ref="AJ1082">OR(D1082=$AT$2:$AT$8)</f>
        <v>1</v>
      </c>
    </row>
    <row r="1083" spans="1:36" x14ac:dyDescent="0.25">
      <c r="A1083" s="2" t="s">
        <v>802</v>
      </c>
      <c r="B1083" s="3">
        <v>2.2999999999999998</v>
      </c>
      <c r="C1083" s="2" t="s">
        <v>147</v>
      </c>
      <c r="D1083" s="2" t="s">
        <v>803</v>
      </c>
      <c r="E1083" s="2" t="s">
        <v>150</v>
      </c>
      <c r="F1083" s="4" t="s">
        <v>151</v>
      </c>
      <c r="G1083" s="4" t="s">
        <v>152</v>
      </c>
      <c r="H1083" s="5">
        <v>9</v>
      </c>
      <c r="I1083" s="5">
        <v>12</v>
      </c>
      <c r="J1083" s="5">
        <v>16</v>
      </c>
      <c r="K1083" s="4" t="s">
        <v>111</v>
      </c>
      <c r="L1083" s="4" t="s">
        <v>153</v>
      </c>
      <c r="M1083" s="6">
        <f>IF(OR(B1083="",I1083=""),"",B1083*I1083)</f>
        <v>27.599999999999998</v>
      </c>
      <c r="N1083" s="28" t="s">
        <v>113</v>
      </c>
      <c r="O1083" s="26">
        <v>57410</v>
      </c>
      <c r="P1083" s="9" t="s">
        <v>804</v>
      </c>
      <c r="Q1083" s="27">
        <v>16382</v>
      </c>
      <c r="R1083" s="27">
        <v>205785</v>
      </c>
      <c r="S1083" s="23">
        <f>IF(AND(ISNUMBER(Q1083),Q1083&gt;0,ISNUMBER(R1083),R1083&gt;0),R1083/Q1083,"")</f>
        <v>12.561653033817604</v>
      </c>
      <c r="T1083" s="9" t="s">
        <v>115</v>
      </c>
      <c r="U1083" s="9" t="s">
        <v>321</v>
      </c>
      <c r="V1083" s="9" t="s">
        <v>21</v>
      </c>
      <c r="W1083" s="9" t="s">
        <v>142</v>
      </c>
      <c r="X1083" s="23">
        <f>IF(ISNUMBER(S1083),S1083,IF(ISNUMBER(I1083),I1083,""))</f>
        <v>12.561653033817604</v>
      </c>
      <c r="Y1083" t="str">
        <f>IF(ISNUMBER(S1083),"2025 EIA-923 plant/group proxy",IF(ISNUMBER(I1083),"Technology estimate","No thermal heat rate"))</f>
        <v>2025 EIA-923 plant/group proxy</v>
      </c>
      <c r="Z1083" t="str">
        <f>IF(ISNUMBER(S1083),"Review: NOT unit verified",IF(AE1083="No match","No EIA match",IF(AF1083="Unconfirmed","Unconfirmed EIA candidate","")))</f>
        <v>Review: NOT unit verified</v>
      </c>
      <c r="AA1083" s="26">
        <v>0.65900000000000003</v>
      </c>
      <c r="AB1083" t="s">
        <v>322</v>
      </c>
      <c r="AC1083" t="s">
        <v>805</v>
      </c>
      <c r="AD1083" s="26">
        <v>4</v>
      </c>
      <c r="AE1083" t="s">
        <v>120</v>
      </c>
      <c r="AF1083" t="s">
        <v>145</v>
      </c>
      <c r="AG1083" s="27">
        <v>12.5617</v>
      </c>
      <c r="AH1083" s="34">
        <f t="shared" si="38"/>
        <v>169680.1999999999</v>
      </c>
      <c r="AI1083">
        <f t="shared" si="37"/>
        <v>105962.31388033305</v>
      </c>
      <c r="AJ1083" t="b" cm="1">
        <f t="array" ref="AJ1083">OR(D1083=$AT$2:$AT$8)</f>
        <v>0</v>
      </c>
    </row>
    <row r="1084" spans="1:36" x14ac:dyDescent="0.25">
      <c r="A1084" s="2" t="s">
        <v>565</v>
      </c>
      <c r="B1084" s="3">
        <v>85</v>
      </c>
      <c r="C1084" s="2" t="s">
        <v>78</v>
      </c>
      <c r="D1084" s="2" t="s">
        <v>78</v>
      </c>
      <c r="E1084" s="2" t="s">
        <v>125</v>
      </c>
      <c r="F1084" s="4" t="s">
        <v>126</v>
      </c>
      <c r="G1084" s="4" t="s">
        <v>127</v>
      </c>
      <c r="H1084" s="5">
        <v>9.1999999999999993</v>
      </c>
      <c r="I1084" s="5">
        <v>10.8</v>
      </c>
      <c r="J1084" s="5">
        <v>13.5</v>
      </c>
      <c r="K1084" s="4" t="s">
        <v>111</v>
      </c>
      <c r="L1084" s="4" t="s">
        <v>128</v>
      </c>
      <c r="M1084" s="6">
        <f>IF(OR(B1084="",I1084=""),"",B1084*I1084)</f>
        <v>918.00000000000011</v>
      </c>
      <c r="N1084" s="28" t="s">
        <v>113</v>
      </c>
      <c r="O1084" s="26">
        <v>7212</v>
      </c>
      <c r="P1084" s="9" t="s">
        <v>566</v>
      </c>
      <c r="Q1084" s="27">
        <v>166106.99900000001</v>
      </c>
      <c r="R1084" s="27">
        <v>2122342</v>
      </c>
      <c r="S1084" s="23">
        <f>IF(AND(ISNUMBER(Q1084),Q1084&gt;0,ISNUMBER(R1084),R1084&gt;0),R1084/Q1084,"")</f>
        <v>12.776957098598837</v>
      </c>
      <c r="T1084" s="9" t="s">
        <v>115</v>
      </c>
      <c r="U1084" s="9" t="s">
        <v>130</v>
      </c>
      <c r="V1084" s="9" t="s">
        <v>21</v>
      </c>
      <c r="W1084" s="9" t="s">
        <v>332</v>
      </c>
      <c r="X1084" s="23">
        <f>IF(ISNUMBER(S1084),S1084,IF(ISNUMBER(I1084),I1084,""))</f>
        <v>12.776957098598837</v>
      </c>
      <c r="Y1084" t="str">
        <f>IF(ISNUMBER(S1084),"2025 EIA-923 plant/group proxy",IF(ISNUMBER(I1084),"Technology estimate","No thermal heat rate"))</f>
        <v>2025 EIA-923 plant/group proxy</v>
      </c>
      <c r="Z1084" t="str">
        <f>IF(ISNUMBER(S1084),"Review: NOT unit verified",IF(AE1084="No match","No EIA match",IF(AF1084="Unconfirmed","Unconfirmed EIA candidate","")))</f>
        <v>Review: NOT unit verified</v>
      </c>
      <c r="AA1084" s="26">
        <v>0.6623</v>
      </c>
      <c r="AB1084" t="s">
        <v>201</v>
      </c>
      <c r="AC1084" t="s">
        <v>567</v>
      </c>
      <c r="AD1084" s="26">
        <v>340</v>
      </c>
      <c r="AE1084" t="s">
        <v>120</v>
      </c>
      <c r="AF1084" t="s">
        <v>145</v>
      </c>
      <c r="AG1084" s="27">
        <v>12.776999999999999</v>
      </c>
      <c r="AH1084" s="34">
        <f t="shared" si="38"/>
        <v>169765.1999999999</v>
      </c>
      <c r="AI1084">
        <f t="shared" si="37"/>
        <v>106015.39489202345</v>
      </c>
      <c r="AJ1084" t="b" cm="1">
        <f t="array" ref="AJ1084">OR(D1084=$AT$2:$AT$8)</f>
        <v>1</v>
      </c>
    </row>
    <row r="1085" spans="1:36" x14ac:dyDescent="0.25">
      <c r="A1085" s="2" t="s">
        <v>568</v>
      </c>
      <c r="B1085" s="3">
        <v>85</v>
      </c>
      <c r="C1085" s="2" t="s">
        <v>78</v>
      </c>
      <c r="D1085" s="2" t="s">
        <v>78</v>
      </c>
      <c r="E1085" s="2" t="s">
        <v>125</v>
      </c>
      <c r="F1085" s="4" t="s">
        <v>126</v>
      </c>
      <c r="G1085" s="4" t="s">
        <v>127</v>
      </c>
      <c r="H1085" s="5">
        <v>9.1999999999999993</v>
      </c>
      <c r="I1085" s="5">
        <v>10.8</v>
      </c>
      <c r="J1085" s="5">
        <v>13.5</v>
      </c>
      <c r="K1085" s="4" t="s">
        <v>111</v>
      </c>
      <c r="L1085" s="4" t="s">
        <v>128</v>
      </c>
      <c r="M1085" s="6">
        <f>IF(OR(B1085="",I1085=""),"",B1085*I1085)</f>
        <v>918.00000000000011</v>
      </c>
      <c r="N1085" s="28" t="s">
        <v>113</v>
      </c>
      <c r="O1085" s="26">
        <v>7212</v>
      </c>
      <c r="P1085" s="9" t="s">
        <v>566</v>
      </c>
      <c r="Q1085" s="27">
        <v>166106.99900000001</v>
      </c>
      <c r="R1085" s="27">
        <v>2122342</v>
      </c>
      <c r="S1085" s="23">
        <f>IF(AND(ISNUMBER(Q1085),Q1085&gt;0,ISNUMBER(R1085),R1085&gt;0),R1085/Q1085,"")</f>
        <v>12.776957098598837</v>
      </c>
      <c r="T1085" s="9" t="s">
        <v>115</v>
      </c>
      <c r="U1085" s="9" t="s">
        <v>130</v>
      </c>
      <c r="V1085" s="9" t="s">
        <v>21</v>
      </c>
      <c r="W1085" s="9" t="s">
        <v>332</v>
      </c>
      <c r="X1085" s="23">
        <f>IF(ISNUMBER(S1085),S1085,IF(ISNUMBER(I1085),I1085,""))</f>
        <v>12.776957098598837</v>
      </c>
      <c r="Y1085" t="str">
        <f>IF(ISNUMBER(S1085),"2025 EIA-923 plant/group proxy",IF(ISNUMBER(I1085),"Technology estimate","No thermal heat rate"))</f>
        <v>2025 EIA-923 plant/group proxy</v>
      </c>
      <c r="Z1085" t="str">
        <f>IF(ISNUMBER(S1085),"Review: NOT unit verified",IF(AE1085="No match","No EIA match",IF(AF1085="Unconfirmed","Unconfirmed EIA candidate","")))</f>
        <v>Review: NOT unit verified</v>
      </c>
      <c r="AA1085" s="26">
        <v>0.6623</v>
      </c>
      <c r="AB1085" t="s">
        <v>201</v>
      </c>
      <c r="AC1085" t="s">
        <v>567</v>
      </c>
      <c r="AD1085" s="26">
        <v>340</v>
      </c>
      <c r="AE1085" t="s">
        <v>120</v>
      </c>
      <c r="AF1085" t="s">
        <v>145</v>
      </c>
      <c r="AG1085" s="27">
        <v>12.776999999999999</v>
      </c>
      <c r="AH1085" s="34">
        <f t="shared" si="38"/>
        <v>169850.1999999999</v>
      </c>
      <c r="AI1085">
        <f t="shared" si="37"/>
        <v>106068.47590371384</v>
      </c>
      <c r="AJ1085" t="b" cm="1">
        <f t="array" ref="AJ1085">OR(D1085=$AT$2:$AT$8)</f>
        <v>1</v>
      </c>
    </row>
    <row r="1086" spans="1:36" x14ac:dyDescent="0.25">
      <c r="A1086" s="2" t="s">
        <v>569</v>
      </c>
      <c r="B1086" s="3">
        <v>85</v>
      </c>
      <c r="C1086" s="2" t="s">
        <v>78</v>
      </c>
      <c r="D1086" s="2" t="s">
        <v>78</v>
      </c>
      <c r="E1086" s="2" t="s">
        <v>125</v>
      </c>
      <c r="F1086" s="4" t="s">
        <v>126</v>
      </c>
      <c r="G1086" s="4" t="s">
        <v>127</v>
      </c>
      <c r="H1086" s="5">
        <v>9.1999999999999993</v>
      </c>
      <c r="I1086" s="5">
        <v>10.8</v>
      </c>
      <c r="J1086" s="5">
        <v>13.5</v>
      </c>
      <c r="K1086" s="4" t="s">
        <v>111</v>
      </c>
      <c r="L1086" s="4" t="s">
        <v>128</v>
      </c>
      <c r="M1086" s="6">
        <f>IF(OR(B1086="",I1086=""),"",B1086*I1086)</f>
        <v>918.00000000000011</v>
      </c>
      <c r="N1086" s="28" t="s">
        <v>113</v>
      </c>
      <c r="O1086" s="26">
        <v>7212</v>
      </c>
      <c r="P1086" s="9" t="s">
        <v>566</v>
      </c>
      <c r="Q1086" s="27">
        <v>166106.99900000001</v>
      </c>
      <c r="R1086" s="27">
        <v>2122342</v>
      </c>
      <c r="S1086" s="23">
        <f>IF(AND(ISNUMBER(Q1086),Q1086&gt;0,ISNUMBER(R1086),R1086&gt;0),R1086/Q1086,"")</f>
        <v>12.776957098598837</v>
      </c>
      <c r="T1086" s="9" t="s">
        <v>115</v>
      </c>
      <c r="U1086" s="9" t="s">
        <v>130</v>
      </c>
      <c r="V1086" s="9" t="s">
        <v>21</v>
      </c>
      <c r="W1086" s="9" t="s">
        <v>332</v>
      </c>
      <c r="X1086" s="23">
        <f>IF(ISNUMBER(S1086),S1086,IF(ISNUMBER(I1086),I1086,""))</f>
        <v>12.776957098598837</v>
      </c>
      <c r="Y1086" t="str">
        <f>IF(ISNUMBER(S1086),"2025 EIA-923 plant/group proxy",IF(ISNUMBER(I1086),"Technology estimate","No thermal heat rate"))</f>
        <v>2025 EIA-923 plant/group proxy</v>
      </c>
      <c r="Z1086" t="str">
        <f>IF(ISNUMBER(S1086),"Review: NOT unit verified",IF(AE1086="No match","No EIA match",IF(AF1086="Unconfirmed","Unconfirmed EIA candidate","")))</f>
        <v>Review: NOT unit verified</v>
      </c>
      <c r="AA1086" s="26">
        <v>0.6623</v>
      </c>
      <c r="AB1086" t="s">
        <v>201</v>
      </c>
      <c r="AC1086" t="s">
        <v>567</v>
      </c>
      <c r="AD1086" s="26">
        <v>340</v>
      </c>
      <c r="AE1086" t="s">
        <v>120</v>
      </c>
      <c r="AF1086" t="s">
        <v>145</v>
      </c>
      <c r="AG1086" s="27">
        <v>12.776999999999999</v>
      </c>
      <c r="AH1086" s="34">
        <f t="shared" si="38"/>
        <v>169935.1999999999</v>
      </c>
      <c r="AI1086">
        <f t="shared" si="37"/>
        <v>106121.55691540423</v>
      </c>
      <c r="AJ1086" t="b" cm="1">
        <f t="array" ref="AJ1086">OR(D1086=$AT$2:$AT$8)</f>
        <v>1</v>
      </c>
    </row>
    <row r="1087" spans="1:36" x14ac:dyDescent="0.25">
      <c r="A1087" s="2" t="s">
        <v>570</v>
      </c>
      <c r="B1087" s="3">
        <v>85</v>
      </c>
      <c r="C1087" s="2" t="s">
        <v>78</v>
      </c>
      <c r="D1087" s="2" t="s">
        <v>78</v>
      </c>
      <c r="E1087" s="2" t="s">
        <v>125</v>
      </c>
      <c r="F1087" s="4" t="s">
        <v>126</v>
      </c>
      <c r="G1087" s="4" t="s">
        <v>127</v>
      </c>
      <c r="H1087" s="5">
        <v>9.1999999999999993</v>
      </c>
      <c r="I1087" s="5">
        <v>10.8</v>
      </c>
      <c r="J1087" s="5">
        <v>13.5</v>
      </c>
      <c r="K1087" s="4" t="s">
        <v>111</v>
      </c>
      <c r="L1087" s="4" t="s">
        <v>128</v>
      </c>
      <c r="M1087" s="6">
        <f>IF(OR(B1087="",I1087=""),"",B1087*I1087)</f>
        <v>918.00000000000011</v>
      </c>
      <c r="N1087" s="28" t="s">
        <v>113</v>
      </c>
      <c r="O1087" s="26">
        <v>7212</v>
      </c>
      <c r="P1087" s="9" t="s">
        <v>566</v>
      </c>
      <c r="Q1087" s="27">
        <v>166106.99900000001</v>
      </c>
      <c r="R1087" s="27">
        <v>2122342</v>
      </c>
      <c r="S1087" s="23">
        <f>IF(AND(ISNUMBER(Q1087),Q1087&gt;0,ISNUMBER(R1087),R1087&gt;0),R1087/Q1087,"")</f>
        <v>12.776957098598837</v>
      </c>
      <c r="T1087" s="9" t="s">
        <v>115</v>
      </c>
      <c r="U1087" s="9" t="s">
        <v>130</v>
      </c>
      <c r="V1087" s="9" t="s">
        <v>21</v>
      </c>
      <c r="W1087" s="9" t="s">
        <v>332</v>
      </c>
      <c r="X1087" s="23">
        <f>IF(ISNUMBER(S1087),S1087,IF(ISNUMBER(I1087),I1087,""))</f>
        <v>12.776957098598837</v>
      </c>
      <c r="Y1087" t="str">
        <f>IF(ISNUMBER(S1087),"2025 EIA-923 plant/group proxy",IF(ISNUMBER(I1087),"Technology estimate","No thermal heat rate"))</f>
        <v>2025 EIA-923 plant/group proxy</v>
      </c>
      <c r="Z1087" t="str">
        <f>IF(ISNUMBER(S1087),"Review: NOT unit verified",IF(AE1087="No match","No EIA match",IF(AF1087="Unconfirmed","Unconfirmed EIA candidate","")))</f>
        <v>Review: NOT unit verified</v>
      </c>
      <c r="AA1087" s="26">
        <v>0.6623</v>
      </c>
      <c r="AB1087" t="s">
        <v>201</v>
      </c>
      <c r="AC1087" t="s">
        <v>567</v>
      </c>
      <c r="AD1087" s="26">
        <v>340</v>
      </c>
      <c r="AE1087" t="s">
        <v>120</v>
      </c>
      <c r="AF1087" t="s">
        <v>145</v>
      </c>
      <c r="AG1087" s="27">
        <v>12.776999999999999</v>
      </c>
      <c r="AH1087" s="34">
        <f t="shared" si="38"/>
        <v>170020.1999999999</v>
      </c>
      <c r="AI1087">
        <f t="shared" si="37"/>
        <v>106174.63792709463</v>
      </c>
      <c r="AJ1087" t="b" cm="1">
        <f t="array" ref="AJ1087">OR(D1087=$AT$2:$AT$8)</f>
        <v>1</v>
      </c>
    </row>
    <row r="1088" spans="1:36" x14ac:dyDescent="0.25">
      <c r="A1088" s="2" t="s">
        <v>465</v>
      </c>
      <c r="B1088" s="3">
        <v>225</v>
      </c>
      <c r="C1088" s="2" t="s">
        <v>99</v>
      </c>
      <c r="D1088" s="2" t="s">
        <v>81</v>
      </c>
      <c r="E1088" s="2" t="s">
        <v>189</v>
      </c>
      <c r="F1088" s="4" t="s">
        <v>103</v>
      </c>
      <c r="G1088" s="4" t="s">
        <v>190</v>
      </c>
      <c r="H1088" s="5"/>
      <c r="I1088" s="5"/>
      <c r="J1088" s="5"/>
      <c r="K1088" s="4" t="s">
        <v>105</v>
      </c>
      <c r="L1088" s="4" t="s">
        <v>191</v>
      </c>
      <c r="M1088" s="6" t="str">
        <f>IF(OR(B1088="",I1088=""),"",B1088*I1088)</f>
        <v/>
      </c>
      <c r="N1088" s="25" t="s">
        <v>113</v>
      </c>
      <c r="O1088" s="26">
        <v>3775</v>
      </c>
      <c r="P1088" s="9" t="s">
        <v>466</v>
      </c>
      <c r="Q1088" s="27">
        <v>277194</v>
      </c>
      <c r="R1088" s="27">
        <v>3549198</v>
      </c>
      <c r="S1088" s="23">
        <f>IF(AND(ISNUMBER(Q1088),Q1088&gt;0,ISNUMBER(R1088),R1088&gt;0),R1088/Q1088,"")</f>
        <v>12.804021732072123</v>
      </c>
      <c r="T1088" s="9" t="s">
        <v>115</v>
      </c>
      <c r="U1088" s="9" t="s">
        <v>265</v>
      </c>
      <c r="V1088" s="9" t="s">
        <v>21</v>
      </c>
      <c r="W1088" s="9" t="s">
        <v>240</v>
      </c>
      <c r="X1088" s="23">
        <f>IF(ISNUMBER(S1088),S1088,IF(ISNUMBER(I1088),I1088,""))</f>
        <v>12.804021732072123</v>
      </c>
      <c r="Y1088" t="str">
        <f>IF(ISNUMBER(S1088),"2025 EIA-923 plant/group proxy",IF(ISNUMBER(I1088),"Technology estimate","No thermal heat rate"))</f>
        <v>2025 EIA-923 plant/group proxy</v>
      </c>
      <c r="Z1088" t="str">
        <f>IF(ISNUMBER(S1088),"Review: NOT unit verified",IF(AE1088="No match","No EIA match",IF(AF1088="Unconfirmed","Unconfirmed EIA candidate","")))</f>
        <v>Review: NOT unit verified</v>
      </c>
      <c r="AA1088" s="26">
        <v>1</v>
      </c>
      <c r="AB1088" t="s">
        <v>201</v>
      </c>
      <c r="AC1088" t="s">
        <v>308</v>
      </c>
      <c r="AD1088" s="26">
        <v>460</v>
      </c>
      <c r="AE1088" t="s">
        <v>120</v>
      </c>
      <c r="AF1088" t="s">
        <v>121</v>
      </c>
      <c r="AG1088" s="27">
        <v>12.804</v>
      </c>
      <c r="AH1088" s="34">
        <f t="shared" si="38"/>
        <v>170245.1999999999</v>
      </c>
      <c r="AI1088">
        <f t="shared" si="37"/>
        <v>106315.14648745155</v>
      </c>
      <c r="AJ1088" t="b" cm="1">
        <f t="array" ref="AJ1088">OR(D1088=$AT$2:$AT$8)</f>
        <v>0</v>
      </c>
    </row>
    <row r="1089" spans="1:36" x14ac:dyDescent="0.25">
      <c r="A1089" s="2" t="s">
        <v>467</v>
      </c>
      <c r="B1089" s="3">
        <v>231.5</v>
      </c>
      <c r="C1089" s="2" t="s">
        <v>99</v>
      </c>
      <c r="D1089" s="2" t="s">
        <v>81</v>
      </c>
      <c r="E1089" s="2" t="s">
        <v>189</v>
      </c>
      <c r="F1089" s="4" t="s">
        <v>103</v>
      </c>
      <c r="G1089" s="4" t="s">
        <v>190</v>
      </c>
      <c r="H1089" s="5"/>
      <c r="I1089" s="5"/>
      <c r="J1089" s="5"/>
      <c r="K1089" s="4" t="s">
        <v>105</v>
      </c>
      <c r="L1089" s="4" t="s">
        <v>191</v>
      </c>
      <c r="M1089" s="6" t="str">
        <f>IF(OR(B1089="",I1089=""),"",B1089*I1089)</f>
        <v/>
      </c>
      <c r="N1089" s="25" t="s">
        <v>113</v>
      </c>
      <c r="O1089" s="26">
        <v>3775</v>
      </c>
      <c r="P1089" s="9" t="s">
        <v>466</v>
      </c>
      <c r="Q1089" s="27">
        <v>277194</v>
      </c>
      <c r="R1089" s="27">
        <v>3549198</v>
      </c>
      <c r="S1089" s="23">
        <f>IF(AND(ISNUMBER(Q1089),Q1089&gt;0,ISNUMBER(R1089),R1089&gt;0),R1089/Q1089,"")</f>
        <v>12.804021732072123</v>
      </c>
      <c r="T1089" s="9" t="s">
        <v>115</v>
      </c>
      <c r="U1089" s="9" t="s">
        <v>265</v>
      </c>
      <c r="V1089" s="9" t="s">
        <v>21</v>
      </c>
      <c r="W1089" s="9" t="s">
        <v>240</v>
      </c>
      <c r="X1089" s="23">
        <f>IF(ISNUMBER(S1089),S1089,IF(ISNUMBER(I1089),I1089,""))</f>
        <v>12.804021732072123</v>
      </c>
      <c r="Y1089" t="str">
        <f>IF(ISNUMBER(S1089),"2025 EIA-923 plant/group proxy",IF(ISNUMBER(I1089),"Technology estimate","No thermal heat rate"))</f>
        <v>2025 EIA-923 plant/group proxy</v>
      </c>
      <c r="Z1089" t="str">
        <f>IF(ISNUMBER(S1089),"Review: NOT unit verified",IF(AE1089="No match","No EIA match",IF(AF1089="Unconfirmed","Unconfirmed EIA candidate","")))</f>
        <v>Review: NOT unit verified</v>
      </c>
      <c r="AA1089" s="26">
        <v>1</v>
      </c>
      <c r="AB1089" t="s">
        <v>201</v>
      </c>
      <c r="AC1089" t="s">
        <v>308</v>
      </c>
      <c r="AD1089" s="26">
        <v>460</v>
      </c>
      <c r="AE1089" t="s">
        <v>120</v>
      </c>
      <c r="AF1089" t="s">
        <v>121</v>
      </c>
      <c r="AG1089" s="27">
        <v>12.804</v>
      </c>
      <c r="AH1089" s="34">
        <f t="shared" si="38"/>
        <v>170476.6999999999</v>
      </c>
      <c r="AI1089">
        <f t="shared" si="37"/>
        <v>106459.71418399656</v>
      </c>
      <c r="AJ1089" t="b" cm="1">
        <f t="array" ref="AJ1089">OR(D1089=$AT$2:$AT$8)</f>
        <v>0</v>
      </c>
    </row>
    <row r="1090" spans="1:36" x14ac:dyDescent="0.25">
      <c r="A1090" s="2" t="s">
        <v>1667</v>
      </c>
      <c r="B1090" s="3">
        <v>88</v>
      </c>
      <c r="C1090" s="2" t="s">
        <v>347</v>
      </c>
      <c r="D1090" s="2" t="s">
        <v>347</v>
      </c>
      <c r="E1090" s="2" t="s">
        <v>125</v>
      </c>
      <c r="F1090" s="4" t="s">
        <v>126</v>
      </c>
      <c r="G1090" s="4" t="s">
        <v>127</v>
      </c>
      <c r="H1090" s="5">
        <v>9.1999999999999993</v>
      </c>
      <c r="I1090" s="5">
        <v>10.8</v>
      </c>
      <c r="J1090" s="5">
        <v>13.5</v>
      </c>
      <c r="K1090" s="4" t="s">
        <v>111</v>
      </c>
      <c r="L1090" s="4" t="s">
        <v>128</v>
      </c>
      <c r="M1090" s="6">
        <f>IF(OR(B1090="",I1090=""),"",B1090*I1090)</f>
        <v>950.40000000000009</v>
      </c>
      <c r="N1090" s="25" t="s">
        <v>113</v>
      </c>
      <c r="O1090" s="26">
        <v>2847</v>
      </c>
      <c r="P1090" s="9" t="s">
        <v>1668</v>
      </c>
      <c r="Q1090" s="27">
        <v>957034</v>
      </c>
      <c r="R1090" s="27">
        <v>12280888</v>
      </c>
      <c r="S1090" s="23">
        <f>IF(AND(ISNUMBER(Q1090),Q1090&gt;0,ISNUMBER(R1090),R1090&gt;0),R1090/Q1090,"")</f>
        <v>12.832237935120382</v>
      </c>
      <c r="T1090" s="9" t="s">
        <v>115</v>
      </c>
      <c r="U1090" s="9" t="s">
        <v>130</v>
      </c>
      <c r="V1090" s="9" t="s">
        <v>21</v>
      </c>
      <c r="W1090" s="9" t="s">
        <v>694</v>
      </c>
      <c r="X1090" s="23">
        <f>IF(ISNUMBER(S1090),S1090,IF(ISNUMBER(I1090),I1090,""))</f>
        <v>12.832237935120382</v>
      </c>
      <c r="Y1090" t="str">
        <f>IF(ISNUMBER(S1090),"2025 EIA-923 plant/group proxy",IF(ISNUMBER(I1090),"Technology estimate","No thermal heat rate"))</f>
        <v>2025 EIA-923 plant/group proxy</v>
      </c>
      <c r="Z1090" t="str">
        <f>IF(ISNUMBER(S1090),"Review: NOT unit verified",IF(AE1090="No match","No EIA match",IF(AF1090="Unconfirmed","Unconfirmed EIA candidate","")))</f>
        <v>Review: NOT unit verified</v>
      </c>
      <c r="AA1090" s="26">
        <v>1</v>
      </c>
      <c r="AB1090" t="s">
        <v>322</v>
      </c>
      <c r="AC1090" t="s">
        <v>1669</v>
      </c>
      <c r="AD1090" s="26">
        <v>597.1</v>
      </c>
      <c r="AE1090" t="s">
        <v>120</v>
      </c>
      <c r="AF1090" t="s">
        <v>121</v>
      </c>
      <c r="AG1090" s="27">
        <v>12.8322</v>
      </c>
      <c r="AH1090" s="34">
        <f t="shared" si="38"/>
        <v>170564.6999999999</v>
      </c>
      <c r="AI1090">
        <f t="shared" si="37"/>
        <v>106514.66864315838</v>
      </c>
      <c r="AJ1090" t="b" cm="1">
        <f t="array" ref="AJ1090">OR(D1090=$AT$2:$AT$8)</f>
        <v>0</v>
      </c>
    </row>
    <row r="1091" spans="1:36" x14ac:dyDescent="0.25">
      <c r="A1091" s="2" t="s">
        <v>1670</v>
      </c>
      <c r="B1091" s="3">
        <v>89</v>
      </c>
      <c r="C1091" s="2" t="s">
        <v>347</v>
      </c>
      <c r="D1091" s="2" t="s">
        <v>347</v>
      </c>
      <c r="E1091" s="2" t="s">
        <v>125</v>
      </c>
      <c r="F1091" s="4" t="s">
        <v>126</v>
      </c>
      <c r="G1091" s="4" t="s">
        <v>127</v>
      </c>
      <c r="H1091" s="5">
        <v>9.1999999999999993</v>
      </c>
      <c r="I1091" s="5">
        <v>10.8</v>
      </c>
      <c r="J1091" s="5">
        <v>13.5</v>
      </c>
      <c r="K1091" s="4" t="s">
        <v>111</v>
      </c>
      <c r="L1091" s="4" t="s">
        <v>128</v>
      </c>
      <c r="M1091" s="6">
        <f>IF(OR(B1091="",I1091=""),"",B1091*I1091)</f>
        <v>961.2</v>
      </c>
      <c r="N1091" s="25" t="s">
        <v>113</v>
      </c>
      <c r="O1091" s="26">
        <v>2847</v>
      </c>
      <c r="P1091" s="9" t="s">
        <v>1668</v>
      </c>
      <c r="Q1091" s="27">
        <v>957034</v>
      </c>
      <c r="R1091" s="27">
        <v>12280888</v>
      </c>
      <c r="S1091" s="23">
        <f>IF(AND(ISNUMBER(Q1091),Q1091&gt;0,ISNUMBER(R1091),R1091&gt;0),R1091/Q1091,"")</f>
        <v>12.832237935120382</v>
      </c>
      <c r="T1091" s="9" t="s">
        <v>115</v>
      </c>
      <c r="U1091" s="9" t="s">
        <v>130</v>
      </c>
      <c r="V1091" s="9" t="s">
        <v>21</v>
      </c>
      <c r="W1091" s="9" t="s">
        <v>694</v>
      </c>
      <c r="X1091" s="23">
        <f>IF(ISNUMBER(S1091),S1091,IF(ISNUMBER(I1091),I1091,""))</f>
        <v>12.832237935120382</v>
      </c>
      <c r="Y1091" t="str">
        <f>IF(ISNUMBER(S1091),"2025 EIA-923 plant/group proxy",IF(ISNUMBER(I1091),"Technology estimate","No thermal heat rate"))</f>
        <v>2025 EIA-923 plant/group proxy</v>
      </c>
      <c r="Z1091" t="str">
        <f>IF(ISNUMBER(S1091),"Review: NOT unit verified",IF(AE1091="No match","No EIA match",IF(AF1091="Unconfirmed","Unconfirmed EIA candidate","")))</f>
        <v>Review: NOT unit verified</v>
      </c>
      <c r="AA1091" s="26">
        <v>1</v>
      </c>
      <c r="AB1091" t="s">
        <v>322</v>
      </c>
      <c r="AC1091" t="s">
        <v>1669</v>
      </c>
      <c r="AD1091" s="26">
        <v>597.1</v>
      </c>
      <c r="AE1091" t="s">
        <v>120</v>
      </c>
      <c r="AF1091" t="s">
        <v>121</v>
      </c>
      <c r="AG1091" s="27">
        <v>12.8322</v>
      </c>
      <c r="AH1091" s="34">
        <f t="shared" si="38"/>
        <v>170653.6999999999</v>
      </c>
      <c r="AI1091">
        <f t="shared" ref="AI1091:AI1154" si="39">AH1091*$AK$1</f>
        <v>106570.24758481068</v>
      </c>
      <c r="AJ1091" t="b" cm="1">
        <f t="array" ref="AJ1091">OR(D1091=$AT$2:$AT$8)</f>
        <v>0</v>
      </c>
    </row>
    <row r="1092" spans="1:36" x14ac:dyDescent="0.25">
      <c r="A1092" s="2" t="s">
        <v>1671</v>
      </c>
      <c r="B1092" s="3">
        <v>79</v>
      </c>
      <c r="C1092" s="2" t="s">
        <v>347</v>
      </c>
      <c r="D1092" s="2" t="s">
        <v>347</v>
      </c>
      <c r="E1092" s="2" t="s">
        <v>125</v>
      </c>
      <c r="F1092" s="4" t="s">
        <v>126</v>
      </c>
      <c r="G1092" s="4" t="s">
        <v>127</v>
      </c>
      <c r="H1092" s="5">
        <v>9.1999999999999993</v>
      </c>
      <c r="I1092" s="5">
        <v>10.8</v>
      </c>
      <c r="J1092" s="5">
        <v>13.5</v>
      </c>
      <c r="K1092" s="4" t="s">
        <v>111</v>
      </c>
      <c r="L1092" s="4" t="s">
        <v>128</v>
      </c>
      <c r="M1092" s="6">
        <f>IF(OR(B1092="",I1092=""),"",B1092*I1092)</f>
        <v>853.2</v>
      </c>
      <c r="N1092" s="25" t="s">
        <v>113</v>
      </c>
      <c r="O1092" s="26">
        <v>2847</v>
      </c>
      <c r="P1092" s="9" t="s">
        <v>1668</v>
      </c>
      <c r="Q1092" s="27">
        <v>957034</v>
      </c>
      <c r="R1092" s="27">
        <v>12280888</v>
      </c>
      <c r="S1092" s="23">
        <f>IF(AND(ISNUMBER(Q1092),Q1092&gt;0,ISNUMBER(R1092),R1092&gt;0),R1092/Q1092,"")</f>
        <v>12.832237935120382</v>
      </c>
      <c r="T1092" s="9" t="s">
        <v>115</v>
      </c>
      <c r="U1092" s="9" t="s">
        <v>130</v>
      </c>
      <c r="V1092" s="9" t="s">
        <v>21</v>
      </c>
      <c r="W1092" s="9" t="s">
        <v>694</v>
      </c>
      <c r="X1092" s="23">
        <f>IF(ISNUMBER(S1092),S1092,IF(ISNUMBER(I1092),I1092,""))</f>
        <v>12.832237935120382</v>
      </c>
      <c r="Y1092" t="str">
        <f>IF(ISNUMBER(S1092),"2025 EIA-923 plant/group proxy",IF(ISNUMBER(I1092),"Technology estimate","No thermal heat rate"))</f>
        <v>2025 EIA-923 plant/group proxy</v>
      </c>
      <c r="Z1092" t="str">
        <f>IF(ISNUMBER(S1092),"Review: NOT unit verified",IF(AE1092="No match","No EIA match",IF(AF1092="Unconfirmed","Unconfirmed EIA candidate","")))</f>
        <v>Review: NOT unit verified</v>
      </c>
      <c r="AA1092" s="26">
        <v>1</v>
      </c>
      <c r="AB1092" t="s">
        <v>322</v>
      </c>
      <c r="AC1092" t="s">
        <v>1669</v>
      </c>
      <c r="AD1092" s="26">
        <v>597.1</v>
      </c>
      <c r="AE1092" t="s">
        <v>120</v>
      </c>
      <c r="AF1092" t="s">
        <v>121</v>
      </c>
      <c r="AG1092" s="27">
        <v>12.8322</v>
      </c>
      <c r="AH1092" s="34">
        <f t="shared" ref="AH1092:AH1155" si="40">AH1091+B1092</f>
        <v>170732.6999999999</v>
      </c>
      <c r="AI1092">
        <f t="shared" si="39"/>
        <v>106619.58170155821</v>
      </c>
      <c r="AJ1092" t="b" cm="1">
        <f t="array" ref="AJ1092">OR(D1092=$AT$2:$AT$8)</f>
        <v>0</v>
      </c>
    </row>
    <row r="1093" spans="1:36" x14ac:dyDescent="0.25">
      <c r="A1093" s="2" t="s">
        <v>1672</v>
      </c>
      <c r="B1093" s="3">
        <v>80</v>
      </c>
      <c r="C1093" s="2" t="s">
        <v>347</v>
      </c>
      <c r="D1093" s="2" t="s">
        <v>347</v>
      </c>
      <c r="E1093" s="2" t="s">
        <v>125</v>
      </c>
      <c r="F1093" s="4" t="s">
        <v>126</v>
      </c>
      <c r="G1093" s="4" t="s">
        <v>127</v>
      </c>
      <c r="H1093" s="5">
        <v>9.1999999999999993</v>
      </c>
      <c r="I1093" s="5">
        <v>10.8</v>
      </c>
      <c r="J1093" s="5">
        <v>13.5</v>
      </c>
      <c r="K1093" s="4" t="s">
        <v>111</v>
      </c>
      <c r="L1093" s="4" t="s">
        <v>128</v>
      </c>
      <c r="M1093" s="6">
        <f>IF(OR(B1093="",I1093=""),"",B1093*I1093)</f>
        <v>864</v>
      </c>
      <c r="N1093" s="25" t="s">
        <v>113</v>
      </c>
      <c r="O1093" s="26">
        <v>2847</v>
      </c>
      <c r="P1093" s="9" t="s">
        <v>1668</v>
      </c>
      <c r="Q1093" s="27">
        <v>957034</v>
      </c>
      <c r="R1093" s="27">
        <v>12280888</v>
      </c>
      <c r="S1093" s="23">
        <f>IF(AND(ISNUMBER(Q1093),Q1093&gt;0,ISNUMBER(R1093),R1093&gt;0),R1093/Q1093,"")</f>
        <v>12.832237935120382</v>
      </c>
      <c r="T1093" s="9" t="s">
        <v>115</v>
      </c>
      <c r="U1093" s="9" t="s">
        <v>130</v>
      </c>
      <c r="V1093" s="9" t="s">
        <v>21</v>
      </c>
      <c r="W1093" s="9" t="s">
        <v>694</v>
      </c>
      <c r="X1093" s="23">
        <f>IF(ISNUMBER(S1093),S1093,IF(ISNUMBER(I1093),I1093,""))</f>
        <v>12.832237935120382</v>
      </c>
      <c r="Y1093" t="str">
        <f>IF(ISNUMBER(S1093),"2025 EIA-923 plant/group proxy",IF(ISNUMBER(I1093),"Technology estimate","No thermal heat rate"))</f>
        <v>2025 EIA-923 plant/group proxy</v>
      </c>
      <c r="Z1093" t="str">
        <f>IF(ISNUMBER(S1093),"Review: NOT unit verified",IF(AE1093="No match","No EIA match",IF(AF1093="Unconfirmed","Unconfirmed EIA candidate","")))</f>
        <v>Review: NOT unit verified</v>
      </c>
      <c r="AA1093" s="26">
        <v>1</v>
      </c>
      <c r="AB1093" t="s">
        <v>322</v>
      </c>
      <c r="AC1093" t="s">
        <v>1669</v>
      </c>
      <c r="AD1093" s="26">
        <v>597.1</v>
      </c>
      <c r="AE1093" t="s">
        <v>120</v>
      </c>
      <c r="AF1093" t="s">
        <v>121</v>
      </c>
      <c r="AG1093" s="27">
        <v>12.8322</v>
      </c>
      <c r="AH1093" s="34">
        <f t="shared" si="40"/>
        <v>170812.6999999999</v>
      </c>
      <c r="AI1093">
        <f t="shared" si="39"/>
        <v>106669.54030079624</v>
      </c>
      <c r="AJ1093" t="b" cm="1">
        <f t="array" ref="AJ1093">OR(D1093=$AT$2:$AT$8)</f>
        <v>0</v>
      </c>
    </row>
    <row r="1094" spans="1:36" x14ac:dyDescent="0.25">
      <c r="A1094" s="2" t="s">
        <v>1673</v>
      </c>
      <c r="B1094" s="3">
        <v>80</v>
      </c>
      <c r="C1094" s="2" t="s">
        <v>347</v>
      </c>
      <c r="D1094" s="2" t="s">
        <v>347</v>
      </c>
      <c r="E1094" s="2" t="s">
        <v>125</v>
      </c>
      <c r="F1094" s="4" t="s">
        <v>126</v>
      </c>
      <c r="G1094" s="4" t="s">
        <v>127</v>
      </c>
      <c r="H1094" s="5">
        <v>9.1999999999999993</v>
      </c>
      <c r="I1094" s="5">
        <v>10.8</v>
      </c>
      <c r="J1094" s="5">
        <v>13.5</v>
      </c>
      <c r="K1094" s="4" t="s">
        <v>111</v>
      </c>
      <c r="L1094" s="4" t="s">
        <v>128</v>
      </c>
      <c r="M1094" s="6">
        <f>IF(OR(B1094="",I1094=""),"",B1094*I1094)</f>
        <v>864</v>
      </c>
      <c r="N1094" s="25" t="s">
        <v>113</v>
      </c>
      <c r="O1094" s="26">
        <v>2847</v>
      </c>
      <c r="P1094" s="9" t="s">
        <v>1668</v>
      </c>
      <c r="Q1094" s="27">
        <v>957034</v>
      </c>
      <c r="R1094" s="27">
        <v>12280888</v>
      </c>
      <c r="S1094" s="23">
        <f>IF(AND(ISNUMBER(Q1094),Q1094&gt;0,ISNUMBER(R1094),R1094&gt;0),R1094/Q1094,"")</f>
        <v>12.832237935120382</v>
      </c>
      <c r="T1094" s="9" t="s">
        <v>115</v>
      </c>
      <c r="U1094" s="9" t="s">
        <v>130</v>
      </c>
      <c r="V1094" s="9" t="s">
        <v>21</v>
      </c>
      <c r="W1094" s="9" t="s">
        <v>694</v>
      </c>
      <c r="X1094" s="23">
        <f>IF(ISNUMBER(S1094),S1094,IF(ISNUMBER(I1094),I1094,""))</f>
        <v>12.832237935120382</v>
      </c>
      <c r="Y1094" t="str">
        <f>IF(ISNUMBER(S1094),"2025 EIA-923 plant/group proxy",IF(ISNUMBER(I1094),"Technology estimate","No thermal heat rate"))</f>
        <v>2025 EIA-923 plant/group proxy</v>
      </c>
      <c r="Z1094" t="str">
        <f>IF(ISNUMBER(S1094),"Review: NOT unit verified",IF(AE1094="No match","No EIA match",IF(AF1094="Unconfirmed","Unconfirmed EIA candidate","")))</f>
        <v>Review: NOT unit verified</v>
      </c>
      <c r="AA1094" s="26">
        <v>1</v>
      </c>
      <c r="AB1094" t="s">
        <v>322</v>
      </c>
      <c r="AC1094" t="s">
        <v>1669</v>
      </c>
      <c r="AD1094" s="26">
        <v>597.1</v>
      </c>
      <c r="AE1094" t="s">
        <v>120</v>
      </c>
      <c r="AF1094" t="s">
        <v>121</v>
      </c>
      <c r="AG1094" s="27">
        <v>12.8322</v>
      </c>
      <c r="AH1094" s="34">
        <f t="shared" si="40"/>
        <v>170892.6999999999</v>
      </c>
      <c r="AI1094">
        <f t="shared" si="39"/>
        <v>106719.49890003426</v>
      </c>
      <c r="AJ1094" t="b" cm="1">
        <f t="array" ref="AJ1094">OR(D1094=$AT$2:$AT$8)</f>
        <v>0</v>
      </c>
    </row>
    <row r="1095" spans="1:36" x14ac:dyDescent="0.25">
      <c r="A1095" s="2" t="s">
        <v>1674</v>
      </c>
      <c r="B1095" s="3">
        <v>80</v>
      </c>
      <c r="C1095" s="2" t="s">
        <v>347</v>
      </c>
      <c r="D1095" s="2" t="s">
        <v>347</v>
      </c>
      <c r="E1095" s="2" t="s">
        <v>125</v>
      </c>
      <c r="F1095" s="4" t="s">
        <v>126</v>
      </c>
      <c r="G1095" s="4" t="s">
        <v>127</v>
      </c>
      <c r="H1095" s="5">
        <v>9.1999999999999993</v>
      </c>
      <c r="I1095" s="5">
        <v>10.8</v>
      </c>
      <c r="J1095" s="5">
        <v>13.5</v>
      </c>
      <c r="K1095" s="4" t="s">
        <v>111</v>
      </c>
      <c r="L1095" s="4" t="s">
        <v>128</v>
      </c>
      <c r="M1095" s="6">
        <f>IF(OR(B1095="",I1095=""),"",B1095*I1095)</f>
        <v>864</v>
      </c>
      <c r="N1095" s="25" t="s">
        <v>113</v>
      </c>
      <c r="O1095" s="26">
        <v>2847</v>
      </c>
      <c r="P1095" s="9" t="s">
        <v>1668</v>
      </c>
      <c r="Q1095" s="27">
        <v>957034</v>
      </c>
      <c r="R1095" s="27">
        <v>12280888</v>
      </c>
      <c r="S1095" s="23">
        <f>IF(AND(ISNUMBER(Q1095),Q1095&gt;0,ISNUMBER(R1095),R1095&gt;0),R1095/Q1095,"")</f>
        <v>12.832237935120382</v>
      </c>
      <c r="T1095" s="9" t="s">
        <v>115</v>
      </c>
      <c r="U1095" s="9" t="s">
        <v>130</v>
      </c>
      <c r="V1095" s="9" t="s">
        <v>21</v>
      </c>
      <c r="W1095" s="9" t="s">
        <v>694</v>
      </c>
      <c r="X1095" s="23">
        <f>IF(ISNUMBER(S1095),S1095,IF(ISNUMBER(I1095),I1095,""))</f>
        <v>12.832237935120382</v>
      </c>
      <c r="Y1095" t="str">
        <f>IF(ISNUMBER(S1095),"2025 EIA-923 plant/group proxy",IF(ISNUMBER(I1095),"Technology estimate","No thermal heat rate"))</f>
        <v>2025 EIA-923 plant/group proxy</v>
      </c>
      <c r="Z1095" t="str">
        <f>IF(ISNUMBER(S1095),"Review: NOT unit verified",IF(AE1095="No match","No EIA match",IF(AF1095="Unconfirmed","Unconfirmed EIA candidate","")))</f>
        <v>Review: NOT unit verified</v>
      </c>
      <c r="AA1095" s="26">
        <v>1</v>
      </c>
      <c r="AB1095" t="s">
        <v>322</v>
      </c>
      <c r="AC1095" t="s">
        <v>1669</v>
      </c>
      <c r="AD1095" s="26">
        <v>597.1</v>
      </c>
      <c r="AE1095" t="s">
        <v>120</v>
      </c>
      <c r="AF1095" t="s">
        <v>121</v>
      </c>
      <c r="AG1095" s="27">
        <v>12.8322</v>
      </c>
      <c r="AH1095" s="34">
        <f t="shared" si="40"/>
        <v>170972.6999999999</v>
      </c>
      <c r="AI1095">
        <f t="shared" si="39"/>
        <v>106769.45749927228</v>
      </c>
      <c r="AJ1095" t="b" cm="1">
        <f t="array" ref="AJ1095">OR(D1095=$AT$2:$AT$8)</f>
        <v>0</v>
      </c>
    </row>
    <row r="1096" spans="1:36" x14ac:dyDescent="0.25">
      <c r="A1096" s="2" t="s">
        <v>1675</v>
      </c>
      <c r="B1096" s="3">
        <v>80</v>
      </c>
      <c r="C1096" s="2" t="s">
        <v>347</v>
      </c>
      <c r="D1096" s="2" t="s">
        <v>347</v>
      </c>
      <c r="E1096" s="2" t="s">
        <v>125</v>
      </c>
      <c r="F1096" s="4" t="s">
        <v>126</v>
      </c>
      <c r="G1096" s="4" t="s">
        <v>127</v>
      </c>
      <c r="H1096" s="5">
        <v>9.1999999999999993</v>
      </c>
      <c r="I1096" s="5">
        <v>10.8</v>
      </c>
      <c r="J1096" s="5">
        <v>13.5</v>
      </c>
      <c r="K1096" s="4" t="s">
        <v>111</v>
      </c>
      <c r="L1096" s="4" t="s">
        <v>128</v>
      </c>
      <c r="M1096" s="6">
        <f>IF(OR(B1096="",I1096=""),"",B1096*I1096)</f>
        <v>864</v>
      </c>
      <c r="N1096" s="25" t="s">
        <v>113</v>
      </c>
      <c r="O1096" s="26">
        <v>2847</v>
      </c>
      <c r="P1096" s="9" t="s">
        <v>1668</v>
      </c>
      <c r="Q1096" s="27">
        <v>957034</v>
      </c>
      <c r="R1096" s="27">
        <v>12280888</v>
      </c>
      <c r="S1096" s="23">
        <f>IF(AND(ISNUMBER(Q1096),Q1096&gt;0,ISNUMBER(R1096),R1096&gt;0),R1096/Q1096,"")</f>
        <v>12.832237935120382</v>
      </c>
      <c r="T1096" s="9" t="s">
        <v>115</v>
      </c>
      <c r="U1096" s="9" t="s">
        <v>130</v>
      </c>
      <c r="V1096" s="9" t="s">
        <v>21</v>
      </c>
      <c r="W1096" s="9" t="s">
        <v>694</v>
      </c>
      <c r="X1096" s="23">
        <f>IF(ISNUMBER(S1096),S1096,IF(ISNUMBER(I1096),I1096,""))</f>
        <v>12.832237935120382</v>
      </c>
      <c r="Y1096" t="str">
        <f>IF(ISNUMBER(S1096),"2025 EIA-923 plant/group proxy",IF(ISNUMBER(I1096),"Technology estimate","No thermal heat rate"))</f>
        <v>2025 EIA-923 plant/group proxy</v>
      </c>
      <c r="Z1096" t="str">
        <f>IF(ISNUMBER(S1096),"Review: NOT unit verified",IF(AE1096="No match","No EIA match",IF(AF1096="Unconfirmed","Unconfirmed EIA candidate","")))</f>
        <v>Review: NOT unit verified</v>
      </c>
      <c r="AA1096" s="26">
        <v>1</v>
      </c>
      <c r="AB1096" t="s">
        <v>322</v>
      </c>
      <c r="AC1096" t="s">
        <v>1669</v>
      </c>
      <c r="AD1096" s="26">
        <v>597.1</v>
      </c>
      <c r="AE1096" t="s">
        <v>120</v>
      </c>
      <c r="AF1096" t="s">
        <v>121</v>
      </c>
      <c r="AG1096" s="27">
        <v>12.8322</v>
      </c>
      <c r="AH1096" s="34">
        <f t="shared" si="40"/>
        <v>171052.6999999999</v>
      </c>
      <c r="AI1096">
        <f t="shared" si="39"/>
        <v>106819.41609851029</v>
      </c>
      <c r="AJ1096" t="b" cm="1">
        <f t="array" ref="AJ1096">OR(D1096=$AT$2:$AT$8)</f>
        <v>0</v>
      </c>
    </row>
    <row r="1097" spans="1:36" x14ac:dyDescent="0.25">
      <c r="A1097" s="2" t="s">
        <v>558</v>
      </c>
      <c r="B1097" s="3">
        <v>80</v>
      </c>
      <c r="C1097" s="2" t="s">
        <v>99</v>
      </c>
      <c r="D1097" s="2" t="s">
        <v>81</v>
      </c>
      <c r="E1097" s="2" t="s">
        <v>125</v>
      </c>
      <c r="F1097" s="4" t="s">
        <v>126</v>
      </c>
      <c r="G1097" s="4" t="s">
        <v>127</v>
      </c>
      <c r="H1097" s="5">
        <v>9.1999999999999993</v>
      </c>
      <c r="I1097" s="5">
        <v>10.8</v>
      </c>
      <c r="J1097" s="5">
        <v>13.5</v>
      </c>
      <c r="K1097" s="4" t="s">
        <v>111</v>
      </c>
      <c r="L1097" s="4" t="s">
        <v>128</v>
      </c>
      <c r="M1097" s="6">
        <f>IF(OR(B1097="",I1097=""),"",B1097*I1097)</f>
        <v>864</v>
      </c>
      <c r="N1097" s="25" t="s">
        <v>113</v>
      </c>
      <c r="O1097" s="26">
        <v>55247</v>
      </c>
      <c r="P1097" s="9" t="s">
        <v>559</v>
      </c>
      <c r="Q1097" s="27">
        <v>543925</v>
      </c>
      <c r="R1097" s="27">
        <v>7002973</v>
      </c>
      <c r="S1097" s="23">
        <f>IF(AND(ISNUMBER(Q1097),Q1097&gt;0,ISNUMBER(R1097),R1097&gt;0),R1097/Q1097,"")</f>
        <v>12.874887162752218</v>
      </c>
      <c r="T1097" s="9" t="s">
        <v>115</v>
      </c>
      <c r="U1097" s="9" t="s">
        <v>130</v>
      </c>
      <c r="V1097" s="9" t="s">
        <v>21</v>
      </c>
      <c r="W1097" s="9" t="s">
        <v>200</v>
      </c>
      <c r="X1097" s="23">
        <f>IF(ISNUMBER(S1097),S1097,IF(ISNUMBER(I1097),I1097,""))</f>
        <v>12.874887162752218</v>
      </c>
      <c r="Y1097" t="str">
        <f>IF(ISNUMBER(S1097),"2025 EIA-923 plant/group proxy",IF(ISNUMBER(I1097),"Technology estimate","No thermal heat rate"))</f>
        <v>2025 EIA-923 plant/group proxy</v>
      </c>
      <c r="Z1097" t="str">
        <f>IF(ISNUMBER(S1097),"Review: NOT unit verified",IF(AE1097="No match","No EIA match",IF(AF1097="Unconfirmed","Unconfirmed EIA candidate","")))</f>
        <v>Review: NOT unit verified</v>
      </c>
      <c r="AA1097" s="26">
        <v>1</v>
      </c>
      <c r="AB1097" t="s">
        <v>322</v>
      </c>
      <c r="AC1097" t="s">
        <v>413</v>
      </c>
      <c r="AD1097" s="26">
        <v>480</v>
      </c>
      <c r="AE1097" t="s">
        <v>120</v>
      </c>
      <c r="AF1097" t="s">
        <v>121</v>
      </c>
      <c r="AG1097" s="27">
        <v>12.8749</v>
      </c>
      <c r="AH1097" s="34">
        <f t="shared" si="40"/>
        <v>171132.6999999999</v>
      </c>
      <c r="AI1097">
        <f t="shared" si="39"/>
        <v>106869.37469774831</v>
      </c>
      <c r="AJ1097" t="b" cm="1">
        <f t="array" ref="AJ1097">OR(D1097=$AT$2:$AT$8)</f>
        <v>0</v>
      </c>
    </row>
    <row r="1098" spans="1:36" x14ac:dyDescent="0.25">
      <c r="A1098" s="2" t="s">
        <v>560</v>
      </c>
      <c r="B1098" s="3">
        <v>81</v>
      </c>
      <c r="C1098" s="2" t="s">
        <v>99</v>
      </c>
      <c r="D1098" s="2" t="s">
        <v>81</v>
      </c>
      <c r="E1098" s="2" t="s">
        <v>125</v>
      </c>
      <c r="F1098" s="4" t="s">
        <v>126</v>
      </c>
      <c r="G1098" s="4" t="s">
        <v>127</v>
      </c>
      <c r="H1098" s="5">
        <v>9.1999999999999993</v>
      </c>
      <c r="I1098" s="5">
        <v>10.8</v>
      </c>
      <c r="J1098" s="5">
        <v>13.5</v>
      </c>
      <c r="K1098" s="4" t="s">
        <v>111</v>
      </c>
      <c r="L1098" s="4" t="s">
        <v>128</v>
      </c>
      <c r="M1098" s="6">
        <f>IF(OR(B1098="",I1098=""),"",B1098*I1098)</f>
        <v>874.80000000000007</v>
      </c>
      <c r="N1098" s="25" t="s">
        <v>113</v>
      </c>
      <c r="O1098" s="26">
        <v>55247</v>
      </c>
      <c r="P1098" s="9" t="s">
        <v>559</v>
      </c>
      <c r="Q1098" s="27">
        <v>543925</v>
      </c>
      <c r="R1098" s="27">
        <v>7002973</v>
      </c>
      <c r="S1098" s="23">
        <f>IF(AND(ISNUMBER(Q1098),Q1098&gt;0,ISNUMBER(R1098),R1098&gt;0),R1098/Q1098,"")</f>
        <v>12.874887162752218</v>
      </c>
      <c r="T1098" s="9" t="s">
        <v>115</v>
      </c>
      <c r="U1098" s="9" t="s">
        <v>130</v>
      </c>
      <c r="V1098" s="9" t="s">
        <v>21</v>
      </c>
      <c r="W1098" s="9" t="s">
        <v>200</v>
      </c>
      <c r="X1098" s="23">
        <f>IF(ISNUMBER(S1098),S1098,IF(ISNUMBER(I1098),I1098,""))</f>
        <v>12.874887162752218</v>
      </c>
      <c r="Y1098" t="str">
        <f>IF(ISNUMBER(S1098),"2025 EIA-923 plant/group proxy",IF(ISNUMBER(I1098),"Technology estimate","No thermal heat rate"))</f>
        <v>2025 EIA-923 plant/group proxy</v>
      </c>
      <c r="Z1098" t="str">
        <f>IF(ISNUMBER(S1098),"Review: NOT unit verified",IF(AE1098="No match","No EIA match",IF(AF1098="Unconfirmed","Unconfirmed EIA candidate","")))</f>
        <v>Review: NOT unit verified</v>
      </c>
      <c r="AA1098" s="26">
        <v>1</v>
      </c>
      <c r="AB1098" t="s">
        <v>322</v>
      </c>
      <c r="AC1098" t="s">
        <v>413</v>
      </c>
      <c r="AD1098" s="26">
        <v>480</v>
      </c>
      <c r="AE1098" t="s">
        <v>120</v>
      </c>
      <c r="AF1098" t="s">
        <v>121</v>
      </c>
      <c r="AG1098" s="27">
        <v>12.8749</v>
      </c>
      <c r="AH1098" s="34">
        <f t="shared" si="40"/>
        <v>171213.6999999999</v>
      </c>
      <c r="AI1098">
        <f t="shared" si="39"/>
        <v>106919.9577794768</v>
      </c>
      <c r="AJ1098" t="b" cm="1">
        <f t="array" ref="AJ1098">OR(D1098=$AT$2:$AT$8)</f>
        <v>0</v>
      </c>
    </row>
    <row r="1099" spans="1:36" x14ac:dyDescent="0.25">
      <c r="A1099" s="2" t="s">
        <v>561</v>
      </c>
      <c r="B1099" s="3">
        <v>80</v>
      </c>
      <c r="C1099" s="2" t="s">
        <v>99</v>
      </c>
      <c r="D1099" s="2" t="s">
        <v>81</v>
      </c>
      <c r="E1099" s="2" t="s">
        <v>125</v>
      </c>
      <c r="F1099" s="4" t="s">
        <v>126</v>
      </c>
      <c r="G1099" s="4" t="s">
        <v>127</v>
      </c>
      <c r="H1099" s="5">
        <v>9.1999999999999993</v>
      </c>
      <c r="I1099" s="5">
        <v>10.8</v>
      </c>
      <c r="J1099" s="5">
        <v>13.5</v>
      </c>
      <c r="K1099" s="4" t="s">
        <v>111</v>
      </c>
      <c r="L1099" s="4" t="s">
        <v>128</v>
      </c>
      <c r="M1099" s="6">
        <f>IF(OR(B1099="",I1099=""),"",B1099*I1099)</f>
        <v>864</v>
      </c>
      <c r="N1099" s="25" t="s">
        <v>113</v>
      </c>
      <c r="O1099" s="26">
        <v>55247</v>
      </c>
      <c r="P1099" s="9" t="s">
        <v>559</v>
      </c>
      <c r="Q1099" s="27">
        <v>543925</v>
      </c>
      <c r="R1099" s="27">
        <v>7002973</v>
      </c>
      <c r="S1099" s="23">
        <f>IF(AND(ISNUMBER(Q1099),Q1099&gt;0,ISNUMBER(R1099),R1099&gt;0),R1099/Q1099,"")</f>
        <v>12.874887162752218</v>
      </c>
      <c r="T1099" s="9" t="s">
        <v>115</v>
      </c>
      <c r="U1099" s="9" t="s">
        <v>130</v>
      </c>
      <c r="V1099" s="9" t="s">
        <v>21</v>
      </c>
      <c r="W1099" s="9" t="s">
        <v>200</v>
      </c>
      <c r="X1099" s="23">
        <f>IF(ISNUMBER(S1099),S1099,IF(ISNUMBER(I1099),I1099,""))</f>
        <v>12.874887162752218</v>
      </c>
      <c r="Y1099" t="str">
        <f>IF(ISNUMBER(S1099),"2025 EIA-923 plant/group proxy",IF(ISNUMBER(I1099),"Technology estimate","No thermal heat rate"))</f>
        <v>2025 EIA-923 plant/group proxy</v>
      </c>
      <c r="Z1099" t="str">
        <f>IF(ISNUMBER(S1099),"Review: NOT unit verified",IF(AE1099="No match","No EIA match",IF(AF1099="Unconfirmed","Unconfirmed EIA candidate","")))</f>
        <v>Review: NOT unit verified</v>
      </c>
      <c r="AA1099" s="26">
        <v>1</v>
      </c>
      <c r="AB1099" t="s">
        <v>322</v>
      </c>
      <c r="AC1099" t="s">
        <v>413</v>
      </c>
      <c r="AD1099" s="26">
        <v>480</v>
      </c>
      <c r="AE1099" t="s">
        <v>120</v>
      </c>
      <c r="AF1099" t="s">
        <v>121</v>
      </c>
      <c r="AG1099" s="27">
        <v>12.8749</v>
      </c>
      <c r="AH1099" s="34">
        <f t="shared" si="40"/>
        <v>171293.6999999999</v>
      </c>
      <c r="AI1099">
        <f t="shared" si="39"/>
        <v>106969.91637871481</v>
      </c>
      <c r="AJ1099" t="b" cm="1">
        <f t="array" ref="AJ1099">OR(D1099=$AT$2:$AT$8)</f>
        <v>0</v>
      </c>
    </row>
    <row r="1100" spans="1:36" x14ac:dyDescent="0.25">
      <c r="A1100" s="2" t="s">
        <v>562</v>
      </c>
      <c r="B1100" s="3">
        <v>80</v>
      </c>
      <c r="C1100" s="2" t="s">
        <v>99</v>
      </c>
      <c r="D1100" s="2" t="s">
        <v>81</v>
      </c>
      <c r="E1100" s="2" t="s">
        <v>125</v>
      </c>
      <c r="F1100" s="4" t="s">
        <v>126</v>
      </c>
      <c r="G1100" s="4" t="s">
        <v>127</v>
      </c>
      <c r="H1100" s="5">
        <v>9.1999999999999993</v>
      </c>
      <c r="I1100" s="5">
        <v>10.8</v>
      </c>
      <c r="J1100" s="5">
        <v>13.5</v>
      </c>
      <c r="K1100" s="4" t="s">
        <v>111</v>
      </c>
      <c r="L1100" s="4" t="s">
        <v>128</v>
      </c>
      <c r="M1100" s="6">
        <f>IF(OR(B1100="",I1100=""),"",B1100*I1100)</f>
        <v>864</v>
      </c>
      <c r="N1100" s="25" t="s">
        <v>113</v>
      </c>
      <c r="O1100" s="26">
        <v>55247</v>
      </c>
      <c r="P1100" s="9" t="s">
        <v>559</v>
      </c>
      <c r="Q1100" s="27">
        <v>543925</v>
      </c>
      <c r="R1100" s="27">
        <v>7002973</v>
      </c>
      <c r="S1100" s="23">
        <f>IF(AND(ISNUMBER(Q1100),Q1100&gt;0,ISNUMBER(R1100),R1100&gt;0),R1100/Q1100,"")</f>
        <v>12.874887162752218</v>
      </c>
      <c r="T1100" s="9" t="s">
        <v>115</v>
      </c>
      <c r="U1100" s="9" t="s">
        <v>130</v>
      </c>
      <c r="V1100" s="9" t="s">
        <v>21</v>
      </c>
      <c r="W1100" s="9" t="s">
        <v>200</v>
      </c>
      <c r="X1100" s="23">
        <f>IF(ISNUMBER(S1100),S1100,IF(ISNUMBER(I1100),I1100,""))</f>
        <v>12.874887162752218</v>
      </c>
      <c r="Y1100" t="str">
        <f>IF(ISNUMBER(S1100),"2025 EIA-923 plant/group proxy",IF(ISNUMBER(I1100),"Technology estimate","No thermal heat rate"))</f>
        <v>2025 EIA-923 plant/group proxy</v>
      </c>
      <c r="Z1100" t="str">
        <f>IF(ISNUMBER(S1100),"Review: NOT unit verified",IF(AE1100="No match","No EIA match",IF(AF1100="Unconfirmed","Unconfirmed EIA candidate","")))</f>
        <v>Review: NOT unit verified</v>
      </c>
      <c r="AA1100" s="26">
        <v>1</v>
      </c>
      <c r="AB1100" t="s">
        <v>322</v>
      </c>
      <c r="AC1100" t="s">
        <v>413</v>
      </c>
      <c r="AD1100" s="26">
        <v>480</v>
      </c>
      <c r="AE1100" t="s">
        <v>120</v>
      </c>
      <c r="AF1100" t="s">
        <v>121</v>
      </c>
      <c r="AG1100" s="27">
        <v>12.8749</v>
      </c>
      <c r="AH1100" s="34">
        <f t="shared" si="40"/>
        <v>171373.6999999999</v>
      </c>
      <c r="AI1100">
        <f t="shared" si="39"/>
        <v>107019.87497795283</v>
      </c>
      <c r="AJ1100" t="b" cm="1">
        <f t="array" ref="AJ1100">OR(D1100=$AT$2:$AT$8)</f>
        <v>0</v>
      </c>
    </row>
    <row r="1101" spans="1:36" x14ac:dyDescent="0.25">
      <c r="A1101" s="2" t="s">
        <v>563</v>
      </c>
      <c r="B1101" s="3">
        <v>80</v>
      </c>
      <c r="C1101" s="2" t="s">
        <v>99</v>
      </c>
      <c r="D1101" s="2" t="s">
        <v>81</v>
      </c>
      <c r="E1101" s="2" t="s">
        <v>125</v>
      </c>
      <c r="F1101" s="4" t="s">
        <v>126</v>
      </c>
      <c r="G1101" s="4" t="s">
        <v>127</v>
      </c>
      <c r="H1101" s="5">
        <v>9.1999999999999993</v>
      </c>
      <c r="I1101" s="5">
        <v>10.8</v>
      </c>
      <c r="J1101" s="5">
        <v>13.5</v>
      </c>
      <c r="K1101" s="4" t="s">
        <v>111</v>
      </c>
      <c r="L1101" s="4" t="s">
        <v>128</v>
      </c>
      <c r="M1101" s="6">
        <f>IF(OR(B1101="",I1101=""),"",B1101*I1101)</f>
        <v>864</v>
      </c>
      <c r="N1101" s="25" t="s">
        <v>113</v>
      </c>
      <c r="O1101" s="26">
        <v>55247</v>
      </c>
      <c r="P1101" s="9" t="s">
        <v>559</v>
      </c>
      <c r="Q1101" s="27">
        <v>543925</v>
      </c>
      <c r="R1101" s="27">
        <v>7002973</v>
      </c>
      <c r="S1101" s="23">
        <f>IF(AND(ISNUMBER(Q1101),Q1101&gt;0,ISNUMBER(R1101),R1101&gt;0),R1101/Q1101,"")</f>
        <v>12.874887162752218</v>
      </c>
      <c r="T1101" s="9" t="s">
        <v>115</v>
      </c>
      <c r="U1101" s="9" t="s">
        <v>130</v>
      </c>
      <c r="V1101" s="9" t="s">
        <v>21</v>
      </c>
      <c r="W1101" s="9" t="s">
        <v>200</v>
      </c>
      <c r="X1101" s="23">
        <f>IF(ISNUMBER(S1101),S1101,IF(ISNUMBER(I1101),I1101,""))</f>
        <v>12.874887162752218</v>
      </c>
      <c r="Y1101" t="str">
        <f>IF(ISNUMBER(S1101),"2025 EIA-923 plant/group proxy",IF(ISNUMBER(I1101),"Technology estimate","No thermal heat rate"))</f>
        <v>2025 EIA-923 plant/group proxy</v>
      </c>
      <c r="Z1101" t="str">
        <f>IF(ISNUMBER(S1101),"Review: NOT unit verified",IF(AE1101="No match","No EIA match",IF(AF1101="Unconfirmed","Unconfirmed EIA candidate","")))</f>
        <v>Review: NOT unit verified</v>
      </c>
      <c r="AA1101" s="26">
        <v>1</v>
      </c>
      <c r="AB1101" t="s">
        <v>322</v>
      </c>
      <c r="AC1101" t="s">
        <v>413</v>
      </c>
      <c r="AD1101" s="26">
        <v>480</v>
      </c>
      <c r="AE1101" t="s">
        <v>120</v>
      </c>
      <c r="AF1101" t="s">
        <v>121</v>
      </c>
      <c r="AG1101" s="27">
        <v>12.8749</v>
      </c>
      <c r="AH1101" s="34">
        <f t="shared" si="40"/>
        <v>171453.6999999999</v>
      </c>
      <c r="AI1101">
        <f t="shared" si="39"/>
        <v>107069.83357719085</v>
      </c>
      <c r="AJ1101" t="b" cm="1">
        <f t="array" ref="AJ1101">OR(D1101=$AT$2:$AT$8)</f>
        <v>0</v>
      </c>
    </row>
    <row r="1102" spans="1:36" x14ac:dyDescent="0.25">
      <c r="A1102" s="2" t="s">
        <v>564</v>
      </c>
      <c r="B1102" s="3">
        <v>78.900000000000006</v>
      </c>
      <c r="C1102" s="2" t="s">
        <v>99</v>
      </c>
      <c r="D1102" s="2" t="s">
        <v>81</v>
      </c>
      <c r="E1102" s="2" t="s">
        <v>125</v>
      </c>
      <c r="F1102" s="4" t="s">
        <v>126</v>
      </c>
      <c r="G1102" s="4" t="s">
        <v>127</v>
      </c>
      <c r="H1102" s="5">
        <v>9.1999999999999993</v>
      </c>
      <c r="I1102" s="5">
        <v>10.8</v>
      </c>
      <c r="J1102" s="5">
        <v>13.5</v>
      </c>
      <c r="K1102" s="4" t="s">
        <v>111</v>
      </c>
      <c r="L1102" s="4" t="s">
        <v>128</v>
      </c>
      <c r="M1102" s="6">
        <f>IF(OR(B1102="",I1102=""),"",B1102*I1102)</f>
        <v>852.12000000000012</v>
      </c>
      <c r="N1102" s="25" t="s">
        <v>113</v>
      </c>
      <c r="O1102" s="26">
        <v>55247</v>
      </c>
      <c r="P1102" s="9" t="s">
        <v>559</v>
      </c>
      <c r="Q1102" s="27">
        <v>543925</v>
      </c>
      <c r="R1102" s="27">
        <v>7002973</v>
      </c>
      <c r="S1102" s="23">
        <f>IF(AND(ISNUMBER(Q1102),Q1102&gt;0,ISNUMBER(R1102),R1102&gt;0),R1102/Q1102,"")</f>
        <v>12.874887162752218</v>
      </c>
      <c r="T1102" s="9" t="s">
        <v>115</v>
      </c>
      <c r="U1102" s="9" t="s">
        <v>130</v>
      </c>
      <c r="V1102" s="9" t="s">
        <v>21</v>
      </c>
      <c r="W1102" s="9" t="s">
        <v>200</v>
      </c>
      <c r="X1102" s="23">
        <f>IF(ISNUMBER(S1102),S1102,IF(ISNUMBER(I1102),I1102,""))</f>
        <v>12.874887162752218</v>
      </c>
      <c r="Y1102" t="str">
        <f>IF(ISNUMBER(S1102),"2025 EIA-923 plant/group proxy",IF(ISNUMBER(I1102),"Technology estimate","No thermal heat rate"))</f>
        <v>2025 EIA-923 plant/group proxy</v>
      </c>
      <c r="Z1102" t="str">
        <f>IF(ISNUMBER(S1102),"Review: NOT unit verified",IF(AE1102="No match","No EIA match",IF(AF1102="Unconfirmed","Unconfirmed EIA candidate","")))</f>
        <v>Review: NOT unit verified</v>
      </c>
      <c r="AA1102" s="26">
        <v>1</v>
      </c>
      <c r="AB1102" t="s">
        <v>322</v>
      </c>
      <c r="AC1102" t="s">
        <v>413</v>
      </c>
      <c r="AD1102" s="26">
        <v>480</v>
      </c>
      <c r="AE1102" t="s">
        <v>120</v>
      </c>
      <c r="AF1102" t="s">
        <v>121</v>
      </c>
      <c r="AG1102" s="27">
        <v>12.8749</v>
      </c>
      <c r="AH1102" s="34">
        <f t="shared" si="40"/>
        <v>171532.59999999989</v>
      </c>
      <c r="AI1102">
        <f t="shared" si="39"/>
        <v>107119.10524568934</v>
      </c>
      <c r="AJ1102" t="b" cm="1">
        <f t="array" ref="AJ1102">OR(D1102=$AT$2:$AT$8)</f>
        <v>0</v>
      </c>
    </row>
    <row r="1103" spans="1:36" x14ac:dyDescent="0.25">
      <c r="A1103" s="2" t="s">
        <v>669</v>
      </c>
      <c r="B1103" s="3">
        <v>86</v>
      </c>
      <c r="C1103" s="2" t="s">
        <v>68</v>
      </c>
      <c r="D1103" s="2" t="s">
        <v>58</v>
      </c>
      <c r="E1103" s="2" t="s">
        <v>189</v>
      </c>
      <c r="F1103" s="4" t="s">
        <v>103</v>
      </c>
      <c r="G1103" s="4" t="s">
        <v>190</v>
      </c>
      <c r="H1103" s="5"/>
      <c r="I1103" s="5"/>
      <c r="J1103" s="5"/>
      <c r="K1103" s="4" t="s">
        <v>105</v>
      </c>
      <c r="L1103" s="4" t="s">
        <v>191</v>
      </c>
      <c r="M1103" s="6" t="str">
        <f>IF(OR(B1103="",I1103=""),"",B1103*I1103)</f>
        <v/>
      </c>
      <c r="N1103" s="25" t="s">
        <v>113</v>
      </c>
      <c r="O1103" s="26">
        <v>593</v>
      </c>
      <c r="P1103" s="9" t="s">
        <v>670</v>
      </c>
      <c r="Q1103" s="27">
        <v>395846</v>
      </c>
      <c r="R1103" s="27">
        <v>5105548</v>
      </c>
      <c r="S1103" s="23">
        <f>IF(AND(ISNUMBER(Q1103),Q1103&gt;0,ISNUMBER(R1103),R1103&gt;0),R1103/Q1103,"")</f>
        <v>12.897813796274308</v>
      </c>
      <c r="T1103" s="9" t="s">
        <v>115</v>
      </c>
      <c r="U1103" s="9" t="s">
        <v>671</v>
      </c>
      <c r="V1103" s="9" t="s">
        <v>21</v>
      </c>
      <c r="W1103" s="9" t="s">
        <v>117</v>
      </c>
      <c r="X1103" s="23">
        <f>IF(ISNUMBER(S1103),S1103,IF(ISNUMBER(I1103),I1103,""))</f>
        <v>12.897813796274308</v>
      </c>
      <c r="Y1103" t="str">
        <f>IF(ISNUMBER(S1103),"2025 EIA-923 plant/group proxy",IF(ISNUMBER(I1103),"Technology estimate","No thermal heat rate"))</f>
        <v>2025 EIA-923 plant/group proxy</v>
      </c>
      <c r="Z1103" t="str">
        <f>IF(ISNUMBER(S1103),"Review: NOT unit verified",IF(AE1103="No match","No EIA match",IF(AF1103="Unconfirmed","Unconfirmed EIA candidate","")))</f>
        <v>Review: NOT unit verified</v>
      </c>
      <c r="AA1103" s="26">
        <v>1</v>
      </c>
      <c r="AB1103" t="s">
        <v>672</v>
      </c>
      <c r="AC1103" t="s">
        <v>673</v>
      </c>
      <c r="AD1103" s="26">
        <v>695</v>
      </c>
      <c r="AE1103" t="s">
        <v>120</v>
      </c>
      <c r="AF1103" t="s">
        <v>121</v>
      </c>
      <c r="AG1103" s="27">
        <v>12.8978</v>
      </c>
      <c r="AH1103" s="34">
        <f t="shared" si="40"/>
        <v>171618.59999999989</v>
      </c>
      <c r="AI1103">
        <f t="shared" si="39"/>
        <v>107172.81073987021</v>
      </c>
      <c r="AJ1103" t="b" cm="1">
        <f t="array" ref="AJ1103">OR(D1103=$AT$2:$AT$8)</f>
        <v>0</v>
      </c>
    </row>
    <row r="1104" spans="1:36" x14ac:dyDescent="0.25">
      <c r="A1104" s="2" t="s">
        <v>674</v>
      </c>
      <c r="B1104" s="3">
        <v>174</v>
      </c>
      <c r="C1104" s="2" t="s">
        <v>68</v>
      </c>
      <c r="D1104" s="2" t="s">
        <v>58</v>
      </c>
      <c r="E1104" s="2" t="s">
        <v>189</v>
      </c>
      <c r="F1104" s="4" t="s">
        <v>103</v>
      </c>
      <c r="G1104" s="4" t="s">
        <v>190</v>
      </c>
      <c r="H1104" s="5"/>
      <c r="I1104" s="5"/>
      <c r="J1104" s="5"/>
      <c r="K1104" s="4" t="s">
        <v>105</v>
      </c>
      <c r="L1104" s="4" t="s">
        <v>191</v>
      </c>
      <c r="M1104" s="6" t="str">
        <f>IF(OR(B1104="",I1104=""),"",B1104*I1104)</f>
        <v/>
      </c>
      <c r="N1104" s="25" t="s">
        <v>113</v>
      </c>
      <c r="O1104" s="26">
        <v>593</v>
      </c>
      <c r="P1104" s="9" t="s">
        <v>670</v>
      </c>
      <c r="Q1104" s="27">
        <v>395846</v>
      </c>
      <c r="R1104" s="27">
        <v>5105548</v>
      </c>
      <c r="S1104" s="23">
        <f>IF(AND(ISNUMBER(Q1104),Q1104&gt;0,ISNUMBER(R1104),R1104&gt;0),R1104/Q1104,"")</f>
        <v>12.897813796274308</v>
      </c>
      <c r="T1104" s="9" t="s">
        <v>115</v>
      </c>
      <c r="U1104" s="9" t="s">
        <v>671</v>
      </c>
      <c r="V1104" s="9" t="s">
        <v>21</v>
      </c>
      <c r="W1104" s="9" t="s">
        <v>117</v>
      </c>
      <c r="X1104" s="23">
        <f>IF(ISNUMBER(S1104),S1104,IF(ISNUMBER(I1104),I1104,""))</f>
        <v>12.897813796274308</v>
      </c>
      <c r="Y1104" t="str">
        <f>IF(ISNUMBER(S1104),"2025 EIA-923 plant/group proxy",IF(ISNUMBER(I1104),"Technology estimate","No thermal heat rate"))</f>
        <v>2025 EIA-923 plant/group proxy</v>
      </c>
      <c r="Z1104" t="str">
        <f>IF(ISNUMBER(S1104),"Review: NOT unit verified",IF(AE1104="No match","No EIA match",IF(AF1104="Unconfirmed","Unconfirmed EIA candidate","")))</f>
        <v>Review: NOT unit verified</v>
      </c>
      <c r="AA1104" s="26">
        <v>1</v>
      </c>
      <c r="AB1104" t="s">
        <v>672</v>
      </c>
      <c r="AC1104" t="s">
        <v>673</v>
      </c>
      <c r="AD1104" s="26">
        <v>695</v>
      </c>
      <c r="AE1104" t="s">
        <v>120</v>
      </c>
      <c r="AF1104" t="s">
        <v>121</v>
      </c>
      <c r="AG1104" s="27">
        <v>12.8978</v>
      </c>
      <c r="AH1104" s="34">
        <f t="shared" si="40"/>
        <v>171792.59999999989</v>
      </c>
      <c r="AI1104">
        <f t="shared" si="39"/>
        <v>107281.4706932129</v>
      </c>
      <c r="AJ1104" t="b" cm="1">
        <f t="array" ref="AJ1104">OR(D1104=$AT$2:$AT$8)</f>
        <v>0</v>
      </c>
    </row>
    <row r="1105" spans="1:36" x14ac:dyDescent="0.25">
      <c r="A1105" s="2" t="s">
        <v>675</v>
      </c>
      <c r="B1105" s="3">
        <v>434</v>
      </c>
      <c r="C1105" s="2" t="s">
        <v>68</v>
      </c>
      <c r="D1105" s="2" t="s">
        <v>58</v>
      </c>
      <c r="E1105" s="2" t="s">
        <v>189</v>
      </c>
      <c r="F1105" s="4" t="s">
        <v>103</v>
      </c>
      <c r="G1105" s="4" t="s">
        <v>190</v>
      </c>
      <c r="H1105" s="5"/>
      <c r="I1105" s="5"/>
      <c r="J1105" s="5"/>
      <c r="K1105" s="4" t="s">
        <v>105</v>
      </c>
      <c r="L1105" s="4" t="s">
        <v>191</v>
      </c>
      <c r="M1105" s="6" t="str">
        <f>IF(OR(B1105="",I1105=""),"",B1105*I1105)</f>
        <v/>
      </c>
      <c r="N1105" s="25" t="s">
        <v>113</v>
      </c>
      <c r="O1105" s="26">
        <v>593</v>
      </c>
      <c r="P1105" s="9" t="s">
        <v>670</v>
      </c>
      <c r="Q1105" s="27">
        <v>395846</v>
      </c>
      <c r="R1105" s="27">
        <v>5105548</v>
      </c>
      <c r="S1105" s="23">
        <f>IF(AND(ISNUMBER(Q1105),Q1105&gt;0,ISNUMBER(R1105),R1105&gt;0),R1105/Q1105,"")</f>
        <v>12.897813796274308</v>
      </c>
      <c r="T1105" s="9" t="s">
        <v>115</v>
      </c>
      <c r="U1105" s="9" t="s">
        <v>671</v>
      </c>
      <c r="V1105" s="9" t="s">
        <v>21</v>
      </c>
      <c r="W1105" s="9" t="s">
        <v>117</v>
      </c>
      <c r="X1105" s="23">
        <f>IF(ISNUMBER(S1105),S1105,IF(ISNUMBER(I1105),I1105,""))</f>
        <v>12.897813796274308</v>
      </c>
      <c r="Y1105" t="str">
        <f>IF(ISNUMBER(S1105),"2025 EIA-923 plant/group proxy",IF(ISNUMBER(I1105),"Technology estimate","No thermal heat rate"))</f>
        <v>2025 EIA-923 plant/group proxy</v>
      </c>
      <c r="Z1105" t="str">
        <f>IF(ISNUMBER(S1105),"Review: NOT unit verified",IF(AE1105="No match","No EIA match",IF(AF1105="Unconfirmed","Unconfirmed EIA candidate","")))</f>
        <v>Review: NOT unit verified</v>
      </c>
      <c r="AA1105" s="26">
        <v>1</v>
      </c>
      <c r="AB1105" t="s">
        <v>672</v>
      </c>
      <c r="AC1105" t="s">
        <v>673</v>
      </c>
      <c r="AD1105" s="26">
        <v>695</v>
      </c>
      <c r="AE1105" t="s">
        <v>120</v>
      </c>
      <c r="AF1105" t="s">
        <v>121</v>
      </c>
      <c r="AG1105" s="27">
        <v>12.8978</v>
      </c>
      <c r="AH1105" s="34">
        <f t="shared" si="40"/>
        <v>172226.59999999989</v>
      </c>
      <c r="AI1105">
        <f t="shared" si="39"/>
        <v>107552.49609407915</v>
      </c>
      <c r="AJ1105" t="b" cm="1">
        <f t="array" ref="AJ1105">OR(D1105=$AT$2:$AT$8)</f>
        <v>0</v>
      </c>
    </row>
    <row r="1106" spans="1:36" x14ac:dyDescent="0.25">
      <c r="A1106" s="2" t="s">
        <v>1101</v>
      </c>
      <c r="B1106" s="3">
        <v>86</v>
      </c>
      <c r="C1106" s="2" t="s">
        <v>228</v>
      </c>
      <c r="D1106" s="2" t="s">
        <v>228</v>
      </c>
      <c r="E1106" s="2" t="s">
        <v>125</v>
      </c>
      <c r="F1106" s="4" t="s">
        <v>126</v>
      </c>
      <c r="G1106" s="4" t="s">
        <v>127</v>
      </c>
      <c r="H1106" s="5">
        <v>9.1999999999999993</v>
      </c>
      <c r="I1106" s="5">
        <v>10.8</v>
      </c>
      <c r="J1106" s="5">
        <v>13.5</v>
      </c>
      <c r="K1106" s="4" t="s">
        <v>111</v>
      </c>
      <c r="L1106" s="4" t="s">
        <v>128</v>
      </c>
      <c r="M1106" s="6">
        <f>IF(OR(B1106="",I1106=""),"",B1106*I1106)</f>
        <v>928.80000000000007</v>
      </c>
      <c r="N1106" s="25" t="s">
        <v>113</v>
      </c>
      <c r="O1106" s="26">
        <v>2406</v>
      </c>
      <c r="P1106" s="9" t="s">
        <v>1097</v>
      </c>
      <c r="Q1106" s="27">
        <v>102614</v>
      </c>
      <c r="R1106" s="27">
        <v>1334746</v>
      </c>
      <c r="S1106" s="23">
        <f>IF(AND(ISNUMBER(Q1106),Q1106&gt;0,ISNUMBER(R1106),R1106&gt;0),R1106/Q1106,"")</f>
        <v>13.007445377823689</v>
      </c>
      <c r="T1106" s="9" t="s">
        <v>115</v>
      </c>
      <c r="U1106" s="9" t="s">
        <v>130</v>
      </c>
      <c r="V1106" s="9" t="s">
        <v>21</v>
      </c>
      <c r="W1106" s="9" t="s">
        <v>528</v>
      </c>
      <c r="X1106" s="23">
        <f>IF(ISNUMBER(S1106),S1106,IF(ISNUMBER(I1106),I1106,""))</f>
        <v>13.007445377823689</v>
      </c>
      <c r="Y1106" t="str">
        <f>IF(ISNUMBER(S1106),"2025 EIA-923 plant/group proxy",IF(ISNUMBER(I1106),"Technology estimate","No thermal heat rate"))</f>
        <v>2025 EIA-923 plant/group proxy</v>
      </c>
      <c r="Z1106" t="str">
        <f>IF(ISNUMBER(S1106),"Review: NOT unit verified",IF(AE1106="No match","No EIA match",IF(AF1106="Unconfirmed","Unconfirmed EIA candidate","")))</f>
        <v>Review: NOT unit verified</v>
      </c>
      <c r="AA1106" s="26">
        <v>1</v>
      </c>
      <c r="AB1106" t="s">
        <v>241</v>
      </c>
      <c r="AC1106" t="s">
        <v>1102</v>
      </c>
      <c r="AD1106" s="26">
        <v>336.2</v>
      </c>
      <c r="AE1106" t="s">
        <v>120</v>
      </c>
      <c r="AF1106" t="s">
        <v>121</v>
      </c>
      <c r="AG1106" s="27">
        <v>13.007400000000001</v>
      </c>
      <c r="AH1106" s="34">
        <f t="shared" si="40"/>
        <v>172312.59999999989</v>
      </c>
      <c r="AI1106">
        <f t="shared" si="39"/>
        <v>107606.20158826001</v>
      </c>
      <c r="AJ1106" t="b" cm="1">
        <f t="array" ref="AJ1106">OR(D1106=$AT$2:$AT$8)</f>
        <v>1</v>
      </c>
    </row>
    <row r="1107" spans="1:36" x14ac:dyDescent="0.25">
      <c r="A1107" s="2" t="s">
        <v>1103</v>
      </c>
      <c r="B1107" s="3">
        <v>86</v>
      </c>
      <c r="C1107" s="2" t="s">
        <v>228</v>
      </c>
      <c r="D1107" s="2" t="s">
        <v>228</v>
      </c>
      <c r="E1107" s="2" t="s">
        <v>125</v>
      </c>
      <c r="F1107" s="4" t="s">
        <v>126</v>
      </c>
      <c r="G1107" s="4" t="s">
        <v>127</v>
      </c>
      <c r="H1107" s="5">
        <v>9.1999999999999993</v>
      </c>
      <c r="I1107" s="5">
        <v>10.8</v>
      </c>
      <c r="J1107" s="5">
        <v>13.5</v>
      </c>
      <c r="K1107" s="4" t="s">
        <v>111</v>
      </c>
      <c r="L1107" s="4" t="s">
        <v>128</v>
      </c>
      <c r="M1107" s="6">
        <f>IF(OR(B1107="",I1107=""),"",B1107*I1107)</f>
        <v>928.80000000000007</v>
      </c>
      <c r="N1107" s="25" t="s">
        <v>113</v>
      </c>
      <c r="O1107" s="26">
        <v>2406</v>
      </c>
      <c r="P1107" s="9" t="s">
        <v>1097</v>
      </c>
      <c r="Q1107" s="27">
        <v>102614</v>
      </c>
      <c r="R1107" s="27">
        <v>1334746</v>
      </c>
      <c r="S1107" s="23">
        <f>IF(AND(ISNUMBER(Q1107),Q1107&gt;0,ISNUMBER(R1107),R1107&gt;0),R1107/Q1107,"")</f>
        <v>13.007445377823689</v>
      </c>
      <c r="T1107" s="9" t="s">
        <v>115</v>
      </c>
      <c r="U1107" s="9" t="s">
        <v>130</v>
      </c>
      <c r="V1107" s="9" t="s">
        <v>21</v>
      </c>
      <c r="W1107" s="9" t="s">
        <v>528</v>
      </c>
      <c r="X1107" s="23">
        <f>IF(ISNUMBER(S1107),S1107,IF(ISNUMBER(I1107),I1107,""))</f>
        <v>13.007445377823689</v>
      </c>
      <c r="Y1107" t="str">
        <f>IF(ISNUMBER(S1107),"2025 EIA-923 plant/group proxy",IF(ISNUMBER(I1107),"Technology estimate","No thermal heat rate"))</f>
        <v>2025 EIA-923 plant/group proxy</v>
      </c>
      <c r="Z1107" t="str">
        <f>IF(ISNUMBER(S1107),"Review: NOT unit verified",IF(AE1107="No match","No EIA match",IF(AF1107="Unconfirmed","Unconfirmed EIA candidate","")))</f>
        <v>Review: NOT unit verified</v>
      </c>
      <c r="AA1107" s="26">
        <v>1</v>
      </c>
      <c r="AB1107" t="s">
        <v>241</v>
      </c>
      <c r="AC1107" t="s">
        <v>1102</v>
      </c>
      <c r="AD1107" s="26">
        <v>336.2</v>
      </c>
      <c r="AE1107" t="s">
        <v>120</v>
      </c>
      <c r="AF1107" t="s">
        <v>121</v>
      </c>
      <c r="AG1107" s="27">
        <v>13.007400000000001</v>
      </c>
      <c r="AH1107" s="34">
        <f t="shared" si="40"/>
        <v>172398.59999999989</v>
      </c>
      <c r="AI1107">
        <f t="shared" si="39"/>
        <v>107659.90708244088</v>
      </c>
      <c r="AJ1107" t="b" cm="1">
        <f t="array" ref="AJ1107">OR(D1107=$AT$2:$AT$8)</f>
        <v>1</v>
      </c>
    </row>
    <row r="1108" spans="1:36" x14ac:dyDescent="0.25">
      <c r="A1108" s="2" t="s">
        <v>1104</v>
      </c>
      <c r="B1108" s="3">
        <v>84.1</v>
      </c>
      <c r="C1108" s="2" t="s">
        <v>228</v>
      </c>
      <c r="D1108" s="2" t="s">
        <v>237</v>
      </c>
      <c r="E1108" s="2" t="s">
        <v>125</v>
      </c>
      <c r="F1108" s="4" t="s">
        <v>126</v>
      </c>
      <c r="G1108" s="4" t="s">
        <v>127</v>
      </c>
      <c r="H1108" s="5">
        <v>9.1999999999999993</v>
      </c>
      <c r="I1108" s="5">
        <v>10.8</v>
      </c>
      <c r="J1108" s="5">
        <v>13.5</v>
      </c>
      <c r="K1108" s="4" t="s">
        <v>111</v>
      </c>
      <c r="L1108" s="4" t="s">
        <v>128</v>
      </c>
      <c r="M1108" s="6">
        <f>IF(OR(B1108="",I1108=""),"",B1108*I1108)</f>
        <v>908.28</v>
      </c>
      <c r="N1108" s="25" t="s">
        <v>113</v>
      </c>
      <c r="O1108" s="26">
        <v>2406</v>
      </c>
      <c r="P1108" s="9" t="s">
        <v>1097</v>
      </c>
      <c r="Q1108" s="27">
        <v>102614</v>
      </c>
      <c r="R1108" s="27">
        <v>1334746</v>
      </c>
      <c r="S1108" s="23">
        <f>IF(AND(ISNUMBER(Q1108),Q1108&gt;0,ISNUMBER(R1108),R1108&gt;0),R1108/Q1108,"")</f>
        <v>13.007445377823689</v>
      </c>
      <c r="T1108" s="9" t="s">
        <v>115</v>
      </c>
      <c r="U1108" s="9" t="s">
        <v>130</v>
      </c>
      <c r="V1108" s="9" t="s">
        <v>21</v>
      </c>
      <c r="W1108" s="9" t="s">
        <v>528</v>
      </c>
      <c r="X1108" s="23">
        <f>IF(ISNUMBER(S1108),S1108,IF(ISNUMBER(I1108),I1108,""))</f>
        <v>13.007445377823689</v>
      </c>
      <c r="Y1108" t="str">
        <f>IF(ISNUMBER(S1108),"2025 EIA-923 plant/group proxy",IF(ISNUMBER(I1108),"Technology estimate","No thermal heat rate"))</f>
        <v>2025 EIA-923 plant/group proxy</v>
      </c>
      <c r="Z1108" t="str">
        <f>IF(ISNUMBER(S1108),"Review: NOT unit verified",IF(AE1108="No match","No EIA match",IF(AF1108="Unconfirmed","Unconfirmed EIA candidate","")))</f>
        <v>Review: NOT unit verified</v>
      </c>
      <c r="AA1108" s="26">
        <v>1</v>
      </c>
      <c r="AB1108" t="s">
        <v>241</v>
      </c>
      <c r="AC1108" t="s">
        <v>1102</v>
      </c>
      <c r="AD1108" s="26">
        <v>336.2</v>
      </c>
      <c r="AE1108" t="s">
        <v>120</v>
      </c>
      <c r="AF1108" t="s">
        <v>121</v>
      </c>
      <c r="AG1108" s="27">
        <v>13.007400000000001</v>
      </c>
      <c r="AH1108" s="34">
        <f t="shared" si="40"/>
        <v>172482.6999999999</v>
      </c>
      <c r="AI1108">
        <f t="shared" si="39"/>
        <v>107712.42605988985</v>
      </c>
      <c r="AJ1108" t="b" cm="1">
        <f t="array" ref="AJ1108">OR(D1108=$AT$2:$AT$8)</f>
        <v>0</v>
      </c>
    </row>
    <row r="1109" spans="1:36" x14ac:dyDescent="0.25">
      <c r="A1109" s="2" t="s">
        <v>1105</v>
      </c>
      <c r="B1109" s="3">
        <v>82.9</v>
      </c>
      <c r="C1109" s="2" t="s">
        <v>228</v>
      </c>
      <c r="D1109" s="2" t="s">
        <v>237</v>
      </c>
      <c r="E1109" s="2" t="s">
        <v>125</v>
      </c>
      <c r="F1109" s="4" t="s">
        <v>126</v>
      </c>
      <c r="G1109" s="4" t="s">
        <v>127</v>
      </c>
      <c r="H1109" s="5">
        <v>9.1999999999999993</v>
      </c>
      <c r="I1109" s="5">
        <v>10.8</v>
      </c>
      <c r="J1109" s="5">
        <v>13.5</v>
      </c>
      <c r="K1109" s="4" t="s">
        <v>111</v>
      </c>
      <c r="L1109" s="4" t="s">
        <v>128</v>
      </c>
      <c r="M1109" s="6">
        <f>IF(OR(B1109="",I1109=""),"",B1109*I1109)</f>
        <v>895.32000000000016</v>
      </c>
      <c r="N1109" s="25" t="s">
        <v>113</v>
      </c>
      <c r="O1109" s="26">
        <v>2406</v>
      </c>
      <c r="P1109" s="9" t="s">
        <v>1097</v>
      </c>
      <c r="Q1109" s="27">
        <v>102614</v>
      </c>
      <c r="R1109" s="27">
        <v>1334746</v>
      </c>
      <c r="S1109" s="23">
        <f>IF(AND(ISNUMBER(Q1109),Q1109&gt;0,ISNUMBER(R1109),R1109&gt;0),R1109/Q1109,"")</f>
        <v>13.007445377823689</v>
      </c>
      <c r="T1109" s="9" t="s">
        <v>115</v>
      </c>
      <c r="U1109" s="9" t="s">
        <v>130</v>
      </c>
      <c r="V1109" s="9" t="s">
        <v>21</v>
      </c>
      <c r="W1109" s="9" t="s">
        <v>528</v>
      </c>
      <c r="X1109" s="23">
        <f>IF(ISNUMBER(S1109),S1109,IF(ISNUMBER(I1109),I1109,""))</f>
        <v>13.007445377823689</v>
      </c>
      <c r="Y1109" t="str">
        <f>IF(ISNUMBER(S1109),"2025 EIA-923 plant/group proxy",IF(ISNUMBER(I1109),"Technology estimate","No thermal heat rate"))</f>
        <v>2025 EIA-923 plant/group proxy</v>
      </c>
      <c r="Z1109" t="str">
        <f>IF(ISNUMBER(S1109),"Review: NOT unit verified",IF(AE1109="No match","No EIA match",IF(AF1109="Unconfirmed","Unconfirmed EIA candidate","")))</f>
        <v>Review: NOT unit verified</v>
      </c>
      <c r="AA1109" s="26">
        <v>1</v>
      </c>
      <c r="AB1109" t="s">
        <v>241</v>
      </c>
      <c r="AC1109" t="s">
        <v>1102</v>
      </c>
      <c r="AD1109" s="26">
        <v>336.2</v>
      </c>
      <c r="AE1109" t="s">
        <v>120</v>
      </c>
      <c r="AF1109" t="s">
        <v>121</v>
      </c>
      <c r="AG1109" s="27">
        <v>13.007400000000001</v>
      </c>
      <c r="AH1109" s="34">
        <f t="shared" si="40"/>
        <v>172565.59999999989</v>
      </c>
      <c r="AI1109">
        <f t="shared" si="39"/>
        <v>107764.19565835025</v>
      </c>
      <c r="AJ1109" t="b" cm="1">
        <f t="array" ref="AJ1109">OR(D1109=$AT$2:$AT$8)</f>
        <v>0</v>
      </c>
    </row>
    <row r="1110" spans="1:36" x14ac:dyDescent="0.25">
      <c r="A1110" s="2" t="s">
        <v>1850</v>
      </c>
      <c r="B1110" s="3">
        <v>171.5</v>
      </c>
      <c r="C1110" s="2" t="s">
        <v>99</v>
      </c>
      <c r="D1110" s="2" t="s">
        <v>81</v>
      </c>
      <c r="E1110" s="2" t="s">
        <v>137</v>
      </c>
      <c r="F1110" s="4" t="s">
        <v>138</v>
      </c>
      <c r="G1110" s="4" t="s">
        <v>139</v>
      </c>
      <c r="H1110" s="5">
        <v>9</v>
      </c>
      <c r="I1110" s="5">
        <v>10.5</v>
      </c>
      <c r="J1110" s="5">
        <v>13</v>
      </c>
      <c r="K1110" s="4" t="s">
        <v>111</v>
      </c>
      <c r="L1110" s="4" t="s">
        <v>112</v>
      </c>
      <c r="M1110" s="6">
        <f>IF(OR(B1110="",I1110=""),"",B1110*I1110)</f>
        <v>1800.75</v>
      </c>
      <c r="N1110" s="28" t="s">
        <v>113</v>
      </c>
      <c r="O1110" s="26">
        <v>55198</v>
      </c>
      <c r="P1110" s="9" t="s">
        <v>1851</v>
      </c>
      <c r="Q1110" s="27">
        <v>774692</v>
      </c>
      <c r="R1110" s="27">
        <v>10167653</v>
      </c>
      <c r="S1110" s="23">
        <f>IF(AND(ISNUMBER(Q1110),Q1110&gt;0,ISNUMBER(R1110),R1110&gt;0),R1110/Q1110,"")</f>
        <v>13.124768295012728</v>
      </c>
      <c r="T1110" s="9" t="s">
        <v>115</v>
      </c>
      <c r="U1110" s="9" t="s">
        <v>141</v>
      </c>
      <c r="V1110" s="9" t="s">
        <v>21</v>
      </c>
      <c r="W1110" s="9" t="s">
        <v>865</v>
      </c>
      <c r="X1110" s="23">
        <f>IF(ISNUMBER(S1110),S1110,IF(ISNUMBER(I1110),I1110,""))</f>
        <v>13.124768295012728</v>
      </c>
      <c r="Y1110" t="str">
        <f>IF(ISNUMBER(S1110),"2025 EIA-923 plant/group proxy",IF(ISNUMBER(I1110),"Technology estimate","No thermal heat rate"))</f>
        <v>2025 EIA-923 plant/group proxy</v>
      </c>
      <c r="Z1110" t="str">
        <f>IF(ISNUMBER(S1110),"Review: NOT unit verified",IF(AE1110="No match","No EIA match",IF(AF1110="Unconfirmed","Unconfirmed EIA candidate","")))</f>
        <v>Review: NOT unit verified</v>
      </c>
      <c r="AA1110" s="26">
        <v>0.65</v>
      </c>
      <c r="AB1110" t="s">
        <v>266</v>
      </c>
      <c r="AC1110" t="s">
        <v>1852</v>
      </c>
      <c r="AD1110" s="26">
        <v>825</v>
      </c>
      <c r="AE1110" t="s">
        <v>120</v>
      </c>
      <c r="AF1110" t="s">
        <v>145</v>
      </c>
      <c r="AG1110" s="27">
        <v>13.1248</v>
      </c>
      <c r="AH1110" s="34">
        <f t="shared" si="40"/>
        <v>172737.09999999989</v>
      </c>
      <c r="AI1110">
        <f t="shared" si="39"/>
        <v>107871.29440546675</v>
      </c>
      <c r="AJ1110" t="b" cm="1">
        <f t="array" ref="AJ1110">OR(D1110=$AT$2:$AT$8)</f>
        <v>0</v>
      </c>
    </row>
    <row r="1111" spans="1:36" x14ac:dyDescent="0.25">
      <c r="A1111" s="2" t="s">
        <v>1853</v>
      </c>
      <c r="B1111" s="3">
        <v>171.5</v>
      </c>
      <c r="C1111" s="2" t="s">
        <v>99</v>
      </c>
      <c r="D1111" s="2" t="s">
        <v>81</v>
      </c>
      <c r="E1111" s="2" t="s">
        <v>137</v>
      </c>
      <c r="F1111" s="4" t="s">
        <v>138</v>
      </c>
      <c r="G1111" s="4" t="s">
        <v>139</v>
      </c>
      <c r="H1111" s="5">
        <v>9</v>
      </c>
      <c r="I1111" s="5">
        <v>10.5</v>
      </c>
      <c r="J1111" s="5">
        <v>13</v>
      </c>
      <c r="K1111" s="4" t="s">
        <v>111</v>
      </c>
      <c r="L1111" s="4" t="s">
        <v>112</v>
      </c>
      <c r="M1111" s="6">
        <f>IF(OR(B1111="",I1111=""),"",B1111*I1111)</f>
        <v>1800.75</v>
      </c>
      <c r="N1111" s="28" t="s">
        <v>113</v>
      </c>
      <c r="O1111" s="26">
        <v>55198</v>
      </c>
      <c r="P1111" s="9" t="s">
        <v>1851</v>
      </c>
      <c r="Q1111" s="27">
        <v>774692</v>
      </c>
      <c r="R1111" s="27">
        <v>10167653</v>
      </c>
      <c r="S1111" s="23">
        <f>IF(AND(ISNUMBER(Q1111),Q1111&gt;0,ISNUMBER(R1111),R1111&gt;0),R1111/Q1111,"")</f>
        <v>13.124768295012728</v>
      </c>
      <c r="T1111" s="9" t="s">
        <v>115</v>
      </c>
      <c r="U1111" s="9" t="s">
        <v>141</v>
      </c>
      <c r="V1111" s="9" t="s">
        <v>21</v>
      </c>
      <c r="W1111" s="9" t="s">
        <v>865</v>
      </c>
      <c r="X1111" s="23">
        <f>IF(ISNUMBER(S1111),S1111,IF(ISNUMBER(I1111),I1111,""))</f>
        <v>13.124768295012728</v>
      </c>
      <c r="Y1111" t="str">
        <f>IF(ISNUMBER(S1111),"2025 EIA-923 plant/group proxy",IF(ISNUMBER(I1111),"Technology estimate","No thermal heat rate"))</f>
        <v>2025 EIA-923 plant/group proxy</v>
      </c>
      <c r="Z1111" t="str">
        <f>IF(ISNUMBER(S1111),"Review: NOT unit verified",IF(AE1111="No match","No EIA match",IF(AF1111="Unconfirmed","Unconfirmed EIA candidate","")))</f>
        <v>Review: NOT unit verified</v>
      </c>
      <c r="AA1111" s="26">
        <v>0.65</v>
      </c>
      <c r="AB1111" t="s">
        <v>266</v>
      </c>
      <c r="AC1111" t="s">
        <v>1852</v>
      </c>
      <c r="AD1111" s="26">
        <v>825</v>
      </c>
      <c r="AE1111" t="s">
        <v>120</v>
      </c>
      <c r="AF1111" t="s">
        <v>145</v>
      </c>
      <c r="AG1111" s="27">
        <v>13.1248</v>
      </c>
      <c r="AH1111" s="34">
        <f t="shared" si="40"/>
        <v>172908.59999999989</v>
      </c>
      <c r="AI1111">
        <f t="shared" si="39"/>
        <v>107978.39315258324</v>
      </c>
      <c r="AJ1111" t="b" cm="1">
        <f t="array" ref="AJ1111">OR(D1111=$AT$2:$AT$8)</f>
        <v>0</v>
      </c>
    </row>
    <row r="1112" spans="1:36" x14ac:dyDescent="0.25">
      <c r="A1112" s="2" t="s">
        <v>1854</v>
      </c>
      <c r="B1112" s="3">
        <v>171.5</v>
      </c>
      <c r="C1112" s="2" t="s">
        <v>99</v>
      </c>
      <c r="D1112" s="2" t="s">
        <v>81</v>
      </c>
      <c r="E1112" s="2" t="s">
        <v>137</v>
      </c>
      <c r="F1112" s="4" t="s">
        <v>138</v>
      </c>
      <c r="G1112" s="4" t="s">
        <v>139</v>
      </c>
      <c r="H1112" s="5">
        <v>9</v>
      </c>
      <c r="I1112" s="5">
        <v>10.5</v>
      </c>
      <c r="J1112" s="5">
        <v>13</v>
      </c>
      <c r="K1112" s="4" t="s">
        <v>111</v>
      </c>
      <c r="L1112" s="4" t="s">
        <v>112</v>
      </c>
      <c r="M1112" s="6">
        <f>IF(OR(B1112="",I1112=""),"",B1112*I1112)</f>
        <v>1800.75</v>
      </c>
      <c r="N1112" s="28" t="s">
        <v>113</v>
      </c>
      <c r="O1112" s="26">
        <v>55198</v>
      </c>
      <c r="P1112" s="9" t="s">
        <v>1851</v>
      </c>
      <c r="Q1112" s="27">
        <v>774692</v>
      </c>
      <c r="R1112" s="27">
        <v>10167653</v>
      </c>
      <c r="S1112" s="23">
        <f>IF(AND(ISNUMBER(Q1112),Q1112&gt;0,ISNUMBER(R1112),R1112&gt;0),R1112/Q1112,"")</f>
        <v>13.124768295012728</v>
      </c>
      <c r="T1112" s="9" t="s">
        <v>115</v>
      </c>
      <c r="U1112" s="9" t="s">
        <v>141</v>
      </c>
      <c r="V1112" s="9" t="s">
        <v>21</v>
      </c>
      <c r="W1112" s="9" t="s">
        <v>865</v>
      </c>
      <c r="X1112" s="23">
        <f>IF(ISNUMBER(S1112),S1112,IF(ISNUMBER(I1112),I1112,""))</f>
        <v>13.124768295012728</v>
      </c>
      <c r="Y1112" t="str">
        <f>IF(ISNUMBER(S1112),"2025 EIA-923 plant/group proxy",IF(ISNUMBER(I1112),"Technology estimate","No thermal heat rate"))</f>
        <v>2025 EIA-923 plant/group proxy</v>
      </c>
      <c r="Z1112" t="str">
        <f>IF(ISNUMBER(S1112),"Review: NOT unit verified",IF(AE1112="No match","No EIA match",IF(AF1112="Unconfirmed","Unconfirmed EIA candidate","")))</f>
        <v>Review: NOT unit verified</v>
      </c>
      <c r="AA1112" s="26">
        <v>0.65</v>
      </c>
      <c r="AB1112" t="s">
        <v>266</v>
      </c>
      <c r="AC1112" t="s">
        <v>1852</v>
      </c>
      <c r="AD1112" s="26">
        <v>825</v>
      </c>
      <c r="AE1112" t="s">
        <v>120</v>
      </c>
      <c r="AF1112" t="s">
        <v>145</v>
      </c>
      <c r="AG1112" s="27">
        <v>13.1248</v>
      </c>
      <c r="AH1112" s="34">
        <f t="shared" si="40"/>
        <v>173080.09999999989</v>
      </c>
      <c r="AI1112">
        <f t="shared" si="39"/>
        <v>108085.49189969974</v>
      </c>
      <c r="AJ1112" t="b" cm="1">
        <f t="array" ref="AJ1112">OR(D1112=$AT$2:$AT$8)</f>
        <v>0</v>
      </c>
    </row>
    <row r="1113" spans="1:36" x14ac:dyDescent="0.25">
      <c r="A1113" s="2" t="s">
        <v>1512</v>
      </c>
      <c r="B1113" s="3">
        <v>100.6</v>
      </c>
      <c r="C1113" s="2" t="s">
        <v>97</v>
      </c>
      <c r="D1113" s="2" t="s">
        <v>97</v>
      </c>
      <c r="E1113" s="2" t="s">
        <v>137</v>
      </c>
      <c r="F1113" s="4" t="s">
        <v>138</v>
      </c>
      <c r="G1113" s="4" t="s">
        <v>139</v>
      </c>
      <c r="H1113" s="5">
        <v>9</v>
      </c>
      <c r="I1113" s="5">
        <v>10.5</v>
      </c>
      <c r="J1113" s="5">
        <v>13</v>
      </c>
      <c r="K1113" s="4" t="s">
        <v>111</v>
      </c>
      <c r="L1113" s="4" t="s">
        <v>112</v>
      </c>
      <c r="M1113" s="6">
        <f>IF(OR(B1113="",I1113=""),"",B1113*I1113)</f>
        <v>1056.3</v>
      </c>
      <c r="N1113" s="25" t="s">
        <v>113</v>
      </c>
      <c r="O1113" s="26">
        <v>55109</v>
      </c>
      <c r="P1113" s="9" t="s">
        <v>1513</v>
      </c>
      <c r="Q1113" s="27">
        <v>33814.999000000003</v>
      </c>
      <c r="R1113" s="27">
        <v>447388</v>
      </c>
      <c r="S1113" s="23">
        <f>IF(AND(ISNUMBER(Q1113),Q1113&gt;0,ISNUMBER(R1113),R1113&gt;0),R1113/Q1113,"")</f>
        <v>13.23046024635399</v>
      </c>
      <c r="T1113" s="9" t="s">
        <v>115</v>
      </c>
      <c r="U1113" s="9" t="s">
        <v>141</v>
      </c>
      <c r="V1113" s="9" t="s">
        <v>21</v>
      </c>
      <c r="W1113" s="9" t="s">
        <v>528</v>
      </c>
      <c r="X1113" s="23">
        <f>IF(ISNUMBER(S1113),S1113,IF(ISNUMBER(I1113),I1113,""))</f>
        <v>13.23046024635399</v>
      </c>
      <c r="Y1113" t="str">
        <f>IF(ISNUMBER(S1113),"2025 EIA-923 plant/group proxy",IF(ISNUMBER(I1113),"Technology estimate","No thermal heat rate"))</f>
        <v>2025 EIA-923 plant/group proxy</v>
      </c>
      <c r="Z1113" t="str">
        <f>IF(ISNUMBER(S1113),"Review: NOT unit verified",IF(AE1113="No match","No EIA match",IF(AF1113="Unconfirmed","Unconfirmed EIA candidate","")))</f>
        <v>Review: NOT unit verified</v>
      </c>
      <c r="AA1113" s="26">
        <v>0.9</v>
      </c>
      <c r="AB1113" t="s">
        <v>166</v>
      </c>
      <c r="AC1113" t="s">
        <v>1514</v>
      </c>
      <c r="AD1113" s="26">
        <v>340.8</v>
      </c>
      <c r="AE1113" t="s">
        <v>120</v>
      </c>
      <c r="AF1113" t="s">
        <v>121</v>
      </c>
      <c r="AG1113" s="27">
        <v>13.230499999999999</v>
      </c>
      <c r="AH1113" s="34">
        <f t="shared" si="40"/>
        <v>173180.6999999999</v>
      </c>
      <c r="AI1113">
        <f t="shared" si="39"/>
        <v>108148.31483824155</v>
      </c>
      <c r="AJ1113" t="b" cm="1">
        <f t="array" ref="AJ1113">OR(D1113=$AT$2:$AT$8)</f>
        <v>0</v>
      </c>
    </row>
    <row r="1114" spans="1:36" x14ac:dyDescent="0.25">
      <c r="A1114" s="2" t="s">
        <v>1515</v>
      </c>
      <c r="B1114" s="3">
        <v>101.6</v>
      </c>
      <c r="C1114" s="2" t="s">
        <v>97</v>
      </c>
      <c r="D1114" s="2" t="s">
        <v>97</v>
      </c>
      <c r="E1114" s="2" t="s">
        <v>137</v>
      </c>
      <c r="F1114" s="4" t="s">
        <v>138</v>
      </c>
      <c r="G1114" s="4" t="s">
        <v>139</v>
      </c>
      <c r="H1114" s="5">
        <v>9</v>
      </c>
      <c r="I1114" s="5">
        <v>10.5</v>
      </c>
      <c r="J1114" s="5">
        <v>13</v>
      </c>
      <c r="K1114" s="4" t="s">
        <v>111</v>
      </c>
      <c r="L1114" s="4" t="s">
        <v>112</v>
      </c>
      <c r="M1114" s="6">
        <f>IF(OR(B1114="",I1114=""),"",B1114*I1114)</f>
        <v>1066.8</v>
      </c>
      <c r="N1114" s="25" t="s">
        <v>113</v>
      </c>
      <c r="O1114" s="26">
        <v>55109</v>
      </c>
      <c r="P1114" s="9" t="s">
        <v>1513</v>
      </c>
      <c r="Q1114" s="27">
        <v>33814.999000000003</v>
      </c>
      <c r="R1114" s="27">
        <v>447388</v>
      </c>
      <c r="S1114" s="23">
        <f>IF(AND(ISNUMBER(Q1114),Q1114&gt;0,ISNUMBER(R1114),R1114&gt;0),R1114/Q1114,"")</f>
        <v>13.23046024635399</v>
      </c>
      <c r="T1114" s="9" t="s">
        <v>115</v>
      </c>
      <c r="U1114" s="9" t="s">
        <v>141</v>
      </c>
      <c r="V1114" s="9" t="s">
        <v>21</v>
      </c>
      <c r="W1114" s="9" t="s">
        <v>528</v>
      </c>
      <c r="X1114" s="23">
        <f>IF(ISNUMBER(S1114),S1114,IF(ISNUMBER(I1114),I1114,""))</f>
        <v>13.23046024635399</v>
      </c>
      <c r="Y1114" t="str">
        <f>IF(ISNUMBER(S1114),"2025 EIA-923 plant/group proxy",IF(ISNUMBER(I1114),"Technology estimate","No thermal heat rate"))</f>
        <v>2025 EIA-923 plant/group proxy</v>
      </c>
      <c r="Z1114" t="str">
        <f>IF(ISNUMBER(S1114),"Review: NOT unit verified",IF(AE1114="No match","No EIA match",IF(AF1114="Unconfirmed","Unconfirmed EIA candidate","")))</f>
        <v>Review: NOT unit verified</v>
      </c>
      <c r="AA1114" s="26">
        <v>0.9</v>
      </c>
      <c r="AB1114" t="s">
        <v>166</v>
      </c>
      <c r="AC1114" t="s">
        <v>1514</v>
      </c>
      <c r="AD1114" s="26">
        <v>340.8</v>
      </c>
      <c r="AE1114" t="s">
        <v>120</v>
      </c>
      <c r="AF1114" t="s">
        <v>121</v>
      </c>
      <c r="AG1114" s="27">
        <v>13.230499999999999</v>
      </c>
      <c r="AH1114" s="34">
        <f t="shared" si="40"/>
        <v>173282.2999999999</v>
      </c>
      <c r="AI1114">
        <f t="shared" si="39"/>
        <v>108211.76225927385</v>
      </c>
      <c r="AJ1114" t="b" cm="1">
        <f t="array" ref="AJ1114">OR(D1114=$AT$2:$AT$8)</f>
        <v>0</v>
      </c>
    </row>
    <row r="1115" spans="1:36" x14ac:dyDescent="0.25">
      <c r="A1115" s="2" t="s">
        <v>1516</v>
      </c>
      <c r="B1115" s="3">
        <v>27.6</v>
      </c>
      <c r="C1115" s="2" t="s">
        <v>97</v>
      </c>
      <c r="D1115" s="2" t="s">
        <v>97</v>
      </c>
      <c r="E1115" s="2" t="s">
        <v>137</v>
      </c>
      <c r="F1115" s="4" t="s">
        <v>138</v>
      </c>
      <c r="G1115" s="4" t="s">
        <v>139</v>
      </c>
      <c r="H1115" s="5">
        <v>9</v>
      </c>
      <c r="I1115" s="5">
        <v>10.5</v>
      </c>
      <c r="J1115" s="5">
        <v>13</v>
      </c>
      <c r="K1115" s="4" t="s">
        <v>111</v>
      </c>
      <c r="L1115" s="4" t="s">
        <v>112</v>
      </c>
      <c r="M1115" s="6">
        <f>IF(OR(B1115="",I1115=""),"",B1115*I1115)</f>
        <v>289.8</v>
      </c>
      <c r="N1115" s="25" t="s">
        <v>113</v>
      </c>
      <c r="O1115" s="26">
        <v>55109</v>
      </c>
      <c r="P1115" s="9" t="s">
        <v>1513</v>
      </c>
      <c r="Q1115" s="27">
        <v>33814.999000000003</v>
      </c>
      <c r="R1115" s="27">
        <v>447388</v>
      </c>
      <c r="S1115" s="23">
        <f>IF(AND(ISNUMBER(Q1115),Q1115&gt;0,ISNUMBER(R1115),R1115&gt;0),R1115/Q1115,"")</f>
        <v>13.23046024635399</v>
      </c>
      <c r="T1115" s="9" t="s">
        <v>115</v>
      </c>
      <c r="U1115" s="9" t="s">
        <v>141</v>
      </c>
      <c r="V1115" s="9" t="s">
        <v>21</v>
      </c>
      <c r="W1115" s="9" t="s">
        <v>528</v>
      </c>
      <c r="X1115" s="23">
        <f>IF(ISNUMBER(S1115),S1115,IF(ISNUMBER(I1115),I1115,""))</f>
        <v>13.23046024635399</v>
      </c>
      <c r="Y1115" t="str">
        <f>IF(ISNUMBER(S1115),"2025 EIA-923 plant/group proxy",IF(ISNUMBER(I1115),"Technology estimate","No thermal heat rate"))</f>
        <v>2025 EIA-923 plant/group proxy</v>
      </c>
      <c r="Z1115" t="str">
        <f>IF(ISNUMBER(S1115),"Review: NOT unit verified",IF(AE1115="No match","No EIA match",IF(AF1115="Unconfirmed","Unconfirmed EIA candidate","")))</f>
        <v>Review: NOT unit verified</v>
      </c>
      <c r="AA1115" s="26">
        <v>0.9</v>
      </c>
      <c r="AB1115" t="s">
        <v>166</v>
      </c>
      <c r="AC1115" t="s">
        <v>1514</v>
      </c>
      <c r="AD1115" s="26">
        <v>340.8</v>
      </c>
      <c r="AE1115" t="s">
        <v>120</v>
      </c>
      <c r="AF1115" t="s">
        <v>121</v>
      </c>
      <c r="AG1115" s="27">
        <v>13.230499999999999</v>
      </c>
      <c r="AH1115" s="34">
        <f t="shared" si="40"/>
        <v>173309.89999999991</v>
      </c>
      <c r="AI1115">
        <f t="shared" si="39"/>
        <v>108228.99797601096</v>
      </c>
      <c r="AJ1115" t="b" cm="1">
        <f t="array" ref="AJ1115">OR(D1115=$AT$2:$AT$8)</f>
        <v>0</v>
      </c>
    </row>
    <row r="1116" spans="1:36" x14ac:dyDescent="0.25">
      <c r="A1116" s="2" t="s">
        <v>1517</v>
      </c>
      <c r="B1116" s="3">
        <v>104</v>
      </c>
      <c r="C1116" s="2" t="s">
        <v>97</v>
      </c>
      <c r="D1116" s="2" t="s">
        <v>97</v>
      </c>
      <c r="E1116" s="2" t="s">
        <v>137</v>
      </c>
      <c r="F1116" s="4" t="s">
        <v>138</v>
      </c>
      <c r="G1116" s="4" t="s">
        <v>139</v>
      </c>
      <c r="H1116" s="5">
        <v>9</v>
      </c>
      <c r="I1116" s="5">
        <v>10.5</v>
      </c>
      <c r="J1116" s="5">
        <v>13</v>
      </c>
      <c r="K1116" s="4" t="s">
        <v>111</v>
      </c>
      <c r="L1116" s="4" t="s">
        <v>112</v>
      </c>
      <c r="M1116" s="6">
        <f>IF(OR(B1116="",I1116=""),"",B1116*I1116)</f>
        <v>1092</v>
      </c>
      <c r="N1116" s="25" t="s">
        <v>113</v>
      </c>
      <c r="O1116" s="26">
        <v>55109</v>
      </c>
      <c r="P1116" s="9" t="s">
        <v>1513</v>
      </c>
      <c r="Q1116" s="27">
        <v>33814.999000000003</v>
      </c>
      <c r="R1116" s="27">
        <v>447388</v>
      </c>
      <c r="S1116" s="23">
        <f>IF(AND(ISNUMBER(Q1116),Q1116&gt;0,ISNUMBER(R1116),R1116&gt;0),R1116/Q1116,"")</f>
        <v>13.23046024635399</v>
      </c>
      <c r="T1116" s="9" t="s">
        <v>115</v>
      </c>
      <c r="U1116" s="9" t="s">
        <v>141</v>
      </c>
      <c r="V1116" s="9" t="s">
        <v>21</v>
      </c>
      <c r="W1116" s="9" t="s">
        <v>528</v>
      </c>
      <c r="X1116" s="23">
        <f>IF(ISNUMBER(S1116),S1116,IF(ISNUMBER(I1116),I1116,""))</f>
        <v>13.23046024635399</v>
      </c>
      <c r="Y1116" t="str">
        <f>IF(ISNUMBER(S1116),"2025 EIA-923 plant/group proxy",IF(ISNUMBER(I1116),"Technology estimate","No thermal heat rate"))</f>
        <v>2025 EIA-923 plant/group proxy</v>
      </c>
      <c r="Z1116" t="str">
        <f>IF(ISNUMBER(S1116),"Review: NOT unit verified",IF(AE1116="No match","No EIA match",IF(AF1116="Unconfirmed","Unconfirmed EIA candidate","")))</f>
        <v>Review: NOT unit verified</v>
      </c>
      <c r="AA1116" s="26">
        <v>0.9</v>
      </c>
      <c r="AB1116" t="s">
        <v>166</v>
      </c>
      <c r="AC1116" t="s">
        <v>1514</v>
      </c>
      <c r="AD1116" s="26">
        <v>340.8</v>
      </c>
      <c r="AE1116" t="s">
        <v>120</v>
      </c>
      <c r="AF1116" t="s">
        <v>121</v>
      </c>
      <c r="AG1116" s="27">
        <v>13.230499999999999</v>
      </c>
      <c r="AH1116" s="34">
        <f t="shared" si="40"/>
        <v>173413.89999999991</v>
      </c>
      <c r="AI1116">
        <f t="shared" si="39"/>
        <v>108293.94415502038</v>
      </c>
      <c r="AJ1116" t="b" cm="1">
        <f t="array" ref="AJ1116">OR(D1116=$AT$2:$AT$8)</f>
        <v>0</v>
      </c>
    </row>
    <row r="1117" spans="1:36" x14ac:dyDescent="0.25">
      <c r="A1117" s="2" t="s">
        <v>692</v>
      </c>
      <c r="B1117" s="3">
        <v>150</v>
      </c>
      <c r="C1117" s="2" t="s">
        <v>97</v>
      </c>
      <c r="D1117" s="2" t="s">
        <v>97</v>
      </c>
      <c r="E1117" s="2" t="s">
        <v>137</v>
      </c>
      <c r="F1117" s="4" t="s">
        <v>138</v>
      </c>
      <c r="G1117" s="4" t="s">
        <v>139</v>
      </c>
      <c r="H1117" s="5">
        <v>9</v>
      </c>
      <c r="I1117" s="5">
        <v>10.5</v>
      </c>
      <c r="J1117" s="5">
        <v>13</v>
      </c>
      <c r="K1117" s="4" t="s">
        <v>111</v>
      </c>
      <c r="L1117" s="4" t="s">
        <v>112</v>
      </c>
      <c r="M1117" s="6">
        <f>IF(OR(B1117="",I1117=""),"",B1117*I1117)</f>
        <v>1575</v>
      </c>
      <c r="N1117" s="25" t="s">
        <v>113</v>
      </c>
      <c r="O1117" s="26">
        <v>55199</v>
      </c>
      <c r="P1117" s="9" t="s">
        <v>693</v>
      </c>
      <c r="Q1117" s="27">
        <v>191685</v>
      </c>
      <c r="R1117" s="27">
        <v>2542216</v>
      </c>
      <c r="S1117" s="23">
        <f>IF(AND(ISNUMBER(Q1117),Q1117&gt;0,ISNUMBER(R1117),R1117&gt;0),R1117/Q1117,"")</f>
        <v>13.262467068367373</v>
      </c>
      <c r="T1117" s="9" t="s">
        <v>115</v>
      </c>
      <c r="U1117" s="9" t="s">
        <v>141</v>
      </c>
      <c r="V1117" s="9" t="s">
        <v>21</v>
      </c>
      <c r="W1117" s="9" t="s">
        <v>694</v>
      </c>
      <c r="X1117" s="23">
        <f>IF(ISNUMBER(S1117),S1117,IF(ISNUMBER(I1117),I1117,""))</f>
        <v>13.262467068367373</v>
      </c>
      <c r="Y1117" t="str">
        <f>IF(ISNUMBER(S1117),"2025 EIA-923 plant/group proxy",IF(ISNUMBER(I1117),"Technology estimate","No thermal heat rate"))</f>
        <v>2025 EIA-923 plant/group proxy</v>
      </c>
      <c r="Z1117" t="str">
        <f>IF(ISNUMBER(S1117),"Review: NOT unit verified",IF(AE1117="No match","No EIA match",IF(AF1117="Unconfirmed","Unconfirmed EIA candidate","")))</f>
        <v>Review: NOT unit verified</v>
      </c>
      <c r="AA1117" s="26">
        <v>1</v>
      </c>
      <c r="AB1117" t="s">
        <v>166</v>
      </c>
      <c r="AC1117" t="s">
        <v>695</v>
      </c>
      <c r="AD1117" s="26">
        <v>450</v>
      </c>
      <c r="AE1117" t="s">
        <v>120</v>
      </c>
      <c r="AF1117" t="s">
        <v>121</v>
      </c>
      <c r="AG1117" s="27">
        <v>13.262499999999999</v>
      </c>
      <c r="AH1117" s="34">
        <f t="shared" si="40"/>
        <v>173563.89999999991</v>
      </c>
      <c r="AI1117">
        <f t="shared" si="39"/>
        <v>108387.61652859166</v>
      </c>
      <c r="AJ1117" t="b" cm="1">
        <f t="array" ref="AJ1117">OR(D1117=$AT$2:$AT$8)</f>
        <v>0</v>
      </c>
    </row>
    <row r="1118" spans="1:36" x14ac:dyDescent="0.25">
      <c r="A1118" s="2" t="s">
        <v>696</v>
      </c>
      <c r="B1118" s="3">
        <v>150</v>
      </c>
      <c r="C1118" s="2" t="s">
        <v>97</v>
      </c>
      <c r="D1118" s="2" t="s">
        <v>97</v>
      </c>
      <c r="E1118" s="2" t="s">
        <v>137</v>
      </c>
      <c r="F1118" s="4" t="s">
        <v>138</v>
      </c>
      <c r="G1118" s="4" t="s">
        <v>139</v>
      </c>
      <c r="H1118" s="5">
        <v>9</v>
      </c>
      <c r="I1118" s="5">
        <v>10.5</v>
      </c>
      <c r="J1118" s="5">
        <v>13</v>
      </c>
      <c r="K1118" s="4" t="s">
        <v>111</v>
      </c>
      <c r="L1118" s="4" t="s">
        <v>112</v>
      </c>
      <c r="M1118" s="6">
        <f>IF(OR(B1118="",I1118=""),"",B1118*I1118)</f>
        <v>1575</v>
      </c>
      <c r="N1118" s="25" t="s">
        <v>113</v>
      </c>
      <c r="O1118" s="26">
        <v>55199</v>
      </c>
      <c r="P1118" s="9" t="s">
        <v>693</v>
      </c>
      <c r="Q1118" s="27">
        <v>191685</v>
      </c>
      <c r="R1118" s="27">
        <v>2542216</v>
      </c>
      <c r="S1118" s="23">
        <f>IF(AND(ISNUMBER(Q1118),Q1118&gt;0,ISNUMBER(R1118),R1118&gt;0),R1118/Q1118,"")</f>
        <v>13.262467068367373</v>
      </c>
      <c r="T1118" s="9" t="s">
        <v>115</v>
      </c>
      <c r="U1118" s="9" t="s">
        <v>141</v>
      </c>
      <c r="V1118" s="9" t="s">
        <v>21</v>
      </c>
      <c r="W1118" s="9" t="s">
        <v>694</v>
      </c>
      <c r="X1118" s="23">
        <f>IF(ISNUMBER(S1118),S1118,IF(ISNUMBER(I1118),I1118,""))</f>
        <v>13.262467068367373</v>
      </c>
      <c r="Y1118" t="str">
        <f>IF(ISNUMBER(S1118),"2025 EIA-923 plant/group proxy",IF(ISNUMBER(I1118),"Technology estimate","No thermal heat rate"))</f>
        <v>2025 EIA-923 plant/group proxy</v>
      </c>
      <c r="Z1118" t="str">
        <f>IF(ISNUMBER(S1118),"Review: NOT unit verified",IF(AE1118="No match","No EIA match",IF(AF1118="Unconfirmed","Unconfirmed EIA candidate","")))</f>
        <v>Review: NOT unit verified</v>
      </c>
      <c r="AA1118" s="26">
        <v>1</v>
      </c>
      <c r="AB1118" t="s">
        <v>166</v>
      </c>
      <c r="AC1118" t="s">
        <v>695</v>
      </c>
      <c r="AD1118" s="26">
        <v>450</v>
      </c>
      <c r="AE1118" t="s">
        <v>120</v>
      </c>
      <c r="AF1118" t="s">
        <v>121</v>
      </c>
      <c r="AG1118" s="27">
        <v>13.262499999999999</v>
      </c>
      <c r="AH1118" s="34">
        <f t="shared" si="40"/>
        <v>173713.89999999991</v>
      </c>
      <c r="AI1118">
        <f t="shared" si="39"/>
        <v>108481.28890216295</v>
      </c>
      <c r="AJ1118" t="b" cm="1">
        <f t="array" ref="AJ1118">OR(D1118=$AT$2:$AT$8)</f>
        <v>0</v>
      </c>
    </row>
    <row r="1119" spans="1:36" x14ac:dyDescent="0.25">
      <c r="A1119" s="2" t="s">
        <v>697</v>
      </c>
      <c r="B1119" s="3">
        <v>150</v>
      </c>
      <c r="C1119" s="2" t="s">
        <v>97</v>
      </c>
      <c r="D1119" s="2" t="s">
        <v>97</v>
      </c>
      <c r="E1119" s="2" t="s">
        <v>137</v>
      </c>
      <c r="F1119" s="4" t="s">
        <v>138</v>
      </c>
      <c r="G1119" s="4" t="s">
        <v>139</v>
      </c>
      <c r="H1119" s="5">
        <v>9</v>
      </c>
      <c r="I1119" s="5">
        <v>10.5</v>
      </c>
      <c r="J1119" s="5">
        <v>13</v>
      </c>
      <c r="K1119" s="4" t="s">
        <v>111</v>
      </c>
      <c r="L1119" s="4" t="s">
        <v>112</v>
      </c>
      <c r="M1119" s="6">
        <f>IF(OR(B1119="",I1119=""),"",B1119*I1119)</f>
        <v>1575</v>
      </c>
      <c r="N1119" s="25" t="s">
        <v>113</v>
      </c>
      <c r="O1119" s="26">
        <v>55199</v>
      </c>
      <c r="P1119" s="9" t="s">
        <v>693</v>
      </c>
      <c r="Q1119" s="27">
        <v>191685</v>
      </c>
      <c r="R1119" s="27">
        <v>2542216</v>
      </c>
      <c r="S1119" s="23">
        <f>IF(AND(ISNUMBER(Q1119),Q1119&gt;0,ISNUMBER(R1119),R1119&gt;0),R1119/Q1119,"")</f>
        <v>13.262467068367373</v>
      </c>
      <c r="T1119" s="9" t="s">
        <v>115</v>
      </c>
      <c r="U1119" s="9" t="s">
        <v>141</v>
      </c>
      <c r="V1119" s="9" t="s">
        <v>21</v>
      </c>
      <c r="W1119" s="9" t="s">
        <v>694</v>
      </c>
      <c r="X1119" s="23">
        <f>IF(ISNUMBER(S1119),S1119,IF(ISNUMBER(I1119),I1119,""))</f>
        <v>13.262467068367373</v>
      </c>
      <c r="Y1119" t="str">
        <f>IF(ISNUMBER(S1119),"2025 EIA-923 plant/group proxy",IF(ISNUMBER(I1119),"Technology estimate","No thermal heat rate"))</f>
        <v>2025 EIA-923 plant/group proxy</v>
      </c>
      <c r="Z1119" t="str">
        <f>IF(ISNUMBER(S1119),"Review: NOT unit verified",IF(AE1119="No match","No EIA match",IF(AF1119="Unconfirmed","Unconfirmed EIA candidate","")))</f>
        <v>Review: NOT unit verified</v>
      </c>
      <c r="AA1119" s="26">
        <v>1</v>
      </c>
      <c r="AB1119" t="s">
        <v>166</v>
      </c>
      <c r="AC1119" t="s">
        <v>695</v>
      </c>
      <c r="AD1119" s="26">
        <v>450</v>
      </c>
      <c r="AE1119" t="s">
        <v>120</v>
      </c>
      <c r="AF1119" t="s">
        <v>121</v>
      </c>
      <c r="AG1119" s="27">
        <v>13.262499999999999</v>
      </c>
      <c r="AH1119" s="34">
        <f t="shared" si="40"/>
        <v>173863.89999999991</v>
      </c>
      <c r="AI1119">
        <f t="shared" si="39"/>
        <v>108574.96127573423</v>
      </c>
      <c r="AJ1119" t="b" cm="1">
        <f t="array" ref="AJ1119">OR(D1119=$AT$2:$AT$8)</f>
        <v>0</v>
      </c>
    </row>
    <row r="1120" spans="1:36" x14ac:dyDescent="0.25">
      <c r="A1120" s="2" t="s">
        <v>698</v>
      </c>
      <c r="B1120" s="3">
        <v>150</v>
      </c>
      <c r="C1120" s="2" t="s">
        <v>97</v>
      </c>
      <c r="D1120" s="2" t="s">
        <v>97</v>
      </c>
      <c r="E1120" s="2" t="s">
        <v>137</v>
      </c>
      <c r="F1120" s="4" t="s">
        <v>138</v>
      </c>
      <c r="G1120" s="4" t="s">
        <v>139</v>
      </c>
      <c r="H1120" s="5">
        <v>9</v>
      </c>
      <c r="I1120" s="5">
        <v>10.5</v>
      </c>
      <c r="J1120" s="5">
        <v>13</v>
      </c>
      <c r="K1120" s="4" t="s">
        <v>111</v>
      </c>
      <c r="L1120" s="4" t="s">
        <v>112</v>
      </c>
      <c r="M1120" s="6">
        <f>IF(OR(B1120="",I1120=""),"",B1120*I1120)</f>
        <v>1575</v>
      </c>
      <c r="N1120" s="25" t="s">
        <v>113</v>
      </c>
      <c r="O1120" s="26">
        <v>55199</v>
      </c>
      <c r="P1120" s="9" t="s">
        <v>693</v>
      </c>
      <c r="Q1120" s="27">
        <v>191685</v>
      </c>
      <c r="R1120" s="27">
        <v>2542216</v>
      </c>
      <c r="S1120" s="23">
        <f>IF(AND(ISNUMBER(Q1120),Q1120&gt;0,ISNUMBER(R1120),R1120&gt;0),R1120/Q1120,"")</f>
        <v>13.262467068367373</v>
      </c>
      <c r="T1120" s="9" t="s">
        <v>115</v>
      </c>
      <c r="U1120" s="9" t="s">
        <v>141</v>
      </c>
      <c r="V1120" s="9" t="s">
        <v>21</v>
      </c>
      <c r="W1120" s="9" t="s">
        <v>694</v>
      </c>
      <c r="X1120" s="23">
        <f>IF(ISNUMBER(S1120),S1120,IF(ISNUMBER(I1120),I1120,""))</f>
        <v>13.262467068367373</v>
      </c>
      <c r="Y1120" t="str">
        <f>IF(ISNUMBER(S1120),"2025 EIA-923 plant/group proxy",IF(ISNUMBER(I1120),"Technology estimate","No thermal heat rate"))</f>
        <v>2025 EIA-923 plant/group proxy</v>
      </c>
      <c r="Z1120" t="str">
        <f>IF(ISNUMBER(S1120),"Review: NOT unit verified",IF(AE1120="No match","No EIA match",IF(AF1120="Unconfirmed","Unconfirmed EIA candidate","")))</f>
        <v>Review: NOT unit verified</v>
      </c>
      <c r="AA1120" s="26">
        <v>1</v>
      </c>
      <c r="AB1120" t="s">
        <v>166</v>
      </c>
      <c r="AC1120" t="s">
        <v>695</v>
      </c>
      <c r="AD1120" s="26">
        <v>450</v>
      </c>
      <c r="AE1120" t="s">
        <v>120</v>
      </c>
      <c r="AF1120" t="s">
        <v>121</v>
      </c>
      <c r="AG1120" s="27">
        <v>13.262499999999999</v>
      </c>
      <c r="AH1120" s="34">
        <f t="shared" si="40"/>
        <v>174013.89999999991</v>
      </c>
      <c r="AI1120">
        <f t="shared" si="39"/>
        <v>108668.63364930551</v>
      </c>
      <c r="AJ1120" t="b" cm="1">
        <f t="array" ref="AJ1120">OR(D1120=$AT$2:$AT$8)</f>
        <v>0</v>
      </c>
    </row>
    <row r="1121" spans="1:36" x14ac:dyDescent="0.25">
      <c r="A1121" s="2" t="s">
        <v>699</v>
      </c>
      <c r="B1121" s="3">
        <v>150</v>
      </c>
      <c r="C1121" s="2" t="s">
        <v>97</v>
      </c>
      <c r="D1121" s="2" t="s">
        <v>97</v>
      </c>
      <c r="E1121" s="2" t="s">
        <v>137</v>
      </c>
      <c r="F1121" s="4" t="s">
        <v>138</v>
      </c>
      <c r="G1121" s="4" t="s">
        <v>139</v>
      </c>
      <c r="H1121" s="5">
        <v>9</v>
      </c>
      <c r="I1121" s="5">
        <v>10.5</v>
      </c>
      <c r="J1121" s="5">
        <v>13</v>
      </c>
      <c r="K1121" s="4" t="s">
        <v>111</v>
      </c>
      <c r="L1121" s="4" t="s">
        <v>112</v>
      </c>
      <c r="M1121" s="6">
        <f>IF(OR(B1121="",I1121=""),"",B1121*I1121)</f>
        <v>1575</v>
      </c>
      <c r="N1121" s="25" t="s">
        <v>113</v>
      </c>
      <c r="O1121" s="26">
        <v>55199</v>
      </c>
      <c r="P1121" s="9" t="s">
        <v>693</v>
      </c>
      <c r="Q1121" s="27">
        <v>191685</v>
      </c>
      <c r="R1121" s="27">
        <v>2542216</v>
      </c>
      <c r="S1121" s="23">
        <f>IF(AND(ISNUMBER(Q1121),Q1121&gt;0,ISNUMBER(R1121),R1121&gt;0),R1121/Q1121,"")</f>
        <v>13.262467068367373</v>
      </c>
      <c r="T1121" s="9" t="s">
        <v>115</v>
      </c>
      <c r="U1121" s="9" t="s">
        <v>141</v>
      </c>
      <c r="V1121" s="9" t="s">
        <v>21</v>
      </c>
      <c r="W1121" s="9" t="s">
        <v>694</v>
      </c>
      <c r="X1121" s="23">
        <f>IF(ISNUMBER(S1121),S1121,IF(ISNUMBER(I1121),I1121,""))</f>
        <v>13.262467068367373</v>
      </c>
      <c r="Y1121" t="str">
        <f>IF(ISNUMBER(S1121),"2025 EIA-923 plant/group proxy",IF(ISNUMBER(I1121),"Technology estimate","No thermal heat rate"))</f>
        <v>2025 EIA-923 plant/group proxy</v>
      </c>
      <c r="Z1121" t="str">
        <f>IF(ISNUMBER(S1121),"Review: NOT unit verified",IF(AE1121="No match","No EIA match",IF(AF1121="Unconfirmed","Unconfirmed EIA candidate","")))</f>
        <v>Review: NOT unit verified</v>
      </c>
      <c r="AA1121" s="26">
        <v>1</v>
      </c>
      <c r="AB1121" t="s">
        <v>166</v>
      </c>
      <c r="AC1121" t="s">
        <v>695</v>
      </c>
      <c r="AD1121" s="26">
        <v>450</v>
      </c>
      <c r="AE1121" t="s">
        <v>120</v>
      </c>
      <c r="AF1121" t="s">
        <v>121</v>
      </c>
      <c r="AG1121" s="27">
        <v>13.262499999999999</v>
      </c>
      <c r="AH1121" s="34">
        <f t="shared" si="40"/>
        <v>174163.89999999991</v>
      </c>
      <c r="AI1121">
        <f t="shared" si="39"/>
        <v>108762.3060228768</v>
      </c>
      <c r="AJ1121" t="b" cm="1">
        <f t="array" ref="AJ1121">OR(D1121=$AT$2:$AT$8)</f>
        <v>0</v>
      </c>
    </row>
    <row r="1122" spans="1:36" x14ac:dyDescent="0.25">
      <c r="A1122" s="2" t="s">
        <v>700</v>
      </c>
      <c r="B1122" s="3">
        <v>150</v>
      </c>
      <c r="C1122" s="2" t="s">
        <v>97</v>
      </c>
      <c r="D1122" s="2" t="s">
        <v>97</v>
      </c>
      <c r="E1122" s="2" t="s">
        <v>137</v>
      </c>
      <c r="F1122" s="4" t="s">
        <v>138</v>
      </c>
      <c r="G1122" s="4" t="s">
        <v>139</v>
      </c>
      <c r="H1122" s="5">
        <v>9</v>
      </c>
      <c r="I1122" s="5">
        <v>10.5</v>
      </c>
      <c r="J1122" s="5">
        <v>13</v>
      </c>
      <c r="K1122" s="4" t="s">
        <v>111</v>
      </c>
      <c r="L1122" s="4" t="s">
        <v>112</v>
      </c>
      <c r="M1122" s="6">
        <f>IF(OR(B1122="",I1122=""),"",B1122*I1122)</f>
        <v>1575</v>
      </c>
      <c r="N1122" s="25" t="s">
        <v>113</v>
      </c>
      <c r="O1122" s="26">
        <v>55199</v>
      </c>
      <c r="P1122" s="9" t="s">
        <v>693</v>
      </c>
      <c r="Q1122" s="27">
        <v>191685</v>
      </c>
      <c r="R1122" s="27">
        <v>2542216</v>
      </c>
      <c r="S1122" s="23">
        <f>IF(AND(ISNUMBER(Q1122),Q1122&gt;0,ISNUMBER(R1122),R1122&gt;0),R1122/Q1122,"")</f>
        <v>13.262467068367373</v>
      </c>
      <c r="T1122" s="9" t="s">
        <v>115</v>
      </c>
      <c r="U1122" s="9" t="s">
        <v>141</v>
      </c>
      <c r="V1122" s="9" t="s">
        <v>21</v>
      </c>
      <c r="W1122" s="9" t="s">
        <v>694</v>
      </c>
      <c r="X1122" s="23">
        <f>IF(ISNUMBER(S1122),S1122,IF(ISNUMBER(I1122),I1122,""))</f>
        <v>13.262467068367373</v>
      </c>
      <c r="Y1122" t="str">
        <f>IF(ISNUMBER(S1122),"2025 EIA-923 plant/group proxy",IF(ISNUMBER(I1122),"Technology estimate","No thermal heat rate"))</f>
        <v>2025 EIA-923 plant/group proxy</v>
      </c>
      <c r="Z1122" t="str">
        <f>IF(ISNUMBER(S1122),"Review: NOT unit verified",IF(AE1122="No match","No EIA match",IF(AF1122="Unconfirmed","Unconfirmed EIA candidate","")))</f>
        <v>Review: NOT unit verified</v>
      </c>
      <c r="AA1122" s="26">
        <v>1</v>
      </c>
      <c r="AB1122" t="s">
        <v>166</v>
      </c>
      <c r="AC1122" t="s">
        <v>695</v>
      </c>
      <c r="AD1122" s="26">
        <v>450</v>
      </c>
      <c r="AE1122" t="s">
        <v>120</v>
      </c>
      <c r="AF1122" t="s">
        <v>121</v>
      </c>
      <c r="AG1122" s="27">
        <v>13.262499999999999</v>
      </c>
      <c r="AH1122" s="34">
        <f t="shared" si="40"/>
        <v>174313.89999999991</v>
      </c>
      <c r="AI1122">
        <f t="shared" si="39"/>
        <v>108855.97839644807</v>
      </c>
      <c r="AJ1122" t="b" cm="1">
        <f t="array" ref="AJ1122">OR(D1122=$AT$2:$AT$8)</f>
        <v>0</v>
      </c>
    </row>
    <row r="1123" spans="1:36" x14ac:dyDescent="0.25">
      <c r="A1123" s="2" t="s">
        <v>701</v>
      </c>
      <c r="B1123" s="3">
        <v>150</v>
      </c>
      <c r="C1123" s="2" t="s">
        <v>97</v>
      </c>
      <c r="D1123" s="2" t="s">
        <v>97</v>
      </c>
      <c r="E1123" s="2" t="s">
        <v>137</v>
      </c>
      <c r="F1123" s="4" t="s">
        <v>138</v>
      </c>
      <c r="G1123" s="4" t="s">
        <v>139</v>
      </c>
      <c r="H1123" s="5">
        <v>9</v>
      </c>
      <c r="I1123" s="5">
        <v>10.5</v>
      </c>
      <c r="J1123" s="5">
        <v>13</v>
      </c>
      <c r="K1123" s="4" t="s">
        <v>111</v>
      </c>
      <c r="L1123" s="4" t="s">
        <v>112</v>
      </c>
      <c r="M1123" s="6">
        <f>IF(OR(B1123="",I1123=""),"",B1123*I1123)</f>
        <v>1575</v>
      </c>
      <c r="N1123" s="25" t="s">
        <v>113</v>
      </c>
      <c r="O1123" s="26">
        <v>55199</v>
      </c>
      <c r="P1123" s="9" t="s">
        <v>693</v>
      </c>
      <c r="Q1123" s="27">
        <v>191685</v>
      </c>
      <c r="R1123" s="27">
        <v>2542216</v>
      </c>
      <c r="S1123" s="23">
        <f>IF(AND(ISNUMBER(Q1123),Q1123&gt;0,ISNUMBER(R1123),R1123&gt;0),R1123/Q1123,"")</f>
        <v>13.262467068367373</v>
      </c>
      <c r="T1123" s="9" t="s">
        <v>115</v>
      </c>
      <c r="U1123" s="9" t="s">
        <v>141</v>
      </c>
      <c r="V1123" s="9" t="s">
        <v>21</v>
      </c>
      <c r="W1123" s="9" t="s">
        <v>694</v>
      </c>
      <c r="X1123" s="23">
        <f>IF(ISNUMBER(S1123),S1123,IF(ISNUMBER(I1123),I1123,""))</f>
        <v>13.262467068367373</v>
      </c>
      <c r="Y1123" t="str">
        <f>IF(ISNUMBER(S1123),"2025 EIA-923 plant/group proxy",IF(ISNUMBER(I1123),"Technology estimate","No thermal heat rate"))</f>
        <v>2025 EIA-923 plant/group proxy</v>
      </c>
      <c r="Z1123" t="str">
        <f>IF(ISNUMBER(S1123),"Review: NOT unit verified",IF(AE1123="No match","No EIA match",IF(AF1123="Unconfirmed","Unconfirmed EIA candidate","")))</f>
        <v>Review: NOT unit verified</v>
      </c>
      <c r="AA1123" s="26">
        <v>1</v>
      </c>
      <c r="AB1123" t="s">
        <v>166</v>
      </c>
      <c r="AC1123" t="s">
        <v>695</v>
      </c>
      <c r="AD1123" s="26">
        <v>450</v>
      </c>
      <c r="AE1123" t="s">
        <v>120</v>
      </c>
      <c r="AF1123" t="s">
        <v>121</v>
      </c>
      <c r="AG1123" s="27">
        <v>13.262499999999999</v>
      </c>
      <c r="AH1123" s="34">
        <f t="shared" si="40"/>
        <v>174463.89999999991</v>
      </c>
      <c r="AI1123">
        <f t="shared" si="39"/>
        <v>108949.65077001936</v>
      </c>
      <c r="AJ1123" t="b" cm="1">
        <f t="array" ref="AJ1123">OR(D1123=$AT$2:$AT$8)</f>
        <v>0</v>
      </c>
    </row>
    <row r="1124" spans="1:36" x14ac:dyDescent="0.25">
      <c r="A1124" s="2" t="s">
        <v>834</v>
      </c>
      <c r="B1124" s="3">
        <v>85</v>
      </c>
      <c r="C1124" s="2" t="s">
        <v>78</v>
      </c>
      <c r="D1124" s="2" t="s">
        <v>78</v>
      </c>
      <c r="E1124" s="2" t="s">
        <v>125</v>
      </c>
      <c r="F1124" s="4" t="s">
        <v>126</v>
      </c>
      <c r="G1124" s="4" t="s">
        <v>127</v>
      </c>
      <c r="H1124" s="5">
        <v>9.1999999999999993</v>
      </c>
      <c r="I1124" s="5">
        <v>10.8</v>
      </c>
      <c r="J1124" s="5">
        <v>13.5</v>
      </c>
      <c r="K1124" s="4" t="s">
        <v>111</v>
      </c>
      <c r="L1124" s="4" t="s">
        <v>128</v>
      </c>
      <c r="M1124" s="6">
        <f>IF(OR(B1124="",I1124=""),"",B1124*I1124)</f>
        <v>918.00000000000011</v>
      </c>
      <c r="N1124" s="28" t="s">
        <v>113</v>
      </c>
      <c r="O1124" s="26">
        <v>7032</v>
      </c>
      <c r="P1124" s="9" t="s">
        <v>835</v>
      </c>
      <c r="Q1124" s="27">
        <v>119980</v>
      </c>
      <c r="R1124" s="27">
        <v>1598203</v>
      </c>
      <c r="S1124" s="23">
        <f>IF(AND(ISNUMBER(Q1124),Q1124&gt;0,ISNUMBER(R1124),R1124&gt;0),R1124/Q1124,"")</f>
        <v>13.320578429738291</v>
      </c>
      <c r="T1124" s="9" t="s">
        <v>115</v>
      </c>
      <c r="U1124" s="9" t="s">
        <v>130</v>
      </c>
      <c r="V1124" s="9" t="s">
        <v>21</v>
      </c>
      <c r="W1124" s="9" t="s">
        <v>332</v>
      </c>
      <c r="X1124" s="23">
        <f>IF(ISNUMBER(S1124),S1124,IF(ISNUMBER(I1124),I1124,""))</f>
        <v>13.320578429738291</v>
      </c>
      <c r="Y1124" t="str">
        <f>IF(ISNUMBER(S1124),"2025 EIA-923 plant/group proxy",IF(ISNUMBER(I1124),"Technology estimate","No thermal heat rate"))</f>
        <v>2025 EIA-923 plant/group proxy</v>
      </c>
      <c r="Z1124" t="str">
        <f>IF(ISNUMBER(S1124),"Review: NOT unit verified",IF(AE1124="No match","No EIA match",IF(AF1124="Unconfirmed","Unconfirmed EIA candidate","")))</f>
        <v>Review: NOT unit verified</v>
      </c>
      <c r="AA1124" s="26">
        <v>0.76900000000000002</v>
      </c>
      <c r="AB1124" t="s">
        <v>201</v>
      </c>
      <c r="AC1124" t="s">
        <v>459</v>
      </c>
      <c r="AD1124" s="26">
        <v>368</v>
      </c>
      <c r="AE1124" t="s">
        <v>120</v>
      </c>
      <c r="AF1124" t="s">
        <v>145</v>
      </c>
      <c r="AG1124" s="27">
        <v>13.320600000000001</v>
      </c>
      <c r="AH1124" s="34">
        <f t="shared" si="40"/>
        <v>174548.89999999991</v>
      </c>
      <c r="AI1124">
        <f t="shared" si="39"/>
        <v>109002.73178170975</v>
      </c>
      <c r="AJ1124" t="b" cm="1">
        <f t="array" ref="AJ1124">OR(D1124=$AT$2:$AT$8)</f>
        <v>1</v>
      </c>
    </row>
    <row r="1125" spans="1:36" x14ac:dyDescent="0.25">
      <c r="A1125" s="2" t="s">
        <v>836</v>
      </c>
      <c r="B1125" s="3">
        <v>85</v>
      </c>
      <c r="C1125" s="2" t="s">
        <v>78</v>
      </c>
      <c r="D1125" s="2" t="s">
        <v>78</v>
      </c>
      <c r="E1125" s="2" t="s">
        <v>125</v>
      </c>
      <c r="F1125" s="4" t="s">
        <v>126</v>
      </c>
      <c r="G1125" s="4" t="s">
        <v>127</v>
      </c>
      <c r="H1125" s="5">
        <v>9.1999999999999993</v>
      </c>
      <c r="I1125" s="5">
        <v>10.8</v>
      </c>
      <c r="J1125" s="5">
        <v>13.5</v>
      </c>
      <c r="K1125" s="4" t="s">
        <v>111</v>
      </c>
      <c r="L1125" s="4" t="s">
        <v>128</v>
      </c>
      <c r="M1125" s="6">
        <f>IF(OR(B1125="",I1125=""),"",B1125*I1125)</f>
        <v>918.00000000000011</v>
      </c>
      <c r="N1125" s="28" t="s">
        <v>113</v>
      </c>
      <c r="O1125" s="26">
        <v>7032</v>
      </c>
      <c r="P1125" s="9" t="s">
        <v>835</v>
      </c>
      <c r="Q1125" s="27">
        <v>119980</v>
      </c>
      <c r="R1125" s="27">
        <v>1598203</v>
      </c>
      <c r="S1125" s="23">
        <f>IF(AND(ISNUMBER(Q1125),Q1125&gt;0,ISNUMBER(R1125),R1125&gt;0),R1125/Q1125,"")</f>
        <v>13.320578429738291</v>
      </c>
      <c r="T1125" s="9" t="s">
        <v>115</v>
      </c>
      <c r="U1125" s="9" t="s">
        <v>130</v>
      </c>
      <c r="V1125" s="9" t="s">
        <v>21</v>
      </c>
      <c r="W1125" s="9" t="s">
        <v>332</v>
      </c>
      <c r="X1125" s="23">
        <f>IF(ISNUMBER(S1125),S1125,IF(ISNUMBER(I1125),I1125,""))</f>
        <v>13.320578429738291</v>
      </c>
      <c r="Y1125" t="str">
        <f>IF(ISNUMBER(S1125),"2025 EIA-923 plant/group proxy",IF(ISNUMBER(I1125),"Technology estimate","No thermal heat rate"))</f>
        <v>2025 EIA-923 plant/group proxy</v>
      </c>
      <c r="Z1125" t="str">
        <f>IF(ISNUMBER(S1125),"Review: NOT unit verified",IF(AE1125="No match","No EIA match",IF(AF1125="Unconfirmed","Unconfirmed EIA candidate","")))</f>
        <v>Review: NOT unit verified</v>
      </c>
      <c r="AA1125" s="26">
        <v>0.76900000000000002</v>
      </c>
      <c r="AB1125" t="s">
        <v>201</v>
      </c>
      <c r="AC1125" t="s">
        <v>459</v>
      </c>
      <c r="AD1125" s="26">
        <v>368</v>
      </c>
      <c r="AE1125" t="s">
        <v>120</v>
      </c>
      <c r="AF1125" t="s">
        <v>145</v>
      </c>
      <c r="AG1125" s="27">
        <v>13.320600000000001</v>
      </c>
      <c r="AH1125" s="34">
        <f t="shared" si="40"/>
        <v>174633.89999999991</v>
      </c>
      <c r="AI1125">
        <f t="shared" si="39"/>
        <v>109055.81279340015</v>
      </c>
      <c r="AJ1125" t="b" cm="1">
        <f t="array" ref="AJ1125">OR(D1125=$AT$2:$AT$8)</f>
        <v>1</v>
      </c>
    </row>
    <row r="1126" spans="1:36" x14ac:dyDescent="0.25">
      <c r="A1126" s="2" t="s">
        <v>837</v>
      </c>
      <c r="B1126" s="3">
        <v>85</v>
      </c>
      <c r="C1126" s="2" t="s">
        <v>78</v>
      </c>
      <c r="D1126" s="2" t="s">
        <v>78</v>
      </c>
      <c r="E1126" s="2" t="s">
        <v>125</v>
      </c>
      <c r="F1126" s="4" t="s">
        <v>126</v>
      </c>
      <c r="G1126" s="4" t="s">
        <v>127</v>
      </c>
      <c r="H1126" s="5">
        <v>9.1999999999999993</v>
      </c>
      <c r="I1126" s="5">
        <v>10.8</v>
      </c>
      <c r="J1126" s="5">
        <v>13.5</v>
      </c>
      <c r="K1126" s="4" t="s">
        <v>111</v>
      </c>
      <c r="L1126" s="4" t="s">
        <v>128</v>
      </c>
      <c r="M1126" s="6">
        <f>IF(OR(B1126="",I1126=""),"",B1126*I1126)</f>
        <v>918.00000000000011</v>
      </c>
      <c r="N1126" s="28" t="s">
        <v>113</v>
      </c>
      <c r="O1126" s="26">
        <v>7032</v>
      </c>
      <c r="P1126" s="9" t="s">
        <v>835</v>
      </c>
      <c r="Q1126" s="27">
        <v>119980</v>
      </c>
      <c r="R1126" s="27">
        <v>1598203</v>
      </c>
      <c r="S1126" s="23">
        <f>IF(AND(ISNUMBER(Q1126),Q1126&gt;0,ISNUMBER(R1126),R1126&gt;0),R1126/Q1126,"")</f>
        <v>13.320578429738291</v>
      </c>
      <c r="T1126" s="9" t="s">
        <v>115</v>
      </c>
      <c r="U1126" s="9" t="s">
        <v>130</v>
      </c>
      <c r="V1126" s="9" t="s">
        <v>21</v>
      </c>
      <c r="W1126" s="9" t="s">
        <v>332</v>
      </c>
      <c r="X1126" s="23">
        <f>IF(ISNUMBER(S1126),S1126,IF(ISNUMBER(I1126),I1126,""))</f>
        <v>13.320578429738291</v>
      </c>
      <c r="Y1126" t="str">
        <f>IF(ISNUMBER(S1126),"2025 EIA-923 plant/group proxy",IF(ISNUMBER(I1126),"Technology estimate","No thermal heat rate"))</f>
        <v>2025 EIA-923 plant/group proxy</v>
      </c>
      <c r="Z1126" t="str">
        <f>IF(ISNUMBER(S1126),"Review: NOT unit verified",IF(AE1126="No match","No EIA match",IF(AF1126="Unconfirmed","Unconfirmed EIA candidate","")))</f>
        <v>Review: NOT unit verified</v>
      </c>
      <c r="AA1126" s="26">
        <v>0.76900000000000002</v>
      </c>
      <c r="AB1126" t="s">
        <v>201</v>
      </c>
      <c r="AC1126" t="s">
        <v>459</v>
      </c>
      <c r="AD1126" s="26">
        <v>368</v>
      </c>
      <c r="AE1126" t="s">
        <v>120</v>
      </c>
      <c r="AF1126" t="s">
        <v>145</v>
      </c>
      <c r="AG1126" s="27">
        <v>13.320600000000001</v>
      </c>
      <c r="AH1126" s="34">
        <f t="shared" si="40"/>
        <v>174718.89999999991</v>
      </c>
      <c r="AI1126">
        <f t="shared" si="39"/>
        <v>109108.89380509054</v>
      </c>
      <c r="AJ1126" t="b" cm="1">
        <f t="array" ref="AJ1126">OR(D1126=$AT$2:$AT$8)</f>
        <v>1</v>
      </c>
    </row>
    <row r="1127" spans="1:36" x14ac:dyDescent="0.25">
      <c r="A1127" s="2" t="s">
        <v>838</v>
      </c>
      <c r="B1127" s="3">
        <v>85</v>
      </c>
      <c r="C1127" s="2" t="s">
        <v>78</v>
      </c>
      <c r="D1127" s="2" t="s">
        <v>78</v>
      </c>
      <c r="E1127" s="2" t="s">
        <v>125</v>
      </c>
      <c r="F1127" s="4" t="s">
        <v>126</v>
      </c>
      <c r="G1127" s="4" t="s">
        <v>127</v>
      </c>
      <c r="H1127" s="5">
        <v>9.1999999999999993</v>
      </c>
      <c r="I1127" s="5">
        <v>10.8</v>
      </c>
      <c r="J1127" s="5">
        <v>13.5</v>
      </c>
      <c r="K1127" s="4" t="s">
        <v>111</v>
      </c>
      <c r="L1127" s="4" t="s">
        <v>128</v>
      </c>
      <c r="M1127" s="6">
        <f>IF(OR(B1127="",I1127=""),"",B1127*I1127)</f>
        <v>918.00000000000011</v>
      </c>
      <c r="N1127" s="28" t="s">
        <v>113</v>
      </c>
      <c r="O1127" s="26">
        <v>7032</v>
      </c>
      <c r="P1127" s="9" t="s">
        <v>835</v>
      </c>
      <c r="Q1127" s="27">
        <v>119980</v>
      </c>
      <c r="R1127" s="27">
        <v>1598203</v>
      </c>
      <c r="S1127" s="23">
        <f>IF(AND(ISNUMBER(Q1127),Q1127&gt;0,ISNUMBER(R1127),R1127&gt;0),R1127/Q1127,"")</f>
        <v>13.320578429738291</v>
      </c>
      <c r="T1127" s="9" t="s">
        <v>115</v>
      </c>
      <c r="U1127" s="9" t="s">
        <v>130</v>
      </c>
      <c r="V1127" s="9" t="s">
        <v>21</v>
      </c>
      <c r="W1127" s="9" t="s">
        <v>332</v>
      </c>
      <c r="X1127" s="23">
        <f>IF(ISNUMBER(S1127),S1127,IF(ISNUMBER(I1127),I1127,""))</f>
        <v>13.320578429738291</v>
      </c>
      <c r="Y1127" t="str">
        <f>IF(ISNUMBER(S1127),"2025 EIA-923 plant/group proxy",IF(ISNUMBER(I1127),"Technology estimate","No thermal heat rate"))</f>
        <v>2025 EIA-923 plant/group proxy</v>
      </c>
      <c r="Z1127" t="str">
        <f>IF(ISNUMBER(S1127),"Review: NOT unit verified",IF(AE1127="No match","No EIA match",IF(AF1127="Unconfirmed","Unconfirmed EIA candidate","")))</f>
        <v>Review: NOT unit verified</v>
      </c>
      <c r="AA1127" s="26">
        <v>0.76900000000000002</v>
      </c>
      <c r="AB1127" t="s">
        <v>201</v>
      </c>
      <c r="AC1127" t="s">
        <v>459</v>
      </c>
      <c r="AD1127" s="26">
        <v>368</v>
      </c>
      <c r="AE1127" t="s">
        <v>120</v>
      </c>
      <c r="AF1127" t="s">
        <v>145</v>
      </c>
      <c r="AG1127" s="27">
        <v>13.320600000000001</v>
      </c>
      <c r="AH1127" s="34">
        <f t="shared" si="40"/>
        <v>174803.89999999991</v>
      </c>
      <c r="AI1127">
        <f t="shared" si="39"/>
        <v>109161.97481678093</v>
      </c>
      <c r="AJ1127" t="b" cm="1">
        <f t="array" ref="AJ1127">OR(D1127=$AT$2:$AT$8)</f>
        <v>1</v>
      </c>
    </row>
    <row r="1128" spans="1:36" x14ac:dyDescent="0.25">
      <c r="A1128" s="2" t="s">
        <v>1404</v>
      </c>
      <c r="B1128" s="3">
        <v>769</v>
      </c>
      <c r="C1128" s="2" t="s">
        <v>97</v>
      </c>
      <c r="D1128" s="2" t="s">
        <v>97</v>
      </c>
      <c r="E1128" s="2" t="s">
        <v>109</v>
      </c>
      <c r="F1128" s="4" t="s">
        <v>109</v>
      </c>
      <c r="G1128" s="4" t="s">
        <v>110</v>
      </c>
      <c r="H1128" s="5">
        <v>9</v>
      </c>
      <c r="I1128" s="5">
        <v>10.3</v>
      </c>
      <c r="J1128" s="5">
        <v>12</v>
      </c>
      <c r="K1128" s="4" t="s">
        <v>111</v>
      </c>
      <c r="L1128" s="4" t="s">
        <v>112</v>
      </c>
      <c r="M1128" s="6">
        <f>IF(OR(B1128="",I1128=""),"",B1128*I1128)</f>
        <v>7920.7000000000007</v>
      </c>
      <c r="N1128" s="28" t="s">
        <v>113</v>
      </c>
      <c r="O1128" s="26">
        <v>879</v>
      </c>
      <c r="P1128" s="9" t="s">
        <v>1405</v>
      </c>
      <c r="Q1128" s="27">
        <v>3354454.0720000002</v>
      </c>
      <c r="R1128" s="27">
        <v>45143314</v>
      </c>
      <c r="S1128" s="23">
        <f>IF(AND(ISNUMBER(Q1128),Q1128&gt;0,ISNUMBER(R1128),R1128&gt;0),R1128/Q1128,"")</f>
        <v>13.457723084306398</v>
      </c>
      <c r="T1128" s="9" t="s">
        <v>115</v>
      </c>
      <c r="U1128" s="9" t="s">
        <v>1018</v>
      </c>
      <c r="V1128" s="9" t="s">
        <v>21</v>
      </c>
      <c r="W1128" s="9" t="s">
        <v>585</v>
      </c>
      <c r="X1128" s="23">
        <f>IF(ISNUMBER(S1128),S1128,IF(ISNUMBER(I1128),I1128,""))</f>
        <v>13.457723084306398</v>
      </c>
      <c r="Y1128" t="str">
        <f>IF(ISNUMBER(S1128),"2025 EIA-923 plant/group proxy",IF(ISNUMBER(I1128),"Technology estimate","No thermal heat rate"))</f>
        <v>2025 EIA-923 plant/group proxy</v>
      </c>
      <c r="Z1128" t="str">
        <f>IF(ISNUMBER(S1128),"Review: NOT unit verified",IF(AE1128="No match","No EIA match",IF(AF1128="Unconfirmed","Unconfirmed EIA candidate","")))</f>
        <v>Review: NOT unit verified</v>
      </c>
      <c r="AA1128" s="26">
        <v>0.65210000000000001</v>
      </c>
      <c r="AB1128" t="s">
        <v>166</v>
      </c>
      <c r="AC1128" t="s">
        <v>1406</v>
      </c>
      <c r="AD1128" s="26">
        <v>1538</v>
      </c>
      <c r="AE1128" t="s">
        <v>120</v>
      </c>
      <c r="AF1128" t="s">
        <v>145</v>
      </c>
      <c r="AG1128" s="27">
        <v>13.457700000000001</v>
      </c>
      <c r="AH1128" s="34">
        <f t="shared" si="40"/>
        <v>175572.89999999991</v>
      </c>
      <c r="AI1128">
        <f t="shared" si="39"/>
        <v>109642.20185195639</v>
      </c>
      <c r="AJ1128" t="b" cm="1">
        <f t="array" ref="AJ1128">OR(D1128=$AT$2:$AT$8)</f>
        <v>0</v>
      </c>
    </row>
    <row r="1129" spans="1:36" x14ac:dyDescent="0.25">
      <c r="A1129" s="2" t="s">
        <v>1407</v>
      </c>
      <c r="B1129" s="3">
        <v>769</v>
      </c>
      <c r="C1129" s="2" t="s">
        <v>97</v>
      </c>
      <c r="D1129" s="2" t="s">
        <v>97</v>
      </c>
      <c r="E1129" s="2" t="s">
        <v>109</v>
      </c>
      <c r="F1129" s="4" t="s">
        <v>109</v>
      </c>
      <c r="G1129" s="4" t="s">
        <v>110</v>
      </c>
      <c r="H1129" s="5">
        <v>9</v>
      </c>
      <c r="I1129" s="5">
        <v>10.3</v>
      </c>
      <c r="J1129" s="5">
        <v>12</v>
      </c>
      <c r="K1129" s="4" t="s">
        <v>111</v>
      </c>
      <c r="L1129" s="4" t="s">
        <v>112</v>
      </c>
      <c r="M1129" s="6">
        <f>IF(OR(B1129="",I1129=""),"",B1129*I1129)</f>
        <v>7920.7000000000007</v>
      </c>
      <c r="N1129" s="28" t="s">
        <v>113</v>
      </c>
      <c r="O1129" s="26">
        <v>879</v>
      </c>
      <c r="P1129" s="9" t="s">
        <v>1405</v>
      </c>
      <c r="Q1129" s="27">
        <v>3354454.0720000002</v>
      </c>
      <c r="R1129" s="27">
        <v>45143314</v>
      </c>
      <c r="S1129" s="23">
        <f>IF(AND(ISNUMBER(Q1129),Q1129&gt;0,ISNUMBER(R1129),R1129&gt;0),R1129/Q1129,"")</f>
        <v>13.457723084306398</v>
      </c>
      <c r="T1129" s="9" t="s">
        <v>115</v>
      </c>
      <c r="U1129" s="9" t="s">
        <v>1018</v>
      </c>
      <c r="V1129" s="9" t="s">
        <v>21</v>
      </c>
      <c r="W1129" s="9" t="s">
        <v>585</v>
      </c>
      <c r="X1129" s="23">
        <f>IF(ISNUMBER(S1129),S1129,IF(ISNUMBER(I1129),I1129,""))</f>
        <v>13.457723084306398</v>
      </c>
      <c r="Y1129" t="str">
        <f>IF(ISNUMBER(S1129),"2025 EIA-923 plant/group proxy",IF(ISNUMBER(I1129),"Technology estimate","No thermal heat rate"))</f>
        <v>2025 EIA-923 plant/group proxy</v>
      </c>
      <c r="Z1129" t="str">
        <f>IF(ISNUMBER(S1129),"Review: NOT unit verified",IF(AE1129="No match","No EIA match",IF(AF1129="Unconfirmed","Unconfirmed EIA candidate","")))</f>
        <v>Review: NOT unit verified</v>
      </c>
      <c r="AA1129" s="26">
        <v>0.65210000000000001</v>
      </c>
      <c r="AB1129" t="s">
        <v>166</v>
      </c>
      <c r="AC1129" t="s">
        <v>1406</v>
      </c>
      <c r="AD1129" s="26">
        <v>1538</v>
      </c>
      <c r="AE1129" t="s">
        <v>120</v>
      </c>
      <c r="AF1129" t="s">
        <v>145</v>
      </c>
      <c r="AG1129" s="27">
        <v>13.457700000000001</v>
      </c>
      <c r="AH1129" s="34">
        <f t="shared" si="40"/>
        <v>176341.89999999991</v>
      </c>
      <c r="AI1129">
        <f t="shared" si="39"/>
        <v>110122.42888713183</v>
      </c>
      <c r="AJ1129" t="b" cm="1">
        <f t="array" ref="AJ1129">OR(D1129=$AT$2:$AT$8)</f>
        <v>0</v>
      </c>
    </row>
    <row r="1130" spans="1:36" x14ac:dyDescent="0.25">
      <c r="A1130" s="2" t="s">
        <v>747</v>
      </c>
      <c r="B1130" s="3">
        <v>34</v>
      </c>
      <c r="C1130" s="2" t="s">
        <v>91</v>
      </c>
      <c r="D1130" s="2" t="s">
        <v>91</v>
      </c>
      <c r="E1130" s="2" t="s">
        <v>125</v>
      </c>
      <c r="F1130" s="4" t="s">
        <v>126</v>
      </c>
      <c r="G1130" s="4" t="s">
        <v>127</v>
      </c>
      <c r="H1130" s="5">
        <v>9.1999999999999993</v>
      </c>
      <c r="I1130" s="5">
        <v>10.8</v>
      </c>
      <c r="J1130" s="5">
        <v>13.5</v>
      </c>
      <c r="K1130" s="4" t="s">
        <v>111</v>
      </c>
      <c r="L1130" s="4" t="s">
        <v>128</v>
      </c>
      <c r="M1130" s="6">
        <f>IF(OR(B1130="",I1130=""),"",B1130*I1130)</f>
        <v>367.20000000000005</v>
      </c>
      <c r="N1130" s="25" t="s">
        <v>113</v>
      </c>
      <c r="O1130" s="26">
        <v>7138</v>
      </c>
      <c r="P1130" s="9" t="s">
        <v>748</v>
      </c>
      <c r="Q1130" s="27">
        <v>15720</v>
      </c>
      <c r="R1130" s="27">
        <v>214651</v>
      </c>
      <c r="S1130" s="23">
        <f>IF(AND(ISNUMBER(Q1130),Q1130&gt;0,ISNUMBER(R1130),R1130&gt;0),R1130/Q1130,"")</f>
        <v>13.654643765903307</v>
      </c>
      <c r="T1130" s="9" t="s">
        <v>115</v>
      </c>
      <c r="U1130" s="9" t="s">
        <v>141</v>
      </c>
      <c r="V1130" s="9" t="s">
        <v>21</v>
      </c>
      <c r="W1130" s="9" t="s">
        <v>240</v>
      </c>
      <c r="X1130" s="23">
        <f>IF(ISNUMBER(S1130),S1130,IF(ISNUMBER(I1130),I1130,""))</f>
        <v>13.654643765903307</v>
      </c>
      <c r="Y1130" t="str">
        <f>IF(ISNUMBER(S1130),"2025 EIA-923 plant/group proxy",IF(ISNUMBER(I1130),"Technology estimate","No thermal heat rate"))</f>
        <v>2025 EIA-923 plant/group proxy</v>
      </c>
      <c r="Z1130" t="str">
        <f>IF(ISNUMBER(S1130),"Review: NOT unit verified",IF(AE1130="No match","No EIA match",IF(AF1130="Unconfirmed","Unconfirmed EIA candidate","")))</f>
        <v>Review: NOT unit verified</v>
      </c>
      <c r="AA1130" s="26">
        <v>1</v>
      </c>
      <c r="AB1130" t="s">
        <v>241</v>
      </c>
      <c r="AC1130" t="s">
        <v>308</v>
      </c>
      <c r="AD1130" s="26">
        <v>65</v>
      </c>
      <c r="AE1130" t="s">
        <v>120</v>
      </c>
      <c r="AF1130" t="s">
        <v>121</v>
      </c>
      <c r="AG1130" s="27">
        <v>13.6546</v>
      </c>
      <c r="AH1130" s="34">
        <f t="shared" si="40"/>
        <v>176375.89999999991</v>
      </c>
      <c r="AI1130">
        <f t="shared" si="39"/>
        <v>110143.66129180798</v>
      </c>
      <c r="AJ1130" t="b" cm="1">
        <f t="array" ref="AJ1130">OR(D1130=$AT$2:$AT$8)</f>
        <v>1</v>
      </c>
    </row>
    <row r="1131" spans="1:36" x14ac:dyDescent="0.25">
      <c r="A1131" s="2" t="s">
        <v>749</v>
      </c>
      <c r="B1131" s="3">
        <v>31</v>
      </c>
      <c r="C1131" s="2" t="s">
        <v>91</v>
      </c>
      <c r="D1131" s="2" t="s">
        <v>91</v>
      </c>
      <c r="E1131" s="2" t="s">
        <v>137</v>
      </c>
      <c r="F1131" s="4" t="s">
        <v>138</v>
      </c>
      <c r="G1131" s="4" t="s">
        <v>139</v>
      </c>
      <c r="H1131" s="5">
        <v>9</v>
      </c>
      <c r="I1131" s="5">
        <v>10.5</v>
      </c>
      <c r="J1131" s="5">
        <v>13</v>
      </c>
      <c r="K1131" s="4" t="s">
        <v>111</v>
      </c>
      <c r="L1131" s="4" t="s">
        <v>112</v>
      </c>
      <c r="M1131" s="6">
        <f>IF(OR(B1131="",I1131=""),"",B1131*I1131)</f>
        <v>325.5</v>
      </c>
      <c r="N1131" s="25" t="s">
        <v>113</v>
      </c>
      <c r="O1131" s="26">
        <v>7138</v>
      </c>
      <c r="P1131" s="9" t="s">
        <v>748</v>
      </c>
      <c r="Q1131" s="27">
        <v>15720</v>
      </c>
      <c r="R1131" s="27">
        <v>214651</v>
      </c>
      <c r="S1131" s="23">
        <f>IF(AND(ISNUMBER(Q1131),Q1131&gt;0,ISNUMBER(R1131),R1131&gt;0),R1131/Q1131,"")</f>
        <v>13.654643765903307</v>
      </c>
      <c r="T1131" s="9" t="s">
        <v>115</v>
      </c>
      <c r="U1131" s="9" t="s">
        <v>141</v>
      </c>
      <c r="V1131" s="9" t="s">
        <v>21</v>
      </c>
      <c r="W1131" s="9" t="s">
        <v>240</v>
      </c>
      <c r="X1131" s="23">
        <f>IF(ISNUMBER(S1131),S1131,IF(ISNUMBER(I1131),I1131,""))</f>
        <v>13.654643765903307</v>
      </c>
      <c r="Y1131" t="str">
        <f>IF(ISNUMBER(S1131),"2025 EIA-923 plant/group proxy",IF(ISNUMBER(I1131),"Technology estimate","No thermal heat rate"))</f>
        <v>2025 EIA-923 plant/group proxy</v>
      </c>
      <c r="Z1131" t="str">
        <f>IF(ISNUMBER(S1131),"Review: NOT unit verified",IF(AE1131="No match","No EIA match",IF(AF1131="Unconfirmed","Unconfirmed EIA candidate","")))</f>
        <v>Review: NOT unit verified</v>
      </c>
      <c r="AA1131" s="26">
        <v>1</v>
      </c>
      <c r="AB1131" t="s">
        <v>241</v>
      </c>
      <c r="AC1131" t="s">
        <v>308</v>
      </c>
      <c r="AD1131" s="26">
        <v>65</v>
      </c>
      <c r="AE1131" t="s">
        <v>120</v>
      </c>
      <c r="AF1131" t="s">
        <v>121</v>
      </c>
      <c r="AG1131" s="27">
        <v>13.6546</v>
      </c>
      <c r="AH1131" s="34">
        <f t="shared" si="40"/>
        <v>176406.89999999991</v>
      </c>
      <c r="AI1131">
        <f t="shared" si="39"/>
        <v>110163.02024901271</v>
      </c>
      <c r="AJ1131" t="b" cm="1">
        <f t="array" ref="AJ1131">OR(D1131=$AT$2:$AT$8)</f>
        <v>1</v>
      </c>
    </row>
    <row r="1132" spans="1:36" x14ac:dyDescent="0.25">
      <c r="A1132" s="2" t="s">
        <v>1570</v>
      </c>
      <c r="B1132" s="3">
        <v>78.8</v>
      </c>
      <c r="C1132" s="2" t="s">
        <v>57</v>
      </c>
      <c r="D1132" s="2" t="s">
        <v>58</v>
      </c>
      <c r="E1132" s="2" t="s">
        <v>125</v>
      </c>
      <c r="F1132" s="4" t="s">
        <v>126</v>
      </c>
      <c r="G1132" s="4" t="s">
        <v>127</v>
      </c>
      <c r="H1132" s="5">
        <v>9.1999999999999993</v>
      </c>
      <c r="I1132" s="5">
        <v>10.8</v>
      </c>
      <c r="J1132" s="5">
        <v>13.5</v>
      </c>
      <c r="K1132" s="4" t="s">
        <v>111</v>
      </c>
      <c r="L1132" s="4" t="s">
        <v>128</v>
      </c>
      <c r="M1132" s="6">
        <f>IF(OR(B1132="",I1132=""),"",B1132*I1132)</f>
        <v>851.04000000000008</v>
      </c>
      <c r="N1132" s="25" t="s">
        <v>113</v>
      </c>
      <c r="O1132" s="26">
        <v>7288</v>
      </c>
      <c r="P1132" s="9" t="s">
        <v>1571</v>
      </c>
      <c r="Q1132" s="27">
        <v>43017</v>
      </c>
      <c r="R1132" s="27">
        <v>587717</v>
      </c>
      <c r="S1132" s="23">
        <f>IF(AND(ISNUMBER(Q1132),Q1132&gt;0,ISNUMBER(R1132),R1132&gt;0),R1132/Q1132,"")</f>
        <v>13.662435781202781</v>
      </c>
      <c r="T1132" s="9" t="s">
        <v>115</v>
      </c>
      <c r="U1132" s="9" t="s">
        <v>352</v>
      </c>
      <c r="V1132" s="9" t="s">
        <v>21</v>
      </c>
      <c r="W1132" s="9" t="s">
        <v>217</v>
      </c>
      <c r="X1132" s="23">
        <f>IF(ISNUMBER(S1132),S1132,IF(ISNUMBER(I1132),I1132,""))</f>
        <v>13.662435781202781</v>
      </c>
      <c r="Y1132" t="str">
        <f>IF(ISNUMBER(S1132),"2025 EIA-923 plant/group proxy",IF(ISNUMBER(I1132),"Technology estimate","No thermal heat rate"))</f>
        <v>2025 EIA-923 plant/group proxy</v>
      </c>
      <c r="Z1132" t="str">
        <f>IF(ISNUMBER(S1132),"Review: NOT unit verified",IF(AE1132="No match","No EIA match",IF(AF1132="Unconfirmed","Unconfirmed EIA candidate","")))</f>
        <v>Review: NOT unit verified</v>
      </c>
      <c r="AA1132" s="26">
        <v>1</v>
      </c>
      <c r="AB1132" t="s">
        <v>241</v>
      </c>
      <c r="AC1132" t="s">
        <v>1572</v>
      </c>
      <c r="AD1132" s="26">
        <v>86.9</v>
      </c>
      <c r="AE1132" t="s">
        <v>120</v>
      </c>
      <c r="AF1132" t="s">
        <v>121</v>
      </c>
      <c r="AG1132" s="27">
        <v>13.6624</v>
      </c>
      <c r="AH1132" s="34">
        <f t="shared" si="40"/>
        <v>176485.6999999999</v>
      </c>
      <c r="AI1132">
        <f t="shared" si="39"/>
        <v>110212.22946926215</v>
      </c>
      <c r="AJ1132" t="b" cm="1">
        <f t="array" ref="AJ1132">OR(D1132=$AT$2:$AT$8)</f>
        <v>0</v>
      </c>
    </row>
    <row r="1133" spans="1:36" x14ac:dyDescent="0.25">
      <c r="A1133" s="2" t="s">
        <v>1477</v>
      </c>
      <c r="B1133" s="3">
        <v>11</v>
      </c>
      <c r="C1133" s="2" t="s">
        <v>147</v>
      </c>
      <c r="D1133" s="2" t="s">
        <v>147</v>
      </c>
      <c r="E1133" s="2" t="s">
        <v>137</v>
      </c>
      <c r="F1133" s="4" t="s">
        <v>138</v>
      </c>
      <c r="G1133" s="4" t="s">
        <v>139</v>
      </c>
      <c r="H1133" s="5">
        <v>9</v>
      </c>
      <c r="I1133" s="5">
        <v>10.5</v>
      </c>
      <c r="J1133" s="5">
        <v>13</v>
      </c>
      <c r="K1133" s="4" t="s">
        <v>111</v>
      </c>
      <c r="L1133" s="4" t="s">
        <v>112</v>
      </c>
      <c r="M1133" s="6">
        <f>IF(OR(B1133="",I1133=""),"",B1133*I1133)</f>
        <v>115.5</v>
      </c>
      <c r="N1133" s="25" t="s">
        <v>113</v>
      </c>
      <c r="O1133" s="26">
        <v>2880</v>
      </c>
      <c r="P1133" s="9" t="s">
        <v>1478</v>
      </c>
      <c r="Q1133" s="27">
        <v>367453.99900000001</v>
      </c>
      <c r="R1133" s="27">
        <v>5113727</v>
      </c>
      <c r="S1133" s="23">
        <f>IF(AND(ISNUMBER(Q1133),Q1133&gt;0,ISNUMBER(R1133),R1133&gt;0),R1133/Q1133,"")</f>
        <v>13.916645386678727</v>
      </c>
      <c r="T1133" s="9" t="s">
        <v>115</v>
      </c>
      <c r="U1133" s="9" t="s">
        <v>130</v>
      </c>
      <c r="V1133" s="9" t="s">
        <v>21</v>
      </c>
      <c r="W1133" s="9" t="s">
        <v>809</v>
      </c>
      <c r="X1133" s="23">
        <f>IF(ISNUMBER(S1133),S1133,IF(ISNUMBER(I1133),I1133,""))</f>
        <v>13.916645386678727</v>
      </c>
      <c r="Y1133" t="str">
        <f>IF(ISNUMBER(S1133),"2025 EIA-923 plant/group proxy",IF(ISNUMBER(I1133),"Technology estimate","No thermal heat rate"))</f>
        <v>2025 EIA-923 plant/group proxy</v>
      </c>
      <c r="Z1133" t="str">
        <f>IF(ISNUMBER(S1133),"Review: NOT unit verified",IF(AE1133="No match","No EIA match",IF(AF1133="Unconfirmed","Unconfirmed EIA candidate","")))</f>
        <v>Review: NOT unit verified</v>
      </c>
      <c r="AA1133" s="26">
        <v>0.86660000000000004</v>
      </c>
      <c r="AB1133" t="s">
        <v>322</v>
      </c>
      <c r="AC1133" t="s">
        <v>459</v>
      </c>
      <c r="AD1133" s="26">
        <v>369</v>
      </c>
      <c r="AE1133" t="s">
        <v>120</v>
      </c>
      <c r="AF1133" t="s">
        <v>121</v>
      </c>
      <c r="AG1133" s="27">
        <v>13.916600000000001</v>
      </c>
      <c r="AH1133" s="34">
        <f t="shared" si="40"/>
        <v>176496.6999999999</v>
      </c>
      <c r="AI1133">
        <f t="shared" si="39"/>
        <v>110219.09877665738</v>
      </c>
      <c r="AJ1133" t="b" cm="1">
        <f t="array" ref="AJ1133">OR(D1133=$AT$2:$AT$8)</f>
        <v>0</v>
      </c>
    </row>
    <row r="1134" spans="1:36" x14ac:dyDescent="0.25">
      <c r="A1134" s="2" t="s">
        <v>1479</v>
      </c>
      <c r="B1134" s="3">
        <v>11</v>
      </c>
      <c r="C1134" s="2" t="s">
        <v>147</v>
      </c>
      <c r="D1134" s="2" t="s">
        <v>147</v>
      </c>
      <c r="E1134" s="2" t="s">
        <v>137</v>
      </c>
      <c r="F1134" s="4" t="s">
        <v>138</v>
      </c>
      <c r="G1134" s="4" t="s">
        <v>139</v>
      </c>
      <c r="H1134" s="5">
        <v>9</v>
      </c>
      <c r="I1134" s="5">
        <v>10.5</v>
      </c>
      <c r="J1134" s="5">
        <v>13</v>
      </c>
      <c r="K1134" s="4" t="s">
        <v>111</v>
      </c>
      <c r="L1134" s="4" t="s">
        <v>112</v>
      </c>
      <c r="M1134" s="6">
        <f>IF(OR(B1134="",I1134=""),"",B1134*I1134)</f>
        <v>115.5</v>
      </c>
      <c r="N1134" s="25" t="s">
        <v>113</v>
      </c>
      <c r="O1134" s="26">
        <v>2880</v>
      </c>
      <c r="P1134" s="9" t="s">
        <v>1478</v>
      </c>
      <c r="Q1134" s="27">
        <v>367453.99900000001</v>
      </c>
      <c r="R1134" s="27">
        <v>5113727</v>
      </c>
      <c r="S1134" s="23">
        <f>IF(AND(ISNUMBER(Q1134),Q1134&gt;0,ISNUMBER(R1134),R1134&gt;0),R1134/Q1134,"")</f>
        <v>13.916645386678727</v>
      </c>
      <c r="T1134" s="9" t="s">
        <v>115</v>
      </c>
      <c r="U1134" s="9" t="s">
        <v>130</v>
      </c>
      <c r="V1134" s="9" t="s">
        <v>21</v>
      </c>
      <c r="W1134" s="9" t="s">
        <v>809</v>
      </c>
      <c r="X1134" s="23">
        <f>IF(ISNUMBER(S1134),S1134,IF(ISNUMBER(I1134),I1134,""))</f>
        <v>13.916645386678727</v>
      </c>
      <c r="Y1134" t="str">
        <f>IF(ISNUMBER(S1134),"2025 EIA-923 plant/group proxy",IF(ISNUMBER(I1134),"Technology estimate","No thermal heat rate"))</f>
        <v>2025 EIA-923 plant/group proxy</v>
      </c>
      <c r="Z1134" t="str">
        <f>IF(ISNUMBER(S1134),"Review: NOT unit verified",IF(AE1134="No match","No EIA match",IF(AF1134="Unconfirmed","Unconfirmed EIA candidate","")))</f>
        <v>Review: NOT unit verified</v>
      </c>
      <c r="AA1134" s="26">
        <v>0.86660000000000004</v>
      </c>
      <c r="AB1134" t="s">
        <v>322</v>
      </c>
      <c r="AC1134" t="s">
        <v>459</v>
      </c>
      <c r="AD1134" s="26">
        <v>369</v>
      </c>
      <c r="AE1134" t="s">
        <v>120</v>
      </c>
      <c r="AF1134" t="s">
        <v>121</v>
      </c>
      <c r="AG1134" s="27">
        <v>13.916600000000001</v>
      </c>
      <c r="AH1134" s="34">
        <f t="shared" si="40"/>
        <v>176507.6999999999</v>
      </c>
      <c r="AI1134">
        <f t="shared" si="39"/>
        <v>110225.96808405261</v>
      </c>
      <c r="AJ1134" t="b" cm="1">
        <f t="array" ref="AJ1134">OR(D1134=$AT$2:$AT$8)</f>
        <v>0</v>
      </c>
    </row>
    <row r="1135" spans="1:36" x14ac:dyDescent="0.25">
      <c r="A1135" s="2" t="s">
        <v>1480</v>
      </c>
      <c r="B1135" s="3">
        <v>118</v>
      </c>
      <c r="C1135" s="2" t="s">
        <v>147</v>
      </c>
      <c r="D1135" s="2" t="s">
        <v>147</v>
      </c>
      <c r="E1135" s="2" t="s">
        <v>137</v>
      </c>
      <c r="F1135" s="4" t="s">
        <v>138</v>
      </c>
      <c r="G1135" s="4" t="s">
        <v>139</v>
      </c>
      <c r="H1135" s="5">
        <v>9</v>
      </c>
      <c r="I1135" s="5">
        <v>10.5</v>
      </c>
      <c r="J1135" s="5">
        <v>13</v>
      </c>
      <c r="K1135" s="4" t="s">
        <v>111</v>
      </c>
      <c r="L1135" s="4" t="s">
        <v>112</v>
      </c>
      <c r="M1135" s="6">
        <f>IF(OR(B1135="",I1135=""),"",B1135*I1135)</f>
        <v>1239</v>
      </c>
      <c r="N1135" s="25" t="s">
        <v>113</v>
      </c>
      <c r="O1135" s="26">
        <v>2880</v>
      </c>
      <c r="P1135" s="9" t="s">
        <v>1478</v>
      </c>
      <c r="Q1135" s="27">
        <v>367453.99900000001</v>
      </c>
      <c r="R1135" s="27">
        <v>5113727</v>
      </c>
      <c r="S1135" s="23">
        <f>IF(AND(ISNUMBER(Q1135),Q1135&gt;0,ISNUMBER(R1135),R1135&gt;0),R1135/Q1135,"")</f>
        <v>13.916645386678727</v>
      </c>
      <c r="T1135" s="9" t="s">
        <v>115</v>
      </c>
      <c r="U1135" s="9" t="s">
        <v>130</v>
      </c>
      <c r="V1135" s="9" t="s">
        <v>21</v>
      </c>
      <c r="W1135" s="9" t="s">
        <v>809</v>
      </c>
      <c r="X1135" s="23">
        <f>IF(ISNUMBER(S1135),S1135,IF(ISNUMBER(I1135),I1135,""))</f>
        <v>13.916645386678727</v>
      </c>
      <c r="Y1135" t="str">
        <f>IF(ISNUMBER(S1135),"2025 EIA-923 plant/group proxy",IF(ISNUMBER(I1135),"Technology estimate","No thermal heat rate"))</f>
        <v>2025 EIA-923 plant/group proxy</v>
      </c>
      <c r="Z1135" t="str">
        <f>IF(ISNUMBER(S1135),"Review: NOT unit verified",IF(AE1135="No match","No EIA match",IF(AF1135="Unconfirmed","Unconfirmed EIA candidate","")))</f>
        <v>Review: NOT unit verified</v>
      </c>
      <c r="AA1135" s="26">
        <v>0.86660000000000004</v>
      </c>
      <c r="AB1135" t="s">
        <v>322</v>
      </c>
      <c r="AC1135" t="s">
        <v>459</v>
      </c>
      <c r="AD1135" s="26">
        <v>369</v>
      </c>
      <c r="AE1135" t="s">
        <v>120</v>
      </c>
      <c r="AF1135" t="s">
        <v>121</v>
      </c>
      <c r="AG1135" s="27">
        <v>13.916600000000001</v>
      </c>
      <c r="AH1135" s="34">
        <f t="shared" si="40"/>
        <v>176625.6999999999</v>
      </c>
      <c r="AI1135">
        <f t="shared" si="39"/>
        <v>110299.65701792868</v>
      </c>
      <c r="AJ1135" t="b" cm="1">
        <f t="array" ref="AJ1135">OR(D1135=$AT$2:$AT$8)</f>
        <v>0</v>
      </c>
    </row>
    <row r="1136" spans="1:36" x14ac:dyDescent="0.25">
      <c r="A1136" s="2" t="s">
        <v>1481</v>
      </c>
      <c r="B1136" s="3">
        <v>118</v>
      </c>
      <c r="C1136" s="2" t="s">
        <v>147</v>
      </c>
      <c r="D1136" s="2" t="s">
        <v>147</v>
      </c>
      <c r="E1136" s="2" t="s">
        <v>137</v>
      </c>
      <c r="F1136" s="4" t="s">
        <v>138</v>
      </c>
      <c r="G1136" s="4" t="s">
        <v>139</v>
      </c>
      <c r="H1136" s="5">
        <v>9</v>
      </c>
      <c r="I1136" s="5">
        <v>10.5</v>
      </c>
      <c r="J1136" s="5">
        <v>13</v>
      </c>
      <c r="K1136" s="4" t="s">
        <v>111</v>
      </c>
      <c r="L1136" s="4" t="s">
        <v>112</v>
      </c>
      <c r="M1136" s="6">
        <f>IF(OR(B1136="",I1136=""),"",B1136*I1136)</f>
        <v>1239</v>
      </c>
      <c r="N1136" s="25" t="s">
        <v>113</v>
      </c>
      <c r="O1136" s="26">
        <v>2880</v>
      </c>
      <c r="P1136" s="9" t="s">
        <v>1478</v>
      </c>
      <c r="Q1136" s="27">
        <v>367453.99900000001</v>
      </c>
      <c r="R1136" s="27">
        <v>5113727</v>
      </c>
      <c r="S1136" s="23">
        <f>IF(AND(ISNUMBER(Q1136),Q1136&gt;0,ISNUMBER(R1136),R1136&gt;0),R1136/Q1136,"")</f>
        <v>13.916645386678727</v>
      </c>
      <c r="T1136" s="9" t="s">
        <v>115</v>
      </c>
      <c r="U1136" s="9" t="s">
        <v>130</v>
      </c>
      <c r="V1136" s="9" t="s">
        <v>21</v>
      </c>
      <c r="W1136" s="9" t="s">
        <v>809</v>
      </c>
      <c r="X1136" s="23">
        <f>IF(ISNUMBER(S1136),S1136,IF(ISNUMBER(I1136),I1136,""))</f>
        <v>13.916645386678727</v>
      </c>
      <c r="Y1136" t="str">
        <f>IF(ISNUMBER(S1136),"2025 EIA-923 plant/group proxy",IF(ISNUMBER(I1136),"Technology estimate","No thermal heat rate"))</f>
        <v>2025 EIA-923 plant/group proxy</v>
      </c>
      <c r="Z1136" t="str">
        <f>IF(ISNUMBER(S1136),"Review: NOT unit verified",IF(AE1136="No match","No EIA match",IF(AF1136="Unconfirmed","Unconfirmed EIA candidate","")))</f>
        <v>Review: NOT unit verified</v>
      </c>
      <c r="AA1136" s="26">
        <v>0.86660000000000004</v>
      </c>
      <c r="AB1136" t="s">
        <v>322</v>
      </c>
      <c r="AC1136" t="s">
        <v>459</v>
      </c>
      <c r="AD1136" s="26">
        <v>369</v>
      </c>
      <c r="AE1136" t="s">
        <v>120</v>
      </c>
      <c r="AF1136" t="s">
        <v>121</v>
      </c>
      <c r="AG1136" s="27">
        <v>13.916600000000001</v>
      </c>
      <c r="AH1136" s="34">
        <f t="shared" si="40"/>
        <v>176743.6999999999</v>
      </c>
      <c r="AI1136">
        <f t="shared" si="39"/>
        <v>110373.34595180476</v>
      </c>
      <c r="AJ1136" t="b" cm="1">
        <f t="array" ref="AJ1136">OR(D1136=$AT$2:$AT$8)</f>
        <v>0</v>
      </c>
    </row>
    <row r="1137" spans="1:36" x14ac:dyDescent="0.25">
      <c r="A1137" s="2" t="s">
        <v>1482</v>
      </c>
      <c r="B1137" s="3">
        <v>118</v>
      </c>
      <c r="C1137" s="2" t="s">
        <v>147</v>
      </c>
      <c r="D1137" s="2" t="s">
        <v>147</v>
      </c>
      <c r="E1137" s="2" t="s">
        <v>137</v>
      </c>
      <c r="F1137" s="4" t="s">
        <v>138</v>
      </c>
      <c r="G1137" s="4" t="s">
        <v>139</v>
      </c>
      <c r="H1137" s="5">
        <v>9</v>
      </c>
      <c r="I1137" s="5">
        <v>10.5</v>
      </c>
      <c r="J1137" s="5">
        <v>13</v>
      </c>
      <c r="K1137" s="4" t="s">
        <v>111</v>
      </c>
      <c r="L1137" s="4" t="s">
        <v>112</v>
      </c>
      <c r="M1137" s="6">
        <f>IF(OR(B1137="",I1137=""),"",B1137*I1137)</f>
        <v>1239</v>
      </c>
      <c r="N1137" s="25" t="s">
        <v>113</v>
      </c>
      <c r="O1137" s="26">
        <v>2880</v>
      </c>
      <c r="P1137" s="9" t="s">
        <v>1478</v>
      </c>
      <c r="Q1137" s="27">
        <v>367453.99900000001</v>
      </c>
      <c r="R1137" s="27">
        <v>5113727</v>
      </c>
      <c r="S1137" s="23">
        <f>IF(AND(ISNUMBER(Q1137),Q1137&gt;0,ISNUMBER(R1137),R1137&gt;0),R1137/Q1137,"")</f>
        <v>13.916645386678727</v>
      </c>
      <c r="T1137" s="9" t="s">
        <v>115</v>
      </c>
      <c r="U1137" s="9" t="s">
        <v>130</v>
      </c>
      <c r="V1137" s="9" t="s">
        <v>21</v>
      </c>
      <c r="W1137" s="9" t="s">
        <v>809</v>
      </c>
      <c r="X1137" s="23">
        <f>IF(ISNUMBER(S1137),S1137,IF(ISNUMBER(I1137),I1137,""))</f>
        <v>13.916645386678727</v>
      </c>
      <c r="Y1137" t="str">
        <f>IF(ISNUMBER(S1137),"2025 EIA-923 plant/group proxy",IF(ISNUMBER(I1137),"Technology estimate","No thermal heat rate"))</f>
        <v>2025 EIA-923 plant/group proxy</v>
      </c>
      <c r="Z1137" t="str">
        <f>IF(ISNUMBER(S1137),"Review: NOT unit verified",IF(AE1137="No match","No EIA match",IF(AF1137="Unconfirmed","Unconfirmed EIA candidate","")))</f>
        <v>Review: NOT unit verified</v>
      </c>
      <c r="AA1137" s="26">
        <v>0.86660000000000004</v>
      </c>
      <c r="AB1137" t="s">
        <v>322</v>
      </c>
      <c r="AC1137" t="s">
        <v>459</v>
      </c>
      <c r="AD1137" s="26">
        <v>369</v>
      </c>
      <c r="AE1137" t="s">
        <v>120</v>
      </c>
      <c r="AF1137" t="s">
        <v>121</v>
      </c>
      <c r="AG1137" s="27">
        <v>13.916600000000001</v>
      </c>
      <c r="AH1137" s="34">
        <f t="shared" si="40"/>
        <v>176861.6999999999</v>
      </c>
      <c r="AI1137">
        <f t="shared" si="39"/>
        <v>110447.03488568083</v>
      </c>
      <c r="AJ1137" t="b" cm="1">
        <f t="array" ref="AJ1137">OR(D1137=$AT$2:$AT$8)</f>
        <v>0</v>
      </c>
    </row>
    <row r="1138" spans="1:36" x14ac:dyDescent="0.25">
      <c r="A1138" s="2" t="s">
        <v>526</v>
      </c>
      <c r="B1138" s="3">
        <v>75.2</v>
      </c>
      <c r="C1138" s="2" t="s">
        <v>97</v>
      </c>
      <c r="D1138" s="2" t="s">
        <v>97</v>
      </c>
      <c r="E1138" s="2" t="s">
        <v>137</v>
      </c>
      <c r="F1138" s="4" t="s">
        <v>138</v>
      </c>
      <c r="G1138" s="4" t="s">
        <v>139</v>
      </c>
      <c r="H1138" s="5">
        <v>9</v>
      </c>
      <c r="I1138" s="5">
        <v>10.5</v>
      </c>
      <c r="J1138" s="5">
        <v>13</v>
      </c>
      <c r="K1138" s="4" t="s">
        <v>111</v>
      </c>
      <c r="L1138" s="4" t="s">
        <v>112</v>
      </c>
      <c r="M1138" s="6">
        <f>IF(OR(B1138="",I1138=""),"",B1138*I1138)</f>
        <v>789.6</v>
      </c>
      <c r="N1138" s="25" t="s">
        <v>113</v>
      </c>
      <c r="O1138" s="26">
        <v>55253</v>
      </c>
      <c r="P1138" s="9" t="s">
        <v>527</v>
      </c>
      <c r="Q1138" s="27">
        <v>59759.999000000003</v>
      </c>
      <c r="R1138" s="27">
        <v>845329</v>
      </c>
      <c r="S1138" s="23">
        <f>IF(AND(ISNUMBER(Q1138),Q1138&gt;0,ISNUMBER(R1138),R1138&gt;0),R1138/Q1138,"")</f>
        <v>14.145398496408943</v>
      </c>
      <c r="T1138" s="9" t="s">
        <v>115</v>
      </c>
      <c r="U1138" s="9" t="s">
        <v>141</v>
      </c>
      <c r="V1138" s="9" t="s">
        <v>21</v>
      </c>
      <c r="W1138" s="9" t="s">
        <v>528</v>
      </c>
      <c r="X1138" s="23">
        <f>IF(ISNUMBER(S1138),S1138,IF(ISNUMBER(I1138),I1138,""))</f>
        <v>14.145398496408943</v>
      </c>
      <c r="Y1138" t="str">
        <f>IF(ISNUMBER(S1138),"2025 EIA-923 plant/group proxy",IF(ISNUMBER(I1138),"Technology estimate","No thermal heat rate"))</f>
        <v>2025 EIA-923 plant/group proxy</v>
      </c>
      <c r="Z1138" t="str">
        <f>IF(ISNUMBER(S1138),"Review: NOT unit verified",IF(AE1138="No match","No EIA match",IF(AF1138="Unconfirmed","Unconfirmed EIA candidate","")))</f>
        <v>Review: NOT unit verified</v>
      </c>
      <c r="AA1138" s="26">
        <v>0.81499999999999995</v>
      </c>
      <c r="AB1138" t="s">
        <v>166</v>
      </c>
      <c r="AC1138" t="s">
        <v>529</v>
      </c>
      <c r="AD1138" s="26">
        <v>300</v>
      </c>
      <c r="AE1138" t="s">
        <v>120</v>
      </c>
      <c r="AF1138" t="s">
        <v>121</v>
      </c>
      <c r="AG1138" s="27">
        <v>14.1454</v>
      </c>
      <c r="AH1138" s="34">
        <f t="shared" si="40"/>
        <v>176936.89999999991</v>
      </c>
      <c r="AI1138">
        <f t="shared" si="39"/>
        <v>110493.99596896458</v>
      </c>
      <c r="AJ1138" t="b" cm="1">
        <f t="array" ref="AJ1138">OR(D1138=$AT$2:$AT$8)</f>
        <v>0</v>
      </c>
    </row>
    <row r="1139" spans="1:36" x14ac:dyDescent="0.25">
      <c r="A1139" s="2" t="s">
        <v>530</v>
      </c>
      <c r="B1139" s="3">
        <v>75.2</v>
      </c>
      <c r="C1139" s="2" t="s">
        <v>97</v>
      </c>
      <c r="D1139" s="2" t="s">
        <v>97</v>
      </c>
      <c r="E1139" s="2" t="s">
        <v>137</v>
      </c>
      <c r="F1139" s="4" t="s">
        <v>138</v>
      </c>
      <c r="G1139" s="4" t="s">
        <v>139</v>
      </c>
      <c r="H1139" s="5">
        <v>9</v>
      </c>
      <c r="I1139" s="5">
        <v>10.5</v>
      </c>
      <c r="J1139" s="5">
        <v>13</v>
      </c>
      <c r="K1139" s="4" t="s">
        <v>111</v>
      </c>
      <c r="L1139" s="4" t="s">
        <v>112</v>
      </c>
      <c r="M1139" s="6">
        <f>IF(OR(B1139="",I1139=""),"",B1139*I1139)</f>
        <v>789.6</v>
      </c>
      <c r="N1139" s="25" t="s">
        <v>113</v>
      </c>
      <c r="O1139" s="26">
        <v>55253</v>
      </c>
      <c r="P1139" s="9" t="s">
        <v>527</v>
      </c>
      <c r="Q1139" s="27">
        <v>59759.999000000003</v>
      </c>
      <c r="R1139" s="27">
        <v>845329</v>
      </c>
      <c r="S1139" s="23">
        <f>IF(AND(ISNUMBER(Q1139),Q1139&gt;0,ISNUMBER(R1139),R1139&gt;0),R1139/Q1139,"")</f>
        <v>14.145398496408943</v>
      </c>
      <c r="T1139" s="9" t="s">
        <v>115</v>
      </c>
      <c r="U1139" s="9" t="s">
        <v>141</v>
      </c>
      <c r="V1139" s="9" t="s">
        <v>21</v>
      </c>
      <c r="W1139" s="9" t="s">
        <v>528</v>
      </c>
      <c r="X1139" s="23">
        <f>IF(ISNUMBER(S1139),S1139,IF(ISNUMBER(I1139),I1139,""))</f>
        <v>14.145398496408943</v>
      </c>
      <c r="Y1139" t="str">
        <f>IF(ISNUMBER(S1139),"2025 EIA-923 plant/group proxy",IF(ISNUMBER(I1139),"Technology estimate","No thermal heat rate"))</f>
        <v>2025 EIA-923 plant/group proxy</v>
      </c>
      <c r="Z1139" t="str">
        <f>IF(ISNUMBER(S1139),"Review: NOT unit verified",IF(AE1139="No match","No EIA match",IF(AF1139="Unconfirmed","Unconfirmed EIA candidate","")))</f>
        <v>Review: NOT unit verified</v>
      </c>
      <c r="AA1139" s="26">
        <v>0.81499999999999995</v>
      </c>
      <c r="AB1139" t="s">
        <v>166</v>
      </c>
      <c r="AC1139" t="s">
        <v>529</v>
      </c>
      <c r="AD1139" s="26">
        <v>300</v>
      </c>
      <c r="AE1139" t="s">
        <v>120</v>
      </c>
      <c r="AF1139" t="s">
        <v>121</v>
      </c>
      <c r="AG1139" s="27">
        <v>14.1454</v>
      </c>
      <c r="AH1139" s="34">
        <f t="shared" si="40"/>
        <v>177012.09999999992</v>
      </c>
      <c r="AI1139">
        <f t="shared" si="39"/>
        <v>110540.95705224833</v>
      </c>
      <c r="AJ1139" t="b" cm="1">
        <f t="array" ref="AJ1139">OR(D1139=$AT$2:$AT$8)</f>
        <v>0</v>
      </c>
    </row>
    <row r="1140" spans="1:36" x14ac:dyDescent="0.25">
      <c r="A1140" s="2" t="s">
        <v>531</v>
      </c>
      <c r="B1140" s="3">
        <v>75.2</v>
      </c>
      <c r="C1140" s="2" t="s">
        <v>97</v>
      </c>
      <c r="D1140" s="2" t="s">
        <v>97</v>
      </c>
      <c r="E1140" s="2" t="s">
        <v>137</v>
      </c>
      <c r="F1140" s="4" t="s">
        <v>138</v>
      </c>
      <c r="G1140" s="4" t="s">
        <v>139</v>
      </c>
      <c r="H1140" s="5">
        <v>9</v>
      </c>
      <c r="I1140" s="5">
        <v>10.5</v>
      </c>
      <c r="J1140" s="5">
        <v>13</v>
      </c>
      <c r="K1140" s="4" t="s">
        <v>111</v>
      </c>
      <c r="L1140" s="4" t="s">
        <v>112</v>
      </c>
      <c r="M1140" s="6">
        <f>IF(OR(B1140="",I1140=""),"",B1140*I1140)</f>
        <v>789.6</v>
      </c>
      <c r="N1140" s="25" t="s">
        <v>113</v>
      </c>
      <c r="O1140" s="26">
        <v>55253</v>
      </c>
      <c r="P1140" s="9" t="s">
        <v>527</v>
      </c>
      <c r="Q1140" s="27">
        <v>59759.999000000003</v>
      </c>
      <c r="R1140" s="27">
        <v>845329</v>
      </c>
      <c r="S1140" s="23">
        <f>IF(AND(ISNUMBER(Q1140),Q1140&gt;0,ISNUMBER(R1140),R1140&gt;0),R1140/Q1140,"")</f>
        <v>14.145398496408943</v>
      </c>
      <c r="T1140" s="9" t="s">
        <v>115</v>
      </c>
      <c r="U1140" s="9" t="s">
        <v>141</v>
      </c>
      <c r="V1140" s="9" t="s">
        <v>21</v>
      </c>
      <c r="W1140" s="9" t="s">
        <v>528</v>
      </c>
      <c r="X1140" s="23">
        <f>IF(ISNUMBER(S1140),S1140,IF(ISNUMBER(I1140),I1140,""))</f>
        <v>14.145398496408943</v>
      </c>
      <c r="Y1140" t="str">
        <f>IF(ISNUMBER(S1140),"2025 EIA-923 plant/group proxy",IF(ISNUMBER(I1140),"Technology estimate","No thermal heat rate"))</f>
        <v>2025 EIA-923 plant/group proxy</v>
      </c>
      <c r="Z1140" t="str">
        <f>IF(ISNUMBER(S1140),"Review: NOT unit verified",IF(AE1140="No match","No EIA match",IF(AF1140="Unconfirmed","Unconfirmed EIA candidate","")))</f>
        <v>Review: NOT unit verified</v>
      </c>
      <c r="AA1140" s="26">
        <v>0.81499999999999995</v>
      </c>
      <c r="AB1140" t="s">
        <v>166</v>
      </c>
      <c r="AC1140" t="s">
        <v>529</v>
      </c>
      <c r="AD1140" s="26">
        <v>300</v>
      </c>
      <c r="AE1140" t="s">
        <v>120</v>
      </c>
      <c r="AF1140" t="s">
        <v>121</v>
      </c>
      <c r="AG1140" s="27">
        <v>14.1454</v>
      </c>
      <c r="AH1140" s="34">
        <f t="shared" si="40"/>
        <v>177087.29999999993</v>
      </c>
      <c r="AI1140">
        <f t="shared" si="39"/>
        <v>110587.91813553206</v>
      </c>
      <c r="AJ1140" t="b" cm="1">
        <f t="array" ref="AJ1140">OR(D1140=$AT$2:$AT$8)</f>
        <v>0</v>
      </c>
    </row>
    <row r="1141" spans="1:36" x14ac:dyDescent="0.25">
      <c r="A1141" s="2" t="s">
        <v>532</v>
      </c>
      <c r="B1141" s="3">
        <v>75.2</v>
      </c>
      <c r="C1141" s="2" t="s">
        <v>97</v>
      </c>
      <c r="D1141" s="2" t="s">
        <v>97</v>
      </c>
      <c r="E1141" s="2" t="s">
        <v>137</v>
      </c>
      <c r="F1141" s="4" t="s">
        <v>138</v>
      </c>
      <c r="G1141" s="4" t="s">
        <v>139</v>
      </c>
      <c r="H1141" s="5">
        <v>9</v>
      </c>
      <c r="I1141" s="5">
        <v>10.5</v>
      </c>
      <c r="J1141" s="5">
        <v>13</v>
      </c>
      <c r="K1141" s="4" t="s">
        <v>111</v>
      </c>
      <c r="L1141" s="4" t="s">
        <v>112</v>
      </c>
      <c r="M1141" s="6">
        <f>IF(OR(B1141="",I1141=""),"",B1141*I1141)</f>
        <v>789.6</v>
      </c>
      <c r="N1141" s="25" t="s">
        <v>113</v>
      </c>
      <c r="O1141" s="26">
        <v>55253</v>
      </c>
      <c r="P1141" s="9" t="s">
        <v>527</v>
      </c>
      <c r="Q1141" s="27">
        <v>59759.999000000003</v>
      </c>
      <c r="R1141" s="27">
        <v>845329</v>
      </c>
      <c r="S1141" s="23">
        <f>IF(AND(ISNUMBER(Q1141),Q1141&gt;0,ISNUMBER(R1141),R1141&gt;0),R1141/Q1141,"")</f>
        <v>14.145398496408943</v>
      </c>
      <c r="T1141" s="9" t="s">
        <v>115</v>
      </c>
      <c r="U1141" s="9" t="s">
        <v>141</v>
      </c>
      <c r="V1141" s="9" t="s">
        <v>21</v>
      </c>
      <c r="W1141" s="9" t="s">
        <v>528</v>
      </c>
      <c r="X1141" s="23">
        <f>IF(ISNUMBER(S1141),S1141,IF(ISNUMBER(I1141),I1141,""))</f>
        <v>14.145398496408943</v>
      </c>
      <c r="Y1141" t="str">
        <f>IF(ISNUMBER(S1141),"2025 EIA-923 plant/group proxy",IF(ISNUMBER(I1141),"Technology estimate","No thermal heat rate"))</f>
        <v>2025 EIA-923 plant/group proxy</v>
      </c>
      <c r="Z1141" t="str">
        <f>IF(ISNUMBER(S1141),"Review: NOT unit verified",IF(AE1141="No match","No EIA match",IF(AF1141="Unconfirmed","Unconfirmed EIA candidate","")))</f>
        <v>Review: NOT unit verified</v>
      </c>
      <c r="AA1141" s="26">
        <v>0.81499999999999995</v>
      </c>
      <c r="AB1141" t="s">
        <v>166</v>
      </c>
      <c r="AC1141" t="s">
        <v>529</v>
      </c>
      <c r="AD1141" s="26">
        <v>300</v>
      </c>
      <c r="AE1141" t="s">
        <v>120</v>
      </c>
      <c r="AF1141" t="s">
        <v>121</v>
      </c>
      <c r="AG1141" s="27">
        <v>14.1454</v>
      </c>
      <c r="AH1141" s="34">
        <f t="shared" si="40"/>
        <v>177162.49999999994</v>
      </c>
      <c r="AI1141">
        <f t="shared" si="39"/>
        <v>110634.87921881581</v>
      </c>
      <c r="AJ1141" t="b" cm="1">
        <f t="array" ref="AJ1141">OR(D1141=$AT$2:$AT$8)</f>
        <v>0</v>
      </c>
    </row>
    <row r="1142" spans="1:36" x14ac:dyDescent="0.25">
      <c r="A1142" s="2" t="s">
        <v>1740</v>
      </c>
      <c r="B1142" s="3">
        <v>305</v>
      </c>
      <c r="C1142" s="2" t="s">
        <v>305</v>
      </c>
      <c r="D1142" s="2" t="s">
        <v>305</v>
      </c>
      <c r="E1142" s="2" t="s">
        <v>189</v>
      </c>
      <c r="F1142" s="4" t="s">
        <v>103</v>
      </c>
      <c r="G1142" s="4" t="s">
        <v>190</v>
      </c>
      <c r="H1142" s="5"/>
      <c r="I1142" s="5"/>
      <c r="J1142" s="5"/>
      <c r="K1142" s="4" t="s">
        <v>105</v>
      </c>
      <c r="L1142" s="4" t="s">
        <v>191</v>
      </c>
      <c r="M1142" s="6" t="str">
        <f>IF(OR(B1142="",I1142=""),"",B1142*I1142)</f>
        <v/>
      </c>
      <c r="N1142" s="25" t="s">
        <v>113</v>
      </c>
      <c r="O1142" s="26">
        <v>1554</v>
      </c>
      <c r="P1142" s="9" t="s">
        <v>1741</v>
      </c>
      <c r="Q1142" s="27">
        <v>186004</v>
      </c>
      <c r="R1142" s="27">
        <v>2634915</v>
      </c>
      <c r="S1142" s="23">
        <f>IF(AND(ISNUMBER(Q1142),Q1142&gt;0,ISNUMBER(R1142),R1142&gt;0),R1142/Q1142,"")</f>
        <v>14.165905034300337</v>
      </c>
      <c r="T1142" s="9" t="s">
        <v>115</v>
      </c>
      <c r="U1142" s="9" t="s">
        <v>1203</v>
      </c>
      <c r="V1142" s="9" t="s">
        <v>21</v>
      </c>
      <c r="W1142" s="9" t="s">
        <v>240</v>
      </c>
      <c r="X1142" s="23">
        <f>IF(ISNUMBER(S1142),S1142,IF(ISNUMBER(I1142),I1142,""))</f>
        <v>14.165905034300337</v>
      </c>
      <c r="Y1142" t="str">
        <f>IF(ISNUMBER(S1142),"2025 EIA-923 plant/group proxy",IF(ISNUMBER(I1142),"Technology estimate","No thermal heat rate"))</f>
        <v>2025 EIA-923 plant/group proxy</v>
      </c>
      <c r="Z1142" t="str">
        <f>IF(ISNUMBER(S1142),"Review: NOT unit verified",IF(AE1142="No match","No EIA match",IF(AF1142="Unconfirmed","Unconfirmed EIA candidate","")))</f>
        <v>Review: NOT unit verified</v>
      </c>
      <c r="AA1142" s="26">
        <v>0.82299999999999995</v>
      </c>
      <c r="AB1142" t="s">
        <v>307</v>
      </c>
      <c r="AC1142" t="s">
        <v>407</v>
      </c>
      <c r="AD1142" s="26">
        <v>702</v>
      </c>
      <c r="AE1142" t="s">
        <v>120</v>
      </c>
      <c r="AF1142" t="s">
        <v>121</v>
      </c>
      <c r="AG1142" s="27">
        <v>14.165900000000001</v>
      </c>
      <c r="AH1142" s="34">
        <f t="shared" si="40"/>
        <v>177467.49999999994</v>
      </c>
      <c r="AI1142">
        <f t="shared" si="39"/>
        <v>110825.34637841074</v>
      </c>
      <c r="AJ1142" t="b" cm="1">
        <f t="array" ref="AJ1142">OR(D1142=$AT$2:$AT$8)</f>
        <v>1</v>
      </c>
    </row>
    <row r="1143" spans="1:36" x14ac:dyDescent="0.25">
      <c r="A1143" s="2" t="s">
        <v>1742</v>
      </c>
      <c r="B1143" s="3">
        <v>397</v>
      </c>
      <c r="C1143" s="2" t="s">
        <v>305</v>
      </c>
      <c r="D1143" s="2" t="s">
        <v>305</v>
      </c>
      <c r="E1143" s="2" t="s">
        <v>189</v>
      </c>
      <c r="F1143" s="4" t="s">
        <v>103</v>
      </c>
      <c r="G1143" s="4" t="s">
        <v>190</v>
      </c>
      <c r="H1143" s="5"/>
      <c r="I1143" s="5"/>
      <c r="J1143" s="5"/>
      <c r="K1143" s="4" t="s">
        <v>105</v>
      </c>
      <c r="L1143" s="4" t="s">
        <v>191</v>
      </c>
      <c r="M1143" s="6" t="str">
        <f>IF(OR(B1143="",I1143=""),"",B1143*I1143)</f>
        <v/>
      </c>
      <c r="N1143" s="25" t="s">
        <v>113</v>
      </c>
      <c r="O1143" s="26">
        <v>1554</v>
      </c>
      <c r="P1143" s="9" t="s">
        <v>1741</v>
      </c>
      <c r="Q1143" s="27">
        <v>186004</v>
      </c>
      <c r="R1143" s="27">
        <v>2634915</v>
      </c>
      <c r="S1143" s="23">
        <f>IF(AND(ISNUMBER(Q1143),Q1143&gt;0,ISNUMBER(R1143),R1143&gt;0),R1143/Q1143,"")</f>
        <v>14.165905034300337</v>
      </c>
      <c r="T1143" s="9" t="s">
        <v>115</v>
      </c>
      <c r="U1143" s="9" t="s">
        <v>1203</v>
      </c>
      <c r="V1143" s="9" t="s">
        <v>21</v>
      </c>
      <c r="W1143" s="9" t="s">
        <v>240</v>
      </c>
      <c r="X1143" s="23">
        <f>IF(ISNUMBER(S1143),S1143,IF(ISNUMBER(I1143),I1143,""))</f>
        <v>14.165905034300337</v>
      </c>
      <c r="Y1143" t="str">
        <f>IF(ISNUMBER(S1143),"2025 EIA-923 plant/group proxy",IF(ISNUMBER(I1143),"Technology estimate","No thermal heat rate"))</f>
        <v>2025 EIA-923 plant/group proxy</v>
      </c>
      <c r="Z1143" t="str">
        <f>IF(ISNUMBER(S1143),"Review: NOT unit verified",IF(AE1143="No match","No EIA match",IF(AF1143="Unconfirmed","Unconfirmed EIA candidate","")))</f>
        <v>Review: NOT unit verified</v>
      </c>
      <c r="AA1143" s="26">
        <v>0.82299999999999995</v>
      </c>
      <c r="AB1143" t="s">
        <v>307</v>
      </c>
      <c r="AC1143" t="s">
        <v>407</v>
      </c>
      <c r="AD1143" s="26">
        <v>702</v>
      </c>
      <c r="AE1143" t="s">
        <v>120</v>
      </c>
      <c r="AF1143" t="s">
        <v>121</v>
      </c>
      <c r="AG1143" s="27">
        <v>14.165900000000001</v>
      </c>
      <c r="AH1143" s="34">
        <f t="shared" si="40"/>
        <v>177864.49999999994</v>
      </c>
      <c r="AI1143">
        <f t="shared" si="39"/>
        <v>111073.26592712941</v>
      </c>
      <c r="AJ1143" t="b" cm="1">
        <f t="array" ref="AJ1143">OR(D1143=$AT$2:$AT$8)</f>
        <v>1</v>
      </c>
    </row>
    <row r="1144" spans="1:36" x14ac:dyDescent="0.25">
      <c r="A1144" s="2" t="s">
        <v>1393</v>
      </c>
      <c r="B1144" s="3">
        <v>16</v>
      </c>
      <c r="C1144" s="2" t="s">
        <v>75</v>
      </c>
      <c r="D1144" s="2" t="s">
        <v>76</v>
      </c>
      <c r="E1144" s="2" t="s">
        <v>125</v>
      </c>
      <c r="F1144" s="4" t="s">
        <v>126</v>
      </c>
      <c r="G1144" s="4" t="s">
        <v>127</v>
      </c>
      <c r="H1144" s="5">
        <v>9.1999999999999993</v>
      </c>
      <c r="I1144" s="5">
        <v>10.8</v>
      </c>
      <c r="J1144" s="5">
        <v>13.5</v>
      </c>
      <c r="K1144" s="4" t="s">
        <v>111</v>
      </c>
      <c r="L1144" s="4" t="s">
        <v>128</v>
      </c>
      <c r="M1144" s="6">
        <f>IF(OR(B1144="",I1144=""),"",B1144*I1144)</f>
        <v>172.8</v>
      </c>
      <c r="N1144" s="25" t="s">
        <v>113</v>
      </c>
      <c r="O1144" s="26">
        <v>3113</v>
      </c>
      <c r="P1144" s="9" t="s">
        <v>1394</v>
      </c>
      <c r="Q1144" s="27">
        <v>9794</v>
      </c>
      <c r="R1144" s="27">
        <v>138910</v>
      </c>
      <c r="S1144" s="23">
        <f>IF(AND(ISNUMBER(Q1144),Q1144&gt;0,ISNUMBER(R1144),R1144&gt;0),R1144/Q1144,"")</f>
        <v>14.183173371451909</v>
      </c>
      <c r="T1144" s="9" t="s">
        <v>115</v>
      </c>
      <c r="U1144" s="9" t="s">
        <v>584</v>
      </c>
      <c r="V1144" s="9" t="s">
        <v>21</v>
      </c>
      <c r="W1144" s="9" t="s">
        <v>240</v>
      </c>
      <c r="X1144" s="23">
        <f>IF(ISNUMBER(S1144),S1144,IF(ISNUMBER(I1144),I1144,""))</f>
        <v>14.183173371451909</v>
      </c>
      <c r="Y1144" t="str">
        <f>IF(ISNUMBER(S1144),"2025 EIA-923 plant/group proxy",IF(ISNUMBER(I1144),"Technology estimate","No thermal heat rate"))</f>
        <v>2025 EIA-923 plant/group proxy</v>
      </c>
      <c r="Z1144" t="str">
        <f>IF(ISNUMBER(S1144),"Review: NOT unit verified",IF(AE1144="No match","No EIA match",IF(AF1144="Unconfirmed","Unconfirmed EIA candidate","")))</f>
        <v>Review: NOT unit verified</v>
      </c>
      <c r="AA1144" s="26">
        <v>0.86660000000000004</v>
      </c>
      <c r="AB1144" t="s">
        <v>143</v>
      </c>
      <c r="AC1144" t="s">
        <v>673</v>
      </c>
      <c r="AD1144" s="26">
        <v>177.5</v>
      </c>
      <c r="AE1144" t="s">
        <v>120</v>
      </c>
      <c r="AF1144" t="s">
        <v>121</v>
      </c>
      <c r="AG1144" s="27">
        <v>14.183199999999999</v>
      </c>
      <c r="AH1144" s="34">
        <f t="shared" si="40"/>
        <v>177880.49999999994</v>
      </c>
      <c r="AI1144">
        <f t="shared" si="39"/>
        <v>111083.25764697701</v>
      </c>
      <c r="AJ1144" t="b" cm="1">
        <f t="array" ref="AJ1144">OR(D1144=$AT$2:$AT$8)</f>
        <v>0</v>
      </c>
    </row>
    <row r="1145" spans="1:36" x14ac:dyDescent="0.25">
      <c r="A1145" s="2" t="s">
        <v>1395</v>
      </c>
      <c r="B1145" s="3">
        <v>21</v>
      </c>
      <c r="C1145" s="2" t="s">
        <v>75</v>
      </c>
      <c r="D1145" s="2" t="s">
        <v>76</v>
      </c>
      <c r="E1145" s="2" t="s">
        <v>125</v>
      </c>
      <c r="F1145" s="4" t="s">
        <v>126</v>
      </c>
      <c r="G1145" s="4" t="s">
        <v>127</v>
      </c>
      <c r="H1145" s="5">
        <v>9.1999999999999993</v>
      </c>
      <c r="I1145" s="5">
        <v>10.8</v>
      </c>
      <c r="J1145" s="5">
        <v>13.5</v>
      </c>
      <c r="K1145" s="4" t="s">
        <v>111</v>
      </c>
      <c r="L1145" s="4" t="s">
        <v>128</v>
      </c>
      <c r="M1145" s="6">
        <f>IF(OR(B1145="",I1145=""),"",B1145*I1145)</f>
        <v>226.8</v>
      </c>
      <c r="N1145" s="25" t="s">
        <v>113</v>
      </c>
      <c r="O1145" s="26">
        <v>3113</v>
      </c>
      <c r="P1145" s="9" t="s">
        <v>1394</v>
      </c>
      <c r="Q1145" s="27">
        <v>9794</v>
      </c>
      <c r="R1145" s="27">
        <v>138910</v>
      </c>
      <c r="S1145" s="23">
        <f>IF(AND(ISNUMBER(Q1145),Q1145&gt;0,ISNUMBER(R1145),R1145&gt;0),R1145/Q1145,"")</f>
        <v>14.183173371451909</v>
      </c>
      <c r="T1145" s="9" t="s">
        <v>115</v>
      </c>
      <c r="U1145" s="9" t="s">
        <v>584</v>
      </c>
      <c r="V1145" s="9" t="s">
        <v>21</v>
      </c>
      <c r="W1145" s="9" t="s">
        <v>240</v>
      </c>
      <c r="X1145" s="23">
        <f>IF(ISNUMBER(S1145),S1145,IF(ISNUMBER(I1145),I1145,""))</f>
        <v>14.183173371451909</v>
      </c>
      <c r="Y1145" t="str">
        <f>IF(ISNUMBER(S1145),"2025 EIA-923 plant/group proxy",IF(ISNUMBER(I1145),"Technology estimate","No thermal heat rate"))</f>
        <v>2025 EIA-923 plant/group proxy</v>
      </c>
      <c r="Z1145" t="str">
        <f>IF(ISNUMBER(S1145),"Review: NOT unit verified",IF(AE1145="No match","No EIA match",IF(AF1145="Unconfirmed","Unconfirmed EIA candidate","")))</f>
        <v>Review: NOT unit verified</v>
      </c>
      <c r="AA1145" s="26">
        <v>0.86660000000000004</v>
      </c>
      <c r="AB1145" t="s">
        <v>143</v>
      </c>
      <c r="AC1145" t="s">
        <v>673</v>
      </c>
      <c r="AD1145" s="26">
        <v>177.5</v>
      </c>
      <c r="AE1145" t="s">
        <v>120</v>
      </c>
      <c r="AF1145" t="s">
        <v>121</v>
      </c>
      <c r="AG1145" s="27">
        <v>14.183199999999999</v>
      </c>
      <c r="AH1145" s="34">
        <f t="shared" si="40"/>
        <v>177901.49999999994</v>
      </c>
      <c r="AI1145">
        <f t="shared" si="39"/>
        <v>111096.37177927699</v>
      </c>
      <c r="AJ1145" t="b" cm="1">
        <f t="array" ref="AJ1145">OR(D1145=$AT$2:$AT$8)</f>
        <v>0</v>
      </c>
    </row>
    <row r="1146" spans="1:36" x14ac:dyDescent="0.25">
      <c r="A1146" s="2" t="s">
        <v>1328</v>
      </c>
      <c r="B1146" s="3">
        <v>80</v>
      </c>
      <c r="C1146" s="2" t="s">
        <v>75</v>
      </c>
      <c r="D1146" s="2" t="s">
        <v>76</v>
      </c>
      <c r="E1146" s="2" t="s">
        <v>109</v>
      </c>
      <c r="F1146" s="4" t="s">
        <v>109</v>
      </c>
      <c r="G1146" s="4" t="s">
        <v>110</v>
      </c>
      <c r="H1146" s="5">
        <v>9</v>
      </c>
      <c r="I1146" s="5">
        <v>10.3</v>
      </c>
      <c r="J1146" s="5">
        <v>12</v>
      </c>
      <c r="K1146" s="4" t="s">
        <v>111</v>
      </c>
      <c r="L1146" s="4" t="s">
        <v>112</v>
      </c>
      <c r="M1146" s="6">
        <f>IF(OR(B1146="",I1146=""),"",B1146*I1146)</f>
        <v>824</v>
      </c>
      <c r="N1146" s="28" t="s">
        <v>113</v>
      </c>
      <c r="O1146" s="26">
        <v>50776</v>
      </c>
      <c r="P1146" s="9" t="s">
        <v>1329</v>
      </c>
      <c r="Q1146" s="27">
        <v>336881.21299999999</v>
      </c>
      <c r="R1146" s="27">
        <v>4908175</v>
      </c>
      <c r="S1146" s="23">
        <f>IF(AND(ISNUMBER(Q1146),Q1146&gt;0,ISNUMBER(R1146),R1146&gt;0),R1146/Q1146,"")</f>
        <v>14.569453001821151</v>
      </c>
      <c r="T1146" s="9" t="s">
        <v>115</v>
      </c>
      <c r="U1146" s="9" t="s">
        <v>1330</v>
      </c>
      <c r="V1146" s="9" t="s">
        <v>21</v>
      </c>
      <c r="W1146" s="9" t="s">
        <v>142</v>
      </c>
      <c r="X1146" s="23">
        <f>IF(ISNUMBER(S1146),S1146,IF(ISNUMBER(I1146),I1146,""))</f>
        <v>14.569453001821151</v>
      </c>
      <c r="Y1146" t="str">
        <f>IF(ISNUMBER(S1146),"2025 EIA-923 plant/group proxy",IF(ISNUMBER(I1146),"Technology estimate","No thermal heat rate"))</f>
        <v>2025 EIA-923 plant/group proxy</v>
      </c>
      <c r="Z1146" t="str">
        <f>IF(ISNUMBER(S1146),"Review: NOT unit verified",IF(AE1146="No match","No EIA match",IF(AF1146="Unconfirmed","Unconfirmed EIA candidate","")))</f>
        <v>Review: NOT unit verified</v>
      </c>
      <c r="AA1146" s="26">
        <v>0.77270000000000005</v>
      </c>
      <c r="AB1146" t="s">
        <v>143</v>
      </c>
      <c r="AC1146" t="s">
        <v>282</v>
      </c>
      <c r="AD1146" s="26">
        <v>80</v>
      </c>
      <c r="AE1146" t="s">
        <v>120</v>
      </c>
      <c r="AF1146" t="s">
        <v>145</v>
      </c>
      <c r="AG1146" s="27">
        <v>14.5695</v>
      </c>
      <c r="AH1146" s="34">
        <f t="shared" si="40"/>
        <v>177981.49999999994</v>
      </c>
      <c r="AI1146">
        <f t="shared" si="39"/>
        <v>111146.33037851501</v>
      </c>
      <c r="AJ1146" t="b" cm="1">
        <f t="array" ref="AJ1146">OR(D1146=$AT$2:$AT$8)</f>
        <v>0</v>
      </c>
    </row>
    <row r="1147" spans="1:36" x14ac:dyDescent="0.25">
      <c r="A1147" s="2" t="s">
        <v>582</v>
      </c>
      <c r="B1147" s="3">
        <v>55</v>
      </c>
      <c r="C1147" s="2" t="s">
        <v>68</v>
      </c>
      <c r="D1147" s="2" t="s">
        <v>58</v>
      </c>
      <c r="E1147" s="2" t="s">
        <v>137</v>
      </c>
      <c r="F1147" s="4" t="s">
        <v>138</v>
      </c>
      <c r="G1147" s="4" t="s">
        <v>139</v>
      </c>
      <c r="H1147" s="5">
        <v>9</v>
      </c>
      <c r="I1147" s="5">
        <v>10.5</v>
      </c>
      <c r="J1147" s="5">
        <v>13</v>
      </c>
      <c r="K1147" s="4" t="s">
        <v>111</v>
      </c>
      <c r="L1147" s="4" t="s">
        <v>112</v>
      </c>
      <c r="M1147" s="6">
        <f>IF(OR(B1147="",I1147=""),"",B1147*I1147)</f>
        <v>577.5</v>
      </c>
      <c r="N1147" s="28" t="s">
        <v>113</v>
      </c>
      <c r="O1147" s="26">
        <v>3160</v>
      </c>
      <c r="P1147" s="9" t="s">
        <v>583</v>
      </c>
      <c r="Q1147" s="27">
        <v>1845</v>
      </c>
      <c r="R1147" s="27">
        <v>26889</v>
      </c>
      <c r="S1147" s="23">
        <f>IF(AND(ISNUMBER(Q1147),Q1147&gt;0,ISNUMBER(R1147),R1147&gt;0),R1147/Q1147,"")</f>
        <v>14.573983739837399</v>
      </c>
      <c r="T1147" s="9" t="s">
        <v>115</v>
      </c>
      <c r="U1147" s="9" t="s">
        <v>584</v>
      </c>
      <c r="V1147" s="9" t="s">
        <v>21</v>
      </c>
      <c r="W1147" s="9" t="s">
        <v>585</v>
      </c>
      <c r="X1147" s="23">
        <f>IF(ISNUMBER(S1147),S1147,IF(ISNUMBER(I1147),I1147,""))</f>
        <v>14.573983739837399</v>
      </c>
      <c r="Y1147" t="str">
        <f>IF(ISNUMBER(S1147),"2025 EIA-923 plant/group proxy",IF(ISNUMBER(I1147),"Technology estimate","No thermal heat rate"))</f>
        <v>2025 EIA-923 plant/group proxy</v>
      </c>
      <c r="Z1147" t="str">
        <f>IF(ISNUMBER(S1147),"Review: NOT unit verified",IF(AE1147="No match","No EIA match",IF(AF1147="Unconfirmed","Unconfirmed EIA candidate","")))</f>
        <v>Review: NOT unit verified</v>
      </c>
      <c r="AA1147" s="26">
        <v>0.65210000000000001</v>
      </c>
      <c r="AB1147" t="s">
        <v>143</v>
      </c>
      <c r="AC1147" t="s">
        <v>586</v>
      </c>
      <c r="AD1147" s="26">
        <v>56</v>
      </c>
      <c r="AE1147" t="s">
        <v>120</v>
      </c>
      <c r="AF1147" t="s">
        <v>145</v>
      </c>
      <c r="AG1147" s="27">
        <v>14.574</v>
      </c>
      <c r="AH1147" s="34">
        <f t="shared" si="40"/>
        <v>178036.49999999994</v>
      </c>
      <c r="AI1147">
        <f t="shared" si="39"/>
        <v>111180.67691549115</v>
      </c>
      <c r="AJ1147" t="b" cm="1">
        <f t="array" ref="AJ1147">OR(D1147=$AT$2:$AT$8)</f>
        <v>0</v>
      </c>
    </row>
    <row r="1148" spans="1:36" x14ac:dyDescent="0.25">
      <c r="A1148" s="2" t="s">
        <v>587</v>
      </c>
      <c r="B1148" s="3">
        <v>57</v>
      </c>
      <c r="C1148" s="2" t="s">
        <v>68</v>
      </c>
      <c r="D1148" s="2" t="s">
        <v>58</v>
      </c>
      <c r="E1148" s="2" t="s">
        <v>137</v>
      </c>
      <c r="F1148" s="4" t="s">
        <v>138</v>
      </c>
      <c r="G1148" s="4" t="s">
        <v>139</v>
      </c>
      <c r="H1148" s="5">
        <v>9</v>
      </c>
      <c r="I1148" s="5">
        <v>10.5</v>
      </c>
      <c r="J1148" s="5">
        <v>13</v>
      </c>
      <c r="K1148" s="4" t="s">
        <v>111</v>
      </c>
      <c r="L1148" s="4" t="s">
        <v>112</v>
      </c>
      <c r="M1148" s="6">
        <f>IF(OR(B1148="",I1148=""),"",B1148*I1148)</f>
        <v>598.5</v>
      </c>
      <c r="N1148" s="28" t="s">
        <v>113</v>
      </c>
      <c r="O1148" s="26">
        <v>3160</v>
      </c>
      <c r="P1148" s="9" t="s">
        <v>583</v>
      </c>
      <c r="Q1148" s="27">
        <v>1845</v>
      </c>
      <c r="R1148" s="27">
        <v>26889</v>
      </c>
      <c r="S1148" s="23">
        <f>IF(AND(ISNUMBER(Q1148),Q1148&gt;0,ISNUMBER(R1148),R1148&gt;0),R1148/Q1148,"")</f>
        <v>14.573983739837399</v>
      </c>
      <c r="T1148" s="9" t="s">
        <v>115</v>
      </c>
      <c r="U1148" s="9" t="s">
        <v>584</v>
      </c>
      <c r="V1148" s="9" t="s">
        <v>21</v>
      </c>
      <c r="W1148" s="9" t="s">
        <v>585</v>
      </c>
      <c r="X1148" s="23">
        <f>IF(ISNUMBER(S1148),S1148,IF(ISNUMBER(I1148),I1148,""))</f>
        <v>14.573983739837399</v>
      </c>
      <c r="Y1148" t="str">
        <f>IF(ISNUMBER(S1148),"2025 EIA-923 plant/group proxy",IF(ISNUMBER(I1148),"Technology estimate","No thermal heat rate"))</f>
        <v>2025 EIA-923 plant/group proxy</v>
      </c>
      <c r="Z1148" t="str">
        <f>IF(ISNUMBER(S1148),"Review: NOT unit verified",IF(AE1148="No match","No EIA match",IF(AF1148="Unconfirmed","Unconfirmed EIA candidate","")))</f>
        <v>Review: NOT unit verified</v>
      </c>
      <c r="AA1148" s="26">
        <v>0.65210000000000001</v>
      </c>
      <c r="AB1148" t="s">
        <v>143</v>
      </c>
      <c r="AC1148" t="s">
        <v>586</v>
      </c>
      <c r="AD1148" s="26">
        <v>56</v>
      </c>
      <c r="AE1148" t="s">
        <v>120</v>
      </c>
      <c r="AF1148" t="s">
        <v>145</v>
      </c>
      <c r="AG1148" s="27">
        <v>14.574</v>
      </c>
      <c r="AH1148" s="34">
        <f t="shared" si="40"/>
        <v>178093.49999999994</v>
      </c>
      <c r="AI1148">
        <f t="shared" si="39"/>
        <v>111216.27241744824</v>
      </c>
      <c r="AJ1148" t="b" cm="1">
        <f t="array" ref="AJ1148">OR(D1148=$AT$2:$AT$8)</f>
        <v>0</v>
      </c>
    </row>
    <row r="1149" spans="1:36" x14ac:dyDescent="0.25">
      <c r="A1149" s="2" t="s">
        <v>956</v>
      </c>
      <c r="B1149" s="3">
        <v>21</v>
      </c>
      <c r="C1149" s="2" t="s">
        <v>75</v>
      </c>
      <c r="D1149" s="2" t="s">
        <v>76</v>
      </c>
      <c r="E1149" s="2" t="s">
        <v>125</v>
      </c>
      <c r="F1149" s="4" t="s">
        <v>126</v>
      </c>
      <c r="G1149" s="4" t="s">
        <v>127</v>
      </c>
      <c r="H1149" s="5">
        <v>9.1999999999999993</v>
      </c>
      <c r="I1149" s="5">
        <v>10.8</v>
      </c>
      <c r="J1149" s="5">
        <v>13.5</v>
      </c>
      <c r="K1149" s="4" t="s">
        <v>111</v>
      </c>
      <c r="L1149" s="4" t="s">
        <v>128</v>
      </c>
      <c r="M1149" s="6">
        <f>IF(OR(B1149="",I1149=""),"",B1149*I1149)</f>
        <v>226.8</v>
      </c>
      <c r="N1149" s="25" t="s">
        <v>113</v>
      </c>
      <c r="O1149" s="26">
        <v>3110</v>
      </c>
      <c r="P1149" s="9" t="s">
        <v>957</v>
      </c>
      <c r="Q1149" s="27">
        <v>24504</v>
      </c>
      <c r="R1149" s="27">
        <v>363984</v>
      </c>
      <c r="S1149" s="23">
        <f>IF(AND(ISNUMBER(Q1149),Q1149&gt;0,ISNUMBER(R1149),R1149&gt;0),R1149/Q1149,"")</f>
        <v>14.854064642507346</v>
      </c>
      <c r="T1149" s="9" t="s">
        <v>115</v>
      </c>
      <c r="U1149" s="9" t="s">
        <v>141</v>
      </c>
      <c r="V1149" s="9" t="s">
        <v>21</v>
      </c>
      <c r="W1149" s="9" t="s">
        <v>117</v>
      </c>
      <c r="X1149" s="23">
        <f>IF(ISNUMBER(S1149),S1149,IF(ISNUMBER(I1149),I1149,""))</f>
        <v>14.854064642507346</v>
      </c>
      <c r="Y1149" t="str">
        <f>IF(ISNUMBER(S1149),"2025 EIA-923 plant/group proxy",IF(ISNUMBER(I1149),"Technology estimate","No thermal heat rate"))</f>
        <v>2025 EIA-923 plant/group proxy</v>
      </c>
      <c r="Z1149" t="str">
        <f>IF(ISNUMBER(S1149),"Review: NOT unit verified",IF(AE1149="No match","No EIA match",IF(AF1149="Unconfirmed","Unconfirmed EIA candidate","")))</f>
        <v>Review: NOT unit verified</v>
      </c>
      <c r="AA1149" s="26">
        <v>1</v>
      </c>
      <c r="AB1149" t="s">
        <v>143</v>
      </c>
      <c r="AC1149" t="s">
        <v>119</v>
      </c>
      <c r="AD1149" s="26">
        <v>64</v>
      </c>
      <c r="AE1149" t="s">
        <v>120</v>
      </c>
      <c r="AF1149" t="s">
        <v>121</v>
      </c>
      <c r="AG1149" s="27">
        <v>14.854100000000001</v>
      </c>
      <c r="AH1149" s="34">
        <f t="shared" si="40"/>
        <v>178114.49999999994</v>
      </c>
      <c r="AI1149">
        <f t="shared" si="39"/>
        <v>111229.38654974822</v>
      </c>
      <c r="AJ1149" t="b" cm="1">
        <f t="array" ref="AJ1149">OR(D1149=$AT$2:$AT$8)</f>
        <v>0</v>
      </c>
    </row>
    <row r="1150" spans="1:36" x14ac:dyDescent="0.25">
      <c r="A1150" s="2" t="s">
        <v>961</v>
      </c>
      <c r="B1150" s="3">
        <v>21.5</v>
      </c>
      <c r="C1150" s="2" t="s">
        <v>75</v>
      </c>
      <c r="D1150" s="2" t="s">
        <v>76</v>
      </c>
      <c r="E1150" s="2" t="s">
        <v>125</v>
      </c>
      <c r="F1150" s="4" t="s">
        <v>126</v>
      </c>
      <c r="G1150" s="4" t="s">
        <v>127</v>
      </c>
      <c r="H1150" s="5">
        <v>9.1999999999999993</v>
      </c>
      <c r="I1150" s="5">
        <v>10.8</v>
      </c>
      <c r="J1150" s="5">
        <v>13.5</v>
      </c>
      <c r="K1150" s="4" t="s">
        <v>111</v>
      </c>
      <c r="L1150" s="4" t="s">
        <v>128</v>
      </c>
      <c r="M1150" s="6">
        <f>IF(OR(B1150="",I1150=""),"",B1150*I1150)</f>
        <v>232.20000000000002</v>
      </c>
      <c r="N1150" s="25" t="s">
        <v>113</v>
      </c>
      <c r="O1150" s="26">
        <v>3110</v>
      </c>
      <c r="P1150" s="9" t="s">
        <v>957</v>
      </c>
      <c r="Q1150" s="27">
        <v>24504</v>
      </c>
      <c r="R1150" s="27">
        <v>363984</v>
      </c>
      <c r="S1150" s="23">
        <f>IF(AND(ISNUMBER(Q1150),Q1150&gt;0,ISNUMBER(R1150),R1150&gt;0),R1150/Q1150,"")</f>
        <v>14.854064642507346</v>
      </c>
      <c r="T1150" s="9" t="s">
        <v>115</v>
      </c>
      <c r="U1150" s="9" t="s">
        <v>141</v>
      </c>
      <c r="V1150" s="9" t="s">
        <v>21</v>
      </c>
      <c r="W1150" s="9" t="s">
        <v>117</v>
      </c>
      <c r="X1150" s="23">
        <f>IF(ISNUMBER(S1150),S1150,IF(ISNUMBER(I1150),I1150,""))</f>
        <v>14.854064642507346</v>
      </c>
      <c r="Y1150" t="str">
        <f>IF(ISNUMBER(S1150),"2025 EIA-923 plant/group proxy",IF(ISNUMBER(I1150),"Technology estimate","No thermal heat rate"))</f>
        <v>2025 EIA-923 plant/group proxy</v>
      </c>
      <c r="Z1150" t="str">
        <f>IF(ISNUMBER(S1150),"Review: NOT unit verified",IF(AE1150="No match","No EIA match",IF(AF1150="Unconfirmed","Unconfirmed EIA candidate","")))</f>
        <v>Review: NOT unit verified</v>
      </c>
      <c r="AA1150" s="26">
        <v>1</v>
      </c>
      <c r="AB1150" t="s">
        <v>143</v>
      </c>
      <c r="AC1150" t="s">
        <v>119</v>
      </c>
      <c r="AD1150" s="26">
        <v>64</v>
      </c>
      <c r="AE1150" t="s">
        <v>120</v>
      </c>
      <c r="AF1150" t="s">
        <v>121</v>
      </c>
      <c r="AG1150" s="27">
        <v>14.854100000000001</v>
      </c>
      <c r="AH1150" s="34">
        <f t="shared" si="40"/>
        <v>178135.99999999994</v>
      </c>
      <c r="AI1150">
        <f t="shared" si="39"/>
        <v>111242.81292329343</v>
      </c>
      <c r="AJ1150" t="b" cm="1">
        <f t="array" ref="AJ1150">OR(D1150=$AT$2:$AT$8)</f>
        <v>0</v>
      </c>
    </row>
    <row r="1151" spans="1:36" x14ac:dyDescent="0.25">
      <c r="A1151" s="2" t="s">
        <v>963</v>
      </c>
      <c r="B1151" s="3">
        <v>21.5</v>
      </c>
      <c r="C1151" s="2" t="s">
        <v>75</v>
      </c>
      <c r="D1151" s="2" t="s">
        <v>76</v>
      </c>
      <c r="E1151" s="2" t="s">
        <v>125</v>
      </c>
      <c r="F1151" s="4" t="s">
        <v>126</v>
      </c>
      <c r="G1151" s="4" t="s">
        <v>127</v>
      </c>
      <c r="H1151" s="5">
        <v>9.1999999999999993</v>
      </c>
      <c r="I1151" s="5">
        <v>10.8</v>
      </c>
      <c r="J1151" s="5">
        <v>13.5</v>
      </c>
      <c r="K1151" s="4" t="s">
        <v>111</v>
      </c>
      <c r="L1151" s="4" t="s">
        <v>128</v>
      </c>
      <c r="M1151" s="6">
        <f>IF(OR(B1151="",I1151=""),"",B1151*I1151)</f>
        <v>232.20000000000002</v>
      </c>
      <c r="N1151" s="25" t="s">
        <v>113</v>
      </c>
      <c r="O1151" s="26">
        <v>3110</v>
      </c>
      <c r="P1151" s="9" t="s">
        <v>957</v>
      </c>
      <c r="Q1151" s="27">
        <v>24504</v>
      </c>
      <c r="R1151" s="27">
        <v>363984</v>
      </c>
      <c r="S1151" s="23">
        <f>IF(AND(ISNUMBER(Q1151),Q1151&gt;0,ISNUMBER(R1151),R1151&gt;0),R1151/Q1151,"")</f>
        <v>14.854064642507346</v>
      </c>
      <c r="T1151" s="9" t="s">
        <v>115</v>
      </c>
      <c r="U1151" s="9" t="s">
        <v>141</v>
      </c>
      <c r="V1151" s="9" t="s">
        <v>21</v>
      </c>
      <c r="W1151" s="9" t="s">
        <v>117</v>
      </c>
      <c r="X1151" s="23">
        <f>IF(ISNUMBER(S1151),S1151,IF(ISNUMBER(I1151),I1151,""))</f>
        <v>14.854064642507346</v>
      </c>
      <c r="Y1151" t="str">
        <f>IF(ISNUMBER(S1151),"2025 EIA-923 plant/group proxy",IF(ISNUMBER(I1151),"Technology estimate","No thermal heat rate"))</f>
        <v>2025 EIA-923 plant/group proxy</v>
      </c>
      <c r="Z1151" t="str">
        <f>IF(ISNUMBER(S1151),"Review: NOT unit verified",IF(AE1151="No match","No EIA match",IF(AF1151="Unconfirmed","Unconfirmed EIA candidate","")))</f>
        <v>Review: NOT unit verified</v>
      </c>
      <c r="AA1151" s="26">
        <v>1</v>
      </c>
      <c r="AB1151" t="s">
        <v>143</v>
      </c>
      <c r="AC1151" t="s">
        <v>119</v>
      </c>
      <c r="AD1151" s="26">
        <v>64</v>
      </c>
      <c r="AE1151" t="s">
        <v>120</v>
      </c>
      <c r="AF1151" t="s">
        <v>121</v>
      </c>
      <c r="AG1151" s="27">
        <v>14.854100000000001</v>
      </c>
      <c r="AH1151" s="34">
        <f t="shared" si="40"/>
        <v>178157.49999999994</v>
      </c>
      <c r="AI1151">
        <f t="shared" si="39"/>
        <v>111256.23929683866</v>
      </c>
      <c r="AJ1151" t="b" cm="1">
        <f t="array" ref="AJ1151">OR(D1151=$AT$2:$AT$8)</f>
        <v>0</v>
      </c>
    </row>
    <row r="1152" spans="1:36" x14ac:dyDescent="0.25">
      <c r="A1152" s="2" t="s">
        <v>830</v>
      </c>
      <c r="B1152" s="3">
        <v>80</v>
      </c>
      <c r="C1152" s="2" t="s">
        <v>80</v>
      </c>
      <c r="D1152" s="2" t="s">
        <v>81</v>
      </c>
      <c r="E1152" s="2" t="s">
        <v>109</v>
      </c>
      <c r="F1152" s="4" t="s">
        <v>109</v>
      </c>
      <c r="G1152" s="4" t="s">
        <v>110</v>
      </c>
      <c r="H1152" s="5">
        <v>9</v>
      </c>
      <c r="I1152" s="5">
        <v>10.3</v>
      </c>
      <c r="J1152" s="5">
        <v>12</v>
      </c>
      <c r="K1152" s="4" t="s">
        <v>111</v>
      </c>
      <c r="L1152" s="4" t="s">
        <v>112</v>
      </c>
      <c r="M1152" s="6">
        <f>IF(OR(B1152="",I1152=""),"",B1152*I1152)</f>
        <v>824</v>
      </c>
      <c r="N1152" s="25" t="s">
        <v>113</v>
      </c>
      <c r="O1152" s="26">
        <v>10151</v>
      </c>
      <c r="P1152" s="9" t="s">
        <v>831</v>
      </c>
      <c r="Q1152" s="27">
        <v>331538.27299999999</v>
      </c>
      <c r="R1152" s="27">
        <v>4981577</v>
      </c>
      <c r="S1152" s="23">
        <f>IF(AND(ISNUMBER(Q1152),Q1152&gt;0,ISNUMBER(R1152),R1152&gt;0),R1152/Q1152,"")</f>
        <v>15.025646827809833</v>
      </c>
      <c r="T1152" s="9" t="s">
        <v>115</v>
      </c>
      <c r="U1152" s="9" t="s">
        <v>662</v>
      </c>
      <c r="V1152" s="9" t="s">
        <v>21</v>
      </c>
      <c r="W1152" s="9" t="s">
        <v>217</v>
      </c>
      <c r="X1152" s="23">
        <f>IF(ISNUMBER(S1152),S1152,IF(ISNUMBER(I1152),I1152,""))</f>
        <v>15.025646827809833</v>
      </c>
      <c r="Y1152" t="str">
        <f>IF(ISNUMBER(S1152),"2025 EIA-923 plant/group proxy",IF(ISNUMBER(I1152),"Technology estimate","No thermal heat rate"))</f>
        <v>2025 EIA-923 plant/group proxy</v>
      </c>
      <c r="Z1152" t="str">
        <f>IF(ISNUMBER(S1152),"Review: NOT unit verified",IF(AE1152="No match","No EIA match",IF(AF1152="Unconfirmed","Unconfirmed EIA candidate","")))</f>
        <v>Review: NOT unit verified</v>
      </c>
      <c r="AA1152" s="26">
        <v>1</v>
      </c>
      <c r="AB1152" t="s">
        <v>118</v>
      </c>
      <c r="AC1152" t="s">
        <v>282</v>
      </c>
      <c r="AD1152" s="26">
        <v>80</v>
      </c>
      <c r="AE1152" t="s">
        <v>120</v>
      </c>
      <c r="AF1152" t="s">
        <v>121</v>
      </c>
      <c r="AG1152" s="27">
        <v>15.025600000000001</v>
      </c>
      <c r="AH1152" s="34">
        <f t="shared" si="40"/>
        <v>178237.49999999994</v>
      </c>
      <c r="AI1152">
        <f t="shared" si="39"/>
        <v>111306.19789607667</v>
      </c>
      <c r="AJ1152" t="b" cm="1">
        <f t="array" ref="AJ1152">OR(D1152=$AT$2:$AT$8)</f>
        <v>0</v>
      </c>
    </row>
    <row r="1153" spans="1:36" x14ac:dyDescent="0.25">
      <c r="A1153" s="2" t="s">
        <v>1829</v>
      </c>
      <c r="B1153" s="3">
        <v>20</v>
      </c>
      <c r="C1153" s="2" t="s">
        <v>347</v>
      </c>
      <c r="D1153" s="2" t="s">
        <v>347</v>
      </c>
      <c r="E1153" s="2" t="s">
        <v>125</v>
      </c>
      <c r="F1153" s="4" t="s">
        <v>126</v>
      </c>
      <c r="G1153" s="4" t="s">
        <v>127</v>
      </c>
      <c r="H1153" s="5">
        <v>9.1999999999999993</v>
      </c>
      <c r="I1153" s="5">
        <v>10.8</v>
      </c>
      <c r="J1153" s="5">
        <v>13.5</v>
      </c>
      <c r="K1153" s="4" t="s">
        <v>111</v>
      </c>
      <c r="L1153" s="4" t="s">
        <v>128</v>
      </c>
      <c r="M1153" s="6">
        <f>IF(OR(B1153="",I1153=""),"",B1153*I1153)</f>
        <v>216</v>
      </c>
      <c r="N1153" s="25" t="s">
        <v>113</v>
      </c>
      <c r="O1153" s="26">
        <v>2854</v>
      </c>
      <c r="P1153" s="9" t="s">
        <v>1830</v>
      </c>
      <c r="Q1153" s="27">
        <v>27992</v>
      </c>
      <c r="R1153" s="27">
        <v>420924</v>
      </c>
      <c r="S1153" s="23">
        <f>IF(AND(ISNUMBER(Q1153),Q1153&gt;0,ISNUMBER(R1153),R1153&gt;0),R1153/Q1153,"")</f>
        <v>15.037296370391541</v>
      </c>
      <c r="T1153" s="9" t="s">
        <v>115</v>
      </c>
      <c r="U1153" s="9" t="s">
        <v>130</v>
      </c>
      <c r="V1153" s="9" t="s">
        <v>21</v>
      </c>
      <c r="W1153" s="9" t="s">
        <v>694</v>
      </c>
      <c r="X1153" s="23">
        <f>IF(ISNUMBER(S1153),S1153,IF(ISNUMBER(I1153),I1153,""))</f>
        <v>15.037296370391541</v>
      </c>
      <c r="Y1153" t="str">
        <f>IF(ISNUMBER(S1153),"2025 EIA-923 plant/group proxy",IF(ISNUMBER(I1153),"Technology estimate","No thermal heat rate"))</f>
        <v>2025 EIA-923 plant/group proxy</v>
      </c>
      <c r="Z1153" t="str">
        <f>IF(ISNUMBER(S1153),"Review: NOT unit verified",IF(AE1153="No match","No EIA match",IF(AF1153="Unconfirmed","Unconfirmed EIA candidate","")))</f>
        <v>Review: NOT unit verified</v>
      </c>
      <c r="AA1153" s="26">
        <v>0.82869999999999999</v>
      </c>
      <c r="AB1153" t="s">
        <v>322</v>
      </c>
      <c r="AC1153" t="s">
        <v>1831</v>
      </c>
      <c r="AD1153" s="26">
        <v>126.7</v>
      </c>
      <c r="AE1153" t="s">
        <v>120</v>
      </c>
      <c r="AF1153" t="s">
        <v>121</v>
      </c>
      <c r="AG1153" s="27">
        <v>15.0373</v>
      </c>
      <c r="AH1153" s="34">
        <f t="shared" si="40"/>
        <v>178257.49999999994</v>
      </c>
      <c r="AI1153">
        <f t="shared" si="39"/>
        <v>111318.68754588618</v>
      </c>
      <c r="AJ1153" t="b" cm="1">
        <f t="array" ref="AJ1153">OR(D1153=$AT$2:$AT$8)</f>
        <v>0</v>
      </c>
    </row>
    <row r="1154" spans="1:36" x14ac:dyDescent="0.25">
      <c r="A1154" s="2" t="s">
        <v>1832</v>
      </c>
      <c r="B1154" s="3">
        <v>20</v>
      </c>
      <c r="C1154" s="2" t="s">
        <v>347</v>
      </c>
      <c r="D1154" s="2" t="s">
        <v>347</v>
      </c>
      <c r="E1154" s="2" t="s">
        <v>125</v>
      </c>
      <c r="F1154" s="4" t="s">
        <v>126</v>
      </c>
      <c r="G1154" s="4" t="s">
        <v>127</v>
      </c>
      <c r="H1154" s="5">
        <v>9.1999999999999993</v>
      </c>
      <c r="I1154" s="5">
        <v>10.8</v>
      </c>
      <c r="J1154" s="5">
        <v>13.5</v>
      </c>
      <c r="K1154" s="4" t="s">
        <v>111</v>
      </c>
      <c r="L1154" s="4" t="s">
        <v>128</v>
      </c>
      <c r="M1154" s="6">
        <f>IF(OR(B1154="",I1154=""),"",B1154*I1154)</f>
        <v>216</v>
      </c>
      <c r="N1154" s="25" t="s">
        <v>113</v>
      </c>
      <c r="O1154" s="26">
        <v>2854</v>
      </c>
      <c r="P1154" s="9" t="s">
        <v>1830</v>
      </c>
      <c r="Q1154" s="27">
        <v>27992</v>
      </c>
      <c r="R1154" s="27">
        <v>420924</v>
      </c>
      <c r="S1154" s="23">
        <f>IF(AND(ISNUMBER(Q1154),Q1154&gt;0,ISNUMBER(R1154),R1154&gt;0),R1154/Q1154,"")</f>
        <v>15.037296370391541</v>
      </c>
      <c r="T1154" s="9" t="s">
        <v>115</v>
      </c>
      <c r="U1154" s="9" t="s">
        <v>130</v>
      </c>
      <c r="V1154" s="9" t="s">
        <v>21</v>
      </c>
      <c r="W1154" s="9" t="s">
        <v>694</v>
      </c>
      <c r="X1154" s="23">
        <f>IF(ISNUMBER(S1154),S1154,IF(ISNUMBER(I1154),I1154,""))</f>
        <v>15.037296370391541</v>
      </c>
      <c r="Y1154" t="str">
        <f>IF(ISNUMBER(S1154),"2025 EIA-923 plant/group proxy",IF(ISNUMBER(I1154),"Technology estimate","No thermal heat rate"))</f>
        <v>2025 EIA-923 plant/group proxy</v>
      </c>
      <c r="Z1154" t="str">
        <f>IF(ISNUMBER(S1154),"Review: NOT unit verified",IF(AE1154="No match","No EIA match",IF(AF1154="Unconfirmed","Unconfirmed EIA candidate","")))</f>
        <v>Review: NOT unit verified</v>
      </c>
      <c r="AA1154" s="26">
        <v>0.82869999999999999</v>
      </c>
      <c r="AB1154" t="s">
        <v>322</v>
      </c>
      <c r="AC1154" t="s">
        <v>1831</v>
      </c>
      <c r="AD1154" s="26">
        <v>126.7</v>
      </c>
      <c r="AE1154" t="s">
        <v>120</v>
      </c>
      <c r="AF1154" t="s">
        <v>121</v>
      </c>
      <c r="AG1154" s="27">
        <v>15.0373</v>
      </c>
      <c r="AH1154" s="34">
        <f t="shared" si="40"/>
        <v>178277.49999999994</v>
      </c>
      <c r="AI1154">
        <f t="shared" si="39"/>
        <v>111331.17719569568</v>
      </c>
      <c r="AJ1154" t="b" cm="1">
        <f t="array" ref="AJ1154">OR(D1154=$AT$2:$AT$8)</f>
        <v>0</v>
      </c>
    </row>
    <row r="1155" spans="1:36" x14ac:dyDescent="0.25">
      <c r="A1155" s="2" t="s">
        <v>1833</v>
      </c>
      <c r="B1155" s="3">
        <v>20</v>
      </c>
      <c r="C1155" s="2" t="s">
        <v>347</v>
      </c>
      <c r="D1155" s="2" t="s">
        <v>347</v>
      </c>
      <c r="E1155" s="2" t="s">
        <v>125</v>
      </c>
      <c r="F1155" s="4" t="s">
        <v>126</v>
      </c>
      <c r="G1155" s="4" t="s">
        <v>127</v>
      </c>
      <c r="H1155" s="5">
        <v>9.1999999999999993</v>
      </c>
      <c r="I1155" s="5">
        <v>10.8</v>
      </c>
      <c r="J1155" s="5">
        <v>13.5</v>
      </c>
      <c r="K1155" s="4" t="s">
        <v>111</v>
      </c>
      <c r="L1155" s="4" t="s">
        <v>128</v>
      </c>
      <c r="M1155" s="6">
        <f>IF(OR(B1155="",I1155=""),"",B1155*I1155)</f>
        <v>216</v>
      </c>
      <c r="N1155" s="25" t="s">
        <v>113</v>
      </c>
      <c r="O1155" s="26">
        <v>2854</v>
      </c>
      <c r="P1155" s="9" t="s">
        <v>1830</v>
      </c>
      <c r="Q1155" s="27">
        <v>27992</v>
      </c>
      <c r="R1155" s="27">
        <v>420924</v>
      </c>
      <c r="S1155" s="23">
        <f>IF(AND(ISNUMBER(Q1155),Q1155&gt;0,ISNUMBER(R1155),R1155&gt;0),R1155/Q1155,"")</f>
        <v>15.037296370391541</v>
      </c>
      <c r="T1155" s="9" t="s">
        <v>115</v>
      </c>
      <c r="U1155" s="9" t="s">
        <v>130</v>
      </c>
      <c r="V1155" s="9" t="s">
        <v>21</v>
      </c>
      <c r="W1155" s="9" t="s">
        <v>694</v>
      </c>
      <c r="X1155" s="23">
        <f>IF(ISNUMBER(S1155),S1155,IF(ISNUMBER(I1155),I1155,""))</f>
        <v>15.037296370391541</v>
      </c>
      <c r="Y1155" t="str">
        <f>IF(ISNUMBER(S1155),"2025 EIA-923 plant/group proxy",IF(ISNUMBER(I1155),"Technology estimate","No thermal heat rate"))</f>
        <v>2025 EIA-923 plant/group proxy</v>
      </c>
      <c r="Z1155" t="str">
        <f>IF(ISNUMBER(S1155),"Review: NOT unit verified",IF(AE1155="No match","No EIA match",IF(AF1155="Unconfirmed","Unconfirmed EIA candidate","")))</f>
        <v>Review: NOT unit verified</v>
      </c>
      <c r="AA1155" s="26">
        <v>0.82869999999999999</v>
      </c>
      <c r="AB1155" t="s">
        <v>322</v>
      </c>
      <c r="AC1155" t="s">
        <v>1831</v>
      </c>
      <c r="AD1155" s="26">
        <v>126.7</v>
      </c>
      <c r="AE1155" t="s">
        <v>120</v>
      </c>
      <c r="AF1155" t="s">
        <v>121</v>
      </c>
      <c r="AG1155" s="27">
        <v>15.0373</v>
      </c>
      <c r="AH1155" s="34">
        <f t="shared" si="40"/>
        <v>178297.49999999994</v>
      </c>
      <c r="AI1155">
        <f t="shared" ref="AI1155:AI1218" si="41">AH1155*$AK$1</f>
        <v>111343.66684550518</v>
      </c>
      <c r="AJ1155" t="b" cm="1">
        <f t="array" ref="AJ1155">OR(D1155=$AT$2:$AT$8)</f>
        <v>0</v>
      </c>
    </row>
    <row r="1156" spans="1:36" x14ac:dyDescent="0.25">
      <c r="A1156" s="2" t="s">
        <v>1834</v>
      </c>
      <c r="B1156" s="3">
        <v>16</v>
      </c>
      <c r="C1156" s="2" t="s">
        <v>347</v>
      </c>
      <c r="D1156" s="2" t="s">
        <v>347</v>
      </c>
      <c r="E1156" s="2" t="s">
        <v>125</v>
      </c>
      <c r="F1156" s="4" t="s">
        <v>126</v>
      </c>
      <c r="G1156" s="4" t="s">
        <v>127</v>
      </c>
      <c r="H1156" s="5">
        <v>9.1999999999999993</v>
      </c>
      <c r="I1156" s="5">
        <v>10.8</v>
      </c>
      <c r="J1156" s="5">
        <v>13.5</v>
      </c>
      <c r="K1156" s="4" t="s">
        <v>111</v>
      </c>
      <c r="L1156" s="4" t="s">
        <v>128</v>
      </c>
      <c r="M1156" s="6">
        <f>IF(OR(B1156="",I1156=""),"",B1156*I1156)</f>
        <v>172.8</v>
      </c>
      <c r="N1156" s="25" t="s">
        <v>113</v>
      </c>
      <c r="O1156" s="26">
        <v>2854</v>
      </c>
      <c r="P1156" s="9" t="s">
        <v>1830</v>
      </c>
      <c r="Q1156" s="27">
        <v>27992</v>
      </c>
      <c r="R1156" s="27">
        <v>420924</v>
      </c>
      <c r="S1156" s="23">
        <f>IF(AND(ISNUMBER(Q1156),Q1156&gt;0,ISNUMBER(R1156),R1156&gt;0),R1156/Q1156,"")</f>
        <v>15.037296370391541</v>
      </c>
      <c r="T1156" s="9" t="s">
        <v>115</v>
      </c>
      <c r="U1156" s="9" t="s">
        <v>130</v>
      </c>
      <c r="V1156" s="9" t="s">
        <v>21</v>
      </c>
      <c r="W1156" s="9" t="s">
        <v>694</v>
      </c>
      <c r="X1156" s="23">
        <f>IF(ISNUMBER(S1156),S1156,IF(ISNUMBER(I1156),I1156,""))</f>
        <v>15.037296370391541</v>
      </c>
      <c r="Y1156" t="str">
        <f>IF(ISNUMBER(S1156),"2025 EIA-923 plant/group proxy",IF(ISNUMBER(I1156),"Technology estimate","No thermal heat rate"))</f>
        <v>2025 EIA-923 plant/group proxy</v>
      </c>
      <c r="Z1156" t="str">
        <f>IF(ISNUMBER(S1156),"Review: NOT unit verified",IF(AE1156="No match","No EIA match",IF(AF1156="Unconfirmed","Unconfirmed EIA candidate","")))</f>
        <v>Review: NOT unit verified</v>
      </c>
      <c r="AA1156" s="26">
        <v>0.82869999999999999</v>
      </c>
      <c r="AB1156" t="s">
        <v>322</v>
      </c>
      <c r="AC1156" t="s">
        <v>1831</v>
      </c>
      <c r="AD1156" s="26">
        <v>126.7</v>
      </c>
      <c r="AE1156" t="s">
        <v>120</v>
      </c>
      <c r="AF1156" t="s">
        <v>121</v>
      </c>
      <c r="AG1156" s="27">
        <v>15.0373</v>
      </c>
      <c r="AH1156" s="34">
        <f t="shared" ref="AH1156:AH1219" si="42">AH1155+B1156</f>
        <v>178313.49999999994</v>
      </c>
      <c r="AI1156">
        <f t="shared" si="41"/>
        <v>111353.65856535279</v>
      </c>
      <c r="AJ1156" t="b" cm="1">
        <f t="array" ref="AJ1156">OR(D1156=$AT$2:$AT$8)</f>
        <v>0</v>
      </c>
    </row>
    <row r="1157" spans="1:36" x14ac:dyDescent="0.25">
      <c r="A1157" s="2" t="s">
        <v>1835</v>
      </c>
      <c r="B1157" s="3">
        <v>16</v>
      </c>
      <c r="C1157" s="2" t="s">
        <v>347</v>
      </c>
      <c r="D1157" s="2" t="s">
        <v>347</v>
      </c>
      <c r="E1157" s="2" t="s">
        <v>125</v>
      </c>
      <c r="F1157" s="4" t="s">
        <v>126</v>
      </c>
      <c r="G1157" s="4" t="s">
        <v>127</v>
      </c>
      <c r="H1157" s="5">
        <v>9.1999999999999993</v>
      </c>
      <c r="I1157" s="5">
        <v>10.8</v>
      </c>
      <c r="J1157" s="5">
        <v>13.5</v>
      </c>
      <c r="K1157" s="4" t="s">
        <v>111</v>
      </c>
      <c r="L1157" s="4" t="s">
        <v>128</v>
      </c>
      <c r="M1157" s="6">
        <f>IF(OR(B1157="",I1157=""),"",B1157*I1157)</f>
        <v>172.8</v>
      </c>
      <c r="N1157" s="25" t="s">
        <v>113</v>
      </c>
      <c r="O1157" s="26">
        <v>2854</v>
      </c>
      <c r="P1157" s="9" t="s">
        <v>1830</v>
      </c>
      <c r="Q1157" s="27">
        <v>27992</v>
      </c>
      <c r="R1157" s="27">
        <v>420924</v>
      </c>
      <c r="S1157" s="23">
        <f>IF(AND(ISNUMBER(Q1157),Q1157&gt;0,ISNUMBER(R1157),R1157&gt;0),R1157/Q1157,"")</f>
        <v>15.037296370391541</v>
      </c>
      <c r="T1157" s="9" t="s">
        <v>115</v>
      </c>
      <c r="U1157" s="9" t="s">
        <v>130</v>
      </c>
      <c r="V1157" s="9" t="s">
        <v>21</v>
      </c>
      <c r="W1157" s="9" t="s">
        <v>694</v>
      </c>
      <c r="X1157" s="23">
        <f>IF(ISNUMBER(S1157),S1157,IF(ISNUMBER(I1157),I1157,""))</f>
        <v>15.037296370391541</v>
      </c>
      <c r="Y1157" t="str">
        <f>IF(ISNUMBER(S1157),"2025 EIA-923 plant/group proxy",IF(ISNUMBER(I1157),"Technology estimate","No thermal heat rate"))</f>
        <v>2025 EIA-923 plant/group proxy</v>
      </c>
      <c r="Z1157" t="str">
        <f>IF(ISNUMBER(S1157),"Review: NOT unit verified",IF(AE1157="No match","No EIA match",IF(AF1157="Unconfirmed","Unconfirmed EIA candidate","")))</f>
        <v>Review: NOT unit verified</v>
      </c>
      <c r="AA1157" s="26">
        <v>0.82869999999999999</v>
      </c>
      <c r="AB1157" t="s">
        <v>322</v>
      </c>
      <c r="AC1157" t="s">
        <v>1831</v>
      </c>
      <c r="AD1157" s="26">
        <v>126.7</v>
      </c>
      <c r="AE1157" t="s">
        <v>120</v>
      </c>
      <c r="AF1157" t="s">
        <v>121</v>
      </c>
      <c r="AG1157" s="27">
        <v>15.0373</v>
      </c>
      <c r="AH1157" s="34">
        <f t="shared" si="42"/>
        <v>178329.49999999994</v>
      </c>
      <c r="AI1157">
        <f t="shared" si="41"/>
        <v>111363.65028520039</v>
      </c>
      <c r="AJ1157" t="b" cm="1">
        <f t="array" ref="AJ1157">OR(D1157=$AT$2:$AT$8)</f>
        <v>0</v>
      </c>
    </row>
    <row r="1158" spans="1:36" x14ac:dyDescent="0.25">
      <c r="A1158" s="2" t="s">
        <v>1836</v>
      </c>
      <c r="B1158" s="3">
        <v>16</v>
      </c>
      <c r="C1158" s="2" t="s">
        <v>347</v>
      </c>
      <c r="D1158" s="2" t="s">
        <v>347</v>
      </c>
      <c r="E1158" s="2" t="s">
        <v>125</v>
      </c>
      <c r="F1158" s="4" t="s">
        <v>126</v>
      </c>
      <c r="G1158" s="4" t="s">
        <v>127</v>
      </c>
      <c r="H1158" s="5">
        <v>9.1999999999999993</v>
      </c>
      <c r="I1158" s="5">
        <v>10.8</v>
      </c>
      <c r="J1158" s="5">
        <v>13.5</v>
      </c>
      <c r="K1158" s="4" t="s">
        <v>111</v>
      </c>
      <c r="L1158" s="4" t="s">
        <v>128</v>
      </c>
      <c r="M1158" s="6">
        <f>IF(OR(B1158="",I1158=""),"",B1158*I1158)</f>
        <v>172.8</v>
      </c>
      <c r="N1158" s="25" t="s">
        <v>113</v>
      </c>
      <c r="O1158" s="26">
        <v>2854</v>
      </c>
      <c r="P1158" s="9" t="s">
        <v>1830</v>
      </c>
      <c r="Q1158" s="27">
        <v>27992</v>
      </c>
      <c r="R1158" s="27">
        <v>420924</v>
      </c>
      <c r="S1158" s="23">
        <f>IF(AND(ISNUMBER(Q1158),Q1158&gt;0,ISNUMBER(R1158),R1158&gt;0),R1158/Q1158,"")</f>
        <v>15.037296370391541</v>
      </c>
      <c r="T1158" s="9" t="s">
        <v>115</v>
      </c>
      <c r="U1158" s="9" t="s">
        <v>130</v>
      </c>
      <c r="V1158" s="9" t="s">
        <v>21</v>
      </c>
      <c r="W1158" s="9" t="s">
        <v>694</v>
      </c>
      <c r="X1158" s="23">
        <f>IF(ISNUMBER(S1158),S1158,IF(ISNUMBER(I1158),I1158,""))</f>
        <v>15.037296370391541</v>
      </c>
      <c r="Y1158" t="str">
        <f>IF(ISNUMBER(S1158),"2025 EIA-923 plant/group proxy",IF(ISNUMBER(I1158),"Technology estimate","No thermal heat rate"))</f>
        <v>2025 EIA-923 plant/group proxy</v>
      </c>
      <c r="Z1158" t="str">
        <f>IF(ISNUMBER(S1158),"Review: NOT unit verified",IF(AE1158="No match","No EIA match",IF(AF1158="Unconfirmed","Unconfirmed EIA candidate","")))</f>
        <v>Review: NOT unit verified</v>
      </c>
      <c r="AA1158" s="26">
        <v>0.82869999999999999</v>
      </c>
      <c r="AB1158" t="s">
        <v>322</v>
      </c>
      <c r="AC1158" t="s">
        <v>1831</v>
      </c>
      <c r="AD1158" s="26">
        <v>126.7</v>
      </c>
      <c r="AE1158" t="s">
        <v>120</v>
      </c>
      <c r="AF1158" t="s">
        <v>121</v>
      </c>
      <c r="AG1158" s="27">
        <v>15.0373</v>
      </c>
      <c r="AH1158" s="34">
        <f t="shared" si="42"/>
        <v>178345.49999999994</v>
      </c>
      <c r="AI1158">
        <f t="shared" si="41"/>
        <v>111373.64200504799</v>
      </c>
      <c r="AJ1158" t="b" cm="1">
        <f t="array" ref="AJ1158">OR(D1158=$AT$2:$AT$8)</f>
        <v>0</v>
      </c>
    </row>
    <row r="1159" spans="1:36" x14ac:dyDescent="0.25">
      <c r="A1159" s="2" t="s">
        <v>1837</v>
      </c>
      <c r="B1159" s="3">
        <v>16</v>
      </c>
      <c r="C1159" s="2" t="s">
        <v>347</v>
      </c>
      <c r="D1159" s="2" t="s">
        <v>347</v>
      </c>
      <c r="E1159" s="2" t="s">
        <v>125</v>
      </c>
      <c r="F1159" s="4" t="s">
        <v>126</v>
      </c>
      <c r="G1159" s="4" t="s">
        <v>127</v>
      </c>
      <c r="H1159" s="5">
        <v>9.1999999999999993</v>
      </c>
      <c r="I1159" s="5">
        <v>10.8</v>
      </c>
      <c r="J1159" s="5">
        <v>13.5</v>
      </c>
      <c r="K1159" s="4" t="s">
        <v>111</v>
      </c>
      <c r="L1159" s="4" t="s">
        <v>128</v>
      </c>
      <c r="M1159" s="6">
        <f>IF(OR(B1159="",I1159=""),"",B1159*I1159)</f>
        <v>172.8</v>
      </c>
      <c r="N1159" s="25" t="s">
        <v>113</v>
      </c>
      <c r="O1159" s="26">
        <v>2854</v>
      </c>
      <c r="P1159" s="9" t="s">
        <v>1830</v>
      </c>
      <c r="Q1159" s="27">
        <v>27992</v>
      </c>
      <c r="R1159" s="27">
        <v>420924</v>
      </c>
      <c r="S1159" s="23">
        <f>IF(AND(ISNUMBER(Q1159),Q1159&gt;0,ISNUMBER(R1159),R1159&gt;0),R1159/Q1159,"")</f>
        <v>15.037296370391541</v>
      </c>
      <c r="T1159" s="9" t="s">
        <v>115</v>
      </c>
      <c r="U1159" s="9" t="s">
        <v>130</v>
      </c>
      <c r="V1159" s="9" t="s">
        <v>21</v>
      </c>
      <c r="W1159" s="9" t="s">
        <v>694</v>
      </c>
      <c r="X1159" s="23">
        <f>IF(ISNUMBER(S1159),S1159,IF(ISNUMBER(I1159),I1159,""))</f>
        <v>15.037296370391541</v>
      </c>
      <c r="Y1159" t="str">
        <f>IF(ISNUMBER(S1159),"2025 EIA-923 plant/group proxy",IF(ISNUMBER(I1159),"Technology estimate","No thermal heat rate"))</f>
        <v>2025 EIA-923 plant/group proxy</v>
      </c>
      <c r="Z1159" t="str">
        <f>IF(ISNUMBER(S1159),"Review: NOT unit verified",IF(AE1159="No match","No EIA match",IF(AF1159="Unconfirmed","Unconfirmed EIA candidate","")))</f>
        <v>Review: NOT unit verified</v>
      </c>
      <c r="AA1159" s="26">
        <v>0.82869999999999999</v>
      </c>
      <c r="AB1159" t="s">
        <v>322</v>
      </c>
      <c r="AC1159" t="s">
        <v>1831</v>
      </c>
      <c r="AD1159" s="26">
        <v>126.7</v>
      </c>
      <c r="AE1159" t="s">
        <v>120</v>
      </c>
      <c r="AF1159" t="s">
        <v>121</v>
      </c>
      <c r="AG1159" s="27">
        <v>15.0373</v>
      </c>
      <c r="AH1159" s="34">
        <f t="shared" si="42"/>
        <v>178361.49999999994</v>
      </c>
      <c r="AI1159">
        <f t="shared" si="41"/>
        <v>111383.6337248956</v>
      </c>
      <c r="AJ1159" t="b" cm="1">
        <f t="array" ref="AJ1159">OR(D1159=$AT$2:$AT$8)</f>
        <v>0</v>
      </c>
    </row>
    <row r="1160" spans="1:36" x14ac:dyDescent="0.25">
      <c r="A1160" s="2" t="s">
        <v>1751</v>
      </c>
      <c r="B1160" s="3">
        <v>57.7</v>
      </c>
      <c r="C1160" s="2" t="s">
        <v>86</v>
      </c>
      <c r="D1160" s="2" t="s">
        <v>76</v>
      </c>
      <c r="E1160" s="2" t="s">
        <v>125</v>
      </c>
      <c r="F1160" s="4" t="s">
        <v>126</v>
      </c>
      <c r="G1160" s="4" t="s">
        <v>127</v>
      </c>
      <c r="H1160" s="5">
        <v>9.1999999999999993</v>
      </c>
      <c r="I1160" s="5">
        <v>10.8</v>
      </c>
      <c r="J1160" s="5">
        <v>13.5</v>
      </c>
      <c r="K1160" s="4" t="s">
        <v>111</v>
      </c>
      <c r="L1160" s="4" t="s">
        <v>128</v>
      </c>
      <c r="M1160" s="6">
        <f>IF(OR(B1160="",I1160=""),"",B1160*I1160)</f>
        <v>623.16000000000008</v>
      </c>
      <c r="N1160" s="25" t="s">
        <v>113</v>
      </c>
      <c r="O1160" s="26">
        <v>3132</v>
      </c>
      <c r="P1160" s="9" t="s">
        <v>1752</v>
      </c>
      <c r="Q1160" s="27">
        <v>11413.001</v>
      </c>
      <c r="R1160" s="27">
        <v>172071</v>
      </c>
      <c r="S1160" s="23">
        <f>IF(AND(ISNUMBER(Q1160),Q1160&gt;0,ISNUMBER(R1160),R1160&gt;0),R1160/Q1160,"")</f>
        <v>15.076753257096884</v>
      </c>
      <c r="T1160" s="9" t="s">
        <v>115</v>
      </c>
      <c r="U1160" s="9" t="s">
        <v>130</v>
      </c>
      <c r="V1160" s="9" t="s">
        <v>21</v>
      </c>
      <c r="W1160" s="9" t="s">
        <v>217</v>
      </c>
      <c r="X1160" s="23">
        <f>IF(ISNUMBER(S1160),S1160,IF(ISNUMBER(I1160),I1160,""))</f>
        <v>15.076753257096884</v>
      </c>
      <c r="Y1160" t="str">
        <f>IF(ISNUMBER(S1160),"2025 EIA-923 plant/group proxy",IF(ISNUMBER(I1160),"Technology estimate","No thermal heat rate"))</f>
        <v>2025 EIA-923 plant/group proxy</v>
      </c>
      <c r="Z1160" t="str">
        <f>IF(ISNUMBER(S1160),"Review: NOT unit verified",IF(AE1160="No match","No EIA match",IF(AF1160="Unconfirmed","Unconfirmed EIA candidate","")))</f>
        <v>Review: NOT unit verified</v>
      </c>
      <c r="AA1160" s="26">
        <v>1</v>
      </c>
      <c r="AB1160" t="s">
        <v>143</v>
      </c>
      <c r="AC1160" t="s">
        <v>1753</v>
      </c>
      <c r="AD1160" s="26">
        <v>62</v>
      </c>
      <c r="AE1160" t="s">
        <v>120</v>
      </c>
      <c r="AF1160" t="s">
        <v>121</v>
      </c>
      <c r="AG1160" s="27">
        <v>15.0768</v>
      </c>
      <c r="AH1160" s="34">
        <f t="shared" si="42"/>
        <v>178419.19999999995</v>
      </c>
      <c r="AI1160">
        <f t="shared" si="41"/>
        <v>111419.66636459602</v>
      </c>
      <c r="AJ1160" t="b" cm="1">
        <f t="array" ref="AJ1160">OR(D1160=$AT$2:$AT$8)</f>
        <v>0</v>
      </c>
    </row>
    <row r="1161" spans="1:36" x14ac:dyDescent="0.25">
      <c r="A1161" s="2" t="s">
        <v>1086</v>
      </c>
      <c r="B1161" s="3">
        <v>77</v>
      </c>
      <c r="C1161" s="2" t="s">
        <v>97</v>
      </c>
      <c r="D1161" s="2" t="s">
        <v>97</v>
      </c>
      <c r="E1161" s="2" t="s">
        <v>137</v>
      </c>
      <c r="F1161" s="4" t="s">
        <v>138</v>
      </c>
      <c r="G1161" s="4" t="s">
        <v>139</v>
      </c>
      <c r="H1161" s="5">
        <v>9</v>
      </c>
      <c r="I1161" s="5">
        <v>10.5</v>
      </c>
      <c r="J1161" s="5">
        <v>13</v>
      </c>
      <c r="K1161" s="4" t="s">
        <v>111</v>
      </c>
      <c r="L1161" s="4" t="s">
        <v>112</v>
      </c>
      <c r="M1161" s="6">
        <f>IF(OR(B1161="",I1161=""),"",B1161*I1161)</f>
        <v>808.5</v>
      </c>
      <c r="N1161" s="25" t="s">
        <v>113</v>
      </c>
      <c r="O1161" s="26">
        <v>55222</v>
      </c>
      <c r="P1161" s="9" t="s">
        <v>1087</v>
      </c>
      <c r="Q1161" s="27">
        <v>8241</v>
      </c>
      <c r="R1161" s="27">
        <v>124913</v>
      </c>
      <c r="S1161" s="23">
        <f>IF(AND(ISNUMBER(Q1161),Q1161&gt;0,ISNUMBER(R1161),R1161&gt;0),R1161/Q1161,"")</f>
        <v>15.157505157141124</v>
      </c>
      <c r="T1161" s="9" t="s">
        <v>115</v>
      </c>
      <c r="U1161" s="9" t="s">
        <v>141</v>
      </c>
      <c r="V1161" s="9" t="s">
        <v>21</v>
      </c>
      <c r="W1161" s="9" t="s">
        <v>905</v>
      </c>
      <c r="X1161" s="23">
        <f>IF(ISNUMBER(S1161),S1161,IF(ISNUMBER(I1161),I1161,""))</f>
        <v>15.157505157141124</v>
      </c>
      <c r="Y1161" t="str">
        <f>IF(ISNUMBER(S1161),"2025 EIA-923 plant/group proxy",IF(ISNUMBER(I1161),"Technology estimate","No thermal heat rate"))</f>
        <v>2025 EIA-923 plant/group proxy</v>
      </c>
      <c r="Z1161" t="str">
        <f>IF(ISNUMBER(S1161),"Review: NOT unit verified",IF(AE1161="No match","No EIA match",IF(AF1161="Unconfirmed","Unconfirmed EIA candidate","")))</f>
        <v>Review: NOT unit verified</v>
      </c>
      <c r="AA1161" s="26">
        <v>1</v>
      </c>
      <c r="AB1161" t="s">
        <v>166</v>
      </c>
      <c r="AC1161" t="s">
        <v>1088</v>
      </c>
      <c r="AD1161" s="26">
        <v>622.9</v>
      </c>
      <c r="AE1161" t="s">
        <v>120</v>
      </c>
      <c r="AF1161" t="s">
        <v>121</v>
      </c>
      <c r="AG1161" s="27">
        <v>15.157500000000001</v>
      </c>
      <c r="AH1161" s="34">
        <f t="shared" si="42"/>
        <v>178496.19999999995</v>
      </c>
      <c r="AI1161">
        <f t="shared" si="41"/>
        <v>111467.75151636261</v>
      </c>
      <c r="AJ1161" t="b" cm="1">
        <f t="array" ref="AJ1161">OR(D1161=$AT$2:$AT$8)</f>
        <v>0</v>
      </c>
    </row>
    <row r="1162" spans="1:36" x14ac:dyDescent="0.25">
      <c r="A1162" s="2" t="s">
        <v>1089</v>
      </c>
      <c r="B1162" s="3">
        <v>77</v>
      </c>
      <c r="C1162" s="2" t="s">
        <v>97</v>
      </c>
      <c r="D1162" s="2" t="s">
        <v>97</v>
      </c>
      <c r="E1162" s="2" t="s">
        <v>137</v>
      </c>
      <c r="F1162" s="4" t="s">
        <v>138</v>
      </c>
      <c r="G1162" s="4" t="s">
        <v>139</v>
      </c>
      <c r="H1162" s="5">
        <v>9</v>
      </c>
      <c r="I1162" s="5">
        <v>10.5</v>
      </c>
      <c r="J1162" s="5">
        <v>13</v>
      </c>
      <c r="K1162" s="4" t="s">
        <v>111</v>
      </c>
      <c r="L1162" s="4" t="s">
        <v>112</v>
      </c>
      <c r="M1162" s="6">
        <f>IF(OR(B1162="",I1162=""),"",B1162*I1162)</f>
        <v>808.5</v>
      </c>
      <c r="N1162" s="25" t="s">
        <v>113</v>
      </c>
      <c r="O1162" s="26">
        <v>55222</v>
      </c>
      <c r="P1162" s="9" t="s">
        <v>1087</v>
      </c>
      <c r="Q1162" s="27">
        <v>8241</v>
      </c>
      <c r="R1162" s="27">
        <v>124913</v>
      </c>
      <c r="S1162" s="23">
        <f>IF(AND(ISNUMBER(Q1162),Q1162&gt;0,ISNUMBER(R1162),R1162&gt;0),R1162/Q1162,"")</f>
        <v>15.157505157141124</v>
      </c>
      <c r="T1162" s="9" t="s">
        <v>115</v>
      </c>
      <c r="U1162" s="9" t="s">
        <v>141</v>
      </c>
      <c r="V1162" s="9" t="s">
        <v>21</v>
      </c>
      <c r="W1162" s="9" t="s">
        <v>905</v>
      </c>
      <c r="X1162" s="23">
        <f>IF(ISNUMBER(S1162),S1162,IF(ISNUMBER(I1162),I1162,""))</f>
        <v>15.157505157141124</v>
      </c>
      <c r="Y1162" t="str">
        <f>IF(ISNUMBER(S1162),"2025 EIA-923 plant/group proxy",IF(ISNUMBER(I1162),"Technology estimate","No thermal heat rate"))</f>
        <v>2025 EIA-923 plant/group proxy</v>
      </c>
      <c r="Z1162" t="str">
        <f>IF(ISNUMBER(S1162),"Review: NOT unit verified",IF(AE1162="No match","No EIA match",IF(AF1162="Unconfirmed","Unconfirmed EIA candidate","")))</f>
        <v>Review: NOT unit verified</v>
      </c>
      <c r="AA1162" s="26">
        <v>1</v>
      </c>
      <c r="AB1162" t="s">
        <v>166</v>
      </c>
      <c r="AC1162" t="s">
        <v>1088</v>
      </c>
      <c r="AD1162" s="26">
        <v>622.9</v>
      </c>
      <c r="AE1162" t="s">
        <v>120</v>
      </c>
      <c r="AF1162" t="s">
        <v>121</v>
      </c>
      <c r="AG1162" s="27">
        <v>15.157500000000001</v>
      </c>
      <c r="AH1162" s="34">
        <f t="shared" si="42"/>
        <v>178573.19999999995</v>
      </c>
      <c r="AI1162">
        <f t="shared" si="41"/>
        <v>111515.83666812921</v>
      </c>
      <c r="AJ1162" t="b" cm="1">
        <f t="array" ref="AJ1162">OR(D1162=$AT$2:$AT$8)</f>
        <v>0</v>
      </c>
    </row>
    <row r="1163" spans="1:36" x14ac:dyDescent="0.25">
      <c r="A1163" s="2" t="s">
        <v>1090</v>
      </c>
      <c r="B1163" s="3">
        <v>77</v>
      </c>
      <c r="C1163" s="2" t="s">
        <v>97</v>
      </c>
      <c r="D1163" s="2" t="s">
        <v>97</v>
      </c>
      <c r="E1163" s="2" t="s">
        <v>137</v>
      </c>
      <c r="F1163" s="4" t="s">
        <v>138</v>
      </c>
      <c r="G1163" s="4" t="s">
        <v>139</v>
      </c>
      <c r="H1163" s="5">
        <v>9</v>
      </c>
      <c r="I1163" s="5">
        <v>10.5</v>
      </c>
      <c r="J1163" s="5">
        <v>13</v>
      </c>
      <c r="K1163" s="4" t="s">
        <v>111</v>
      </c>
      <c r="L1163" s="4" t="s">
        <v>112</v>
      </c>
      <c r="M1163" s="6">
        <f>IF(OR(B1163="",I1163=""),"",B1163*I1163)</f>
        <v>808.5</v>
      </c>
      <c r="N1163" s="25" t="s">
        <v>113</v>
      </c>
      <c r="O1163" s="26">
        <v>55222</v>
      </c>
      <c r="P1163" s="9" t="s">
        <v>1087</v>
      </c>
      <c r="Q1163" s="27">
        <v>8241</v>
      </c>
      <c r="R1163" s="27">
        <v>124913</v>
      </c>
      <c r="S1163" s="23">
        <f>IF(AND(ISNUMBER(Q1163),Q1163&gt;0,ISNUMBER(R1163),R1163&gt;0),R1163/Q1163,"")</f>
        <v>15.157505157141124</v>
      </c>
      <c r="T1163" s="9" t="s">
        <v>115</v>
      </c>
      <c r="U1163" s="9" t="s">
        <v>141</v>
      </c>
      <c r="V1163" s="9" t="s">
        <v>21</v>
      </c>
      <c r="W1163" s="9" t="s">
        <v>905</v>
      </c>
      <c r="X1163" s="23">
        <f>IF(ISNUMBER(S1163),S1163,IF(ISNUMBER(I1163),I1163,""))</f>
        <v>15.157505157141124</v>
      </c>
      <c r="Y1163" t="str">
        <f>IF(ISNUMBER(S1163),"2025 EIA-923 plant/group proxy",IF(ISNUMBER(I1163),"Technology estimate","No thermal heat rate"))</f>
        <v>2025 EIA-923 plant/group proxy</v>
      </c>
      <c r="Z1163" t="str">
        <f>IF(ISNUMBER(S1163),"Review: NOT unit verified",IF(AE1163="No match","No EIA match",IF(AF1163="Unconfirmed","Unconfirmed EIA candidate","")))</f>
        <v>Review: NOT unit verified</v>
      </c>
      <c r="AA1163" s="26">
        <v>1</v>
      </c>
      <c r="AB1163" t="s">
        <v>166</v>
      </c>
      <c r="AC1163" t="s">
        <v>1088</v>
      </c>
      <c r="AD1163" s="26">
        <v>622.9</v>
      </c>
      <c r="AE1163" t="s">
        <v>120</v>
      </c>
      <c r="AF1163" t="s">
        <v>121</v>
      </c>
      <c r="AG1163" s="27">
        <v>15.157500000000001</v>
      </c>
      <c r="AH1163" s="34">
        <f t="shared" si="42"/>
        <v>178650.19999999995</v>
      </c>
      <c r="AI1163">
        <f t="shared" si="41"/>
        <v>111563.9218198958</v>
      </c>
      <c r="AJ1163" t="b" cm="1">
        <f t="array" ref="AJ1163">OR(D1163=$AT$2:$AT$8)</f>
        <v>0</v>
      </c>
    </row>
    <row r="1164" spans="1:36" x14ac:dyDescent="0.25">
      <c r="A1164" s="2" t="s">
        <v>1091</v>
      </c>
      <c r="B1164" s="3">
        <v>77</v>
      </c>
      <c r="C1164" s="2" t="s">
        <v>97</v>
      </c>
      <c r="D1164" s="2" t="s">
        <v>97</v>
      </c>
      <c r="E1164" s="2" t="s">
        <v>137</v>
      </c>
      <c r="F1164" s="4" t="s">
        <v>138</v>
      </c>
      <c r="G1164" s="4" t="s">
        <v>139</v>
      </c>
      <c r="H1164" s="5">
        <v>9</v>
      </c>
      <c r="I1164" s="5">
        <v>10.5</v>
      </c>
      <c r="J1164" s="5">
        <v>13</v>
      </c>
      <c r="K1164" s="4" t="s">
        <v>111</v>
      </c>
      <c r="L1164" s="4" t="s">
        <v>112</v>
      </c>
      <c r="M1164" s="6">
        <f>IF(OR(B1164="",I1164=""),"",B1164*I1164)</f>
        <v>808.5</v>
      </c>
      <c r="N1164" s="25" t="s">
        <v>113</v>
      </c>
      <c r="O1164" s="26">
        <v>55222</v>
      </c>
      <c r="P1164" s="9" t="s">
        <v>1087</v>
      </c>
      <c r="Q1164" s="27">
        <v>8241</v>
      </c>
      <c r="R1164" s="27">
        <v>124913</v>
      </c>
      <c r="S1164" s="23">
        <f>IF(AND(ISNUMBER(Q1164),Q1164&gt;0,ISNUMBER(R1164),R1164&gt;0),R1164/Q1164,"")</f>
        <v>15.157505157141124</v>
      </c>
      <c r="T1164" s="9" t="s">
        <v>115</v>
      </c>
      <c r="U1164" s="9" t="s">
        <v>141</v>
      </c>
      <c r="V1164" s="9" t="s">
        <v>21</v>
      </c>
      <c r="W1164" s="9" t="s">
        <v>905</v>
      </c>
      <c r="X1164" s="23">
        <f>IF(ISNUMBER(S1164),S1164,IF(ISNUMBER(I1164),I1164,""))</f>
        <v>15.157505157141124</v>
      </c>
      <c r="Y1164" t="str">
        <f>IF(ISNUMBER(S1164),"2025 EIA-923 plant/group proxy",IF(ISNUMBER(I1164),"Technology estimate","No thermal heat rate"))</f>
        <v>2025 EIA-923 plant/group proxy</v>
      </c>
      <c r="Z1164" t="str">
        <f>IF(ISNUMBER(S1164),"Review: NOT unit verified",IF(AE1164="No match","No EIA match",IF(AF1164="Unconfirmed","Unconfirmed EIA candidate","")))</f>
        <v>Review: NOT unit verified</v>
      </c>
      <c r="AA1164" s="26">
        <v>1</v>
      </c>
      <c r="AB1164" t="s">
        <v>166</v>
      </c>
      <c r="AC1164" t="s">
        <v>1088</v>
      </c>
      <c r="AD1164" s="26">
        <v>622.9</v>
      </c>
      <c r="AE1164" t="s">
        <v>120</v>
      </c>
      <c r="AF1164" t="s">
        <v>121</v>
      </c>
      <c r="AG1164" s="27">
        <v>15.157500000000001</v>
      </c>
      <c r="AH1164" s="34">
        <f t="shared" si="42"/>
        <v>178727.19999999995</v>
      </c>
      <c r="AI1164">
        <f t="shared" si="41"/>
        <v>111612.00697166238</v>
      </c>
      <c r="AJ1164" t="b" cm="1">
        <f t="array" ref="AJ1164">OR(D1164=$AT$2:$AT$8)</f>
        <v>0</v>
      </c>
    </row>
    <row r="1165" spans="1:36" x14ac:dyDescent="0.25">
      <c r="A1165" s="2" t="s">
        <v>1092</v>
      </c>
      <c r="B1165" s="3">
        <v>77</v>
      </c>
      <c r="C1165" s="2" t="s">
        <v>97</v>
      </c>
      <c r="D1165" s="2" t="s">
        <v>97</v>
      </c>
      <c r="E1165" s="2" t="s">
        <v>137</v>
      </c>
      <c r="F1165" s="4" t="s">
        <v>138</v>
      </c>
      <c r="G1165" s="4" t="s">
        <v>139</v>
      </c>
      <c r="H1165" s="5">
        <v>9</v>
      </c>
      <c r="I1165" s="5">
        <v>10.5</v>
      </c>
      <c r="J1165" s="5">
        <v>13</v>
      </c>
      <c r="K1165" s="4" t="s">
        <v>111</v>
      </c>
      <c r="L1165" s="4" t="s">
        <v>112</v>
      </c>
      <c r="M1165" s="6">
        <f>IF(OR(B1165="",I1165=""),"",B1165*I1165)</f>
        <v>808.5</v>
      </c>
      <c r="N1165" s="25" t="s">
        <v>113</v>
      </c>
      <c r="O1165" s="26">
        <v>55222</v>
      </c>
      <c r="P1165" s="9" t="s">
        <v>1087</v>
      </c>
      <c r="Q1165" s="27">
        <v>8241</v>
      </c>
      <c r="R1165" s="27">
        <v>124913</v>
      </c>
      <c r="S1165" s="23">
        <f>IF(AND(ISNUMBER(Q1165),Q1165&gt;0,ISNUMBER(R1165),R1165&gt;0),R1165/Q1165,"")</f>
        <v>15.157505157141124</v>
      </c>
      <c r="T1165" s="9" t="s">
        <v>115</v>
      </c>
      <c r="U1165" s="9" t="s">
        <v>141</v>
      </c>
      <c r="V1165" s="9" t="s">
        <v>21</v>
      </c>
      <c r="W1165" s="9" t="s">
        <v>905</v>
      </c>
      <c r="X1165" s="23">
        <f>IF(ISNUMBER(S1165),S1165,IF(ISNUMBER(I1165),I1165,""))</f>
        <v>15.157505157141124</v>
      </c>
      <c r="Y1165" t="str">
        <f>IF(ISNUMBER(S1165),"2025 EIA-923 plant/group proxy",IF(ISNUMBER(I1165),"Technology estimate","No thermal heat rate"))</f>
        <v>2025 EIA-923 plant/group proxy</v>
      </c>
      <c r="Z1165" t="str">
        <f>IF(ISNUMBER(S1165),"Review: NOT unit verified",IF(AE1165="No match","No EIA match",IF(AF1165="Unconfirmed","Unconfirmed EIA candidate","")))</f>
        <v>Review: NOT unit verified</v>
      </c>
      <c r="AA1165" s="26">
        <v>1</v>
      </c>
      <c r="AB1165" t="s">
        <v>166</v>
      </c>
      <c r="AC1165" t="s">
        <v>1088</v>
      </c>
      <c r="AD1165" s="26">
        <v>622.9</v>
      </c>
      <c r="AE1165" t="s">
        <v>120</v>
      </c>
      <c r="AF1165" t="s">
        <v>121</v>
      </c>
      <c r="AG1165" s="27">
        <v>15.157500000000001</v>
      </c>
      <c r="AH1165" s="34">
        <f t="shared" si="42"/>
        <v>178804.19999999995</v>
      </c>
      <c r="AI1165">
        <f t="shared" si="41"/>
        <v>111660.09212342899</v>
      </c>
      <c r="AJ1165" t="b" cm="1">
        <f t="array" ref="AJ1165">OR(D1165=$AT$2:$AT$8)</f>
        <v>0</v>
      </c>
    </row>
    <row r="1166" spans="1:36" x14ac:dyDescent="0.25">
      <c r="A1166" s="2" t="s">
        <v>1093</v>
      </c>
      <c r="B1166" s="3">
        <v>77</v>
      </c>
      <c r="C1166" s="2" t="s">
        <v>97</v>
      </c>
      <c r="D1166" s="2" t="s">
        <v>97</v>
      </c>
      <c r="E1166" s="2" t="s">
        <v>137</v>
      </c>
      <c r="F1166" s="4" t="s">
        <v>138</v>
      </c>
      <c r="G1166" s="4" t="s">
        <v>139</v>
      </c>
      <c r="H1166" s="5">
        <v>9</v>
      </c>
      <c r="I1166" s="5">
        <v>10.5</v>
      </c>
      <c r="J1166" s="5">
        <v>13</v>
      </c>
      <c r="K1166" s="4" t="s">
        <v>111</v>
      </c>
      <c r="L1166" s="4" t="s">
        <v>112</v>
      </c>
      <c r="M1166" s="6">
        <f>IF(OR(B1166="",I1166=""),"",B1166*I1166)</f>
        <v>808.5</v>
      </c>
      <c r="N1166" s="25" t="s">
        <v>113</v>
      </c>
      <c r="O1166" s="26">
        <v>55222</v>
      </c>
      <c r="P1166" s="9" t="s">
        <v>1087</v>
      </c>
      <c r="Q1166" s="27">
        <v>8241</v>
      </c>
      <c r="R1166" s="27">
        <v>124913</v>
      </c>
      <c r="S1166" s="23">
        <f>IF(AND(ISNUMBER(Q1166),Q1166&gt;0,ISNUMBER(R1166),R1166&gt;0),R1166/Q1166,"")</f>
        <v>15.157505157141124</v>
      </c>
      <c r="T1166" s="9" t="s">
        <v>115</v>
      </c>
      <c r="U1166" s="9" t="s">
        <v>141</v>
      </c>
      <c r="V1166" s="9" t="s">
        <v>21</v>
      </c>
      <c r="W1166" s="9" t="s">
        <v>905</v>
      </c>
      <c r="X1166" s="23">
        <f>IF(ISNUMBER(S1166),S1166,IF(ISNUMBER(I1166),I1166,""))</f>
        <v>15.157505157141124</v>
      </c>
      <c r="Y1166" t="str">
        <f>IF(ISNUMBER(S1166),"2025 EIA-923 plant/group proxy",IF(ISNUMBER(I1166),"Technology estimate","No thermal heat rate"))</f>
        <v>2025 EIA-923 plant/group proxy</v>
      </c>
      <c r="Z1166" t="str">
        <f>IF(ISNUMBER(S1166),"Review: NOT unit verified",IF(AE1166="No match","No EIA match",IF(AF1166="Unconfirmed","Unconfirmed EIA candidate","")))</f>
        <v>Review: NOT unit verified</v>
      </c>
      <c r="AA1166" s="26">
        <v>1</v>
      </c>
      <c r="AB1166" t="s">
        <v>166</v>
      </c>
      <c r="AC1166" t="s">
        <v>1088</v>
      </c>
      <c r="AD1166" s="26">
        <v>622.9</v>
      </c>
      <c r="AE1166" t="s">
        <v>120</v>
      </c>
      <c r="AF1166" t="s">
        <v>121</v>
      </c>
      <c r="AG1166" s="27">
        <v>15.157500000000001</v>
      </c>
      <c r="AH1166" s="34">
        <f t="shared" si="42"/>
        <v>178881.19999999995</v>
      </c>
      <c r="AI1166">
        <f t="shared" si="41"/>
        <v>111708.17727519557</v>
      </c>
      <c r="AJ1166" t="b" cm="1">
        <f t="array" ref="AJ1166">OR(D1166=$AT$2:$AT$8)</f>
        <v>0</v>
      </c>
    </row>
    <row r="1167" spans="1:36" x14ac:dyDescent="0.25">
      <c r="A1167" s="2" t="s">
        <v>1094</v>
      </c>
      <c r="B1167" s="3">
        <v>77</v>
      </c>
      <c r="C1167" s="2" t="s">
        <v>97</v>
      </c>
      <c r="D1167" s="2" t="s">
        <v>97</v>
      </c>
      <c r="E1167" s="2" t="s">
        <v>137</v>
      </c>
      <c r="F1167" s="4" t="s">
        <v>138</v>
      </c>
      <c r="G1167" s="4" t="s">
        <v>139</v>
      </c>
      <c r="H1167" s="5">
        <v>9</v>
      </c>
      <c r="I1167" s="5">
        <v>10.5</v>
      </c>
      <c r="J1167" s="5">
        <v>13</v>
      </c>
      <c r="K1167" s="4" t="s">
        <v>111</v>
      </c>
      <c r="L1167" s="4" t="s">
        <v>112</v>
      </c>
      <c r="M1167" s="6">
        <f>IF(OR(B1167="",I1167=""),"",B1167*I1167)</f>
        <v>808.5</v>
      </c>
      <c r="N1167" s="25" t="s">
        <v>113</v>
      </c>
      <c r="O1167" s="26">
        <v>55222</v>
      </c>
      <c r="P1167" s="9" t="s">
        <v>1087</v>
      </c>
      <c r="Q1167" s="27">
        <v>8241</v>
      </c>
      <c r="R1167" s="27">
        <v>124913</v>
      </c>
      <c r="S1167" s="23">
        <f>IF(AND(ISNUMBER(Q1167),Q1167&gt;0,ISNUMBER(R1167),R1167&gt;0),R1167/Q1167,"")</f>
        <v>15.157505157141124</v>
      </c>
      <c r="T1167" s="9" t="s">
        <v>115</v>
      </c>
      <c r="U1167" s="9" t="s">
        <v>141</v>
      </c>
      <c r="V1167" s="9" t="s">
        <v>21</v>
      </c>
      <c r="W1167" s="9" t="s">
        <v>905</v>
      </c>
      <c r="X1167" s="23">
        <f>IF(ISNUMBER(S1167),S1167,IF(ISNUMBER(I1167),I1167,""))</f>
        <v>15.157505157141124</v>
      </c>
      <c r="Y1167" t="str">
        <f>IF(ISNUMBER(S1167),"2025 EIA-923 plant/group proxy",IF(ISNUMBER(I1167),"Technology estimate","No thermal heat rate"))</f>
        <v>2025 EIA-923 plant/group proxy</v>
      </c>
      <c r="Z1167" t="str">
        <f>IF(ISNUMBER(S1167),"Review: NOT unit verified",IF(AE1167="No match","No EIA match",IF(AF1167="Unconfirmed","Unconfirmed EIA candidate","")))</f>
        <v>Review: NOT unit verified</v>
      </c>
      <c r="AA1167" s="26">
        <v>1</v>
      </c>
      <c r="AB1167" t="s">
        <v>166</v>
      </c>
      <c r="AC1167" t="s">
        <v>1088</v>
      </c>
      <c r="AD1167" s="26">
        <v>622.9</v>
      </c>
      <c r="AE1167" t="s">
        <v>120</v>
      </c>
      <c r="AF1167" t="s">
        <v>121</v>
      </c>
      <c r="AG1167" s="27">
        <v>15.157500000000001</v>
      </c>
      <c r="AH1167" s="34">
        <f t="shared" si="42"/>
        <v>178958.19999999995</v>
      </c>
      <c r="AI1167">
        <f t="shared" si="41"/>
        <v>111756.26242696216</v>
      </c>
      <c r="AJ1167" t="b" cm="1">
        <f t="array" ref="AJ1167">OR(D1167=$AT$2:$AT$8)</f>
        <v>0</v>
      </c>
    </row>
    <row r="1168" spans="1:36" x14ac:dyDescent="0.25">
      <c r="A1168" s="2" t="s">
        <v>1095</v>
      </c>
      <c r="B1168" s="3">
        <v>77</v>
      </c>
      <c r="C1168" s="2" t="s">
        <v>97</v>
      </c>
      <c r="D1168" s="2" t="s">
        <v>97</v>
      </c>
      <c r="E1168" s="2" t="s">
        <v>137</v>
      </c>
      <c r="F1168" s="4" t="s">
        <v>138</v>
      </c>
      <c r="G1168" s="4" t="s">
        <v>139</v>
      </c>
      <c r="H1168" s="5">
        <v>9</v>
      </c>
      <c r="I1168" s="5">
        <v>10.5</v>
      </c>
      <c r="J1168" s="5">
        <v>13</v>
      </c>
      <c r="K1168" s="4" t="s">
        <v>111</v>
      </c>
      <c r="L1168" s="4" t="s">
        <v>112</v>
      </c>
      <c r="M1168" s="6">
        <f>IF(OR(B1168="",I1168=""),"",B1168*I1168)</f>
        <v>808.5</v>
      </c>
      <c r="N1168" s="25" t="s">
        <v>113</v>
      </c>
      <c r="O1168" s="26">
        <v>55222</v>
      </c>
      <c r="P1168" s="9" t="s">
        <v>1087</v>
      </c>
      <c r="Q1168" s="27">
        <v>8241</v>
      </c>
      <c r="R1168" s="27">
        <v>124913</v>
      </c>
      <c r="S1168" s="23">
        <f>IF(AND(ISNUMBER(Q1168),Q1168&gt;0,ISNUMBER(R1168),R1168&gt;0),R1168/Q1168,"")</f>
        <v>15.157505157141124</v>
      </c>
      <c r="T1168" s="9" t="s">
        <v>115</v>
      </c>
      <c r="U1168" s="9" t="s">
        <v>141</v>
      </c>
      <c r="V1168" s="9" t="s">
        <v>21</v>
      </c>
      <c r="W1168" s="9" t="s">
        <v>905</v>
      </c>
      <c r="X1168" s="23">
        <f>IF(ISNUMBER(S1168),S1168,IF(ISNUMBER(I1168),I1168,""))</f>
        <v>15.157505157141124</v>
      </c>
      <c r="Y1168" t="str">
        <f>IF(ISNUMBER(S1168),"2025 EIA-923 plant/group proxy",IF(ISNUMBER(I1168),"Technology estimate","No thermal heat rate"))</f>
        <v>2025 EIA-923 plant/group proxy</v>
      </c>
      <c r="Z1168" t="str">
        <f>IF(ISNUMBER(S1168),"Review: NOT unit verified",IF(AE1168="No match","No EIA match",IF(AF1168="Unconfirmed","Unconfirmed EIA candidate","")))</f>
        <v>Review: NOT unit verified</v>
      </c>
      <c r="AA1168" s="26">
        <v>1</v>
      </c>
      <c r="AB1168" t="s">
        <v>166</v>
      </c>
      <c r="AC1168" t="s">
        <v>1088</v>
      </c>
      <c r="AD1168" s="26">
        <v>622.9</v>
      </c>
      <c r="AE1168" t="s">
        <v>120</v>
      </c>
      <c r="AF1168" t="s">
        <v>121</v>
      </c>
      <c r="AG1168" s="27">
        <v>15.157500000000001</v>
      </c>
      <c r="AH1168" s="34">
        <f t="shared" si="42"/>
        <v>179035.19999999995</v>
      </c>
      <c r="AI1168">
        <f t="shared" si="41"/>
        <v>111804.34757872876</v>
      </c>
      <c r="AJ1168" t="b" cm="1">
        <f t="array" ref="AJ1168">OR(D1168=$AT$2:$AT$8)</f>
        <v>0</v>
      </c>
    </row>
    <row r="1169" spans="1:36" x14ac:dyDescent="0.25">
      <c r="A1169" s="2" t="s">
        <v>1785</v>
      </c>
      <c r="B1169" s="3">
        <v>29.1</v>
      </c>
      <c r="C1169" s="2" t="s">
        <v>136</v>
      </c>
      <c r="D1169" s="2" t="s">
        <v>136</v>
      </c>
      <c r="E1169" s="2" t="s">
        <v>109</v>
      </c>
      <c r="F1169" s="4" t="s">
        <v>109</v>
      </c>
      <c r="G1169" s="4" t="s">
        <v>110</v>
      </c>
      <c r="H1169" s="5">
        <v>9</v>
      </c>
      <c r="I1169" s="5">
        <v>10.3</v>
      </c>
      <c r="J1169" s="5">
        <v>12</v>
      </c>
      <c r="K1169" s="4" t="s">
        <v>111</v>
      </c>
      <c r="L1169" s="4" t="s">
        <v>112</v>
      </c>
      <c r="M1169" s="6">
        <f>IF(OR(B1169="",I1169=""),"",B1169*I1169)</f>
        <v>299.73</v>
      </c>
      <c r="N1169" s="28" t="s">
        <v>113</v>
      </c>
      <c r="O1169" s="26">
        <v>50611</v>
      </c>
      <c r="P1169" s="9" t="s">
        <v>1786</v>
      </c>
      <c r="Q1169" s="27">
        <v>142460.03400000001</v>
      </c>
      <c r="R1169" s="27">
        <v>2190067</v>
      </c>
      <c r="S1169" s="23">
        <f>IF(AND(ISNUMBER(Q1169),Q1169&gt;0,ISNUMBER(R1169),R1169&gt;0),R1169/Q1169,"")</f>
        <v>15.373202845087063</v>
      </c>
      <c r="T1169" s="9" t="s">
        <v>115</v>
      </c>
      <c r="U1169" s="9" t="s">
        <v>662</v>
      </c>
      <c r="V1169" s="9" t="s">
        <v>21</v>
      </c>
      <c r="W1169" s="9" t="s">
        <v>142</v>
      </c>
      <c r="X1169" s="23">
        <f>IF(ISNUMBER(S1169),S1169,IF(ISNUMBER(I1169),I1169,""))</f>
        <v>15.373202845087063</v>
      </c>
      <c r="Y1169" t="str">
        <f>IF(ISNUMBER(S1169),"2025 EIA-923 plant/group proxy",IF(ISNUMBER(I1169),"Technology estimate","No thermal heat rate"))</f>
        <v>2025 EIA-923 plant/group proxy</v>
      </c>
      <c r="Z1169" t="str">
        <f>IF(ISNUMBER(S1169),"Review: NOT unit verified",IF(AE1169="No match","No EIA match",IF(AF1169="Unconfirmed","Unconfirmed EIA candidate","")))</f>
        <v>Review: NOT unit verified</v>
      </c>
      <c r="AA1169" s="26">
        <v>0.65900000000000003</v>
      </c>
      <c r="AB1169" t="s">
        <v>143</v>
      </c>
      <c r="AC1169" t="s">
        <v>282</v>
      </c>
      <c r="AD1169" s="26">
        <v>30</v>
      </c>
      <c r="AE1169" t="s">
        <v>120</v>
      </c>
      <c r="AF1169" t="s">
        <v>145</v>
      </c>
      <c r="AG1169" s="27">
        <v>15.373200000000001</v>
      </c>
      <c r="AH1169" s="34">
        <f t="shared" si="42"/>
        <v>179064.29999999996</v>
      </c>
      <c r="AI1169">
        <f t="shared" si="41"/>
        <v>111822.52001920159</v>
      </c>
      <c r="AJ1169" t="b" cm="1">
        <f t="array" ref="AJ1169">OR(D1169=$AT$2:$AT$8)</f>
        <v>0</v>
      </c>
    </row>
    <row r="1170" spans="1:36" x14ac:dyDescent="0.25">
      <c r="A1170" s="2" t="s">
        <v>660</v>
      </c>
      <c r="B1170" s="3">
        <v>50</v>
      </c>
      <c r="C1170" s="2" t="s">
        <v>86</v>
      </c>
      <c r="D1170" s="2" t="s">
        <v>76</v>
      </c>
      <c r="E1170" s="2" t="s">
        <v>109</v>
      </c>
      <c r="F1170" s="4" t="s">
        <v>109</v>
      </c>
      <c r="G1170" s="4" t="s">
        <v>110</v>
      </c>
      <c r="H1170" s="5">
        <v>9</v>
      </c>
      <c r="I1170" s="5">
        <v>10.3</v>
      </c>
      <c r="J1170" s="5">
        <v>12</v>
      </c>
      <c r="K1170" s="4" t="s">
        <v>111</v>
      </c>
      <c r="L1170" s="4" t="s">
        <v>112</v>
      </c>
      <c r="M1170" s="6">
        <f>IF(OR(B1170="",I1170=""),"",B1170*I1170)</f>
        <v>515</v>
      </c>
      <c r="N1170" s="28" t="s">
        <v>113</v>
      </c>
      <c r="O1170" s="26">
        <v>10603</v>
      </c>
      <c r="P1170" s="9" t="s">
        <v>661</v>
      </c>
      <c r="Q1170" s="27">
        <v>306330.57199999999</v>
      </c>
      <c r="R1170" s="27">
        <v>4714009</v>
      </c>
      <c r="S1170" s="23">
        <f>IF(AND(ISNUMBER(Q1170),Q1170&gt;0,ISNUMBER(R1170),R1170&gt;0),R1170/Q1170,"")</f>
        <v>15.388633818762301</v>
      </c>
      <c r="T1170" s="9" t="s">
        <v>115</v>
      </c>
      <c r="U1170" s="9" t="s">
        <v>662</v>
      </c>
      <c r="V1170" s="9" t="s">
        <v>21</v>
      </c>
      <c r="W1170" s="9" t="s">
        <v>142</v>
      </c>
      <c r="X1170" s="23">
        <f>IF(ISNUMBER(S1170),S1170,IF(ISNUMBER(I1170),I1170,""))</f>
        <v>15.388633818762301</v>
      </c>
      <c r="Y1170" t="str">
        <f>IF(ISNUMBER(S1170),"2025 EIA-923 plant/group proxy",IF(ISNUMBER(I1170),"Technology estimate","No thermal heat rate"))</f>
        <v>2025 EIA-923 plant/group proxy</v>
      </c>
      <c r="Z1170" t="str">
        <f>IF(ISNUMBER(S1170),"Review: NOT unit verified",IF(AE1170="No match","No EIA match",IF(AF1170="Unconfirmed","Unconfirmed EIA candidate","")))</f>
        <v>Review: NOT unit verified</v>
      </c>
      <c r="AA1170" s="26">
        <v>0.6623</v>
      </c>
      <c r="AB1170" t="s">
        <v>143</v>
      </c>
      <c r="AC1170" t="s">
        <v>282</v>
      </c>
      <c r="AD1170" s="26">
        <v>50</v>
      </c>
      <c r="AE1170" t="s">
        <v>120</v>
      </c>
      <c r="AF1170" t="s">
        <v>145</v>
      </c>
      <c r="AG1170" s="27">
        <v>15.3886</v>
      </c>
      <c r="AH1170" s="34">
        <f t="shared" si="42"/>
        <v>179114.29999999996</v>
      </c>
      <c r="AI1170">
        <f t="shared" si="41"/>
        <v>111853.74414372534</v>
      </c>
      <c r="AJ1170" t="b" cm="1">
        <f t="array" ref="AJ1170">OR(D1170=$AT$2:$AT$8)</f>
        <v>0</v>
      </c>
    </row>
    <row r="1171" spans="1:36" x14ac:dyDescent="0.25">
      <c r="A1171" s="2" t="s">
        <v>1386</v>
      </c>
      <c r="B1171" s="3">
        <v>1278</v>
      </c>
      <c r="C1171" s="2" t="s">
        <v>80</v>
      </c>
      <c r="D1171" s="2" t="s">
        <v>81</v>
      </c>
      <c r="E1171" s="2" t="s">
        <v>109</v>
      </c>
      <c r="F1171" s="4" t="s">
        <v>109</v>
      </c>
      <c r="G1171" s="4" t="s">
        <v>110</v>
      </c>
      <c r="H1171" s="5">
        <v>9</v>
      </c>
      <c r="I1171" s="5">
        <v>10.3</v>
      </c>
      <c r="J1171" s="5">
        <v>12</v>
      </c>
      <c r="K1171" s="4" t="s">
        <v>111</v>
      </c>
      <c r="L1171" s="4" t="s">
        <v>112</v>
      </c>
      <c r="M1171" s="6">
        <f>IF(OR(B1171="",I1171=""),"",B1171*I1171)</f>
        <v>13163.400000000001</v>
      </c>
      <c r="N1171" s="25" t="s">
        <v>113</v>
      </c>
      <c r="O1171" s="26">
        <v>6004</v>
      </c>
      <c r="P1171" s="9" t="s">
        <v>1387</v>
      </c>
      <c r="Q1171" s="27">
        <v>366983.47499999998</v>
      </c>
      <c r="R1171" s="27">
        <v>6107161</v>
      </c>
      <c r="S1171" s="23">
        <f>IF(AND(ISNUMBER(Q1171),Q1171&gt;0,ISNUMBER(R1171),R1171&gt;0),R1171/Q1171,"")</f>
        <v>16.641514989196722</v>
      </c>
      <c r="T1171" s="9" t="s">
        <v>115</v>
      </c>
      <c r="U1171" s="9" t="s">
        <v>116</v>
      </c>
      <c r="V1171" s="9" t="s">
        <v>21</v>
      </c>
      <c r="W1171" s="9" t="s">
        <v>217</v>
      </c>
      <c r="X1171" s="23">
        <f>IF(ISNUMBER(S1171),S1171,IF(ISNUMBER(I1171),I1171,""))</f>
        <v>16.641514989196722</v>
      </c>
      <c r="Y1171" t="str">
        <f>IF(ISNUMBER(S1171),"2025 EIA-923 plant/group proxy",IF(ISNUMBER(I1171),"Technology estimate","No thermal heat rate"))</f>
        <v>2025 EIA-923 plant/group proxy</v>
      </c>
      <c r="Z1171" t="str">
        <f>IF(ISNUMBER(S1171),"Review: NOT unit verified",IF(AE1171="No match","No EIA match",IF(AF1171="Unconfirmed","Unconfirmed EIA candidate","")))</f>
        <v>Review: NOT unit verified</v>
      </c>
      <c r="AA1171" s="26">
        <v>1</v>
      </c>
      <c r="AB1171" t="s">
        <v>118</v>
      </c>
      <c r="AC1171" t="s">
        <v>308</v>
      </c>
      <c r="AD1171" s="26">
        <v>1278</v>
      </c>
      <c r="AE1171" t="s">
        <v>120</v>
      </c>
      <c r="AF1171" t="s">
        <v>121</v>
      </c>
      <c r="AG1171" s="27">
        <v>16.641500000000001</v>
      </c>
      <c r="AH1171" s="34">
        <f t="shared" si="42"/>
        <v>180392.29999999996</v>
      </c>
      <c r="AI1171">
        <f t="shared" si="41"/>
        <v>112651.83276655267</v>
      </c>
      <c r="AJ1171" t="b" cm="1">
        <f t="array" ref="AJ1171">OR(D1171=$AT$2:$AT$8)</f>
        <v>0</v>
      </c>
    </row>
    <row r="1172" spans="1:36" x14ac:dyDescent="0.25">
      <c r="A1172" s="2" t="s">
        <v>289</v>
      </c>
      <c r="B1172" s="3">
        <v>20.9</v>
      </c>
      <c r="C1172" s="2" t="s">
        <v>86</v>
      </c>
      <c r="D1172" s="2" t="s">
        <v>76</v>
      </c>
      <c r="E1172" s="2" t="s">
        <v>137</v>
      </c>
      <c r="F1172" s="4" t="s">
        <v>138</v>
      </c>
      <c r="G1172" s="4" t="s">
        <v>139</v>
      </c>
      <c r="H1172" s="5">
        <v>9</v>
      </c>
      <c r="I1172" s="5">
        <v>10.5</v>
      </c>
      <c r="J1172" s="5">
        <v>13</v>
      </c>
      <c r="K1172" s="4" t="s">
        <v>111</v>
      </c>
      <c r="L1172" s="4" t="s">
        <v>112</v>
      </c>
      <c r="M1172" s="6">
        <f>IF(OR(B1172="",I1172=""),"",B1172*I1172)</f>
        <v>219.45</v>
      </c>
      <c r="N1172" s="25" t="s">
        <v>113</v>
      </c>
      <c r="O1172" s="26">
        <v>3120</v>
      </c>
      <c r="P1172" s="9" t="s">
        <v>290</v>
      </c>
      <c r="Q1172" s="27">
        <v>2955</v>
      </c>
      <c r="R1172" s="27">
        <v>49760</v>
      </c>
      <c r="S1172" s="23">
        <f>IF(AND(ISNUMBER(Q1172),Q1172&gt;0,ISNUMBER(R1172),R1172&gt;0),R1172/Q1172,"")</f>
        <v>16.839255499153975</v>
      </c>
      <c r="T1172" s="9" t="s">
        <v>115</v>
      </c>
      <c r="U1172" s="9" t="s">
        <v>141</v>
      </c>
      <c r="V1172" s="9" t="s">
        <v>21</v>
      </c>
      <c r="W1172" s="9" t="s">
        <v>217</v>
      </c>
      <c r="X1172" s="23">
        <f>IF(ISNUMBER(S1172),S1172,IF(ISNUMBER(I1172),I1172,""))</f>
        <v>16.839255499153975</v>
      </c>
      <c r="Y1172" t="str">
        <f>IF(ISNUMBER(S1172),"2025 EIA-923 plant/group proxy",IF(ISNUMBER(I1172),"Technology estimate","No thermal heat rate"))</f>
        <v>2025 EIA-923 plant/group proxy</v>
      </c>
      <c r="Z1172" t="str">
        <f>IF(ISNUMBER(S1172),"Review: NOT unit verified",IF(AE1172="No match","No EIA match",IF(AF1172="Unconfirmed","Unconfirmed EIA candidate","")))</f>
        <v>Review: NOT unit verified</v>
      </c>
      <c r="AA1172" s="26">
        <v>1</v>
      </c>
      <c r="AB1172" t="s">
        <v>143</v>
      </c>
      <c r="AC1172" t="s">
        <v>267</v>
      </c>
      <c r="AD1172" s="26">
        <v>20.9</v>
      </c>
      <c r="AE1172" t="s">
        <v>120</v>
      </c>
      <c r="AF1172" t="s">
        <v>121</v>
      </c>
      <c r="AG1172" s="27">
        <v>16.839300000000001</v>
      </c>
      <c r="AH1172" s="34">
        <f t="shared" si="42"/>
        <v>180413.19999999995</v>
      </c>
      <c r="AI1172">
        <f t="shared" si="41"/>
        <v>112664.88445060361</v>
      </c>
      <c r="AJ1172" t="b" cm="1">
        <f t="array" ref="AJ1172">OR(D1172=$AT$2:$AT$8)</f>
        <v>0</v>
      </c>
    </row>
    <row r="1173" spans="1:36" x14ac:dyDescent="0.25">
      <c r="A1173" s="2" t="s">
        <v>1732</v>
      </c>
      <c r="B1173" s="3">
        <v>153</v>
      </c>
      <c r="C1173" s="2" t="s">
        <v>68</v>
      </c>
      <c r="D1173" s="2" t="s">
        <v>69</v>
      </c>
      <c r="E1173" s="2" t="s">
        <v>189</v>
      </c>
      <c r="F1173" s="4" t="s">
        <v>103</v>
      </c>
      <c r="G1173" s="4" t="s">
        <v>190</v>
      </c>
      <c r="H1173" s="5"/>
      <c r="I1173" s="5"/>
      <c r="J1173" s="5"/>
      <c r="K1173" s="4" t="s">
        <v>105</v>
      </c>
      <c r="L1173" s="4" t="s">
        <v>191</v>
      </c>
      <c r="M1173" s="6" t="str">
        <f>IF(OR(B1173="",I1173=""),"",B1173*I1173)</f>
        <v/>
      </c>
      <c r="N1173" s="25" t="s">
        <v>113</v>
      </c>
      <c r="O1173" s="26">
        <v>1564</v>
      </c>
      <c r="P1173" s="9" t="s">
        <v>1733</v>
      </c>
      <c r="Q1173" s="27">
        <v>11873</v>
      </c>
      <c r="R1173" s="27">
        <v>201133</v>
      </c>
      <c r="S1173" s="23">
        <f>IF(AND(ISNUMBER(Q1173),Q1173&gt;0,ISNUMBER(R1173),R1173&gt;0),R1173/Q1173,"")</f>
        <v>16.940368904236504</v>
      </c>
      <c r="T1173" s="9" t="s">
        <v>115</v>
      </c>
      <c r="U1173" s="9" t="s">
        <v>1734</v>
      </c>
      <c r="V1173" s="9" t="s">
        <v>21</v>
      </c>
      <c r="W1173" s="9" t="s">
        <v>217</v>
      </c>
      <c r="X1173" s="23">
        <f>IF(ISNUMBER(S1173),S1173,IF(ISNUMBER(I1173),I1173,""))</f>
        <v>16.940368904236504</v>
      </c>
      <c r="Y1173" t="str">
        <f>IF(ISNUMBER(S1173),"2025 EIA-923 plant/group proxy",IF(ISNUMBER(I1173),"Technology estimate","No thermal heat rate"))</f>
        <v>2025 EIA-923 plant/group proxy</v>
      </c>
      <c r="Z1173" t="str">
        <f>IF(ISNUMBER(S1173),"Review: NOT unit verified",IF(AE1173="No match","No EIA match",IF(AF1173="Unconfirmed","Unconfirmed EIA candidate","")))</f>
        <v>Review: NOT unit verified</v>
      </c>
      <c r="AA1173" s="26">
        <v>0.80889999999999995</v>
      </c>
      <c r="AB1173" t="s">
        <v>307</v>
      </c>
      <c r="AC1173" t="s">
        <v>1735</v>
      </c>
      <c r="AD1173" s="26">
        <v>153</v>
      </c>
      <c r="AE1173" t="s">
        <v>120</v>
      </c>
      <c r="AF1173" t="s">
        <v>121</v>
      </c>
      <c r="AG1173" s="27">
        <v>16.9404</v>
      </c>
      <c r="AH1173" s="34">
        <f t="shared" si="42"/>
        <v>180566.19999999995</v>
      </c>
      <c r="AI1173">
        <f t="shared" si="41"/>
        <v>112760.43027164631</v>
      </c>
      <c r="AJ1173" t="b" cm="1">
        <f t="array" ref="AJ1173">OR(D1173=$AT$2:$AT$8)</f>
        <v>0</v>
      </c>
    </row>
    <row r="1174" spans="1:36" x14ac:dyDescent="0.25">
      <c r="A1174" s="2" t="s">
        <v>1818</v>
      </c>
      <c r="B1174" s="3">
        <v>77</v>
      </c>
      <c r="C1174" s="2" t="s">
        <v>319</v>
      </c>
      <c r="D1174" s="2" t="s">
        <v>319</v>
      </c>
      <c r="E1174" s="2" t="s">
        <v>125</v>
      </c>
      <c r="F1174" s="4" t="s">
        <v>126</v>
      </c>
      <c r="G1174" s="4" t="s">
        <v>127</v>
      </c>
      <c r="H1174" s="5">
        <v>9.1999999999999993</v>
      </c>
      <c r="I1174" s="5">
        <v>10.8</v>
      </c>
      <c r="J1174" s="5">
        <v>13.5</v>
      </c>
      <c r="K1174" s="4" t="s">
        <v>111</v>
      </c>
      <c r="L1174" s="4" t="s">
        <v>128</v>
      </c>
      <c r="M1174" s="6">
        <f>IF(OR(B1174="",I1174=""),"",B1174*I1174)</f>
        <v>831.6</v>
      </c>
      <c r="N1174" s="28" t="s">
        <v>113</v>
      </c>
      <c r="O1174" s="26">
        <v>7158</v>
      </c>
      <c r="P1174" s="9" t="s">
        <v>1819</v>
      </c>
      <c r="Q1174" s="27">
        <v>321121</v>
      </c>
      <c r="R1174" s="27">
        <v>5715048</v>
      </c>
      <c r="S1174" s="23">
        <f>IF(AND(ISNUMBER(Q1174),Q1174&gt;0,ISNUMBER(R1174),R1174&gt;0),R1174/Q1174,"")</f>
        <v>17.797179256417362</v>
      </c>
      <c r="T1174" s="9" t="s">
        <v>115</v>
      </c>
      <c r="U1174" s="9" t="s">
        <v>130</v>
      </c>
      <c r="V1174" s="9" t="s">
        <v>21</v>
      </c>
      <c r="W1174" s="9" t="s">
        <v>270</v>
      </c>
      <c r="X1174" s="23">
        <f>IF(ISNUMBER(S1174),S1174,IF(ISNUMBER(I1174),I1174,""))</f>
        <v>17.797179256417362</v>
      </c>
      <c r="Y1174" t="str">
        <f>IF(ISNUMBER(S1174),"2025 EIA-923 plant/group proxy",IF(ISNUMBER(I1174),"Technology estimate","No thermal heat rate"))</f>
        <v>2025 EIA-923 plant/group proxy</v>
      </c>
      <c r="Z1174" t="str">
        <f>IF(ISNUMBER(S1174),"Review: NOT unit verified",IF(AE1174="No match","No EIA match",IF(AF1174="Unconfirmed","Unconfirmed EIA candidate","")))</f>
        <v>Review: NOT unit verified</v>
      </c>
      <c r="AA1174" s="26">
        <v>0.6623</v>
      </c>
      <c r="AB1174" t="s">
        <v>322</v>
      </c>
      <c r="AC1174" t="s">
        <v>413</v>
      </c>
      <c r="AD1174" s="26">
        <v>476</v>
      </c>
      <c r="AE1174" t="s">
        <v>120</v>
      </c>
      <c r="AF1174" t="s">
        <v>145</v>
      </c>
      <c r="AG1174" s="27">
        <v>17.7972</v>
      </c>
      <c r="AH1174" s="34">
        <f t="shared" si="42"/>
        <v>180643.19999999995</v>
      </c>
      <c r="AI1174">
        <f t="shared" si="41"/>
        <v>112808.5154234129</v>
      </c>
      <c r="AJ1174" t="b" cm="1">
        <f t="array" ref="AJ1174">OR(D1174=$AT$2:$AT$8)</f>
        <v>0</v>
      </c>
    </row>
    <row r="1175" spans="1:36" x14ac:dyDescent="0.25">
      <c r="A1175" s="2" t="s">
        <v>1820</v>
      </c>
      <c r="B1175" s="3">
        <v>77</v>
      </c>
      <c r="C1175" s="2" t="s">
        <v>319</v>
      </c>
      <c r="D1175" s="2" t="s">
        <v>319</v>
      </c>
      <c r="E1175" s="2" t="s">
        <v>125</v>
      </c>
      <c r="F1175" s="4" t="s">
        <v>126</v>
      </c>
      <c r="G1175" s="4" t="s">
        <v>127</v>
      </c>
      <c r="H1175" s="5">
        <v>9.1999999999999993</v>
      </c>
      <c r="I1175" s="5">
        <v>10.8</v>
      </c>
      <c r="J1175" s="5">
        <v>13.5</v>
      </c>
      <c r="K1175" s="4" t="s">
        <v>111</v>
      </c>
      <c r="L1175" s="4" t="s">
        <v>128</v>
      </c>
      <c r="M1175" s="6">
        <f>IF(OR(B1175="",I1175=""),"",B1175*I1175)</f>
        <v>831.6</v>
      </c>
      <c r="N1175" s="28" t="s">
        <v>113</v>
      </c>
      <c r="O1175" s="26">
        <v>7158</v>
      </c>
      <c r="P1175" s="9" t="s">
        <v>1819</v>
      </c>
      <c r="Q1175" s="27">
        <v>321121</v>
      </c>
      <c r="R1175" s="27">
        <v>5715048</v>
      </c>
      <c r="S1175" s="23">
        <f>IF(AND(ISNUMBER(Q1175),Q1175&gt;0,ISNUMBER(R1175),R1175&gt;0),R1175/Q1175,"")</f>
        <v>17.797179256417362</v>
      </c>
      <c r="T1175" s="9" t="s">
        <v>115</v>
      </c>
      <c r="U1175" s="9" t="s">
        <v>130</v>
      </c>
      <c r="V1175" s="9" t="s">
        <v>21</v>
      </c>
      <c r="W1175" s="9" t="s">
        <v>270</v>
      </c>
      <c r="X1175" s="23">
        <f>IF(ISNUMBER(S1175),S1175,IF(ISNUMBER(I1175),I1175,""))</f>
        <v>17.797179256417362</v>
      </c>
      <c r="Y1175" t="str">
        <f>IF(ISNUMBER(S1175),"2025 EIA-923 plant/group proxy",IF(ISNUMBER(I1175),"Technology estimate","No thermal heat rate"))</f>
        <v>2025 EIA-923 plant/group proxy</v>
      </c>
      <c r="Z1175" t="str">
        <f>IF(ISNUMBER(S1175),"Review: NOT unit verified",IF(AE1175="No match","No EIA match",IF(AF1175="Unconfirmed","Unconfirmed EIA candidate","")))</f>
        <v>Review: NOT unit verified</v>
      </c>
      <c r="AA1175" s="26">
        <v>0.6623</v>
      </c>
      <c r="AB1175" t="s">
        <v>322</v>
      </c>
      <c r="AC1175" t="s">
        <v>413</v>
      </c>
      <c r="AD1175" s="26">
        <v>476</v>
      </c>
      <c r="AE1175" t="s">
        <v>120</v>
      </c>
      <c r="AF1175" t="s">
        <v>145</v>
      </c>
      <c r="AG1175" s="27">
        <v>17.7972</v>
      </c>
      <c r="AH1175" s="34">
        <f t="shared" si="42"/>
        <v>180720.19999999995</v>
      </c>
      <c r="AI1175">
        <f t="shared" si="41"/>
        <v>112856.6005751795</v>
      </c>
      <c r="AJ1175" t="b" cm="1">
        <f t="array" ref="AJ1175">OR(D1175=$AT$2:$AT$8)</f>
        <v>0</v>
      </c>
    </row>
    <row r="1176" spans="1:36" x14ac:dyDescent="0.25">
      <c r="A1176" s="2" t="s">
        <v>1821</v>
      </c>
      <c r="B1176" s="3">
        <v>77</v>
      </c>
      <c r="C1176" s="2" t="s">
        <v>319</v>
      </c>
      <c r="D1176" s="2" t="s">
        <v>319</v>
      </c>
      <c r="E1176" s="2" t="s">
        <v>125</v>
      </c>
      <c r="F1176" s="4" t="s">
        <v>126</v>
      </c>
      <c r="G1176" s="4" t="s">
        <v>127</v>
      </c>
      <c r="H1176" s="5">
        <v>9.1999999999999993</v>
      </c>
      <c r="I1176" s="5">
        <v>10.8</v>
      </c>
      <c r="J1176" s="5">
        <v>13.5</v>
      </c>
      <c r="K1176" s="4" t="s">
        <v>111</v>
      </c>
      <c r="L1176" s="4" t="s">
        <v>128</v>
      </c>
      <c r="M1176" s="6">
        <f>IF(OR(B1176="",I1176=""),"",B1176*I1176)</f>
        <v>831.6</v>
      </c>
      <c r="N1176" s="28" t="s">
        <v>113</v>
      </c>
      <c r="O1176" s="26">
        <v>7158</v>
      </c>
      <c r="P1176" s="9" t="s">
        <v>1819</v>
      </c>
      <c r="Q1176" s="27">
        <v>321121</v>
      </c>
      <c r="R1176" s="27">
        <v>5715048</v>
      </c>
      <c r="S1176" s="23">
        <f>IF(AND(ISNUMBER(Q1176),Q1176&gt;0,ISNUMBER(R1176),R1176&gt;0),R1176/Q1176,"")</f>
        <v>17.797179256417362</v>
      </c>
      <c r="T1176" s="9" t="s">
        <v>115</v>
      </c>
      <c r="U1176" s="9" t="s">
        <v>130</v>
      </c>
      <c r="V1176" s="9" t="s">
        <v>21</v>
      </c>
      <c r="W1176" s="9" t="s">
        <v>270</v>
      </c>
      <c r="X1176" s="23">
        <f>IF(ISNUMBER(S1176),S1176,IF(ISNUMBER(I1176),I1176,""))</f>
        <v>17.797179256417362</v>
      </c>
      <c r="Y1176" t="str">
        <f>IF(ISNUMBER(S1176),"2025 EIA-923 plant/group proxy",IF(ISNUMBER(I1176),"Technology estimate","No thermal heat rate"))</f>
        <v>2025 EIA-923 plant/group proxy</v>
      </c>
      <c r="Z1176" t="str">
        <f>IF(ISNUMBER(S1176),"Review: NOT unit verified",IF(AE1176="No match","No EIA match",IF(AF1176="Unconfirmed","Unconfirmed EIA candidate","")))</f>
        <v>Review: NOT unit verified</v>
      </c>
      <c r="AA1176" s="26">
        <v>0.6623</v>
      </c>
      <c r="AB1176" t="s">
        <v>322</v>
      </c>
      <c r="AC1176" t="s">
        <v>413</v>
      </c>
      <c r="AD1176" s="26">
        <v>476</v>
      </c>
      <c r="AE1176" t="s">
        <v>120</v>
      </c>
      <c r="AF1176" t="s">
        <v>145</v>
      </c>
      <c r="AG1176" s="27">
        <v>17.7972</v>
      </c>
      <c r="AH1176" s="34">
        <f t="shared" si="42"/>
        <v>180797.19999999995</v>
      </c>
      <c r="AI1176">
        <f t="shared" si="41"/>
        <v>112904.68572694609</v>
      </c>
      <c r="AJ1176" t="b" cm="1">
        <f t="array" ref="AJ1176">OR(D1176=$AT$2:$AT$8)</f>
        <v>0</v>
      </c>
    </row>
    <row r="1177" spans="1:36" x14ac:dyDescent="0.25">
      <c r="A1177" s="2" t="s">
        <v>1822</v>
      </c>
      <c r="B1177" s="3">
        <v>77</v>
      </c>
      <c r="C1177" s="2" t="s">
        <v>319</v>
      </c>
      <c r="D1177" s="2" t="s">
        <v>319</v>
      </c>
      <c r="E1177" s="2" t="s">
        <v>125</v>
      </c>
      <c r="F1177" s="4" t="s">
        <v>126</v>
      </c>
      <c r="G1177" s="4" t="s">
        <v>127</v>
      </c>
      <c r="H1177" s="5">
        <v>9.1999999999999993</v>
      </c>
      <c r="I1177" s="5">
        <v>10.8</v>
      </c>
      <c r="J1177" s="5">
        <v>13.5</v>
      </c>
      <c r="K1177" s="4" t="s">
        <v>111</v>
      </c>
      <c r="L1177" s="4" t="s">
        <v>128</v>
      </c>
      <c r="M1177" s="6">
        <f>IF(OR(B1177="",I1177=""),"",B1177*I1177)</f>
        <v>831.6</v>
      </c>
      <c r="N1177" s="28" t="s">
        <v>113</v>
      </c>
      <c r="O1177" s="26">
        <v>7158</v>
      </c>
      <c r="P1177" s="9" t="s">
        <v>1819</v>
      </c>
      <c r="Q1177" s="27">
        <v>321121</v>
      </c>
      <c r="R1177" s="27">
        <v>5715048</v>
      </c>
      <c r="S1177" s="23">
        <f>IF(AND(ISNUMBER(Q1177),Q1177&gt;0,ISNUMBER(R1177),R1177&gt;0),R1177/Q1177,"")</f>
        <v>17.797179256417362</v>
      </c>
      <c r="T1177" s="9" t="s">
        <v>115</v>
      </c>
      <c r="U1177" s="9" t="s">
        <v>130</v>
      </c>
      <c r="V1177" s="9" t="s">
        <v>21</v>
      </c>
      <c r="W1177" s="9" t="s">
        <v>270</v>
      </c>
      <c r="X1177" s="23">
        <f>IF(ISNUMBER(S1177),S1177,IF(ISNUMBER(I1177),I1177,""))</f>
        <v>17.797179256417362</v>
      </c>
      <c r="Y1177" t="str">
        <f>IF(ISNUMBER(S1177),"2025 EIA-923 plant/group proxy",IF(ISNUMBER(I1177),"Technology estimate","No thermal heat rate"))</f>
        <v>2025 EIA-923 plant/group proxy</v>
      </c>
      <c r="Z1177" t="str">
        <f>IF(ISNUMBER(S1177),"Review: NOT unit verified",IF(AE1177="No match","No EIA match",IF(AF1177="Unconfirmed","Unconfirmed EIA candidate","")))</f>
        <v>Review: NOT unit verified</v>
      </c>
      <c r="AA1177" s="26">
        <v>0.6623</v>
      </c>
      <c r="AB1177" t="s">
        <v>322</v>
      </c>
      <c r="AC1177" t="s">
        <v>413</v>
      </c>
      <c r="AD1177" s="26">
        <v>476</v>
      </c>
      <c r="AE1177" t="s">
        <v>120</v>
      </c>
      <c r="AF1177" t="s">
        <v>145</v>
      </c>
      <c r="AG1177" s="27">
        <v>17.7972</v>
      </c>
      <c r="AH1177" s="34">
        <f t="shared" si="42"/>
        <v>180874.19999999995</v>
      </c>
      <c r="AI1177">
        <f t="shared" si="41"/>
        <v>112952.77087871268</v>
      </c>
      <c r="AJ1177" t="b" cm="1">
        <f t="array" ref="AJ1177">OR(D1177=$AT$2:$AT$8)</f>
        <v>0</v>
      </c>
    </row>
    <row r="1178" spans="1:36" x14ac:dyDescent="0.25">
      <c r="A1178" s="2" t="s">
        <v>1823</v>
      </c>
      <c r="B1178" s="3">
        <v>77</v>
      </c>
      <c r="C1178" s="2" t="s">
        <v>319</v>
      </c>
      <c r="D1178" s="2" t="s">
        <v>319</v>
      </c>
      <c r="E1178" s="2" t="s">
        <v>125</v>
      </c>
      <c r="F1178" s="4" t="s">
        <v>126</v>
      </c>
      <c r="G1178" s="4" t="s">
        <v>127</v>
      </c>
      <c r="H1178" s="5">
        <v>9.1999999999999993</v>
      </c>
      <c r="I1178" s="5">
        <v>10.8</v>
      </c>
      <c r="J1178" s="5">
        <v>13.5</v>
      </c>
      <c r="K1178" s="4" t="s">
        <v>111</v>
      </c>
      <c r="L1178" s="4" t="s">
        <v>128</v>
      </c>
      <c r="M1178" s="6">
        <f>IF(OR(B1178="",I1178=""),"",B1178*I1178)</f>
        <v>831.6</v>
      </c>
      <c r="N1178" s="28" t="s">
        <v>113</v>
      </c>
      <c r="O1178" s="26">
        <v>7158</v>
      </c>
      <c r="P1178" s="9" t="s">
        <v>1819</v>
      </c>
      <c r="Q1178" s="27">
        <v>321121</v>
      </c>
      <c r="R1178" s="27">
        <v>5715048</v>
      </c>
      <c r="S1178" s="23">
        <f>IF(AND(ISNUMBER(Q1178),Q1178&gt;0,ISNUMBER(R1178),R1178&gt;0),R1178/Q1178,"")</f>
        <v>17.797179256417362</v>
      </c>
      <c r="T1178" s="9" t="s">
        <v>115</v>
      </c>
      <c r="U1178" s="9" t="s">
        <v>130</v>
      </c>
      <c r="V1178" s="9" t="s">
        <v>21</v>
      </c>
      <c r="W1178" s="9" t="s">
        <v>270</v>
      </c>
      <c r="X1178" s="23">
        <f>IF(ISNUMBER(S1178),S1178,IF(ISNUMBER(I1178),I1178,""))</f>
        <v>17.797179256417362</v>
      </c>
      <c r="Y1178" t="str">
        <f>IF(ISNUMBER(S1178),"2025 EIA-923 plant/group proxy",IF(ISNUMBER(I1178),"Technology estimate","No thermal heat rate"))</f>
        <v>2025 EIA-923 plant/group proxy</v>
      </c>
      <c r="Z1178" t="str">
        <f>IF(ISNUMBER(S1178),"Review: NOT unit verified",IF(AE1178="No match","No EIA match",IF(AF1178="Unconfirmed","Unconfirmed EIA candidate","")))</f>
        <v>Review: NOT unit verified</v>
      </c>
      <c r="AA1178" s="26">
        <v>0.6623</v>
      </c>
      <c r="AB1178" t="s">
        <v>322</v>
      </c>
      <c r="AC1178" t="s">
        <v>413</v>
      </c>
      <c r="AD1178" s="26">
        <v>476</v>
      </c>
      <c r="AE1178" t="s">
        <v>120</v>
      </c>
      <c r="AF1178" t="s">
        <v>145</v>
      </c>
      <c r="AG1178" s="27">
        <v>17.7972</v>
      </c>
      <c r="AH1178" s="34">
        <f t="shared" si="42"/>
        <v>180951.19999999995</v>
      </c>
      <c r="AI1178">
        <f t="shared" si="41"/>
        <v>113000.85603047928</v>
      </c>
      <c r="AJ1178" t="b" cm="1">
        <f t="array" ref="AJ1178">OR(D1178=$AT$2:$AT$8)</f>
        <v>0</v>
      </c>
    </row>
    <row r="1179" spans="1:36" x14ac:dyDescent="0.25">
      <c r="A1179" s="2" t="s">
        <v>1824</v>
      </c>
      <c r="B1179" s="3">
        <v>77</v>
      </c>
      <c r="C1179" s="2" t="s">
        <v>319</v>
      </c>
      <c r="D1179" s="2" t="s">
        <v>319</v>
      </c>
      <c r="E1179" s="2" t="s">
        <v>125</v>
      </c>
      <c r="F1179" s="4" t="s">
        <v>126</v>
      </c>
      <c r="G1179" s="4" t="s">
        <v>127</v>
      </c>
      <c r="H1179" s="5">
        <v>9.1999999999999993</v>
      </c>
      <c r="I1179" s="5">
        <v>10.8</v>
      </c>
      <c r="J1179" s="5">
        <v>13.5</v>
      </c>
      <c r="K1179" s="4" t="s">
        <v>111</v>
      </c>
      <c r="L1179" s="4" t="s">
        <v>128</v>
      </c>
      <c r="M1179" s="6">
        <f>IF(OR(B1179="",I1179=""),"",B1179*I1179)</f>
        <v>831.6</v>
      </c>
      <c r="N1179" s="28" t="s">
        <v>113</v>
      </c>
      <c r="O1179" s="26">
        <v>7158</v>
      </c>
      <c r="P1179" s="9" t="s">
        <v>1819</v>
      </c>
      <c r="Q1179" s="27">
        <v>321121</v>
      </c>
      <c r="R1179" s="27">
        <v>5715048</v>
      </c>
      <c r="S1179" s="23">
        <f>IF(AND(ISNUMBER(Q1179),Q1179&gt;0,ISNUMBER(R1179),R1179&gt;0),R1179/Q1179,"")</f>
        <v>17.797179256417362</v>
      </c>
      <c r="T1179" s="9" t="s">
        <v>115</v>
      </c>
      <c r="U1179" s="9" t="s">
        <v>130</v>
      </c>
      <c r="V1179" s="9" t="s">
        <v>21</v>
      </c>
      <c r="W1179" s="9" t="s">
        <v>270</v>
      </c>
      <c r="X1179" s="23">
        <f>IF(ISNUMBER(S1179),S1179,IF(ISNUMBER(I1179),I1179,""))</f>
        <v>17.797179256417362</v>
      </c>
      <c r="Y1179" t="str">
        <f>IF(ISNUMBER(S1179),"2025 EIA-923 plant/group proxy",IF(ISNUMBER(I1179),"Technology estimate","No thermal heat rate"))</f>
        <v>2025 EIA-923 plant/group proxy</v>
      </c>
      <c r="Z1179" t="str">
        <f>IF(ISNUMBER(S1179),"Review: NOT unit verified",IF(AE1179="No match","No EIA match",IF(AF1179="Unconfirmed","Unconfirmed EIA candidate","")))</f>
        <v>Review: NOT unit verified</v>
      </c>
      <c r="AA1179" s="26">
        <v>0.6623</v>
      </c>
      <c r="AB1179" t="s">
        <v>322</v>
      </c>
      <c r="AC1179" t="s">
        <v>413</v>
      </c>
      <c r="AD1179" s="26">
        <v>476</v>
      </c>
      <c r="AE1179" t="s">
        <v>120</v>
      </c>
      <c r="AF1179" t="s">
        <v>145</v>
      </c>
      <c r="AG1179" s="27">
        <v>17.7972</v>
      </c>
      <c r="AH1179" s="34">
        <f t="shared" si="42"/>
        <v>181028.19999999995</v>
      </c>
      <c r="AI1179">
        <f t="shared" si="41"/>
        <v>113048.94118224586</v>
      </c>
      <c r="AJ1179" t="b" cm="1">
        <f t="array" ref="AJ1179">OR(D1179=$AT$2:$AT$8)</f>
        <v>0</v>
      </c>
    </row>
    <row r="1180" spans="1:36" x14ac:dyDescent="0.25">
      <c r="A1180" s="2" t="s">
        <v>101</v>
      </c>
      <c r="B1180" s="3">
        <v>10.8</v>
      </c>
      <c r="C1180" s="2" t="s">
        <v>78</v>
      </c>
      <c r="D1180" s="2" t="s">
        <v>78</v>
      </c>
      <c r="E1180" s="2" t="s">
        <v>102</v>
      </c>
      <c r="F1180" s="4" t="s">
        <v>103</v>
      </c>
      <c r="G1180" s="4" t="s">
        <v>104</v>
      </c>
      <c r="H1180" s="5">
        <v>20</v>
      </c>
      <c r="I1180" s="5">
        <v>20</v>
      </c>
      <c r="J1180" s="5">
        <v>20</v>
      </c>
      <c r="K1180" s="4" t="s">
        <v>105</v>
      </c>
      <c r="L1180" s="4" t="s">
        <v>106</v>
      </c>
      <c r="M1180" s="6">
        <f>IF(OR(B1180="",I1180=""),"",B1180*I1180)</f>
        <v>216</v>
      </c>
      <c r="N1180" s="10" t="s">
        <v>10</v>
      </c>
      <c r="O1180" s="9"/>
      <c r="P1180" s="9"/>
      <c r="Q1180" s="22"/>
      <c r="R1180" s="22"/>
      <c r="S1180" s="23" t="str">
        <f>IF(AND(ISNUMBER(Q1180),Q1180&gt;0,ISNUMBER(R1180),R1180&gt;0),R1180/Q1180,"")</f>
        <v/>
      </c>
      <c r="T1180" s="9"/>
      <c r="U1180" s="9"/>
      <c r="V1180" s="9"/>
      <c r="W1180" s="9"/>
      <c r="X1180" s="23">
        <f>IF(ISNUMBER(S1180),S1180,IF(ISNUMBER(I1180),I1180,""))</f>
        <v>20</v>
      </c>
      <c r="Y1180" t="str">
        <f>IF(ISNUMBER(S1180),"2025 EIA-923 plant/group proxy",IF(ISNUMBER(I1180),"Technology estimate","No thermal heat rate"))</f>
        <v>Technology estimate</v>
      </c>
      <c r="Z1180" t="str">
        <f>IF(ISNUMBER(S1180),"Review: NOT unit verified",IF(AE1180="No match","No EIA match",IF(AF1180="Unconfirmed","Unconfirmed EIA candidate","")))</f>
        <v>No EIA match</v>
      </c>
      <c r="AE1180" t="s">
        <v>107</v>
      </c>
      <c r="AG1180" s="24">
        <f>IF(ISBLANK(S1180),S1180,I1180)</f>
        <v>20</v>
      </c>
      <c r="AH1180" s="34">
        <f t="shared" si="42"/>
        <v>181038.99999999994</v>
      </c>
      <c r="AI1180">
        <f t="shared" si="41"/>
        <v>113055.68559314299</v>
      </c>
      <c r="AJ1180" t="b" cm="1">
        <f t="array" ref="AJ1180">OR(D1180=$AT$2:$AT$8)</f>
        <v>1</v>
      </c>
    </row>
    <row r="1181" spans="1:36" x14ac:dyDescent="0.25">
      <c r="A1181" s="2" t="s">
        <v>148</v>
      </c>
      <c r="B1181" s="3">
        <v>25.7</v>
      </c>
      <c r="C1181" s="2" t="s">
        <v>136</v>
      </c>
      <c r="D1181" s="2" t="s">
        <v>136</v>
      </c>
      <c r="E1181" s="2" t="s">
        <v>102</v>
      </c>
      <c r="F1181" s="4" t="s">
        <v>103</v>
      </c>
      <c r="G1181" s="4" t="s">
        <v>104</v>
      </c>
      <c r="H1181" s="5">
        <v>20</v>
      </c>
      <c r="I1181" s="5">
        <v>20</v>
      </c>
      <c r="J1181" s="5">
        <v>20</v>
      </c>
      <c r="K1181" s="4" t="s">
        <v>105</v>
      </c>
      <c r="L1181" s="4" t="s">
        <v>106</v>
      </c>
      <c r="M1181" s="6">
        <f>IF(OR(B1181="",I1181=""),"",B1181*I1181)</f>
        <v>514</v>
      </c>
      <c r="N1181" s="10" t="s">
        <v>10</v>
      </c>
      <c r="O1181" s="9"/>
      <c r="P1181" s="9"/>
      <c r="Q1181" s="22"/>
      <c r="R1181" s="22"/>
      <c r="S1181" s="23" t="str">
        <f>IF(AND(ISNUMBER(Q1181),Q1181&gt;0,ISNUMBER(R1181),R1181&gt;0),R1181/Q1181,"")</f>
        <v/>
      </c>
      <c r="T1181" s="9"/>
      <c r="U1181" s="9"/>
      <c r="V1181" s="9"/>
      <c r="W1181" s="9"/>
      <c r="X1181" s="23">
        <f>IF(ISNUMBER(S1181),S1181,IF(ISNUMBER(I1181),I1181,""))</f>
        <v>20</v>
      </c>
      <c r="Y1181" t="str">
        <f>IF(ISNUMBER(S1181),"2025 EIA-923 plant/group proxy",IF(ISNUMBER(I1181),"Technology estimate","No thermal heat rate"))</f>
        <v>Technology estimate</v>
      </c>
      <c r="Z1181" t="str">
        <f>IF(ISNUMBER(S1181),"Review: NOT unit verified",IF(AE1181="No match","No EIA match",IF(AF1181="Unconfirmed","Unconfirmed EIA candidate","")))</f>
        <v>No EIA match</v>
      </c>
      <c r="AE1181" t="s">
        <v>107</v>
      </c>
      <c r="AG1181" s="24">
        <f>IF(ISBLANK(S1181),S1181,I1181)</f>
        <v>20</v>
      </c>
      <c r="AH1181" s="34">
        <f t="shared" si="42"/>
        <v>181064.69999999995</v>
      </c>
      <c r="AI1181">
        <f t="shared" si="41"/>
        <v>113071.73479314821</v>
      </c>
      <c r="AJ1181" t="b" cm="1">
        <f t="array" ref="AJ1181">OR(D1181=$AT$2:$AT$8)</f>
        <v>0</v>
      </c>
    </row>
    <row r="1182" spans="1:36" x14ac:dyDescent="0.25">
      <c r="A1182" s="2" t="s">
        <v>192</v>
      </c>
      <c r="B1182" s="3">
        <v>13.1</v>
      </c>
      <c r="C1182" s="2" t="s">
        <v>147</v>
      </c>
      <c r="D1182" s="2" t="s">
        <v>147</v>
      </c>
      <c r="E1182" s="2" t="s">
        <v>102</v>
      </c>
      <c r="F1182" s="4" t="s">
        <v>103</v>
      </c>
      <c r="G1182" s="4" t="s">
        <v>104</v>
      </c>
      <c r="H1182" s="5">
        <v>20</v>
      </c>
      <c r="I1182" s="5">
        <v>20</v>
      </c>
      <c r="J1182" s="5">
        <v>20</v>
      </c>
      <c r="K1182" s="4" t="s">
        <v>105</v>
      </c>
      <c r="L1182" s="4" t="s">
        <v>106</v>
      </c>
      <c r="M1182" s="6">
        <f>IF(OR(B1182="",I1182=""),"",B1182*I1182)</f>
        <v>262</v>
      </c>
      <c r="N1182" s="10" t="s">
        <v>10</v>
      </c>
      <c r="O1182" s="9"/>
      <c r="P1182" s="9"/>
      <c r="Q1182" s="22"/>
      <c r="R1182" s="22"/>
      <c r="S1182" s="23" t="str">
        <f>IF(AND(ISNUMBER(Q1182),Q1182&gt;0,ISNUMBER(R1182),R1182&gt;0),R1182/Q1182,"")</f>
        <v/>
      </c>
      <c r="T1182" s="9"/>
      <c r="U1182" s="9"/>
      <c r="V1182" s="9"/>
      <c r="W1182" s="9"/>
      <c r="X1182" s="23">
        <f>IF(ISNUMBER(S1182),S1182,IF(ISNUMBER(I1182),I1182,""))</f>
        <v>20</v>
      </c>
      <c r="Y1182" t="str">
        <f>IF(ISNUMBER(S1182),"2025 EIA-923 plant/group proxy",IF(ISNUMBER(I1182),"Technology estimate","No thermal heat rate"))</f>
        <v>Technology estimate</v>
      </c>
      <c r="Z1182" t="str">
        <f>IF(ISNUMBER(S1182),"Review: NOT unit verified",IF(AE1182="No match","No EIA match",IF(AF1182="Unconfirmed","Unconfirmed EIA candidate","")))</f>
        <v>No EIA match</v>
      </c>
      <c r="AE1182" t="s">
        <v>107</v>
      </c>
      <c r="AG1182" s="24">
        <f>IF(ISBLANK(S1182),S1182,I1182)</f>
        <v>20</v>
      </c>
      <c r="AH1182" s="34">
        <f t="shared" si="42"/>
        <v>181077.79999999996</v>
      </c>
      <c r="AI1182">
        <f t="shared" si="41"/>
        <v>113079.91551377343</v>
      </c>
      <c r="AJ1182" t="b" cm="1">
        <f t="array" ref="AJ1182">OR(D1182=$AT$2:$AT$8)</f>
        <v>0</v>
      </c>
    </row>
    <row r="1183" spans="1:36" x14ac:dyDescent="0.25">
      <c r="A1183" s="2" t="s">
        <v>317</v>
      </c>
      <c r="B1183" s="3">
        <v>2.2999999999999998</v>
      </c>
      <c r="C1183" s="2" t="s">
        <v>68</v>
      </c>
      <c r="D1183" s="2" t="s">
        <v>58</v>
      </c>
      <c r="E1183" s="2" t="s">
        <v>102</v>
      </c>
      <c r="F1183" s="4" t="s">
        <v>103</v>
      </c>
      <c r="G1183" s="4" t="s">
        <v>104</v>
      </c>
      <c r="H1183" s="5">
        <v>20</v>
      </c>
      <c r="I1183" s="5">
        <v>20</v>
      </c>
      <c r="J1183" s="5">
        <v>20</v>
      </c>
      <c r="K1183" s="4" t="s">
        <v>105</v>
      </c>
      <c r="L1183" s="4" t="s">
        <v>106</v>
      </c>
      <c r="M1183" s="6">
        <f>IF(OR(B1183="",I1183=""),"",B1183*I1183)</f>
        <v>46</v>
      </c>
      <c r="N1183" s="10" t="s">
        <v>10</v>
      </c>
      <c r="O1183" s="9"/>
      <c r="P1183" s="9"/>
      <c r="Q1183" s="22"/>
      <c r="R1183" s="22"/>
      <c r="S1183" s="23" t="str">
        <f>IF(AND(ISNUMBER(Q1183),Q1183&gt;0,ISNUMBER(R1183),R1183&gt;0),R1183/Q1183,"")</f>
        <v/>
      </c>
      <c r="T1183" s="9"/>
      <c r="U1183" s="9"/>
      <c r="V1183" s="9"/>
      <c r="W1183" s="9"/>
      <c r="X1183" s="23">
        <f>IF(ISNUMBER(S1183),S1183,IF(ISNUMBER(I1183),I1183,""))</f>
        <v>20</v>
      </c>
      <c r="Y1183" t="str">
        <f>IF(ISNUMBER(S1183),"2025 EIA-923 plant/group proxy",IF(ISNUMBER(I1183),"Technology estimate","No thermal heat rate"))</f>
        <v>Technology estimate</v>
      </c>
      <c r="Z1183" t="str">
        <f>IF(ISNUMBER(S1183),"Review: NOT unit verified",IF(AE1183="No match","No EIA match",IF(AF1183="Unconfirmed","Unconfirmed EIA candidate","")))</f>
        <v>No EIA match</v>
      </c>
      <c r="AE1183" t="s">
        <v>107</v>
      </c>
      <c r="AG1183" s="24">
        <f>IF(ISBLANK(S1183),S1183,I1183)</f>
        <v>20</v>
      </c>
      <c r="AH1183" s="34">
        <f t="shared" si="42"/>
        <v>181080.09999999995</v>
      </c>
      <c r="AI1183">
        <f t="shared" si="41"/>
        <v>113081.35182350152</v>
      </c>
      <c r="AJ1183" t="b" cm="1">
        <f t="array" ref="AJ1183">OR(D1183=$AT$2:$AT$8)</f>
        <v>0</v>
      </c>
    </row>
    <row r="1184" spans="1:36" x14ac:dyDescent="0.25">
      <c r="A1184" s="2" t="s">
        <v>334</v>
      </c>
      <c r="B1184" s="3">
        <v>18.100000000000001</v>
      </c>
      <c r="C1184" s="2" t="s">
        <v>209</v>
      </c>
      <c r="D1184" s="2" t="s">
        <v>81</v>
      </c>
      <c r="E1184" s="2" t="s">
        <v>102</v>
      </c>
      <c r="F1184" s="4" t="s">
        <v>103</v>
      </c>
      <c r="G1184" s="4" t="s">
        <v>104</v>
      </c>
      <c r="H1184" s="5">
        <v>20</v>
      </c>
      <c r="I1184" s="5">
        <v>20</v>
      </c>
      <c r="J1184" s="5">
        <v>20</v>
      </c>
      <c r="K1184" s="4" t="s">
        <v>105</v>
      </c>
      <c r="L1184" s="4" t="s">
        <v>106</v>
      </c>
      <c r="M1184" s="6">
        <f>IF(OR(B1184="",I1184=""),"",B1184*I1184)</f>
        <v>362</v>
      </c>
      <c r="N1184" s="10" t="s">
        <v>10</v>
      </c>
      <c r="O1184" s="9"/>
      <c r="P1184" s="9"/>
      <c r="Q1184" s="22"/>
      <c r="R1184" s="22"/>
      <c r="S1184" s="23" t="str">
        <f>IF(AND(ISNUMBER(Q1184),Q1184&gt;0,ISNUMBER(R1184),R1184&gt;0),R1184/Q1184,"")</f>
        <v/>
      </c>
      <c r="T1184" s="9"/>
      <c r="U1184" s="9"/>
      <c r="V1184" s="9"/>
      <c r="W1184" s="9"/>
      <c r="X1184" s="23">
        <f>IF(ISNUMBER(S1184),S1184,IF(ISNUMBER(I1184),I1184,""))</f>
        <v>20</v>
      </c>
      <c r="Y1184" t="str">
        <f>IF(ISNUMBER(S1184),"2025 EIA-923 plant/group proxy",IF(ISNUMBER(I1184),"Technology estimate","No thermal heat rate"))</f>
        <v>Technology estimate</v>
      </c>
      <c r="Z1184" t="str">
        <f>IF(ISNUMBER(S1184),"Review: NOT unit verified",IF(AE1184="No match","No EIA match",IF(AF1184="Unconfirmed","Unconfirmed EIA candidate","")))</f>
        <v>No EIA match</v>
      </c>
      <c r="AE1184" t="s">
        <v>107</v>
      </c>
      <c r="AG1184" s="24">
        <f>IF(ISBLANK(S1184),S1184,I1184)</f>
        <v>20</v>
      </c>
      <c r="AH1184" s="34">
        <f t="shared" si="42"/>
        <v>181098.19999999995</v>
      </c>
      <c r="AI1184">
        <f t="shared" si="41"/>
        <v>113092.65495657914</v>
      </c>
      <c r="AJ1184" t="b" cm="1">
        <f t="array" ref="AJ1184">OR(D1184=$AT$2:$AT$8)</f>
        <v>0</v>
      </c>
    </row>
    <row r="1185" spans="1:36" x14ac:dyDescent="0.25">
      <c r="A1185" s="2" t="s">
        <v>342</v>
      </c>
      <c r="B1185" s="3">
        <v>10.8</v>
      </c>
      <c r="C1185" s="2" t="s">
        <v>78</v>
      </c>
      <c r="D1185" s="2" t="s">
        <v>78</v>
      </c>
      <c r="E1185" s="2" t="s">
        <v>102</v>
      </c>
      <c r="F1185" s="4" t="s">
        <v>103</v>
      </c>
      <c r="G1185" s="4" t="s">
        <v>104</v>
      </c>
      <c r="H1185" s="5">
        <v>20</v>
      </c>
      <c r="I1185" s="5">
        <v>20</v>
      </c>
      <c r="J1185" s="5">
        <v>20</v>
      </c>
      <c r="K1185" s="4" t="s">
        <v>105</v>
      </c>
      <c r="L1185" s="4" t="s">
        <v>106</v>
      </c>
      <c r="M1185" s="6">
        <f>IF(OR(B1185="",I1185=""),"",B1185*I1185)</f>
        <v>216</v>
      </c>
      <c r="N1185" s="10" t="s">
        <v>10</v>
      </c>
      <c r="O1185" s="9"/>
      <c r="P1185" s="9"/>
      <c r="Q1185" s="22"/>
      <c r="R1185" s="22"/>
      <c r="S1185" s="23" t="str">
        <f>IF(AND(ISNUMBER(Q1185),Q1185&gt;0,ISNUMBER(R1185),R1185&gt;0),R1185/Q1185,"")</f>
        <v/>
      </c>
      <c r="T1185" s="9"/>
      <c r="U1185" s="9"/>
      <c r="V1185" s="9"/>
      <c r="W1185" s="9"/>
      <c r="X1185" s="23">
        <f>IF(ISNUMBER(S1185),S1185,IF(ISNUMBER(I1185),I1185,""))</f>
        <v>20</v>
      </c>
      <c r="Y1185" t="str">
        <f>IF(ISNUMBER(S1185),"2025 EIA-923 plant/group proxy",IF(ISNUMBER(I1185),"Technology estimate","No thermal heat rate"))</f>
        <v>Technology estimate</v>
      </c>
      <c r="Z1185" t="str">
        <f>IF(ISNUMBER(S1185),"Review: NOT unit verified",IF(AE1185="No match","No EIA match",IF(AF1185="Unconfirmed","Unconfirmed EIA candidate","")))</f>
        <v>No EIA match</v>
      </c>
      <c r="AE1185" t="s">
        <v>107</v>
      </c>
      <c r="AG1185" s="24">
        <f>IF(ISBLANK(S1185),S1185,I1185)</f>
        <v>20</v>
      </c>
      <c r="AH1185" s="34">
        <f t="shared" si="42"/>
        <v>181108.99999999994</v>
      </c>
      <c r="AI1185">
        <f t="shared" si="41"/>
        <v>113099.39936747626</v>
      </c>
      <c r="AJ1185" t="b" cm="1">
        <f t="array" ref="AJ1185">OR(D1185=$AT$2:$AT$8)</f>
        <v>1</v>
      </c>
    </row>
    <row r="1186" spans="1:36" x14ac:dyDescent="0.25">
      <c r="A1186" s="2" t="s">
        <v>409</v>
      </c>
      <c r="B1186" s="3">
        <v>18</v>
      </c>
      <c r="C1186" s="2" t="s">
        <v>405</v>
      </c>
      <c r="D1186" s="2" t="s">
        <v>405</v>
      </c>
      <c r="E1186" s="2" t="s">
        <v>102</v>
      </c>
      <c r="F1186" s="4" t="s">
        <v>103</v>
      </c>
      <c r="G1186" s="4" t="s">
        <v>104</v>
      </c>
      <c r="H1186" s="5">
        <v>20</v>
      </c>
      <c r="I1186" s="5">
        <v>20</v>
      </c>
      <c r="J1186" s="5">
        <v>20</v>
      </c>
      <c r="K1186" s="4" t="s">
        <v>105</v>
      </c>
      <c r="L1186" s="4" t="s">
        <v>106</v>
      </c>
      <c r="M1186" s="6">
        <f>IF(OR(B1186="",I1186=""),"",B1186*I1186)</f>
        <v>360</v>
      </c>
      <c r="N1186" s="10" t="s">
        <v>10</v>
      </c>
      <c r="O1186" s="9"/>
      <c r="P1186" s="9"/>
      <c r="Q1186" s="22"/>
      <c r="R1186" s="22"/>
      <c r="S1186" s="23" t="str">
        <f>IF(AND(ISNUMBER(Q1186),Q1186&gt;0,ISNUMBER(R1186),R1186&gt;0),R1186/Q1186,"")</f>
        <v/>
      </c>
      <c r="T1186" s="9"/>
      <c r="U1186" s="9"/>
      <c r="V1186" s="9"/>
      <c r="W1186" s="9"/>
      <c r="X1186" s="23">
        <f>IF(ISNUMBER(S1186),S1186,IF(ISNUMBER(I1186),I1186,""))</f>
        <v>20</v>
      </c>
      <c r="Y1186" t="str">
        <f>IF(ISNUMBER(S1186),"2025 EIA-923 plant/group proxy",IF(ISNUMBER(I1186),"Technology estimate","No thermal heat rate"))</f>
        <v>Technology estimate</v>
      </c>
      <c r="Z1186" t="str">
        <f>IF(ISNUMBER(S1186),"Review: NOT unit verified",IF(AE1186="No match","No EIA match",IF(AF1186="Unconfirmed","Unconfirmed EIA candidate","")))</f>
        <v>No EIA match</v>
      </c>
      <c r="AE1186" t="s">
        <v>107</v>
      </c>
      <c r="AG1186" s="24">
        <f>IF(ISBLANK(S1186),S1186,I1186)</f>
        <v>20</v>
      </c>
      <c r="AH1186" s="34">
        <f t="shared" si="42"/>
        <v>181126.99999999994</v>
      </c>
      <c r="AI1186">
        <f t="shared" si="41"/>
        <v>113110.64005230481</v>
      </c>
      <c r="AJ1186" t="b" cm="1">
        <f t="array" ref="AJ1186">OR(D1186=$AT$2:$AT$8)</f>
        <v>1</v>
      </c>
    </row>
    <row r="1187" spans="1:36" x14ac:dyDescent="0.25">
      <c r="A1187" s="2" t="s">
        <v>410</v>
      </c>
      <c r="B1187" s="3">
        <v>26</v>
      </c>
      <c r="C1187" s="2" t="s">
        <v>405</v>
      </c>
      <c r="D1187" s="2" t="s">
        <v>405</v>
      </c>
      <c r="E1187" s="2" t="s">
        <v>102</v>
      </c>
      <c r="F1187" s="4" t="s">
        <v>103</v>
      </c>
      <c r="G1187" s="4" t="s">
        <v>104</v>
      </c>
      <c r="H1187" s="5">
        <v>20</v>
      </c>
      <c r="I1187" s="5">
        <v>20</v>
      </c>
      <c r="J1187" s="5">
        <v>20</v>
      </c>
      <c r="K1187" s="4" t="s">
        <v>105</v>
      </c>
      <c r="L1187" s="4" t="s">
        <v>106</v>
      </c>
      <c r="M1187" s="6">
        <f>IF(OR(B1187="",I1187=""),"",B1187*I1187)</f>
        <v>520</v>
      </c>
      <c r="N1187" s="10" t="s">
        <v>10</v>
      </c>
      <c r="O1187" s="9"/>
      <c r="P1187" s="9"/>
      <c r="Q1187" s="22"/>
      <c r="R1187" s="22"/>
      <c r="S1187" s="23" t="str">
        <f>IF(AND(ISNUMBER(Q1187),Q1187&gt;0,ISNUMBER(R1187),R1187&gt;0),R1187/Q1187,"")</f>
        <v/>
      </c>
      <c r="T1187" s="9"/>
      <c r="U1187" s="9"/>
      <c r="V1187" s="9"/>
      <c r="W1187" s="9"/>
      <c r="X1187" s="23">
        <f>IF(ISNUMBER(S1187),S1187,IF(ISNUMBER(I1187),I1187,""))</f>
        <v>20</v>
      </c>
      <c r="Y1187" t="str">
        <f>IF(ISNUMBER(S1187),"2025 EIA-923 plant/group proxy",IF(ISNUMBER(I1187),"Technology estimate","No thermal heat rate"))</f>
        <v>Technology estimate</v>
      </c>
      <c r="Z1187" t="str">
        <f>IF(ISNUMBER(S1187),"Review: NOT unit verified",IF(AE1187="No match","No EIA match",IF(AF1187="Unconfirmed","Unconfirmed EIA candidate","")))</f>
        <v>No EIA match</v>
      </c>
      <c r="AE1187" t="s">
        <v>107</v>
      </c>
      <c r="AG1187" s="24">
        <f>IF(ISBLANK(S1187),S1187,I1187)</f>
        <v>20</v>
      </c>
      <c r="AH1187" s="34">
        <f t="shared" si="42"/>
        <v>181152.99999999994</v>
      </c>
      <c r="AI1187">
        <f t="shared" si="41"/>
        <v>113126.87659705717</v>
      </c>
      <c r="AJ1187" t="b" cm="1">
        <f t="array" ref="AJ1187">OR(D1187=$AT$2:$AT$8)</f>
        <v>1</v>
      </c>
    </row>
    <row r="1188" spans="1:36" x14ac:dyDescent="0.25">
      <c r="A1188" s="2" t="s">
        <v>419</v>
      </c>
      <c r="B1188" s="3">
        <v>13.9</v>
      </c>
      <c r="C1188" s="2" t="s">
        <v>78</v>
      </c>
      <c r="D1188" s="2" t="s">
        <v>78</v>
      </c>
      <c r="E1188" s="2" t="s">
        <v>102</v>
      </c>
      <c r="F1188" s="4" t="s">
        <v>103</v>
      </c>
      <c r="G1188" s="4" t="s">
        <v>104</v>
      </c>
      <c r="H1188" s="5">
        <v>20</v>
      </c>
      <c r="I1188" s="5">
        <v>20</v>
      </c>
      <c r="J1188" s="5">
        <v>20</v>
      </c>
      <c r="K1188" s="4" t="s">
        <v>105</v>
      </c>
      <c r="L1188" s="4" t="s">
        <v>106</v>
      </c>
      <c r="M1188" s="6">
        <f>IF(OR(B1188="",I1188=""),"",B1188*I1188)</f>
        <v>278</v>
      </c>
      <c r="N1188" s="10" t="s">
        <v>10</v>
      </c>
      <c r="O1188" s="9"/>
      <c r="P1188" s="9"/>
      <c r="Q1188" s="22"/>
      <c r="R1188" s="22"/>
      <c r="S1188" s="23" t="str">
        <f>IF(AND(ISNUMBER(Q1188),Q1188&gt;0,ISNUMBER(R1188),R1188&gt;0),R1188/Q1188,"")</f>
        <v/>
      </c>
      <c r="T1188" s="9"/>
      <c r="U1188" s="9"/>
      <c r="V1188" s="9"/>
      <c r="W1188" s="9"/>
      <c r="X1188" s="23">
        <f>IF(ISNUMBER(S1188),S1188,IF(ISNUMBER(I1188),I1188,""))</f>
        <v>20</v>
      </c>
      <c r="Y1188" t="str">
        <f>IF(ISNUMBER(S1188),"2025 EIA-923 plant/group proxy",IF(ISNUMBER(I1188),"Technology estimate","No thermal heat rate"))</f>
        <v>Technology estimate</v>
      </c>
      <c r="Z1188" t="str">
        <f>IF(ISNUMBER(S1188),"Review: NOT unit verified",IF(AE1188="No match","No EIA match",IF(AF1188="Unconfirmed","Unconfirmed EIA candidate","")))</f>
        <v>No EIA match</v>
      </c>
      <c r="AE1188" t="s">
        <v>107</v>
      </c>
      <c r="AG1188" s="24">
        <f>IF(ISBLANK(S1188),S1188,I1188)</f>
        <v>20</v>
      </c>
      <c r="AH1188" s="34">
        <f t="shared" si="42"/>
        <v>181166.89999999994</v>
      </c>
      <c r="AI1188">
        <f t="shared" si="41"/>
        <v>113135.55690367476</v>
      </c>
      <c r="AJ1188" t="b" cm="1">
        <f t="array" ref="AJ1188">OR(D1188=$AT$2:$AT$8)</f>
        <v>1</v>
      </c>
    </row>
    <row r="1189" spans="1:36" x14ac:dyDescent="0.25">
      <c r="A1189" s="2" t="s">
        <v>422</v>
      </c>
      <c r="B1189" s="3">
        <v>45</v>
      </c>
      <c r="C1189" s="2" t="s">
        <v>68</v>
      </c>
      <c r="D1189" s="2" t="s">
        <v>69</v>
      </c>
      <c r="E1189" s="2" t="s">
        <v>102</v>
      </c>
      <c r="F1189" s="4" t="s">
        <v>103</v>
      </c>
      <c r="G1189" s="4" t="s">
        <v>104</v>
      </c>
      <c r="H1189" s="5">
        <v>20</v>
      </c>
      <c r="I1189" s="5">
        <v>20</v>
      </c>
      <c r="J1189" s="5">
        <v>20</v>
      </c>
      <c r="K1189" s="4" t="s">
        <v>105</v>
      </c>
      <c r="L1189" s="4" t="s">
        <v>106</v>
      </c>
      <c r="M1189" s="6">
        <f>IF(OR(B1189="",I1189=""),"",B1189*I1189)</f>
        <v>900</v>
      </c>
      <c r="N1189" s="10" t="s">
        <v>10</v>
      </c>
      <c r="O1189" s="9"/>
      <c r="P1189" s="9"/>
      <c r="Q1189" s="22"/>
      <c r="R1189" s="22"/>
      <c r="S1189" s="23" t="str">
        <f>IF(AND(ISNUMBER(Q1189),Q1189&gt;0,ISNUMBER(R1189),R1189&gt;0),R1189/Q1189,"")</f>
        <v/>
      </c>
      <c r="T1189" s="9"/>
      <c r="U1189" s="9"/>
      <c r="V1189" s="9"/>
      <c r="W1189" s="9"/>
      <c r="X1189" s="23">
        <f>IF(ISNUMBER(S1189),S1189,IF(ISNUMBER(I1189),I1189,""))</f>
        <v>20</v>
      </c>
      <c r="Y1189" t="str">
        <f>IF(ISNUMBER(S1189),"2025 EIA-923 plant/group proxy",IF(ISNUMBER(I1189),"Technology estimate","No thermal heat rate"))</f>
        <v>Technology estimate</v>
      </c>
      <c r="Z1189" t="str">
        <f>IF(ISNUMBER(S1189),"Review: NOT unit verified",IF(AE1189="No match","No EIA match",IF(AF1189="Unconfirmed","Unconfirmed EIA candidate","")))</f>
        <v>No EIA match</v>
      </c>
      <c r="AE1189" t="s">
        <v>107</v>
      </c>
      <c r="AG1189" s="24">
        <f>IF(ISBLANK(S1189),S1189,I1189)</f>
        <v>20</v>
      </c>
      <c r="AH1189" s="34">
        <f t="shared" si="42"/>
        <v>181211.89999999994</v>
      </c>
      <c r="AI1189">
        <f t="shared" si="41"/>
        <v>113163.65861574616</v>
      </c>
      <c r="AJ1189" t="b" cm="1">
        <f t="array" ref="AJ1189">OR(D1189=$AT$2:$AT$8)</f>
        <v>0</v>
      </c>
    </row>
    <row r="1190" spans="1:36" x14ac:dyDescent="0.25">
      <c r="A1190" s="2" t="s">
        <v>423</v>
      </c>
      <c r="B1190" s="3">
        <v>44.4</v>
      </c>
      <c r="C1190" s="2" t="s">
        <v>68</v>
      </c>
      <c r="D1190" s="2" t="s">
        <v>69</v>
      </c>
      <c r="E1190" s="2" t="s">
        <v>102</v>
      </c>
      <c r="F1190" s="4" t="s">
        <v>103</v>
      </c>
      <c r="G1190" s="4" t="s">
        <v>104</v>
      </c>
      <c r="H1190" s="5">
        <v>20</v>
      </c>
      <c r="I1190" s="5">
        <v>20</v>
      </c>
      <c r="J1190" s="5">
        <v>20</v>
      </c>
      <c r="K1190" s="4" t="s">
        <v>105</v>
      </c>
      <c r="L1190" s="4" t="s">
        <v>106</v>
      </c>
      <c r="M1190" s="6">
        <f>IF(OR(B1190="",I1190=""),"",B1190*I1190)</f>
        <v>888</v>
      </c>
      <c r="N1190" s="10" t="s">
        <v>10</v>
      </c>
      <c r="O1190" s="9"/>
      <c r="P1190" s="9"/>
      <c r="Q1190" s="22"/>
      <c r="R1190" s="22"/>
      <c r="S1190" s="23" t="str">
        <f>IF(AND(ISNUMBER(Q1190),Q1190&gt;0,ISNUMBER(R1190),R1190&gt;0),R1190/Q1190,"")</f>
        <v/>
      </c>
      <c r="T1190" s="9"/>
      <c r="U1190" s="9"/>
      <c r="V1190" s="9"/>
      <c r="W1190" s="9"/>
      <c r="X1190" s="23">
        <f>IF(ISNUMBER(S1190),S1190,IF(ISNUMBER(I1190),I1190,""))</f>
        <v>20</v>
      </c>
      <c r="Y1190" t="str">
        <f>IF(ISNUMBER(S1190),"2025 EIA-923 plant/group proxy",IF(ISNUMBER(I1190),"Technology estimate","No thermal heat rate"))</f>
        <v>Technology estimate</v>
      </c>
      <c r="Z1190" t="str">
        <f>IF(ISNUMBER(S1190),"Review: NOT unit verified",IF(AE1190="No match","No EIA match",IF(AF1190="Unconfirmed","Unconfirmed EIA candidate","")))</f>
        <v>No EIA match</v>
      </c>
      <c r="AE1190" t="s">
        <v>107</v>
      </c>
      <c r="AG1190" s="24">
        <f>IF(ISBLANK(S1190),S1190,I1190)</f>
        <v>20</v>
      </c>
      <c r="AH1190" s="34">
        <f t="shared" si="42"/>
        <v>181256.29999999993</v>
      </c>
      <c r="AI1190">
        <f t="shared" si="41"/>
        <v>113191.38563832325</v>
      </c>
      <c r="AJ1190" t="b" cm="1">
        <f t="array" ref="AJ1190">OR(D1190=$AT$2:$AT$8)</f>
        <v>0</v>
      </c>
    </row>
    <row r="1191" spans="1:36" x14ac:dyDescent="0.25">
      <c r="A1191" s="2" t="s">
        <v>424</v>
      </c>
      <c r="B1191" s="3">
        <v>45.4</v>
      </c>
      <c r="C1191" s="2" t="s">
        <v>68</v>
      </c>
      <c r="D1191" s="2" t="s">
        <v>69</v>
      </c>
      <c r="E1191" s="2" t="s">
        <v>102</v>
      </c>
      <c r="F1191" s="4" t="s">
        <v>103</v>
      </c>
      <c r="G1191" s="4" t="s">
        <v>104</v>
      </c>
      <c r="H1191" s="5">
        <v>20</v>
      </c>
      <c r="I1191" s="5">
        <v>20</v>
      </c>
      <c r="J1191" s="5">
        <v>20</v>
      </c>
      <c r="K1191" s="4" t="s">
        <v>105</v>
      </c>
      <c r="L1191" s="4" t="s">
        <v>106</v>
      </c>
      <c r="M1191" s="6">
        <f>IF(OR(B1191="",I1191=""),"",B1191*I1191)</f>
        <v>908</v>
      </c>
      <c r="N1191" s="10" t="s">
        <v>10</v>
      </c>
      <c r="O1191" s="9"/>
      <c r="P1191" s="9"/>
      <c r="Q1191" s="22"/>
      <c r="R1191" s="22"/>
      <c r="S1191" s="23" t="str">
        <f>IF(AND(ISNUMBER(Q1191),Q1191&gt;0,ISNUMBER(R1191),R1191&gt;0),R1191/Q1191,"")</f>
        <v/>
      </c>
      <c r="T1191" s="9"/>
      <c r="U1191" s="9"/>
      <c r="V1191" s="9"/>
      <c r="W1191" s="9"/>
      <c r="X1191" s="23">
        <f>IF(ISNUMBER(S1191),S1191,IF(ISNUMBER(I1191),I1191,""))</f>
        <v>20</v>
      </c>
      <c r="Y1191" t="str">
        <f>IF(ISNUMBER(S1191),"2025 EIA-923 plant/group proxy",IF(ISNUMBER(I1191),"Technology estimate","No thermal heat rate"))</f>
        <v>Technology estimate</v>
      </c>
      <c r="Z1191" t="str">
        <f>IF(ISNUMBER(S1191),"Review: NOT unit verified",IF(AE1191="No match","No EIA match",IF(AF1191="Unconfirmed","Unconfirmed EIA candidate","")))</f>
        <v>No EIA match</v>
      </c>
      <c r="AE1191" t="s">
        <v>107</v>
      </c>
      <c r="AG1191" s="24">
        <f>IF(ISBLANK(S1191),S1191,I1191)</f>
        <v>20</v>
      </c>
      <c r="AH1191" s="34">
        <f t="shared" si="42"/>
        <v>181301.69999999992</v>
      </c>
      <c r="AI1191">
        <f t="shared" si="41"/>
        <v>113219.73714339083</v>
      </c>
      <c r="AJ1191" t="b" cm="1">
        <f t="array" ref="AJ1191">OR(D1191=$AT$2:$AT$8)</f>
        <v>0</v>
      </c>
    </row>
    <row r="1192" spans="1:36" x14ac:dyDescent="0.25">
      <c r="A1192" s="2" t="s">
        <v>425</v>
      </c>
      <c r="B1192" s="3">
        <v>44.3</v>
      </c>
      <c r="C1192" s="2" t="s">
        <v>68</v>
      </c>
      <c r="D1192" s="2" t="s">
        <v>69</v>
      </c>
      <c r="E1192" s="2" t="s">
        <v>102</v>
      </c>
      <c r="F1192" s="4" t="s">
        <v>103</v>
      </c>
      <c r="G1192" s="4" t="s">
        <v>104</v>
      </c>
      <c r="H1192" s="5">
        <v>20</v>
      </c>
      <c r="I1192" s="5">
        <v>20</v>
      </c>
      <c r="J1192" s="5">
        <v>20</v>
      </c>
      <c r="K1192" s="4" t="s">
        <v>105</v>
      </c>
      <c r="L1192" s="4" t="s">
        <v>106</v>
      </c>
      <c r="M1192" s="6">
        <f>IF(OR(B1192="",I1192=""),"",B1192*I1192)</f>
        <v>886</v>
      </c>
      <c r="N1192" s="10" t="s">
        <v>10</v>
      </c>
      <c r="O1192" s="9"/>
      <c r="P1192" s="9"/>
      <c r="Q1192" s="22"/>
      <c r="R1192" s="22"/>
      <c r="S1192" s="23" t="str">
        <f>IF(AND(ISNUMBER(Q1192),Q1192&gt;0,ISNUMBER(R1192),R1192&gt;0),R1192/Q1192,"")</f>
        <v/>
      </c>
      <c r="T1192" s="9"/>
      <c r="U1192" s="9"/>
      <c r="V1192" s="9"/>
      <c r="W1192" s="9"/>
      <c r="X1192" s="23">
        <f>IF(ISNUMBER(S1192),S1192,IF(ISNUMBER(I1192),I1192,""))</f>
        <v>20</v>
      </c>
      <c r="Y1192" t="str">
        <f>IF(ISNUMBER(S1192),"2025 EIA-923 plant/group proxy",IF(ISNUMBER(I1192),"Technology estimate","No thermal heat rate"))</f>
        <v>Technology estimate</v>
      </c>
      <c r="Z1192" t="str">
        <f>IF(ISNUMBER(S1192),"Review: NOT unit verified",IF(AE1192="No match","No EIA match",IF(AF1192="Unconfirmed","Unconfirmed EIA candidate","")))</f>
        <v>No EIA match</v>
      </c>
      <c r="AE1192" t="s">
        <v>107</v>
      </c>
      <c r="AG1192" s="24">
        <f>IF(ISBLANK(S1192),S1192,I1192)</f>
        <v>20</v>
      </c>
      <c r="AH1192" s="34">
        <f t="shared" si="42"/>
        <v>181345.99999999991</v>
      </c>
      <c r="AI1192">
        <f t="shared" si="41"/>
        <v>113247.40171771887</v>
      </c>
      <c r="AJ1192" t="b" cm="1">
        <f t="array" ref="AJ1192">OR(D1192=$AT$2:$AT$8)</f>
        <v>0</v>
      </c>
    </row>
    <row r="1193" spans="1:36" x14ac:dyDescent="0.25">
      <c r="A1193" s="2" t="s">
        <v>426</v>
      </c>
      <c r="B1193" s="3">
        <v>45</v>
      </c>
      <c r="C1193" s="2" t="s">
        <v>68</v>
      </c>
      <c r="D1193" s="2" t="s">
        <v>69</v>
      </c>
      <c r="E1193" s="2" t="s">
        <v>102</v>
      </c>
      <c r="F1193" s="4" t="s">
        <v>103</v>
      </c>
      <c r="G1193" s="4" t="s">
        <v>104</v>
      </c>
      <c r="H1193" s="5">
        <v>20</v>
      </c>
      <c r="I1193" s="5">
        <v>20</v>
      </c>
      <c r="J1193" s="5">
        <v>20</v>
      </c>
      <c r="K1193" s="4" t="s">
        <v>105</v>
      </c>
      <c r="L1193" s="4" t="s">
        <v>106</v>
      </c>
      <c r="M1193" s="6">
        <f>IF(OR(B1193="",I1193=""),"",B1193*I1193)</f>
        <v>900</v>
      </c>
      <c r="N1193" s="10" t="s">
        <v>10</v>
      </c>
      <c r="O1193" s="9"/>
      <c r="P1193" s="9"/>
      <c r="Q1193" s="22"/>
      <c r="R1193" s="22"/>
      <c r="S1193" s="23" t="str">
        <f>IF(AND(ISNUMBER(Q1193),Q1193&gt;0,ISNUMBER(R1193),R1193&gt;0),R1193/Q1193,"")</f>
        <v/>
      </c>
      <c r="T1193" s="9"/>
      <c r="U1193" s="9"/>
      <c r="V1193" s="9"/>
      <c r="W1193" s="9"/>
      <c r="X1193" s="23">
        <f>IF(ISNUMBER(S1193),S1193,IF(ISNUMBER(I1193),I1193,""))</f>
        <v>20</v>
      </c>
      <c r="Y1193" t="str">
        <f>IF(ISNUMBER(S1193),"2025 EIA-923 plant/group proxy",IF(ISNUMBER(I1193),"Technology estimate","No thermal heat rate"))</f>
        <v>Technology estimate</v>
      </c>
      <c r="Z1193" t="str">
        <f>IF(ISNUMBER(S1193),"Review: NOT unit verified",IF(AE1193="No match","No EIA match",IF(AF1193="Unconfirmed","Unconfirmed EIA candidate","")))</f>
        <v>No EIA match</v>
      </c>
      <c r="AE1193" t="s">
        <v>107</v>
      </c>
      <c r="AG1193" s="24">
        <f>IF(ISBLANK(S1193),S1193,I1193)</f>
        <v>20</v>
      </c>
      <c r="AH1193" s="34">
        <f t="shared" si="42"/>
        <v>181390.99999999991</v>
      </c>
      <c r="AI1193">
        <f t="shared" si="41"/>
        <v>113275.50342979025</v>
      </c>
      <c r="AJ1193" t="b" cm="1">
        <f t="array" ref="AJ1193">OR(D1193=$AT$2:$AT$8)</f>
        <v>0</v>
      </c>
    </row>
    <row r="1194" spans="1:36" x14ac:dyDescent="0.25">
      <c r="A1194" s="2" t="s">
        <v>427</v>
      </c>
      <c r="B1194" s="3">
        <v>44.8</v>
      </c>
      <c r="C1194" s="2" t="s">
        <v>68</v>
      </c>
      <c r="D1194" s="2" t="s">
        <v>69</v>
      </c>
      <c r="E1194" s="2" t="s">
        <v>102</v>
      </c>
      <c r="F1194" s="4" t="s">
        <v>103</v>
      </c>
      <c r="G1194" s="4" t="s">
        <v>104</v>
      </c>
      <c r="H1194" s="5">
        <v>20</v>
      </c>
      <c r="I1194" s="5">
        <v>20</v>
      </c>
      <c r="J1194" s="5">
        <v>20</v>
      </c>
      <c r="K1194" s="4" t="s">
        <v>105</v>
      </c>
      <c r="L1194" s="4" t="s">
        <v>106</v>
      </c>
      <c r="M1194" s="6">
        <f>IF(OR(B1194="",I1194=""),"",B1194*I1194)</f>
        <v>896</v>
      </c>
      <c r="N1194" s="10" t="s">
        <v>10</v>
      </c>
      <c r="O1194" s="9"/>
      <c r="P1194" s="9"/>
      <c r="Q1194" s="22"/>
      <c r="R1194" s="22"/>
      <c r="S1194" s="23" t="str">
        <f>IF(AND(ISNUMBER(Q1194),Q1194&gt;0,ISNUMBER(R1194),R1194&gt;0),R1194/Q1194,"")</f>
        <v/>
      </c>
      <c r="T1194" s="9"/>
      <c r="U1194" s="9"/>
      <c r="V1194" s="9"/>
      <c r="W1194" s="9"/>
      <c r="X1194" s="23">
        <f>IF(ISNUMBER(S1194),S1194,IF(ISNUMBER(I1194),I1194,""))</f>
        <v>20</v>
      </c>
      <c r="Y1194" t="str">
        <f>IF(ISNUMBER(S1194),"2025 EIA-923 plant/group proxy",IF(ISNUMBER(I1194),"Technology estimate","No thermal heat rate"))</f>
        <v>Technology estimate</v>
      </c>
      <c r="Z1194" t="str">
        <f>IF(ISNUMBER(S1194),"Review: NOT unit verified",IF(AE1194="No match","No EIA match",IF(AF1194="Unconfirmed","Unconfirmed EIA candidate","")))</f>
        <v>No EIA match</v>
      </c>
      <c r="AE1194" t="s">
        <v>107</v>
      </c>
      <c r="AG1194" s="24">
        <f>IF(ISBLANK(S1194),S1194,I1194)</f>
        <v>20</v>
      </c>
      <c r="AH1194" s="34">
        <f t="shared" si="42"/>
        <v>181435.7999999999</v>
      </c>
      <c r="AI1194">
        <f t="shared" si="41"/>
        <v>113303.48024536353</v>
      </c>
      <c r="AJ1194" t="b" cm="1">
        <f t="array" ref="AJ1194">OR(D1194=$AT$2:$AT$8)</f>
        <v>0</v>
      </c>
    </row>
    <row r="1195" spans="1:36" x14ac:dyDescent="0.25">
      <c r="A1195" s="2" t="s">
        <v>428</v>
      </c>
      <c r="B1195" s="3">
        <v>44.7</v>
      </c>
      <c r="C1195" s="2" t="s">
        <v>68</v>
      </c>
      <c r="D1195" s="2" t="s">
        <v>69</v>
      </c>
      <c r="E1195" s="2" t="s">
        <v>102</v>
      </c>
      <c r="F1195" s="4" t="s">
        <v>103</v>
      </c>
      <c r="G1195" s="4" t="s">
        <v>104</v>
      </c>
      <c r="H1195" s="5">
        <v>20</v>
      </c>
      <c r="I1195" s="5">
        <v>20</v>
      </c>
      <c r="J1195" s="5">
        <v>20</v>
      </c>
      <c r="K1195" s="4" t="s">
        <v>105</v>
      </c>
      <c r="L1195" s="4" t="s">
        <v>106</v>
      </c>
      <c r="M1195" s="6">
        <f>IF(OR(B1195="",I1195=""),"",B1195*I1195)</f>
        <v>894</v>
      </c>
      <c r="N1195" s="10" t="s">
        <v>10</v>
      </c>
      <c r="O1195" s="9"/>
      <c r="P1195" s="9"/>
      <c r="Q1195" s="22"/>
      <c r="R1195" s="22"/>
      <c r="S1195" s="23" t="str">
        <f>IF(AND(ISNUMBER(Q1195),Q1195&gt;0,ISNUMBER(R1195),R1195&gt;0),R1195/Q1195,"")</f>
        <v/>
      </c>
      <c r="T1195" s="9"/>
      <c r="U1195" s="9"/>
      <c r="V1195" s="9"/>
      <c r="W1195" s="9"/>
      <c r="X1195" s="23">
        <f>IF(ISNUMBER(S1195),S1195,IF(ISNUMBER(I1195),I1195,""))</f>
        <v>20</v>
      </c>
      <c r="Y1195" t="str">
        <f>IF(ISNUMBER(S1195),"2025 EIA-923 plant/group proxy",IF(ISNUMBER(I1195),"Technology estimate","No thermal heat rate"))</f>
        <v>Technology estimate</v>
      </c>
      <c r="Z1195" t="str">
        <f>IF(ISNUMBER(S1195),"Review: NOT unit verified",IF(AE1195="No match","No EIA match",IF(AF1195="Unconfirmed","Unconfirmed EIA candidate","")))</f>
        <v>No EIA match</v>
      </c>
      <c r="AE1195" t="s">
        <v>107</v>
      </c>
      <c r="AG1195" s="24">
        <f>IF(ISBLANK(S1195),S1195,I1195)</f>
        <v>20</v>
      </c>
      <c r="AH1195" s="34">
        <f t="shared" si="42"/>
        <v>181480.49999999991</v>
      </c>
      <c r="AI1195">
        <f t="shared" si="41"/>
        <v>113331.39461268779</v>
      </c>
      <c r="AJ1195" t="b" cm="1">
        <f t="array" ref="AJ1195">OR(D1195=$AT$2:$AT$8)</f>
        <v>0</v>
      </c>
    </row>
    <row r="1196" spans="1:36" x14ac:dyDescent="0.25">
      <c r="A1196" s="2" t="s">
        <v>429</v>
      </c>
      <c r="B1196" s="3">
        <v>14.9</v>
      </c>
      <c r="C1196" s="2" t="s">
        <v>78</v>
      </c>
      <c r="D1196" s="2" t="s">
        <v>78</v>
      </c>
      <c r="E1196" s="2" t="s">
        <v>102</v>
      </c>
      <c r="F1196" s="4" t="s">
        <v>103</v>
      </c>
      <c r="G1196" s="4" t="s">
        <v>104</v>
      </c>
      <c r="H1196" s="5">
        <v>20</v>
      </c>
      <c r="I1196" s="5">
        <v>20</v>
      </c>
      <c r="J1196" s="5">
        <v>20</v>
      </c>
      <c r="K1196" s="4" t="s">
        <v>105</v>
      </c>
      <c r="L1196" s="4" t="s">
        <v>106</v>
      </c>
      <c r="M1196" s="6">
        <f>IF(OR(B1196="",I1196=""),"",B1196*I1196)</f>
        <v>298</v>
      </c>
      <c r="N1196" s="10" t="s">
        <v>10</v>
      </c>
      <c r="O1196" s="9"/>
      <c r="P1196" s="9"/>
      <c r="Q1196" s="22"/>
      <c r="R1196" s="22"/>
      <c r="S1196" s="23" t="str">
        <f>IF(AND(ISNUMBER(Q1196),Q1196&gt;0,ISNUMBER(R1196),R1196&gt;0),R1196/Q1196,"")</f>
        <v/>
      </c>
      <c r="T1196" s="9"/>
      <c r="U1196" s="9"/>
      <c r="V1196" s="9"/>
      <c r="W1196" s="9"/>
      <c r="X1196" s="23">
        <f>IF(ISNUMBER(S1196),S1196,IF(ISNUMBER(I1196),I1196,""))</f>
        <v>20</v>
      </c>
      <c r="Y1196" t="str">
        <f>IF(ISNUMBER(S1196),"2025 EIA-923 plant/group proxy",IF(ISNUMBER(I1196),"Technology estimate","No thermal heat rate"))</f>
        <v>Technology estimate</v>
      </c>
      <c r="Z1196" t="str">
        <f>IF(ISNUMBER(S1196),"Review: NOT unit verified",IF(AE1196="No match","No EIA match",IF(AF1196="Unconfirmed","Unconfirmed EIA candidate","")))</f>
        <v>No EIA match</v>
      </c>
      <c r="AE1196" t="s">
        <v>107</v>
      </c>
      <c r="AG1196" s="24">
        <f>IF(ISBLANK(S1196),S1196,I1196)</f>
        <v>20</v>
      </c>
      <c r="AH1196" s="34">
        <f t="shared" si="42"/>
        <v>181495.39999999991</v>
      </c>
      <c r="AI1196">
        <f t="shared" si="41"/>
        <v>113340.69940179586</v>
      </c>
      <c r="AJ1196" t="b" cm="1">
        <f t="array" ref="AJ1196">OR(D1196=$AT$2:$AT$8)</f>
        <v>1</v>
      </c>
    </row>
    <row r="1197" spans="1:36" x14ac:dyDescent="0.25">
      <c r="A1197" s="2" t="s">
        <v>430</v>
      </c>
      <c r="B1197" s="3">
        <v>24</v>
      </c>
      <c r="C1197" s="2" t="s">
        <v>78</v>
      </c>
      <c r="D1197" s="2" t="s">
        <v>78</v>
      </c>
      <c r="E1197" s="2" t="s">
        <v>102</v>
      </c>
      <c r="F1197" s="4" t="s">
        <v>103</v>
      </c>
      <c r="G1197" s="4" t="s">
        <v>104</v>
      </c>
      <c r="H1197" s="5">
        <v>20</v>
      </c>
      <c r="I1197" s="5">
        <v>20</v>
      </c>
      <c r="J1197" s="5">
        <v>20</v>
      </c>
      <c r="K1197" s="4" t="s">
        <v>105</v>
      </c>
      <c r="L1197" s="4" t="s">
        <v>106</v>
      </c>
      <c r="M1197" s="6">
        <f>IF(OR(B1197="",I1197=""),"",B1197*I1197)</f>
        <v>480</v>
      </c>
      <c r="N1197" s="10" t="s">
        <v>10</v>
      </c>
      <c r="O1197" s="9"/>
      <c r="P1197" s="9"/>
      <c r="Q1197" s="22"/>
      <c r="R1197" s="22"/>
      <c r="S1197" s="23" t="str">
        <f>IF(AND(ISNUMBER(Q1197),Q1197&gt;0,ISNUMBER(R1197),R1197&gt;0),R1197/Q1197,"")</f>
        <v/>
      </c>
      <c r="T1197" s="9"/>
      <c r="U1197" s="9"/>
      <c r="V1197" s="9"/>
      <c r="W1197" s="9"/>
      <c r="X1197" s="23">
        <f>IF(ISNUMBER(S1197),S1197,IF(ISNUMBER(I1197),I1197,""))</f>
        <v>20</v>
      </c>
      <c r="Y1197" t="str">
        <f>IF(ISNUMBER(S1197),"2025 EIA-923 plant/group proxy",IF(ISNUMBER(I1197),"Technology estimate","No thermal heat rate"))</f>
        <v>Technology estimate</v>
      </c>
      <c r="Z1197" t="str">
        <f>IF(ISNUMBER(S1197),"Review: NOT unit verified",IF(AE1197="No match","No EIA match",IF(AF1197="Unconfirmed","Unconfirmed EIA candidate","")))</f>
        <v>No EIA match</v>
      </c>
      <c r="AE1197" t="s">
        <v>107</v>
      </c>
      <c r="AG1197" s="24">
        <f>IF(ISBLANK(S1197),S1197,I1197)</f>
        <v>20</v>
      </c>
      <c r="AH1197" s="34">
        <f t="shared" si="42"/>
        <v>181519.39999999991</v>
      </c>
      <c r="AI1197">
        <f t="shared" si="41"/>
        <v>113355.68698156727</v>
      </c>
      <c r="AJ1197" t="b" cm="1">
        <f t="array" ref="AJ1197">OR(D1197=$AT$2:$AT$8)</f>
        <v>1</v>
      </c>
    </row>
    <row r="1198" spans="1:36" x14ac:dyDescent="0.25">
      <c r="A1198" s="2" t="s">
        <v>431</v>
      </c>
      <c r="B1198" s="3">
        <v>13</v>
      </c>
      <c r="C1198" s="2" t="s">
        <v>432</v>
      </c>
      <c r="D1198" s="2" t="s">
        <v>58</v>
      </c>
      <c r="E1198" s="2" t="s">
        <v>102</v>
      </c>
      <c r="F1198" s="4" t="s">
        <v>103</v>
      </c>
      <c r="G1198" s="4" t="s">
        <v>104</v>
      </c>
      <c r="H1198" s="5">
        <v>20</v>
      </c>
      <c r="I1198" s="5">
        <v>20</v>
      </c>
      <c r="J1198" s="5">
        <v>20</v>
      </c>
      <c r="K1198" s="4" t="s">
        <v>105</v>
      </c>
      <c r="L1198" s="4" t="s">
        <v>106</v>
      </c>
      <c r="M1198" s="6">
        <f>IF(OR(B1198="",I1198=""),"",B1198*I1198)</f>
        <v>260</v>
      </c>
      <c r="N1198" s="10" t="s">
        <v>10</v>
      </c>
      <c r="O1198" s="9"/>
      <c r="P1198" s="9"/>
      <c r="Q1198" s="22"/>
      <c r="R1198" s="22"/>
      <c r="S1198" s="23" t="str">
        <f>IF(AND(ISNUMBER(Q1198),Q1198&gt;0,ISNUMBER(R1198),R1198&gt;0),R1198/Q1198,"")</f>
        <v/>
      </c>
      <c r="T1198" s="9"/>
      <c r="U1198" s="9"/>
      <c r="V1198" s="9"/>
      <c r="W1198" s="9"/>
      <c r="X1198" s="23">
        <f>IF(ISNUMBER(S1198),S1198,IF(ISNUMBER(I1198),I1198,""))</f>
        <v>20</v>
      </c>
      <c r="Y1198" t="str">
        <f>IF(ISNUMBER(S1198),"2025 EIA-923 plant/group proxy",IF(ISNUMBER(I1198),"Technology estimate","No thermal heat rate"))</f>
        <v>Technology estimate</v>
      </c>
      <c r="Z1198" t="str">
        <f>IF(ISNUMBER(S1198),"Review: NOT unit verified",IF(AE1198="No match","No EIA match",IF(AF1198="Unconfirmed","Unconfirmed EIA candidate","")))</f>
        <v>No EIA match</v>
      </c>
      <c r="AE1198" t="s">
        <v>107</v>
      </c>
      <c r="AG1198" s="24">
        <f>IF(ISBLANK(S1198),S1198,I1198)</f>
        <v>20</v>
      </c>
      <c r="AH1198" s="34">
        <f t="shared" si="42"/>
        <v>181532.39999999991</v>
      </c>
      <c r="AI1198">
        <f t="shared" si="41"/>
        <v>113363.80525394344</v>
      </c>
      <c r="AJ1198" t="b" cm="1">
        <f t="array" ref="AJ1198">OR(D1198=$AT$2:$AT$8)</f>
        <v>0</v>
      </c>
    </row>
    <row r="1199" spans="1:36" x14ac:dyDescent="0.25">
      <c r="A1199" s="2" t="s">
        <v>433</v>
      </c>
      <c r="B1199" s="3">
        <v>13</v>
      </c>
      <c r="C1199" s="2" t="s">
        <v>432</v>
      </c>
      <c r="D1199" s="2" t="s">
        <v>58</v>
      </c>
      <c r="E1199" s="2" t="s">
        <v>102</v>
      </c>
      <c r="F1199" s="4" t="s">
        <v>103</v>
      </c>
      <c r="G1199" s="4" t="s">
        <v>104</v>
      </c>
      <c r="H1199" s="5">
        <v>20</v>
      </c>
      <c r="I1199" s="5">
        <v>20</v>
      </c>
      <c r="J1199" s="5">
        <v>20</v>
      </c>
      <c r="K1199" s="4" t="s">
        <v>105</v>
      </c>
      <c r="L1199" s="4" t="s">
        <v>106</v>
      </c>
      <c r="M1199" s="6">
        <f>IF(OR(B1199="",I1199=""),"",B1199*I1199)</f>
        <v>260</v>
      </c>
      <c r="N1199" s="10" t="s">
        <v>10</v>
      </c>
      <c r="O1199" s="9"/>
      <c r="P1199" s="9"/>
      <c r="Q1199" s="22"/>
      <c r="R1199" s="22"/>
      <c r="S1199" s="23" t="str">
        <f>IF(AND(ISNUMBER(Q1199),Q1199&gt;0,ISNUMBER(R1199),R1199&gt;0),R1199/Q1199,"")</f>
        <v/>
      </c>
      <c r="T1199" s="9"/>
      <c r="U1199" s="9"/>
      <c r="V1199" s="9"/>
      <c r="W1199" s="9"/>
      <c r="X1199" s="23">
        <f>IF(ISNUMBER(S1199),S1199,IF(ISNUMBER(I1199),I1199,""))</f>
        <v>20</v>
      </c>
      <c r="Y1199" t="str">
        <f>IF(ISNUMBER(S1199),"2025 EIA-923 plant/group proxy",IF(ISNUMBER(I1199),"Technology estimate","No thermal heat rate"))</f>
        <v>Technology estimate</v>
      </c>
      <c r="Z1199" t="str">
        <f>IF(ISNUMBER(S1199),"Review: NOT unit verified",IF(AE1199="No match","No EIA match",IF(AF1199="Unconfirmed","Unconfirmed EIA candidate","")))</f>
        <v>No EIA match</v>
      </c>
      <c r="AE1199" t="s">
        <v>107</v>
      </c>
      <c r="AG1199" s="24">
        <f>IF(ISBLANK(S1199),S1199,I1199)</f>
        <v>20</v>
      </c>
      <c r="AH1199" s="34">
        <f t="shared" si="42"/>
        <v>181545.39999999991</v>
      </c>
      <c r="AI1199">
        <f t="shared" si="41"/>
        <v>113371.92352631962</v>
      </c>
      <c r="AJ1199" t="b" cm="1">
        <f t="array" ref="AJ1199">OR(D1199=$AT$2:$AT$8)</f>
        <v>0</v>
      </c>
    </row>
    <row r="1200" spans="1:36" x14ac:dyDescent="0.25">
      <c r="A1200" s="2" t="s">
        <v>434</v>
      </c>
      <c r="B1200" s="3">
        <v>13</v>
      </c>
      <c r="C1200" s="2" t="s">
        <v>432</v>
      </c>
      <c r="D1200" s="2" t="s">
        <v>58</v>
      </c>
      <c r="E1200" s="2" t="s">
        <v>102</v>
      </c>
      <c r="F1200" s="4" t="s">
        <v>103</v>
      </c>
      <c r="G1200" s="4" t="s">
        <v>104</v>
      </c>
      <c r="H1200" s="5">
        <v>20</v>
      </c>
      <c r="I1200" s="5">
        <v>20</v>
      </c>
      <c r="J1200" s="5">
        <v>20</v>
      </c>
      <c r="K1200" s="4" t="s">
        <v>105</v>
      </c>
      <c r="L1200" s="4" t="s">
        <v>106</v>
      </c>
      <c r="M1200" s="6">
        <f>IF(OR(B1200="",I1200=""),"",B1200*I1200)</f>
        <v>260</v>
      </c>
      <c r="N1200" s="10" t="s">
        <v>10</v>
      </c>
      <c r="O1200" s="9"/>
      <c r="P1200" s="9"/>
      <c r="Q1200" s="22"/>
      <c r="R1200" s="22"/>
      <c r="S1200" s="23" t="str">
        <f>IF(AND(ISNUMBER(Q1200),Q1200&gt;0,ISNUMBER(R1200),R1200&gt;0),R1200/Q1200,"")</f>
        <v/>
      </c>
      <c r="T1200" s="9"/>
      <c r="U1200" s="9"/>
      <c r="V1200" s="9"/>
      <c r="W1200" s="9"/>
      <c r="X1200" s="23">
        <f>IF(ISNUMBER(S1200),S1200,IF(ISNUMBER(I1200),I1200,""))</f>
        <v>20</v>
      </c>
      <c r="Y1200" t="str">
        <f>IF(ISNUMBER(S1200),"2025 EIA-923 plant/group proxy",IF(ISNUMBER(I1200),"Technology estimate","No thermal heat rate"))</f>
        <v>Technology estimate</v>
      </c>
      <c r="Z1200" t="str">
        <f>IF(ISNUMBER(S1200),"Review: NOT unit verified",IF(AE1200="No match","No EIA match",IF(AF1200="Unconfirmed","Unconfirmed EIA candidate","")))</f>
        <v>No EIA match</v>
      </c>
      <c r="AE1200" t="s">
        <v>107</v>
      </c>
      <c r="AG1200" s="24">
        <f>IF(ISBLANK(S1200),S1200,I1200)</f>
        <v>20</v>
      </c>
      <c r="AH1200" s="34">
        <f t="shared" si="42"/>
        <v>181558.39999999991</v>
      </c>
      <c r="AI1200">
        <f t="shared" si="41"/>
        <v>113380.04179869579</v>
      </c>
      <c r="AJ1200" t="b" cm="1">
        <f t="array" ref="AJ1200">OR(D1200=$AT$2:$AT$8)</f>
        <v>0</v>
      </c>
    </row>
    <row r="1201" spans="1:36" x14ac:dyDescent="0.25">
      <c r="A1201" s="2" t="s">
        <v>439</v>
      </c>
      <c r="B1201" s="3">
        <v>14.9</v>
      </c>
      <c r="C1201" s="2" t="s">
        <v>78</v>
      </c>
      <c r="D1201" s="2" t="s">
        <v>78</v>
      </c>
      <c r="E1201" s="2" t="s">
        <v>102</v>
      </c>
      <c r="F1201" s="4" t="s">
        <v>103</v>
      </c>
      <c r="G1201" s="4" t="s">
        <v>104</v>
      </c>
      <c r="H1201" s="5">
        <v>20</v>
      </c>
      <c r="I1201" s="5">
        <v>20</v>
      </c>
      <c r="J1201" s="5">
        <v>20</v>
      </c>
      <c r="K1201" s="4" t="s">
        <v>105</v>
      </c>
      <c r="L1201" s="4" t="s">
        <v>106</v>
      </c>
      <c r="M1201" s="6">
        <f>IF(OR(B1201="",I1201=""),"",B1201*I1201)</f>
        <v>298</v>
      </c>
      <c r="N1201" s="10" t="s">
        <v>10</v>
      </c>
      <c r="O1201" s="9"/>
      <c r="P1201" s="9"/>
      <c r="Q1201" s="22"/>
      <c r="R1201" s="22"/>
      <c r="S1201" s="23" t="str">
        <f>IF(AND(ISNUMBER(Q1201),Q1201&gt;0,ISNUMBER(R1201),R1201&gt;0),R1201/Q1201,"")</f>
        <v/>
      </c>
      <c r="T1201" s="9"/>
      <c r="U1201" s="9"/>
      <c r="V1201" s="9"/>
      <c r="W1201" s="9"/>
      <c r="X1201" s="23">
        <f>IF(ISNUMBER(S1201),S1201,IF(ISNUMBER(I1201),I1201,""))</f>
        <v>20</v>
      </c>
      <c r="Y1201" t="str">
        <f>IF(ISNUMBER(S1201),"2025 EIA-923 plant/group proxy",IF(ISNUMBER(I1201),"Technology estimate","No thermal heat rate"))</f>
        <v>Technology estimate</v>
      </c>
      <c r="Z1201" t="str">
        <f>IF(ISNUMBER(S1201),"Review: NOT unit verified",IF(AE1201="No match","No EIA match",IF(AF1201="Unconfirmed","Unconfirmed EIA candidate","")))</f>
        <v>No EIA match</v>
      </c>
      <c r="AE1201" t="s">
        <v>107</v>
      </c>
      <c r="AG1201" s="24">
        <f>IF(ISBLANK(S1201),S1201,I1201)</f>
        <v>20</v>
      </c>
      <c r="AH1201" s="34">
        <f t="shared" si="42"/>
        <v>181573.2999999999</v>
      </c>
      <c r="AI1201">
        <f t="shared" si="41"/>
        <v>113389.34658780387</v>
      </c>
      <c r="AJ1201" t="b" cm="1">
        <f t="array" ref="AJ1201">OR(D1201=$AT$2:$AT$8)</f>
        <v>1</v>
      </c>
    </row>
    <row r="1202" spans="1:36" x14ac:dyDescent="0.25">
      <c r="A1202" s="2" t="s">
        <v>443</v>
      </c>
      <c r="B1202" s="3">
        <v>22.5</v>
      </c>
      <c r="C1202" s="2" t="s">
        <v>68</v>
      </c>
      <c r="D1202" s="2" t="s">
        <v>58</v>
      </c>
      <c r="E1202" s="2" t="s">
        <v>102</v>
      </c>
      <c r="F1202" s="4" t="s">
        <v>103</v>
      </c>
      <c r="G1202" s="4" t="s">
        <v>104</v>
      </c>
      <c r="H1202" s="5">
        <v>20</v>
      </c>
      <c r="I1202" s="5">
        <v>20</v>
      </c>
      <c r="J1202" s="5">
        <v>20</v>
      </c>
      <c r="K1202" s="4" t="s">
        <v>105</v>
      </c>
      <c r="L1202" s="4" t="s">
        <v>106</v>
      </c>
      <c r="M1202" s="6">
        <f>IF(OR(B1202="",I1202=""),"",B1202*I1202)</f>
        <v>450</v>
      </c>
      <c r="N1202" s="10" t="s">
        <v>10</v>
      </c>
      <c r="O1202" s="9"/>
      <c r="P1202" s="9"/>
      <c r="Q1202" s="22"/>
      <c r="R1202" s="22"/>
      <c r="S1202" s="23" t="str">
        <f>IF(AND(ISNUMBER(Q1202),Q1202&gt;0,ISNUMBER(R1202),R1202&gt;0),R1202/Q1202,"")</f>
        <v/>
      </c>
      <c r="T1202" s="9"/>
      <c r="U1202" s="9"/>
      <c r="V1202" s="9"/>
      <c r="W1202" s="9"/>
      <c r="X1202" s="23">
        <f>IF(ISNUMBER(S1202),S1202,IF(ISNUMBER(I1202),I1202,""))</f>
        <v>20</v>
      </c>
      <c r="Y1202" t="str">
        <f>IF(ISNUMBER(S1202),"2025 EIA-923 plant/group proxy",IF(ISNUMBER(I1202),"Technology estimate","No thermal heat rate"))</f>
        <v>Technology estimate</v>
      </c>
      <c r="Z1202" t="str">
        <f>IF(ISNUMBER(S1202),"Review: NOT unit verified",IF(AE1202="No match","No EIA match",IF(AF1202="Unconfirmed","Unconfirmed EIA candidate","")))</f>
        <v>No EIA match</v>
      </c>
      <c r="AE1202" t="s">
        <v>107</v>
      </c>
      <c r="AG1202" s="24">
        <f>IF(ISBLANK(S1202),S1202,I1202)</f>
        <v>20</v>
      </c>
      <c r="AH1202" s="34">
        <f t="shared" si="42"/>
        <v>181595.7999999999</v>
      </c>
      <c r="AI1202">
        <f t="shared" si="41"/>
        <v>113403.39744383957</v>
      </c>
      <c r="AJ1202" t="b" cm="1">
        <f t="array" ref="AJ1202">OR(D1202=$AT$2:$AT$8)</f>
        <v>0</v>
      </c>
    </row>
    <row r="1203" spans="1:36" x14ac:dyDescent="0.25">
      <c r="A1203" s="2" t="s">
        <v>444</v>
      </c>
      <c r="B1203" s="3">
        <v>21.9</v>
      </c>
      <c r="C1203" s="2" t="s">
        <v>68</v>
      </c>
      <c r="D1203" s="2" t="s">
        <v>58</v>
      </c>
      <c r="E1203" s="2" t="s">
        <v>102</v>
      </c>
      <c r="F1203" s="4" t="s">
        <v>103</v>
      </c>
      <c r="G1203" s="4" t="s">
        <v>104</v>
      </c>
      <c r="H1203" s="5">
        <v>20</v>
      </c>
      <c r="I1203" s="5">
        <v>20</v>
      </c>
      <c r="J1203" s="5">
        <v>20</v>
      </c>
      <c r="K1203" s="4" t="s">
        <v>105</v>
      </c>
      <c r="L1203" s="4" t="s">
        <v>106</v>
      </c>
      <c r="M1203" s="6">
        <f>IF(OR(B1203="",I1203=""),"",B1203*I1203)</f>
        <v>438</v>
      </c>
      <c r="N1203" s="10" t="s">
        <v>10</v>
      </c>
      <c r="O1203" s="9"/>
      <c r="P1203" s="9"/>
      <c r="Q1203" s="22"/>
      <c r="R1203" s="22"/>
      <c r="S1203" s="23" t="str">
        <f>IF(AND(ISNUMBER(Q1203),Q1203&gt;0,ISNUMBER(R1203),R1203&gt;0),R1203/Q1203,"")</f>
        <v/>
      </c>
      <c r="T1203" s="9"/>
      <c r="U1203" s="9"/>
      <c r="V1203" s="9"/>
      <c r="W1203" s="9"/>
      <c r="X1203" s="23">
        <f>IF(ISNUMBER(S1203),S1203,IF(ISNUMBER(I1203),I1203,""))</f>
        <v>20</v>
      </c>
      <c r="Y1203" t="str">
        <f>IF(ISNUMBER(S1203),"2025 EIA-923 plant/group proxy",IF(ISNUMBER(I1203),"Technology estimate","No thermal heat rate"))</f>
        <v>Technology estimate</v>
      </c>
      <c r="Z1203" t="str">
        <f>IF(ISNUMBER(S1203),"Review: NOT unit verified",IF(AE1203="No match","No EIA match",IF(AF1203="Unconfirmed","Unconfirmed EIA candidate","")))</f>
        <v>No EIA match</v>
      </c>
      <c r="AE1203" t="s">
        <v>107</v>
      </c>
      <c r="AG1203" s="24">
        <f>IF(ISBLANK(S1203),S1203,I1203)</f>
        <v>20</v>
      </c>
      <c r="AH1203" s="34">
        <f t="shared" si="42"/>
        <v>181617.6999999999</v>
      </c>
      <c r="AI1203">
        <f t="shared" si="41"/>
        <v>113417.07361038098</v>
      </c>
      <c r="AJ1203" t="b" cm="1">
        <f t="array" ref="AJ1203">OR(D1203=$AT$2:$AT$8)</f>
        <v>0</v>
      </c>
    </row>
    <row r="1204" spans="1:36" x14ac:dyDescent="0.25">
      <c r="A1204" s="2" t="s">
        <v>472</v>
      </c>
      <c r="B1204" s="3">
        <v>3.9</v>
      </c>
      <c r="C1204" s="2" t="s">
        <v>99</v>
      </c>
      <c r="D1204" s="2" t="s">
        <v>81</v>
      </c>
      <c r="E1204" s="2" t="s">
        <v>102</v>
      </c>
      <c r="F1204" s="4" t="s">
        <v>103</v>
      </c>
      <c r="G1204" s="4" t="s">
        <v>104</v>
      </c>
      <c r="H1204" s="5">
        <v>20</v>
      </c>
      <c r="I1204" s="5">
        <v>20</v>
      </c>
      <c r="J1204" s="5">
        <v>20</v>
      </c>
      <c r="K1204" s="4" t="s">
        <v>105</v>
      </c>
      <c r="L1204" s="4" t="s">
        <v>106</v>
      </c>
      <c r="M1204" s="6">
        <f>IF(OR(B1204="",I1204=""),"",B1204*I1204)</f>
        <v>78</v>
      </c>
      <c r="N1204" s="10" t="s">
        <v>10</v>
      </c>
      <c r="O1204" s="9"/>
      <c r="P1204" s="9"/>
      <c r="Q1204" s="22"/>
      <c r="R1204" s="22"/>
      <c r="S1204" s="23" t="str">
        <f>IF(AND(ISNUMBER(Q1204),Q1204&gt;0,ISNUMBER(R1204),R1204&gt;0),R1204/Q1204,"")</f>
        <v/>
      </c>
      <c r="T1204" s="9"/>
      <c r="U1204" s="9"/>
      <c r="V1204" s="9"/>
      <c r="W1204" s="9"/>
      <c r="X1204" s="23">
        <f>IF(ISNUMBER(S1204),S1204,IF(ISNUMBER(I1204),I1204,""))</f>
        <v>20</v>
      </c>
      <c r="Y1204" t="str">
        <f>IF(ISNUMBER(S1204),"2025 EIA-923 plant/group proxy",IF(ISNUMBER(I1204),"Technology estimate","No thermal heat rate"))</f>
        <v>Technology estimate</v>
      </c>
      <c r="Z1204" t="str">
        <f>IF(ISNUMBER(S1204),"Review: NOT unit verified",IF(AE1204="No match","No EIA match",IF(AF1204="Unconfirmed","Unconfirmed EIA candidate","")))</f>
        <v>No EIA match</v>
      </c>
      <c r="AE1204" t="s">
        <v>107</v>
      </c>
      <c r="AG1204" s="24">
        <f>IF(ISBLANK(S1204),S1204,I1204)</f>
        <v>20</v>
      </c>
      <c r="AH1204" s="34">
        <f t="shared" si="42"/>
        <v>181621.59999999989</v>
      </c>
      <c r="AI1204">
        <f t="shared" si="41"/>
        <v>113419.50909209382</v>
      </c>
      <c r="AJ1204" t="b" cm="1">
        <f t="array" ref="AJ1204">OR(D1204=$AT$2:$AT$8)</f>
        <v>0</v>
      </c>
    </row>
    <row r="1205" spans="1:36" x14ac:dyDescent="0.25">
      <c r="A1205" s="2" t="s">
        <v>543</v>
      </c>
      <c r="B1205" s="3">
        <v>49</v>
      </c>
      <c r="C1205" s="2" t="s">
        <v>432</v>
      </c>
      <c r="D1205" s="2" t="s">
        <v>58</v>
      </c>
      <c r="E1205" s="2" t="s">
        <v>102</v>
      </c>
      <c r="F1205" s="4" t="s">
        <v>103</v>
      </c>
      <c r="G1205" s="4" t="s">
        <v>104</v>
      </c>
      <c r="H1205" s="5">
        <v>20</v>
      </c>
      <c r="I1205" s="5">
        <v>20</v>
      </c>
      <c r="J1205" s="5">
        <v>20</v>
      </c>
      <c r="K1205" s="4" t="s">
        <v>105</v>
      </c>
      <c r="L1205" s="4" t="s">
        <v>106</v>
      </c>
      <c r="M1205" s="6">
        <f>IF(OR(B1205="",I1205=""),"",B1205*I1205)</f>
        <v>980</v>
      </c>
      <c r="N1205" s="10" t="s">
        <v>10</v>
      </c>
      <c r="O1205" s="9"/>
      <c r="P1205" s="9"/>
      <c r="Q1205" s="22"/>
      <c r="R1205" s="22"/>
      <c r="S1205" s="23" t="str">
        <f>IF(AND(ISNUMBER(Q1205),Q1205&gt;0,ISNUMBER(R1205),R1205&gt;0),R1205/Q1205,"")</f>
        <v/>
      </c>
      <c r="T1205" s="9"/>
      <c r="U1205" s="9"/>
      <c r="V1205" s="9"/>
      <c r="W1205" s="9"/>
      <c r="X1205" s="23">
        <f>IF(ISNUMBER(S1205),S1205,IF(ISNUMBER(I1205),I1205,""))</f>
        <v>20</v>
      </c>
      <c r="Y1205" t="str">
        <f>IF(ISNUMBER(S1205),"2025 EIA-923 plant/group proxy",IF(ISNUMBER(I1205),"Technology estimate","No thermal heat rate"))</f>
        <v>Technology estimate</v>
      </c>
      <c r="Z1205" t="str">
        <f>IF(ISNUMBER(S1205),"Review: NOT unit verified",IF(AE1205="No match","No EIA match",IF(AF1205="Unconfirmed","Unconfirmed EIA candidate","")))</f>
        <v>No EIA match</v>
      </c>
      <c r="AE1205" t="s">
        <v>107</v>
      </c>
      <c r="AG1205" s="24">
        <f>IF(ISBLANK(S1205),S1205,I1205)</f>
        <v>20</v>
      </c>
      <c r="AH1205" s="34">
        <f t="shared" si="42"/>
        <v>181670.59999999989</v>
      </c>
      <c r="AI1205">
        <f t="shared" si="41"/>
        <v>113450.1087341271</v>
      </c>
      <c r="AJ1205" t="b" cm="1">
        <f t="array" ref="AJ1205">OR(D1205=$AT$2:$AT$8)</f>
        <v>0</v>
      </c>
    </row>
    <row r="1206" spans="1:36" x14ac:dyDescent="0.25">
      <c r="A1206" s="2" t="s">
        <v>544</v>
      </c>
      <c r="B1206" s="3">
        <v>49</v>
      </c>
      <c r="C1206" s="2" t="s">
        <v>432</v>
      </c>
      <c r="D1206" s="2" t="s">
        <v>58</v>
      </c>
      <c r="E1206" s="2" t="s">
        <v>102</v>
      </c>
      <c r="F1206" s="4" t="s">
        <v>103</v>
      </c>
      <c r="G1206" s="4" t="s">
        <v>104</v>
      </c>
      <c r="H1206" s="5">
        <v>20</v>
      </c>
      <c r="I1206" s="5">
        <v>20</v>
      </c>
      <c r="J1206" s="5">
        <v>20</v>
      </c>
      <c r="K1206" s="4" t="s">
        <v>105</v>
      </c>
      <c r="L1206" s="4" t="s">
        <v>106</v>
      </c>
      <c r="M1206" s="6">
        <f>IF(OR(B1206="",I1206=""),"",B1206*I1206)</f>
        <v>980</v>
      </c>
      <c r="N1206" s="10" t="s">
        <v>10</v>
      </c>
      <c r="O1206" s="9"/>
      <c r="P1206" s="9"/>
      <c r="Q1206" s="22"/>
      <c r="R1206" s="22"/>
      <c r="S1206" s="23" t="str">
        <f>IF(AND(ISNUMBER(Q1206),Q1206&gt;0,ISNUMBER(R1206),R1206&gt;0),R1206/Q1206,"")</f>
        <v/>
      </c>
      <c r="T1206" s="9"/>
      <c r="U1206" s="9"/>
      <c r="V1206" s="9"/>
      <c r="W1206" s="9"/>
      <c r="X1206" s="23">
        <f>IF(ISNUMBER(S1206),S1206,IF(ISNUMBER(I1206),I1206,""))</f>
        <v>20</v>
      </c>
      <c r="Y1206" t="str">
        <f>IF(ISNUMBER(S1206),"2025 EIA-923 plant/group proxy",IF(ISNUMBER(I1206),"Technology estimate","No thermal heat rate"))</f>
        <v>Technology estimate</v>
      </c>
      <c r="Z1206" t="str">
        <f>IF(ISNUMBER(S1206),"Review: NOT unit verified",IF(AE1206="No match","No EIA match",IF(AF1206="Unconfirmed","Unconfirmed EIA candidate","")))</f>
        <v>No EIA match</v>
      </c>
      <c r="AE1206" t="s">
        <v>107</v>
      </c>
      <c r="AG1206" s="24">
        <f>IF(ISBLANK(S1206),S1206,I1206)</f>
        <v>20</v>
      </c>
      <c r="AH1206" s="34">
        <f t="shared" si="42"/>
        <v>181719.59999999989</v>
      </c>
      <c r="AI1206">
        <f t="shared" si="41"/>
        <v>113480.70837616039</v>
      </c>
      <c r="AJ1206" t="b" cm="1">
        <f t="array" ref="AJ1206">OR(D1206=$AT$2:$AT$8)</f>
        <v>0</v>
      </c>
    </row>
    <row r="1207" spans="1:36" x14ac:dyDescent="0.25">
      <c r="A1207" s="2" t="s">
        <v>545</v>
      </c>
      <c r="B1207" s="3">
        <v>49</v>
      </c>
      <c r="C1207" s="2" t="s">
        <v>432</v>
      </c>
      <c r="D1207" s="2" t="s">
        <v>58</v>
      </c>
      <c r="E1207" s="2" t="s">
        <v>102</v>
      </c>
      <c r="F1207" s="4" t="s">
        <v>103</v>
      </c>
      <c r="G1207" s="4" t="s">
        <v>104</v>
      </c>
      <c r="H1207" s="5">
        <v>20</v>
      </c>
      <c r="I1207" s="5">
        <v>20</v>
      </c>
      <c r="J1207" s="5">
        <v>20</v>
      </c>
      <c r="K1207" s="4" t="s">
        <v>105</v>
      </c>
      <c r="L1207" s="4" t="s">
        <v>106</v>
      </c>
      <c r="M1207" s="6">
        <f>IF(OR(B1207="",I1207=""),"",B1207*I1207)</f>
        <v>980</v>
      </c>
      <c r="N1207" s="10" t="s">
        <v>10</v>
      </c>
      <c r="O1207" s="9"/>
      <c r="P1207" s="9"/>
      <c r="Q1207" s="22"/>
      <c r="R1207" s="22"/>
      <c r="S1207" s="23" t="str">
        <f>IF(AND(ISNUMBER(Q1207),Q1207&gt;0,ISNUMBER(R1207),R1207&gt;0),R1207/Q1207,"")</f>
        <v/>
      </c>
      <c r="T1207" s="9"/>
      <c r="U1207" s="9"/>
      <c r="V1207" s="9"/>
      <c r="W1207" s="9"/>
      <c r="X1207" s="23">
        <f>IF(ISNUMBER(S1207),S1207,IF(ISNUMBER(I1207),I1207,""))</f>
        <v>20</v>
      </c>
      <c r="Y1207" t="str">
        <f>IF(ISNUMBER(S1207),"2025 EIA-923 plant/group proxy",IF(ISNUMBER(I1207),"Technology estimate","No thermal heat rate"))</f>
        <v>Technology estimate</v>
      </c>
      <c r="Z1207" t="str">
        <f>IF(ISNUMBER(S1207),"Review: NOT unit verified",IF(AE1207="No match","No EIA match",IF(AF1207="Unconfirmed","Unconfirmed EIA candidate","")))</f>
        <v>No EIA match</v>
      </c>
      <c r="AE1207" t="s">
        <v>107</v>
      </c>
      <c r="AG1207" s="24">
        <f>IF(ISBLANK(S1207),S1207,I1207)</f>
        <v>20</v>
      </c>
      <c r="AH1207" s="34">
        <f t="shared" si="42"/>
        <v>181768.59999999989</v>
      </c>
      <c r="AI1207">
        <f t="shared" si="41"/>
        <v>113511.30801819368</v>
      </c>
      <c r="AJ1207" t="b" cm="1">
        <f t="array" ref="AJ1207">OR(D1207=$AT$2:$AT$8)</f>
        <v>0</v>
      </c>
    </row>
    <row r="1208" spans="1:36" x14ac:dyDescent="0.25">
      <c r="A1208" s="2" t="s">
        <v>546</v>
      </c>
      <c r="B1208" s="3">
        <v>49</v>
      </c>
      <c r="C1208" s="2" t="s">
        <v>432</v>
      </c>
      <c r="D1208" s="2" t="s">
        <v>58</v>
      </c>
      <c r="E1208" s="2" t="s">
        <v>102</v>
      </c>
      <c r="F1208" s="4" t="s">
        <v>103</v>
      </c>
      <c r="G1208" s="4" t="s">
        <v>104</v>
      </c>
      <c r="H1208" s="5">
        <v>20</v>
      </c>
      <c r="I1208" s="5">
        <v>20</v>
      </c>
      <c r="J1208" s="5">
        <v>20</v>
      </c>
      <c r="K1208" s="4" t="s">
        <v>105</v>
      </c>
      <c r="L1208" s="4" t="s">
        <v>106</v>
      </c>
      <c r="M1208" s="6">
        <f>IF(OR(B1208="",I1208=""),"",B1208*I1208)</f>
        <v>980</v>
      </c>
      <c r="N1208" s="10" t="s">
        <v>10</v>
      </c>
      <c r="O1208" s="9"/>
      <c r="P1208" s="9"/>
      <c r="Q1208" s="22"/>
      <c r="R1208" s="22"/>
      <c r="S1208" s="23" t="str">
        <f>IF(AND(ISNUMBER(Q1208),Q1208&gt;0,ISNUMBER(R1208),R1208&gt;0),R1208/Q1208,"")</f>
        <v/>
      </c>
      <c r="T1208" s="9"/>
      <c r="U1208" s="9"/>
      <c r="V1208" s="9"/>
      <c r="W1208" s="9"/>
      <c r="X1208" s="23">
        <f>IF(ISNUMBER(S1208),S1208,IF(ISNUMBER(I1208),I1208,""))</f>
        <v>20</v>
      </c>
      <c r="Y1208" t="str">
        <f>IF(ISNUMBER(S1208),"2025 EIA-923 plant/group proxy",IF(ISNUMBER(I1208),"Technology estimate","No thermal heat rate"))</f>
        <v>Technology estimate</v>
      </c>
      <c r="Z1208" t="str">
        <f>IF(ISNUMBER(S1208),"Review: NOT unit verified",IF(AE1208="No match","No EIA match",IF(AF1208="Unconfirmed","Unconfirmed EIA candidate","")))</f>
        <v>No EIA match</v>
      </c>
      <c r="AE1208" t="s">
        <v>107</v>
      </c>
      <c r="AG1208" s="24">
        <f>IF(ISBLANK(S1208),S1208,I1208)</f>
        <v>20</v>
      </c>
      <c r="AH1208" s="34">
        <f t="shared" si="42"/>
        <v>181817.59999999989</v>
      </c>
      <c r="AI1208">
        <f t="shared" si="41"/>
        <v>113541.90766022696</v>
      </c>
      <c r="AJ1208" t="b" cm="1">
        <f t="array" ref="AJ1208">OR(D1208=$AT$2:$AT$8)</f>
        <v>0</v>
      </c>
    </row>
    <row r="1209" spans="1:36" x14ac:dyDescent="0.25">
      <c r="A1209" s="2" t="s">
        <v>547</v>
      </c>
      <c r="B1209" s="3">
        <v>49</v>
      </c>
      <c r="C1209" s="2" t="s">
        <v>432</v>
      </c>
      <c r="D1209" s="2" t="s">
        <v>58</v>
      </c>
      <c r="E1209" s="2" t="s">
        <v>102</v>
      </c>
      <c r="F1209" s="4" t="s">
        <v>103</v>
      </c>
      <c r="G1209" s="4" t="s">
        <v>104</v>
      </c>
      <c r="H1209" s="5">
        <v>20</v>
      </c>
      <c r="I1209" s="5">
        <v>20</v>
      </c>
      <c r="J1209" s="5">
        <v>20</v>
      </c>
      <c r="K1209" s="4" t="s">
        <v>105</v>
      </c>
      <c r="L1209" s="4" t="s">
        <v>106</v>
      </c>
      <c r="M1209" s="6">
        <f>IF(OR(B1209="",I1209=""),"",B1209*I1209)</f>
        <v>980</v>
      </c>
      <c r="N1209" s="10" t="s">
        <v>10</v>
      </c>
      <c r="O1209" s="9"/>
      <c r="P1209" s="9"/>
      <c r="Q1209" s="22"/>
      <c r="R1209" s="22"/>
      <c r="S1209" s="23" t="str">
        <f>IF(AND(ISNUMBER(Q1209),Q1209&gt;0,ISNUMBER(R1209),R1209&gt;0),R1209/Q1209,"")</f>
        <v/>
      </c>
      <c r="T1209" s="9"/>
      <c r="U1209" s="9"/>
      <c r="V1209" s="9"/>
      <c r="W1209" s="9"/>
      <c r="X1209" s="23">
        <f>IF(ISNUMBER(S1209),S1209,IF(ISNUMBER(I1209),I1209,""))</f>
        <v>20</v>
      </c>
      <c r="Y1209" t="str">
        <f>IF(ISNUMBER(S1209),"2025 EIA-923 plant/group proxy",IF(ISNUMBER(I1209),"Technology estimate","No thermal heat rate"))</f>
        <v>Technology estimate</v>
      </c>
      <c r="Z1209" t="str">
        <f>IF(ISNUMBER(S1209),"Review: NOT unit verified",IF(AE1209="No match","No EIA match",IF(AF1209="Unconfirmed","Unconfirmed EIA candidate","")))</f>
        <v>No EIA match</v>
      </c>
      <c r="AE1209" t="s">
        <v>107</v>
      </c>
      <c r="AG1209" s="24">
        <f>IF(ISBLANK(S1209),S1209,I1209)</f>
        <v>20</v>
      </c>
      <c r="AH1209" s="34">
        <f t="shared" si="42"/>
        <v>181866.59999999989</v>
      </c>
      <c r="AI1209">
        <f t="shared" si="41"/>
        <v>113572.50730226024</v>
      </c>
      <c r="AJ1209" t="b" cm="1">
        <f t="array" ref="AJ1209">OR(D1209=$AT$2:$AT$8)</f>
        <v>0</v>
      </c>
    </row>
    <row r="1210" spans="1:36" x14ac:dyDescent="0.25">
      <c r="A1210" s="2" t="s">
        <v>548</v>
      </c>
      <c r="B1210" s="3">
        <v>48</v>
      </c>
      <c r="C1210" s="2" t="s">
        <v>432</v>
      </c>
      <c r="D1210" s="2" t="s">
        <v>58</v>
      </c>
      <c r="E1210" s="2" t="s">
        <v>102</v>
      </c>
      <c r="F1210" s="4" t="s">
        <v>103</v>
      </c>
      <c r="G1210" s="4" t="s">
        <v>104</v>
      </c>
      <c r="H1210" s="5">
        <v>20</v>
      </c>
      <c r="I1210" s="5">
        <v>20</v>
      </c>
      <c r="J1210" s="5">
        <v>20</v>
      </c>
      <c r="K1210" s="4" t="s">
        <v>105</v>
      </c>
      <c r="L1210" s="4" t="s">
        <v>106</v>
      </c>
      <c r="M1210" s="6">
        <f>IF(OR(B1210="",I1210=""),"",B1210*I1210)</f>
        <v>960</v>
      </c>
      <c r="N1210" s="10" t="s">
        <v>10</v>
      </c>
      <c r="O1210" s="9"/>
      <c r="P1210" s="9"/>
      <c r="Q1210" s="22"/>
      <c r="R1210" s="22"/>
      <c r="S1210" s="23" t="str">
        <f>IF(AND(ISNUMBER(Q1210),Q1210&gt;0,ISNUMBER(R1210),R1210&gt;0),R1210/Q1210,"")</f>
        <v/>
      </c>
      <c r="T1210" s="9"/>
      <c r="U1210" s="9"/>
      <c r="V1210" s="9"/>
      <c r="W1210" s="9"/>
      <c r="X1210" s="23">
        <f>IF(ISNUMBER(S1210),S1210,IF(ISNUMBER(I1210),I1210,""))</f>
        <v>20</v>
      </c>
      <c r="Y1210" t="str">
        <f>IF(ISNUMBER(S1210),"2025 EIA-923 plant/group proxy",IF(ISNUMBER(I1210),"Technology estimate","No thermal heat rate"))</f>
        <v>Technology estimate</v>
      </c>
      <c r="Z1210" t="str">
        <f>IF(ISNUMBER(S1210),"Review: NOT unit verified",IF(AE1210="No match","No EIA match",IF(AF1210="Unconfirmed","Unconfirmed EIA candidate","")))</f>
        <v>No EIA match</v>
      </c>
      <c r="AE1210" t="s">
        <v>107</v>
      </c>
      <c r="AG1210" s="24">
        <f>IF(ISBLANK(S1210),S1210,I1210)</f>
        <v>20</v>
      </c>
      <c r="AH1210" s="34">
        <f t="shared" si="42"/>
        <v>181914.59999999989</v>
      </c>
      <c r="AI1210">
        <f t="shared" si="41"/>
        <v>113602.48246180305</v>
      </c>
      <c r="AJ1210" t="b" cm="1">
        <f t="array" ref="AJ1210">OR(D1210=$AT$2:$AT$8)</f>
        <v>0</v>
      </c>
    </row>
    <row r="1211" spans="1:36" x14ac:dyDescent="0.25">
      <c r="A1211" s="2" t="s">
        <v>549</v>
      </c>
      <c r="B1211" s="3">
        <v>49</v>
      </c>
      <c r="C1211" s="2" t="s">
        <v>432</v>
      </c>
      <c r="D1211" s="2" t="s">
        <v>58</v>
      </c>
      <c r="E1211" s="2" t="s">
        <v>102</v>
      </c>
      <c r="F1211" s="4" t="s">
        <v>103</v>
      </c>
      <c r="G1211" s="4" t="s">
        <v>104</v>
      </c>
      <c r="H1211" s="5">
        <v>20</v>
      </c>
      <c r="I1211" s="5">
        <v>20</v>
      </c>
      <c r="J1211" s="5">
        <v>20</v>
      </c>
      <c r="K1211" s="4" t="s">
        <v>105</v>
      </c>
      <c r="L1211" s="4" t="s">
        <v>106</v>
      </c>
      <c r="M1211" s="6">
        <f>IF(OR(B1211="",I1211=""),"",B1211*I1211)</f>
        <v>980</v>
      </c>
      <c r="N1211" s="10" t="s">
        <v>10</v>
      </c>
      <c r="O1211" s="9"/>
      <c r="P1211" s="9"/>
      <c r="Q1211" s="22"/>
      <c r="R1211" s="22"/>
      <c r="S1211" s="23" t="str">
        <f>IF(AND(ISNUMBER(Q1211),Q1211&gt;0,ISNUMBER(R1211),R1211&gt;0),R1211/Q1211,"")</f>
        <v/>
      </c>
      <c r="T1211" s="9"/>
      <c r="U1211" s="9"/>
      <c r="V1211" s="9"/>
      <c r="W1211" s="9"/>
      <c r="X1211" s="23">
        <f>IF(ISNUMBER(S1211),S1211,IF(ISNUMBER(I1211),I1211,""))</f>
        <v>20</v>
      </c>
      <c r="Y1211" t="str">
        <f>IF(ISNUMBER(S1211),"2025 EIA-923 plant/group proxy",IF(ISNUMBER(I1211),"Technology estimate","No thermal heat rate"))</f>
        <v>Technology estimate</v>
      </c>
      <c r="Z1211" t="str">
        <f>IF(ISNUMBER(S1211),"Review: NOT unit verified",IF(AE1211="No match","No EIA match",IF(AF1211="Unconfirmed","Unconfirmed EIA candidate","")))</f>
        <v>No EIA match</v>
      </c>
      <c r="AE1211" t="s">
        <v>107</v>
      </c>
      <c r="AG1211" s="24">
        <f>IF(ISBLANK(S1211),S1211,I1211)</f>
        <v>20</v>
      </c>
      <c r="AH1211" s="34">
        <f t="shared" si="42"/>
        <v>181963.59999999989</v>
      </c>
      <c r="AI1211">
        <f t="shared" si="41"/>
        <v>113633.08210383635</v>
      </c>
      <c r="AJ1211" t="b" cm="1">
        <f t="array" ref="AJ1211">OR(D1211=$AT$2:$AT$8)</f>
        <v>0</v>
      </c>
    </row>
    <row r="1212" spans="1:36" x14ac:dyDescent="0.25">
      <c r="A1212" s="2" t="s">
        <v>550</v>
      </c>
      <c r="B1212" s="3">
        <v>49</v>
      </c>
      <c r="C1212" s="2" t="s">
        <v>432</v>
      </c>
      <c r="D1212" s="2" t="s">
        <v>58</v>
      </c>
      <c r="E1212" s="2" t="s">
        <v>102</v>
      </c>
      <c r="F1212" s="4" t="s">
        <v>103</v>
      </c>
      <c r="G1212" s="4" t="s">
        <v>104</v>
      </c>
      <c r="H1212" s="5">
        <v>20</v>
      </c>
      <c r="I1212" s="5">
        <v>20</v>
      </c>
      <c r="J1212" s="5">
        <v>20</v>
      </c>
      <c r="K1212" s="4" t="s">
        <v>105</v>
      </c>
      <c r="L1212" s="4" t="s">
        <v>106</v>
      </c>
      <c r="M1212" s="6">
        <f>IF(OR(B1212="",I1212=""),"",B1212*I1212)</f>
        <v>980</v>
      </c>
      <c r="N1212" s="10" t="s">
        <v>10</v>
      </c>
      <c r="O1212" s="9"/>
      <c r="P1212" s="9"/>
      <c r="Q1212" s="22"/>
      <c r="R1212" s="22"/>
      <c r="S1212" s="23" t="str">
        <f>IF(AND(ISNUMBER(Q1212),Q1212&gt;0,ISNUMBER(R1212),R1212&gt;0),R1212/Q1212,"")</f>
        <v/>
      </c>
      <c r="T1212" s="9"/>
      <c r="U1212" s="9"/>
      <c r="V1212" s="9"/>
      <c r="W1212" s="9"/>
      <c r="X1212" s="23">
        <f>IF(ISNUMBER(S1212),S1212,IF(ISNUMBER(I1212),I1212,""))</f>
        <v>20</v>
      </c>
      <c r="Y1212" t="str">
        <f>IF(ISNUMBER(S1212),"2025 EIA-923 plant/group proxy",IF(ISNUMBER(I1212),"Technology estimate","No thermal heat rate"))</f>
        <v>Technology estimate</v>
      </c>
      <c r="Z1212" t="str">
        <f>IF(ISNUMBER(S1212),"Review: NOT unit verified",IF(AE1212="No match","No EIA match",IF(AF1212="Unconfirmed","Unconfirmed EIA candidate","")))</f>
        <v>No EIA match</v>
      </c>
      <c r="AE1212" t="s">
        <v>107</v>
      </c>
      <c r="AG1212" s="24">
        <f>IF(ISBLANK(S1212),S1212,I1212)</f>
        <v>20</v>
      </c>
      <c r="AH1212" s="34">
        <f t="shared" si="42"/>
        <v>182012.59999999989</v>
      </c>
      <c r="AI1212">
        <f t="shared" si="41"/>
        <v>113663.68174586963</v>
      </c>
      <c r="AJ1212" t="b" cm="1">
        <f t="array" ref="AJ1212">OR(D1212=$AT$2:$AT$8)</f>
        <v>0</v>
      </c>
    </row>
    <row r="1213" spans="1:36" x14ac:dyDescent="0.25">
      <c r="A1213" s="2" t="s">
        <v>578</v>
      </c>
      <c r="B1213" s="3">
        <v>17.8</v>
      </c>
      <c r="C1213" s="2" t="s">
        <v>68</v>
      </c>
      <c r="D1213" s="2" t="s">
        <v>58</v>
      </c>
      <c r="E1213" s="2" t="s">
        <v>102</v>
      </c>
      <c r="F1213" s="4" t="s">
        <v>103</v>
      </c>
      <c r="G1213" s="4" t="s">
        <v>104</v>
      </c>
      <c r="H1213" s="5">
        <v>20</v>
      </c>
      <c r="I1213" s="5">
        <v>20</v>
      </c>
      <c r="J1213" s="5">
        <v>20</v>
      </c>
      <c r="K1213" s="4" t="s">
        <v>105</v>
      </c>
      <c r="L1213" s="4" t="s">
        <v>106</v>
      </c>
      <c r="M1213" s="6">
        <f>IF(OR(B1213="",I1213=""),"",B1213*I1213)</f>
        <v>356</v>
      </c>
      <c r="N1213" s="10" t="s">
        <v>10</v>
      </c>
      <c r="O1213" s="9"/>
      <c r="P1213" s="9"/>
      <c r="Q1213" s="22"/>
      <c r="R1213" s="22"/>
      <c r="S1213" s="23" t="str">
        <f>IF(AND(ISNUMBER(Q1213),Q1213&gt;0,ISNUMBER(R1213),R1213&gt;0),R1213/Q1213,"")</f>
        <v/>
      </c>
      <c r="T1213" s="9"/>
      <c r="U1213" s="9"/>
      <c r="V1213" s="9"/>
      <c r="W1213" s="9"/>
      <c r="X1213" s="23">
        <f>IF(ISNUMBER(S1213),S1213,IF(ISNUMBER(I1213),I1213,""))</f>
        <v>20</v>
      </c>
      <c r="Y1213" t="str">
        <f>IF(ISNUMBER(S1213),"2025 EIA-923 plant/group proxy",IF(ISNUMBER(I1213),"Technology estimate","No thermal heat rate"))</f>
        <v>Technology estimate</v>
      </c>
      <c r="Z1213" t="str">
        <f>IF(ISNUMBER(S1213),"Review: NOT unit verified",IF(AE1213="No match","No EIA match",IF(AF1213="Unconfirmed","Unconfirmed EIA candidate","")))</f>
        <v>No EIA match</v>
      </c>
      <c r="AE1213" t="s">
        <v>107</v>
      </c>
      <c r="AG1213" s="24">
        <f>IF(ISBLANK(S1213),S1213,I1213)</f>
        <v>20</v>
      </c>
      <c r="AH1213" s="34">
        <f t="shared" si="42"/>
        <v>182030.39999999988</v>
      </c>
      <c r="AI1213">
        <f t="shared" si="41"/>
        <v>113674.79753420009</v>
      </c>
      <c r="AJ1213" t="b" cm="1">
        <f t="array" ref="AJ1213">OR(D1213=$AT$2:$AT$8)</f>
        <v>0</v>
      </c>
    </row>
    <row r="1214" spans="1:36" x14ac:dyDescent="0.25">
      <c r="A1214" s="2" t="s">
        <v>588</v>
      </c>
      <c r="B1214" s="3">
        <v>13</v>
      </c>
      <c r="C1214" s="2" t="s">
        <v>432</v>
      </c>
      <c r="D1214" s="2" t="s">
        <v>58</v>
      </c>
      <c r="E1214" s="2" t="s">
        <v>102</v>
      </c>
      <c r="F1214" s="4" t="s">
        <v>103</v>
      </c>
      <c r="G1214" s="4" t="s">
        <v>104</v>
      </c>
      <c r="H1214" s="5">
        <v>20</v>
      </c>
      <c r="I1214" s="5">
        <v>20</v>
      </c>
      <c r="J1214" s="5">
        <v>20</v>
      </c>
      <c r="K1214" s="4" t="s">
        <v>105</v>
      </c>
      <c r="L1214" s="4" t="s">
        <v>106</v>
      </c>
      <c r="M1214" s="6">
        <f>IF(OR(B1214="",I1214=""),"",B1214*I1214)</f>
        <v>260</v>
      </c>
      <c r="N1214" s="10" t="s">
        <v>10</v>
      </c>
      <c r="O1214" s="9"/>
      <c r="P1214" s="9"/>
      <c r="Q1214" s="22"/>
      <c r="R1214" s="22"/>
      <c r="S1214" s="23" t="str">
        <f>IF(AND(ISNUMBER(Q1214),Q1214&gt;0,ISNUMBER(R1214),R1214&gt;0),R1214/Q1214,"")</f>
        <v/>
      </c>
      <c r="T1214" s="9"/>
      <c r="U1214" s="9"/>
      <c r="V1214" s="9"/>
      <c r="W1214" s="9"/>
      <c r="X1214" s="23">
        <f>IF(ISNUMBER(S1214),S1214,IF(ISNUMBER(I1214),I1214,""))</f>
        <v>20</v>
      </c>
      <c r="Y1214" t="str">
        <f>IF(ISNUMBER(S1214),"2025 EIA-923 plant/group proxy",IF(ISNUMBER(I1214),"Technology estimate","No thermal heat rate"))</f>
        <v>Technology estimate</v>
      </c>
      <c r="Z1214" t="str">
        <f>IF(ISNUMBER(S1214),"Review: NOT unit verified",IF(AE1214="No match","No EIA match",IF(AF1214="Unconfirmed","Unconfirmed EIA candidate","")))</f>
        <v>No EIA match</v>
      </c>
      <c r="AE1214" t="s">
        <v>107</v>
      </c>
      <c r="AG1214" s="24">
        <f>IF(ISBLANK(S1214),S1214,I1214)</f>
        <v>20</v>
      </c>
      <c r="AH1214" s="34">
        <f t="shared" si="42"/>
        <v>182043.39999999988</v>
      </c>
      <c r="AI1214">
        <f t="shared" si="41"/>
        <v>113682.91580657626</v>
      </c>
      <c r="AJ1214" t="b" cm="1">
        <f t="array" ref="AJ1214">OR(D1214=$AT$2:$AT$8)</f>
        <v>0</v>
      </c>
    </row>
    <row r="1215" spans="1:36" x14ac:dyDescent="0.25">
      <c r="A1215" s="2" t="s">
        <v>589</v>
      </c>
      <c r="B1215" s="3">
        <v>13</v>
      </c>
      <c r="C1215" s="2" t="s">
        <v>432</v>
      </c>
      <c r="D1215" s="2" t="s">
        <v>58</v>
      </c>
      <c r="E1215" s="2" t="s">
        <v>102</v>
      </c>
      <c r="F1215" s="4" t="s">
        <v>103</v>
      </c>
      <c r="G1215" s="4" t="s">
        <v>104</v>
      </c>
      <c r="H1215" s="5">
        <v>20</v>
      </c>
      <c r="I1215" s="5">
        <v>20</v>
      </c>
      <c r="J1215" s="5">
        <v>20</v>
      </c>
      <c r="K1215" s="4" t="s">
        <v>105</v>
      </c>
      <c r="L1215" s="4" t="s">
        <v>106</v>
      </c>
      <c r="M1215" s="6">
        <f>IF(OR(B1215="",I1215=""),"",B1215*I1215)</f>
        <v>260</v>
      </c>
      <c r="N1215" s="10" t="s">
        <v>10</v>
      </c>
      <c r="O1215" s="9"/>
      <c r="P1215" s="9"/>
      <c r="Q1215" s="22"/>
      <c r="R1215" s="22"/>
      <c r="S1215" s="23" t="str">
        <f>IF(AND(ISNUMBER(Q1215),Q1215&gt;0,ISNUMBER(R1215),R1215&gt;0),R1215/Q1215,"")</f>
        <v/>
      </c>
      <c r="T1215" s="9"/>
      <c r="U1215" s="9"/>
      <c r="V1215" s="9"/>
      <c r="W1215" s="9"/>
      <c r="X1215" s="23">
        <f>IF(ISNUMBER(S1215),S1215,IF(ISNUMBER(I1215),I1215,""))</f>
        <v>20</v>
      </c>
      <c r="Y1215" t="str">
        <f>IF(ISNUMBER(S1215),"2025 EIA-923 plant/group proxy",IF(ISNUMBER(I1215),"Technology estimate","No thermal heat rate"))</f>
        <v>Technology estimate</v>
      </c>
      <c r="Z1215" t="str">
        <f>IF(ISNUMBER(S1215),"Review: NOT unit verified",IF(AE1215="No match","No EIA match",IF(AF1215="Unconfirmed","Unconfirmed EIA candidate","")))</f>
        <v>No EIA match</v>
      </c>
      <c r="AE1215" t="s">
        <v>107</v>
      </c>
      <c r="AG1215" s="24">
        <f>IF(ISBLANK(S1215),S1215,I1215)</f>
        <v>20</v>
      </c>
      <c r="AH1215" s="34">
        <f t="shared" si="42"/>
        <v>182056.39999999988</v>
      </c>
      <c r="AI1215">
        <f t="shared" si="41"/>
        <v>113691.03407895243</v>
      </c>
      <c r="AJ1215" t="b" cm="1">
        <f t="array" ref="AJ1215">OR(D1215=$AT$2:$AT$8)</f>
        <v>0</v>
      </c>
    </row>
    <row r="1216" spans="1:36" x14ac:dyDescent="0.25">
      <c r="A1216" s="2" t="s">
        <v>590</v>
      </c>
      <c r="B1216" s="3">
        <v>13</v>
      </c>
      <c r="C1216" s="2" t="s">
        <v>432</v>
      </c>
      <c r="D1216" s="2" t="s">
        <v>58</v>
      </c>
      <c r="E1216" s="2" t="s">
        <v>102</v>
      </c>
      <c r="F1216" s="4" t="s">
        <v>103</v>
      </c>
      <c r="G1216" s="4" t="s">
        <v>104</v>
      </c>
      <c r="H1216" s="5">
        <v>20</v>
      </c>
      <c r="I1216" s="5">
        <v>20</v>
      </c>
      <c r="J1216" s="5">
        <v>20</v>
      </c>
      <c r="K1216" s="4" t="s">
        <v>105</v>
      </c>
      <c r="L1216" s="4" t="s">
        <v>106</v>
      </c>
      <c r="M1216" s="6">
        <f>IF(OR(B1216="",I1216=""),"",B1216*I1216)</f>
        <v>260</v>
      </c>
      <c r="N1216" s="10" t="s">
        <v>10</v>
      </c>
      <c r="O1216" s="9"/>
      <c r="P1216" s="9"/>
      <c r="Q1216" s="22"/>
      <c r="R1216" s="22"/>
      <c r="S1216" s="23" t="str">
        <f>IF(AND(ISNUMBER(Q1216),Q1216&gt;0,ISNUMBER(R1216),R1216&gt;0),R1216/Q1216,"")</f>
        <v/>
      </c>
      <c r="T1216" s="9"/>
      <c r="U1216" s="9"/>
      <c r="V1216" s="9"/>
      <c r="W1216" s="9"/>
      <c r="X1216" s="23">
        <f>IF(ISNUMBER(S1216),S1216,IF(ISNUMBER(I1216),I1216,""))</f>
        <v>20</v>
      </c>
      <c r="Y1216" t="str">
        <f>IF(ISNUMBER(S1216),"2025 EIA-923 plant/group proxy",IF(ISNUMBER(I1216),"Technology estimate","No thermal heat rate"))</f>
        <v>Technology estimate</v>
      </c>
      <c r="Z1216" t="str">
        <f>IF(ISNUMBER(S1216),"Review: NOT unit verified",IF(AE1216="No match","No EIA match",IF(AF1216="Unconfirmed","Unconfirmed EIA candidate","")))</f>
        <v>No EIA match</v>
      </c>
      <c r="AE1216" t="s">
        <v>107</v>
      </c>
      <c r="AG1216" s="24">
        <f>IF(ISBLANK(S1216),S1216,I1216)</f>
        <v>20</v>
      </c>
      <c r="AH1216" s="34">
        <f t="shared" si="42"/>
        <v>182069.39999999988</v>
      </c>
      <c r="AI1216">
        <f t="shared" si="41"/>
        <v>113699.15235132862</v>
      </c>
      <c r="AJ1216" t="b" cm="1">
        <f t="array" ref="AJ1216">OR(D1216=$AT$2:$AT$8)</f>
        <v>0</v>
      </c>
    </row>
    <row r="1217" spans="1:36" x14ac:dyDescent="0.25">
      <c r="A1217" s="2" t="s">
        <v>591</v>
      </c>
      <c r="B1217" s="3">
        <v>17</v>
      </c>
      <c r="C1217" s="2" t="s">
        <v>432</v>
      </c>
      <c r="D1217" s="2" t="s">
        <v>58</v>
      </c>
      <c r="E1217" s="2" t="s">
        <v>102</v>
      </c>
      <c r="F1217" s="4" t="s">
        <v>103</v>
      </c>
      <c r="G1217" s="4" t="s">
        <v>104</v>
      </c>
      <c r="H1217" s="5">
        <v>20</v>
      </c>
      <c r="I1217" s="5">
        <v>20</v>
      </c>
      <c r="J1217" s="5">
        <v>20</v>
      </c>
      <c r="K1217" s="4" t="s">
        <v>105</v>
      </c>
      <c r="L1217" s="4" t="s">
        <v>106</v>
      </c>
      <c r="M1217" s="6">
        <f>IF(OR(B1217="",I1217=""),"",B1217*I1217)</f>
        <v>340</v>
      </c>
      <c r="N1217" s="10" t="s">
        <v>10</v>
      </c>
      <c r="O1217" s="9"/>
      <c r="P1217" s="9"/>
      <c r="Q1217" s="22"/>
      <c r="R1217" s="22"/>
      <c r="S1217" s="23" t="str">
        <f>IF(AND(ISNUMBER(Q1217),Q1217&gt;0,ISNUMBER(R1217),R1217&gt;0),R1217/Q1217,"")</f>
        <v/>
      </c>
      <c r="T1217" s="9"/>
      <c r="U1217" s="9"/>
      <c r="V1217" s="9"/>
      <c r="W1217" s="9"/>
      <c r="X1217" s="23">
        <f>IF(ISNUMBER(S1217),S1217,IF(ISNUMBER(I1217),I1217,""))</f>
        <v>20</v>
      </c>
      <c r="Y1217" t="str">
        <f>IF(ISNUMBER(S1217),"2025 EIA-923 plant/group proxy",IF(ISNUMBER(I1217),"Technology estimate","No thermal heat rate"))</f>
        <v>Technology estimate</v>
      </c>
      <c r="Z1217" t="str">
        <f>IF(ISNUMBER(S1217),"Review: NOT unit verified",IF(AE1217="No match","No EIA match",IF(AF1217="Unconfirmed","Unconfirmed EIA candidate","")))</f>
        <v>No EIA match</v>
      </c>
      <c r="AE1217" t="s">
        <v>107</v>
      </c>
      <c r="AG1217" s="24">
        <f>IF(ISBLANK(S1217),S1217,I1217)</f>
        <v>20</v>
      </c>
      <c r="AH1217" s="34">
        <f t="shared" si="42"/>
        <v>182086.39999999988</v>
      </c>
      <c r="AI1217">
        <f t="shared" si="41"/>
        <v>113709.7685536667</v>
      </c>
      <c r="AJ1217" t="b" cm="1">
        <f t="array" ref="AJ1217">OR(D1217=$AT$2:$AT$8)</f>
        <v>0</v>
      </c>
    </row>
    <row r="1218" spans="1:36" x14ac:dyDescent="0.25">
      <c r="A1218" s="2" t="s">
        <v>652</v>
      </c>
      <c r="B1218" s="3">
        <v>4.2</v>
      </c>
      <c r="C1218" s="2" t="s">
        <v>68</v>
      </c>
      <c r="D1218" s="2" t="s">
        <v>69</v>
      </c>
      <c r="E1218" s="2" t="s">
        <v>102</v>
      </c>
      <c r="F1218" s="4" t="s">
        <v>103</v>
      </c>
      <c r="G1218" s="4" t="s">
        <v>104</v>
      </c>
      <c r="H1218" s="5">
        <v>20</v>
      </c>
      <c r="I1218" s="5">
        <v>20</v>
      </c>
      <c r="J1218" s="5">
        <v>20</v>
      </c>
      <c r="K1218" s="4" t="s">
        <v>105</v>
      </c>
      <c r="L1218" s="4" t="s">
        <v>106</v>
      </c>
      <c r="M1218" s="6">
        <f>IF(OR(B1218="",I1218=""),"",B1218*I1218)</f>
        <v>84</v>
      </c>
      <c r="N1218" s="10" t="s">
        <v>10</v>
      </c>
      <c r="O1218" s="9"/>
      <c r="P1218" s="9"/>
      <c r="Q1218" s="22"/>
      <c r="R1218" s="22"/>
      <c r="S1218" s="23" t="str">
        <f>IF(AND(ISNUMBER(Q1218),Q1218&gt;0,ISNUMBER(R1218),R1218&gt;0),R1218/Q1218,"")</f>
        <v/>
      </c>
      <c r="T1218" s="9"/>
      <c r="U1218" s="9"/>
      <c r="V1218" s="9"/>
      <c r="W1218" s="9"/>
      <c r="X1218" s="23">
        <f>IF(ISNUMBER(S1218),S1218,IF(ISNUMBER(I1218),I1218,""))</f>
        <v>20</v>
      </c>
      <c r="Y1218" t="str">
        <f>IF(ISNUMBER(S1218),"2025 EIA-923 plant/group proxy",IF(ISNUMBER(I1218),"Technology estimate","No thermal heat rate"))</f>
        <v>Technology estimate</v>
      </c>
      <c r="Z1218" t="str">
        <f>IF(ISNUMBER(S1218),"Review: NOT unit verified",IF(AE1218="No match","No EIA match",IF(AF1218="Unconfirmed","Unconfirmed EIA candidate","")))</f>
        <v>No EIA match</v>
      </c>
      <c r="AE1218" t="s">
        <v>107</v>
      </c>
      <c r="AG1218" s="24">
        <f>IF(ISBLANK(S1218),S1218,I1218)</f>
        <v>20</v>
      </c>
      <c r="AH1218" s="34">
        <f t="shared" si="42"/>
        <v>182090.59999999989</v>
      </c>
      <c r="AI1218">
        <f t="shared" si="41"/>
        <v>113712.3913801267</v>
      </c>
      <c r="AJ1218" t="b" cm="1">
        <f t="array" ref="AJ1218">OR(D1218=$AT$2:$AT$8)</f>
        <v>0</v>
      </c>
    </row>
    <row r="1219" spans="1:36" x14ac:dyDescent="0.25">
      <c r="A1219" s="2" t="s">
        <v>653</v>
      </c>
      <c r="B1219" s="3">
        <v>4.2</v>
      </c>
      <c r="C1219" s="2" t="s">
        <v>68</v>
      </c>
      <c r="D1219" s="2" t="s">
        <v>69</v>
      </c>
      <c r="E1219" s="2" t="s">
        <v>102</v>
      </c>
      <c r="F1219" s="4" t="s">
        <v>103</v>
      </c>
      <c r="G1219" s="4" t="s">
        <v>104</v>
      </c>
      <c r="H1219" s="5">
        <v>20</v>
      </c>
      <c r="I1219" s="5">
        <v>20</v>
      </c>
      <c r="J1219" s="5">
        <v>20</v>
      </c>
      <c r="K1219" s="4" t="s">
        <v>105</v>
      </c>
      <c r="L1219" s="4" t="s">
        <v>106</v>
      </c>
      <c r="M1219" s="6">
        <f>IF(OR(B1219="",I1219=""),"",B1219*I1219)</f>
        <v>84</v>
      </c>
      <c r="N1219" s="10" t="s">
        <v>10</v>
      </c>
      <c r="O1219" s="9"/>
      <c r="P1219" s="9"/>
      <c r="Q1219" s="22"/>
      <c r="R1219" s="22"/>
      <c r="S1219" s="23" t="str">
        <f>IF(AND(ISNUMBER(Q1219),Q1219&gt;0,ISNUMBER(R1219),R1219&gt;0),R1219/Q1219,"")</f>
        <v/>
      </c>
      <c r="T1219" s="9"/>
      <c r="U1219" s="9"/>
      <c r="V1219" s="9"/>
      <c r="W1219" s="9"/>
      <c r="X1219" s="23">
        <f>IF(ISNUMBER(S1219),S1219,IF(ISNUMBER(I1219),I1219,""))</f>
        <v>20</v>
      </c>
      <c r="Y1219" t="str">
        <f>IF(ISNUMBER(S1219),"2025 EIA-923 plant/group proxy",IF(ISNUMBER(I1219),"Technology estimate","No thermal heat rate"))</f>
        <v>Technology estimate</v>
      </c>
      <c r="Z1219" t="str">
        <f>IF(ISNUMBER(S1219),"Review: NOT unit verified",IF(AE1219="No match","No EIA match",IF(AF1219="Unconfirmed","Unconfirmed EIA candidate","")))</f>
        <v>No EIA match</v>
      </c>
      <c r="AE1219" t="s">
        <v>107</v>
      </c>
      <c r="AG1219" s="24">
        <f>IF(ISBLANK(S1219),S1219,I1219)</f>
        <v>20</v>
      </c>
      <c r="AH1219" s="34">
        <f t="shared" si="42"/>
        <v>182094.7999999999</v>
      </c>
      <c r="AI1219">
        <f t="shared" ref="AI1219:AI1282" si="43">AH1219*$AK$1</f>
        <v>113715.0142065867</v>
      </c>
      <c r="AJ1219" t="b" cm="1">
        <f t="array" ref="AJ1219">OR(D1219=$AT$2:$AT$8)</f>
        <v>0</v>
      </c>
    </row>
    <row r="1220" spans="1:36" x14ac:dyDescent="0.25">
      <c r="A1220" s="2" t="s">
        <v>668</v>
      </c>
      <c r="B1220" s="3">
        <v>12</v>
      </c>
      <c r="C1220" s="2" t="s">
        <v>68</v>
      </c>
      <c r="D1220" s="2" t="s">
        <v>58</v>
      </c>
      <c r="E1220" s="2" t="s">
        <v>102</v>
      </c>
      <c r="F1220" s="4" t="s">
        <v>103</v>
      </c>
      <c r="G1220" s="4" t="s">
        <v>104</v>
      </c>
      <c r="H1220" s="5">
        <v>20</v>
      </c>
      <c r="I1220" s="5">
        <v>20</v>
      </c>
      <c r="J1220" s="5">
        <v>20</v>
      </c>
      <c r="K1220" s="4" t="s">
        <v>105</v>
      </c>
      <c r="L1220" s="4" t="s">
        <v>106</v>
      </c>
      <c r="M1220" s="6">
        <f>IF(OR(B1220="",I1220=""),"",B1220*I1220)</f>
        <v>240</v>
      </c>
      <c r="N1220" s="10" t="s">
        <v>10</v>
      </c>
      <c r="O1220" s="9"/>
      <c r="P1220" s="9"/>
      <c r="Q1220" s="22"/>
      <c r="R1220" s="22"/>
      <c r="S1220" s="23" t="str">
        <f>IF(AND(ISNUMBER(Q1220),Q1220&gt;0,ISNUMBER(R1220),R1220&gt;0),R1220/Q1220,"")</f>
        <v/>
      </c>
      <c r="T1220" s="9"/>
      <c r="U1220" s="9"/>
      <c r="V1220" s="9"/>
      <c r="W1220" s="9"/>
      <c r="X1220" s="23">
        <f>IF(ISNUMBER(S1220),S1220,IF(ISNUMBER(I1220),I1220,""))</f>
        <v>20</v>
      </c>
      <c r="Y1220" t="str">
        <f>IF(ISNUMBER(S1220),"2025 EIA-923 plant/group proxy",IF(ISNUMBER(I1220),"Technology estimate","No thermal heat rate"))</f>
        <v>Technology estimate</v>
      </c>
      <c r="Z1220" t="str">
        <f>IF(ISNUMBER(S1220),"Review: NOT unit verified",IF(AE1220="No match","No EIA match",IF(AF1220="Unconfirmed","Unconfirmed EIA candidate","")))</f>
        <v>No EIA match</v>
      </c>
      <c r="AE1220" t="s">
        <v>107</v>
      </c>
      <c r="AG1220" s="24">
        <f>IF(ISBLANK(S1220),S1220,I1220)</f>
        <v>20</v>
      </c>
      <c r="AH1220" s="34">
        <f t="shared" ref="AH1220:AH1283" si="44">AH1219+B1220</f>
        <v>182106.7999999999</v>
      </c>
      <c r="AI1220">
        <f t="shared" si="43"/>
        <v>113722.5079964724</v>
      </c>
      <c r="AJ1220" t="b" cm="1">
        <f t="array" ref="AJ1220">OR(D1220=$AT$2:$AT$8)</f>
        <v>0</v>
      </c>
    </row>
    <row r="1221" spans="1:36" x14ac:dyDescent="0.25">
      <c r="A1221" s="2" t="s">
        <v>676</v>
      </c>
      <c r="B1221" s="3">
        <v>5.8</v>
      </c>
      <c r="C1221" s="2" t="s">
        <v>228</v>
      </c>
      <c r="D1221" s="2" t="s">
        <v>228</v>
      </c>
      <c r="E1221" s="2" t="s">
        <v>102</v>
      </c>
      <c r="F1221" s="4" t="s">
        <v>103</v>
      </c>
      <c r="G1221" s="4" t="s">
        <v>104</v>
      </c>
      <c r="H1221" s="5">
        <v>20</v>
      </c>
      <c r="I1221" s="5">
        <v>20</v>
      </c>
      <c r="J1221" s="5">
        <v>20</v>
      </c>
      <c r="K1221" s="4" t="s">
        <v>105</v>
      </c>
      <c r="L1221" s="4" t="s">
        <v>106</v>
      </c>
      <c r="M1221" s="6">
        <f>IF(OR(B1221="",I1221=""),"",B1221*I1221)</f>
        <v>116</v>
      </c>
      <c r="N1221" s="10" t="s">
        <v>10</v>
      </c>
      <c r="O1221" s="9"/>
      <c r="P1221" s="9"/>
      <c r="Q1221" s="22"/>
      <c r="R1221" s="22"/>
      <c r="S1221" s="23" t="str">
        <f>IF(AND(ISNUMBER(Q1221),Q1221&gt;0,ISNUMBER(R1221),R1221&gt;0),R1221/Q1221,"")</f>
        <v/>
      </c>
      <c r="T1221" s="9"/>
      <c r="U1221" s="9"/>
      <c r="V1221" s="9"/>
      <c r="W1221" s="9"/>
      <c r="X1221" s="23">
        <f>IF(ISNUMBER(S1221),S1221,IF(ISNUMBER(I1221),I1221,""))</f>
        <v>20</v>
      </c>
      <c r="Y1221" t="str">
        <f>IF(ISNUMBER(S1221),"2025 EIA-923 plant/group proxy",IF(ISNUMBER(I1221),"Technology estimate","No thermal heat rate"))</f>
        <v>Technology estimate</v>
      </c>
      <c r="Z1221" t="str">
        <f>IF(ISNUMBER(S1221),"Review: NOT unit verified",IF(AE1221="No match","No EIA match",IF(AF1221="Unconfirmed","Unconfirmed EIA candidate","")))</f>
        <v>No EIA match</v>
      </c>
      <c r="AE1221" t="s">
        <v>107</v>
      </c>
      <c r="AG1221" s="24">
        <f>IF(ISBLANK(S1221),S1221,I1221)</f>
        <v>20</v>
      </c>
      <c r="AH1221" s="34">
        <f t="shared" si="44"/>
        <v>182112.59999999989</v>
      </c>
      <c r="AI1221">
        <f t="shared" si="43"/>
        <v>113726.12999491715</v>
      </c>
      <c r="AJ1221" t="b" cm="1">
        <f t="array" ref="AJ1221">OR(D1221=$AT$2:$AT$8)</f>
        <v>1</v>
      </c>
    </row>
    <row r="1222" spans="1:36" x14ac:dyDescent="0.25">
      <c r="A1222" s="2" t="s">
        <v>716</v>
      </c>
      <c r="B1222" s="3">
        <v>17</v>
      </c>
      <c r="C1222" s="2" t="s">
        <v>432</v>
      </c>
      <c r="D1222" s="2" t="s">
        <v>58</v>
      </c>
      <c r="E1222" s="2" t="s">
        <v>102</v>
      </c>
      <c r="F1222" s="4" t="s">
        <v>103</v>
      </c>
      <c r="G1222" s="4" t="s">
        <v>104</v>
      </c>
      <c r="H1222" s="5">
        <v>20</v>
      </c>
      <c r="I1222" s="5">
        <v>20</v>
      </c>
      <c r="J1222" s="5">
        <v>20</v>
      </c>
      <c r="K1222" s="4" t="s">
        <v>105</v>
      </c>
      <c r="L1222" s="4" t="s">
        <v>106</v>
      </c>
      <c r="M1222" s="6">
        <f>IF(OR(B1222="",I1222=""),"",B1222*I1222)</f>
        <v>340</v>
      </c>
      <c r="N1222" s="10" t="s">
        <v>10</v>
      </c>
      <c r="O1222" s="9"/>
      <c r="P1222" s="9"/>
      <c r="Q1222" s="22"/>
      <c r="R1222" s="22"/>
      <c r="S1222" s="23" t="str">
        <f>IF(AND(ISNUMBER(Q1222),Q1222&gt;0,ISNUMBER(R1222),R1222&gt;0),R1222/Q1222,"")</f>
        <v/>
      </c>
      <c r="T1222" s="9"/>
      <c r="U1222" s="9"/>
      <c r="V1222" s="9"/>
      <c r="W1222" s="9"/>
      <c r="X1222" s="23">
        <f>IF(ISNUMBER(S1222),S1222,IF(ISNUMBER(I1222),I1222,""))</f>
        <v>20</v>
      </c>
      <c r="Y1222" t="str">
        <f>IF(ISNUMBER(S1222),"2025 EIA-923 plant/group proxy",IF(ISNUMBER(I1222),"Technology estimate","No thermal heat rate"))</f>
        <v>Technology estimate</v>
      </c>
      <c r="Z1222" t="str">
        <f>IF(ISNUMBER(S1222),"Review: NOT unit verified",IF(AE1222="No match","No EIA match",IF(AF1222="Unconfirmed","Unconfirmed EIA candidate","")))</f>
        <v>No EIA match</v>
      </c>
      <c r="AE1222" t="s">
        <v>107</v>
      </c>
      <c r="AG1222" s="24">
        <f>IF(ISBLANK(S1222),S1222,I1222)</f>
        <v>20</v>
      </c>
      <c r="AH1222" s="34">
        <f t="shared" si="44"/>
        <v>182129.59999999989</v>
      </c>
      <c r="AI1222">
        <f t="shared" si="43"/>
        <v>113736.74619725523</v>
      </c>
      <c r="AJ1222" t="b" cm="1">
        <f t="array" ref="AJ1222">OR(D1222=$AT$2:$AT$8)</f>
        <v>0</v>
      </c>
    </row>
    <row r="1223" spans="1:36" x14ac:dyDescent="0.25">
      <c r="A1223" s="2" t="s">
        <v>717</v>
      </c>
      <c r="B1223" s="3">
        <v>17</v>
      </c>
      <c r="C1223" s="2" t="s">
        <v>432</v>
      </c>
      <c r="D1223" s="2" t="s">
        <v>58</v>
      </c>
      <c r="E1223" s="2" t="s">
        <v>102</v>
      </c>
      <c r="F1223" s="4" t="s">
        <v>103</v>
      </c>
      <c r="G1223" s="4" t="s">
        <v>104</v>
      </c>
      <c r="H1223" s="5">
        <v>20</v>
      </c>
      <c r="I1223" s="5">
        <v>20</v>
      </c>
      <c r="J1223" s="5">
        <v>20</v>
      </c>
      <c r="K1223" s="4" t="s">
        <v>105</v>
      </c>
      <c r="L1223" s="4" t="s">
        <v>106</v>
      </c>
      <c r="M1223" s="6">
        <f>IF(OR(B1223="",I1223=""),"",B1223*I1223)</f>
        <v>340</v>
      </c>
      <c r="N1223" s="10" t="s">
        <v>10</v>
      </c>
      <c r="O1223" s="9"/>
      <c r="P1223" s="9"/>
      <c r="Q1223" s="22"/>
      <c r="R1223" s="22"/>
      <c r="S1223" s="23" t="str">
        <f>IF(AND(ISNUMBER(Q1223),Q1223&gt;0,ISNUMBER(R1223),R1223&gt;0),R1223/Q1223,"")</f>
        <v/>
      </c>
      <c r="T1223" s="9"/>
      <c r="U1223" s="9"/>
      <c r="V1223" s="9"/>
      <c r="W1223" s="9"/>
      <c r="X1223" s="23">
        <f>IF(ISNUMBER(S1223),S1223,IF(ISNUMBER(I1223),I1223,""))</f>
        <v>20</v>
      </c>
      <c r="Y1223" t="str">
        <f>IF(ISNUMBER(S1223),"2025 EIA-923 plant/group proxy",IF(ISNUMBER(I1223),"Technology estimate","No thermal heat rate"))</f>
        <v>Technology estimate</v>
      </c>
      <c r="Z1223" t="str">
        <f>IF(ISNUMBER(S1223),"Review: NOT unit verified",IF(AE1223="No match","No EIA match",IF(AF1223="Unconfirmed","Unconfirmed EIA candidate","")))</f>
        <v>No EIA match</v>
      </c>
      <c r="AE1223" t="s">
        <v>107</v>
      </c>
      <c r="AG1223" s="24">
        <f>IF(ISBLANK(S1223),S1223,I1223)</f>
        <v>20</v>
      </c>
      <c r="AH1223" s="34">
        <f t="shared" si="44"/>
        <v>182146.59999999989</v>
      </c>
      <c r="AI1223">
        <f t="shared" si="43"/>
        <v>113747.36239959332</v>
      </c>
      <c r="AJ1223" t="b" cm="1">
        <f t="array" ref="AJ1223">OR(D1223=$AT$2:$AT$8)</f>
        <v>0</v>
      </c>
    </row>
    <row r="1224" spans="1:36" x14ac:dyDescent="0.25">
      <c r="A1224" s="2" t="s">
        <v>718</v>
      </c>
      <c r="B1224" s="3">
        <v>17</v>
      </c>
      <c r="C1224" s="2" t="s">
        <v>432</v>
      </c>
      <c r="D1224" s="2" t="s">
        <v>58</v>
      </c>
      <c r="E1224" s="2" t="s">
        <v>102</v>
      </c>
      <c r="F1224" s="4" t="s">
        <v>103</v>
      </c>
      <c r="G1224" s="4" t="s">
        <v>104</v>
      </c>
      <c r="H1224" s="5">
        <v>20</v>
      </c>
      <c r="I1224" s="5">
        <v>20</v>
      </c>
      <c r="J1224" s="5">
        <v>20</v>
      </c>
      <c r="K1224" s="4" t="s">
        <v>105</v>
      </c>
      <c r="L1224" s="4" t="s">
        <v>106</v>
      </c>
      <c r="M1224" s="6">
        <f>IF(OR(B1224="",I1224=""),"",B1224*I1224)</f>
        <v>340</v>
      </c>
      <c r="N1224" s="10" t="s">
        <v>10</v>
      </c>
      <c r="O1224" s="9"/>
      <c r="P1224" s="9"/>
      <c r="Q1224" s="22"/>
      <c r="R1224" s="22"/>
      <c r="S1224" s="23" t="str">
        <f>IF(AND(ISNUMBER(Q1224),Q1224&gt;0,ISNUMBER(R1224),R1224&gt;0),R1224/Q1224,"")</f>
        <v/>
      </c>
      <c r="T1224" s="9"/>
      <c r="U1224" s="9"/>
      <c r="V1224" s="9"/>
      <c r="W1224" s="9"/>
      <c r="X1224" s="23">
        <f>IF(ISNUMBER(S1224),S1224,IF(ISNUMBER(I1224),I1224,""))</f>
        <v>20</v>
      </c>
      <c r="Y1224" t="str">
        <f>IF(ISNUMBER(S1224),"2025 EIA-923 plant/group proxy",IF(ISNUMBER(I1224),"Technology estimate","No thermal heat rate"))</f>
        <v>Technology estimate</v>
      </c>
      <c r="Z1224" t="str">
        <f>IF(ISNUMBER(S1224),"Review: NOT unit verified",IF(AE1224="No match","No EIA match",IF(AF1224="Unconfirmed","Unconfirmed EIA candidate","")))</f>
        <v>No EIA match</v>
      </c>
      <c r="AE1224" t="s">
        <v>107</v>
      </c>
      <c r="AG1224" s="24">
        <f>IF(ISBLANK(S1224),S1224,I1224)</f>
        <v>20</v>
      </c>
      <c r="AH1224" s="34">
        <f t="shared" si="44"/>
        <v>182163.59999999989</v>
      </c>
      <c r="AI1224">
        <f t="shared" si="43"/>
        <v>113757.97860193139</v>
      </c>
      <c r="AJ1224" t="b" cm="1">
        <f t="array" ref="AJ1224">OR(D1224=$AT$2:$AT$8)</f>
        <v>0</v>
      </c>
    </row>
    <row r="1225" spans="1:36" x14ac:dyDescent="0.25">
      <c r="A1225" s="2" t="s">
        <v>725</v>
      </c>
      <c r="B1225" s="3">
        <v>49.1</v>
      </c>
      <c r="C1225" s="2" t="s">
        <v>97</v>
      </c>
      <c r="D1225" s="2" t="s">
        <v>97</v>
      </c>
      <c r="E1225" s="2" t="s">
        <v>102</v>
      </c>
      <c r="F1225" s="4" t="s">
        <v>103</v>
      </c>
      <c r="G1225" s="4" t="s">
        <v>104</v>
      </c>
      <c r="H1225" s="5">
        <v>20</v>
      </c>
      <c r="I1225" s="5">
        <v>20</v>
      </c>
      <c r="J1225" s="5">
        <v>20</v>
      </c>
      <c r="K1225" s="4" t="s">
        <v>105</v>
      </c>
      <c r="L1225" s="4" t="s">
        <v>106</v>
      </c>
      <c r="M1225" s="6">
        <f>IF(OR(B1225="",I1225=""),"",B1225*I1225)</f>
        <v>982</v>
      </c>
      <c r="N1225" s="10" t="s">
        <v>10</v>
      </c>
      <c r="O1225" s="9"/>
      <c r="P1225" s="9"/>
      <c r="Q1225" s="22"/>
      <c r="R1225" s="22"/>
      <c r="S1225" s="23" t="str">
        <f>IF(AND(ISNUMBER(Q1225),Q1225&gt;0,ISNUMBER(R1225),R1225&gt;0),R1225/Q1225,"")</f>
        <v/>
      </c>
      <c r="T1225" s="9"/>
      <c r="U1225" s="9"/>
      <c r="V1225" s="9"/>
      <c r="W1225" s="9"/>
      <c r="X1225" s="23">
        <f>IF(ISNUMBER(S1225),S1225,IF(ISNUMBER(I1225),I1225,""))</f>
        <v>20</v>
      </c>
      <c r="Y1225" t="str">
        <f>IF(ISNUMBER(S1225),"2025 EIA-923 plant/group proxy",IF(ISNUMBER(I1225),"Technology estimate","No thermal heat rate"))</f>
        <v>Technology estimate</v>
      </c>
      <c r="Z1225" t="str">
        <f>IF(ISNUMBER(S1225),"Review: NOT unit verified",IF(AE1225="No match","No EIA match",IF(AF1225="Unconfirmed","Unconfirmed EIA candidate","")))</f>
        <v>No EIA match</v>
      </c>
      <c r="AE1225" t="s">
        <v>107</v>
      </c>
      <c r="AG1225" s="24">
        <f>IF(ISBLANK(S1225),S1225,I1225)</f>
        <v>20</v>
      </c>
      <c r="AH1225" s="34">
        <f t="shared" si="44"/>
        <v>182212.6999999999</v>
      </c>
      <c r="AI1225">
        <f t="shared" si="43"/>
        <v>113788.64069221372</v>
      </c>
      <c r="AJ1225" t="b" cm="1">
        <f t="array" ref="AJ1225">OR(D1225=$AT$2:$AT$8)</f>
        <v>0</v>
      </c>
    </row>
    <row r="1226" spans="1:36" x14ac:dyDescent="0.25">
      <c r="A1226" s="2" t="s">
        <v>726</v>
      </c>
      <c r="B1226" s="3">
        <v>50.8</v>
      </c>
      <c r="C1226" s="2" t="s">
        <v>97</v>
      </c>
      <c r="D1226" s="2" t="s">
        <v>97</v>
      </c>
      <c r="E1226" s="2" t="s">
        <v>102</v>
      </c>
      <c r="F1226" s="4" t="s">
        <v>103</v>
      </c>
      <c r="G1226" s="4" t="s">
        <v>104</v>
      </c>
      <c r="H1226" s="5">
        <v>20</v>
      </c>
      <c r="I1226" s="5">
        <v>20</v>
      </c>
      <c r="J1226" s="5">
        <v>20</v>
      </c>
      <c r="K1226" s="4" t="s">
        <v>105</v>
      </c>
      <c r="L1226" s="4" t="s">
        <v>106</v>
      </c>
      <c r="M1226" s="6">
        <f>IF(OR(B1226="",I1226=""),"",B1226*I1226)</f>
        <v>1016</v>
      </c>
      <c r="N1226" s="10" t="s">
        <v>10</v>
      </c>
      <c r="O1226" s="9"/>
      <c r="P1226" s="9"/>
      <c r="Q1226" s="22"/>
      <c r="R1226" s="22"/>
      <c r="S1226" s="23" t="str">
        <f>IF(AND(ISNUMBER(Q1226),Q1226&gt;0,ISNUMBER(R1226),R1226&gt;0),R1226/Q1226,"")</f>
        <v/>
      </c>
      <c r="T1226" s="9"/>
      <c r="U1226" s="9"/>
      <c r="V1226" s="9"/>
      <c r="W1226" s="9"/>
      <c r="X1226" s="23">
        <f>IF(ISNUMBER(S1226),S1226,IF(ISNUMBER(I1226),I1226,""))</f>
        <v>20</v>
      </c>
      <c r="Y1226" t="str">
        <f>IF(ISNUMBER(S1226),"2025 EIA-923 plant/group proxy",IF(ISNUMBER(I1226),"Technology estimate","No thermal heat rate"))</f>
        <v>Technology estimate</v>
      </c>
      <c r="Z1226" t="str">
        <f>IF(ISNUMBER(S1226),"Review: NOT unit verified",IF(AE1226="No match","No EIA match",IF(AF1226="Unconfirmed","Unconfirmed EIA candidate","")))</f>
        <v>No EIA match</v>
      </c>
      <c r="AE1226" t="s">
        <v>107</v>
      </c>
      <c r="AG1226" s="24">
        <f>IF(ISBLANK(S1226),S1226,I1226)</f>
        <v>20</v>
      </c>
      <c r="AH1226" s="34">
        <f t="shared" si="44"/>
        <v>182263.49999999988</v>
      </c>
      <c r="AI1226">
        <f t="shared" si="43"/>
        <v>113820.36440272986</v>
      </c>
      <c r="AJ1226" t="b" cm="1">
        <f t="array" ref="AJ1226">OR(D1226=$AT$2:$AT$8)</f>
        <v>0</v>
      </c>
    </row>
    <row r="1227" spans="1:36" x14ac:dyDescent="0.25">
      <c r="A1227" s="2" t="s">
        <v>727</v>
      </c>
      <c r="B1227" s="3">
        <v>47.9</v>
      </c>
      <c r="C1227" s="2" t="s">
        <v>97</v>
      </c>
      <c r="D1227" s="2" t="s">
        <v>97</v>
      </c>
      <c r="E1227" s="2" t="s">
        <v>102</v>
      </c>
      <c r="F1227" s="4" t="s">
        <v>103</v>
      </c>
      <c r="G1227" s="4" t="s">
        <v>104</v>
      </c>
      <c r="H1227" s="5">
        <v>20</v>
      </c>
      <c r="I1227" s="5">
        <v>20</v>
      </c>
      <c r="J1227" s="5">
        <v>20</v>
      </c>
      <c r="K1227" s="4" t="s">
        <v>105</v>
      </c>
      <c r="L1227" s="4" t="s">
        <v>106</v>
      </c>
      <c r="M1227" s="6">
        <f>IF(OR(B1227="",I1227=""),"",B1227*I1227)</f>
        <v>958</v>
      </c>
      <c r="N1227" s="10" t="s">
        <v>10</v>
      </c>
      <c r="O1227" s="9"/>
      <c r="P1227" s="9"/>
      <c r="Q1227" s="22"/>
      <c r="R1227" s="22"/>
      <c r="S1227" s="23" t="str">
        <f>IF(AND(ISNUMBER(Q1227),Q1227&gt;0,ISNUMBER(R1227),R1227&gt;0),R1227/Q1227,"")</f>
        <v/>
      </c>
      <c r="T1227" s="9"/>
      <c r="U1227" s="9"/>
      <c r="V1227" s="9"/>
      <c r="W1227" s="9"/>
      <c r="X1227" s="23">
        <f>IF(ISNUMBER(S1227),S1227,IF(ISNUMBER(I1227),I1227,""))</f>
        <v>20</v>
      </c>
      <c r="Y1227" t="str">
        <f>IF(ISNUMBER(S1227),"2025 EIA-923 plant/group proxy",IF(ISNUMBER(I1227),"Technology estimate","No thermal heat rate"))</f>
        <v>Technology estimate</v>
      </c>
      <c r="Z1227" t="str">
        <f>IF(ISNUMBER(S1227),"Review: NOT unit verified",IF(AE1227="No match","No EIA match",IF(AF1227="Unconfirmed","Unconfirmed EIA candidate","")))</f>
        <v>No EIA match</v>
      </c>
      <c r="AE1227" t="s">
        <v>107</v>
      </c>
      <c r="AG1227" s="24">
        <f>IF(ISBLANK(S1227),S1227,I1227)</f>
        <v>20</v>
      </c>
      <c r="AH1227" s="34">
        <f t="shared" si="44"/>
        <v>182311.39999999988</v>
      </c>
      <c r="AI1227">
        <f t="shared" si="43"/>
        <v>113850.27711402361</v>
      </c>
      <c r="AJ1227" t="b" cm="1">
        <f t="array" ref="AJ1227">OR(D1227=$AT$2:$AT$8)</f>
        <v>0</v>
      </c>
    </row>
    <row r="1228" spans="1:36" x14ac:dyDescent="0.25">
      <c r="A1228" s="2" t="s">
        <v>728</v>
      </c>
      <c r="B1228" s="3">
        <v>22.9</v>
      </c>
      <c r="C1228" s="2" t="s">
        <v>97</v>
      </c>
      <c r="D1228" s="2" t="s">
        <v>97</v>
      </c>
      <c r="E1228" s="2" t="s">
        <v>102</v>
      </c>
      <c r="F1228" s="4" t="s">
        <v>103</v>
      </c>
      <c r="G1228" s="4" t="s">
        <v>104</v>
      </c>
      <c r="H1228" s="5">
        <v>20</v>
      </c>
      <c r="I1228" s="5">
        <v>20</v>
      </c>
      <c r="J1228" s="5">
        <v>20</v>
      </c>
      <c r="K1228" s="4" t="s">
        <v>105</v>
      </c>
      <c r="L1228" s="4" t="s">
        <v>106</v>
      </c>
      <c r="M1228" s="6">
        <f>IF(OR(B1228="",I1228=""),"",B1228*I1228)</f>
        <v>458</v>
      </c>
      <c r="N1228" s="10" t="s">
        <v>10</v>
      </c>
      <c r="O1228" s="9"/>
      <c r="P1228" s="9"/>
      <c r="Q1228" s="22"/>
      <c r="R1228" s="22"/>
      <c r="S1228" s="23" t="str">
        <f>IF(AND(ISNUMBER(Q1228),Q1228&gt;0,ISNUMBER(R1228),R1228&gt;0),R1228/Q1228,"")</f>
        <v/>
      </c>
      <c r="T1228" s="9"/>
      <c r="U1228" s="9"/>
      <c r="V1228" s="9"/>
      <c r="W1228" s="9"/>
      <c r="X1228" s="23">
        <f>IF(ISNUMBER(S1228),S1228,IF(ISNUMBER(I1228),I1228,""))</f>
        <v>20</v>
      </c>
      <c r="Y1228" t="str">
        <f>IF(ISNUMBER(S1228),"2025 EIA-923 plant/group proxy",IF(ISNUMBER(I1228),"Technology estimate","No thermal heat rate"))</f>
        <v>Technology estimate</v>
      </c>
      <c r="Z1228" t="str">
        <f>IF(ISNUMBER(S1228),"Review: NOT unit verified",IF(AE1228="No match","No EIA match",IF(AF1228="Unconfirmed","Unconfirmed EIA candidate","")))</f>
        <v>No EIA match</v>
      </c>
      <c r="AE1228" t="s">
        <v>107</v>
      </c>
      <c r="AG1228" s="24">
        <f>IF(ISBLANK(S1228),S1228,I1228)</f>
        <v>20</v>
      </c>
      <c r="AH1228" s="34">
        <f t="shared" si="44"/>
        <v>182334.29999999987</v>
      </c>
      <c r="AI1228">
        <f t="shared" si="43"/>
        <v>113864.57776305549</v>
      </c>
      <c r="AJ1228" t="b" cm="1">
        <f t="array" ref="AJ1228">OR(D1228=$AT$2:$AT$8)</f>
        <v>0</v>
      </c>
    </row>
    <row r="1229" spans="1:36" x14ac:dyDescent="0.25">
      <c r="A1229" s="2" t="s">
        <v>839</v>
      </c>
      <c r="B1229" s="3">
        <v>28</v>
      </c>
      <c r="C1229" s="2" t="s">
        <v>78</v>
      </c>
      <c r="D1229" s="2" t="s">
        <v>78</v>
      </c>
      <c r="E1229" s="2" t="s">
        <v>102</v>
      </c>
      <c r="F1229" s="4" t="s">
        <v>103</v>
      </c>
      <c r="G1229" s="4" t="s">
        <v>104</v>
      </c>
      <c r="H1229" s="5">
        <v>20</v>
      </c>
      <c r="I1229" s="5">
        <v>20</v>
      </c>
      <c r="J1229" s="5">
        <v>20</v>
      </c>
      <c r="K1229" s="4" t="s">
        <v>105</v>
      </c>
      <c r="L1229" s="4" t="s">
        <v>106</v>
      </c>
      <c r="M1229" s="6">
        <f>IF(OR(B1229="",I1229=""),"",B1229*I1229)</f>
        <v>560</v>
      </c>
      <c r="N1229" s="10" t="s">
        <v>10</v>
      </c>
      <c r="O1229" s="9"/>
      <c r="P1229" s="9"/>
      <c r="Q1229" s="22"/>
      <c r="R1229" s="22"/>
      <c r="S1229" s="23" t="str">
        <f>IF(AND(ISNUMBER(Q1229),Q1229&gt;0,ISNUMBER(R1229),R1229&gt;0),R1229/Q1229,"")</f>
        <v/>
      </c>
      <c r="T1229" s="9"/>
      <c r="U1229" s="9"/>
      <c r="V1229" s="9"/>
      <c r="W1229" s="9"/>
      <c r="X1229" s="23">
        <f>IF(ISNUMBER(S1229),S1229,IF(ISNUMBER(I1229),I1229,""))</f>
        <v>20</v>
      </c>
      <c r="Y1229" t="str">
        <f>IF(ISNUMBER(S1229),"2025 EIA-923 plant/group proxy",IF(ISNUMBER(I1229),"Technology estimate","No thermal heat rate"))</f>
        <v>Technology estimate</v>
      </c>
      <c r="Z1229" t="str">
        <f>IF(ISNUMBER(S1229),"Review: NOT unit verified",IF(AE1229="No match","No EIA match",IF(AF1229="Unconfirmed","Unconfirmed EIA candidate","")))</f>
        <v>No EIA match</v>
      </c>
      <c r="AE1229" t="s">
        <v>107</v>
      </c>
      <c r="AG1229" s="24">
        <f>IF(ISBLANK(S1229),S1229,I1229)</f>
        <v>20</v>
      </c>
      <c r="AH1229" s="34">
        <f t="shared" si="44"/>
        <v>182362.29999999987</v>
      </c>
      <c r="AI1229">
        <f t="shared" si="43"/>
        <v>113882.0632727888</v>
      </c>
      <c r="AJ1229" t="b" cm="1">
        <f t="array" ref="AJ1229">OR(D1229=$AT$2:$AT$8)</f>
        <v>1</v>
      </c>
    </row>
    <row r="1230" spans="1:36" x14ac:dyDescent="0.25">
      <c r="A1230" s="2" t="s">
        <v>870</v>
      </c>
      <c r="B1230" s="3">
        <v>20</v>
      </c>
      <c r="C1230" s="2" t="s">
        <v>75</v>
      </c>
      <c r="D1230" s="2" t="s">
        <v>76</v>
      </c>
      <c r="E1230" s="2" t="s">
        <v>102</v>
      </c>
      <c r="F1230" s="4" t="s">
        <v>103</v>
      </c>
      <c r="G1230" s="4" t="s">
        <v>104</v>
      </c>
      <c r="H1230" s="5">
        <v>20</v>
      </c>
      <c r="I1230" s="5">
        <v>20</v>
      </c>
      <c r="J1230" s="5">
        <v>20</v>
      </c>
      <c r="K1230" s="4" t="s">
        <v>105</v>
      </c>
      <c r="L1230" s="4" t="s">
        <v>106</v>
      </c>
      <c r="M1230" s="6">
        <f>IF(OR(B1230="",I1230=""),"",B1230*I1230)</f>
        <v>400</v>
      </c>
      <c r="N1230" s="10" t="s">
        <v>10</v>
      </c>
      <c r="O1230" s="9"/>
      <c r="P1230" s="9"/>
      <c r="Q1230" s="22"/>
      <c r="R1230" s="22"/>
      <c r="S1230" s="23" t="str">
        <f>IF(AND(ISNUMBER(Q1230),Q1230&gt;0,ISNUMBER(R1230),R1230&gt;0),R1230/Q1230,"")</f>
        <v/>
      </c>
      <c r="T1230" s="9"/>
      <c r="U1230" s="9"/>
      <c r="V1230" s="9"/>
      <c r="W1230" s="9"/>
      <c r="X1230" s="23">
        <f>IF(ISNUMBER(S1230),S1230,IF(ISNUMBER(I1230),I1230,""))</f>
        <v>20</v>
      </c>
      <c r="Y1230" t="str">
        <f>IF(ISNUMBER(S1230),"2025 EIA-923 plant/group proxy",IF(ISNUMBER(I1230),"Technology estimate","No thermal heat rate"))</f>
        <v>Technology estimate</v>
      </c>
      <c r="Z1230" t="str">
        <f>IF(ISNUMBER(S1230),"Review: NOT unit verified",IF(AE1230="No match","No EIA match",IF(AF1230="Unconfirmed","Unconfirmed EIA candidate","")))</f>
        <v>No EIA match</v>
      </c>
      <c r="AE1230" t="s">
        <v>107</v>
      </c>
      <c r="AG1230" s="24">
        <f>IF(ISBLANK(S1230),S1230,I1230)</f>
        <v>20</v>
      </c>
      <c r="AH1230" s="34">
        <f t="shared" si="44"/>
        <v>182382.29999999987</v>
      </c>
      <c r="AI1230">
        <f t="shared" si="43"/>
        <v>113894.5529225983</v>
      </c>
      <c r="AJ1230" t="b" cm="1">
        <f t="array" ref="AJ1230">OR(D1230=$AT$2:$AT$8)</f>
        <v>0</v>
      </c>
    </row>
    <row r="1231" spans="1:36" x14ac:dyDescent="0.25">
      <c r="A1231" s="2" t="s">
        <v>921</v>
      </c>
      <c r="B1231" s="3">
        <v>3.8</v>
      </c>
      <c r="C1231" s="2" t="s">
        <v>78</v>
      </c>
      <c r="D1231" s="2" t="s">
        <v>78</v>
      </c>
      <c r="E1231" s="2" t="s">
        <v>102</v>
      </c>
      <c r="F1231" s="4" t="s">
        <v>103</v>
      </c>
      <c r="G1231" s="4" t="s">
        <v>104</v>
      </c>
      <c r="H1231" s="5">
        <v>20</v>
      </c>
      <c r="I1231" s="5">
        <v>20</v>
      </c>
      <c r="J1231" s="5">
        <v>20</v>
      </c>
      <c r="K1231" s="4" t="s">
        <v>105</v>
      </c>
      <c r="L1231" s="4" t="s">
        <v>106</v>
      </c>
      <c r="M1231" s="6">
        <f>IF(OR(B1231="",I1231=""),"",B1231*I1231)</f>
        <v>76</v>
      </c>
      <c r="N1231" s="10" t="s">
        <v>10</v>
      </c>
      <c r="O1231" s="9"/>
      <c r="P1231" s="9"/>
      <c r="Q1231" s="22"/>
      <c r="R1231" s="22"/>
      <c r="S1231" s="23" t="str">
        <f>IF(AND(ISNUMBER(Q1231),Q1231&gt;0,ISNUMBER(R1231),R1231&gt;0),R1231/Q1231,"")</f>
        <v/>
      </c>
      <c r="T1231" s="9"/>
      <c r="U1231" s="9"/>
      <c r="V1231" s="9"/>
      <c r="W1231" s="9"/>
      <c r="X1231" s="23">
        <f>IF(ISNUMBER(S1231),S1231,IF(ISNUMBER(I1231),I1231,""))</f>
        <v>20</v>
      </c>
      <c r="Y1231" t="str">
        <f>IF(ISNUMBER(S1231),"2025 EIA-923 plant/group proxy",IF(ISNUMBER(I1231),"Technology estimate","No thermal heat rate"))</f>
        <v>Technology estimate</v>
      </c>
      <c r="Z1231" t="str">
        <f>IF(ISNUMBER(S1231),"Review: NOT unit verified",IF(AE1231="No match","No EIA match",IF(AF1231="Unconfirmed","Unconfirmed EIA candidate","")))</f>
        <v>No EIA match</v>
      </c>
      <c r="AE1231" t="s">
        <v>107</v>
      </c>
      <c r="AG1231" s="24">
        <f>IF(ISBLANK(S1231),S1231,I1231)</f>
        <v>20</v>
      </c>
      <c r="AH1231" s="34">
        <f t="shared" si="44"/>
        <v>182386.09999999986</v>
      </c>
      <c r="AI1231">
        <f t="shared" si="43"/>
        <v>113896.92595606211</v>
      </c>
      <c r="AJ1231" t="b" cm="1">
        <f t="array" ref="AJ1231">OR(D1231=$AT$2:$AT$8)</f>
        <v>1</v>
      </c>
    </row>
    <row r="1232" spans="1:36" x14ac:dyDescent="0.25">
      <c r="A1232" s="2" t="s">
        <v>969</v>
      </c>
      <c r="B1232" s="3">
        <v>16.100000000000001</v>
      </c>
      <c r="C1232" s="2" t="s">
        <v>68</v>
      </c>
      <c r="D1232" s="2" t="s">
        <v>69</v>
      </c>
      <c r="E1232" s="2" t="s">
        <v>102</v>
      </c>
      <c r="F1232" s="4" t="s">
        <v>103</v>
      </c>
      <c r="G1232" s="4" t="s">
        <v>104</v>
      </c>
      <c r="H1232" s="5">
        <v>20</v>
      </c>
      <c r="I1232" s="5">
        <v>20</v>
      </c>
      <c r="J1232" s="5">
        <v>20</v>
      </c>
      <c r="K1232" s="4" t="s">
        <v>105</v>
      </c>
      <c r="L1232" s="4" t="s">
        <v>106</v>
      </c>
      <c r="M1232" s="6">
        <f>IF(OR(B1232="",I1232=""),"",B1232*I1232)</f>
        <v>322</v>
      </c>
      <c r="N1232" s="10" t="s">
        <v>10</v>
      </c>
      <c r="O1232" s="9"/>
      <c r="P1232" s="9"/>
      <c r="Q1232" s="22"/>
      <c r="R1232" s="22"/>
      <c r="S1232" s="23" t="str">
        <f>IF(AND(ISNUMBER(Q1232),Q1232&gt;0,ISNUMBER(R1232),R1232&gt;0),R1232/Q1232,"")</f>
        <v/>
      </c>
      <c r="T1232" s="9"/>
      <c r="U1232" s="9"/>
      <c r="V1232" s="9"/>
      <c r="W1232" s="9"/>
      <c r="X1232" s="23">
        <f>IF(ISNUMBER(S1232),S1232,IF(ISNUMBER(I1232),I1232,""))</f>
        <v>20</v>
      </c>
      <c r="Y1232" t="str">
        <f>IF(ISNUMBER(S1232),"2025 EIA-923 plant/group proxy",IF(ISNUMBER(I1232),"Technology estimate","No thermal heat rate"))</f>
        <v>Technology estimate</v>
      </c>
      <c r="Z1232" t="str">
        <f>IF(ISNUMBER(S1232),"Review: NOT unit verified",IF(AE1232="No match","No EIA match",IF(AF1232="Unconfirmed","Unconfirmed EIA candidate","")))</f>
        <v>No EIA match</v>
      </c>
      <c r="AE1232" t="s">
        <v>107</v>
      </c>
      <c r="AG1232" s="24">
        <f>IF(ISBLANK(S1232),S1232,I1232)</f>
        <v>20</v>
      </c>
      <c r="AH1232" s="34">
        <f t="shared" si="44"/>
        <v>182402.19999999987</v>
      </c>
      <c r="AI1232">
        <f t="shared" si="43"/>
        <v>113906.98012415876</v>
      </c>
      <c r="AJ1232" t="b" cm="1">
        <f t="array" ref="AJ1232">OR(D1232=$AT$2:$AT$8)</f>
        <v>0</v>
      </c>
    </row>
    <row r="1233" spans="1:36" x14ac:dyDescent="0.25">
      <c r="A1233" s="2" t="s">
        <v>1022</v>
      </c>
      <c r="B1233" s="3">
        <v>11.8</v>
      </c>
      <c r="C1233" s="2" t="s">
        <v>78</v>
      </c>
      <c r="D1233" s="2" t="s">
        <v>78</v>
      </c>
      <c r="E1233" s="2" t="s">
        <v>102</v>
      </c>
      <c r="F1233" s="4" t="s">
        <v>103</v>
      </c>
      <c r="G1233" s="4" t="s">
        <v>104</v>
      </c>
      <c r="H1233" s="5">
        <v>20</v>
      </c>
      <c r="I1233" s="5">
        <v>20</v>
      </c>
      <c r="J1233" s="5">
        <v>20</v>
      </c>
      <c r="K1233" s="4" t="s">
        <v>105</v>
      </c>
      <c r="L1233" s="4" t="s">
        <v>106</v>
      </c>
      <c r="M1233" s="6">
        <f>IF(OR(B1233="",I1233=""),"",B1233*I1233)</f>
        <v>236</v>
      </c>
      <c r="N1233" s="10" t="s">
        <v>10</v>
      </c>
      <c r="O1233" s="9"/>
      <c r="P1233" s="9"/>
      <c r="Q1233" s="22"/>
      <c r="R1233" s="22"/>
      <c r="S1233" s="23" t="str">
        <f>IF(AND(ISNUMBER(Q1233),Q1233&gt;0,ISNUMBER(R1233),R1233&gt;0),R1233/Q1233,"")</f>
        <v/>
      </c>
      <c r="T1233" s="9"/>
      <c r="U1233" s="9"/>
      <c r="V1233" s="9"/>
      <c r="W1233" s="9"/>
      <c r="X1233" s="23">
        <f>IF(ISNUMBER(S1233),S1233,IF(ISNUMBER(I1233),I1233,""))</f>
        <v>20</v>
      </c>
      <c r="Y1233" t="str">
        <f>IF(ISNUMBER(S1233),"2025 EIA-923 plant/group proxy",IF(ISNUMBER(I1233),"Technology estimate","No thermal heat rate"))</f>
        <v>Technology estimate</v>
      </c>
      <c r="Z1233" t="str">
        <f>IF(ISNUMBER(S1233),"Review: NOT unit verified",IF(AE1233="No match","No EIA match",IF(AF1233="Unconfirmed","Unconfirmed EIA candidate","")))</f>
        <v>No EIA match</v>
      </c>
      <c r="AE1233" t="s">
        <v>107</v>
      </c>
      <c r="AG1233" s="24">
        <f>IF(ISBLANK(S1233),S1233,I1233)</f>
        <v>20</v>
      </c>
      <c r="AH1233" s="34">
        <f t="shared" si="44"/>
        <v>182413.99999999985</v>
      </c>
      <c r="AI1233">
        <f t="shared" si="43"/>
        <v>113914.34901754637</v>
      </c>
      <c r="AJ1233" t="b" cm="1">
        <f t="array" ref="AJ1233">OR(D1233=$AT$2:$AT$8)</f>
        <v>1</v>
      </c>
    </row>
    <row r="1234" spans="1:36" x14ac:dyDescent="0.25">
      <c r="A1234" s="2" t="s">
        <v>1125</v>
      </c>
      <c r="B1234" s="3">
        <v>12</v>
      </c>
      <c r="C1234" s="2" t="s">
        <v>78</v>
      </c>
      <c r="D1234" s="2" t="s">
        <v>78</v>
      </c>
      <c r="E1234" s="2" t="s">
        <v>102</v>
      </c>
      <c r="F1234" s="4" t="s">
        <v>103</v>
      </c>
      <c r="G1234" s="4" t="s">
        <v>104</v>
      </c>
      <c r="H1234" s="5">
        <v>20</v>
      </c>
      <c r="I1234" s="5">
        <v>20</v>
      </c>
      <c r="J1234" s="5">
        <v>20</v>
      </c>
      <c r="K1234" s="4" t="s">
        <v>105</v>
      </c>
      <c r="L1234" s="4" t="s">
        <v>106</v>
      </c>
      <c r="M1234" s="6">
        <f>IF(OR(B1234="",I1234=""),"",B1234*I1234)</f>
        <v>240</v>
      </c>
      <c r="N1234" s="10" t="s">
        <v>10</v>
      </c>
      <c r="O1234" s="9"/>
      <c r="P1234" s="9"/>
      <c r="Q1234" s="22"/>
      <c r="R1234" s="22"/>
      <c r="S1234" s="23" t="str">
        <f>IF(AND(ISNUMBER(Q1234),Q1234&gt;0,ISNUMBER(R1234),R1234&gt;0),R1234/Q1234,"")</f>
        <v/>
      </c>
      <c r="T1234" s="9"/>
      <c r="U1234" s="9"/>
      <c r="V1234" s="9"/>
      <c r="W1234" s="9"/>
      <c r="X1234" s="23">
        <f>IF(ISNUMBER(S1234),S1234,IF(ISNUMBER(I1234),I1234,""))</f>
        <v>20</v>
      </c>
      <c r="Y1234" t="str">
        <f>IF(ISNUMBER(S1234),"2025 EIA-923 plant/group proxy",IF(ISNUMBER(I1234),"Technology estimate","No thermal heat rate"))</f>
        <v>Technology estimate</v>
      </c>
      <c r="Z1234" t="str">
        <f>IF(ISNUMBER(S1234),"Review: NOT unit verified",IF(AE1234="No match","No EIA match",IF(AF1234="Unconfirmed","Unconfirmed EIA candidate","")))</f>
        <v>No EIA match</v>
      </c>
      <c r="AE1234" t="s">
        <v>107</v>
      </c>
      <c r="AG1234" s="24">
        <f>IF(ISBLANK(S1234),S1234,I1234)</f>
        <v>20</v>
      </c>
      <c r="AH1234" s="34">
        <f t="shared" si="44"/>
        <v>182425.99999999985</v>
      </c>
      <c r="AI1234">
        <f t="shared" si="43"/>
        <v>113921.84280743207</v>
      </c>
      <c r="AJ1234" t="b" cm="1">
        <f t="array" ref="AJ1234">OR(D1234=$AT$2:$AT$8)</f>
        <v>1</v>
      </c>
    </row>
    <row r="1235" spans="1:36" x14ac:dyDescent="0.25">
      <c r="A1235" s="2" t="s">
        <v>1126</v>
      </c>
      <c r="B1235" s="3">
        <v>12</v>
      </c>
      <c r="C1235" s="2" t="s">
        <v>78</v>
      </c>
      <c r="D1235" s="2" t="s">
        <v>78</v>
      </c>
      <c r="E1235" s="2" t="s">
        <v>102</v>
      </c>
      <c r="F1235" s="4" t="s">
        <v>103</v>
      </c>
      <c r="G1235" s="4" t="s">
        <v>104</v>
      </c>
      <c r="H1235" s="5">
        <v>20</v>
      </c>
      <c r="I1235" s="5">
        <v>20</v>
      </c>
      <c r="J1235" s="5">
        <v>20</v>
      </c>
      <c r="K1235" s="4" t="s">
        <v>105</v>
      </c>
      <c r="L1235" s="4" t="s">
        <v>106</v>
      </c>
      <c r="M1235" s="6">
        <f>IF(OR(B1235="",I1235=""),"",B1235*I1235)</f>
        <v>240</v>
      </c>
      <c r="N1235" s="10" t="s">
        <v>10</v>
      </c>
      <c r="O1235" s="9"/>
      <c r="P1235" s="9"/>
      <c r="Q1235" s="22"/>
      <c r="R1235" s="22"/>
      <c r="S1235" s="23" t="str">
        <f>IF(AND(ISNUMBER(Q1235),Q1235&gt;0,ISNUMBER(R1235),R1235&gt;0),R1235/Q1235,"")</f>
        <v/>
      </c>
      <c r="T1235" s="9"/>
      <c r="U1235" s="9"/>
      <c r="V1235" s="9"/>
      <c r="W1235" s="9"/>
      <c r="X1235" s="23">
        <f>IF(ISNUMBER(S1235),S1235,IF(ISNUMBER(I1235),I1235,""))</f>
        <v>20</v>
      </c>
      <c r="Y1235" t="str">
        <f>IF(ISNUMBER(S1235),"2025 EIA-923 plant/group proxy",IF(ISNUMBER(I1235),"Technology estimate","No thermal heat rate"))</f>
        <v>Technology estimate</v>
      </c>
      <c r="Z1235" t="str">
        <f>IF(ISNUMBER(S1235),"Review: NOT unit verified",IF(AE1235="No match","No EIA match",IF(AF1235="Unconfirmed","Unconfirmed EIA candidate","")))</f>
        <v>No EIA match</v>
      </c>
      <c r="AE1235" t="s">
        <v>107</v>
      </c>
      <c r="AG1235" s="24">
        <f>IF(ISBLANK(S1235),S1235,I1235)</f>
        <v>20</v>
      </c>
      <c r="AH1235" s="34">
        <f t="shared" si="44"/>
        <v>182437.99999999985</v>
      </c>
      <c r="AI1235">
        <f t="shared" si="43"/>
        <v>113929.33659731777</v>
      </c>
      <c r="AJ1235" t="b" cm="1">
        <f t="array" ref="AJ1235">OR(D1235=$AT$2:$AT$8)</f>
        <v>1</v>
      </c>
    </row>
    <row r="1236" spans="1:36" x14ac:dyDescent="0.25">
      <c r="A1236" s="2" t="s">
        <v>1127</v>
      </c>
      <c r="B1236" s="3">
        <v>12</v>
      </c>
      <c r="C1236" s="2" t="s">
        <v>78</v>
      </c>
      <c r="D1236" s="2" t="s">
        <v>78</v>
      </c>
      <c r="E1236" s="2" t="s">
        <v>102</v>
      </c>
      <c r="F1236" s="4" t="s">
        <v>103</v>
      </c>
      <c r="G1236" s="4" t="s">
        <v>104</v>
      </c>
      <c r="H1236" s="5">
        <v>20</v>
      </c>
      <c r="I1236" s="5">
        <v>20</v>
      </c>
      <c r="J1236" s="5">
        <v>20</v>
      </c>
      <c r="K1236" s="4" t="s">
        <v>105</v>
      </c>
      <c r="L1236" s="4" t="s">
        <v>106</v>
      </c>
      <c r="M1236" s="6">
        <f>IF(OR(B1236="",I1236=""),"",B1236*I1236)</f>
        <v>240</v>
      </c>
      <c r="N1236" s="10" t="s">
        <v>10</v>
      </c>
      <c r="O1236" s="9"/>
      <c r="P1236" s="9"/>
      <c r="Q1236" s="22"/>
      <c r="R1236" s="22"/>
      <c r="S1236" s="23" t="str">
        <f>IF(AND(ISNUMBER(Q1236),Q1236&gt;0,ISNUMBER(R1236),R1236&gt;0),R1236/Q1236,"")</f>
        <v/>
      </c>
      <c r="T1236" s="9"/>
      <c r="U1236" s="9"/>
      <c r="V1236" s="9"/>
      <c r="W1236" s="9"/>
      <c r="X1236" s="23">
        <f>IF(ISNUMBER(S1236),S1236,IF(ISNUMBER(I1236),I1236,""))</f>
        <v>20</v>
      </c>
      <c r="Y1236" t="str">
        <f>IF(ISNUMBER(S1236),"2025 EIA-923 plant/group proxy",IF(ISNUMBER(I1236),"Technology estimate","No thermal heat rate"))</f>
        <v>Technology estimate</v>
      </c>
      <c r="Z1236" t="str">
        <f>IF(ISNUMBER(S1236),"Review: NOT unit verified",IF(AE1236="No match","No EIA match",IF(AF1236="Unconfirmed","Unconfirmed EIA candidate","")))</f>
        <v>No EIA match</v>
      </c>
      <c r="AE1236" t="s">
        <v>107</v>
      </c>
      <c r="AG1236" s="24">
        <f>IF(ISBLANK(S1236),S1236,I1236)</f>
        <v>20</v>
      </c>
      <c r="AH1236" s="34">
        <f t="shared" si="44"/>
        <v>182449.99999999985</v>
      </c>
      <c r="AI1236">
        <f t="shared" si="43"/>
        <v>113936.83038720347</v>
      </c>
      <c r="AJ1236" t="b" cm="1">
        <f t="array" ref="AJ1236">OR(D1236=$AT$2:$AT$8)</f>
        <v>1</v>
      </c>
    </row>
    <row r="1237" spans="1:36" x14ac:dyDescent="0.25">
      <c r="A1237" s="2" t="s">
        <v>1128</v>
      </c>
      <c r="B1237" s="3">
        <v>12</v>
      </c>
      <c r="C1237" s="2" t="s">
        <v>78</v>
      </c>
      <c r="D1237" s="2" t="s">
        <v>78</v>
      </c>
      <c r="E1237" s="2" t="s">
        <v>102</v>
      </c>
      <c r="F1237" s="4" t="s">
        <v>103</v>
      </c>
      <c r="G1237" s="4" t="s">
        <v>104</v>
      </c>
      <c r="H1237" s="5">
        <v>20</v>
      </c>
      <c r="I1237" s="5">
        <v>20</v>
      </c>
      <c r="J1237" s="5">
        <v>20</v>
      </c>
      <c r="K1237" s="4" t="s">
        <v>105</v>
      </c>
      <c r="L1237" s="4" t="s">
        <v>106</v>
      </c>
      <c r="M1237" s="6">
        <f>IF(OR(B1237="",I1237=""),"",B1237*I1237)</f>
        <v>240</v>
      </c>
      <c r="N1237" s="10" t="s">
        <v>10</v>
      </c>
      <c r="O1237" s="9"/>
      <c r="P1237" s="9"/>
      <c r="Q1237" s="22"/>
      <c r="R1237" s="22"/>
      <c r="S1237" s="23" t="str">
        <f>IF(AND(ISNUMBER(Q1237),Q1237&gt;0,ISNUMBER(R1237),R1237&gt;0),R1237/Q1237,"")</f>
        <v/>
      </c>
      <c r="T1237" s="9"/>
      <c r="U1237" s="9"/>
      <c r="V1237" s="9"/>
      <c r="W1237" s="9"/>
      <c r="X1237" s="23">
        <f>IF(ISNUMBER(S1237),S1237,IF(ISNUMBER(I1237),I1237,""))</f>
        <v>20</v>
      </c>
      <c r="Y1237" t="str">
        <f>IF(ISNUMBER(S1237),"2025 EIA-923 plant/group proxy",IF(ISNUMBER(I1237),"Technology estimate","No thermal heat rate"))</f>
        <v>Technology estimate</v>
      </c>
      <c r="Z1237" t="str">
        <f>IF(ISNUMBER(S1237),"Review: NOT unit verified",IF(AE1237="No match","No EIA match",IF(AF1237="Unconfirmed","Unconfirmed EIA candidate","")))</f>
        <v>No EIA match</v>
      </c>
      <c r="AE1237" t="s">
        <v>107</v>
      </c>
      <c r="AG1237" s="24">
        <f>IF(ISBLANK(S1237),S1237,I1237)</f>
        <v>20</v>
      </c>
      <c r="AH1237" s="34">
        <f t="shared" si="44"/>
        <v>182461.99999999985</v>
      </c>
      <c r="AI1237">
        <f t="shared" si="43"/>
        <v>113944.32417708918</v>
      </c>
      <c r="AJ1237" t="b" cm="1">
        <f t="array" ref="AJ1237">OR(D1237=$AT$2:$AT$8)</f>
        <v>1</v>
      </c>
    </row>
    <row r="1238" spans="1:36" x14ac:dyDescent="0.25">
      <c r="A1238" s="2" t="s">
        <v>1169</v>
      </c>
      <c r="B1238" s="3">
        <v>12.7</v>
      </c>
      <c r="C1238" s="2" t="s">
        <v>319</v>
      </c>
      <c r="D1238" s="2" t="s">
        <v>319</v>
      </c>
      <c r="E1238" s="2" t="s">
        <v>102</v>
      </c>
      <c r="F1238" s="4" t="s">
        <v>103</v>
      </c>
      <c r="G1238" s="4" t="s">
        <v>104</v>
      </c>
      <c r="H1238" s="5">
        <v>20</v>
      </c>
      <c r="I1238" s="5">
        <v>20</v>
      </c>
      <c r="J1238" s="5">
        <v>20</v>
      </c>
      <c r="K1238" s="4" t="s">
        <v>105</v>
      </c>
      <c r="L1238" s="4" t="s">
        <v>106</v>
      </c>
      <c r="M1238" s="6">
        <f>IF(OR(B1238="",I1238=""),"",B1238*I1238)</f>
        <v>254</v>
      </c>
      <c r="N1238" s="10" t="s">
        <v>10</v>
      </c>
      <c r="O1238" s="9"/>
      <c r="P1238" s="9"/>
      <c r="Q1238" s="22"/>
      <c r="R1238" s="22"/>
      <c r="S1238" s="23" t="str">
        <f>IF(AND(ISNUMBER(Q1238),Q1238&gt;0,ISNUMBER(R1238),R1238&gt;0),R1238/Q1238,"")</f>
        <v/>
      </c>
      <c r="T1238" s="9"/>
      <c r="U1238" s="9"/>
      <c r="V1238" s="9"/>
      <c r="W1238" s="9"/>
      <c r="X1238" s="23">
        <f>IF(ISNUMBER(S1238),S1238,IF(ISNUMBER(I1238),I1238,""))</f>
        <v>20</v>
      </c>
      <c r="Y1238" t="str">
        <f>IF(ISNUMBER(S1238),"2025 EIA-923 plant/group proxy",IF(ISNUMBER(I1238),"Technology estimate","No thermal heat rate"))</f>
        <v>Technology estimate</v>
      </c>
      <c r="Z1238" t="str">
        <f>IF(ISNUMBER(S1238),"Review: NOT unit verified",IF(AE1238="No match","No EIA match",IF(AF1238="Unconfirmed","Unconfirmed EIA candidate","")))</f>
        <v>No EIA match</v>
      </c>
      <c r="AE1238" t="s">
        <v>107</v>
      </c>
      <c r="AG1238" s="24">
        <f>IF(ISBLANK(S1238),S1238,I1238)</f>
        <v>20</v>
      </c>
      <c r="AH1238" s="34">
        <f t="shared" si="44"/>
        <v>182474.69999999987</v>
      </c>
      <c r="AI1238">
        <f t="shared" si="43"/>
        <v>113952.25510471822</v>
      </c>
      <c r="AJ1238" t="b" cm="1">
        <f t="array" ref="AJ1238">OR(D1238=$AT$2:$AT$8)</f>
        <v>0</v>
      </c>
    </row>
    <row r="1239" spans="1:36" x14ac:dyDescent="0.25">
      <c r="A1239" s="2" t="s">
        <v>1170</v>
      </c>
      <c r="B1239" s="3">
        <v>12.3</v>
      </c>
      <c r="C1239" s="2" t="s">
        <v>319</v>
      </c>
      <c r="D1239" s="2" t="s">
        <v>319</v>
      </c>
      <c r="E1239" s="2" t="s">
        <v>102</v>
      </c>
      <c r="F1239" s="4" t="s">
        <v>103</v>
      </c>
      <c r="G1239" s="4" t="s">
        <v>104</v>
      </c>
      <c r="H1239" s="5">
        <v>20</v>
      </c>
      <c r="I1239" s="5">
        <v>20</v>
      </c>
      <c r="J1239" s="5">
        <v>20</v>
      </c>
      <c r="K1239" s="4" t="s">
        <v>105</v>
      </c>
      <c r="L1239" s="4" t="s">
        <v>106</v>
      </c>
      <c r="M1239" s="6">
        <f>IF(OR(B1239="",I1239=""),"",B1239*I1239)</f>
        <v>246</v>
      </c>
      <c r="N1239" s="10" t="s">
        <v>10</v>
      </c>
      <c r="O1239" s="9"/>
      <c r="P1239" s="9"/>
      <c r="Q1239" s="22"/>
      <c r="R1239" s="22"/>
      <c r="S1239" s="23" t="str">
        <f>IF(AND(ISNUMBER(Q1239),Q1239&gt;0,ISNUMBER(R1239),R1239&gt;0),R1239/Q1239,"")</f>
        <v/>
      </c>
      <c r="T1239" s="9"/>
      <c r="U1239" s="9"/>
      <c r="V1239" s="9"/>
      <c r="W1239" s="9"/>
      <c r="X1239" s="23">
        <f>IF(ISNUMBER(S1239),S1239,IF(ISNUMBER(I1239),I1239,""))</f>
        <v>20</v>
      </c>
      <c r="Y1239" t="str">
        <f>IF(ISNUMBER(S1239),"2025 EIA-923 plant/group proxy",IF(ISNUMBER(I1239),"Technology estimate","No thermal heat rate"))</f>
        <v>Technology estimate</v>
      </c>
      <c r="Z1239" t="str">
        <f>IF(ISNUMBER(S1239),"Review: NOT unit verified",IF(AE1239="No match","No EIA match",IF(AF1239="Unconfirmed","Unconfirmed EIA candidate","")))</f>
        <v>No EIA match</v>
      </c>
      <c r="AE1239" t="s">
        <v>107</v>
      </c>
      <c r="AG1239" s="24">
        <f>IF(ISBLANK(S1239),S1239,I1239)</f>
        <v>20</v>
      </c>
      <c r="AH1239" s="34">
        <f t="shared" si="44"/>
        <v>182486.99999999985</v>
      </c>
      <c r="AI1239">
        <f t="shared" si="43"/>
        <v>113959.93623935105</v>
      </c>
      <c r="AJ1239" t="b" cm="1">
        <f t="array" ref="AJ1239">OR(D1239=$AT$2:$AT$8)</f>
        <v>0</v>
      </c>
    </row>
    <row r="1240" spans="1:36" x14ac:dyDescent="0.25">
      <c r="A1240" s="2" t="s">
        <v>1171</v>
      </c>
      <c r="B1240" s="3">
        <v>13</v>
      </c>
      <c r="C1240" s="2" t="s">
        <v>319</v>
      </c>
      <c r="D1240" s="2" t="s">
        <v>319</v>
      </c>
      <c r="E1240" s="2" t="s">
        <v>102</v>
      </c>
      <c r="F1240" s="4" t="s">
        <v>103</v>
      </c>
      <c r="G1240" s="4" t="s">
        <v>104</v>
      </c>
      <c r="H1240" s="5">
        <v>20</v>
      </c>
      <c r="I1240" s="5">
        <v>20</v>
      </c>
      <c r="J1240" s="5">
        <v>20</v>
      </c>
      <c r="K1240" s="4" t="s">
        <v>105</v>
      </c>
      <c r="L1240" s="4" t="s">
        <v>106</v>
      </c>
      <c r="M1240" s="6">
        <f>IF(OR(B1240="",I1240=""),"",B1240*I1240)</f>
        <v>260</v>
      </c>
      <c r="N1240" s="10" t="s">
        <v>10</v>
      </c>
      <c r="O1240" s="9"/>
      <c r="P1240" s="9"/>
      <c r="Q1240" s="22"/>
      <c r="R1240" s="22"/>
      <c r="S1240" s="23" t="str">
        <f>IF(AND(ISNUMBER(Q1240),Q1240&gt;0,ISNUMBER(R1240),R1240&gt;0),R1240/Q1240,"")</f>
        <v/>
      </c>
      <c r="T1240" s="9"/>
      <c r="U1240" s="9"/>
      <c r="V1240" s="9"/>
      <c r="W1240" s="9"/>
      <c r="X1240" s="23">
        <f>IF(ISNUMBER(S1240),S1240,IF(ISNUMBER(I1240),I1240,""))</f>
        <v>20</v>
      </c>
      <c r="Y1240" t="str">
        <f>IF(ISNUMBER(S1240),"2025 EIA-923 plant/group proxy",IF(ISNUMBER(I1240),"Technology estimate","No thermal heat rate"))</f>
        <v>Technology estimate</v>
      </c>
      <c r="Z1240" t="str">
        <f>IF(ISNUMBER(S1240),"Review: NOT unit verified",IF(AE1240="No match","No EIA match",IF(AF1240="Unconfirmed","Unconfirmed EIA candidate","")))</f>
        <v>No EIA match</v>
      </c>
      <c r="AE1240" t="s">
        <v>107</v>
      </c>
      <c r="AG1240" s="24">
        <f>IF(ISBLANK(S1240),S1240,I1240)</f>
        <v>20</v>
      </c>
      <c r="AH1240" s="34">
        <f t="shared" si="44"/>
        <v>182499.99999999985</v>
      </c>
      <c r="AI1240">
        <f t="shared" si="43"/>
        <v>113968.05451172723</v>
      </c>
      <c r="AJ1240" t="b" cm="1">
        <f t="array" ref="AJ1240">OR(D1240=$AT$2:$AT$8)</f>
        <v>0</v>
      </c>
    </row>
    <row r="1241" spans="1:36" x14ac:dyDescent="0.25">
      <c r="A1241" s="2" t="s">
        <v>1172</v>
      </c>
      <c r="B1241" s="3">
        <v>14</v>
      </c>
      <c r="C1241" s="2" t="s">
        <v>319</v>
      </c>
      <c r="D1241" s="2" t="s">
        <v>319</v>
      </c>
      <c r="E1241" s="2" t="s">
        <v>102</v>
      </c>
      <c r="F1241" s="4" t="s">
        <v>103</v>
      </c>
      <c r="G1241" s="4" t="s">
        <v>104</v>
      </c>
      <c r="H1241" s="5">
        <v>20</v>
      </c>
      <c r="I1241" s="5">
        <v>20</v>
      </c>
      <c r="J1241" s="5">
        <v>20</v>
      </c>
      <c r="K1241" s="4" t="s">
        <v>105</v>
      </c>
      <c r="L1241" s="4" t="s">
        <v>106</v>
      </c>
      <c r="M1241" s="6">
        <f>IF(OR(B1241="",I1241=""),"",B1241*I1241)</f>
        <v>280</v>
      </c>
      <c r="N1241" s="10" t="s">
        <v>10</v>
      </c>
      <c r="O1241" s="9"/>
      <c r="P1241" s="9"/>
      <c r="Q1241" s="22"/>
      <c r="R1241" s="22"/>
      <c r="S1241" s="23" t="str">
        <f>IF(AND(ISNUMBER(Q1241),Q1241&gt;0,ISNUMBER(R1241),R1241&gt;0),R1241/Q1241,"")</f>
        <v/>
      </c>
      <c r="T1241" s="9"/>
      <c r="U1241" s="9"/>
      <c r="V1241" s="9"/>
      <c r="W1241" s="9"/>
      <c r="X1241" s="23">
        <f>IF(ISNUMBER(S1241),S1241,IF(ISNUMBER(I1241),I1241,""))</f>
        <v>20</v>
      </c>
      <c r="Y1241" t="str">
        <f>IF(ISNUMBER(S1241),"2025 EIA-923 plant/group proxy",IF(ISNUMBER(I1241),"Technology estimate","No thermal heat rate"))</f>
        <v>Technology estimate</v>
      </c>
      <c r="Z1241" t="str">
        <f>IF(ISNUMBER(S1241),"Review: NOT unit verified",IF(AE1241="No match","No EIA match",IF(AF1241="Unconfirmed","Unconfirmed EIA candidate","")))</f>
        <v>No EIA match</v>
      </c>
      <c r="AE1241" t="s">
        <v>107</v>
      </c>
      <c r="AG1241" s="24">
        <f>IF(ISBLANK(S1241),S1241,I1241)</f>
        <v>20</v>
      </c>
      <c r="AH1241" s="34">
        <f t="shared" si="44"/>
        <v>182513.99999999985</v>
      </c>
      <c r="AI1241">
        <f t="shared" si="43"/>
        <v>113976.79726659389</v>
      </c>
      <c r="AJ1241" t="b" cm="1">
        <f t="array" ref="AJ1241">OR(D1241=$AT$2:$AT$8)</f>
        <v>0</v>
      </c>
    </row>
    <row r="1242" spans="1:36" x14ac:dyDescent="0.25">
      <c r="A1242" s="2" t="s">
        <v>1214</v>
      </c>
      <c r="B1242" s="3">
        <v>54</v>
      </c>
      <c r="C1242" s="2" t="s">
        <v>405</v>
      </c>
      <c r="D1242" s="2" t="s">
        <v>405</v>
      </c>
      <c r="E1242" s="2" t="s">
        <v>102</v>
      </c>
      <c r="F1242" s="4" t="s">
        <v>103</v>
      </c>
      <c r="G1242" s="4" t="s">
        <v>104</v>
      </c>
      <c r="H1242" s="5">
        <v>20</v>
      </c>
      <c r="I1242" s="5">
        <v>20</v>
      </c>
      <c r="J1242" s="5">
        <v>20</v>
      </c>
      <c r="K1242" s="4" t="s">
        <v>105</v>
      </c>
      <c r="L1242" s="4" t="s">
        <v>106</v>
      </c>
      <c r="M1242" s="6">
        <f>IF(OR(B1242="",I1242=""),"",B1242*I1242)</f>
        <v>1080</v>
      </c>
      <c r="N1242" s="10" t="s">
        <v>10</v>
      </c>
      <c r="O1242" s="9"/>
      <c r="P1242" s="9"/>
      <c r="Q1242" s="22"/>
      <c r="R1242" s="22"/>
      <c r="S1242" s="23" t="str">
        <f>IF(AND(ISNUMBER(Q1242),Q1242&gt;0,ISNUMBER(R1242),R1242&gt;0),R1242/Q1242,"")</f>
        <v/>
      </c>
      <c r="T1242" s="9"/>
      <c r="U1242" s="9"/>
      <c r="V1242" s="9"/>
      <c r="W1242" s="9"/>
      <c r="X1242" s="23">
        <f>IF(ISNUMBER(S1242),S1242,IF(ISNUMBER(I1242),I1242,""))</f>
        <v>20</v>
      </c>
      <c r="Y1242" t="str">
        <f>IF(ISNUMBER(S1242),"2025 EIA-923 plant/group proxy",IF(ISNUMBER(I1242),"Technology estimate","No thermal heat rate"))</f>
        <v>Technology estimate</v>
      </c>
      <c r="Z1242" t="str">
        <f>IF(ISNUMBER(S1242),"Review: NOT unit verified",IF(AE1242="No match","No EIA match",IF(AF1242="Unconfirmed","Unconfirmed EIA candidate","")))</f>
        <v>No EIA match</v>
      </c>
      <c r="AE1242" t="s">
        <v>107</v>
      </c>
      <c r="AG1242" s="24">
        <f>IF(ISBLANK(S1242),S1242,I1242)</f>
        <v>20</v>
      </c>
      <c r="AH1242" s="34">
        <f t="shared" si="44"/>
        <v>182567.99999999985</v>
      </c>
      <c r="AI1242">
        <f t="shared" si="43"/>
        <v>114010.51932107954</v>
      </c>
      <c r="AJ1242" t="b" cm="1">
        <f t="array" ref="AJ1242">OR(D1242=$AT$2:$AT$8)</f>
        <v>1</v>
      </c>
    </row>
    <row r="1243" spans="1:36" x14ac:dyDescent="0.25">
      <c r="A1243" s="2" t="s">
        <v>1215</v>
      </c>
      <c r="B1243" s="3">
        <v>54</v>
      </c>
      <c r="C1243" s="2" t="s">
        <v>405</v>
      </c>
      <c r="D1243" s="2" t="s">
        <v>405</v>
      </c>
      <c r="E1243" s="2" t="s">
        <v>102</v>
      </c>
      <c r="F1243" s="4" t="s">
        <v>103</v>
      </c>
      <c r="G1243" s="4" t="s">
        <v>104</v>
      </c>
      <c r="H1243" s="5">
        <v>20</v>
      </c>
      <c r="I1243" s="5">
        <v>20</v>
      </c>
      <c r="J1243" s="5">
        <v>20</v>
      </c>
      <c r="K1243" s="4" t="s">
        <v>105</v>
      </c>
      <c r="L1243" s="4" t="s">
        <v>106</v>
      </c>
      <c r="M1243" s="6">
        <f>IF(OR(B1243="",I1243=""),"",B1243*I1243)</f>
        <v>1080</v>
      </c>
      <c r="N1243" s="10" t="s">
        <v>10</v>
      </c>
      <c r="O1243" s="9"/>
      <c r="P1243" s="9"/>
      <c r="Q1243" s="22"/>
      <c r="R1243" s="22"/>
      <c r="S1243" s="23" t="str">
        <f>IF(AND(ISNUMBER(Q1243),Q1243&gt;0,ISNUMBER(R1243),R1243&gt;0),R1243/Q1243,"")</f>
        <v/>
      </c>
      <c r="T1243" s="9"/>
      <c r="U1243" s="9"/>
      <c r="V1243" s="9"/>
      <c r="W1243" s="9"/>
      <c r="X1243" s="23">
        <f>IF(ISNUMBER(S1243),S1243,IF(ISNUMBER(I1243),I1243,""))</f>
        <v>20</v>
      </c>
      <c r="Y1243" t="str">
        <f>IF(ISNUMBER(S1243),"2025 EIA-923 plant/group proxy",IF(ISNUMBER(I1243),"Technology estimate","No thermal heat rate"))</f>
        <v>Technology estimate</v>
      </c>
      <c r="Z1243" t="str">
        <f>IF(ISNUMBER(S1243),"Review: NOT unit verified",IF(AE1243="No match","No EIA match",IF(AF1243="Unconfirmed","Unconfirmed EIA candidate","")))</f>
        <v>No EIA match</v>
      </c>
      <c r="AE1243" t="s">
        <v>107</v>
      </c>
      <c r="AG1243" s="24">
        <f>IF(ISBLANK(S1243),S1243,I1243)</f>
        <v>20</v>
      </c>
      <c r="AH1243" s="34">
        <f t="shared" si="44"/>
        <v>182621.99999999985</v>
      </c>
      <c r="AI1243">
        <f t="shared" si="43"/>
        <v>114044.24137556521</v>
      </c>
      <c r="AJ1243" t="b" cm="1">
        <f t="array" ref="AJ1243">OR(D1243=$AT$2:$AT$8)</f>
        <v>1</v>
      </c>
    </row>
    <row r="1244" spans="1:36" x14ac:dyDescent="0.25">
      <c r="A1244" s="2" t="s">
        <v>1219</v>
      </c>
      <c r="B1244" s="3">
        <v>17</v>
      </c>
      <c r="C1244" s="2" t="s">
        <v>432</v>
      </c>
      <c r="D1244" s="2" t="s">
        <v>58</v>
      </c>
      <c r="E1244" s="2" t="s">
        <v>102</v>
      </c>
      <c r="F1244" s="4" t="s">
        <v>103</v>
      </c>
      <c r="G1244" s="4" t="s">
        <v>104</v>
      </c>
      <c r="H1244" s="5">
        <v>20</v>
      </c>
      <c r="I1244" s="5">
        <v>20</v>
      </c>
      <c r="J1244" s="5">
        <v>20</v>
      </c>
      <c r="K1244" s="4" t="s">
        <v>105</v>
      </c>
      <c r="L1244" s="4" t="s">
        <v>106</v>
      </c>
      <c r="M1244" s="6">
        <f>IF(OR(B1244="",I1244=""),"",B1244*I1244)</f>
        <v>340</v>
      </c>
      <c r="N1244" s="10" t="s">
        <v>10</v>
      </c>
      <c r="O1244" s="9"/>
      <c r="P1244" s="9"/>
      <c r="Q1244" s="22"/>
      <c r="R1244" s="22"/>
      <c r="S1244" s="23" t="str">
        <f>IF(AND(ISNUMBER(Q1244),Q1244&gt;0,ISNUMBER(R1244),R1244&gt;0),R1244/Q1244,"")</f>
        <v/>
      </c>
      <c r="T1244" s="9"/>
      <c r="U1244" s="9"/>
      <c r="V1244" s="9"/>
      <c r="W1244" s="9"/>
      <c r="X1244" s="23">
        <f>IF(ISNUMBER(S1244),S1244,IF(ISNUMBER(I1244),I1244,""))</f>
        <v>20</v>
      </c>
      <c r="Y1244" t="str">
        <f>IF(ISNUMBER(S1244),"2025 EIA-923 plant/group proxy",IF(ISNUMBER(I1244),"Technology estimate","No thermal heat rate"))</f>
        <v>Technology estimate</v>
      </c>
      <c r="Z1244" t="str">
        <f>IF(ISNUMBER(S1244),"Review: NOT unit verified",IF(AE1244="No match","No EIA match",IF(AF1244="Unconfirmed","Unconfirmed EIA candidate","")))</f>
        <v>No EIA match</v>
      </c>
      <c r="AE1244" t="s">
        <v>107</v>
      </c>
      <c r="AG1244" s="24">
        <f>IF(ISBLANK(S1244),S1244,I1244)</f>
        <v>20</v>
      </c>
      <c r="AH1244" s="34">
        <f t="shared" si="44"/>
        <v>182638.99999999985</v>
      </c>
      <c r="AI1244">
        <f t="shared" si="43"/>
        <v>114054.85757790328</v>
      </c>
      <c r="AJ1244" t="b" cm="1">
        <f t="array" ref="AJ1244">OR(D1244=$AT$2:$AT$8)</f>
        <v>0</v>
      </c>
    </row>
    <row r="1245" spans="1:36" x14ac:dyDescent="0.25">
      <c r="A1245" s="2" t="s">
        <v>1220</v>
      </c>
      <c r="B1245" s="3">
        <v>17</v>
      </c>
      <c r="C1245" s="2" t="s">
        <v>432</v>
      </c>
      <c r="D1245" s="2" t="s">
        <v>58</v>
      </c>
      <c r="E1245" s="2" t="s">
        <v>102</v>
      </c>
      <c r="F1245" s="4" t="s">
        <v>103</v>
      </c>
      <c r="G1245" s="4" t="s">
        <v>104</v>
      </c>
      <c r="H1245" s="5">
        <v>20</v>
      </c>
      <c r="I1245" s="5">
        <v>20</v>
      </c>
      <c r="J1245" s="5">
        <v>20</v>
      </c>
      <c r="K1245" s="4" t="s">
        <v>105</v>
      </c>
      <c r="L1245" s="4" t="s">
        <v>106</v>
      </c>
      <c r="M1245" s="6">
        <f>IF(OR(B1245="",I1245=""),"",B1245*I1245)</f>
        <v>340</v>
      </c>
      <c r="N1245" s="10" t="s">
        <v>10</v>
      </c>
      <c r="O1245" s="9"/>
      <c r="P1245" s="9"/>
      <c r="Q1245" s="22"/>
      <c r="R1245" s="22"/>
      <c r="S1245" s="23" t="str">
        <f>IF(AND(ISNUMBER(Q1245),Q1245&gt;0,ISNUMBER(R1245),R1245&gt;0),R1245/Q1245,"")</f>
        <v/>
      </c>
      <c r="T1245" s="9"/>
      <c r="U1245" s="9"/>
      <c r="V1245" s="9"/>
      <c r="W1245" s="9"/>
      <c r="X1245" s="23">
        <f>IF(ISNUMBER(S1245),S1245,IF(ISNUMBER(I1245),I1245,""))</f>
        <v>20</v>
      </c>
      <c r="Y1245" t="str">
        <f>IF(ISNUMBER(S1245),"2025 EIA-923 plant/group proxy",IF(ISNUMBER(I1245),"Technology estimate","No thermal heat rate"))</f>
        <v>Technology estimate</v>
      </c>
      <c r="Z1245" t="str">
        <f>IF(ISNUMBER(S1245),"Review: NOT unit verified",IF(AE1245="No match","No EIA match",IF(AF1245="Unconfirmed","Unconfirmed EIA candidate","")))</f>
        <v>No EIA match</v>
      </c>
      <c r="AE1245" t="s">
        <v>107</v>
      </c>
      <c r="AG1245" s="24">
        <f>IF(ISBLANK(S1245),S1245,I1245)</f>
        <v>20</v>
      </c>
      <c r="AH1245" s="34">
        <f t="shared" si="44"/>
        <v>182655.99999999985</v>
      </c>
      <c r="AI1245">
        <f t="shared" si="43"/>
        <v>114065.47378024136</v>
      </c>
      <c r="AJ1245" t="b" cm="1">
        <f t="array" ref="AJ1245">OR(D1245=$AT$2:$AT$8)</f>
        <v>0</v>
      </c>
    </row>
    <row r="1246" spans="1:36" x14ac:dyDescent="0.25">
      <c r="A1246" s="2" t="s">
        <v>1221</v>
      </c>
      <c r="B1246" s="3">
        <v>17</v>
      </c>
      <c r="C1246" s="2" t="s">
        <v>432</v>
      </c>
      <c r="D1246" s="2" t="s">
        <v>58</v>
      </c>
      <c r="E1246" s="2" t="s">
        <v>102</v>
      </c>
      <c r="F1246" s="4" t="s">
        <v>103</v>
      </c>
      <c r="G1246" s="4" t="s">
        <v>104</v>
      </c>
      <c r="H1246" s="5">
        <v>20</v>
      </c>
      <c r="I1246" s="5">
        <v>20</v>
      </c>
      <c r="J1246" s="5">
        <v>20</v>
      </c>
      <c r="K1246" s="4" t="s">
        <v>105</v>
      </c>
      <c r="L1246" s="4" t="s">
        <v>106</v>
      </c>
      <c r="M1246" s="6">
        <f>IF(OR(B1246="",I1246=""),"",B1246*I1246)</f>
        <v>340</v>
      </c>
      <c r="N1246" s="10" t="s">
        <v>10</v>
      </c>
      <c r="O1246" s="9"/>
      <c r="P1246" s="9"/>
      <c r="Q1246" s="22"/>
      <c r="R1246" s="22"/>
      <c r="S1246" s="23" t="str">
        <f>IF(AND(ISNUMBER(Q1246),Q1246&gt;0,ISNUMBER(R1246),R1246&gt;0),R1246/Q1246,"")</f>
        <v/>
      </c>
      <c r="T1246" s="9"/>
      <c r="U1246" s="9"/>
      <c r="V1246" s="9"/>
      <c r="W1246" s="9"/>
      <c r="X1246" s="23">
        <f>IF(ISNUMBER(S1246),S1246,IF(ISNUMBER(I1246),I1246,""))</f>
        <v>20</v>
      </c>
      <c r="Y1246" t="str">
        <f>IF(ISNUMBER(S1246),"2025 EIA-923 plant/group proxy",IF(ISNUMBER(I1246),"Technology estimate","No thermal heat rate"))</f>
        <v>Technology estimate</v>
      </c>
      <c r="Z1246" t="str">
        <f>IF(ISNUMBER(S1246),"Review: NOT unit verified",IF(AE1246="No match","No EIA match",IF(AF1246="Unconfirmed","Unconfirmed EIA candidate","")))</f>
        <v>No EIA match</v>
      </c>
      <c r="AE1246" t="s">
        <v>107</v>
      </c>
      <c r="AG1246" s="24">
        <f>IF(ISBLANK(S1246),S1246,I1246)</f>
        <v>20</v>
      </c>
      <c r="AH1246" s="34">
        <f t="shared" si="44"/>
        <v>182672.99999999985</v>
      </c>
      <c r="AI1246">
        <f t="shared" si="43"/>
        <v>114076.08998257945</v>
      </c>
      <c r="AJ1246" t="b" cm="1">
        <f t="array" ref="AJ1246">OR(D1246=$AT$2:$AT$8)</f>
        <v>0</v>
      </c>
    </row>
    <row r="1247" spans="1:36" x14ac:dyDescent="0.25">
      <c r="A1247" s="2" t="s">
        <v>1227</v>
      </c>
      <c r="B1247" s="3">
        <v>19.5</v>
      </c>
      <c r="C1247" s="2" t="s">
        <v>75</v>
      </c>
      <c r="D1247" s="2" t="s">
        <v>76</v>
      </c>
      <c r="E1247" s="2" t="s">
        <v>102</v>
      </c>
      <c r="F1247" s="4" t="s">
        <v>103</v>
      </c>
      <c r="G1247" s="4" t="s">
        <v>104</v>
      </c>
      <c r="H1247" s="5">
        <v>20</v>
      </c>
      <c r="I1247" s="5">
        <v>20</v>
      </c>
      <c r="J1247" s="5">
        <v>20</v>
      </c>
      <c r="K1247" s="4" t="s">
        <v>105</v>
      </c>
      <c r="L1247" s="4" t="s">
        <v>106</v>
      </c>
      <c r="M1247" s="6">
        <f>IF(OR(B1247="",I1247=""),"",B1247*I1247)</f>
        <v>390</v>
      </c>
      <c r="N1247" s="10" t="s">
        <v>10</v>
      </c>
      <c r="O1247" s="9"/>
      <c r="P1247" s="9"/>
      <c r="Q1247" s="22"/>
      <c r="R1247" s="22"/>
      <c r="S1247" s="23" t="str">
        <f>IF(AND(ISNUMBER(Q1247),Q1247&gt;0,ISNUMBER(R1247),R1247&gt;0),R1247/Q1247,"")</f>
        <v/>
      </c>
      <c r="T1247" s="9"/>
      <c r="U1247" s="9"/>
      <c r="V1247" s="9"/>
      <c r="W1247" s="9"/>
      <c r="X1247" s="23">
        <f>IF(ISNUMBER(S1247),S1247,IF(ISNUMBER(I1247),I1247,""))</f>
        <v>20</v>
      </c>
      <c r="Y1247" t="str">
        <f>IF(ISNUMBER(S1247),"2025 EIA-923 plant/group proxy",IF(ISNUMBER(I1247),"Technology estimate","No thermal heat rate"))</f>
        <v>Technology estimate</v>
      </c>
      <c r="Z1247" t="str">
        <f>IF(ISNUMBER(S1247),"Review: NOT unit verified",IF(AE1247="No match","No EIA match",IF(AF1247="Unconfirmed","Unconfirmed EIA candidate","")))</f>
        <v>No EIA match</v>
      </c>
      <c r="AE1247" t="s">
        <v>107</v>
      </c>
      <c r="AG1247" s="24">
        <f>IF(ISBLANK(S1247),S1247,I1247)</f>
        <v>20</v>
      </c>
      <c r="AH1247" s="34">
        <f t="shared" si="44"/>
        <v>182692.49999999985</v>
      </c>
      <c r="AI1247">
        <f t="shared" si="43"/>
        <v>114088.26739114372</v>
      </c>
      <c r="AJ1247" t="b" cm="1">
        <f t="array" ref="AJ1247">OR(D1247=$AT$2:$AT$8)</f>
        <v>0</v>
      </c>
    </row>
    <row r="1248" spans="1:36" x14ac:dyDescent="0.25">
      <c r="A1248" s="2" t="s">
        <v>1228</v>
      </c>
      <c r="B1248" s="3">
        <v>20.3</v>
      </c>
      <c r="C1248" s="2" t="s">
        <v>75</v>
      </c>
      <c r="D1248" s="2" t="s">
        <v>76</v>
      </c>
      <c r="E1248" s="2" t="s">
        <v>102</v>
      </c>
      <c r="F1248" s="4" t="s">
        <v>103</v>
      </c>
      <c r="G1248" s="4" t="s">
        <v>104</v>
      </c>
      <c r="H1248" s="5">
        <v>20</v>
      </c>
      <c r="I1248" s="5">
        <v>20</v>
      </c>
      <c r="J1248" s="5">
        <v>20</v>
      </c>
      <c r="K1248" s="4" t="s">
        <v>105</v>
      </c>
      <c r="L1248" s="4" t="s">
        <v>106</v>
      </c>
      <c r="M1248" s="6">
        <f>IF(OR(B1248="",I1248=""),"",B1248*I1248)</f>
        <v>406</v>
      </c>
      <c r="N1248" s="10" t="s">
        <v>10</v>
      </c>
      <c r="O1248" s="9"/>
      <c r="P1248" s="9"/>
      <c r="Q1248" s="22"/>
      <c r="R1248" s="22"/>
      <c r="S1248" s="23" t="str">
        <f>IF(AND(ISNUMBER(Q1248),Q1248&gt;0,ISNUMBER(R1248),R1248&gt;0),R1248/Q1248,"")</f>
        <v/>
      </c>
      <c r="T1248" s="9"/>
      <c r="U1248" s="9"/>
      <c r="V1248" s="9"/>
      <c r="W1248" s="9"/>
      <c r="X1248" s="23">
        <f>IF(ISNUMBER(S1248),S1248,IF(ISNUMBER(I1248),I1248,""))</f>
        <v>20</v>
      </c>
      <c r="Y1248" t="str">
        <f>IF(ISNUMBER(S1248),"2025 EIA-923 plant/group proxy",IF(ISNUMBER(I1248),"Technology estimate","No thermal heat rate"))</f>
        <v>Technology estimate</v>
      </c>
      <c r="Z1248" t="str">
        <f>IF(ISNUMBER(S1248),"Review: NOT unit verified",IF(AE1248="No match","No EIA match",IF(AF1248="Unconfirmed","Unconfirmed EIA candidate","")))</f>
        <v>No EIA match</v>
      </c>
      <c r="AE1248" t="s">
        <v>107</v>
      </c>
      <c r="AG1248" s="24">
        <f>IF(ISBLANK(S1248),S1248,I1248)</f>
        <v>20</v>
      </c>
      <c r="AH1248" s="34">
        <f t="shared" si="44"/>
        <v>182712.79999999984</v>
      </c>
      <c r="AI1248">
        <f t="shared" si="43"/>
        <v>114100.94438570035</v>
      </c>
      <c r="AJ1248" t="b" cm="1">
        <f t="array" ref="AJ1248">OR(D1248=$AT$2:$AT$8)</f>
        <v>0</v>
      </c>
    </row>
    <row r="1249" spans="1:36" x14ac:dyDescent="0.25">
      <c r="A1249" s="2" t="s">
        <v>1241</v>
      </c>
      <c r="B1249" s="3">
        <v>11</v>
      </c>
      <c r="C1249" s="2" t="s">
        <v>78</v>
      </c>
      <c r="D1249" s="2" t="s">
        <v>78</v>
      </c>
      <c r="E1249" s="2" t="s">
        <v>102</v>
      </c>
      <c r="F1249" s="4" t="s">
        <v>103</v>
      </c>
      <c r="G1249" s="4" t="s">
        <v>104</v>
      </c>
      <c r="H1249" s="5">
        <v>20</v>
      </c>
      <c r="I1249" s="5">
        <v>20</v>
      </c>
      <c r="J1249" s="5">
        <v>20</v>
      </c>
      <c r="K1249" s="4" t="s">
        <v>105</v>
      </c>
      <c r="L1249" s="4" t="s">
        <v>106</v>
      </c>
      <c r="M1249" s="6">
        <f>IF(OR(B1249="",I1249=""),"",B1249*I1249)</f>
        <v>220</v>
      </c>
      <c r="N1249" s="10" t="s">
        <v>10</v>
      </c>
      <c r="O1249" s="9"/>
      <c r="P1249" s="9"/>
      <c r="Q1249" s="22"/>
      <c r="R1249" s="22"/>
      <c r="S1249" s="23" t="str">
        <f>IF(AND(ISNUMBER(Q1249),Q1249&gt;0,ISNUMBER(R1249),R1249&gt;0),R1249/Q1249,"")</f>
        <v/>
      </c>
      <c r="T1249" s="9"/>
      <c r="U1249" s="9"/>
      <c r="V1249" s="9"/>
      <c r="W1249" s="9"/>
      <c r="X1249" s="23">
        <f>IF(ISNUMBER(S1249),S1249,IF(ISNUMBER(I1249),I1249,""))</f>
        <v>20</v>
      </c>
      <c r="Y1249" t="str">
        <f>IF(ISNUMBER(S1249),"2025 EIA-923 plant/group proxy",IF(ISNUMBER(I1249),"Technology estimate","No thermal heat rate"))</f>
        <v>Technology estimate</v>
      </c>
      <c r="Z1249" t="str">
        <f>IF(ISNUMBER(S1249),"Review: NOT unit verified",IF(AE1249="No match","No EIA match",IF(AF1249="Unconfirmed","Unconfirmed EIA candidate","")))</f>
        <v>No EIA match</v>
      </c>
      <c r="AE1249" t="s">
        <v>107</v>
      </c>
      <c r="AG1249" s="24">
        <f>IF(ISBLANK(S1249),S1249,I1249)</f>
        <v>20</v>
      </c>
      <c r="AH1249" s="34">
        <f t="shared" si="44"/>
        <v>182723.79999999984</v>
      </c>
      <c r="AI1249">
        <f t="shared" si="43"/>
        <v>114107.81369309558</v>
      </c>
      <c r="AJ1249" t="b" cm="1">
        <f t="array" ref="AJ1249">OR(D1249=$AT$2:$AT$8)</f>
        <v>1</v>
      </c>
    </row>
    <row r="1250" spans="1:36" x14ac:dyDescent="0.25">
      <c r="A1250" s="2" t="s">
        <v>1272</v>
      </c>
      <c r="B1250" s="3">
        <v>6</v>
      </c>
      <c r="C1250" s="2" t="s">
        <v>68</v>
      </c>
      <c r="D1250" s="2" t="s">
        <v>69</v>
      </c>
      <c r="E1250" s="2" t="s">
        <v>102</v>
      </c>
      <c r="F1250" s="4" t="s">
        <v>103</v>
      </c>
      <c r="G1250" s="4" t="s">
        <v>104</v>
      </c>
      <c r="H1250" s="5">
        <v>20</v>
      </c>
      <c r="I1250" s="5">
        <v>20</v>
      </c>
      <c r="J1250" s="5">
        <v>20</v>
      </c>
      <c r="K1250" s="4" t="s">
        <v>105</v>
      </c>
      <c r="L1250" s="4" t="s">
        <v>106</v>
      </c>
      <c r="M1250" s="6">
        <f>IF(OR(B1250="",I1250=""),"",B1250*I1250)</f>
        <v>120</v>
      </c>
      <c r="N1250" s="10" t="s">
        <v>10</v>
      </c>
      <c r="O1250" s="9"/>
      <c r="P1250" s="9"/>
      <c r="Q1250" s="22"/>
      <c r="R1250" s="22"/>
      <c r="S1250" s="23" t="str">
        <f>IF(AND(ISNUMBER(Q1250),Q1250&gt;0,ISNUMBER(R1250),R1250&gt;0),R1250/Q1250,"")</f>
        <v/>
      </c>
      <c r="T1250" s="9"/>
      <c r="U1250" s="9"/>
      <c r="V1250" s="9"/>
      <c r="W1250" s="9"/>
      <c r="X1250" s="23">
        <f>IF(ISNUMBER(S1250),S1250,IF(ISNUMBER(I1250),I1250,""))</f>
        <v>20</v>
      </c>
      <c r="Y1250" t="str">
        <f>IF(ISNUMBER(S1250),"2025 EIA-923 plant/group proxy",IF(ISNUMBER(I1250),"Technology estimate","No thermal heat rate"))</f>
        <v>Technology estimate</v>
      </c>
      <c r="Z1250" t="str">
        <f>IF(ISNUMBER(S1250),"Review: NOT unit verified",IF(AE1250="No match","No EIA match",IF(AF1250="Unconfirmed","Unconfirmed EIA candidate","")))</f>
        <v>No EIA match</v>
      </c>
      <c r="AE1250" t="s">
        <v>107</v>
      </c>
      <c r="AG1250" s="24">
        <f>IF(ISBLANK(S1250),S1250,I1250)</f>
        <v>20</v>
      </c>
      <c r="AH1250" s="34">
        <f t="shared" si="44"/>
        <v>182729.79999999984</v>
      </c>
      <c r="AI1250">
        <f t="shared" si="43"/>
        <v>114111.56058803842</v>
      </c>
      <c r="AJ1250" t="b" cm="1">
        <f t="array" ref="AJ1250">OR(D1250=$AT$2:$AT$8)</f>
        <v>0</v>
      </c>
    </row>
    <row r="1251" spans="1:36" x14ac:dyDescent="0.25">
      <c r="A1251" s="2" t="s">
        <v>1277</v>
      </c>
      <c r="B1251" s="3">
        <v>26.1</v>
      </c>
      <c r="C1251" s="2" t="s">
        <v>147</v>
      </c>
      <c r="D1251" s="2" t="s">
        <v>147</v>
      </c>
      <c r="E1251" s="2" t="s">
        <v>102</v>
      </c>
      <c r="F1251" s="4" t="s">
        <v>103</v>
      </c>
      <c r="G1251" s="4" t="s">
        <v>104</v>
      </c>
      <c r="H1251" s="5">
        <v>20</v>
      </c>
      <c r="I1251" s="5">
        <v>20</v>
      </c>
      <c r="J1251" s="5">
        <v>20</v>
      </c>
      <c r="K1251" s="4" t="s">
        <v>105</v>
      </c>
      <c r="L1251" s="4" t="s">
        <v>106</v>
      </c>
      <c r="M1251" s="6">
        <f>IF(OR(B1251="",I1251=""),"",B1251*I1251)</f>
        <v>522</v>
      </c>
      <c r="N1251" s="10" t="s">
        <v>10</v>
      </c>
      <c r="O1251" s="9"/>
      <c r="P1251" s="9"/>
      <c r="Q1251" s="22"/>
      <c r="R1251" s="22"/>
      <c r="S1251" s="23" t="str">
        <f>IF(AND(ISNUMBER(Q1251),Q1251&gt;0,ISNUMBER(R1251),R1251&gt;0),R1251/Q1251,"")</f>
        <v/>
      </c>
      <c r="T1251" s="9"/>
      <c r="U1251" s="9"/>
      <c r="V1251" s="9"/>
      <c r="W1251" s="9"/>
      <c r="X1251" s="23">
        <f>IF(ISNUMBER(S1251),S1251,IF(ISNUMBER(I1251),I1251,""))</f>
        <v>20</v>
      </c>
      <c r="Y1251" t="str">
        <f>IF(ISNUMBER(S1251),"2025 EIA-923 plant/group proxy",IF(ISNUMBER(I1251),"Technology estimate","No thermal heat rate"))</f>
        <v>Technology estimate</v>
      </c>
      <c r="Z1251" t="str">
        <f>IF(ISNUMBER(S1251),"Review: NOT unit verified",IF(AE1251="No match","No EIA match",IF(AF1251="Unconfirmed","Unconfirmed EIA candidate","")))</f>
        <v>No EIA match</v>
      </c>
      <c r="AE1251" t="s">
        <v>107</v>
      </c>
      <c r="AG1251" s="24">
        <f>IF(ISBLANK(S1251),S1251,I1251)</f>
        <v>20</v>
      </c>
      <c r="AH1251" s="34">
        <f t="shared" si="44"/>
        <v>182755.89999999985</v>
      </c>
      <c r="AI1251">
        <f t="shared" si="43"/>
        <v>114127.85958103984</v>
      </c>
      <c r="AJ1251" t="b" cm="1">
        <f t="array" ref="AJ1251">OR(D1251=$AT$2:$AT$8)</f>
        <v>0</v>
      </c>
    </row>
    <row r="1252" spans="1:36" x14ac:dyDescent="0.25">
      <c r="A1252" s="2" t="s">
        <v>1278</v>
      </c>
      <c r="B1252" s="3">
        <v>42</v>
      </c>
      <c r="C1252" s="2" t="s">
        <v>86</v>
      </c>
      <c r="D1252" s="2" t="s">
        <v>76</v>
      </c>
      <c r="E1252" s="2" t="s">
        <v>102</v>
      </c>
      <c r="F1252" s="4" t="s">
        <v>103</v>
      </c>
      <c r="G1252" s="4" t="s">
        <v>104</v>
      </c>
      <c r="H1252" s="5">
        <v>20</v>
      </c>
      <c r="I1252" s="5">
        <v>20</v>
      </c>
      <c r="J1252" s="5">
        <v>20</v>
      </c>
      <c r="K1252" s="4" t="s">
        <v>105</v>
      </c>
      <c r="L1252" s="4" t="s">
        <v>106</v>
      </c>
      <c r="M1252" s="6">
        <f>IF(OR(B1252="",I1252=""),"",B1252*I1252)</f>
        <v>840</v>
      </c>
      <c r="N1252" s="10" t="s">
        <v>10</v>
      </c>
      <c r="O1252" s="9"/>
      <c r="P1252" s="9"/>
      <c r="Q1252" s="22"/>
      <c r="R1252" s="22"/>
      <c r="S1252" s="23" t="str">
        <f>IF(AND(ISNUMBER(Q1252),Q1252&gt;0,ISNUMBER(R1252),R1252&gt;0),R1252/Q1252,"")</f>
        <v/>
      </c>
      <c r="T1252" s="9"/>
      <c r="U1252" s="9"/>
      <c r="V1252" s="9"/>
      <c r="W1252" s="9"/>
      <c r="X1252" s="23">
        <f>IF(ISNUMBER(S1252),S1252,IF(ISNUMBER(I1252),I1252,""))</f>
        <v>20</v>
      </c>
      <c r="Y1252" t="str">
        <f>IF(ISNUMBER(S1252),"2025 EIA-923 plant/group proxy",IF(ISNUMBER(I1252),"Technology estimate","No thermal heat rate"))</f>
        <v>Technology estimate</v>
      </c>
      <c r="Z1252" t="str">
        <f>IF(ISNUMBER(S1252),"Review: NOT unit verified",IF(AE1252="No match","No EIA match",IF(AF1252="Unconfirmed","Unconfirmed EIA candidate","")))</f>
        <v>No EIA match</v>
      </c>
      <c r="AE1252" t="s">
        <v>107</v>
      </c>
      <c r="AG1252" s="24">
        <f>IF(ISBLANK(S1252),S1252,I1252)</f>
        <v>20</v>
      </c>
      <c r="AH1252" s="34">
        <f t="shared" si="44"/>
        <v>182797.89999999985</v>
      </c>
      <c r="AI1252">
        <f t="shared" si="43"/>
        <v>114154.08784563979</v>
      </c>
      <c r="AJ1252" t="b" cm="1">
        <f t="array" ref="AJ1252">OR(D1252=$AT$2:$AT$8)</f>
        <v>0</v>
      </c>
    </row>
    <row r="1253" spans="1:36" x14ac:dyDescent="0.25">
      <c r="A1253" s="2" t="s">
        <v>1296</v>
      </c>
      <c r="B1253" s="3">
        <v>12</v>
      </c>
      <c r="C1253" s="2" t="s">
        <v>78</v>
      </c>
      <c r="D1253" s="2" t="s">
        <v>78</v>
      </c>
      <c r="E1253" s="2" t="s">
        <v>102</v>
      </c>
      <c r="F1253" s="4" t="s">
        <v>103</v>
      </c>
      <c r="G1253" s="4" t="s">
        <v>104</v>
      </c>
      <c r="H1253" s="5">
        <v>20</v>
      </c>
      <c r="I1253" s="5">
        <v>20</v>
      </c>
      <c r="J1253" s="5">
        <v>20</v>
      </c>
      <c r="K1253" s="4" t="s">
        <v>105</v>
      </c>
      <c r="L1253" s="4" t="s">
        <v>106</v>
      </c>
      <c r="M1253" s="6">
        <f>IF(OR(B1253="",I1253=""),"",B1253*I1253)</f>
        <v>240</v>
      </c>
      <c r="N1253" s="10" t="s">
        <v>10</v>
      </c>
      <c r="O1253" s="9"/>
      <c r="P1253" s="9"/>
      <c r="Q1253" s="22"/>
      <c r="R1253" s="22"/>
      <c r="S1253" s="23" t="str">
        <f>IF(AND(ISNUMBER(Q1253),Q1253&gt;0,ISNUMBER(R1253),R1253&gt;0),R1253/Q1253,"")</f>
        <v/>
      </c>
      <c r="T1253" s="9"/>
      <c r="U1253" s="9"/>
      <c r="V1253" s="9"/>
      <c r="W1253" s="9"/>
      <c r="X1253" s="23">
        <f>IF(ISNUMBER(S1253),S1253,IF(ISNUMBER(I1253),I1253,""))</f>
        <v>20</v>
      </c>
      <c r="Y1253" t="str">
        <f>IF(ISNUMBER(S1253),"2025 EIA-923 plant/group proxy",IF(ISNUMBER(I1253),"Technology estimate","No thermal heat rate"))</f>
        <v>Technology estimate</v>
      </c>
      <c r="Z1253" t="str">
        <f>IF(ISNUMBER(S1253),"Review: NOT unit verified",IF(AE1253="No match","No EIA match",IF(AF1253="Unconfirmed","Unconfirmed EIA candidate","")))</f>
        <v>No EIA match</v>
      </c>
      <c r="AE1253" t="s">
        <v>107</v>
      </c>
      <c r="AG1253" s="24">
        <f>IF(ISBLANK(S1253),S1253,I1253)</f>
        <v>20</v>
      </c>
      <c r="AH1253" s="34">
        <f t="shared" si="44"/>
        <v>182809.89999999985</v>
      </c>
      <c r="AI1253">
        <f t="shared" si="43"/>
        <v>114161.58163552549</v>
      </c>
      <c r="AJ1253" t="b" cm="1">
        <f t="array" ref="AJ1253">OR(D1253=$AT$2:$AT$8)</f>
        <v>1</v>
      </c>
    </row>
    <row r="1254" spans="1:36" x14ac:dyDescent="0.25">
      <c r="A1254" s="2" t="s">
        <v>1297</v>
      </c>
      <c r="B1254" s="3">
        <v>12</v>
      </c>
      <c r="C1254" s="2" t="s">
        <v>78</v>
      </c>
      <c r="D1254" s="2" t="s">
        <v>78</v>
      </c>
      <c r="E1254" s="2" t="s">
        <v>102</v>
      </c>
      <c r="F1254" s="4" t="s">
        <v>103</v>
      </c>
      <c r="G1254" s="4" t="s">
        <v>104</v>
      </c>
      <c r="H1254" s="5">
        <v>20</v>
      </c>
      <c r="I1254" s="5">
        <v>20</v>
      </c>
      <c r="J1254" s="5">
        <v>20</v>
      </c>
      <c r="K1254" s="4" t="s">
        <v>105</v>
      </c>
      <c r="L1254" s="4" t="s">
        <v>106</v>
      </c>
      <c r="M1254" s="6">
        <f>IF(OR(B1254="",I1254=""),"",B1254*I1254)</f>
        <v>240</v>
      </c>
      <c r="N1254" s="10" t="s">
        <v>10</v>
      </c>
      <c r="O1254" s="9"/>
      <c r="P1254" s="9"/>
      <c r="Q1254" s="22"/>
      <c r="R1254" s="22"/>
      <c r="S1254" s="23" t="str">
        <f>IF(AND(ISNUMBER(Q1254),Q1254&gt;0,ISNUMBER(R1254),R1254&gt;0),R1254/Q1254,"")</f>
        <v/>
      </c>
      <c r="T1254" s="9"/>
      <c r="U1254" s="9"/>
      <c r="V1254" s="9"/>
      <c r="W1254" s="9"/>
      <c r="X1254" s="23">
        <f>IF(ISNUMBER(S1254),S1254,IF(ISNUMBER(I1254),I1254,""))</f>
        <v>20</v>
      </c>
      <c r="Y1254" t="str">
        <f>IF(ISNUMBER(S1254),"2025 EIA-923 plant/group proxy",IF(ISNUMBER(I1254),"Technology estimate","No thermal heat rate"))</f>
        <v>Technology estimate</v>
      </c>
      <c r="Z1254" t="str">
        <f>IF(ISNUMBER(S1254),"Review: NOT unit verified",IF(AE1254="No match","No EIA match",IF(AF1254="Unconfirmed","Unconfirmed EIA candidate","")))</f>
        <v>No EIA match</v>
      </c>
      <c r="AE1254" t="s">
        <v>107</v>
      </c>
      <c r="AG1254" s="24">
        <f>IF(ISBLANK(S1254),S1254,I1254)</f>
        <v>20</v>
      </c>
      <c r="AH1254" s="34">
        <f t="shared" si="44"/>
        <v>182821.89999999985</v>
      </c>
      <c r="AI1254">
        <f t="shared" si="43"/>
        <v>114169.0754254112</v>
      </c>
      <c r="AJ1254" t="b" cm="1">
        <f t="array" ref="AJ1254">OR(D1254=$AT$2:$AT$8)</f>
        <v>1</v>
      </c>
    </row>
    <row r="1255" spans="1:36" x14ac:dyDescent="0.25">
      <c r="A1255" s="2" t="s">
        <v>1298</v>
      </c>
      <c r="B1255" s="3">
        <v>12</v>
      </c>
      <c r="C1255" s="2" t="s">
        <v>78</v>
      </c>
      <c r="D1255" s="2" t="s">
        <v>78</v>
      </c>
      <c r="E1255" s="2" t="s">
        <v>102</v>
      </c>
      <c r="F1255" s="4" t="s">
        <v>103</v>
      </c>
      <c r="G1255" s="4" t="s">
        <v>104</v>
      </c>
      <c r="H1255" s="5">
        <v>20</v>
      </c>
      <c r="I1255" s="5">
        <v>20</v>
      </c>
      <c r="J1255" s="5">
        <v>20</v>
      </c>
      <c r="K1255" s="4" t="s">
        <v>105</v>
      </c>
      <c r="L1255" s="4" t="s">
        <v>106</v>
      </c>
      <c r="M1255" s="6">
        <f>IF(OR(B1255="",I1255=""),"",B1255*I1255)</f>
        <v>240</v>
      </c>
      <c r="N1255" s="10" t="s">
        <v>10</v>
      </c>
      <c r="O1255" s="9"/>
      <c r="P1255" s="9"/>
      <c r="Q1255" s="22"/>
      <c r="R1255" s="22"/>
      <c r="S1255" s="23" t="str">
        <f>IF(AND(ISNUMBER(Q1255),Q1255&gt;0,ISNUMBER(R1255),R1255&gt;0),R1255/Q1255,"")</f>
        <v/>
      </c>
      <c r="T1255" s="9"/>
      <c r="U1255" s="9"/>
      <c r="V1255" s="9"/>
      <c r="W1255" s="9"/>
      <c r="X1255" s="23">
        <f>IF(ISNUMBER(S1255),S1255,IF(ISNUMBER(I1255),I1255,""))</f>
        <v>20</v>
      </c>
      <c r="Y1255" t="str">
        <f>IF(ISNUMBER(S1255),"2025 EIA-923 plant/group proxy",IF(ISNUMBER(I1255),"Technology estimate","No thermal heat rate"))</f>
        <v>Technology estimate</v>
      </c>
      <c r="Z1255" t="str">
        <f>IF(ISNUMBER(S1255),"Review: NOT unit verified",IF(AE1255="No match","No EIA match",IF(AF1255="Unconfirmed","Unconfirmed EIA candidate","")))</f>
        <v>No EIA match</v>
      </c>
      <c r="AE1255" t="s">
        <v>107</v>
      </c>
      <c r="AG1255" s="24">
        <f>IF(ISBLANK(S1255),S1255,I1255)</f>
        <v>20</v>
      </c>
      <c r="AH1255" s="34">
        <f t="shared" si="44"/>
        <v>182833.89999999985</v>
      </c>
      <c r="AI1255">
        <f t="shared" si="43"/>
        <v>114176.5692152969</v>
      </c>
      <c r="AJ1255" t="b" cm="1">
        <f t="array" ref="AJ1255">OR(D1255=$AT$2:$AT$8)</f>
        <v>1</v>
      </c>
    </row>
    <row r="1256" spans="1:36" x14ac:dyDescent="0.25">
      <c r="A1256" s="2" t="s">
        <v>1299</v>
      </c>
      <c r="B1256" s="3">
        <v>11</v>
      </c>
      <c r="C1256" s="2" t="s">
        <v>78</v>
      </c>
      <c r="D1256" s="2" t="s">
        <v>78</v>
      </c>
      <c r="E1256" s="2" t="s">
        <v>102</v>
      </c>
      <c r="F1256" s="4" t="s">
        <v>103</v>
      </c>
      <c r="G1256" s="4" t="s">
        <v>104</v>
      </c>
      <c r="H1256" s="5">
        <v>20</v>
      </c>
      <c r="I1256" s="5">
        <v>20</v>
      </c>
      <c r="J1256" s="5">
        <v>20</v>
      </c>
      <c r="K1256" s="4" t="s">
        <v>105</v>
      </c>
      <c r="L1256" s="4" t="s">
        <v>106</v>
      </c>
      <c r="M1256" s="6">
        <f>IF(OR(B1256="",I1256=""),"",B1256*I1256)</f>
        <v>220</v>
      </c>
      <c r="N1256" s="10" t="s">
        <v>10</v>
      </c>
      <c r="O1256" s="9"/>
      <c r="P1256" s="9"/>
      <c r="Q1256" s="22"/>
      <c r="R1256" s="22"/>
      <c r="S1256" s="23" t="str">
        <f>IF(AND(ISNUMBER(Q1256),Q1256&gt;0,ISNUMBER(R1256),R1256&gt;0),R1256/Q1256,"")</f>
        <v/>
      </c>
      <c r="T1256" s="9"/>
      <c r="U1256" s="9"/>
      <c r="V1256" s="9"/>
      <c r="W1256" s="9"/>
      <c r="X1256" s="23">
        <f>IF(ISNUMBER(S1256),S1256,IF(ISNUMBER(I1256),I1256,""))</f>
        <v>20</v>
      </c>
      <c r="Y1256" t="str">
        <f>IF(ISNUMBER(S1256),"2025 EIA-923 plant/group proxy",IF(ISNUMBER(I1256),"Technology estimate","No thermal heat rate"))</f>
        <v>Technology estimate</v>
      </c>
      <c r="Z1256" t="str">
        <f>IF(ISNUMBER(S1256),"Review: NOT unit verified",IF(AE1256="No match","No EIA match",IF(AF1256="Unconfirmed","Unconfirmed EIA candidate","")))</f>
        <v>No EIA match</v>
      </c>
      <c r="AE1256" t="s">
        <v>107</v>
      </c>
      <c r="AG1256" s="24">
        <f>IF(ISBLANK(S1256),S1256,I1256)</f>
        <v>20</v>
      </c>
      <c r="AH1256" s="34">
        <f t="shared" si="44"/>
        <v>182844.89999999985</v>
      </c>
      <c r="AI1256">
        <f t="shared" si="43"/>
        <v>114183.43852269213</v>
      </c>
      <c r="AJ1256" t="b" cm="1">
        <f t="array" ref="AJ1256">OR(D1256=$AT$2:$AT$8)</f>
        <v>1</v>
      </c>
    </row>
    <row r="1257" spans="1:36" x14ac:dyDescent="0.25">
      <c r="A1257" s="2" t="s">
        <v>1320</v>
      </c>
      <c r="B1257" s="3">
        <v>19.399999999999999</v>
      </c>
      <c r="C1257" s="2" t="s">
        <v>75</v>
      </c>
      <c r="D1257" s="2" t="s">
        <v>76</v>
      </c>
      <c r="E1257" s="2" t="s">
        <v>102</v>
      </c>
      <c r="F1257" s="4" t="s">
        <v>103</v>
      </c>
      <c r="G1257" s="4" t="s">
        <v>104</v>
      </c>
      <c r="H1257" s="5">
        <v>20</v>
      </c>
      <c r="I1257" s="5">
        <v>20</v>
      </c>
      <c r="J1257" s="5">
        <v>20</v>
      </c>
      <c r="K1257" s="4" t="s">
        <v>105</v>
      </c>
      <c r="L1257" s="4" t="s">
        <v>106</v>
      </c>
      <c r="M1257" s="6">
        <f>IF(OR(B1257="",I1257=""),"",B1257*I1257)</f>
        <v>388</v>
      </c>
      <c r="N1257" s="10" t="s">
        <v>10</v>
      </c>
      <c r="O1257" s="9"/>
      <c r="P1257" s="9"/>
      <c r="Q1257" s="22"/>
      <c r="R1257" s="22"/>
      <c r="S1257" s="23" t="str">
        <f>IF(AND(ISNUMBER(Q1257),Q1257&gt;0,ISNUMBER(R1257),R1257&gt;0),R1257/Q1257,"")</f>
        <v/>
      </c>
      <c r="T1257" s="9"/>
      <c r="U1257" s="9"/>
      <c r="V1257" s="9"/>
      <c r="W1257" s="9"/>
      <c r="X1257" s="23">
        <f>IF(ISNUMBER(S1257),S1257,IF(ISNUMBER(I1257),I1257,""))</f>
        <v>20</v>
      </c>
      <c r="Y1257" t="str">
        <f>IF(ISNUMBER(S1257),"2025 EIA-923 plant/group proxy",IF(ISNUMBER(I1257),"Technology estimate","No thermal heat rate"))</f>
        <v>Technology estimate</v>
      </c>
      <c r="Z1257" t="str">
        <f>IF(ISNUMBER(S1257),"Review: NOT unit verified",IF(AE1257="No match","No EIA match",IF(AF1257="Unconfirmed","Unconfirmed EIA candidate","")))</f>
        <v>No EIA match</v>
      </c>
      <c r="AE1257" t="s">
        <v>107</v>
      </c>
      <c r="AG1257" s="24">
        <f>IF(ISBLANK(S1257),S1257,I1257)</f>
        <v>20</v>
      </c>
      <c r="AH1257" s="34">
        <f t="shared" si="44"/>
        <v>182864.29999999984</v>
      </c>
      <c r="AI1257">
        <f t="shared" si="43"/>
        <v>114195.55348300734</v>
      </c>
      <c r="AJ1257" t="b" cm="1">
        <f t="array" ref="AJ1257">OR(D1257=$AT$2:$AT$8)</f>
        <v>0</v>
      </c>
    </row>
    <row r="1258" spans="1:36" x14ac:dyDescent="0.25">
      <c r="A1258" s="2" t="s">
        <v>1350</v>
      </c>
      <c r="B1258" s="3">
        <v>52</v>
      </c>
      <c r="C1258" s="2" t="s">
        <v>305</v>
      </c>
      <c r="D1258" s="2" t="s">
        <v>305</v>
      </c>
      <c r="E1258" s="2" t="s">
        <v>102</v>
      </c>
      <c r="F1258" s="4" t="s">
        <v>103</v>
      </c>
      <c r="G1258" s="4" t="s">
        <v>104</v>
      </c>
      <c r="H1258" s="5">
        <v>20</v>
      </c>
      <c r="I1258" s="5">
        <v>20</v>
      </c>
      <c r="J1258" s="5">
        <v>20</v>
      </c>
      <c r="K1258" s="4" t="s">
        <v>105</v>
      </c>
      <c r="L1258" s="4" t="s">
        <v>106</v>
      </c>
      <c r="M1258" s="6">
        <f>IF(OR(B1258="",I1258=""),"",B1258*I1258)</f>
        <v>1040</v>
      </c>
      <c r="N1258" s="10" t="s">
        <v>10</v>
      </c>
      <c r="O1258" s="9"/>
      <c r="P1258" s="9"/>
      <c r="Q1258" s="22"/>
      <c r="R1258" s="22"/>
      <c r="S1258" s="23" t="str">
        <f>IF(AND(ISNUMBER(Q1258),Q1258&gt;0,ISNUMBER(R1258),R1258&gt;0),R1258/Q1258,"")</f>
        <v/>
      </c>
      <c r="T1258" s="9"/>
      <c r="U1258" s="9"/>
      <c r="V1258" s="9"/>
      <c r="W1258" s="9"/>
      <c r="X1258" s="23">
        <f>IF(ISNUMBER(S1258),S1258,IF(ISNUMBER(I1258),I1258,""))</f>
        <v>20</v>
      </c>
      <c r="Y1258" t="str">
        <f>IF(ISNUMBER(S1258),"2025 EIA-923 plant/group proxy",IF(ISNUMBER(I1258),"Technology estimate","No thermal heat rate"))</f>
        <v>Technology estimate</v>
      </c>
      <c r="Z1258" t="str">
        <f>IF(ISNUMBER(S1258),"Review: NOT unit verified",IF(AE1258="No match","No EIA match",IF(AF1258="Unconfirmed","Unconfirmed EIA candidate","")))</f>
        <v>No EIA match</v>
      </c>
      <c r="AE1258" t="s">
        <v>107</v>
      </c>
      <c r="AG1258" s="24">
        <f>IF(ISBLANK(S1258),S1258,I1258)</f>
        <v>20</v>
      </c>
      <c r="AH1258" s="34">
        <f t="shared" si="44"/>
        <v>182916.29999999984</v>
      </c>
      <c r="AI1258">
        <f t="shared" si="43"/>
        <v>114228.02657251206</v>
      </c>
      <c r="AJ1258" t="b" cm="1">
        <f t="array" ref="AJ1258">OR(D1258=$AT$2:$AT$8)</f>
        <v>1</v>
      </c>
    </row>
    <row r="1259" spans="1:36" x14ac:dyDescent="0.25">
      <c r="A1259" s="2" t="s">
        <v>1351</v>
      </c>
      <c r="B1259" s="3">
        <v>51</v>
      </c>
      <c r="C1259" s="2" t="s">
        <v>305</v>
      </c>
      <c r="D1259" s="2" t="s">
        <v>305</v>
      </c>
      <c r="E1259" s="2" t="s">
        <v>102</v>
      </c>
      <c r="F1259" s="4" t="s">
        <v>103</v>
      </c>
      <c r="G1259" s="4" t="s">
        <v>104</v>
      </c>
      <c r="H1259" s="5">
        <v>20</v>
      </c>
      <c r="I1259" s="5">
        <v>20</v>
      </c>
      <c r="J1259" s="5">
        <v>20</v>
      </c>
      <c r="K1259" s="4" t="s">
        <v>105</v>
      </c>
      <c r="L1259" s="4" t="s">
        <v>106</v>
      </c>
      <c r="M1259" s="6">
        <f>IF(OR(B1259="",I1259=""),"",B1259*I1259)</f>
        <v>1020</v>
      </c>
      <c r="N1259" s="10" t="s">
        <v>10</v>
      </c>
      <c r="O1259" s="9"/>
      <c r="P1259" s="9"/>
      <c r="Q1259" s="22"/>
      <c r="R1259" s="22"/>
      <c r="S1259" s="23" t="str">
        <f>IF(AND(ISNUMBER(Q1259),Q1259&gt;0,ISNUMBER(R1259),R1259&gt;0),R1259/Q1259,"")</f>
        <v/>
      </c>
      <c r="T1259" s="9"/>
      <c r="U1259" s="9"/>
      <c r="V1259" s="9"/>
      <c r="W1259" s="9"/>
      <c r="X1259" s="23">
        <f>IF(ISNUMBER(S1259),S1259,IF(ISNUMBER(I1259),I1259,""))</f>
        <v>20</v>
      </c>
      <c r="Y1259" t="str">
        <f>IF(ISNUMBER(S1259),"2025 EIA-923 plant/group proxy",IF(ISNUMBER(I1259),"Technology estimate","No thermal heat rate"))</f>
        <v>Technology estimate</v>
      </c>
      <c r="Z1259" t="str">
        <f>IF(ISNUMBER(S1259),"Review: NOT unit verified",IF(AE1259="No match","No EIA match",IF(AF1259="Unconfirmed","Unconfirmed EIA candidate","")))</f>
        <v>No EIA match</v>
      </c>
      <c r="AE1259" t="s">
        <v>107</v>
      </c>
      <c r="AG1259" s="24">
        <f>IF(ISBLANK(S1259),S1259,I1259)</f>
        <v>20</v>
      </c>
      <c r="AH1259" s="34">
        <f t="shared" si="44"/>
        <v>182967.29999999984</v>
      </c>
      <c r="AI1259">
        <f t="shared" si="43"/>
        <v>114259.87517952629</v>
      </c>
      <c r="AJ1259" t="b" cm="1">
        <f t="array" ref="AJ1259">OR(D1259=$AT$2:$AT$8)</f>
        <v>1</v>
      </c>
    </row>
    <row r="1260" spans="1:36" x14ac:dyDescent="0.25">
      <c r="A1260" s="2" t="s">
        <v>1352</v>
      </c>
      <c r="B1260" s="3">
        <v>52</v>
      </c>
      <c r="C1260" s="2" t="s">
        <v>305</v>
      </c>
      <c r="D1260" s="2" t="s">
        <v>305</v>
      </c>
      <c r="E1260" s="2" t="s">
        <v>102</v>
      </c>
      <c r="F1260" s="4" t="s">
        <v>103</v>
      </c>
      <c r="G1260" s="4" t="s">
        <v>104</v>
      </c>
      <c r="H1260" s="5">
        <v>20</v>
      </c>
      <c r="I1260" s="5">
        <v>20</v>
      </c>
      <c r="J1260" s="5">
        <v>20</v>
      </c>
      <c r="K1260" s="4" t="s">
        <v>105</v>
      </c>
      <c r="L1260" s="4" t="s">
        <v>106</v>
      </c>
      <c r="M1260" s="6">
        <f>IF(OR(B1260="",I1260=""),"",B1260*I1260)</f>
        <v>1040</v>
      </c>
      <c r="N1260" s="10" t="s">
        <v>10</v>
      </c>
      <c r="O1260" s="9"/>
      <c r="P1260" s="9"/>
      <c r="Q1260" s="22"/>
      <c r="R1260" s="22"/>
      <c r="S1260" s="23" t="str">
        <f>IF(AND(ISNUMBER(Q1260),Q1260&gt;0,ISNUMBER(R1260),R1260&gt;0),R1260/Q1260,"")</f>
        <v/>
      </c>
      <c r="T1260" s="9"/>
      <c r="U1260" s="9"/>
      <c r="V1260" s="9"/>
      <c r="W1260" s="9"/>
      <c r="X1260" s="23">
        <f>IF(ISNUMBER(S1260),S1260,IF(ISNUMBER(I1260),I1260,""))</f>
        <v>20</v>
      </c>
      <c r="Y1260" t="str">
        <f>IF(ISNUMBER(S1260),"2025 EIA-923 plant/group proxy",IF(ISNUMBER(I1260),"Technology estimate","No thermal heat rate"))</f>
        <v>Technology estimate</v>
      </c>
      <c r="Z1260" t="str">
        <f>IF(ISNUMBER(S1260),"Review: NOT unit verified",IF(AE1260="No match","No EIA match",IF(AF1260="Unconfirmed","Unconfirmed EIA candidate","")))</f>
        <v>No EIA match</v>
      </c>
      <c r="AE1260" t="s">
        <v>107</v>
      </c>
      <c r="AG1260" s="24">
        <f>IF(ISBLANK(S1260),S1260,I1260)</f>
        <v>20</v>
      </c>
      <c r="AH1260" s="34">
        <f t="shared" si="44"/>
        <v>183019.29999999984</v>
      </c>
      <c r="AI1260">
        <f t="shared" si="43"/>
        <v>114292.348269031</v>
      </c>
      <c r="AJ1260" t="b" cm="1">
        <f t="array" ref="AJ1260">OR(D1260=$AT$2:$AT$8)</f>
        <v>1</v>
      </c>
    </row>
    <row r="1261" spans="1:36" x14ac:dyDescent="0.25">
      <c r="A1261" s="2" t="s">
        <v>1354</v>
      </c>
      <c r="B1261" s="3">
        <v>15.3</v>
      </c>
      <c r="C1261" s="2" t="s">
        <v>305</v>
      </c>
      <c r="D1261" s="2" t="s">
        <v>305</v>
      </c>
      <c r="E1261" s="2" t="s">
        <v>102</v>
      </c>
      <c r="F1261" s="4" t="s">
        <v>103</v>
      </c>
      <c r="G1261" s="4" t="s">
        <v>104</v>
      </c>
      <c r="H1261" s="5">
        <v>20</v>
      </c>
      <c r="I1261" s="5">
        <v>20</v>
      </c>
      <c r="J1261" s="5">
        <v>20</v>
      </c>
      <c r="K1261" s="4" t="s">
        <v>105</v>
      </c>
      <c r="L1261" s="4" t="s">
        <v>106</v>
      </c>
      <c r="M1261" s="6">
        <f>IF(OR(B1261="",I1261=""),"",B1261*I1261)</f>
        <v>306</v>
      </c>
      <c r="N1261" s="10" t="s">
        <v>10</v>
      </c>
      <c r="O1261" s="9"/>
      <c r="P1261" s="9"/>
      <c r="Q1261" s="22"/>
      <c r="R1261" s="22"/>
      <c r="S1261" s="23" t="str">
        <f>IF(AND(ISNUMBER(Q1261),Q1261&gt;0,ISNUMBER(R1261),R1261&gt;0),R1261/Q1261,"")</f>
        <v/>
      </c>
      <c r="T1261" s="9"/>
      <c r="U1261" s="9"/>
      <c r="V1261" s="9"/>
      <c r="W1261" s="9"/>
      <c r="X1261" s="23">
        <f>IF(ISNUMBER(S1261),S1261,IF(ISNUMBER(I1261),I1261,""))</f>
        <v>20</v>
      </c>
      <c r="Y1261" t="str">
        <f>IF(ISNUMBER(S1261),"2025 EIA-923 plant/group proxy",IF(ISNUMBER(I1261),"Technology estimate","No thermal heat rate"))</f>
        <v>Technology estimate</v>
      </c>
      <c r="Z1261" t="str">
        <f>IF(ISNUMBER(S1261),"Review: NOT unit verified",IF(AE1261="No match","No EIA match",IF(AF1261="Unconfirmed","Unconfirmed EIA candidate","")))</f>
        <v>No EIA match</v>
      </c>
      <c r="AE1261" t="s">
        <v>107</v>
      </c>
      <c r="AG1261" s="24">
        <f>IF(ISBLANK(S1261),S1261,I1261)</f>
        <v>20</v>
      </c>
      <c r="AH1261" s="34">
        <f t="shared" si="44"/>
        <v>183034.59999999983</v>
      </c>
      <c r="AI1261">
        <f t="shared" si="43"/>
        <v>114301.90285113527</v>
      </c>
      <c r="AJ1261" t="b" cm="1">
        <f t="array" ref="AJ1261">OR(D1261=$AT$2:$AT$8)</f>
        <v>1</v>
      </c>
    </row>
    <row r="1262" spans="1:36" x14ac:dyDescent="0.25">
      <c r="A1262" s="2" t="s">
        <v>1355</v>
      </c>
      <c r="B1262" s="3">
        <v>14.8</v>
      </c>
      <c r="C1262" s="2" t="s">
        <v>305</v>
      </c>
      <c r="D1262" s="2" t="s">
        <v>305</v>
      </c>
      <c r="E1262" s="2" t="s">
        <v>102</v>
      </c>
      <c r="F1262" s="4" t="s">
        <v>103</v>
      </c>
      <c r="G1262" s="4" t="s">
        <v>104</v>
      </c>
      <c r="H1262" s="5">
        <v>20</v>
      </c>
      <c r="I1262" s="5">
        <v>20</v>
      </c>
      <c r="J1262" s="5">
        <v>20</v>
      </c>
      <c r="K1262" s="4" t="s">
        <v>105</v>
      </c>
      <c r="L1262" s="4" t="s">
        <v>106</v>
      </c>
      <c r="M1262" s="6">
        <f>IF(OR(B1262="",I1262=""),"",B1262*I1262)</f>
        <v>296</v>
      </c>
      <c r="N1262" s="10" t="s">
        <v>10</v>
      </c>
      <c r="O1262" s="9"/>
      <c r="P1262" s="9"/>
      <c r="Q1262" s="22"/>
      <c r="R1262" s="22"/>
      <c r="S1262" s="23" t="str">
        <f>IF(AND(ISNUMBER(Q1262),Q1262&gt;0,ISNUMBER(R1262),R1262&gt;0),R1262/Q1262,"")</f>
        <v/>
      </c>
      <c r="T1262" s="9"/>
      <c r="U1262" s="9"/>
      <c r="V1262" s="9"/>
      <c r="W1262" s="9"/>
      <c r="X1262" s="23">
        <f>IF(ISNUMBER(S1262),S1262,IF(ISNUMBER(I1262),I1262,""))</f>
        <v>20</v>
      </c>
      <c r="Y1262" t="str">
        <f>IF(ISNUMBER(S1262),"2025 EIA-923 plant/group proxy",IF(ISNUMBER(I1262),"Technology estimate","No thermal heat rate"))</f>
        <v>Technology estimate</v>
      </c>
      <c r="Z1262" t="str">
        <f>IF(ISNUMBER(S1262),"Review: NOT unit verified",IF(AE1262="No match","No EIA match",IF(AF1262="Unconfirmed","Unconfirmed EIA candidate","")))</f>
        <v>No EIA match</v>
      </c>
      <c r="AE1262" t="s">
        <v>107</v>
      </c>
      <c r="AG1262" s="24">
        <f>IF(ISBLANK(S1262),S1262,I1262)</f>
        <v>20</v>
      </c>
      <c r="AH1262" s="34">
        <f t="shared" si="44"/>
        <v>183049.39999999982</v>
      </c>
      <c r="AI1262">
        <f t="shared" si="43"/>
        <v>114311.14519199429</v>
      </c>
      <c r="AJ1262" t="b" cm="1">
        <f t="array" ref="AJ1262">OR(D1262=$AT$2:$AT$8)</f>
        <v>1</v>
      </c>
    </row>
    <row r="1263" spans="1:36" x14ac:dyDescent="0.25">
      <c r="A1263" s="2" t="s">
        <v>1356</v>
      </c>
      <c r="B1263" s="3">
        <v>14.8</v>
      </c>
      <c r="C1263" s="2" t="s">
        <v>305</v>
      </c>
      <c r="D1263" s="2" t="s">
        <v>305</v>
      </c>
      <c r="E1263" s="2" t="s">
        <v>102</v>
      </c>
      <c r="F1263" s="4" t="s">
        <v>103</v>
      </c>
      <c r="G1263" s="4" t="s">
        <v>104</v>
      </c>
      <c r="H1263" s="5">
        <v>20</v>
      </c>
      <c r="I1263" s="5">
        <v>20</v>
      </c>
      <c r="J1263" s="5">
        <v>20</v>
      </c>
      <c r="K1263" s="4" t="s">
        <v>105</v>
      </c>
      <c r="L1263" s="4" t="s">
        <v>106</v>
      </c>
      <c r="M1263" s="6">
        <f>IF(OR(B1263="",I1263=""),"",B1263*I1263)</f>
        <v>296</v>
      </c>
      <c r="N1263" s="10" t="s">
        <v>10</v>
      </c>
      <c r="O1263" s="9"/>
      <c r="P1263" s="9"/>
      <c r="Q1263" s="22"/>
      <c r="R1263" s="22"/>
      <c r="S1263" s="23" t="str">
        <f>IF(AND(ISNUMBER(Q1263),Q1263&gt;0,ISNUMBER(R1263),R1263&gt;0),R1263/Q1263,"")</f>
        <v/>
      </c>
      <c r="T1263" s="9"/>
      <c r="U1263" s="9"/>
      <c r="V1263" s="9"/>
      <c r="W1263" s="9"/>
      <c r="X1263" s="23">
        <f>IF(ISNUMBER(S1263),S1263,IF(ISNUMBER(I1263),I1263,""))</f>
        <v>20</v>
      </c>
      <c r="Y1263" t="str">
        <f>IF(ISNUMBER(S1263),"2025 EIA-923 plant/group proxy",IF(ISNUMBER(I1263),"Technology estimate","No thermal heat rate"))</f>
        <v>Technology estimate</v>
      </c>
      <c r="Z1263" t="str">
        <f>IF(ISNUMBER(S1263),"Review: NOT unit verified",IF(AE1263="No match","No EIA match",IF(AF1263="Unconfirmed","Unconfirmed EIA candidate","")))</f>
        <v>No EIA match</v>
      </c>
      <c r="AE1263" t="s">
        <v>107</v>
      </c>
      <c r="AG1263" s="24">
        <f>IF(ISBLANK(S1263),S1263,I1263)</f>
        <v>20</v>
      </c>
      <c r="AH1263" s="34">
        <f t="shared" si="44"/>
        <v>183064.19999999981</v>
      </c>
      <c r="AI1263">
        <f t="shared" si="43"/>
        <v>114320.38753285332</v>
      </c>
      <c r="AJ1263" t="b" cm="1">
        <f t="array" ref="AJ1263">OR(D1263=$AT$2:$AT$8)</f>
        <v>1</v>
      </c>
    </row>
    <row r="1264" spans="1:36" x14ac:dyDescent="0.25">
      <c r="A1264" s="2" t="s">
        <v>1357</v>
      </c>
      <c r="B1264" s="3">
        <v>14.8</v>
      </c>
      <c r="C1264" s="2" t="s">
        <v>305</v>
      </c>
      <c r="D1264" s="2" t="s">
        <v>305</v>
      </c>
      <c r="E1264" s="2" t="s">
        <v>102</v>
      </c>
      <c r="F1264" s="4" t="s">
        <v>103</v>
      </c>
      <c r="G1264" s="4" t="s">
        <v>104</v>
      </c>
      <c r="H1264" s="5">
        <v>20</v>
      </c>
      <c r="I1264" s="5">
        <v>20</v>
      </c>
      <c r="J1264" s="5">
        <v>20</v>
      </c>
      <c r="K1264" s="4" t="s">
        <v>105</v>
      </c>
      <c r="L1264" s="4" t="s">
        <v>106</v>
      </c>
      <c r="M1264" s="6">
        <f>IF(OR(B1264="",I1264=""),"",B1264*I1264)</f>
        <v>296</v>
      </c>
      <c r="N1264" s="10" t="s">
        <v>10</v>
      </c>
      <c r="O1264" s="9"/>
      <c r="P1264" s="9"/>
      <c r="Q1264" s="22"/>
      <c r="R1264" s="22"/>
      <c r="S1264" s="23" t="str">
        <f>IF(AND(ISNUMBER(Q1264),Q1264&gt;0,ISNUMBER(R1264),R1264&gt;0),R1264/Q1264,"")</f>
        <v/>
      </c>
      <c r="T1264" s="9"/>
      <c r="U1264" s="9"/>
      <c r="V1264" s="9"/>
      <c r="W1264" s="9"/>
      <c r="X1264" s="23">
        <f>IF(ISNUMBER(S1264),S1264,IF(ISNUMBER(I1264),I1264,""))</f>
        <v>20</v>
      </c>
      <c r="Y1264" t="str">
        <f>IF(ISNUMBER(S1264),"2025 EIA-923 plant/group proxy",IF(ISNUMBER(I1264),"Technology estimate","No thermal heat rate"))</f>
        <v>Technology estimate</v>
      </c>
      <c r="Z1264" t="str">
        <f>IF(ISNUMBER(S1264),"Review: NOT unit verified",IF(AE1264="No match","No EIA match",IF(AF1264="Unconfirmed","Unconfirmed EIA candidate","")))</f>
        <v>No EIA match</v>
      </c>
      <c r="AE1264" t="s">
        <v>107</v>
      </c>
      <c r="AG1264" s="24">
        <f>IF(ISBLANK(S1264),S1264,I1264)</f>
        <v>20</v>
      </c>
      <c r="AH1264" s="34">
        <f t="shared" si="44"/>
        <v>183078.9999999998</v>
      </c>
      <c r="AI1264">
        <f t="shared" si="43"/>
        <v>114329.62987371234</v>
      </c>
      <c r="AJ1264" t="b" cm="1">
        <f t="array" ref="AJ1264">OR(D1264=$AT$2:$AT$8)</f>
        <v>1</v>
      </c>
    </row>
    <row r="1265" spans="1:36" x14ac:dyDescent="0.25">
      <c r="A1265" s="2" t="s">
        <v>1371</v>
      </c>
      <c r="B1265" s="3">
        <v>6</v>
      </c>
      <c r="C1265" s="2" t="s">
        <v>136</v>
      </c>
      <c r="D1265" s="2" t="s">
        <v>136</v>
      </c>
      <c r="E1265" s="2" t="s">
        <v>102</v>
      </c>
      <c r="F1265" s="4" t="s">
        <v>103</v>
      </c>
      <c r="G1265" s="4" t="s">
        <v>104</v>
      </c>
      <c r="H1265" s="5">
        <v>20</v>
      </c>
      <c r="I1265" s="5">
        <v>20</v>
      </c>
      <c r="J1265" s="5">
        <v>20</v>
      </c>
      <c r="K1265" s="4" t="s">
        <v>105</v>
      </c>
      <c r="L1265" s="4" t="s">
        <v>106</v>
      </c>
      <c r="M1265" s="6">
        <f>IF(OR(B1265="",I1265=""),"",B1265*I1265)</f>
        <v>120</v>
      </c>
      <c r="N1265" s="10" t="s">
        <v>10</v>
      </c>
      <c r="O1265" s="9"/>
      <c r="P1265" s="9"/>
      <c r="Q1265" s="22"/>
      <c r="R1265" s="22"/>
      <c r="S1265" s="23" t="str">
        <f>IF(AND(ISNUMBER(Q1265),Q1265&gt;0,ISNUMBER(R1265),R1265&gt;0),R1265/Q1265,"")</f>
        <v/>
      </c>
      <c r="T1265" s="9"/>
      <c r="U1265" s="9"/>
      <c r="V1265" s="9"/>
      <c r="W1265" s="9"/>
      <c r="X1265" s="23">
        <f>IF(ISNUMBER(S1265),S1265,IF(ISNUMBER(I1265),I1265,""))</f>
        <v>20</v>
      </c>
      <c r="Y1265" t="str">
        <f>IF(ISNUMBER(S1265),"2025 EIA-923 plant/group proxy",IF(ISNUMBER(I1265),"Technology estimate","No thermal heat rate"))</f>
        <v>Technology estimate</v>
      </c>
      <c r="Z1265" t="str">
        <f>IF(ISNUMBER(S1265),"Review: NOT unit verified",IF(AE1265="No match","No EIA match",IF(AF1265="Unconfirmed","Unconfirmed EIA candidate","")))</f>
        <v>No EIA match</v>
      </c>
      <c r="AE1265" t="s">
        <v>107</v>
      </c>
      <c r="AG1265" s="24">
        <f>IF(ISBLANK(S1265),S1265,I1265)</f>
        <v>20</v>
      </c>
      <c r="AH1265" s="34">
        <f t="shared" si="44"/>
        <v>183084.9999999998</v>
      </c>
      <c r="AI1265">
        <f t="shared" si="43"/>
        <v>114333.3767686552</v>
      </c>
      <c r="AJ1265" t="b" cm="1">
        <f t="array" ref="AJ1265">OR(D1265=$AT$2:$AT$8)</f>
        <v>0</v>
      </c>
    </row>
    <row r="1266" spans="1:36" x14ac:dyDescent="0.25">
      <c r="A1266" s="2" t="s">
        <v>1396</v>
      </c>
      <c r="B1266" s="3">
        <v>140.5</v>
      </c>
      <c r="C1266" s="2" t="s">
        <v>75</v>
      </c>
      <c r="D1266" s="2" t="s">
        <v>76</v>
      </c>
      <c r="E1266" s="2" t="s">
        <v>102</v>
      </c>
      <c r="F1266" s="4" t="s">
        <v>103</v>
      </c>
      <c r="G1266" s="4" t="s">
        <v>104</v>
      </c>
      <c r="H1266" s="5">
        <v>20</v>
      </c>
      <c r="I1266" s="5">
        <v>20</v>
      </c>
      <c r="J1266" s="5">
        <v>20</v>
      </c>
      <c r="K1266" s="4" t="s">
        <v>105</v>
      </c>
      <c r="L1266" s="4" t="s">
        <v>106</v>
      </c>
      <c r="M1266" s="6">
        <f>IF(OR(B1266="",I1266=""),"",B1266*I1266)</f>
        <v>2810</v>
      </c>
      <c r="N1266" s="10" t="s">
        <v>10</v>
      </c>
      <c r="O1266" s="9"/>
      <c r="P1266" s="9"/>
      <c r="Q1266" s="22"/>
      <c r="R1266" s="22"/>
      <c r="S1266" s="23" t="str">
        <f>IF(AND(ISNUMBER(Q1266),Q1266&gt;0,ISNUMBER(R1266),R1266&gt;0),R1266/Q1266,"")</f>
        <v/>
      </c>
      <c r="T1266" s="9"/>
      <c r="U1266" s="9"/>
      <c r="V1266" s="9"/>
      <c r="W1266" s="9"/>
      <c r="X1266" s="23">
        <f>IF(ISNUMBER(S1266),S1266,IF(ISNUMBER(I1266),I1266,""))</f>
        <v>20</v>
      </c>
      <c r="Y1266" t="str">
        <f>IF(ISNUMBER(S1266),"2025 EIA-923 plant/group proxy",IF(ISNUMBER(I1266),"Technology estimate","No thermal heat rate"))</f>
        <v>Technology estimate</v>
      </c>
      <c r="Z1266" t="str">
        <f>IF(ISNUMBER(S1266),"Review: NOT unit verified",IF(AE1266="No match","No EIA match",IF(AF1266="Unconfirmed","Unconfirmed EIA candidate","")))</f>
        <v>No EIA match</v>
      </c>
      <c r="AE1266" t="s">
        <v>107</v>
      </c>
      <c r="AG1266" s="24">
        <f>IF(ISBLANK(S1266),S1266,I1266)</f>
        <v>20</v>
      </c>
      <c r="AH1266" s="34">
        <f t="shared" si="44"/>
        <v>183225.4999999998</v>
      </c>
      <c r="AI1266">
        <f t="shared" si="43"/>
        <v>114421.11655856697</v>
      </c>
      <c r="AJ1266" t="b" cm="1">
        <f t="array" ref="AJ1266">OR(D1266=$AT$2:$AT$8)</f>
        <v>0</v>
      </c>
    </row>
    <row r="1267" spans="1:36" x14ac:dyDescent="0.25">
      <c r="A1267" s="2" t="s">
        <v>1400</v>
      </c>
      <c r="B1267" s="3">
        <v>71.5</v>
      </c>
      <c r="C1267" s="2" t="s">
        <v>78</v>
      </c>
      <c r="D1267" s="2" t="s">
        <v>78</v>
      </c>
      <c r="E1267" s="2" t="s">
        <v>102</v>
      </c>
      <c r="F1267" s="4" t="s">
        <v>103</v>
      </c>
      <c r="G1267" s="4" t="s">
        <v>104</v>
      </c>
      <c r="H1267" s="5">
        <v>20</v>
      </c>
      <c r="I1267" s="5">
        <v>20</v>
      </c>
      <c r="J1267" s="5">
        <v>20</v>
      </c>
      <c r="K1267" s="4" t="s">
        <v>105</v>
      </c>
      <c r="L1267" s="4" t="s">
        <v>106</v>
      </c>
      <c r="M1267" s="6">
        <f>IF(OR(B1267="",I1267=""),"",B1267*I1267)</f>
        <v>1430</v>
      </c>
      <c r="N1267" s="10" t="s">
        <v>10</v>
      </c>
      <c r="O1267" s="9"/>
      <c r="P1267" s="9"/>
      <c r="Q1267" s="22"/>
      <c r="R1267" s="22"/>
      <c r="S1267" s="23" t="str">
        <f>IF(AND(ISNUMBER(Q1267),Q1267&gt;0,ISNUMBER(R1267),R1267&gt;0),R1267/Q1267,"")</f>
        <v/>
      </c>
      <c r="T1267" s="9"/>
      <c r="U1267" s="9"/>
      <c r="V1267" s="9"/>
      <c r="W1267" s="9"/>
      <c r="X1267" s="23">
        <f>IF(ISNUMBER(S1267),S1267,IF(ISNUMBER(I1267),I1267,""))</f>
        <v>20</v>
      </c>
      <c r="Y1267" t="str">
        <f>IF(ISNUMBER(S1267),"2025 EIA-923 plant/group proxy",IF(ISNUMBER(I1267),"Technology estimate","No thermal heat rate"))</f>
        <v>Technology estimate</v>
      </c>
      <c r="Z1267" t="str">
        <f>IF(ISNUMBER(S1267),"Review: NOT unit verified",IF(AE1267="No match","No EIA match",IF(AF1267="Unconfirmed","Unconfirmed EIA candidate","")))</f>
        <v>No EIA match</v>
      </c>
      <c r="AE1267" t="s">
        <v>107</v>
      </c>
      <c r="AG1267" s="24">
        <f>IF(ISBLANK(S1267),S1267,I1267)</f>
        <v>20</v>
      </c>
      <c r="AH1267" s="34">
        <f t="shared" si="44"/>
        <v>183296.9999999998</v>
      </c>
      <c r="AI1267">
        <f t="shared" si="43"/>
        <v>114465.76705663594</v>
      </c>
      <c r="AJ1267" t="b" cm="1">
        <f t="array" ref="AJ1267">OR(D1267=$AT$2:$AT$8)</f>
        <v>1</v>
      </c>
    </row>
    <row r="1268" spans="1:36" x14ac:dyDescent="0.25">
      <c r="A1268" s="2" t="s">
        <v>1456</v>
      </c>
      <c r="B1268" s="3">
        <v>22.2</v>
      </c>
      <c r="C1268" s="2" t="s">
        <v>68</v>
      </c>
      <c r="D1268" s="2" t="s">
        <v>58</v>
      </c>
      <c r="E1268" s="2" t="s">
        <v>102</v>
      </c>
      <c r="F1268" s="4" t="s">
        <v>103</v>
      </c>
      <c r="G1268" s="4" t="s">
        <v>104</v>
      </c>
      <c r="H1268" s="5">
        <v>20</v>
      </c>
      <c r="I1268" s="5">
        <v>20</v>
      </c>
      <c r="J1268" s="5">
        <v>20</v>
      </c>
      <c r="K1268" s="4" t="s">
        <v>105</v>
      </c>
      <c r="L1268" s="4" t="s">
        <v>106</v>
      </c>
      <c r="M1268" s="6">
        <f>IF(OR(B1268="",I1268=""),"",B1268*I1268)</f>
        <v>444</v>
      </c>
      <c r="N1268" s="10" t="s">
        <v>10</v>
      </c>
      <c r="O1268" s="9"/>
      <c r="P1268" s="9"/>
      <c r="Q1268" s="22"/>
      <c r="R1268" s="22"/>
      <c r="S1268" s="23" t="str">
        <f>IF(AND(ISNUMBER(Q1268),Q1268&gt;0,ISNUMBER(R1268),R1268&gt;0),R1268/Q1268,"")</f>
        <v/>
      </c>
      <c r="T1268" s="9"/>
      <c r="U1268" s="9"/>
      <c r="V1268" s="9"/>
      <c r="W1268" s="9"/>
      <c r="X1268" s="23">
        <f>IF(ISNUMBER(S1268),S1268,IF(ISNUMBER(I1268),I1268,""))</f>
        <v>20</v>
      </c>
      <c r="Y1268" t="str">
        <f>IF(ISNUMBER(S1268),"2025 EIA-923 plant/group proxy",IF(ISNUMBER(I1268),"Technology estimate","No thermal heat rate"))</f>
        <v>Technology estimate</v>
      </c>
      <c r="Z1268" t="str">
        <f>IF(ISNUMBER(S1268),"Review: NOT unit verified",IF(AE1268="No match","No EIA match",IF(AF1268="Unconfirmed","Unconfirmed EIA candidate","")))</f>
        <v>No EIA match</v>
      </c>
      <c r="AE1268" t="s">
        <v>107</v>
      </c>
      <c r="AG1268" s="24">
        <f>IF(ISBLANK(S1268),S1268,I1268)</f>
        <v>20</v>
      </c>
      <c r="AH1268" s="34">
        <f t="shared" si="44"/>
        <v>183319.19999999981</v>
      </c>
      <c r="AI1268">
        <f t="shared" si="43"/>
        <v>114479.6305679245</v>
      </c>
      <c r="AJ1268" t="b" cm="1">
        <f t="array" ref="AJ1268">OR(D1268=$AT$2:$AT$8)</f>
        <v>0</v>
      </c>
    </row>
    <row r="1269" spans="1:36" x14ac:dyDescent="0.25">
      <c r="A1269" s="2" t="s">
        <v>1476</v>
      </c>
      <c r="B1269" s="3">
        <v>11</v>
      </c>
      <c r="C1269" s="2" t="s">
        <v>147</v>
      </c>
      <c r="D1269" s="2" t="s">
        <v>147</v>
      </c>
      <c r="E1269" s="2" t="s">
        <v>102</v>
      </c>
      <c r="F1269" s="4" t="s">
        <v>103</v>
      </c>
      <c r="G1269" s="4" t="s">
        <v>104</v>
      </c>
      <c r="H1269" s="5">
        <v>20</v>
      </c>
      <c r="I1269" s="5">
        <v>20</v>
      </c>
      <c r="J1269" s="5">
        <v>20</v>
      </c>
      <c r="K1269" s="4" t="s">
        <v>105</v>
      </c>
      <c r="L1269" s="4" t="s">
        <v>106</v>
      </c>
      <c r="M1269" s="6">
        <f>IF(OR(B1269="",I1269=""),"",B1269*I1269)</f>
        <v>220</v>
      </c>
      <c r="N1269" s="10" t="s">
        <v>10</v>
      </c>
      <c r="O1269" s="9"/>
      <c r="P1269" s="9"/>
      <c r="Q1269" s="22"/>
      <c r="R1269" s="22"/>
      <c r="S1269" s="23" t="str">
        <f>IF(AND(ISNUMBER(Q1269),Q1269&gt;0,ISNUMBER(R1269),R1269&gt;0),R1269/Q1269,"")</f>
        <v/>
      </c>
      <c r="T1269" s="9"/>
      <c r="U1269" s="9"/>
      <c r="V1269" s="9"/>
      <c r="W1269" s="9"/>
      <c r="X1269" s="23">
        <f>IF(ISNUMBER(S1269),S1269,IF(ISNUMBER(I1269),I1269,""))</f>
        <v>20</v>
      </c>
      <c r="Y1269" t="str">
        <f>IF(ISNUMBER(S1269),"2025 EIA-923 plant/group proxy",IF(ISNUMBER(I1269),"Technology estimate","No thermal heat rate"))</f>
        <v>Technology estimate</v>
      </c>
      <c r="Z1269" t="str">
        <f>IF(ISNUMBER(S1269),"Review: NOT unit verified",IF(AE1269="No match","No EIA match",IF(AF1269="Unconfirmed","Unconfirmed EIA candidate","")))</f>
        <v>No EIA match</v>
      </c>
      <c r="AE1269" t="s">
        <v>107</v>
      </c>
      <c r="AG1269" s="24">
        <f>IF(ISBLANK(S1269),S1269,I1269)</f>
        <v>20</v>
      </c>
      <c r="AH1269" s="34">
        <f t="shared" si="44"/>
        <v>183330.19999999981</v>
      </c>
      <c r="AI1269">
        <f t="shared" si="43"/>
        <v>114486.49987531973</v>
      </c>
      <c r="AJ1269" t="b" cm="1">
        <f t="array" ref="AJ1269">OR(D1269=$AT$2:$AT$8)</f>
        <v>0</v>
      </c>
    </row>
    <row r="1270" spans="1:36" x14ac:dyDescent="0.25">
      <c r="A1270" s="2" t="s">
        <v>1487</v>
      </c>
      <c r="B1270" s="3">
        <v>49</v>
      </c>
      <c r="C1270" s="2" t="s">
        <v>432</v>
      </c>
      <c r="D1270" s="2" t="s">
        <v>58</v>
      </c>
      <c r="E1270" s="2" t="s">
        <v>102</v>
      </c>
      <c r="F1270" s="4" t="s">
        <v>103</v>
      </c>
      <c r="G1270" s="4" t="s">
        <v>104</v>
      </c>
      <c r="H1270" s="5">
        <v>20</v>
      </c>
      <c r="I1270" s="5">
        <v>20</v>
      </c>
      <c r="J1270" s="5">
        <v>20</v>
      </c>
      <c r="K1270" s="4" t="s">
        <v>105</v>
      </c>
      <c r="L1270" s="4" t="s">
        <v>106</v>
      </c>
      <c r="M1270" s="6">
        <f>IF(OR(B1270="",I1270=""),"",B1270*I1270)</f>
        <v>980</v>
      </c>
      <c r="N1270" s="10" t="s">
        <v>10</v>
      </c>
      <c r="O1270" s="9"/>
      <c r="P1270" s="9"/>
      <c r="Q1270" s="22"/>
      <c r="R1270" s="22"/>
      <c r="S1270" s="23" t="str">
        <f>IF(AND(ISNUMBER(Q1270),Q1270&gt;0,ISNUMBER(R1270),R1270&gt;0),R1270/Q1270,"")</f>
        <v/>
      </c>
      <c r="T1270" s="9"/>
      <c r="U1270" s="9"/>
      <c r="V1270" s="9"/>
      <c r="W1270" s="9"/>
      <c r="X1270" s="23">
        <f>IF(ISNUMBER(S1270),S1270,IF(ISNUMBER(I1270),I1270,""))</f>
        <v>20</v>
      </c>
      <c r="Y1270" t="str">
        <f>IF(ISNUMBER(S1270),"2025 EIA-923 plant/group proxy",IF(ISNUMBER(I1270),"Technology estimate","No thermal heat rate"))</f>
        <v>Technology estimate</v>
      </c>
      <c r="Z1270" t="str">
        <f>IF(ISNUMBER(S1270),"Review: NOT unit verified",IF(AE1270="No match","No EIA match",IF(AF1270="Unconfirmed","Unconfirmed EIA candidate","")))</f>
        <v>No EIA match</v>
      </c>
      <c r="AE1270" t="s">
        <v>107</v>
      </c>
      <c r="AG1270" s="24">
        <f>IF(ISBLANK(S1270),S1270,I1270)</f>
        <v>20</v>
      </c>
      <c r="AH1270" s="34">
        <f t="shared" si="44"/>
        <v>183379.19999999981</v>
      </c>
      <c r="AI1270">
        <f t="shared" si="43"/>
        <v>114517.09951735301</v>
      </c>
      <c r="AJ1270" t="b" cm="1">
        <f t="array" ref="AJ1270">OR(D1270=$AT$2:$AT$8)</f>
        <v>0</v>
      </c>
    </row>
    <row r="1271" spans="1:36" x14ac:dyDescent="0.25">
      <c r="A1271" s="2" t="s">
        <v>1488</v>
      </c>
      <c r="B1271" s="3">
        <v>49</v>
      </c>
      <c r="C1271" s="2" t="s">
        <v>432</v>
      </c>
      <c r="D1271" s="2" t="s">
        <v>58</v>
      </c>
      <c r="E1271" s="2" t="s">
        <v>102</v>
      </c>
      <c r="F1271" s="4" t="s">
        <v>103</v>
      </c>
      <c r="G1271" s="4" t="s">
        <v>104</v>
      </c>
      <c r="H1271" s="5">
        <v>20</v>
      </c>
      <c r="I1271" s="5">
        <v>20</v>
      </c>
      <c r="J1271" s="5">
        <v>20</v>
      </c>
      <c r="K1271" s="4" t="s">
        <v>105</v>
      </c>
      <c r="L1271" s="4" t="s">
        <v>106</v>
      </c>
      <c r="M1271" s="6">
        <f>IF(OR(B1271="",I1271=""),"",B1271*I1271)</f>
        <v>980</v>
      </c>
      <c r="N1271" s="10" t="s">
        <v>10</v>
      </c>
      <c r="O1271" s="9"/>
      <c r="P1271" s="9"/>
      <c r="Q1271" s="22"/>
      <c r="R1271" s="22"/>
      <c r="S1271" s="23" t="str">
        <f>IF(AND(ISNUMBER(Q1271),Q1271&gt;0,ISNUMBER(R1271),R1271&gt;0),R1271/Q1271,"")</f>
        <v/>
      </c>
      <c r="T1271" s="9"/>
      <c r="U1271" s="9"/>
      <c r="V1271" s="9"/>
      <c r="W1271" s="9"/>
      <c r="X1271" s="23">
        <f>IF(ISNUMBER(S1271),S1271,IF(ISNUMBER(I1271),I1271,""))</f>
        <v>20</v>
      </c>
      <c r="Y1271" t="str">
        <f>IF(ISNUMBER(S1271),"2025 EIA-923 plant/group proxy",IF(ISNUMBER(I1271),"Technology estimate","No thermal heat rate"))</f>
        <v>Technology estimate</v>
      </c>
      <c r="Z1271" t="str">
        <f>IF(ISNUMBER(S1271),"Review: NOT unit verified",IF(AE1271="No match","No EIA match",IF(AF1271="Unconfirmed","Unconfirmed EIA candidate","")))</f>
        <v>No EIA match</v>
      </c>
      <c r="AE1271" t="s">
        <v>107</v>
      </c>
      <c r="AG1271" s="24">
        <f>IF(ISBLANK(S1271),S1271,I1271)</f>
        <v>20</v>
      </c>
      <c r="AH1271" s="34">
        <f t="shared" si="44"/>
        <v>183428.19999999981</v>
      </c>
      <c r="AI1271">
        <f t="shared" si="43"/>
        <v>114547.69915938631</v>
      </c>
      <c r="AJ1271" t="b" cm="1">
        <f t="array" ref="AJ1271">OR(D1271=$AT$2:$AT$8)</f>
        <v>0</v>
      </c>
    </row>
    <row r="1272" spans="1:36" x14ac:dyDescent="0.25">
      <c r="A1272" s="2" t="s">
        <v>1539</v>
      </c>
      <c r="B1272" s="3">
        <v>13</v>
      </c>
      <c r="C1272" s="2" t="s">
        <v>432</v>
      </c>
      <c r="D1272" s="2" t="s">
        <v>58</v>
      </c>
      <c r="E1272" s="2" t="s">
        <v>102</v>
      </c>
      <c r="F1272" s="4" t="s">
        <v>103</v>
      </c>
      <c r="G1272" s="4" t="s">
        <v>104</v>
      </c>
      <c r="H1272" s="5">
        <v>20</v>
      </c>
      <c r="I1272" s="5">
        <v>20</v>
      </c>
      <c r="J1272" s="5">
        <v>20</v>
      </c>
      <c r="K1272" s="4" t="s">
        <v>105</v>
      </c>
      <c r="L1272" s="4" t="s">
        <v>106</v>
      </c>
      <c r="M1272" s="6">
        <f>IF(OR(B1272="",I1272=""),"",B1272*I1272)</f>
        <v>260</v>
      </c>
      <c r="N1272" s="10" t="s">
        <v>10</v>
      </c>
      <c r="O1272" s="9"/>
      <c r="P1272" s="9"/>
      <c r="Q1272" s="22"/>
      <c r="R1272" s="22"/>
      <c r="S1272" s="23" t="str">
        <f>IF(AND(ISNUMBER(Q1272),Q1272&gt;0,ISNUMBER(R1272),R1272&gt;0),R1272/Q1272,"")</f>
        <v/>
      </c>
      <c r="T1272" s="9"/>
      <c r="U1272" s="9"/>
      <c r="V1272" s="9"/>
      <c r="W1272" s="9"/>
      <c r="X1272" s="23">
        <f>IF(ISNUMBER(S1272),S1272,IF(ISNUMBER(I1272),I1272,""))</f>
        <v>20</v>
      </c>
      <c r="Y1272" t="str">
        <f>IF(ISNUMBER(S1272),"2025 EIA-923 plant/group proxy",IF(ISNUMBER(I1272),"Technology estimate","No thermal heat rate"))</f>
        <v>Technology estimate</v>
      </c>
      <c r="Z1272" t="str">
        <f>IF(ISNUMBER(S1272),"Review: NOT unit verified",IF(AE1272="No match","No EIA match",IF(AF1272="Unconfirmed","Unconfirmed EIA candidate","")))</f>
        <v>No EIA match</v>
      </c>
      <c r="AE1272" t="s">
        <v>107</v>
      </c>
      <c r="AG1272" s="24">
        <f>IF(ISBLANK(S1272),S1272,I1272)</f>
        <v>20</v>
      </c>
      <c r="AH1272" s="34">
        <f t="shared" si="44"/>
        <v>183441.19999999981</v>
      </c>
      <c r="AI1272">
        <f t="shared" si="43"/>
        <v>114555.81743176248</v>
      </c>
      <c r="AJ1272" t="b" cm="1">
        <f t="array" ref="AJ1272">OR(D1272=$AT$2:$AT$8)</f>
        <v>0</v>
      </c>
    </row>
    <row r="1273" spans="1:36" x14ac:dyDescent="0.25">
      <c r="A1273" s="2" t="s">
        <v>1540</v>
      </c>
      <c r="B1273" s="3">
        <v>17</v>
      </c>
      <c r="C1273" s="2" t="s">
        <v>432</v>
      </c>
      <c r="D1273" s="2" t="s">
        <v>58</v>
      </c>
      <c r="E1273" s="2" t="s">
        <v>102</v>
      </c>
      <c r="F1273" s="4" t="s">
        <v>103</v>
      </c>
      <c r="G1273" s="4" t="s">
        <v>104</v>
      </c>
      <c r="H1273" s="5">
        <v>20</v>
      </c>
      <c r="I1273" s="5">
        <v>20</v>
      </c>
      <c r="J1273" s="5">
        <v>20</v>
      </c>
      <c r="K1273" s="4" t="s">
        <v>105</v>
      </c>
      <c r="L1273" s="4" t="s">
        <v>106</v>
      </c>
      <c r="M1273" s="6">
        <f>IF(OR(B1273="",I1273=""),"",B1273*I1273)</f>
        <v>340</v>
      </c>
      <c r="N1273" s="10" t="s">
        <v>10</v>
      </c>
      <c r="O1273" s="9"/>
      <c r="P1273" s="9"/>
      <c r="Q1273" s="22"/>
      <c r="R1273" s="22"/>
      <c r="S1273" s="23" t="str">
        <f>IF(AND(ISNUMBER(Q1273),Q1273&gt;0,ISNUMBER(R1273),R1273&gt;0),R1273/Q1273,"")</f>
        <v/>
      </c>
      <c r="T1273" s="9"/>
      <c r="U1273" s="9"/>
      <c r="V1273" s="9"/>
      <c r="W1273" s="9"/>
      <c r="X1273" s="23">
        <f>IF(ISNUMBER(S1273),S1273,IF(ISNUMBER(I1273),I1273,""))</f>
        <v>20</v>
      </c>
      <c r="Y1273" t="str">
        <f>IF(ISNUMBER(S1273),"2025 EIA-923 plant/group proxy",IF(ISNUMBER(I1273),"Technology estimate","No thermal heat rate"))</f>
        <v>Technology estimate</v>
      </c>
      <c r="Z1273" t="str">
        <f>IF(ISNUMBER(S1273),"Review: NOT unit verified",IF(AE1273="No match","No EIA match",IF(AF1273="Unconfirmed","Unconfirmed EIA candidate","")))</f>
        <v>No EIA match</v>
      </c>
      <c r="AE1273" t="s">
        <v>107</v>
      </c>
      <c r="AG1273" s="24">
        <f>IF(ISBLANK(S1273),S1273,I1273)</f>
        <v>20</v>
      </c>
      <c r="AH1273" s="34">
        <f t="shared" si="44"/>
        <v>183458.19999999981</v>
      </c>
      <c r="AI1273">
        <f t="shared" si="43"/>
        <v>114566.43363410055</v>
      </c>
      <c r="AJ1273" t="b" cm="1">
        <f t="array" ref="AJ1273">OR(D1273=$AT$2:$AT$8)</f>
        <v>0</v>
      </c>
    </row>
    <row r="1274" spans="1:36" x14ac:dyDescent="0.25">
      <c r="A1274" s="2" t="s">
        <v>1562</v>
      </c>
      <c r="B1274" s="3">
        <v>20.6</v>
      </c>
      <c r="C1274" s="2" t="s">
        <v>75</v>
      </c>
      <c r="D1274" s="2" t="s">
        <v>76</v>
      </c>
      <c r="E1274" s="2" t="s">
        <v>102</v>
      </c>
      <c r="F1274" s="4" t="s">
        <v>103</v>
      </c>
      <c r="G1274" s="4" t="s">
        <v>104</v>
      </c>
      <c r="H1274" s="5">
        <v>20</v>
      </c>
      <c r="I1274" s="5">
        <v>20</v>
      </c>
      <c r="J1274" s="5">
        <v>20</v>
      </c>
      <c r="K1274" s="4" t="s">
        <v>105</v>
      </c>
      <c r="L1274" s="4" t="s">
        <v>106</v>
      </c>
      <c r="M1274" s="6">
        <f>IF(OR(B1274="",I1274=""),"",B1274*I1274)</f>
        <v>412</v>
      </c>
      <c r="N1274" s="10" t="s">
        <v>10</v>
      </c>
      <c r="O1274" s="9"/>
      <c r="P1274" s="9"/>
      <c r="Q1274" s="22"/>
      <c r="R1274" s="22"/>
      <c r="S1274" s="23" t="str">
        <f>IF(AND(ISNUMBER(Q1274),Q1274&gt;0,ISNUMBER(R1274),R1274&gt;0),R1274/Q1274,"")</f>
        <v/>
      </c>
      <c r="T1274" s="9"/>
      <c r="U1274" s="9"/>
      <c r="V1274" s="9"/>
      <c r="W1274" s="9"/>
      <c r="X1274" s="23">
        <f>IF(ISNUMBER(S1274),S1274,IF(ISNUMBER(I1274),I1274,""))</f>
        <v>20</v>
      </c>
      <c r="Y1274" t="str">
        <f>IF(ISNUMBER(S1274),"2025 EIA-923 plant/group proxy",IF(ISNUMBER(I1274),"Technology estimate","No thermal heat rate"))</f>
        <v>Technology estimate</v>
      </c>
      <c r="Z1274" t="str">
        <f>IF(ISNUMBER(S1274),"Review: NOT unit verified",IF(AE1274="No match","No EIA match",IF(AF1274="Unconfirmed","Unconfirmed EIA candidate","")))</f>
        <v>No EIA match</v>
      </c>
      <c r="AE1274" t="s">
        <v>107</v>
      </c>
      <c r="AG1274" s="24">
        <f>IF(ISBLANK(S1274),S1274,I1274)</f>
        <v>20</v>
      </c>
      <c r="AH1274" s="34">
        <f t="shared" si="44"/>
        <v>183478.79999999981</v>
      </c>
      <c r="AI1274">
        <f t="shared" si="43"/>
        <v>114579.29797340435</v>
      </c>
      <c r="AJ1274" t="b" cm="1">
        <f t="array" ref="AJ1274">OR(D1274=$AT$2:$AT$8)</f>
        <v>0</v>
      </c>
    </row>
    <row r="1275" spans="1:36" x14ac:dyDescent="0.25">
      <c r="A1275" s="2" t="s">
        <v>1616</v>
      </c>
      <c r="B1275" s="3">
        <v>13</v>
      </c>
      <c r="C1275" s="2" t="s">
        <v>432</v>
      </c>
      <c r="D1275" s="2" t="s">
        <v>58</v>
      </c>
      <c r="E1275" s="2" t="s">
        <v>102</v>
      </c>
      <c r="F1275" s="4" t="s">
        <v>103</v>
      </c>
      <c r="G1275" s="4" t="s">
        <v>104</v>
      </c>
      <c r="H1275" s="5">
        <v>20</v>
      </c>
      <c r="I1275" s="5">
        <v>20</v>
      </c>
      <c r="J1275" s="5">
        <v>20</v>
      </c>
      <c r="K1275" s="4" t="s">
        <v>105</v>
      </c>
      <c r="L1275" s="4" t="s">
        <v>106</v>
      </c>
      <c r="M1275" s="6">
        <f>IF(OR(B1275="",I1275=""),"",B1275*I1275)</f>
        <v>260</v>
      </c>
      <c r="N1275" s="10" t="s">
        <v>10</v>
      </c>
      <c r="O1275" s="9"/>
      <c r="P1275" s="9"/>
      <c r="Q1275" s="22"/>
      <c r="R1275" s="22"/>
      <c r="S1275" s="23" t="str">
        <f>IF(AND(ISNUMBER(Q1275),Q1275&gt;0,ISNUMBER(R1275),R1275&gt;0),R1275/Q1275,"")</f>
        <v/>
      </c>
      <c r="T1275" s="9"/>
      <c r="U1275" s="9"/>
      <c r="V1275" s="9"/>
      <c r="W1275" s="9"/>
      <c r="X1275" s="23">
        <f>IF(ISNUMBER(S1275),S1275,IF(ISNUMBER(I1275),I1275,""))</f>
        <v>20</v>
      </c>
      <c r="Y1275" t="str">
        <f>IF(ISNUMBER(S1275),"2025 EIA-923 plant/group proxy",IF(ISNUMBER(I1275),"Technology estimate","No thermal heat rate"))</f>
        <v>Technology estimate</v>
      </c>
      <c r="Z1275" t="str">
        <f>IF(ISNUMBER(S1275),"Review: NOT unit verified",IF(AE1275="No match","No EIA match",IF(AF1275="Unconfirmed","Unconfirmed EIA candidate","")))</f>
        <v>No EIA match</v>
      </c>
      <c r="AE1275" t="s">
        <v>107</v>
      </c>
      <c r="AG1275" s="24">
        <f>IF(ISBLANK(S1275),S1275,I1275)</f>
        <v>20</v>
      </c>
      <c r="AH1275" s="34">
        <f t="shared" si="44"/>
        <v>183491.79999999981</v>
      </c>
      <c r="AI1275">
        <f t="shared" si="43"/>
        <v>114587.41624578052</v>
      </c>
      <c r="AJ1275" t="b" cm="1">
        <f t="array" ref="AJ1275">OR(D1275=$AT$2:$AT$8)</f>
        <v>0</v>
      </c>
    </row>
    <row r="1276" spans="1:36" x14ac:dyDescent="0.25">
      <c r="A1276" s="2" t="s">
        <v>1617</v>
      </c>
      <c r="B1276" s="3">
        <v>13</v>
      </c>
      <c r="C1276" s="2" t="s">
        <v>432</v>
      </c>
      <c r="D1276" s="2" t="s">
        <v>58</v>
      </c>
      <c r="E1276" s="2" t="s">
        <v>102</v>
      </c>
      <c r="F1276" s="4" t="s">
        <v>103</v>
      </c>
      <c r="G1276" s="4" t="s">
        <v>104</v>
      </c>
      <c r="H1276" s="5">
        <v>20</v>
      </c>
      <c r="I1276" s="5">
        <v>20</v>
      </c>
      <c r="J1276" s="5">
        <v>20</v>
      </c>
      <c r="K1276" s="4" t="s">
        <v>105</v>
      </c>
      <c r="L1276" s="4" t="s">
        <v>106</v>
      </c>
      <c r="M1276" s="6">
        <f>IF(OR(B1276="",I1276=""),"",B1276*I1276)</f>
        <v>260</v>
      </c>
      <c r="N1276" s="10" t="s">
        <v>10</v>
      </c>
      <c r="O1276" s="9"/>
      <c r="P1276" s="9"/>
      <c r="Q1276" s="22"/>
      <c r="R1276" s="22"/>
      <c r="S1276" s="23" t="str">
        <f>IF(AND(ISNUMBER(Q1276),Q1276&gt;0,ISNUMBER(R1276),R1276&gt;0),R1276/Q1276,"")</f>
        <v/>
      </c>
      <c r="T1276" s="9"/>
      <c r="U1276" s="9"/>
      <c r="V1276" s="9"/>
      <c r="W1276" s="9"/>
      <c r="X1276" s="23">
        <f>IF(ISNUMBER(S1276),S1276,IF(ISNUMBER(I1276),I1276,""))</f>
        <v>20</v>
      </c>
      <c r="Y1276" t="str">
        <f>IF(ISNUMBER(S1276),"2025 EIA-923 plant/group proxy",IF(ISNUMBER(I1276),"Technology estimate","No thermal heat rate"))</f>
        <v>Technology estimate</v>
      </c>
      <c r="Z1276" t="str">
        <f>IF(ISNUMBER(S1276),"Review: NOT unit verified",IF(AE1276="No match","No EIA match",IF(AF1276="Unconfirmed","Unconfirmed EIA candidate","")))</f>
        <v>No EIA match</v>
      </c>
      <c r="AE1276" t="s">
        <v>107</v>
      </c>
      <c r="AG1276" s="24">
        <f>IF(ISBLANK(S1276),S1276,I1276)</f>
        <v>20</v>
      </c>
      <c r="AH1276" s="34">
        <f t="shared" si="44"/>
        <v>183504.79999999981</v>
      </c>
      <c r="AI1276">
        <f t="shared" si="43"/>
        <v>114595.53451815671</v>
      </c>
      <c r="AJ1276" t="b" cm="1">
        <f t="array" ref="AJ1276">OR(D1276=$AT$2:$AT$8)</f>
        <v>0</v>
      </c>
    </row>
    <row r="1277" spans="1:36" x14ac:dyDescent="0.25">
      <c r="A1277" s="2" t="s">
        <v>1618</v>
      </c>
      <c r="B1277" s="3">
        <v>13</v>
      </c>
      <c r="C1277" s="2" t="s">
        <v>432</v>
      </c>
      <c r="D1277" s="2" t="s">
        <v>58</v>
      </c>
      <c r="E1277" s="2" t="s">
        <v>102</v>
      </c>
      <c r="F1277" s="4" t="s">
        <v>103</v>
      </c>
      <c r="G1277" s="4" t="s">
        <v>104</v>
      </c>
      <c r="H1277" s="5">
        <v>20</v>
      </c>
      <c r="I1277" s="5">
        <v>20</v>
      </c>
      <c r="J1277" s="5">
        <v>20</v>
      </c>
      <c r="K1277" s="4" t="s">
        <v>105</v>
      </c>
      <c r="L1277" s="4" t="s">
        <v>106</v>
      </c>
      <c r="M1277" s="6">
        <f>IF(OR(B1277="",I1277=""),"",B1277*I1277)</f>
        <v>260</v>
      </c>
      <c r="N1277" s="10" t="s">
        <v>10</v>
      </c>
      <c r="O1277" s="9"/>
      <c r="P1277" s="9"/>
      <c r="Q1277" s="22"/>
      <c r="R1277" s="22"/>
      <c r="S1277" s="23" t="str">
        <f>IF(AND(ISNUMBER(Q1277),Q1277&gt;0,ISNUMBER(R1277),R1277&gt;0),R1277/Q1277,"")</f>
        <v/>
      </c>
      <c r="T1277" s="9"/>
      <c r="U1277" s="9"/>
      <c r="V1277" s="9"/>
      <c r="W1277" s="9"/>
      <c r="X1277" s="23">
        <f>IF(ISNUMBER(S1277),S1277,IF(ISNUMBER(I1277),I1277,""))</f>
        <v>20</v>
      </c>
      <c r="Y1277" t="str">
        <f>IF(ISNUMBER(S1277),"2025 EIA-923 plant/group proxy",IF(ISNUMBER(I1277),"Technology estimate","No thermal heat rate"))</f>
        <v>Technology estimate</v>
      </c>
      <c r="Z1277" t="str">
        <f>IF(ISNUMBER(S1277),"Review: NOT unit verified",IF(AE1277="No match","No EIA match",IF(AF1277="Unconfirmed","Unconfirmed EIA candidate","")))</f>
        <v>No EIA match</v>
      </c>
      <c r="AE1277" t="s">
        <v>107</v>
      </c>
      <c r="AG1277" s="24">
        <f>IF(ISBLANK(S1277),S1277,I1277)</f>
        <v>20</v>
      </c>
      <c r="AH1277" s="34">
        <f t="shared" si="44"/>
        <v>183517.79999999981</v>
      </c>
      <c r="AI1277">
        <f t="shared" si="43"/>
        <v>114603.65279053288</v>
      </c>
      <c r="AJ1277" t="b" cm="1">
        <f t="array" ref="AJ1277">OR(D1277=$AT$2:$AT$8)</f>
        <v>0</v>
      </c>
    </row>
    <row r="1278" spans="1:36" x14ac:dyDescent="0.25">
      <c r="A1278" s="2" t="s">
        <v>1619</v>
      </c>
      <c r="B1278" s="3">
        <v>13</v>
      </c>
      <c r="C1278" s="2" t="s">
        <v>432</v>
      </c>
      <c r="D1278" s="2" t="s">
        <v>58</v>
      </c>
      <c r="E1278" s="2" t="s">
        <v>102</v>
      </c>
      <c r="F1278" s="4" t="s">
        <v>103</v>
      </c>
      <c r="G1278" s="4" t="s">
        <v>104</v>
      </c>
      <c r="H1278" s="5">
        <v>20</v>
      </c>
      <c r="I1278" s="5">
        <v>20</v>
      </c>
      <c r="J1278" s="5">
        <v>20</v>
      </c>
      <c r="K1278" s="4" t="s">
        <v>105</v>
      </c>
      <c r="L1278" s="4" t="s">
        <v>106</v>
      </c>
      <c r="M1278" s="6">
        <f>IF(OR(B1278="",I1278=""),"",B1278*I1278)</f>
        <v>260</v>
      </c>
      <c r="N1278" s="10" t="s">
        <v>10</v>
      </c>
      <c r="O1278" s="9"/>
      <c r="P1278" s="9"/>
      <c r="Q1278" s="22"/>
      <c r="R1278" s="22"/>
      <c r="S1278" s="23" t="str">
        <f>IF(AND(ISNUMBER(Q1278),Q1278&gt;0,ISNUMBER(R1278),R1278&gt;0),R1278/Q1278,"")</f>
        <v/>
      </c>
      <c r="T1278" s="9"/>
      <c r="U1278" s="9"/>
      <c r="V1278" s="9"/>
      <c r="W1278" s="9"/>
      <c r="X1278" s="23">
        <f>IF(ISNUMBER(S1278),S1278,IF(ISNUMBER(I1278),I1278,""))</f>
        <v>20</v>
      </c>
      <c r="Y1278" t="str">
        <f>IF(ISNUMBER(S1278),"2025 EIA-923 plant/group proxy",IF(ISNUMBER(I1278),"Technology estimate","No thermal heat rate"))</f>
        <v>Technology estimate</v>
      </c>
      <c r="Z1278" t="str">
        <f>IF(ISNUMBER(S1278),"Review: NOT unit verified",IF(AE1278="No match","No EIA match",IF(AF1278="Unconfirmed","Unconfirmed EIA candidate","")))</f>
        <v>No EIA match</v>
      </c>
      <c r="AE1278" t="s">
        <v>107</v>
      </c>
      <c r="AG1278" s="24">
        <f>IF(ISBLANK(S1278),S1278,I1278)</f>
        <v>20</v>
      </c>
      <c r="AH1278" s="34">
        <f t="shared" si="44"/>
        <v>183530.79999999981</v>
      </c>
      <c r="AI1278">
        <f t="shared" si="43"/>
        <v>114611.77106290906</v>
      </c>
      <c r="AJ1278" t="b" cm="1">
        <f t="array" ref="AJ1278">OR(D1278=$AT$2:$AT$8)</f>
        <v>0</v>
      </c>
    </row>
    <row r="1279" spans="1:36" x14ac:dyDescent="0.25">
      <c r="A1279" s="2" t="s">
        <v>1646</v>
      </c>
      <c r="B1279" s="3">
        <v>12.7</v>
      </c>
      <c r="C1279" s="2" t="s">
        <v>147</v>
      </c>
      <c r="D1279" s="2" t="s">
        <v>147</v>
      </c>
      <c r="E1279" s="2" t="s">
        <v>102</v>
      </c>
      <c r="F1279" s="4" t="s">
        <v>103</v>
      </c>
      <c r="G1279" s="4" t="s">
        <v>104</v>
      </c>
      <c r="H1279" s="5">
        <v>20</v>
      </c>
      <c r="I1279" s="5">
        <v>20</v>
      </c>
      <c r="J1279" s="5">
        <v>20</v>
      </c>
      <c r="K1279" s="4" t="s">
        <v>105</v>
      </c>
      <c r="L1279" s="4" t="s">
        <v>106</v>
      </c>
      <c r="M1279" s="6">
        <f>IF(OR(B1279="",I1279=""),"",B1279*I1279)</f>
        <v>254</v>
      </c>
      <c r="N1279" s="10" t="s">
        <v>10</v>
      </c>
      <c r="O1279" s="9"/>
      <c r="P1279" s="9"/>
      <c r="Q1279" s="22"/>
      <c r="R1279" s="22"/>
      <c r="S1279" s="23" t="str">
        <f>IF(AND(ISNUMBER(Q1279),Q1279&gt;0,ISNUMBER(R1279),R1279&gt;0),R1279/Q1279,"")</f>
        <v/>
      </c>
      <c r="T1279" s="9"/>
      <c r="U1279" s="9"/>
      <c r="V1279" s="9"/>
      <c r="W1279" s="9"/>
      <c r="X1279" s="23">
        <f>IF(ISNUMBER(S1279),S1279,IF(ISNUMBER(I1279),I1279,""))</f>
        <v>20</v>
      </c>
      <c r="Y1279" t="str">
        <f>IF(ISNUMBER(S1279),"2025 EIA-923 plant/group proxy",IF(ISNUMBER(I1279),"Technology estimate","No thermal heat rate"))</f>
        <v>Technology estimate</v>
      </c>
      <c r="Z1279" t="str">
        <f>IF(ISNUMBER(S1279),"Review: NOT unit verified",IF(AE1279="No match","No EIA match",IF(AF1279="Unconfirmed","Unconfirmed EIA candidate","")))</f>
        <v>No EIA match</v>
      </c>
      <c r="AE1279" t="s">
        <v>107</v>
      </c>
      <c r="AG1279" s="24">
        <f>IF(ISBLANK(S1279),S1279,I1279)</f>
        <v>20</v>
      </c>
      <c r="AH1279" s="34">
        <f t="shared" si="44"/>
        <v>183543.49999999983</v>
      </c>
      <c r="AI1279">
        <f t="shared" si="43"/>
        <v>114619.7019905381</v>
      </c>
      <c r="AJ1279" t="b" cm="1">
        <f t="array" ref="AJ1279">OR(D1279=$AT$2:$AT$8)</f>
        <v>0</v>
      </c>
    </row>
    <row r="1280" spans="1:36" x14ac:dyDescent="0.25">
      <c r="A1280" s="2" t="s">
        <v>1652</v>
      </c>
      <c r="B1280" s="3">
        <v>36</v>
      </c>
      <c r="C1280" s="2" t="s">
        <v>136</v>
      </c>
      <c r="D1280" s="2" t="s">
        <v>136</v>
      </c>
      <c r="E1280" s="2" t="s">
        <v>102</v>
      </c>
      <c r="F1280" s="4" t="s">
        <v>103</v>
      </c>
      <c r="G1280" s="4" t="s">
        <v>104</v>
      </c>
      <c r="H1280" s="5">
        <v>20</v>
      </c>
      <c r="I1280" s="5">
        <v>20</v>
      </c>
      <c r="J1280" s="5">
        <v>20</v>
      </c>
      <c r="K1280" s="4" t="s">
        <v>105</v>
      </c>
      <c r="L1280" s="4" t="s">
        <v>106</v>
      </c>
      <c r="M1280" s="6">
        <f>IF(OR(B1280="",I1280=""),"",B1280*I1280)</f>
        <v>720</v>
      </c>
      <c r="N1280" s="10" t="s">
        <v>10</v>
      </c>
      <c r="O1280" s="9"/>
      <c r="P1280" s="9"/>
      <c r="Q1280" s="22"/>
      <c r="R1280" s="22"/>
      <c r="S1280" s="23" t="str">
        <f>IF(AND(ISNUMBER(Q1280),Q1280&gt;0,ISNUMBER(R1280),R1280&gt;0),R1280/Q1280,"")</f>
        <v/>
      </c>
      <c r="T1280" s="9"/>
      <c r="U1280" s="9"/>
      <c r="V1280" s="9"/>
      <c r="W1280" s="9"/>
      <c r="X1280" s="23">
        <f>IF(ISNUMBER(S1280),S1280,IF(ISNUMBER(I1280),I1280,""))</f>
        <v>20</v>
      </c>
      <c r="Y1280" t="str">
        <f>IF(ISNUMBER(S1280),"2025 EIA-923 plant/group proxy",IF(ISNUMBER(I1280),"Technology estimate","No thermal heat rate"))</f>
        <v>Technology estimate</v>
      </c>
      <c r="Z1280" t="str">
        <f>IF(ISNUMBER(S1280),"Review: NOT unit verified",IF(AE1280="No match","No EIA match",IF(AF1280="Unconfirmed","Unconfirmed EIA candidate","")))</f>
        <v>No EIA match</v>
      </c>
      <c r="AE1280" t="s">
        <v>107</v>
      </c>
      <c r="AG1280" s="24">
        <f>IF(ISBLANK(S1280),S1280,I1280)</f>
        <v>20</v>
      </c>
      <c r="AH1280" s="34">
        <f t="shared" si="44"/>
        <v>183579.49999999983</v>
      </c>
      <c r="AI1280">
        <f t="shared" si="43"/>
        <v>114642.18336019521</v>
      </c>
      <c r="AJ1280" t="b" cm="1">
        <f t="array" ref="AJ1280">OR(D1280=$AT$2:$AT$8)</f>
        <v>0</v>
      </c>
    </row>
    <row r="1281" spans="1:36" x14ac:dyDescent="0.25">
      <c r="A1281" s="2" t="s">
        <v>1677</v>
      </c>
      <c r="B1281" s="3">
        <v>26.3</v>
      </c>
      <c r="C1281" s="2" t="s">
        <v>68</v>
      </c>
      <c r="D1281" s="2" t="s">
        <v>69</v>
      </c>
      <c r="E1281" s="2" t="s">
        <v>102</v>
      </c>
      <c r="F1281" s="4" t="s">
        <v>103</v>
      </c>
      <c r="G1281" s="4" t="s">
        <v>104</v>
      </c>
      <c r="H1281" s="5">
        <v>20</v>
      </c>
      <c r="I1281" s="5">
        <v>20</v>
      </c>
      <c r="J1281" s="5">
        <v>20</v>
      </c>
      <c r="K1281" s="4" t="s">
        <v>105</v>
      </c>
      <c r="L1281" s="4" t="s">
        <v>106</v>
      </c>
      <c r="M1281" s="6">
        <f>IF(OR(B1281="",I1281=""),"",B1281*I1281)</f>
        <v>526</v>
      </c>
      <c r="N1281" s="10" t="s">
        <v>10</v>
      </c>
      <c r="O1281" s="9"/>
      <c r="P1281" s="9"/>
      <c r="Q1281" s="22"/>
      <c r="R1281" s="22"/>
      <c r="S1281" s="23" t="str">
        <f>IF(AND(ISNUMBER(Q1281),Q1281&gt;0,ISNUMBER(R1281),R1281&gt;0),R1281/Q1281,"")</f>
        <v/>
      </c>
      <c r="T1281" s="9"/>
      <c r="U1281" s="9"/>
      <c r="V1281" s="9"/>
      <c r="W1281" s="9"/>
      <c r="X1281" s="23">
        <f>IF(ISNUMBER(S1281),S1281,IF(ISNUMBER(I1281),I1281,""))</f>
        <v>20</v>
      </c>
      <c r="Y1281" t="str">
        <f>IF(ISNUMBER(S1281),"2025 EIA-923 plant/group proxy",IF(ISNUMBER(I1281),"Technology estimate","No thermal heat rate"))</f>
        <v>Technology estimate</v>
      </c>
      <c r="Z1281" t="str">
        <f>IF(ISNUMBER(S1281),"Review: NOT unit verified",IF(AE1281="No match","No EIA match",IF(AF1281="Unconfirmed","Unconfirmed EIA candidate","")))</f>
        <v>No EIA match</v>
      </c>
      <c r="AE1281" t="s">
        <v>107</v>
      </c>
      <c r="AG1281" s="24">
        <f>IF(ISBLANK(S1281),S1281,I1281)</f>
        <v>20</v>
      </c>
      <c r="AH1281" s="34">
        <f t="shared" si="44"/>
        <v>183605.79999999981</v>
      </c>
      <c r="AI1281">
        <f t="shared" si="43"/>
        <v>114658.6072496947</v>
      </c>
      <c r="AJ1281" t="b" cm="1">
        <f t="array" ref="AJ1281">OR(D1281=$AT$2:$AT$8)</f>
        <v>0</v>
      </c>
    </row>
    <row r="1282" spans="1:36" x14ac:dyDescent="0.25">
      <c r="A1282" s="2" t="s">
        <v>1687</v>
      </c>
      <c r="B1282" s="3">
        <v>14.9</v>
      </c>
      <c r="C1282" s="2" t="s">
        <v>75</v>
      </c>
      <c r="D1282" s="2" t="s">
        <v>76</v>
      </c>
      <c r="E1282" s="2" t="s">
        <v>102</v>
      </c>
      <c r="F1282" s="4" t="s">
        <v>103</v>
      </c>
      <c r="G1282" s="4" t="s">
        <v>104</v>
      </c>
      <c r="H1282" s="5">
        <v>20</v>
      </c>
      <c r="I1282" s="5">
        <v>20</v>
      </c>
      <c r="J1282" s="5">
        <v>20</v>
      </c>
      <c r="K1282" s="4" t="s">
        <v>105</v>
      </c>
      <c r="L1282" s="4" t="s">
        <v>106</v>
      </c>
      <c r="M1282" s="6">
        <f>IF(OR(B1282="",I1282=""),"",B1282*I1282)</f>
        <v>298</v>
      </c>
      <c r="N1282" s="10" t="s">
        <v>10</v>
      </c>
      <c r="O1282" s="9"/>
      <c r="P1282" s="9"/>
      <c r="Q1282" s="22"/>
      <c r="R1282" s="22"/>
      <c r="S1282" s="23" t="str">
        <f>IF(AND(ISNUMBER(Q1282),Q1282&gt;0,ISNUMBER(R1282),R1282&gt;0),R1282/Q1282,"")</f>
        <v/>
      </c>
      <c r="T1282" s="9"/>
      <c r="U1282" s="9"/>
      <c r="V1282" s="9"/>
      <c r="W1282" s="9"/>
      <c r="X1282" s="23">
        <f>IF(ISNUMBER(S1282),S1282,IF(ISNUMBER(I1282),I1282,""))</f>
        <v>20</v>
      </c>
      <c r="Y1282" t="str">
        <f>IF(ISNUMBER(S1282),"2025 EIA-923 plant/group proxy",IF(ISNUMBER(I1282),"Technology estimate","No thermal heat rate"))</f>
        <v>Technology estimate</v>
      </c>
      <c r="Z1282" t="str">
        <f>IF(ISNUMBER(S1282),"Review: NOT unit verified",IF(AE1282="No match","No EIA match",IF(AF1282="Unconfirmed","Unconfirmed EIA candidate","")))</f>
        <v>No EIA match</v>
      </c>
      <c r="AE1282" t="s">
        <v>107</v>
      </c>
      <c r="AG1282" s="24">
        <f>IF(ISBLANK(S1282),S1282,I1282)</f>
        <v>20</v>
      </c>
      <c r="AH1282" s="34">
        <f t="shared" si="44"/>
        <v>183620.69999999981</v>
      </c>
      <c r="AI1282">
        <f t="shared" si="43"/>
        <v>114667.91203880278</v>
      </c>
      <c r="AJ1282" t="b" cm="1">
        <f t="array" ref="AJ1282">OR(D1282=$AT$2:$AT$8)</f>
        <v>0</v>
      </c>
    </row>
    <row r="1283" spans="1:36" x14ac:dyDescent="0.25">
      <c r="A1283" s="2" t="s">
        <v>1688</v>
      </c>
      <c r="B1283" s="3">
        <v>15.4</v>
      </c>
      <c r="C1283" s="2" t="s">
        <v>75</v>
      </c>
      <c r="D1283" s="2" t="s">
        <v>76</v>
      </c>
      <c r="E1283" s="2" t="s">
        <v>102</v>
      </c>
      <c r="F1283" s="4" t="s">
        <v>103</v>
      </c>
      <c r="G1283" s="4" t="s">
        <v>104</v>
      </c>
      <c r="H1283" s="5">
        <v>20</v>
      </c>
      <c r="I1283" s="5">
        <v>20</v>
      </c>
      <c r="J1283" s="5">
        <v>20</v>
      </c>
      <c r="K1283" s="4" t="s">
        <v>105</v>
      </c>
      <c r="L1283" s="4" t="s">
        <v>106</v>
      </c>
      <c r="M1283" s="6">
        <f>IF(OR(B1283="",I1283=""),"",B1283*I1283)</f>
        <v>308</v>
      </c>
      <c r="N1283" s="10" t="s">
        <v>10</v>
      </c>
      <c r="O1283" s="9"/>
      <c r="P1283" s="9"/>
      <c r="Q1283" s="22"/>
      <c r="R1283" s="22"/>
      <c r="S1283" s="23" t="str">
        <f>IF(AND(ISNUMBER(Q1283),Q1283&gt;0,ISNUMBER(R1283),R1283&gt;0),R1283/Q1283,"")</f>
        <v/>
      </c>
      <c r="T1283" s="9"/>
      <c r="U1283" s="9"/>
      <c r="V1283" s="9"/>
      <c r="W1283" s="9"/>
      <c r="X1283" s="23">
        <f>IF(ISNUMBER(S1283),S1283,IF(ISNUMBER(I1283),I1283,""))</f>
        <v>20</v>
      </c>
      <c r="Y1283" t="str">
        <f>IF(ISNUMBER(S1283),"2025 EIA-923 plant/group proxy",IF(ISNUMBER(I1283),"Technology estimate","No thermal heat rate"))</f>
        <v>Technology estimate</v>
      </c>
      <c r="Z1283" t="str">
        <f>IF(ISNUMBER(S1283),"Review: NOT unit verified",IF(AE1283="No match","No EIA match",IF(AF1283="Unconfirmed","Unconfirmed EIA candidate","")))</f>
        <v>No EIA match</v>
      </c>
      <c r="AE1283" t="s">
        <v>107</v>
      </c>
      <c r="AG1283" s="24">
        <f>IF(ISBLANK(S1283),S1283,I1283)</f>
        <v>20</v>
      </c>
      <c r="AH1283" s="34">
        <f t="shared" si="44"/>
        <v>183636.0999999998</v>
      </c>
      <c r="AI1283">
        <f t="shared" ref="AI1283:AI1300" si="45">AH1283*$AK$1</f>
        <v>114677.52906915609</v>
      </c>
      <c r="AJ1283" t="b" cm="1">
        <f t="array" ref="AJ1283">OR(D1283=$AT$2:$AT$8)</f>
        <v>0</v>
      </c>
    </row>
    <row r="1284" spans="1:36" x14ac:dyDescent="0.25">
      <c r="A1284" s="2" t="s">
        <v>1689</v>
      </c>
      <c r="B1284" s="3">
        <v>21</v>
      </c>
      <c r="C1284" s="2" t="s">
        <v>75</v>
      </c>
      <c r="D1284" s="2" t="s">
        <v>76</v>
      </c>
      <c r="E1284" s="2" t="s">
        <v>102</v>
      </c>
      <c r="F1284" s="4" t="s">
        <v>103</v>
      </c>
      <c r="G1284" s="4" t="s">
        <v>104</v>
      </c>
      <c r="H1284" s="5">
        <v>20</v>
      </c>
      <c r="I1284" s="5">
        <v>20</v>
      </c>
      <c r="J1284" s="5">
        <v>20</v>
      </c>
      <c r="K1284" s="4" t="s">
        <v>105</v>
      </c>
      <c r="L1284" s="4" t="s">
        <v>106</v>
      </c>
      <c r="M1284" s="6">
        <f>IF(OR(B1284="",I1284=""),"",B1284*I1284)</f>
        <v>420</v>
      </c>
      <c r="N1284" s="10" t="s">
        <v>10</v>
      </c>
      <c r="O1284" s="9"/>
      <c r="P1284" s="9"/>
      <c r="Q1284" s="22"/>
      <c r="R1284" s="22"/>
      <c r="S1284" s="23" t="str">
        <f>IF(AND(ISNUMBER(Q1284),Q1284&gt;0,ISNUMBER(R1284),R1284&gt;0),R1284/Q1284,"")</f>
        <v/>
      </c>
      <c r="T1284" s="9"/>
      <c r="U1284" s="9"/>
      <c r="V1284" s="9"/>
      <c r="W1284" s="9"/>
      <c r="X1284" s="23">
        <f>IF(ISNUMBER(S1284),S1284,IF(ISNUMBER(I1284),I1284,""))</f>
        <v>20</v>
      </c>
      <c r="Y1284" t="str">
        <f>IF(ISNUMBER(S1284),"2025 EIA-923 plant/group proxy",IF(ISNUMBER(I1284),"Technology estimate","No thermal heat rate"))</f>
        <v>Technology estimate</v>
      </c>
      <c r="Z1284" t="str">
        <f>IF(ISNUMBER(S1284),"Review: NOT unit verified",IF(AE1284="No match","No EIA match",IF(AF1284="Unconfirmed","Unconfirmed EIA candidate","")))</f>
        <v>No EIA match</v>
      </c>
      <c r="AE1284" t="s">
        <v>107</v>
      </c>
      <c r="AG1284" s="24">
        <f>IF(ISBLANK(S1284),S1284,I1284)</f>
        <v>20</v>
      </c>
      <c r="AH1284" s="34">
        <f t="shared" ref="AH1284:AH1300" si="46">AH1283+B1284</f>
        <v>183657.0999999998</v>
      </c>
      <c r="AI1284">
        <f t="shared" si="45"/>
        <v>114690.64320145607</v>
      </c>
      <c r="AJ1284" t="b" cm="1">
        <f t="array" ref="AJ1284">OR(D1284=$AT$2:$AT$8)</f>
        <v>0</v>
      </c>
    </row>
    <row r="1285" spans="1:36" x14ac:dyDescent="0.25">
      <c r="A1285" s="2" t="s">
        <v>1690</v>
      </c>
      <c r="B1285" s="3">
        <v>20.2</v>
      </c>
      <c r="C1285" s="2" t="s">
        <v>75</v>
      </c>
      <c r="D1285" s="2" t="s">
        <v>76</v>
      </c>
      <c r="E1285" s="2" t="s">
        <v>102</v>
      </c>
      <c r="F1285" s="4" t="s">
        <v>103</v>
      </c>
      <c r="G1285" s="4" t="s">
        <v>104</v>
      </c>
      <c r="H1285" s="5">
        <v>20</v>
      </c>
      <c r="I1285" s="5">
        <v>20</v>
      </c>
      <c r="J1285" s="5">
        <v>20</v>
      </c>
      <c r="K1285" s="4" t="s">
        <v>105</v>
      </c>
      <c r="L1285" s="4" t="s">
        <v>106</v>
      </c>
      <c r="M1285" s="6">
        <f>IF(OR(B1285="",I1285=""),"",B1285*I1285)</f>
        <v>404</v>
      </c>
      <c r="N1285" s="10" t="s">
        <v>10</v>
      </c>
      <c r="O1285" s="9"/>
      <c r="P1285" s="9"/>
      <c r="Q1285" s="22"/>
      <c r="R1285" s="22"/>
      <c r="S1285" s="23" t="str">
        <f>IF(AND(ISNUMBER(Q1285),Q1285&gt;0,ISNUMBER(R1285),R1285&gt;0),R1285/Q1285,"")</f>
        <v/>
      </c>
      <c r="T1285" s="9"/>
      <c r="U1285" s="9"/>
      <c r="V1285" s="9"/>
      <c r="W1285" s="9"/>
      <c r="X1285" s="23">
        <f>IF(ISNUMBER(S1285),S1285,IF(ISNUMBER(I1285),I1285,""))</f>
        <v>20</v>
      </c>
      <c r="Y1285" t="str">
        <f>IF(ISNUMBER(S1285),"2025 EIA-923 plant/group proxy",IF(ISNUMBER(I1285),"Technology estimate","No thermal heat rate"))</f>
        <v>Technology estimate</v>
      </c>
      <c r="Z1285" t="str">
        <f>IF(ISNUMBER(S1285),"Review: NOT unit verified",IF(AE1285="No match","No EIA match",IF(AF1285="Unconfirmed","Unconfirmed EIA candidate","")))</f>
        <v>No EIA match</v>
      </c>
      <c r="AE1285" t="s">
        <v>107</v>
      </c>
      <c r="AG1285" s="24">
        <f>IF(ISBLANK(S1285),S1285,I1285)</f>
        <v>20</v>
      </c>
      <c r="AH1285" s="34">
        <f t="shared" si="46"/>
        <v>183677.29999999981</v>
      </c>
      <c r="AI1285">
        <f t="shared" si="45"/>
        <v>114703.25774776368</v>
      </c>
      <c r="AJ1285" t="b" cm="1">
        <f t="array" ref="AJ1285">OR(D1285=$AT$2:$AT$8)</f>
        <v>0</v>
      </c>
    </row>
    <row r="1286" spans="1:36" x14ac:dyDescent="0.25">
      <c r="A1286" s="2" t="s">
        <v>1729</v>
      </c>
      <c r="B1286" s="3">
        <v>15</v>
      </c>
      <c r="C1286" s="2" t="s">
        <v>80</v>
      </c>
      <c r="D1286" s="2" t="s">
        <v>81</v>
      </c>
      <c r="E1286" s="2" t="s">
        <v>102</v>
      </c>
      <c r="F1286" s="4" t="s">
        <v>103</v>
      </c>
      <c r="G1286" s="4" t="s">
        <v>104</v>
      </c>
      <c r="H1286" s="5">
        <v>20</v>
      </c>
      <c r="I1286" s="5">
        <v>20</v>
      </c>
      <c r="J1286" s="5">
        <v>20</v>
      </c>
      <c r="K1286" s="4" t="s">
        <v>105</v>
      </c>
      <c r="L1286" s="4" t="s">
        <v>106</v>
      </c>
      <c r="M1286" s="6">
        <f>IF(OR(B1286="",I1286=""),"",B1286*I1286)</f>
        <v>300</v>
      </c>
      <c r="N1286" s="10" t="s">
        <v>10</v>
      </c>
      <c r="O1286" s="9"/>
      <c r="P1286" s="9"/>
      <c r="Q1286" s="22"/>
      <c r="R1286" s="22"/>
      <c r="S1286" s="23" t="str">
        <f>IF(AND(ISNUMBER(Q1286),Q1286&gt;0,ISNUMBER(R1286),R1286&gt;0),R1286/Q1286,"")</f>
        <v/>
      </c>
      <c r="T1286" s="9"/>
      <c r="U1286" s="9"/>
      <c r="V1286" s="9"/>
      <c r="W1286" s="9"/>
      <c r="X1286" s="23">
        <f>IF(ISNUMBER(S1286),S1286,IF(ISNUMBER(I1286),I1286,""))</f>
        <v>20</v>
      </c>
      <c r="Y1286" t="str">
        <f>IF(ISNUMBER(S1286),"2025 EIA-923 plant/group proxy",IF(ISNUMBER(I1286),"Technology estimate","No thermal heat rate"))</f>
        <v>Technology estimate</v>
      </c>
      <c r="Z1286" t="str">
        <f>IF(ISNUMBER(S1286),"Review: NOT unit verified",IF(AE1286="No match","No EIA match",IF(AF1286="Unconfirmed","Unconfirmed EIA candidate","")))</f>
        <v>No EIA match</v>
      </c>
      <c r="AE1286" t="s">
        <v>107</v>
      </c>
      <c r="AG1286" s="24">
        <f>IF(ISBLANK(S1286),S1286,I1286)</f>
        <v>20</v>
      </c>
      <c r="AH1286" s="34">
        <f t="shared" si="46"/>
        <v>183692.29999999981</v>
      </c>
      <c r="AI1286">
        <f t="shared" si="45"/>
        <v>114712.62498512081</v>
      </c>
      <c r="AJ1286" t="b" cm="1">
        <f t="array" ref="AJ1286">OR(D1286=$AT$2:$AT$8)</f>
        <v>0</v>
      </c>
    </row>
    <row r="1287" spans="1:36" x14ac:dyDescent="0.25">
      <c r="A1287" s="2" t="s">
        <v>1731</v>
      </c>
      <c r="B1287" s="3">
        <v>14.3</v>
      </c>
      <c r="C1287" s="2" t="s">
        <v>68</v>
      </c>
      <c r="D1287" s="2" t="s">
        <v>69</v>
      </c>
      <c r="E1287" s="2" t="s">
        <v>102</v>
      </c>
      <c r="F1287" s="4" t="s">
        <v>103</v>
      </c>
      <c r="G1287" s="4" t="s">
        <v>104</v>
      </c>
      <c r="H1287" s="5">
        <v>20</v>
      </c>
      <c r="I1287" s="5">
        <v>20</v>
      </c>
      <c r="J1287" s="5">
        <v>20</v>
      </c>
      <c r="K1287" s="4" t="s">
        <v>105</v>
      </c>
      <c r="L1287" s="4" t="s">
        <v>106</v>
      </c>
      <c r="M1287" s="6">
        <f>IF(OR(B1287="",I1287=""),"",B1287*I1287)</f>
        <v>286</v>
      </c>
      <c r="N1287" s="10" t="s">
        <v>10</v>
      </c>
      <c r="O1287" s="9"/>
      <c r="P1287" s="9"/>
      <c r="Q1287" s="22"/>
      <c r="R1287" s="22"/>
      <c r="S1287" s="23" t="str">
        <f>IF(AND(ISNUMBER(Q1287),Q1287&gt;0,ISNUMBER(R1287),R1287&gt;0),R1287/Q1287,"")</f>
        <v/>
      </c>
      <c r="T1287" s="9"/>
      <c r="U1287" s="9"/>
      <c r="V1287" s="9"/>
      <c r="W1287" s="9"/>
      <c r="X1287" s="23">
        <f>IF(ISNUMBER(S1287),S1287,IF(ISNUMBER(I1287),I1287,""))</f>
        <v>20</v>
      </c>
      <c r="Y1287" t="str">
        <f>IF(ISNUMBER(S1287),"2025 EIA-923 plant/group proxy",IF(ISNUMBER(I1287),"Technology estimate","No thermal heat rate"))</f>
        <v>Technology estimate</v>
      </c>
      <c r="Z1287" t="str">
        <f>IF(ISNUMBER(S1287),"Review: NOT unit verified",IF(AE1287="No match","No EIA match",IF(AF1287="Unconfirmed","Unconfirmed EIA candidate","")))</f>
        <v>No EIA match</v>
      </c>
      <c r="AE1287" t="s">
        <v>107</v>
      </c>
      <c r="AG1287" s="24">
        <f>IF(ISBLANK(S1287),S1287,I1287)</f>
        <v>20</v>
      </c>
      <c r="AH1287" s="34">
        <f t="shared" si="46"/>
        <v>183706.5999999998</v>
      </c>
      <c r="AI1287">
        <f t="shared" si="45"/>
        <v>114721.5550847346</v>
      </c>
      <c r="AJ1287" t="b" cm="1">
        <f t="array" ref="AJ1287">OR(D1287=$AT$2:$AT$8)</f>
        <v>0</v>
      </c>
    </row>
    <row r="1288" spans="1:36" x14ac:dyDescent="0.25">
      <c r="A1288" s="2" t="s">
        <v>1767</v>
      </c>
      <c r="B1288" s="3">
        <v>52.5</v>
      </c>
      <c r="C1288" s="2" t="s">
        <v>97</v>
      </c>
      <c r="D1288" s="2" t="s">
        <v>97</v>
      </c>
      <c r="E1288" s="2" t="s">
        <v>102</v>
      </c>
      <c r="F1288" s="4" t="s">
        <v>103</v>
      </c>
      <c r="G1288" s="4" t="s">
        <v>104</v>
      </c>
      <c r="H1288" s="5">
        <v>20</v>
      </c>
      <c r="I1288" s="5">
        <v>20</v>
      </c>
      <c r="J1288" s="5">
        <v>20</v>
      </c>
      <c r="K1288" s="4" t="s">
        <v>105</v>
      </c>
      <c r="L1288" s="4" t="s">
        <v>106</v>
      </c>
      <c r="M1288" s="6">
        <f>IF(OR(B1288="",I1288=""),"",B1288*I1288)</f>
        <v>1050</v>
      </c>
      <c r="N1288" s="10" t="s">
        <v>10</v>
      </c>
      <c r="O1288" s="9"/>
      <c r="P1288" s="9"/>
      <c r="Q1288" s="22"/>
      <c r="R1288" s="22"/>
      <c r="S1288" s="23" t="str">
        <f>IF(AND(ISNUMBER(Q1288),Q1288&gt;0,ISNUMBER(R1288),R1288&gt;0),R1288/Q1288,"")</f>
        <v/>
      </c>
      <c r="T1288" s="9"/>
      <c r="U1288" s="9"/>
      <c r="V1288" s="9"/>
      <c r="W1288" s="9"/>
      <c r="X1288" s="23">
        <f>IF(ISNUMBER(S1288),S1288,IF(ISNUMBER(I1288),I1288,""))</f>
        <v>20</v>
      </c>
      <c r="Y1288" t="str">
        <f>IF(ISNUMBER(S1288),"2025 EIA-923 plant/group proxy",IF(ISNUMBER(I1288),"Technology estimate","No thermal heat rate"))</f>
        <v>Technology estimate</v>
      </c>
      <c r="Z1288" t="str">
        <f>IF(ISNUMBER(S1288),"Review: NOT unit verified",IF(AE1288="No match","No EIA match",IF(AF1288="Unconfirmed","Unconfirmed EIA candidate","")))</f>
        <v>No EIA match</v>
      </c>
      <c r="AE1288" t="s">
        <v>107</v>
      </c>
      <c r="AG1288" s="24">
        <f>IF(ISBLANK(S1288),S1288,I1288)</f>
        <v>20</v>
      </c>
      <c r="AH1288" s="34">
        <f t="shared" si="46"/>
        <v>183759.0999999998</v>
      </c>
      <c r="AI1288">
        <f t="shared" si="45"/>
        <v>114754.34041548455</v>
      </c>
      <c r="AJ1288" t="b" cm="1">
        <f t="array" ref="AJ1288">OR(D1288=$AT$2:$AT$8)</f>
        <v>0</v>
      </c>
    </row>
    <row r="1289" spans="1:36" x14ac:dyDescent="0.25">
      <c r="A1289" s="2" t="s">
        <v>1768</v>
      </c>
      <c r="B1289" s="3">
        <v>48.3</v>
      </c>
      <c r="C1289" s="2" t="s">
        <v>97</v>
      </c>
      <c r="D1289" s="2" t="s">
        <v>97</v>
      </c>
      <c r="E1289" s="2" t="s">
        <v>102</v>
      </c>
      <c r="F1289" s="4" t="s">
        <v>103</v>
      </c>
      <c r="G1289" s="4" t="s">
        <v>104</v>
      </c>
      <c r="H1289" s="5">
        <v>20</v>
      </c>
      <c r="I1289" s="5">
        <v>20</v>
      </c>
      <c r="J1289" s="5">
        <v>20</v>
      </c>
      <c r="K1289" s="4" t="s">
        <v>105</v>
      </c>
      <c r="L1289" s="4" t="s">
        <v>106</v>
      </c>
      <c r="M1289" s="6">
        <f>IF(OR(B1289="",I1289=""),"",B1289*I1289)</f>
        <v>966</v>
      </c>
      <c r="N1289" s="10" t="s">
        <v>10</v>
      </c>
      <c r="O1289" s="9"/>
      <c r="P1289" s="9"/>
      <c r="Q1289" s="22"/>
      <c r="R1289" s="22"/>
      <c r="S1289" s="23" t="str">
        <f>IF(AND(ISNUMBER(Q1289),Q1289&gt;0,ISNUMBER(R1289),R1289&gt;0),R1289/Q1289,"")</f>
        <v/>
      </c>
      <c r="T1289" s="9"/>
      <c r="U1289" s="9"/>
      <c r="V1289" s="9"/>
      <c r="W1289" s="9"/>
      <c r="X1289" s="23">
        <f>IF(ISNUMBER(S1289),S1289,IF(ISNUMBER(I1289),I1289,""))</f>
        <v>20</v>
      </c>
      <c r="Y1289" t="str">
        <f>IF(ISNUMBER(S1289),"2025 EIA-923 plant/group proxy",IF(ISNUMBER(I1289),"Technology estimate","No thermal heat rate"))</f>
        <v>Technology estimate</v>
      </c>
      <c r="Z1289" t="str">
        <f>IF(ISNUMBER(S1289),"Review: NOT unit verified",IF(AE1289="No match","No EIA match",IF(AF1289="Unconfirmed","Unconfirmed EIA candidate","")))</f>
        <v>No EIA match</v>
      </c>
      <c r="AE1289" t="s">
        <v>107</v>
      </c>
      <c r="AG1289" s="24">
        <f>IF(ISBLANK(S1289),S1289,I1289)</f>
        <v>20</v>
      </c>
      <c r="AH1289" s="34">
        <f t="shared" si="46"/>
        <v>183807.39999999979</v>
      </c>
      <c r="AI1289">
        <f t="shared" si="45"/>
        <v>114784.50291977449</v>
      </c>
      <c r="AJ1289" t="b" cm="1">
        <f t="array" ref="AJ1289">OR(D1289=$AT$2:$AT$8)</f>
        <v>0</v>
      </c>
    </row>
    <row r="1290" spans="1:36" x14ac:dyDescent="0.25">
      <c r="A1290" s="2" t="s">
        <v>1778</v>
      </c>
      <c r="B1290" s="3">
        <v>49.6</v>
      </c>
      <c r="C1290" s="2" t="s">
        <v>147</v>
      </c>
      <c r="D1290" s="2" t="s">
        <v>803</v>
      </c>
      <c r="E1290" s="2" t="s">
        <v>102</v>
      </c>
      <c r="F1290" s="4" t="s">
        <v>103</v>
      </c>
      <c r="G1290" s="4" t="s">
        <v>104</v>
      </c>
      <c r="H1290" s="5">
        <v>20</v>
      </c>
      <c r="I1290" s="5">
        <v>20</v>
      </c>
      <c r="J1290" s="5">
        <v>20</v>
      </c>
      <c r="K1290" s="4" t="s">
        <v>105</v>
      </c>
      <c r="L1290" s="4" t="s">
        <v>106</v>
      </c>
      <c r="M1290" s="6">
        <f>IF(OR(B1290="",I1290=""),"",B1290*I1290)</f>
        <v>992</v>
      </c>
      <c r="N1290" s="10" t="s">
        <v>10</v>
      </c>
      <c r="O1290" s="9"/>
      <c r="P1290" s="9"/>
      <c r="Q1290" s="22"/>
      <c r="R1290" s="22"/>
      <c r="S1290" s="23" t="str">
        <f>IF(AND(ISNUMBER(Q1290),Q1290&gt;0,ISNUMBER(R1290),R1290&gt;0),R1290/Q1290,"")</f>
        <v/>
      </c>
      <c r="T1290" s="9"/>
      <c r="U1290" s="9"/>
      <c r="V1290" s="9"/>
      <c r="W1290" s="9"/>
      <c r="X1290" s="23">
        <f>IF(ISNUMBER(S1290),S1290,IF(ISNUMBER(I1290),I1290,""))</f>
        <v>20</v>
      </c>
      <c r="Y1290" t="str">
        <f>IF(ISNUMBER(S1290),"2025 EIA-923 plant/group proxy",IF(ISNUMBER(I1290),"Technology estimate","No thermal heat rate"))</f>
        <v>Technology estimate</v>
      </c>
      <c r="Z1290" t="str">
        <f>IF(ISNUMBER(S1290),"Review: NOT unit verified",IF(AE1290="No match","No EIA match",IF(AF1290="Unconfirmed","Unconfirmed EIA candidate","")))</f>
        <v>No EIA match</v>
      </c>
      <c r="AE1290" t="s">
        <v>107</v>
      </c>
      <c r="AG1290" s="24">
        <f>IF(ISBLANK(S1290),S1290,I1290)</f>
        <v>20</v>
      </c>
      <c r="AH1290" s="34">
        <f t="shared" si="46"/>
        <v>183856.9999999998</v>
      </c>
      <c r="AI1290">
        <f t="shared" si="45"/>
        <v>114815.47725130206</v>
      </c>
      <c r="AJ1290" t="b" cm="1">
        <f t="array" ref="AJ1290">OR(D1290=$AT$2:$AT$8)</f>
        <v>0</v>
      </c>
    </row>
    <row r="1291" spans="1:36" x14ac:dyDescent="0.25">
      <c r="A1291" s="2" t="s">
        <v>1779</v>
      </c>
      <c r="B1291" s="3">
        <v>51.1</v>
      </c>
      <c r="C1291" s="2" t="s">
        <v>147</v>
      </c>
      <c r="D1291" s="2" t="s">
        <v>803</v>
      </c>
      <c r="E1291" s="2" t="s">
        <v>102</v>
      </c>
      <c r="F1291" s="4" t="s">
        <v>103</v>
      </c>
      <c r="G1291" s="4" t="s">
        <v>104</v>
      </c>
      <c r="H1291" s="5">
        <v>20</v>
      </c>
      <c r="I1291" s="5">
        <v>20</v>
      </c>
      <c r="J1291" s="5">
        <v>20</v>
      </c>
      <c r="K1291" s="4" t="s">
        <v>105</v>
      </c>
      <c r="L1291" s="4" t="s">
        <v>106</v>
      </c>
      <c r="M1291" s="6">
        <f>IF(OR(B1291="",I1291=""),"",B1291*I1291)</f>
        <v>1022</v>
      </c>
      <c r="N1291" s="10" t="s">
        <v>10</v>
      </c>
      <c r="O1291" s="9"/>
      <c r="P1291" s="9"/>
      <c r="Q1291" s="22"/>
      <c r="R1291" s="22"/>
      <c r="S1291" s="23" t="str">
        <f>IF(AND(ISNUMBER(Q1291),Q1291&gt;0,ISNUMBER(R1291),R1291&gt;0),R1291/Q1291,"")</f>
        <v/>
      </c>
      <c r="T1291" s="9"/>
      <c r="U1291" s="9"/>
      <c r="V1291" s="9"/>
      <c r="W1291" s="9"/>
      <c r="X1291" s="23">
        <f>IF(ISNUMBER(S1291),S1291,IF(ISNUMBER(I1291),I1291,""))</f>
        <v>20</v>
      </c>
      <c r="Y1291" t="str">
        <f>IF(ISNUMBER(S1291),"2025 EIA-923 plant/group proxy",IF(ISNUMBER(I1291),"Technology estimate","No thermal heat rate"))</f>
        <v>Technology estimate</v>
      </c>
      <c r="Z1291" t="str">
        <f>IF(ISNUMBER(S1291),"Review: NOT unit verified",IF(AE1291="No match","No EIA match",IF(AF1291="Unconfirmed","Unconfirmed EIA candidate","")))</f>
        <v>No EIA match</v>
      </c>
      <c r="AE1291" t="s">
        <v>107</v>
      </c>
      <c r="AG1291" s="24">
        <f>IF(ISBLANK(S1291),S1291,I1291)</f>
        <v>20</v>
      </c>
      <c r="AH1291" s="34">
        <f t="shared" si="46"/>
        <v>183908.0999999998</v>
      </c>
      <c r="AI1291">
        <f t="shared" si="45"/>
        <v>114847.38830656535</v>
      </c>
      <c r="AJ1291" t="b" cm="1">
        <f t="array" ref="AJ1291">OR(D1291=$AT$2:$AT$8)</f>
        <v>0</v>
      </c>
    </row>
    <row r="1292" spans="1:36" x14ac:dyDescent="0.25">
      <c r="A1292" s="2" t="s">
        <v>1782</v>
      </c>
      <c r="B1292" s="3">
        <v>17.100000000000001</v>
      </c>
      <c r="C1292" s="2" t="s">
        <v>68</v>
      </c>
      <c r="D1292" s="2" t="s">
        <v>58</v>
      </c>
      <c r="E1292" s="2" t="s">
        <v>102</v>
      </c>
      <c r="F1292" s="4" t="s">
        <v>103</v>
      </c>
      <c r="G1292" s="4" t="s">
        <v>104</v>
      </c>
      <c r="H1292" s="5">
        <v>20</v>
      </c>
      <c r="I1292" s="5">
        <v>20</v>
      </c>
      <c r="J1292" s="5">
        <v>20</v>
      </c>
      <c r="K1292" s="4" t="s">
        <v>105</v>
      </c>
      <c r="L1292" s="4" t="s">
        <v>106</v>
      </c>
      <c r="M1292" s="6">
        <f>IF(OR(B1292="",I1292=""),"",B1292*I1292)</f>
        <v>342</v>
      </c>
      <c r="N1292" s="10" t="s">
        <v>10</v>
      </c>
      <c r="O1292" s="9"/>
      <c r="P1292" s="9"/>
      <c r="Q1292" s="22"/>
      <c r="R1292" s="22"/>
      <c r="S1292" s="23" t="str">
        <f>IF(AND(ISNUMBER(Q1292),Q1292&gt;0,ISNUMBER(R1292),R1292&gt;0),R1292/Q1292,"")</f>
        <v/>
      </c>
      <c r="T1292" s="9"/>
      <c r="U1292" s="9"/>
      <c r="V1292" s="9"/>
      <c r="W1292" s="9"/>
      <c r="X1292" s="23">
        <f>IF(ISNUMBER(S1292),S1292,IF(ISNUMBER(I1292),I1292,""))</f>
        <v>20</v>
      </c>
      <c r="Y1292" t="str">
        <f>IF(ISNUMBER(S1292),"2025 EIA-923 plant/group proxy",IF(ISNUMBER(I1292),"Technology estimate","No thermal heat rate"))</f>
        <v>Technology estimate</v>
      </c>
      <c r="Z1292" t="str">
        <f>IF(ISNUMBER(S1292),"Review: NOT unit verified",IF(AE1292="No match","No EIA match",IF(AF1292="Unconfirmed","Unconfirmed EIA candidate","")))</f>
        <v>No EIA match</v>
      </c>
      <c r="AE1292" t="s">
        <v>107</v>
      </c>
      <c r="AG1292" s="24">
        <f>IF(ISBLANK(S1292),S1292,I1292)</f>
        <v>20</v>
      </c>
      <c r="AH1292" s="34">
        <f t="shared" si="46"/>
        <v>183925.19999999981</v>
      </c>
      <c r="AI1292">
        <f t="shared" si="45"/>
        <v>114858.06695715248</v>
      </c>
      <c r="AJ1292" t="b" cm="1">
        <f t="array" ref="AJ1292">OR(D1292=$AT$2:$AT$8)</f>
        <v>0</v>
      </c>
    </row>
    <row r="1293" spans="1:36" x14ac:dyDescent="0.25">
      <c r="A1293" s="2" t="s">
        <v>664</v>
      </c>
      <c r="B1293" s="3">
        <v>13</v>
      </c>
      <c r="C1293" s="2" t="s">
        <v>432</v>
      </c>
      <c r="D1293" s="2" t="s">
        <v>58</v>
      </c>
      <c r="E1293" s="2" t="s">
        <v>102</v>
      </c>
      <c r="F1293" s="4" t="s">
        <v>5489</v>
      </c>
      <c r="G1293" s="4" t="s">
        <v>104</v>
      </c>
      <c r="H1293" s="5">
        <v>20</v>
      </c>
      <c r="I1293" s="5">
        <v>20</v>
      </c>
      <c r="J1293" s="5">
        <v>20</v>
      </c>
      <c r="K1293" s="4" t="s">
        <v>105</v>
      </c>
      <c r="L1293" s="4" t="s">
        <v>106</v>
      </c>
      <c r="M1293" s="6">
        <f>IF(OR(B1293="",I1293=""),"",B1293*I1293)</f>
        <v>260</v>
      </c>
      <c r="N1293" s="10" t="s">
        <v>10</v>
      </c>
      <c r="O1293" s="9"/>
      <c r="P1293" s="9"/>
      <c r="Q1293" s="22"/>
      <c r="R1293" s="22"/>
      <c r="S1293" s="23" t="str">
        <f>IF(AND(ISNUMBER(Q1293),Q1293&gt;0,ISNUMBER(R1293),R1293&gt;0),R1293/Q1293,"")</f>
        <v/>
      </c>
      <c r="T1293" s="9"/>
      <c r="U1293" s="9"/>
      <c r="V1293" s="9"/>
      <c r="W1293" s="9"/>
      <c r="X1293" s="23">
        <f>IF(ISNUMBER(S1293),S1293,IF(ISNUMBER(I1293),I1293,""))</f>
        <v>20</v>
      </c>
      <c r="Y1293" t="str">
        <f>IF(ISNUMBER(S1293),"2025 EIA-923 plant/group proxy",IF(ISNUMBER(I1293),"Technology estimate","No thermal heat rate"))</f>
        <v>Technology estimate</v>
      </c>
      <c r="Z1293" t="str">
        <f>IF(ISNUMBER(S1293),"Review: NOT unit verified",IF(AE1293="No match","No EIA match",IF(AF1293="Unconfirmed","Unconfirmed EIA candidate","")))</f>
        <v>No EIA match</v>
      </c>
      <c r="AE1293" t="s">
        <v>107</v>
      </c>
      <c r="AG1293" s="24">
        <f>IF(ISBLANK(S1293),S1293,I1293)</f>
        <v>20</v>
      </c>
      <c r="AH1293" s="34">
        <f t="shared" si="46"/>
        <v>183938.19999999981</v>
      </c>
      <c r="AI1293">
        <f t="shared" si="45"/>
        <v>114866.18522952867</v>
      </c>
      <c r="AJ1293" t="b" cm="1">
        <f t="array" ref="AJ1293">OR(D1293=$AT$2:$AT$8)</f>
        <v>0</v>
      </c>
    </row>
    <row r="1294" spans="1:36" x14ac:dyDescent="0.25">
      <c r="A1294" s="2" t="s">
        <v>665</v>
      </c>
      <c r="B1294" s="3">
        <v>13</v>
      </c>
      <c r="C1294" s="2" t="s">
        <v>432</v>
      </c>
      <c r="D1294" s="2" t="s">
        <v>58</v>
      </c>
      <c r="E1294" s="2" t="s">
        <v>102</v>
      </c>
      <c r="F1294" s="4" t="s">
        <v>5489</v>
      </c>
      <c r="G1294" s="4" t="s">
        <v>104</v>
      </c>
      <c r="H1294" s="5">
        <v>20</v>
      </c>
      <c r="I1294" s="5">
        <v>20</v>
      </c>
      <c r="J1294" s="5">
        <v>20</v>
      </c>
      <c r="K1294" s="4" t="s">
        <v>105</v>
      </c>
      <c r="L1294" s="4" t="s">
        <v>106</v>
      </c>
      <c r="M1294" s="6">
        <f>IF(OR(B1294="",I1294=""),"",B1294*I1294)</f>
        <v>260</v>
      </c>
      <c r="N1294" s="10" t="s">
        <v>10</v>
      </c>
      <c r="O1294" s="9"/>
      <c r="P1294" s="9"/>
      <c r="Q1294" s="22"/>
      <c r="R1294" s="22"/>
      <c r="S1294" s="23" t="str">
        <f>IF(AND(ISNUMBER(Q1294),Q1294&gt;0,ISNUMBER(R1294),R1294&gt;0),R1294/Q1294,"")</f>
        <v/>
      </c>
      <c r="T1294" s="9"/>
      <c r="U1294" s="9"/>
      <c r="V1294" s="9"/>
      <c r="W1294" s="9"/>
      <c r="X1294" s="23">
        <f>IF(ISNUMBER(S1294),S1294,IF(ISNUMBER(I1294),I1294,""))</f>
        <v>20</v>
      </c>
      <c r="Y1294" t="str">
        <f>IF(ISNUMBER(S1294),"2025 EIA-923 plant/group proxy",IF(ISNUMBER(I1294),"Technology estimate","No thermal heat rate"))</f>
        <v>Technology estimate</v>
      </c>
      <c r="Z1294" t="str">
        <f>IF(ISNUMBER(S1294),"Review: NOT unit verified",IF(AE1294="No match","No EIA match",IF(AF1294="Unconfirmed","Unconfirmed EIA candidate","")))</f>
        <v>No EIA match</v>
      </c>
      <c r="AE1294" t="s">
        <v>107</v>
      </c>
      <c r="AG1294" s="24">
        <f>IF(ISBLANK(S1294),S1294,I1294)</f>
        <v>20</v>
      </c>
      <c r="AH1294" s="34">
        <f t="shared" si="46"/>
        <v>183951.19999999981</v>
      </c>
      <c r="AI1294">
        <f t="shared" si="45"/>
        <v>114874.30350190484</v>
      </c>
      <c r="AJ1294" t="b" cm="1">
        <f t="array" ref="AJ1294">OR(D1294=$AT$2:$AT$8)</f>
        <v>0</v>
      </c>
    </row>
    <row r="1295" spans="1:36" x14ac:dyDescent="0.25">
      <c r="A1295" s="2" t="s">
        <v>666</v>
      </c>
      <c r="B1295" s="3">
        <v>17</v>
      </c>
      <c r="C1295" s="2" t="s">
        <v>432</v>
      </c>
      <c r="D1295" s="2" t="s">
        <v>58</v>
      </c>
      <c r="E1295" s="2" t="s">
        <v>102</v>
      </c>
      <c r="F1295" s="4" t="s">
        <v>5489</v>
      </c>
      <c r="G1295" s="4" t="s">
        <v>104</v>
      </c>
      <c r="H1295" s="5">
        <v>20</v>
      </c>
      <c r="I1295" s="5">
        <v>20</v>
      </c>
      <c r="J1295" s="5">
        <v>20</v>
      </c>
      <c r="K1295" s="4" t="s">
        <v>105</v>
      </c>
      <c r="L1295" s="4" t="s">
        <v>106</v>
      </c>
      <c r="M1295" s="6">
        <f>IF(OR(B1295="",I1295=""),"",B1295*I1295)</f>
        <v>340</v>
      </c>
      <c r="N1295" s="10" t="s">
        <v>10</v>
      </c>
      <c r="O1295" s="9"/>
      <c r="P1295" s="9"/>
      <c r="Q1295" s="22"/>
      <c r="R1295" s="22"/>
      <c r="S1295" s="23" t="str">
        <f>IF(AND(ISNUMBER(Q1295),Q1295&gt;0,ISNUMBER(R1295),R1295&gt;0),R1295/Q1295,"")</f>
        <v/>
      </c>
      <c r="T1295" s="9"/>
      <c r="U1295" s="9"/>
      <c r="V1295" s="9"/>
      <c r="W1295" s="9"/>
      <c r="X1295" s="23">
        <f>IF(ISNUMBER(S1295),S1295,IF(ISNUMBER(I1295),I1295,""))</f>
        <v>20</v>
      </c>
      <c r="Y1295" t="str">
        <f>IF(ISNUMBER(S1295),"2025 EIA-923 plant/group proxy",IF(ISNUMBER(I1295),"Technology estimate","No thermal heat rate"))</f>
        <v>Technology estimate</v>
      </c>
      <c r="Z1295" t="str">
        <f>IF(ISNUMBER(S1295),"Review: NOT unit verified",IF(AE1295="No match","No EIA match",IF(AF1295="Unconfirmed","Unconfirmed EIA candidate","")))</f>
        <v>No EIA match</v>
      </c>
      <c r="AE1295" t="s">
        <v>107</v>
      </c>
      <c r="AG1295" s="24">
        <f>IF(ISBLANK(S1295),S1295,I1295)</f>
        <v>20</v>
      </c>
      <c r="AH1295" s="34">
        <f t="shared" si="46"/>
        <v>183968.19999999981</v>
      </c>
      <c r="AI1295">
        <f t="shared" si="45"/>
        <v>114884.91970424292</v>
      </c>
      <c r="AJ1295" t="b" cm="1">
        <f t="array" ref="AJ1295">OR(D1295=$AT$2:$AT$8)</f>
        <v>0</v>
      </c>
    </row>
    <row r="1296" spans="1:36" x14ac:dyDescent="0.25">
      <c r="A1296" s="2" t="s">
        <v>667</v>
      </c>
      <c r="B1296" s="3">
        <v>17</v>
      </c>
      <c r="C1296" s="2" t="s">
        <v>432</v>
      </c>
      <c r="D1296" s="2" t="s">
        <v>58</v>
      </c>
      <c r="E1296" s="2" t="s">
        <v>102</v>
      </c>
      <c r="F1296" s="4" t="s">
        <v>5489</v>
      </c>
      <c r="G1296" s="4" t="s">
        <v>104</v>
      </c>
      <c r="H1296" s="5">
        <v>20</v>
      </c>
      <c r="I1296" s="5">
        <v>20</v>
      </c>
      <c r="J1296" s="5">
        <v>20</v>
      </c>
      <c r="K1296" s="4" t="s">
        <v>105</v>
      </c>
      <c r="L1296" s="4" t="s">
        <v>106</v>
      </c>
      <c r="M1296" s="6">
        <f>IF(OR(B1296="",I1296=""),"",B1296*I1296)</f>
        <v>340</v>
      </c>
      <c r="N1296" s="10" t="s">
        <v>10</v>
      </c>
      <c r="O1296" s="9"/>
      <c r="P1296" s="9"/>
      <c r="Q1296" s="22"/>
      <c r="R1296" s="22"/>
      <c r="S1296" s="23" t="str">
        <f>IF(AND(ISNUMBER(Q1296),Q1296&gt;0,ISNUMBER(R1296),R1296&gt;0),R1296/Q1296,"")</f>
        <v/>
      </c>
      <c r="T1296" s="9"/>
      <c r="U1296" s="9"/>
      <c r="V1296" s="9"/>
      <c r="W1296" s="9"/>
      <c r="X1296" s="23">
        <f>IF(ISNUMBER(S1296),S1296,IF(ISNUMBER(I1296),I1296,""))</f>
        <v>20</v>
      </c>
      <c r="Y1296" t="str">
        <f>IF(ISNUMBER(S1296),"2025 EIA-923 plant/group proxy",IF(ISNUMBER(I1296),"Technology estimate","No thermal heat rate"))</f>
        <v>Technology estimate</v>
      </c>
      <c r="Z1296" t="str">
        <f>IF(ISNUMBER(S1296),"Review: NOT unit verified",IF(AE1296="No match","No EIA match",IF(AF1296="Unconfirmed","Unconfirmed EIA candidate","")))</f>
        <v>No EIA match</v>
      </c>
      <c r="AE1296" t="s">
        <v>107</v>
      </c>
      <c r="AG1296" s="24">
        <f>IF(ISBLANK(S1296),S1296,I1296)</f>
        <v>20</v>
      </c>
      <c r="AH1296" s="34">
        <f t="shared" si="46"/>
        <v>183985.19999999981</v>
      </c>
      <c r="AI1296">
        <f t="shared" si="45"/>
        <v>114895.53590658099</v>
      </c>
      <c r="AJ1296" t="b" cm="1">
        <f t="array" ref="AJ1296">OR(D1296=$AT$2:$AT$8)</f>
        <v>0</v>
      </c>
    </row>
    <row r="1297" spans="1:36" x14ac:dyDescent="0.25">
      <c r="A1297" s="2" t="s">
        <v>966</v>
      </c>
      <c r="B1297" s="3">
        <v>25</v>
      </c>
      <c r="C1297" s="2" t="s">
        <v>347</v>
      </c>
      <c r="D1297" s="2" t="s">
        <v>347</v>
      </c>
      <c r="E1297" s="2" t="s">
        <v>125</v>
      </c>
      <c r="F1297" s="4" t="s">
        <v>126</v>
      </c>
      <c r="G1297" s="4" t="s">
        <v>127</v>
      </c>
      <c r="H1297" s="5">
        <v>9.1999999999999993</v>
      </c>
      <c r="I1297" s="5">
        <v>10.8</v>
      </c>
      <c r="J1297" s="5">
        <v>13.5</v>
      </c>
      <c r="K1297" s="4" t="s">
        <v>111</v>
      </c>
      <c r="L1297" s="4" t="s">
        <v>128</v>
      </c>
      <c r="M1297" s="6">
        <f>IF(OR(B1297="",I1297=""),"",B1297*I1297)</f>
        <v>270</v>
      </c>
      <c r="N1297" s="25" t="s">
        <v>113</v>
      </c>
      <c r="O1297" s="26">
        <v>2848</v>
      </c>
      <c r="P1297" s="9" t="s">
        <v>967</v>
      </c>
      <c r="Q1297" s="27">
        <v>922</v>
      </c>
      <c r="R1297" s="27">
        <v>20727</v>
      </c>
      <c r="S1297" s="23">
        <f>IF(AND(ISNUMBER(Q1297),Q1297&gt;0,ISNUMBER(R1297),R1297&gt;0),R1297/Q1297,"")</f>
        <v>22.480477223427332</v>
      </c>
      <c r="T1297" s="9" t="s">
        <v>115</v>
      </c>
      <c r="U1297" s="9" t="s">
        <v>130</v>
      </c>
      <c r="V1297" s="9" t="s">
        <v>21</v>
      </c>
      <c r="W1297" s="9" t="s">
        <v>217</v>
      </c>
      <c r="X1297" s="23">
        <f>IF(ISNUMBER(S1297),S1297,IF(ISNUMBER(I1297),I1297,""))</f>
        <v>22.480477223427332</v>
      </c>
      <c r="Y1297" t="str">
        <f>IF(ISNUMBER(S1297),"2025 EIA-923 plant/group proxy",IF(ISNUMBER(I1297),"Technology estimate","No thermal heat rate"))</f>
        <v>2025 EIA-923 plant/group proxy</v>
      </c>
      <c r="Z1297" t="str">
        <f>IF(ISNUMBER(S1297),"Review: NOT unit verified",IF(AE1297="No match","No EIA match",IF(AF1297="Unconfirmed","Unconfirmed EIA candidate","")))</f>
        <v>Review: NOT unit verified</v>
      </c>
      <c r="AA1297" s="26">
        <v>1</v>
      </c>
      <c r="AB1297" t="s">
        <v>322</v>
      </c>
      <c r="AC1297" t="s">
        <v>968</v>
      </c>
      <c r="AD1297" s="26">
        <v>25.2</v>
      </c>
      <c r="AE1297" t="s">
        <v>120</v>
      </c>
      <c r="AF1297" t="s">
        <v>121</v>
      </c>
      <c r="AG1297" s="27">
        <v>22.480499999999999</v>
      </c>
      <c r="AH1297" s="34">
        <f t="shared" si="46"/>
        <v>184010.19999999981</v>
      </c>
      <c r="AI1297">
        <f t="shared" si="45"/>
        <v>114911.14796884288</v>
      </c>
      <c r="AJ1297" t="b" cm="1">
        <f t="array" ref="AJ1297">OR(D1297=$AT$2:$AT$8)</f>
        <v>0</v>
      </c>
    </row>
    <row r="1298" spans="1:36" x14ac:dyDescent="0.25">
      <c r="A1298" s="2" t="s">
        <v>124</v>
      </c>
      <c r="B1298" s="3">
        <v>34.5</v>
      </c>
      <c r="C1298" s="2" t="s">
        <v>99</v>
      </c>
      <c r="D1298" s="2" t="s">
        <v>81</v>
      </c>
      <c r="E1298" s="2" t="s">
        <v>125</v>
      </c>
      <c r="F1298" s="4" t="s">
        <v>126</v>
      </c>
      <c r="G1298" s="4" t="s">
        <v>127</v>
      </c>
      <c r="H1298" s="5">
        <v>9.1999999999999993</v>
      </c>
      <c r="I1298" s="5">
        <v>10.8</v>
      </c>
      <c r="J1298" s="5">
        <v>13.5</v>
      </c>
      <c r="K1298" s="4" t="s">
        <v>111</v>
      </c>
      <c r="L1298" s="4" t="s">
        <v>128</v>
      </c>
      <c r="M1298" s="6">
        <f>IF(OR(B1298="",I1298=""),"",B1298*I1298)</f>
        <v>372.6</v>
      </c>
      <c r="N1298" s="25" t="s">
        <v>113</v>
      </c>
      <c r="O1298" s="26">
        <v>7336</v>
      </c>
      <c r="P1298" s="9" t="s">
        <v>129</v>
      </c>
      <c r="Q1298" s="27">
        <v>92279</v>
      </c>
      <c r="R1298" s="27">
        <v>2114401</v>
      </c>
      <c r="S1298" s="23">
        <f>IF(AND(ISNUMBER(Q1298),Q1298&gt;0,ISNUMBER(R1298),R1298&gt;0),R1298/Q1298,"")</f>
        <v>22.913132998840474</v>
      </c>
      <c r="T1298" s="9" t="s">
        <v>115</v>
      </c>
      <c r="U1298" s="9" t="s">
        <v>130</v>
      </c>
      <c r="V1298" s="9" t="s">
        <v>21</v>
      </c>
      <c r="W1298" s="9" t="s">
        <v>117</v>
      </c>
      <c r="X1298" s="23">
        <f>IF(ISNUMBER(S1298),S1298,IF(ISNUMBER(I1298),I1298,""))</f>
        <v>22.913132998840474</v>
      </c>
      <c r="Y1298" t="str">
        <f>IF(ISNUMBER(S1298),"2025 EIA-923 plant/group proxy",IF(ISNUMBER(I1298),"Technology estimate","No thermal heat rate"))</f>
        <v>2025 EIA-923 plant/group proxy</v>
      </c>
      <c r="Z1298" t="str">
        <f>IF(ISNUMBER(S1298),"Review: NOT unit verified",IF(AE1298="No match","No EIA match",IF(AF1298="Unconfirmed","Unconfirmed EIA candidate","")))</f>
        <v>Review: NOT unit verified</v>
      </c>
      <c r="AA1298" s="26">
        <v>1</v>
      </c>
      <c r="AB1298" t="s">
        <v>131</v>
      </c>
      <c r="AC1298" t="s">
        <v>132</v>
      </c>
      <c r="AD1298" s="26">
        <v>140</v>
      </c>
      <c r="AE1298" t="s">
        <v>120</v>
      </c>
      <c r="AF1298" t="s">
        <v>121</v>
      </c>
      <c r="AG1298" s="27">
        <v>22.9131</v>
      </c>
      <c r="AH1298" s="34">
        <f t="shared" si="46"/>
        <v>184044.69999999981</v>
      </c>
      <c r="AI1298">
        <f t="shared" si="45"/>
        <v>114932.69261476427</v>
      </c>
      <c r="AJ1298" t="b" cm="1">
        <f t="array" ref="AJ1298">OR(D1298=$AT$2:$AT$8)</f>
        <v>0</v>
      </c>
    </row>
    <row r="1299" spans="1:36" x14ac:dyDescent="0.25">
      <c r="A1299" s="2" t="s">
        <v>133</v>
      </c>
      <c r="B1299" s="3">
        <v>34.5</v>
      </c>
      <c r="C1299" s="2" t="s">
        <v>99</v>
      </c>
      <c r="D1299" s="2" t="s">
        <v>81</v>
      </c>
      <c r="E1299" s="2" t="s">
        <v>125</v>
      </c>
      <c r="F1299" s="4" t="s">
        <v>126</v>
      </c>
      <c r="G1299" s="4" t="s">
        <v>127</v>
      </c>
      <c r="H1299" s="5">
        <v>9.1999999999999993</v>
      </c>
      <c r="I1299" s="5">
        <v>10.8</v>
      </c>
      <c r="J1299" s="5">
        <v>13.5</v>
      </c>
      <c r="K1299" s="4" t="s">
        <v>111</v>
      </c>
      <c r="L1299" s="4" t="s">
        <v>128</v>
      </c>
      <c r="M1299" s="6">
        <f>IF(OR(B1299="",I1299=""),"",B1299*I1299)</f>
        <v>372.6</v>
      </c>
      <c r="N1299" s="25" t="s">
        <v>113</v>
      </c>
      <c r="O1299" s="26">
        <v>7336</v>
      </c>
      <c r="P1299" s="9" t="s">
        <v>129</v>
      </c>
      <c r="Q1299" s="27">
        <v>92279</v>
      </c>
      <c r="R1299" s="27">
        <v>2114401</v>
      </c>
      <c r="S1299" s="23">
        <f>IF(AND(ISNUMBER(Q1299),Q1299&gt;0,ISNUMBER(R1299),R1299&gt;0),R1299/Q1299,"")</f>
        <v>22.913132998840474</v>
      </c>
      <c r="T1299" s="9" t="s">
        <v>115</v>
      </c>
      <c r="U1299" s="9" t="s">
        <v>130</v>
      </c>
      <c r="V1299" s="9" t="s">
        <v>21</v>
      </c>
      <c r="W1299" s="9" t="s">
        <v>117</v>
      </c>
      <c r="X1299" s="23">
        <f>IF(ISNUMBER(S1299),S1299,IF(ISNUMBER(I1299),I1299,""))</f>
        <v>22.913132998840474</v>
      </c>
      <c r="Y1299" t="str">
        <f>IF(ISNUMBER(S1299),"2025 EIA-923 plant/group proxy",IF(ISNUMBER(I1299),"Technology estimate","No thermal heat rate"))</f>
        <v>2025 EIA-923 plant/group proxy</v>
      </c>
      <c r="Z1299" t="str">
        <f>IF(ISNUMBER(S1299),"Review: NOT unit verified",IF(AE1299="No match","No EIA match",IF(AF1299="Unconfirmed","Unconfirmed EIA candidate","")))</f>
        <v>Review: NOT unit verified</v>
      </c>
      <c r="AA1299" s="26">
        <v>1</v>
      </c>
      <c r="AB1299" t="s">
        <v>131</v>
      </c>
      <c r="AC1299" t="s">
        <v>132</v>
      </c>
      <c r="AD1299" s="26">
        <v>140</v>
      </c>
      <c r="AE1299" t="s">
        <v>120</v>
      </c>
      <c r="AF1299" t="s">
        <v>121</v>
      </c>
      <c r="AG1299" s="27">
        <v>22.9131</v>
      </c>
      <c r="AH1299" s="34">
        <f t="shared" si="46"/>
        <v>184079.19999999981</v>
      </c>
      <c r="AI1299">
        <f t="shared" si="45"/>
        <v>114954.23726068567</v>
      </c>
      <c r="AJ1299" t="b" cm="1">
        <f t="array" ref="AJ1299">OR(D1299=$AT$2:$AT$8)</f>
        <v>0</v>
      </c>
    </row>
    <row r="1300" spans="1:36" x14ac:dyDescent="0.25">
      <c r="A1300" s="2" t="s">
        <v>134</v>
      </c>
      <c r="B1300" s="3">
        <v>72</v>
      </c>
      <c r="C1300" s="2" t="s">
        <v>99</v>
      </c>
      <c r="D1300" s="2" t="s">
        <v>81</v>
      </c>
      <c r="E1300" s="2" t="s">
        <v>125</v>
      </c>
      <c r="F1300" s="4" t="s">
        <v>126</v>
      </c>
      <c r="G1300" s="4" t="s">
        <v>127</v>
      </c>
      <c r="H1300" s="5">
        <v>9.1999999999999993</v>
      </c>
      <c r="I1300" s="5">
        <v>10.8</v>
      </c>
      <c r="J1300" s="5">
        <v>13.5</v>
      </c>
      <c r="K1300" s="4" t="s">
        <v>111</v>
      </c>
      <c r="L1300" s="4" t="s">
        <v>128</v>
      </c>
      <c r="M1300" s="6">
        <f>IF(OR(B1300="",I1300=""),"",B1300*I1300)</f>
        <v>777.6</v>
      </c>
      <c r="N1300" s="25" t="s">
        <v>113</v>
      </c>
      <c r="O1300" s="26">
        <v>7336</v>
      </c>
      <c r="P1300" s="9" t="s">
        <v>129</v>
      </c>
      <c r="Q1300" s="27">
        <v>92279</v>
      </c>
      <c r="R1300" s="27">
        <v>2114401</v>
      </c>
      <c r="S1300" s="23">
        <f>IF(AND(ISNUMBER(Q1300),Q1300&gt;0,ISNUMBER(R1300),R1300&gt;0),R1300/Q1300,"")</f>
        <v>22.913132998840474</v>
      </c>
      <c r="T1300" s="9" t="s">
        <v>115</v>
      </c>
      <c r="U1300" s="9" t="s">
        <v>130</v>
      </c>
      <c r="V1300" s="9" t="s">
        <v>21</v>
      </c>
      <c r="W1300" s="9" t="s">
        <v>117</v>
      </c>
      <c r="X1300" s="23">
        <f>IF(ISNUMBER(S1300),S1300,IF(ISNUMBER(I1300),I1300,""))</f>
        <v>22.913132998840474</v>
      </c>
      <c r="Y1300" t="str">
        <f>IF(ISNUMBER(S1300),"2025 EIA-923 plant/group proxy",IF(ISNUMBER(I1300),"Technology estimate","No thermal heat rate"))</f>
        <v>2025 EIA-923 plant/group proxy</v>
      </c>
      <c r="Z1300" t="str">
        <f>IF(ISNUMBER(S1300),"Review: NOT unit verified",IF(AE1300="No match","No EIA match",IF(AF1300="Unconfirmed","Unconfirmed EIA candidate","")))</f>
        <v>Review: NOT unit verified</v>
      </c>
      <c r="AA1300" s="26">
        <v>1</v>
      </c>
      <c r="AB1300" t="s">
        <v>131</v>
      </c>
      <c r="AC1300" t="s">
        <v>132</v>
      </c>
      <c r="AD1300" s="26">
        <v>140</v>
      </c>
      <c r="AE1300" t="s">
        <v>120</v>
      </c>
      <c r="AF1300" t="s">
        <v>121</v>
      </c>
      <c r="AG1300" s="27">
        <v>22.9131</v>
      </c>
      <c r="AH1300" s="34">
        <f t="shared" si="46"/>
        <v>184151.19999999981</v>
      </c>
      <c r="AI1300">
        <f t="shared" si="45"/>
        <v>114999.19999999988</v>
      </c>
      <c r="AJ1300" t="b" cm="1">
        <f t="array" ref="AJ1300">OR(D1300=$AT$2:$AT$8)</f>
        <v>0</v>
      </c>
    </row>
  </sheetData>
  <autoFilter ref="A1:AG1300" xr:uid="{00000000-0009-0000-0000-000001000000}">
    <sortState xmlns:xlrd2="http://schemas.microsoft.com/office/spreadsheetml/2017/richdata2" ref="A2:AG1300">
      <sortCondition ref="AG1:AG1300"/>
    </sortState>
  </autoFilter>
  <phoneticPr fontId="17" type="noConversion"/>
  <conditionalFormatting sqref="S2:S1300">
    <cfRule type="cellIs" dxfId="1" priority="3" operator="greaterThan">
      <formula>30</formula>
    </cfRule>
  </conditionalFormatting>
  <conditionalFormatting sqref="AP28:AP51">
    <cfRule type="expression" dxfId="0" priority="4">
      <formula>$AN28&gt;$AP28</formula>
    </cfRule>
  </conditionalFormatting>
  <hyperlinks>
    <hyperlink ref="V816" r:id="rId1" xr:uid="{00000000-0004-0000-0100-000000000000}"/>
    <hyperlink ref="V817" r:id="rId2" xr:uid="{00000000-0004-0000-0100-000001000000}"/>
    <hyperlink ref="V818" r:id="rId3" xr:uid="{00000000-0004-0000-0100-000002000000}"/>
    <hyperlink ref="V1298" r:id="rId4" xr:uid="{00000000-0004-0000-0100-000003000000}"/>
    <hyperlink ref="V1299" r:id="rId5" xr:uid="{00000000-0004-0000-0100-000004000000}"/>
    <hyperlink ref="V1300" r:id="rId6" xr:uid="{00000000-0004-0000-0100-000005000000}"/>
    <hyperlink ref="V813" r:id="rId7" xr:uid="{00000000-0004-0000-0100-000006000000}"/>
    <hyperlink ref="V880" r:id="rId8" xr:uid="{00000000-0004-0000-0100-000007000000}"/>
    <hyperlink ref="V881" r:id="rId9" xr:uid="{00000000-0004-0000-0100-000008000000}"/>
    <hyperlink ref="V882" r:id="rId10" xr:uid="{00000000-0004-0000-0100-000009000000}"/>
    <hyperlink ref="V883" r:id="rId11" xr:uid="{00000000-0004-0000-0100-00000A000000}"/>
    <hyperlink ref="V884" r:id="rId12" xr:uid="{00000000-0004-0000-0100-00000B000000}"/>
    <hyperlink ref="V885" r:id="rId13" xr:uid="{00000000-0004-0000-0100-00000C000000}"/>
    <hyperlink ref="V886" r:id="rId14" xr:uid="{00000000-0004-0000-0100-00000D000000}"/>
    <hyperlink ref="V887" r:id="rId15" xr:uid="{00000000-0004-0000-0100-00000E000000}"/>
    <hyperlink ref="V888" r:id="rId16" xr:uid="{00000000-0004-0000-0100-00000F000000}"/>
    <hyperlink ref="V889" r:id="rId17" xr:uid="{00000000-0004-0000-0100-000010000000}"/>
    <hyperlink ref="V758" r:id="rId18" xr:uid="{00000000-0004-0000-0100-000011000000}"/>
    <hyperlink ref="V759" r:id="rId19" xr:uid="{00000000-0004-0000-0100-000012000000}"/>
    <hyperlink ref="V760" r:id="rId20" xr:uid="{00000000-0004-0000-0100-000013000000}"/>
    <hyperlink ref="V761" r:id="rId21" xr:uid="{00000000-0004-0000-0100-000014000000}"/>
    <hyperlink ref="V762" r:id="rId22" xr:uid="{00000000-0004-0000-0100-000015000000}"/>
    <hyperlink ref="V763" r:id="rId23" xr:uid="{00000000-0004-0000-0100-000016000000}"/>
    <hyperlink ref="V587" r:id="rId24" xr:uid="{00000000-0004-0000-0100-000017000000}"/>
    <hyperlink ref="V712" r:id="rId25" xr:uid="{00000000-0004-0000-0100-000018000000}"/>
    <hyperlink ref="V713" r:id="rId26" xr:uid="{00000000-0004-0000-0100-000019000000}"/>
    <hyperlink ref="V801" r:id="rId27" xr:uid="{00000000-0004-0000-0100-00001A000000}"/>
    <hyperlink ref="V775" r:id="rId28" xr:uid="{00000000-0004-0000-0100-00001B000000}"/>
    <hyperlink ref="V776" r:id="rId29" xr:uid="{00000000-0004-0000-0100-00001C000000}"/>
    <hyperlink ref="V777" r:id="rId30" xr:uid="{00000000-0004-0000-0100-00001D000000}"/>
    <hyperlink ref="V778" r:id="rId31" xr:uid="{00000000-0004-0000-0100-00001E000000}"/>
    <hyperlink ref="V779" r:id="rId32" xr:uid="{00000000-0004-0000-0100-00001F000000}"/>
    <hyperlink ref="V780" r:id="rId33" xr:uid="{00000000-0004-0000-0100-000020000000}"/>
    <hyperlink ref="V566" r:id="rId34" xr:uid="{00000000-0004-0000-0100-000021000000}"/>
    <hyperlink ref="V1172" r:id="rId35" xr:uid="{00000000-0004-0000-0100-000022000000}"/>
    <hyperlink ref="V998" r:id="rId36" xr:uid="{00000000-0004-0000-0100-000023000000}"/>
    <hyperlink ref="V999" r:id="rId37" xr:uid="{00000000-0004-0000-0100-000024000000}"/>
    <hyperlink ref="V1000" r:id="rId38" xr:uid="{00000000-0004-0000-0100-000025000000}"/>
    <hyperlink ref="V1003" r:id="rId39" xr:uid="{00000000-0004-0000-0100-000026000000}"/>
    <hyperlink ref="V1004" r:id="rId40" xr:uid="{00000000-0004-0000-0100-000027000000}"/>
    <hyperlink ref="V1001" r:id="rId41" xr:uid="{00000000-0004-0000-0100-000028000000}"/>
    <hyperlink ref="V953" r:id="rId42" xr:uid="{00000000-0004-0000-0100-000029000000}"/>
    <hyperlink ref="V954" r:id="rId43" xr:uid="{00000000-0004-0000-0100-00002A000000}"/>
    <hyperlink ref="V955" r:id="rId44" xr:uid="{00000000-0004-0000-0100-00002B000000}"/>
    <hyperlink ref="V1041" r:id="rId45" xr:uid="{00000000-0004-0000-0100-00002C000000}"/>
    <hyperlink ref="V1042" r:id="rId46" xr:uid="{00000000-0004-0000-0100-00002D000000}"/>
    <hyperlink ref="V1043" r:id="rId47" xr:uid="{00000000-0004-0000-0100-00002E000000}"/>
    <hyperlink ref="V1044" r:id="rId48" xr:uid="{00000000-0004-0000-0100-00002F000000}"/>
    <hyperlink ref="V585" r:id="rId49" xr:uid="{00000000-0004-0000-0100-000030000000}"/>
    <hyperlink ref="V767" r:id="rId50" xr:uid="{00000000-0004-0000-0100-000031000000}"/>
    <hyperlink ref="V768" r:id="rId51" xr:uid="{00000000-0004-0000-0100-000032000000}"/>
    <hyperlink ref="V769" r:id="rId52" xr:uid="{00000000-0004-0000-0100-000033000000}"/>
    <hyperlink ref="V770" r:id="rId53" xr:uid="{00000000-0004-0000-0100-000034000000}"/>
    <hyperlink ref="V791" r:id="rId54" xr:uid="{00000000-0004-0000-0100-000035000000}"/>
    <hyperlink ref="V792" r:id="rId55" xr:uid="{00000000-0004-0000-0100-000036000000}"/>
    <hyperlink ref="V793" r:id="rId56" xr:uid="{00000000-0004-0000-0100-000037000000}"/>
    <hyperlink ref="V593" r:id="rId57" xr:uid="{00000000-0004-0000-0100-000038000000}"/>
    <hyperlink ref="V1081" r:id="rId58" xr:uid="{00000000-0004-0000-0100-000039000000}"/>
    <hyperlink ref="V1051" r:id="rId59" xr:uid="{00000000-0004-0000-0100-00003A000000}"/>
    <hyperlink ref="V1052" r:id="rId60" xr:uid="{00000000-0004-0000-0100-00003B000000}"/>
    <hyperlink ref="V1053" r:id="rId61" xr:uid="{00000000-0004-0000-0100-00003C000000}"/>
    <hyperlink ref="V1054" r:id="rId62" xr:uid="{00000000-0004-0000-0100-00003D000000}"/>
    <hyperlink ref="V1055" r:id="rId63" xr:uid="{00000000-0004-0000-0100-00003E000000}"/>
    <hyperlink ref="V1056" r:id="rId64" xr:uid="{00000000-0004-0000-0100-00003F000000}"/>
    <hyperlink ref="V878" r:id="rId65" xr:uid="{00000000-0004-0000-0100-000040000000}"/>
    <hyperlink ref="V879" r:id="rId66" xr:uid="{00000000-0004-0000-0100-000041000000}"/>
    <hyperlink ref="V704" r:id="rId67" xr:uid="{00000000-0004-0000-0100-000042000000}"/>
    <hyperlink ref="V705" r:id="rId68" xr:uid="{00000000-0004-0000-0100-000043000000}"/>
    <hyperlink ref="V798" r:id="rId69" xr:uid="{00000000-0004-0000-0100-000044000000}"/>
    <hyperlink ref="V942" r:id="rId70" xr:uid="{00000000-0004-0000-0100-000045000000}"/>
    <hyperlink ref="V943" r:id="rId71" xr:uid="{00000000-0004-0000-0100-000046000000}"/>
    <hyperlink ref="V944" r:id="rId72" xr:uid="{00000000-0004-0000-0100-000047000000}"/>
    <hyperlink ref="V945" r:id="rId73" xr:uid="{00000000-0004-0000-0100-000048000000}"/>
    <hyperlink ref="V946" r:id="rId74" xr:uid="{00000000-0004-0000-0100-000049000000}"/>
    <hyperlink ref="V947" r:id="rId75" xr:uid="{00000000-0004-0000-0100-00004A000000}"/>
    <hyperlink ref="V1088" r:id="rId76" xr:uid="{00000000-0004-0000-0100-00004B000000}"/>
    <hyperlink ref="V1089" r:id="rId77" xr:uid="{00000000-0004-0000-0100-00004C000000}"/>
    <hyperlink ref="V958" r:id="rId78" xr:uid="{00000000-0004-0000-0100-00004D000000}"/>
    <hyperlink ref="V959" r:id="rId79" xr:uid="{00000000-0004-0000-0100-00004E000000}"/>
    <hyperlink ref="V814" r:id="rId80" xr:uid="{00000000-0004-0000-0100-00004F000000}"/>
    <hyperlink ref="V815" r:id="rId81" xr:uid="{00000000-0004-0000-0100-000050000000}"/>
    <hyperlink ref="V890" r:id="rId82" xr:uid="{00000000-0004-0000-0100-000051000000}"/>
    <hyperlink ref="V951" r:id="rId83" xr:uid="{00000000-0004-0000-0100-000052000000}"/>
    <hyperlink ref="V952" r:id="rId84" xr:uid="{00000000-0004-0000-0100-000053000000}"/>
    <hyperlink ref="V700" r:id="rId85" xr:uid="{00000000-0004-0000-0100-000054000000}"/>
    <hyperlink ref="V701" r:id="rId86" xr:uid="{00000000-0004-0000-0100-000055000000}"/>
    <hyperlink ref="V702" r:id="rId87" xr:uid="{00000000-0004-0000-0100-000056000000}"/>
    <hyperlink ref="V1138" r:id="rId88" xr:uid="{00000000-0004-0000-0100-000057000000}"/>
    <hyperlink ref="V1139" r:id="rId89" xr:uid="{00000000-0004-0000-0100-000058000000}"/>
    <hyperlink ref="V1140" r:id="rId90" xr:uid="{00000000-0004-0000-0100-000059000000}"/>
    <hyperlink ref="V1141" r:id="rId91" xr:uid="{00000000-0004-0000-0100-00005A000000}"/>
    <hyperlink ref="V771" r:id="rId92" xr:uid="{00000000-0004-0000-0100-00005B000000}"/>
    <hyperlink ref="V772" r:id="rId93" xr:uid="{00000000-0004-0000-0100-00005C000000}"/>
    <hyperlink ref="V773" r:id="rId94" xr:uid="{00000000-0004-0000-0100-00005D000000}"/>
    <hyperlink ref="V774" r:id="rId95" xr:uid="{00000000-0004-0000-0100-00005E000000}"/>
    <hyperlink ref="V822" r:id="rId96" xr:uid="{00000000-0004-0000-0100-00005F000000}"/>
    <hyperlink ref="V823" r:id="rId97" xr:uid="{00000000-0004-0000-0100-000060000000}"/>
    <hyperlink ref="V1097" r:id="rId98" xr:uid="{00000000-0004-0000-0100-000061000000}"/>
    <hyperlink ref="V1098" r:id="rId99" xr:uid="{00000000-0004-0000-0100-000062000000}"/>
    <hyperlink ref="V1099" r:id="rId100" xr:uid="{00000000-0004-0000-0100-000063000000}"/>
    <hyperlink ref="V1100" r:id="rId101" xr:uid="{00000000-0004-0000-0100-000064000000}"/>
    <hyperlink ref="V1101" r:id="rId102" xr:uid="{00000000-0004-0000-0100-000065000000}"/>
    <hyperlink ref="V1102" r:id="rId103" xr:uid="{00000000-0004-0000-0100-000066000000}"/>
    <hyperlink ref="V1084" r:id="rId104" xr:uid="{00000000-0004-0000-0100-000067000000}"/>
    <hyperlink ref="V1085" r:id="rId105" xr:uid="{00000000-0004-0000-0100-000068000000}"/>
    <hyperlink ref="V1086" r:id="rId106" xr:uid="{00000000-0004-0000-0100-000069000000}"/>
    <hyperlink ref="V1087" r:id="rId107" xr:uid="{00000000-0004-0000-0100-00006A000000}"/>
    <hyperlink ref="V1147" r:id="rId108" xr:uid="{00000000-0004-0000-0100-00006B000000}"/>
    <hyperlink ref="V1148" r:id="rId109" xr:uid="{00000000-0004-0000-0100-00006C000000}"/>
    <hyperlink ref="V703" r:id="rId110" xr:uid="{00000000-0004-0000-0100-00006D000000}"/>
    <hyperlink ref="V1034" r:id="rId111" xr:uid="{00000000-0004-0000-0100-00006E000000}"/>
    <hyperlink ref="V1035" r:id="rId112" xr:uid="{00000000-0004-0000-0100-00006F000000}"/>
    <hyperlink ref="V576" r:id="rId113" xr:uid="{00000000-0004-0000-0100-000070000000}"/>
    <hyperlink ref="V577" r:id="rId114" xr:uid="{00000000-0004-0000-0100-000071000000}"/>
    <hyperlink ref="V578" r:id="rId115" xr:uid="{00000000-0004-0000-0100-000072000000}"/>
    <hyperlink ref="V727" r:id="rId116" xr:uid="{00000000-0004-0000-0100-000073000000}"/>
    <hyperlink ref="V728" r:id="rId117" xr:uid="{00000000-0004-0000-0100-000074000000}"/>
    <hyperlink ref="V729" r:id="rId118" xr:uid="{00000000-0004-0000-0100-000075000000}"/>
    <hyperlink ref="V730" r:id="rId119" xr:uid="{00000000-0004-0000-0100-000076000000}"/>
    <hyperlink ref="V963" r:id="rId120" xr:uid="{00000000-0004-0000-0100-000077000000}"/>
    <hyperlink ref="V1170" r:id="rId121" xr:uid="{00000000-0004-0000-0100-000078000000}"/>
    <hyperlink ref="V1103" r:id="rId122" xr:uid="{00000000-0004-0000-0100-000079000000}"/>
    <hyperlink ref="V1104" r:id="rId123" xr:uid="{00000000-0004-0000-0100-00007A000000}"/>
    <hyperlink ref="V1105" r:id="rId124" xr:uid="{00000000-0004-0000-0100-00007B000000}"/>
    <hyperlink ref="V1047" r:id="rId125" xr:uid="{00000000-0004-0000-0100-00007C000000}"/>
    <hyperlink ref="V1048" r:id="rId126" xr:uid="{00000000-0004-0000-0100-00007D000000}"/>
    <hyperlink ref="V1049" r:id="rId127" xr:uid="{00000000-0004-0000-0100-00007E000000}"/>
    <hyperlink ref="V1050" r:id="rId128" xr:uid="{00000000-0004-0000-0100-00007F000000}"/>
    <hyperlink ref="V986" r:id="rId129" xr:uid="{00000000-0004-0000-0100-000080000000}"/>
    <hyperlink ref="V987" r:id="rId130" xr:uid="{00000000-0004-0000-0100-000081000000}"/>
    <hyperlink ref="V988" r:id="rId131" xr:uid="{00000000-0004-0000-0100-000082000000}"/>
    <hyperlink ref="V1117" r:id="rId132" xr:uid="{00000000-0004-0000-0100-000083000000}"/>
    <hyperlink ref="V1118" r:id="rId133" xr:uid="{00000000-0004-0000-0100-000084000000}"/>
    <hyperlink ref="V1119" r:id="rId134" xr:uid="{00000000-0004-0000-0100-000085000000}"/>
    <hyperlink ref="V1120" r:id="rId135" xr:uid="{00000000-0004-0000-0100-000086000000}"/>
    <hyperlink ref="V1121" r:id="rId136" xr:uid="{00000000-0004-0000-0100-000087000000}"/>
    <hyperlink ref="V1122" r:id="rId137" xr:uid="{00000000-0004-0000-0100-000088000000}"/>
    <hyperlink ref="V1123" r:id="rId138" xr:uid="{00000000-0004-0000-0100-000089000000}"/>
    <hyperlink ref="V1130" r:id="rId139" xr:uid="{00000000-0004-0000-0100-00008A000000}"/>
    <hyperlink ref="V1131" r:id="rId140" xr:uid="{00000000-0004-0000-0100-00008B000000}"/>
    <hyperlink ref="V796" r:id="rId141" xr:uid="{00000000-0004-0000-0100-00008C000000}"/>
    <hyperlink ref="V797" r:id="rId142" xr:uid="{00000000-0004-0000-0100-00008D000000}"/>
    <hyperlink ref="V824" r:id="rId143" xr:uid="{00000000-0004-0000-0100-00008E000000}"/>
    <hyperlink ref="V825" r:id="rId144" xr:uid="{00000000-0004-0000-0100-00008F000000}"/>
    <hyperlink ref="V672" r:id="rId145" xr:uid="{00000000-0004-0000-0100-000090000000}"/>
    <hyperlink ref="V781" r:id="rId146" xr:uid="{00000000-0004-0000-0100-000091000000}"/>
    <hyperlink ref="V782" r:id="rId147" xr:uid="{00000000-0004-0000-0100-000092000000}"/>
    <hyperlink ref="V1083" r:id="rId148" xr:uid="{00000000-0004-0000-0100-000093000000}"/>
    <hyperlink ref="V1036" r:id="rId149" xr:uid="{00000000-0004-0000-0100-000094000000}"/>
    <hyperlink ref="V1037" r:id="rId150" xr:uid="{00000000-0004-0000-0100-000095000000}"/>
    <hyperlink ref="V1038" r:id="rId151" xr:uid="{00000000-0004-0000-0100-000096000000}"/>
    <hyperlink ref="V1039" r:id="rId152" xr:uid="{00000000-0004-0000-0100-000097000000}"/>
    <hyperlink ref="V1040" r:id="rId153" xr:uid="{00000000-0004-0000-0100-000098000000}"/>
    <hyperlink ref="V1082" r:id="rId154" xr:uid="{00000000-0004-0000-0100-000099000000}"/>
    <hyperlink ref="V1152" r:id="rId155" xr:uid="{00000000-0004-0000-0100-00009A000000}"/>
    <hyperlink ref="V1124" r:id="rId156" xr:uid="{00000000-0004-0000-0100-00009B000000}"/>
    <hyperlink ref="V1125" r:id="rId157" xr:uid="{00000000-0004-0000-0100-00009C000000}"/>
    <hyperlink ref="V1126" r:id="rId158" xr:uid="{00000000-0004-0000-0100-00009D000000}"/>
    <hyperlink ref="V1127" r:id="rId159" xr:uid="{00000000-0004-0000-0100-00009E000000}"/>
    <hyperlink ref="V568" r:id="rId160" xr:uid="{00000000-0004-0000-0100-00009F000000}"/>
    <hyperlink ref="V874" r:id="rId161" xr:uid="{00000000-0004-0000-0100-0000A0000000}"/>
    <hyperlink ref="V875" r:id="rId162" xr:uid="{00000000-0004-0000-0100-0000A1000000}"/>
    <hyperlink ref="V876" r:id="rId163" xr:uid="{00000000-0004-0000-0100-0000A2000000}"/>
    <hyperlink ref="V877" r:id="rId164" xr:uid="{00000000-0004-0000-0100-0000A3000000}"/>
    <hyperlink ref="V572" r:id="rId165" xr:uid="{00000000-0004-0000-0100-0000A4000000}"/>
    <hyperlink ref="V573" r:id="rId166" xr:uid="{00000000-0004-0000-0100-0000A5000000}"/>
    <hyperlink ref="V574" r:id="rId167" xr:uid="{00000000-0004-0000-0100-0000A6000000}"/>
    <hyperlink ref="V1062" r:id="rId168" xr:uid="{00000000-0004-0000-0100-0000A7000000}"/>
    <hyperlink ref="V1063" r:id="rId169" xr:uid="{00000000-0004-0000-0100-0000A8000000}"/>
    <hyperlink ref="V1064" r:id="rId170" xr:uid="{00000000-0004-0000-0100-0000A9000000}"/>
    <hyperlink ref="V1065" r:id="rId171" xr:uid="{00000000-0004-0000-0100-0000AA000000}"/>
    <hyperlink ref="V1066" r:id="rId172" xr:uid="{00000000-0004-0000-0100-0000AB000000}"/>
    <hyperlink ref="V659" r:id="rId173" xr:uid="{00000000-0004-0000-0100-0000AC000000}"/>
    <hyperlink ref="V660" r:id="rId174" xr:uid="{00000000-0004-0000-0100-0000AD000000}"/>
    <hyperlink ref="V661" r:id="rId175" xr:uid="{00000000-0004-0000-0100-0000AE000000}"/>
    <hyperlink ref="V662" r:id="rId176" xr:uid="{00000000-0004-0000-0100-0000AF000000}"/>
    <hyperlink ref="V663" r:id="rId177" xr:uid="{00000000-0004-0000-0100-0000B0000000}"/>
    <hyperlink ref="V664" r:id="rId178" xr:uid="{00000000-0004-0000-0100-0000B1000000}"/>
    <hyperlink ref="V802" r:id="rId179" xr:uid="{00000000-0004-0000-0100-0000B2000000}"/>
    <hyperlink ref="V718" r:id="rId180" xr:uid="{00000000-0004-0000-0100-0000B3000000}"/>
    <hyperlink ref="V719" r:id="rId181" xr:uid="{00000000-0004-0000-0100-0000B4000000}"/>
    <hyperlink ref="V720" r:id="rId182" xr:uid="{00000000-0004-0000-0100-0000B5000000}"/>
    <hyperlink ref="V721" r:id="rId183" xr:uid="{00000000-0004-0000-0100-0000B6000000}"/>
    <hyperlink ref="V722" r:id="rId184" xr:uid="{00000000-0004-0000-0100-0000B7000000}"/>
    <hyperlink ref="V723" r:id="rId185" xr:uid="{00000000-0004-0000-0100-0000B8000000}"/>
    <hyperlink ref="V724" r:id="rId186" xr:uid="{00000000-0004-0000-0100-0000B9000000}"/>
    <hyperlink ref="V725" r:id="rId187" xr:uid="{00000000-0004-0000-0100-0000BA000000}"/>
    <hyperlink ref="V1030" r:id="rId188" xr:uid="{00000000-0004-0000-0100-0000BB000000}"/>
    <hyperlink ref="V1031" r:id="rId189" xr:uid="{00000000-0004-0000-0100-0000BC000000}"/>
    <hyperlink ref="V1032" r:id="rId190" xr:uid="{00000000-0004-0000-0100-0000BD000000}"/>
    <hyperlink ref="V1033" r:id="rId191" xr:uid="{00000000-0004-0000-0100-0000BE000000}"/>
    <hyperlink ref="V571" r:id="rId192" xr:uid="{00000000-0004-0000-0100-0000BF000000}"/>
    <hyperlink ref="V715" r:id="rId193" xr:uid="{00000000-0004-0000-0100-0000C0000000}"/>
    <hyperlink ref="V757" r:id="rId194" xr:uid="{00000000-0004-0000-0100-0000C1000000}"/>
    <hyperlink ref="V716" r:id="rId195" xr:uid="{00000000-0004-0000-0100-0000C2000000}"/>
    <hyperlink ref="V717" r:id="rId196" xr:uid="{00000000-0004-0000-0100-0000C3000000}"/>
    <hyperlink ref="V1149" r:id="rId197" xr:uid="{00000000-0004-0000-0100-0000C4000000}"/>
    <hyperlink ref="V588" r:id="rId198" xr:uid="{00000000-0004-0000-0100-0000C5000000}"/>
    <hyperlink ref="V1150" r:id="rId199" xr:uid="{00000000-0004-0000-0100-0000C6000000}"/>
    <hyperlink ref="V589" r:id="rId200" xr:uid="{00000000-0004-0000-0100-0000C7000000}"/>
    <hyperlink ref="V1151" r:id="rId201" xr:uid="{00000000-0004-0000-0100-0000C8000000}"/>
    <hyperlink ref="V590" r:id="rId202" xr:uid="{00000000-0004-0000-0100-0000C9000000}"/>
    <hyperlink ref="V591" r:id="rId203" xr:uid="{00000000-0004-0000-0100-0000CA000000}"/>
    <hyperlink ref="V1297" r:id="rId204" xr:uid="{00000000-0004-0000-0100-0000CB000000}"/>
    <hyperlink ref="V669" r:id="rId205" xr:uid="{00000000-0004-0000-0100-0000CC000000}"/>
    <hyperlink ref="V670" r:id="rId206" xr:uid="{00000000-0004-0000-0100-0000CD000000}"/>
    <hyperlink ref="V671" r:id="rId207" xr:uid="{00000000-0004-0000-0100-0000CE000000}"/>
    <hyperlink ref="V862" r:id="rId208" xr:uid="{00000000-0004-0000-0100-0000CF000000}"/>
    <hyperlink ref="V989" r:id="rId209" xr:uid="{00000000-0004-0000-0100-0000D0000000}"/>
    <hyperlink ref="V990" r:id="rId210" xr:uid="{00000000-0004-0000-0100-0000D1000000}"/>
    <hyperlink ref="V991" r:id="rId211" xr:uid="{00000000-0004-0000-0100-0000D2000000}"/>
    <hyperlink ref="V992" r:id="rId212" xr:uid="{00000000-0004-0000-0100-0000D3000000}"/>
    <hyperlink ref="V993" r:id="rId213" xr:uid="{00000000-0004-0000-0100-0000D4000000}"/>
    <hyperlink ref="V994" r:id="rId214" xr:uid="{00000000-0004-0000-0100-0000D5000000}"/>
    <hyperlink ref="V706" r:id="rId215" xr:uid="{00000000-0004-0000-0100-0000D6000000}"/>
    <hyperlink ref="V707" r:id="rId216" xr:uid="{00000000-0004-0000-0100-0000D7000000}"/>
    <hyperlink ref="V708" r:id="rId217" xr:uid="{00000000-0004-0000-0100-0000D8000000}"/>
    <hyperlink ref="V709" r:id="rId218" xr:uid="{00000000-0004-0000-0100-0000D9000000}"/>
    <hyperlink ref="V714" r:id="rId219" xr:uid="{00000000-0004-0000-0100-0000DA000000}"/>
    <hyperlink ref="V799" r:id="rId220" xr:uid="{00000000-0004-0000-0100-0000DB000000}"/>
    <hyperlink ref="V800" r:id="rId221" xr:uid="{00000000-0004-0000-0100-0000DC000000}"/>
    <hyperlink ref="V956" r:id="rId222" xr:uid="{00000000-0004-0000-0100-0000DD000000}"/>
    <hyperlink ref="V1045" r:id="rId223" xr:uid="{00000000-0004-0000-0100-0000DE000000}"/>
    <hyperlink ref="V1046" r:id="rId224" xr:uid="{00000000-0004-0000-0100-0000DF000000}"/>
    <hyperlink ref="V891" r:id="rId225" xr:uid="{00000000-0004-0000-0100-0000E0000000}"/>
    <hyperlink ref="V892" r:id="rId226" xr:uid="{00000000-0004-0000-0100-0000E1000000}"/>
    <hyperlink ref="V893" r:id="rId227" xr:uid="{00000000-0004-0000-0100-0000E2000000}"/>
    <hyperlink ref="V894" r:id="rId228" xr:uid="{00000000-0004-0000-0100-0000E3000000}"/>
    <hyperlink ref="V895" r:id="rId229" xr:uid="{00000000-0004-0000-0100-0000E4000000}"/>
    <hyperlink ref="V863" r:id="rId230" xr:uid="{00000000-0004-0000-0100-0000E5000000}"/>
    <hyperlink ref="V864" r:id="rId231" xr:uid="{00000000-0004-0000-0100-0000E6000000}"/>
    <hyperlink ref="V865" r:id="rId232" xr:uid="{00000000-0004-0000-0100-0000E7000000}"/>
    <hyperlink ref="V866" r:id="rId233" xr:uid="{00000000-0004-0000-0100-0000E8000000}"/>
    <hyperlink ref="V867" r:id="rId234" xr:uid="{00000000-0004-0000-0100-0000E9000000}"/>
    <hyperlink ref="V594" r:id="rId235" xr:uid="{00000000-0004-0000-0100-0000EA000000}"/>
    <hyperlink ref="V595" r:id="rId236" xr:uid="{00000000-0004-0000-0100-0000EB000000}"/>
    <hyperlink ref="V596" r:id="rId237" xr:uid="{00000000-0004-0000-0100-0000EC000000}"/>
    <hyperlink ref="V597" r:id="rId238" xr:uid="{00000000-0004-0000-0100-0000ED000000}"/>
    <hyperlink ref="V598" r:id="rId239" xr:uid="{00000000-0004-0000-0100-0000EE000000}"/>
    <hyperlink ref="V599" r:id="rId240" xr:uid="{00000000-0004-0000-0100-0000EF000000}"/>
    <hyperlink ref="V673" r:id="rId241" xr:uid="{00000000-0004-0000-0100-0000F0000000}"/>
    <hyperlink ref="V674" r:id="rId242" xr:uid="{00000000-0004-0000-0100-0000F1000000}"/>
    <hyperlink ref="V675" r:id="rId243" xr:uid="{00000000-0004-0000-0100-0000F2000000}"/>
    <hyperlink ref="V1161" r:id="rId244" xr:uid="{00000000-0004-0000-0100-0000F3000000}"/>
    <hyperlink ref="V1162" r:id="rId245" xr:uid="{00000000-0004-0000-0100-0000F4000000}"/>
    <hyperlink ref="V1163" r:id="rId246" xr:uid="{00000000-0004-0000-0100-0000F5000000}"/>
    <hyperlink ref="V1164" r:id="rId247" xr:uid="{00000000-0004-0000-0100-0000F6000000}"/>
    <hyperlink ref="V1165" r:id="rId248" xr:uid="{00000000-0004-0000-0100-0000F7000000}"/>
    <hyperlink ref="V1166" r:id="rId249" xr:uid="{00000000-0004-0000-0100-0000F8000000}"/>
    <hyperlink ref="V1167" r:id="rId250" xr:uid="{00000000-0004-0000-0100-0000F9000000}"/>
    <hyperlink ref="V1168" r:id="rId251" xr:uid="{00000000-0004-0000-0100-0000FA000000}"/>
    <hyperlink ref="V697" r:id="rId252" xr:uid="{00000000-0004-0000-0100-0000FB000000}"/>
    <hyperlink ref="V698" r:id="rId253" xr:uid="{00000000-0004-0000-0100-0000FC000000}"/>
    <hyperlink ref="V699" r:id="rId254" xr:uid="{00000000-0004-0000-0100-0000FD000000}"/>
    <hyperlink ref="V1106" r:id="rId255" xr:uid="{00000000-0004-0000-0100-0000FE000000}"/>
    <hyperlink ref="V1107" r:id="rId256" xr:uid="{00000000-0004-0000-0100-0000FF000000}"/>
    <hyperlink ref="V1108" r:id="rId257" xr:uid="{00000000-0004-0000-0100-000000010000}"/>
    <hyperlink ref="V1109" r:id="rId258" xr:uid="{00000000-0004-0000-0100-000001010000}"/>
    <hyperlink ref="V1076" r:id="rId259" xr:uid="{00000000-0004-0000-0100-000002010000}"/>
    <hyperlink ref="V1077" r:id="rId260" xr:uid="{00000000-0004-0000-0100-000003010000}"/>
    <hyperlink ref="V1078" r:id="rId261" xr:uid="{00000000-0004-0000-0100-000004010000}"/>
    <hyperlink ref="V1079" r:id="rId262" xr:uid="{00000000-0004-0000-0100-000005010000}"/>
    <hyperlink ref="V1080" r:id="rId263" xr:uid="{00000000-0004-0000-0100-000006010000}"/>
    <hyperlink ref="V1005" r:id="rId264" xr:uid="{00000000-0004-0000-0100-000007010000}"/>
    <hyperlink ref="V969" r:id="rId265" xr:uid="{00000000-0004-0000-0100-000008010000}"/>
    <hyperlink ref="V970" r:id="rId266" xr:uid="{00000000-0004-0000-0100-000009010000}"/>
    <hyperlink ref="V971" r:id="rId267" xr:uid="{00000000-0004-0000-0100-00000A010000}"/>
    <hyperlink ref="V972" r:id="rId268" xr:uid="{00000000-0004-0000-0100-00000B010000}"/>
    <hyperlink ref="V973" r:id="rId269" xr:uid="{00000000-0004-0000-0100-00000C010000}"/>
    <hyperlink ref="V868" r:id="rId270" xr:uid="{00000000-0004-0000-0100-00000D010000}"/>
    <hyperlink ref="V869" r:id="rId271" xr:uid="{00000000-0004-0000-0100-00000E010000}"/>
    <hyperlink ref="V794" r:id="rId272" xr:uid="{00000000-0004-0000-0100-00000F010000}"/>
    <hyperlink ref="V795" r:id="rId273" xr:uid="{00000000-0004-0000-0100-000010010000}"/>
    <hyperlink ref="V982" r:id="rId274" xr:uid="{00000000-0004-0000-0100-000011010000}"/>
    <hyperlink ref="V983" r:id="rId275" xr:uid="{00000000-0004-0000-0100-000012010000}"/>
    <hyperlink ref="V984" r:id="rId276" xr:uid="{00000000-0004-0000-0100-000013010000}"/>
    <hyperlink ref="V985" r:id="rId277" xr:uid="{00000000-0004-0000-0100-000014010000}"/>
    <hyperlink ref="V919" r:id="rId278" xr:uid="{00000000-0004-0000-0100-000015010000}"/>
    <hyperlink ref="V764" r:id="rId279" xr:uid="{00000000-0004-0000-0100-000016010000}"/>
    <hyperlink ref="V569" r:id="rId280" xr:uid="{00000000-0004-0000-0100-000017010000}"/>
    <hyperlink ref="V570" r:id="rId281" xr:uid="{00000000-0004-0000-0100-000018010000}"/>
    <hyperlink ref="V676" r:id="rId282" xr:uid="{00000000-0004-0000-0100-000019010000}"/>
    <hyperlink ref="V819" r:id="rId283" xr:uid="{00000000-0004-0000-0100-00001A010000}"/>
    <hyperlink ref="V820" r:id="rId284" xr:uid="{00000000-0004-0000-0100-00001B010000}"/>
    <hyperlink ref="V821" r:id="rId285" xr:uid="{00000000-0004-0000-0100-00001C010000}"/>
    <hyperlink ref="V710" r:id="rId286" xr:uid="{00000000-0004-0000-0100-00001D010000}"/>
    <hyperlink ref="V711" r:id="rId287" xr:uid="{00000000-0004-0000-0100-00001E010000}"/>
    <hyperlink ref="V960" r:id="rId288" xr:uid="{00000000-0004-0000-0100-00001F010000}"/>
    <hyperlink ref="V961" r:id="rId289" xr:uid="{00000000-0004-0000-0100-000020010000}"/>
    <hyperlink ref="V1027" r:id="rId290" xr:uid="{00000000-0004-0000-0100-000021010000}"/>
    <hyperlink ref="V1028" r:id="rId291" xr:uid="{00000000-0004-0000-0100-000022010000}"/>
    <hyperlink ref="V1029" r:id="rId292" xr:uid="{00000000-0004-0000-0100-000023010000}"/>
    <hyperlink ref="V1002" r:id="rId293" xr:uid="{00000000-0004-0000-0100-000024010000}"/>
    <hyperlink ref="V726" r:id="rId294" xr:uid="{00000000-0004-0000-0100-000025010000}"/>
    <hyperlink ref="V600" r:id="rId295" xr:uid="{00000000-0004-0000-0100-000026010000}"/>
    <hyperlink ref="V601" r:id="rId296" xr:uid="{00000000-0004-0000-0100-000027010000}"/>
    <hyperlink ref="V602" r:id="rId297" xr:uid="{00000000-0004-0000-0100-000028010000}"/>
    <hyperlink ref="V579" r:id="rId298" xr:uid="{00000000-0004-0000-0100-000029010000}"/>
    <hyperlink ref="V1146" r:id="rId299" xr:uid="{00000000-0004-0000-0100-00002A010000}"/>
    <hyperlink ref="V964" r:id="rId300" xr:uid="{00000000-0004-0000-0100-00002B010000}"/>
    <hyperlink ref="V965" r:id="rId301" xr:uid="{00000000-0004-0000-0100-00002C010000}"/>
    <hyperlink ref="V966" r:id="rId302" xr:uid="{00000000-0004-0000-0100-00002D010000}"/>
    <hyperlink ref="V1171" r:id="rId303" xr:uid="{00000000-0004-0000-0100-00002E010000}"/>
    <hyperlink ref="V1144" r:id="rId304" xr:uid="{00000000-0004-0000-0100-00002F010000}"/>
    <hyperlink ref="V1145" r:id="rId305" xr:uid="{00000000-0004-0000-0100-000030010000}"/>
    <hyperlink ref="V680" r:id="rId306" xr:uid="{00000000-0004-0000-0100-000031010000}"/>
    <hyperlink ref="V1128" r:id="rId307" xr:uid="{00000000-0004-0000-0100-000032010000}"/>
    <hyperlink ref="V1129" r:id="rId308" xr:uid="{00000000-0004-0000-0100-000033010000}"/>
    <hyperlink ref="V995" r:id="rId309" xr:uid="{00000000-0004-0000-0100-000034010000}"/>
    <hyperlink ref="V996" r:id="rId310" xr:uid="{00000000-0004-0000-0100-000035010000}"/>
    <hyperlink ref="V997" r:id="rId311" xr:uid="{00000000-0004-0000-0100-000036010000}"/>
    <hyperlink ref="V665" r:id="rId312" xr:uid="{00000000-0004-0000-0100-000037010000}"/>
    <hyperlink ref="V666" r:id="rId313" xr:uid="{00000000-0004-0000-0100-000038010000}"/>
    <hyperlink ref="V667" r:id="rId314" xr:uid="{00000000-0004-0000-0100-000039010000}"/>
    <hyperlink ref="V668" r:id="rId315" xr:uid="{00000000-0004-0000-0100-00003A010000}"/>
    <hyperlink ref="V787" r:id="rId316" xr:uid="{00000000-0004-0000-0100-00003B010000}"/>
    <hyperlink ref="V788" r:id="rId317" xr:uid="{00000000-0004-0000-0100-00003C010000}"/>
    <hyperlink ref="V789" r:id="rId318" xr:uid="{00000000-0004-0000-0100-00003D010000}"/>
    <hyperlink ref="V790" r:id="rId319" xr:uid="{00000000-0004-0000-0100-00003E010000}"/>
    <hyperlink ref="V1133" r:id="rId320" xr:uid="{00000000-0004-0000-0100-00003F010000}"/>
    <hyperlink ref="V1134" r:id="rId321" xr:uid="{00000000-0004-0000-0100-000040010000}"/>
    <hyperlink ref="V1135" r:id="rId322" xr:uid="{00000000-0004-0000-0100-000041010000}"/>
    <hyperlink ref="V1136" r:id="rId323" xr:uid="{00000000-0004-0000-0100-000042010000}"/>
    <hyperlink ref="V1137" r:id="rId324" xr:uid="{00000000-0004-0000-0100-000043010000}"/>
    <hyperlink ref="V870" r:id="rId325" xr:uid="{00000000-0004-0000-0100-000044010000}"/>
    <hyperlink ref="V871" r:id="rId326" xr:uid="{00000000-0004-0000-0100-000045010000}"/>
    <hyperlink ref="V872" r:id="rId327" xr:uid="{00000000-0004-0000-0100-000046010000}"/>
    <hyperlink ref="V873" r:id="rId328" xr:uid="{00000000-0004-0000-0100-000047010000}"/>
    <hyperlink ref="V948" r:id="rId329" xr:uid="{00000000-0004-0000-0100-000048010000}"/>
    <hyperlink ref="V949" r:id="rId330" xr:uid="{00000000-0004-0000-0100-000049010000}"/>
    <hyperlink ref="V950" r:id="rId331" xr:uid="{00000000-0004-0000-0100-00004A010000}"/>
    <hyperlink ref="V765" r:id="rId332" xr:uid="{00000000-0004-0000-0100-00004B010000}"/>
    <hyperlink ref="V766" r:id="rId333" xr:uid="{00000000-0004-0000-0100-00004C010000}"/>
    <hyperlink ref="V1113" r:id="rId334" xr:uid="{00000000-0004-0000-0100-00004D010000}"/>
    <hyperlink ref="V1114" r:id="rId335" xr:uid="{00000000-0004-0000-0100-00004E010000}"/>
    <hyperlink ref="V1115" r:id="rId336" xr:uid="{00000000-0004-0000-0100-00004F010000}"/>
    <hyperlink ref="V1116" r:id="rId337" xr:uid="{00000000-0004-0000-0100-000050010000}"/>
    <hyperlink ref="V962" r:id="rId338" xr:uid="{00000000-0004-0000-0100-000051010000}"/>
    <hyperlink ref="V592" r:id="rId339" xr:uid="{00000000-0004-0000-0100-000052010000}"/>
    <hyperlink ref="V974" r:id="rId340" xr:uid="{00000000-0004-0000-0100-000053010000}"/>
    <hyperlink ref="V975" r:id="rId341" xr:uid="{00000000-0004-0000-0100-000054010000}"/>
    <hyperlink ref="V976" r:id="rId342" xr:uid="{00000000-0004-0000-0100-000055010000}"/>
    <hyperlink ref="V977" r:id="rId343" xr:uid="{00000000-0004-0000-0100-000056010000}"/>
    <hyperlink ref="V981" r:id="rId344" xr:uid="{00000000-0004-0000-0100-000057010000}"/>
    <hyperlink ref="V1132" r:id="rId345" xr:uid="{00000000-0004-0000-0100-000058010000}"/>
    <hyperlink ref="V896" r:id="rId346" xr:uid="{00000000-0004-0000-0100-000059010000}"/>
    <hyperlink ref="V1067" r:id="rId347" xr:uid="{00000000-0004-0000-0100-00005A010000}"/>
    <hyperlink ref="V1074" r:id="rId348" xr:uid="{00000000-0004-0000-0100-00005B010000}"/>
    <hyperlink ref="V1068" r:id="rId349" xr:uid="{00000000-0004-0000-0100-00005C010000}"/>
    <hyperlink ref="V1069" r:id="rId350" xr:uid="{00000000-0004-0000-0100-00005D010000}"/>
    <hyperlink ref="V1070" r:id="rId351" xr:uid="{00000000-0004-0000-0100-00005E010000}"/>
    <hyperlink ref="V1071" r:id="rId352" xr:uid="{00000000-0004-0000-0100-00005F010000}"/>
    <hyperlink ref="V1072" r:id="rId353" xr:uid="{00000000-0004-0000-0100-000060010000}"/>
    <hyperlink ref="V1073" r:id="rId354" xr:uid="{00000000-0004-0000-0100-000061010000}"/>
    <hyperlink ref="V1075" r:id="rId355" xr:uid="{00000000-0004-0000-0100-000062010000}"/>
    <hyperlink ref="V967" r:id="rId356" xr:uid="{00000000-0004-0000-0100-000063010000}"/>
    <hyperlink ref="V968" r:id="rId357" xr:uid="{00000000-0004-0000-0100-000064010000}"/>
    <hyperlink ref="V783" r:id="rId358" xr:uid="{00000000-0004-0000-0100-000065010000}"/>
    <hyperlink ref="V784" r:id="rId359" xr:uid="{00000000-0004-0000-0100-000066010000}"/>
    <hyperlink ref="V785" r:id="rId360" xr:uid="{00000000-0004-0000-0100-000067010000}"/>
    <hyperlink ref="V786" r:id="rId361" xr:uid="{00000000-0004-0000-0100-000068010000}"/>
    <hyperlink ref="V1090" r:id="rId362" xr:uid="{00000000-0004-0000-0100-000069010000}"/>
    <hyperlink ref="V1091" r:id="rId363" xr:uid="{00000000-0004-0000-0100-00006A010000}"/>
    <hyperlink ref="V1092" r:id="rId364" xr:uid="{00000000-0004-0000-0100-00006B010000}"/>
    <hyperlink ref="V1093" r:id="rId365" xr:uid="{00000000-0004-0000-0100-00006C010000}"/>
    <hyperlink ref="V1094" r:id="rId366" xr:uid="{00000000-0004-0000-0100-00006D010000}"/>
    <hyperlink ref="V1095" r:id="rId367" xr:uid="{00000000-0004-0000-0100-00006E010000}"/>
    <hyperlink ref="V1096" r:id="rId368" xr:uid="{00000000-0004-0000-0100-00006F010000}"/>
    <hyperlink ref="V575" r:id="rId369" xr:uid="{00000000-0004-0000-0100-000070010000}"/>
    <hyperlink ref="V897" r:id="rId370" xr:uid="{00000000-0004-0000-0100-000071010000}"/>
    <hyperlink ref="V898" r:id="rId371" xr:uid="{00000000-0004-0000-0100-000072010000}"/>
    <hyperlink ref="V899" r:id="rId372" xr:uid="{00000000-0004-0000-0100-000073010000}"/>
    <hyperlink ref="V900" r:id="rId373" xr:uid="{00000000-0004-0000-0100-000074010000}"/>
    <hyperlink ref="V901" r:id="rId374" xr:uid="{00000000-0004-0000-0100-000075010000}"/>
    <hyperlink ref="V902" r:id="rId375" xr:uid="{00000000-0004-0000-0100-000076010000}"/>
    <hyperlink ref="V903" r:id="rId376" xr:uid="{00000000-0004-0000-0100-000077010000}"/>
    <hyperlink ref="V904" r:id="rId377" xr:uid="{00000000-0004-0000-0100-000078010000}"/>
    <hyperlink ref="V905" r:id="rId378" xr:uid="{00000000-0004-0000-0100-000079010000}"/>
    <hyperlink ref="V906" r:id="rId379" xr:uid="{00000000-0004-0000-0100-00007A010000}"/>
    <hyperlink ref="V907" r:id="rId380" xr:uid="{00000000-0004-0000-0100-00007B010000}"/>
    <hyperlink ref="V908" r:id="rId381" xr:uid="{00000000-0004-0000-0100-00007C010000}"/>
    <hyperlink ref="V909" r:id="rId382" xr:uid="{00000000-0004-0000-0100-00007D010000}"/>
    <hyperlink ref="V910" r:id="rId383" xr:uid="{00000000-0004-0000-0100-00007E010000}"/>
    <hyperlink ref="V911" r:id="rId384" xr:uid="{00000000-0004-0000-0100-00007F010000}"/>
    <hyperlink ref="V912" r:id="rId385" xr:uid="{00000000-0004-0000-0100-000080010000}"/>
    <hyperlink ref="V913" r:id="rId386" xr:uid="{00000000-0004-0000-0100-000081010000}"/>
    <hyperlink ref="V914" r:id="rId387" xr:uid="{00000000-0004-0000-0100-000082010000}"/>
    <hyperlink ref="V915" r:id="rId388" xr:uid="{00000000-0004-0000-0100-000083010000}"/>
    <hyperlink ref="V916" r:id="rId389" xr:uid="{00000000-0004-0000-0100-000084010000}"/>
    <hyperlink ref="V917" r:id="rId390" xr:uid="{00000000-0004-0000-0100-000085010000}"/>
    <hyperlink ref="V918" r:id="rId391" xr:uid="{00000000-0004-0000-0100-000086010000}"/>
    <hyperlink ref="V1173" r:id="rId392" xr:uid="{00000000-0004-0000-0100-000087010000}"/>
    <hyperlink ref="V957" r:id="rId393" xr:uid="{00000000-0004-0000-0100-000088010000}"/>
    <hyperlink ref="V1142" r:id="rId394" xr:uid="{00000000-0004-0000-0100-000089010000}"/>
    <hyperlink ref="V1143" r:id="rId395" xr:uid="{00000000-0004-0000-0100-00008A010000}"/>
    <hyperlink ref="V580" r:id="rId396" xr:uid="{00000000-0004-0000-0100-00008B010000}"/>
    <hyperlink ref="V1160" r:id="rId397" xr:uid="{00000000-0004-0000-0100-00008C010000}"/>
    <hyperlink ref="V677" r:id="rId398" xr:uid="{00000000-0004-0000-0100-00008D010000}"/>
    <hyperlink ref="V678" r:id="rId399" xr:uid="{00000000-0004-0000-0100-00008E010000}"/>
    <hyperlink ref="V679" r:id="rId400" xr:uid="{00000000-0004-0000-0100-00008F010000}"/>
    <hyperlink ref="V581" r:id="rId401" xr:uid="{00000000-0004-0000-0100-000090010000}"/>
    <hyperlink ref="V582" r:id="rId402" xr:uid="{00000000-0004-0000-0100-000091010000}"/>
    <hyperlink ref="V583" r:id="rId403" xr:uid="{00000000-0004-0000-0100-000092010000}"/>
    <hyperlink ref="V584" r:id="rId404" xr:uid="{00000000-0004-0000-0100-000093010000}"/>
    <hyperlink ref="V1057" r:id="rId405" xr:uid="{00000000-0004-0000-0100-000094010000}"/>
    <hyperlink ref="V1058" r:id="rId406" xr:uid="{00000000-0004-0000-0100-000095010000}"/>
    <hyperlink ref="V1059" r:id="rId407" xr:uid="{00000000-0004-0000-0100-000096010000}"/>
    <hyperlink ref="V1060" r:id="rId408" xr:uid="{00000000-0004-0000-0100-000097010000}"/>
    <hyperlink ref="V1061" r:id="rId409" xr:uid="{00000000-0004-0000-0100-000098010000}"/>
    <hyperlink ref="V567" r:id="rId410" xr:uid="{00000000-0004-0000-0100-000099010000}"/>
    <hyperlink ref="V1169" r:id="rId411" xr:uid="{00000000-0004-0000-0100-00009A010000}"/>
    <hyperlink ref="V586" r:id="rId412" xr:uid="{00000000-0004-0000-0100-00009B010000}"/>
    <hyperlink ref="V1174" r:id="rId413" xr:uid="{00000000-0004-0000-0100-00009C010000}"/>
    <hyperlink ref="V1175" r:id="rId414" xr:uid="{00000000-0004-0000-0100-00009D010000}"/>
    <hyperlink ref="V1176" r:id="rId415" xr:uid="{00000000-0004-0000-0100-00009E010000}"/>
    <hyperlink ref="V1177" r:id="rId416" xr:uid="{00000000-0004-0000-0100-00009F010000}"/>
    <hyperlink ref="V1178" r:id="rId417" xr:uid="{00000000-0004-0000-0100-0000A0010000}"/>
    <hyperlink ref="V1179" r:id="rId418" xr:uid="{00000000-0004-0000-0100-0000A1010000}"/>
    <hyperlink ref="V1153" r:id="rId419" xr:uid="{00000000-0004-0000-0100-0000A2010000}"/>
    <hyperlink ref="V1154" r:id="rId420" xr:uid="{00000000-0004-0000-0100-0000A3010000}"/>
    <hyperlink ref="V1155" r:id="rId421" xr:uid="{00000000-0004-0000-0100-0000A4010000}"/>
    <hyperlink ref="V1156" r:id="rId422" xr:uid="{00000000-0004-0000-0100-0000A5010000}"/>
    <hyperlink ref="V1157" r:id="rId423" xr:uid="{00000000-0004-0000-0100-0000A6010000}"/>
    <hyperlink ref="V1158" r:id="rId424" xr:uid="{00000000-0004-0000-0100-0000A7010000}"/>
    <hyperlink ref="V1159" r:id="rId425" xr:uid="{00000000-0004-0000-0100-0000A8010000}"/>
    <hyperlink ref="V1110" r:id="rId426" xr:uid="{00000000-0004-0000-0100-0000A9010000}"/>
    <hyperlink ref="V1111" r:id="rId427" xr:uid="{00000000-0004-0000-0100-0000AA010000}"/>
    <hyperlink ref="V1112" r:id="rId428" xr:uid="{00000000-0004-0000-0100-0000AB010000}"/>
    <hyperlink ref="V978" r:id="rId429" xr:uid="{00000000-0004-0000-0100-0000AC010000}"/>
    <hyperlink ref="V979" r:id="rId430" xr:uid="{00000000-0004-0000-0100-0000AD010000}"/>
    <hyperlink ref="V980" r:id="rId431" xr:uid="{00000000-0004-0000-0100-0000AE010000}"/>
  </hyperlinks>
  <pageMargins left="0.75" right="0.75" top="1" bottom="1" header="0.5" footer="0.5"/>
  <drawing r:id="rId432"/>
  <legacyDrawing r:id="rId43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showGridLines="0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29" customWidth="1"/>
    <col min="3" max="3" width="27" customWidth="1"/>
    <col min="4" max="6" width="14" customWidth="1"/>
    <col min="7" max="7" width="60" customWidth="1"/>
  </cols>
  <sheetData>
    <row r="1" spans="1:7" ht="33" customHeight="1" x14ac:dyDescent="0.25">
      <c r="A1" s="1" t="s">
        <v>27</v>
      </c>
      <c r="B1" s="1" t="s">
        <v>28</v>
      </c>
      <c r="C1" s="1" t="s">
        <v>29</v>
      </c>
      <c r="D1" s="1" t="s">
        <v>1862</v>
      </c>
      <c r="E1" s="1" t="s">
        <v>1863</v>
      </c>
      <c r="F1" s="1" t="s">
        <v>1864</v>
      </c>
      <c r="G1" s="1" t="s">
        <v>1865</v>
      </c>
    </row>
    <row r="2" spans="1:7" x14ac:dyDescent="0.25">
      <c r="A2" s="4" t="s">
        <v>715</v>
      </c>
      <c r="B2" s="4" t="s">
        <v>93</v>
      </c>
      <c r="C2" s="4" t="s">
        <v>94</v>
      </c>
      <c r="D2" s="4"/>
      <c r="E2" s="4"/>
      <c r="F2" s="4"/>
      <c r="G2" s="4" t="s">
        <v>95</v>
      </c>
    </row>
    <row r="3" spans="1:7" x14ac:dyDescent="0.25">
      <c r="A3" s="4" t="s">
        <v>92</v>
      </c>
      <c r="B3" s="4" t="s">
        <v>93</v>
      </c>
      <c r="C3" s="4" t="s">
        <v>94</v>
      </c>
      <c r="D3" s="4"/>
      <c r="E3" s="4"/>
      <c r="F3" s="4"/>
      <c r="G3" s="4" t="s">
        <v>95</v>
      </c>
    </row>
    <row r="4" spans="1:7" x14ac:dyDescent="0.25">
      <c r="A4" s="4" t="s">
        <v>1551</v>
      </c>
      <c r="B4" s="4" t="s">
        <v>93</v>
      </c>
      <c r="C4" s="4" t="s">
        <v>94</v>
      </c>
      <c r="D4" s="4"/>
      <c r="E4" s="4"/>
      <c r="F4" s="4"/>
      <c r="G4" s="4" t="s">
        <v>95</v>
      </c>
    </row>
    <row r="5" spans="1:7" x14ac:dyDescent="0.25">
      <c r="A5" s="4" t="s">
        <v>182</v>
      </c>
      <c r="B5" s="4" t="s">
        <v>93</v>
      </c>
      <c r="C5" s="4" t="s">
        <v>94</v>
      </c>
      <c r="D5" s="4"/>
      <c r="E5" s="4"/>
      <c r="F5" s="4"/>
      <c r="G5" s="4" t="s">
        <v>95</v>
      </c>
    </row>
    <row r="6" spans="1:7" x14ac:dyDescent="0.25">
      <c r="A6" s="4" t="s">
        <v>109</v>
      </c>
      <c r="B6" s="4" t="s">
        <v>109</v>
      </c>
      <c r="C6" s="4" t="s">
        <v>110</v>
      </c>
      <c r="D6" s="4">
        <v>9</v>
      </c>
      <c r="E6" s="4">
        <v>10.3</v>
      </c>
      <c r="F6" s="4">
        <v>12</v>
      </c>
      <c r="G6" s="4" t="s">
        <v>112</v>
      </c>
    </row>
    <row r="7" spans="1:7" x14ac:dyDescent="0.25">
      <c r="A7" s="4" t="s">
        <v>194</v>
      </c>
      <c r="B7" s="4" t="s">
        <v>195</v>
      </c>
      <c r="C7" s="4" t="s">
        <v>196</v>
      </c>
      <c r="D7" s="4">
        <v>8</v>
      </c>
      <c r="E7" s="4">
        <v>9.5</v>
      </c>
      <c r="F7" s="4">
        <v>12</v>
      </c>
      <c r="G7" s="4" t="s">
        <v>197</v>
      </c>
    </row>
    <row r="8" spans="1:7" x14ac:dyDescent="0.25">
      <c r="A8" s="4" t="s">
        <v>244</v>
      </c>
      <c r="B8" s="4" t="s">
        <v>138</v>
      </c>
      <c r="C8" s="4" t="s">
        <v>245</v>
      </c>
      <c r="D8" s="4">
        <v>6.5</v>
      </c>
      <c r="E8" s="4">
        <v>7.2</v>
      </c>
      <c r="F8" s="4">
        <v>8.1999999999999993</v>
      </c>
      <c r="G8" s="4" t="s">
        <v>112</v>
      </c>
    </row>
    <row r="9" spans="1:7" x14ac:dyDescent="0.25">
      <c r="A9" s="4" t="s">
        <v>213</v>
      </c>
      <c r="B9" s="4" t="s">
        <v>126</v>
      </c>
      <c r="C9" s="4" t="s">
        <v>214</v>
      </c>
      <c r="D9" s="4">
        <v>6.6</v>
      </c>
      <c r="E9" s="4">
        <v>7.4</v>
      </c>
      <c r="F9" s="4">
        <v>8.5</v>
      </c>
      <c r="G9" s="4" t="s">
        <v>128</v>
      </c>
    </row>
    <row r="10" spans="1:7" x14ac:dyDescent="0.25">
      <c r="A10" s="4" t="s">
        <v>137</v>
      </c>
      <c r="B10" s="4" t="s">
        <v>138</v>
      </c>
      <c r="C10" s="4" t="s">
        <v>139</v>
      </c>
      <c r="D10" s="4">
        <v>9</v>
      </c>
      <c r="E10" s="4">
        <v>10.5</v>
      </c>
      <c r="F10" s="4">
        <v>13</v>
      </c>
      <c r="G10" s="4" t="s">
        <v>112</v>
      </c>
    </row>
    <row r="11" spans="1:7" x14ac:dyDescent="0.25">
      <c r="A11" s="4" t="s">
        <v>125</v>
      </c>
      <c r="B11" s="4" t="s">
        <v>126</v>
      </c>
      <c r="C11" s="4" t="s">
        <v>127</v>
      </c>
      <c r="D11" s="4">
        <v>9.1999999999999993</v>
      </c>
      <c r="E11" s="4">
        <v>10.8</v>
      </c>
      <c r="F11" s="4">
        <v>13.5</v>
      </c>
      <c r="G11" s="4" t="s">
        <v>128</v>
      </c>
    </row>
    <row r="12" spans="1:7" x14ac:dyDescent="0.25">
      <c r="A12" s="4" t="s">
        <v>1543</v>
      </c>
      <c r="B12" s="4" t="s">
        <v>1544</v>
      </c>
      <c r="C12" s="4" t="s">
        <v>1545</v>
      </c>
      <c r="D12" s="4"/>
      <c r="E12" s="4"/>
      <c r="F12" s="4"/>
      <c r="G12" s="4" t="s">
        <v>1546</v>
      </c>
    </row>
    <row r="13" spans="1:7" x14ac:dyDescent="0.25">
      <c r="A13" s="4" t="s">
        <v>82</v>
      </c>
      <c r="B13" s="4" t="s">
        <v>83</v>
      </c>
      <c r="C13" s="4" t="s">
        <v>84</v>
      </c>
      <c r="D13" s="4"/>
      <c r="E13" s="4"/>
      <c r="F13" s="4"/>
      <c r="G13" s="4" t="s">
        <v>63</v>
      </c>
    </row>
    <row r="14" spans="1:7" x14ac:dyDescent="0.25">
      <c r="A14" s="4" t="s">
        <v>447</v>
      </c>
      <c r="B14" s="4" t="s">
        <v>83</v>
      </c>
      <c r="C14" s="4" t="s">
        <v>84</v>
      </c>
      <c r="D14" s="4"/>
      <c r="E14" s="4"/>
      <c r="F14" s="4"/>
      <c r="G14" s="4" t="s">
        <v>63</v>
      </c>
    </row>
    <row r="15" spans="1:7" x14ac:dyDescent="0.25">
      <c r="A15" s="4" t="s">
        <v>150</v>
      </c>
      <c r="B15" s="4" t="s">
        <v>151</v>
      </c>
      <c r="C15" s="4" t="s">
        <v>152</v>
      </c>
      <c r="D15" s="4">
        <v>9</v>
      </c>
      <c r="E15" s="4">
        <v>12</v>
      </c>
      <c r="F15" s="4">
        <v>16</v>
      </c>
      <c r="G15" s="4" t="s">
        <v>153</v>
      </c>
    </row>
    <row r="16" spans="1:7" x14ac:dyDescent="0.25">
      <c r="A16" s="4" t="s">
        <v>222</v>
      </c>
      <c r="B16" s="4" t="s">
        <v>223</v>
      </c>
      <c r="C16" s="4" t="s">
        <v>224</v>
      </c>
      <c r="D16" s="4">
        <v>10</v>
      </c>
      <c r="E16" s="4">
        <v>10.5</v>
      </c>
      <c r="F16" s="4">
        <v>11.2</v>
      </c>
      <c r="G16" s="4" t="s">
        <v>225</v>
      </c>
    </row>
    <row r="17" spans="1:7" x14ac:dyDescent="0.25">
      <c r="A17" s="4" t="s">
        <v>1739</v>
      </c>
      <c r="B17" s="4" t="s">
        <v>88</v>
      </c>
      <c r="C17" s="4" t="s">
        <v>89</v>
      </c>
      <c r="D17" s="4"/>
      <c r="E17" s="4"/>
      <c r="F17" s="4"/>
      <c r="G17" s="4" t="s">
        <v>63</v>
      </c>
    </row>
    <row r="18" spans="1:7" x14ac:dyDescent="0.25">
      <c r="A18" s="4" t="s">
        <v>87</v>
      </c>
      <c r="B18" s="4" t="s">
        <v>88</v>
      </c>
      <c r="C18" s="4" t="s">
        <v>89</v>
      </c>
      <c r="D18" s="4"/>
      <c r="E18" s="4"/>
      <c r="F18" s="4"/>
      <c r="G18" s="4" t="s">
        <v>63</v>
      </c>
    </row>
    <row r="19" spans="1:7" x14ac:dyDescent="0.25">
      <c r="A19" s="4" t="s">
        <v>102</v>
      </c>
      <c r="B19" s="4" t="s">
        <v>103</v>
      </c>
      <c r="C19" s="4" t="s">
        <v>104</v>
      </c>
      <c r="D19" s="4"/>
      <c r="E19" s="4"/>
      <c r="F19" s="4"/>
      <c r="G19" s="4" t="s">
        <v>106</v>
      </c>
    </row>
    <row r="20" spans="1:7" x14ac:dyDescent="0.25">
      <c r="A20" s="4" t="s">
        <v>1217</v>
      </c>
      <c r="B20" s="4" t="s">
        <v>103</v>
      </c>
      <c r="C20" s="4" t="s">
        <v>104</v>
      </c>
      <c r="D20" s="4"/>
      <c r="E20" s="4"/>
      <c r="F20" s="4"/>
      <c r="G20" s="4" t="s">
        <v>106</v>
      </c>
    </row>
    <row r="21" spans="1:7" x14ac:dyDescent="0.25">
      <c r="A21" s="4" t="s">
        <v>59</v>
      </c>
      <c r="B21" s="4" t="s">
        <v>60</v>
      </c>
      <c r="C21" s="4" t="s">
        <v>61</v>
      </c>
      <c r="D21" s="4"/>
      <c r="E21" s="4"/>
      <c r="F21" s="4"/>
      <c r="G21" s="4" t="s">
        <v>63</v>
      </c>
    </row>
    <row r="22" spans="1:7" x14ac:dyDescent="0.25">
      <c r="A22" s="4" t="s">
        <v>70</v>
      </c>
      <c r="B22" s="4" t="s">
        <v>60</v>
      </c>
      <c r="C22" s="4" t="s">
        <v>61</v>
      </c>
      <c r="D22" s="4"/>
      <c r="E22" s="4"/>
      <c r="F22" s="4"/>
      <c r="G22" s="4" t="s">
        <v>63</v>
      </c>
    </row>
    <row r="23" spans="1:7" x14ac:dyDescent="0.25">
      <c r="A23" s="4" t="s">
        <v>189</v>
      </c>
      <c r="B23" s="4" t="s">
        <v>103</v>
      </c>
      <c r="C23" s="4" t="s">
        <v>190</v>
      </c>
      <c r="D23" s="4"/>
      <c r="E23" s="4"/>
      <c r="F23" s="4"/>
      <c r="G23" s="4" t="s">
        <v>191</v>
      </c>
    </row>
  </sheetData>
  <autoFilter ref="A1:G2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9"/>
  <sheetViews>
    <sheetView showGridLines="0" workbookViewId="0">
      <pane xSplit="1" ySplit="1" topLeftCell="B21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115" customWidth="1"/>
  </cols>
  <sheetData>
    <row r="1" spans="1:2" ht="30" customHeight="1" x14ac:dyDescent="0.25">
      <c r="A1" s="11" t="s">
        <v>1866</v>
      </c>
      <c r="B1" s="12" t="s">
        <v>1867</v>
      </c>
    </row>
    <row r="2" spans="1:2" ht="30" customHeight="1" x14ac:dyDescent="0.25">
      <c r="A2" s="13" t="s">
        <v>1868</v>
      </c>
      <c r="B2" s="14" t="s">
        <v>1869</v>
      </c>
    </row>
    <row r="3" spans="1:2" ht="30" customHeight="1" x14ac:dyDescent="0.25">
      <c r="A3" s="13" t="s">
        <v>1870</v>
      </c>
      <c r="B3" s="14" t="s">
        <v>1871</v>
      </c>
    </row>
    <row r="4" spans="1:2" ht="30" customHeight="1" x14ac:dyDescent="0.25">
      <c r="A4" s="13" t="s">
        <v>1872</v>
      </c>
      <c r="B4" s="14" t="s">
        <v>1873</v>
      </c>
    </row>
    <row r="5" spans="1:2" ht="30" customHeight="1" x14ac:dyDescent="0.25">
      <c r="A5" s="13" t="s">
        <v>1874</v>
      </c>
      <c r="B5" s="14" t="s">
        <v>1875</v>
      </c>
    </row>
    <row r="6" spans="1:2" ht="30" customHeight="1" x14ac:dyDescent="0.25">
      <c r="A6" s="13" t="s">
        <v>222</v>
      </c>
      <c r="B6" s="14" t="s">
        <v>1876</v>
      </c>
    </row>
    <row r="7" spans="1:2" ht="30" customHeight="1" x14ac:dyDescent="0.25">
      <c r="A7" s="13" t="s">
        <v>1877</v>
      </c>
      <c r="B7" s="14" t="s">
        <v>1878</v>
      </c>
    </row>
    <row r="8" spans="1:2" ht="30" customHeight="1" x14ac:dyDescent="0.25">
      <c r="A8" s="13" t="s">
        <v>1879</v>
      </c>
      <c r="B8" s="14" t="s">
        <v>1880</v>
      </c>
    </row>
    <row r="9" spans="1:2" ht="30" customHeight="1" x14ac:dyDescent="0.25">
      <c r="A9" s="13" t="s">
        <v>1881</v>
      </c>
      <c r="B9" s="14" t="s">
        <v>1882</v>
      </c>
    </row>
    <row r="10" spans="1:2" ht="30" customHeight="1" x14ac:dyDescent="0.25">
      <c r="A10" s="13" t="s">
        <v>1883</v>
      </c>
      <c r="B10" s="14" t="s">
        <v>1884</v>
      </c>
    </row>
    <row r="11" spans="1:2" ht="30" customHeight="1" x14ac:dyDescent="0.25">
      <c r="A11" s="13" t="s">
        <v>1885</v>
      </c>
      <c r="B11" s="14" t="s">
        <v>1886</v>
      </c>
    </row>
    <row r="12" spans="1:2" ht="30" customHeight="1" x14ac:dyDescent="0.25">
      <c r="A12" s="13" t="s">
        <v>1887</v>
      </c>
      <c r="B12" s="14" t="s">
        <v>1888</v>
      </c>
    </row>
    <row r="13" spans="1:2" ht="30" customHeight="1" x14ac:dyDescent="0.25">
      <c r="A13" s="13" t="s">
        <v>1889</v>
      </c>
      <c r="B13" s="14" t="s">
        <v>1890</v>
      </c>
    </row>
    <row r="14" spans="1:2" ht="30" customHeight="1" x14ac:dyDescent="0.25">
      <c r="A14" s="13" t="s">
        <v>1891</v>
      </c>
      <c r="B14" s="15" t="s">
        <v>1892</v>
      </c>
    </row>
    <row r="15" spans="1:2" ht="30" customHeight="1" x14ac:dyDescent="0.25">
      <c r="A15" s="13" t="s">
        <v>1893</v>
      </c>
      <c r="B15" s="15" t="s">
        <v>1894</v>
      </c>
    </row>
    <row r="16" spans="1:2" ht="30" customHeight="1" x14ac:dyDescent="0.25">
      <c r="A16" s="13" t="s">
        <v>1895</v>
      </c>
      <c r="B16" s="15" t="s">
        <v>1896</v>
      </c>
    </row>
    <row r="17" spans="1:2" ht="30" customHeight="1" x14ac:dyDescent="0.25">
      <c r="A17" s="13" t="s">
        <v>1897</v>
      </c>
      <c r="B17" s="15" t="s">
        <v>1898</v>
      </c>
    </row>
    <row r="18" spans="1:2" ht="30" customHeight="1" x14ac:dyDescent="0.25">
      <c r="A18" s="13" t="s">
        <v>1899</v>
      </c>
      <c r="B18" s="15" t="s">
        <v>1900</v>
      </c>
    </row>
    <row r="19" spans="1:2" ht="30" customHeight="1" x14ac:dyDescent="0.25">
      <c r="A19" s="13" t="s">
        <v>1901</v>
      </c>
      <c r="B19" s="15" t="s">
        <v>21</v>
      </c>
    </row>
    <row r="20" spans="1:2" ht="30" customHeight="1" x14ac:dyDescent="0.25">
      <c r="A20" s="13" t="s">
        <v>1902</v>
      </c>
      <c r="B20" s="15" t="s">
        <v>22</v>
      </c>
    </row>
    <row r="21" spans="1:2" ht="30" customHeight="1" x14ac:dyDescent="0.25">
      <c r="A21" s="13" t="s">
        <v>1903</v>
      </c>
      <c r="B21" s="15" t="s">
        <v>1904</v>
      </c>
    </row>
    <row r="22" spans="1:2" ht="30" customHeight="1" x14ac:dyDescent="0.25">
      <c r="A22" s="13" t="s">
        <v>1905</v>
      </c>
      <c r="B22" s="15" t="s">
        <v>1906</v>
      </c>
    </row>
    <row r="23" spans="1:2" ht="30" customHeight="1" x14ac:dyDescent="0.25">
      <c r="A23" s="13" t="s">
        <v>1907</v>
      </c>
      <c r="B23" s="15" t="s">
        <v>1908</v>
      </c>
    </row>
    <row r="24" spans="1:2" ht="30" customHeight="1" x14ac:dyDescent="0.25">
      <c r="A24" s="13" t="s">
        <v>1909</v>
      </c>
      <c r="B24" s="15" t="s">
        <v>1910</v>
      </c>
    </row>
    <row r="25" spans="1:2" ht="30" customHeight="1" x14ac:dyDescent="0.25">
      <c r="A25" s="13" t="s">
        <v>1911</v>
      </c>
      <c r="B25" s="15" t="s">
        <v>1912</v>
      </c>
    </row>
    <row r="26" spans="1:2" ht="30" customHeight="1" x14ac:dyDescent="0.25">
      <c r="A26" s="13" t="s">
        <v>1913</v>
      </c>
      <c r="B26" s="15" t="s">
        <v>1914</v>
      </c>
    </row>
    <row r="27" spans="1:2" ht="30" customHeight="1" x14ac:dyDescent="0.25">
      <c r="A27" s="13" t="s">
        <v>1915</v>
      </c>
      <c r="B27" s="15" t="s">
        <v>1916</v>
      </c>
    </row>
    <row r="28" spans="1:2" x14ac:dyDescent="0.25">
      <c r="A28" t="s">
        <v>1917</v>
      </c>
      <c r="B28" t="s">
        <v>1918</v>
      </c>
    </row>
    <row r="29" spans="1:2" x14ac:dyDescent="0.25">
      <c r="A29" t="s">
        <v>1919</v>
      </c>
      <c r="B29" t="s">
        <v>21</v>
      </c>
    </row>
    <row r="30" spans="1:2" x14ac:dyDescent="0.25">
      <c r="A30" t="s">
        <v>1920</v>
      </c>
      <c r="B30" t="s">
        <v>22</v>
      </c>
    </row>
    <row r="31" spans="1:2" x14ac:dyDescent="0.25">
      <c r="A31" t="s">
        <v>1921</v>
      </c>
      <c r="B31" t="s">
        <v>1922</v>
      </c>
    </row>
    <row r="32" spans="1:2" x14ac:dyDescent="0.25">
      <c r="A32" t="s">
        <v>1923</v>
      </c>
      <c r="B32" t="s">
        <v>1924</v>
      </c>
    </row>
    <row r="33" spans="1:2" x14ac:dyDescent="0.25">
      <c r="A33" t="s">
        <v>1925</v>
      </c>
      <c r="B33" t="s">
        <v>1926</v>
      </c>
    </row>
    <row r="34" spans="1:2" x14ac:dyDescent="0.25">
      <c r="A34" t="s">
        <v>1927</v>
      </c>
      <c r="B34" t="s">
        <v>1928</v>
      </c>
    </row>
    <row r="35" spans="1:2" x14ac:dyDescent="0.25">
      <c r="A35" t="s">
        <v>1929</v>
      </c>
      <c r="B35" t="s">
        <v>1930</v>
      </c>
    </row>
    <row r="36" spans="1:2" x14ac:dyDescent="0.25">
      <c r="A36" t="s">
        <v>1931</v>
      </c>
      <c r="B36" t="s">
        <v>1932</v>
      </c>
    </row>
    <row r="37" spans="1:2" x14ac:dyDescent="0.25">
      <c r="A37" t="s">
        <v>1933</v>
      </c>
      <c r="B37" t="s">
        <v>1934</v>
      </c>
    </row>
    <row r="38" spans="1:2" x14ac:dyDescent="0.25">
      <c r="A38" t="s">
        <v>1935</v>
      </c>
      <c r="B38" t="s">
        <v>1936</v>
      </c>
    </row>
    <row r="39" spans="1:2" x14ac:dyDescent="0.25">
      <c r="A39" t="s">
        <v>1937</v>
      </c>
      <c r="B39" t="s">
        <v>1938</v>
      </c>
    </row>
  </sheetData>
  <autoFilter ref="A1:B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9"/>
  <sheetViews>
    <sheetView showGridLines="0" workbookViewId="0">
      <pane xSplit="2" ySplit="1" topLeftCell="K915" activePane="bottomRight" state="frozen"/>
      <selection pane="topRight"/>
      <selection pane="bottomLeft"/>
      <selection pane="bottomRight" activeCell="P2" sqref="P2:P1009"/>
    </sheetView>
  </sheetViews>
  <sheetFormatPr defaultRowHeight="15" x14ac:dyDescent="0.25"/>
  <cols>
    <col min="1" max="1" width="32" customWidth="1"/>
    <col min="2" max="2" width="25" customWidth="1"/>
    <col min="3" max="3" width="13" customWidth="1"/>
    <col min="4" max="4" width="15" customWidth="1"/>
    <col min="5" max="5" width="33" customWidth="1"/>
    <col min="6" max="6" width="12" customWidth="1"/>
    <col min="7" max="7" width="14" customWidth="1"/>
    <col min="8" max="8" width="15" customWidth="1"/>
    <col min="9" max="9" width="23" customWidth="1"/>
    <col min="10" max="10" width="20" customWidth="1"/>
    <col min="11" max="11" width="21" customWidth="1"/>
    <col min="12" max="12" width="25" customWidth="1"/>
    <col min="13" max="14" width="22" customWidth="1"/>
    <col min="15" max="15" width="32" customWidth="1"/>
    <col min="16" max="16" width="21" customWidth="1"/>
    <col min="17" max="17" width="40" customWidth="1"/>
    <col min="18" max="19" width="42" customWidth="1"/>
  </cols>
  <sheetData>
    <row r="1" spans="1:20" ht="36" customHeight="1" x14ac:dyDescent="0.25">
      <c r="A1" s="30" t="s">
        <v>1939</v>
      </c>
      <c r="B1" s="30" t="s">
        <v>27</v>
      </c>
      <c r="C1" s="30" t="s">
        <v>1940</v>
      </c>
      <c r="D1" s="30" t="s">
        <v>37</v>
      </c>
      <c r="E1" s="30" t="s">
        <v>38</v>
      </c>
      <c r="F1" s="30" t="s">
        <v>1941</v>
      </c>
      <c r="G1" s="30" t="s">
        <v>1942</v>
      </c>
      <c r="H1" s="30" t="s">
        <v>1943</v>
      </c>
      <c r="I1" s="30" t="s">
        <v>1944</v>
      </c>
      <c r="J1" s="30" t="s">
        <v>1945</v>
      </c>
      <c r="K1" s="30" t="s">
        <v>1946</v>
      </c>
      <c r="L1" s="30" t="s">
        <v>1947</v>
      </c>
      <c r="M1" s="30" t="s">
        <v>1948</v>
      </c>
      <c r="N1" s="30" t="s">
        <v>1949</v>
      </c>
      <c r="O1" s="30" t="s">
        <v>51</v>
      </c>
      <c r="P1" s="30" t="s">
        <v>1950</v>
      </c>
      <c r="Q1" s="30" t="s">
        <v>1951</v>
      </c>
      <c r="R1" s="30" t="s">
        <v>1952</v>
      </c>
      <c r="S1" s="30" t="s">
        <v>1953</v>
      </c>
      <c r="T1" s="30" t="s">
        <v>5453</v>
      </c>
    </row>
    <row r="2" spans="1:20" x14ac:dyDescent="0.25">
      <c r="A2" t="s">
        <v>1726</v>
      </c>
      <c r="B2" t="s">
        <v>137</v>
      </c>
      <c r="C2">
        <v>2</v>
      </c>
      <c r="D2">
        <v>55250</v>
      </c>
      <c r="E2" t="s">
        <v>2185</v>
      </c>
      <c r="F2" t="s">
        <v>166</v>
      </c>
      <c r="G2" s="31">
        <v>0.55989999999999995</v>
      </c>
      <c r="H2" s="31">
        <v>0.60589999999999999</v>
      </c>
      <c r="I2" t="s">
        <v>1954</v>
      </c>
      <c r="J2" t="s">
        <v>1972</v>
      </c>
      <c r="K2">
        <v>151438</v>
      </c>
      <c r="L2">
        <v>1725</v>
      </c>
      <c r="M2" s="32">
        <v>1.14E-2</v>
      </c>
      <c r="N2" t="s">
        <v>141</v>
      </c>
      <c r="O2" t="s">
        <v>2186</v>
      </c>
      <c r="P2">
        <v>300</v>
      </c>
      <c r="Q2" t="s">
        <v>1958</v>
      </c>
      <c r="R2" t="s">
        <v>21</v>
      </c>
      <c r="S2" t="s">
        <v>22</v>
      </c>
      <c r="T2">
        <f>P2</f>
        <v>300</v>
      </c>
    </row>
    <row r="3" spans="1:20" x14ac:dyDescent="0.25">
      <c r="A3" t="s">
        <v>1727</v>
      </c>
      <c r="B3" t="s">
        <v>137</v>
      </c>
      <c r="C3">
        <v>2</v>
      </c>
      <c r="D3">
        <v>55250</v>
      </c>
      <c r="E3" t="s">
        <v>2185</v>
      </c>
      <c r="F3" t="s">
        <v>166</v>
      </c>
      <c r="G3" s="31">
        <v>0.55989999999999995</v>
      </c>
      <c r="H3" s="31">
        <v>0.60589999999999999</v>
      </c>
      <c r="I3" t="s">
        <v>1954</v>
      </c>
      <c r="J3" t="s">
        <v>1972</v>
      </c>
      <c r="K3">
        <v>151438</v>
      </c>
      <c r="L3">
        <v>1725</v>
      </c>
      <c r="M3" s="32">
        <v>1.14E-2</v>
      </c>
      <c r="N3" t="s">
        <v>141</v>
      </c>
      <c r="O3" t="s">
        <v>2186</v>
      </c>
      <c r="P3">
        <v>300</v>
      </c>
      <c r="Q3" t="s">
        <v>1958</v>
      </c>
      <c r="R3" t="s">
        <v>21</v>
      </c>
      <c r="S3" t="s">
        <v>22</v>
      </c>
      <c r="T3">
        <f>T2+P3</f>
        <v>600</v>
      </c>
    </row>
    <row r="4" spans="1:20" x14ac:dyDescent="0.25">
      <c r="A4" t="s">
        <v>1728</v>
      </c>
      <c r="B4" t="s">
        <v>137</v>
      </c>
      <c r="C4">
        <v>2</v>
      </c>
      <c r="D4">
        <v>55250</v>
      </c>
      <c r="E4" t="s">
        <v>2185</v>
      </c>
      <c r="F4" t="s">
        <v>166</v>
      </c>
      <c r="G4" s="31">
        <v>0.55989999999999995</v>
      </c>
      <c r="H4" s="31">
        <v>0.60589999999999999</v>
      </c>
      <c r="I4" t="s">
        <v>1954</v>
      </c>
      <c r="J4" t="s">
        <v>1972</v>
      </c>
      <c r="K4">
        <v>151438</v>
      </c>
      <c r="L4">
        <v>1725</v>
      </c>
      <c r="M4" s="32">
        <v>1.14E-2</v>
      </c>
      <c r="N4" t="s">
        <v>141</v>
      </c>
      <c r="O4" t="s">
        <v>2186</v>
      </c>
      <c r="P4">
        <v>300</v>
      </c>
      <c r="Q4" t="s">
        <v>1958</v>
      </c>
      <c r="R4" t="s">
        <v>21</v>
      </c>
      <c r="S4" t="s">
        <v>22</v>
      </c>
      <c r="T4">
        <f t="shared" ref="T4:T67" si="0">T3+P4</f>
        <v>900</v>
      </c>
    </row>
    <row r="5" spans="1:20" x14ac:dyDescent="0.25">
      <c r="A5" t="s">
        <v>474</v>
      </c>
      <c r="B5" t="s">
        <v>244</v>
      </c>
      <c r="C5">
        <v>1</v>
      </c>
      <c r="D5">
        <v>54096</v>
      </c>
      <c r="E5" t="s">
        <v>2012</v>
      </c>
      <c r="F5" t="s">
        <v>477</v>
      </c>
      <c r="G5" s="31">
        <v>0.4123</v>
      </c>
      <c r="H5" s="31">
        <v>0.34029999999999999</v>
      </c>
      <c r="I5" t="s">
        <v>1954</v>
      </c>
      <c r="J5" t="s">
        <v>1972</v>
      </c>
      <c r="K5">
        <v>324666.86800000002</v>
      </c>
      <c r="L5">
        <v>1099323</v>
      </c>
      <c r="M5" s="32">
        <v>3.3860000000000001</v>
      </c>
      <c r="N5" t="s">
        <v>331</v>
      </c>
      <c r="O5" t="s">
        <v>478</v>
      </c>
      <c r="P5">
        <v>55.2</v>
      </c>
      <c r="Q5" t="s">
        <v>1958</v>
      </c>
      <c r="R5" t="s">
        <v>21</v>
      </c>
      <c r="S5" t="s">
        <v>22</v>
      </c>
      <c r="T5">
        <f t="shared" si="0"/>
        <v>955.2</v>
      </c>
    </row>
    <row r="6" spans="1:20" x14ac:dyDescent="0.25">
      <c r="A6" t="s">
        <v>741</v>
      </c>
      <c r="B6" t="s">
        <v>244</v>
      </c>
      <c r="C6">
        <v>1</v>
      </c>
      <c r="D6">
        <v>54096</v>
      </c>
      <c r="E6" t="s">
        <v>2012</v>
      </c>
      <c r="F6" t="s">
        <v>477</v>
      </c>
      <c r="G6" s="31">
        <v>0.40770000000000001</v>
      </c>
      <c r="H6" s="31">
        <v>0.3357</v>
      </c>
      <c r="I6" t="s">
        <v>1954</v>
      </c>
      <c r="J6" t="s">
        <v>1972</v>
      </c>
      <c r="K6">
        <v>324666.86800000002</v>
      </c>
      <c r="L6">
        <v>1099323</v>
      </c>
      <c r="M6" s="32">
        <v>3.3860000000000001</v>
      </c>
      <c r="N6" t="s">
        <v>331</v>
      </c>
      <c r="O6" t="s">
        <v>478</v>
      </c>
      <c r="P6">
        <v>55.2</v>
      </c>
      <c r="Q6" t="s">
        <v>1958</v>
      </c>
      <c r="R6" t="s">
        <v>21</v>
      </c>
      <c r="S6" t="s">
        <v>22</v>
      </c>
      <c r="T6">
        <f t="shared" si="0"/>
        <v>1010.4000000000001</v>
      </c>
    </row>
    <row r="7" spans="1:20" x14ac:dyDescent="0.25">
      <c r="A7" t="s">
        <v>744</v>
      </c>
      <c r="B7" t="s">
        <v>244</v>
      </c>
      <c r="C7">
        <v>1</v>
      </c>
      <c r="D7">
        <v>54096</v>
      </c>
      <c r="E7" t="s">
        <v>2012</v>
      </c>
      <c r="F7" t="s">
        <v>477</v>
      </c>
      <c r="G7" s="31">
        <v>0.40770000000000001</v>
      </c>
      <c r="H7" s="31">
        <v>0.3357</v>
      </c>
      <c r="I7" t="s">
        <v>1954</v>
      </c>
      <c r="J7" t="s">
        <v>1972</v>
      </c>
      <c r="K7">
        <v>324666.86800000002</v>
      </c>
      <c r="L7">
        <v>1099323</v>
      </c>
      <c r="M7" s="32">
        <v>3.3860000000000001</v>
      </c>
      <c r="N7" t="s">
        <v>331</v>
      </c>
      <c r="O7" t="s">
        <v>478</v>
      </c>
      <c r="P7">
        <v>55.2</v>
      </c>
      <c r="Q7" t="s">
        <v>1958</v>
      </c>
      <c r="R7" t="s">
        <v>21</v>
      </c>
      <c r="S7" t="s">
        <v>22</v>
      </c>
      <c r="T7">
        <f t="shared" si="0"/>
        <v>1065.6000000000001</v>
      </c>
    </row>
    <row r="8" spans="1:20" x14ac:dyDescent="0.25">
      <c r="A8" t="s">
        <v>1316</v>
      </c>
      <c r="B8" t="s">
        <v>244</v>
      </c>
      <c r="C8">
        <v>3</v>
      </c>
      <c r="D8">
        <v>57653</v>
      </c>
      <c r="E8" t="s">
        <v>2133</v>
      </c>
      <c r="F8" t="s">
        <v>1967</v>
      </c>
      <c r="G8" s="31">
        <v>0.72250000000000003</v>
      </c>
      <c r="H8" s="31">
        <v>0.62250000000000005</v>
      </c>
      <c r="I8" t="s">
        <v>1976</v>
      </c>
      <c r="J8" t="s">
        <v>1972</v>
      </c>
      <c r="K8">
        <v>33285</v>
      </c>
      <c r="L8">
        <v>146048</v>
      </c>
      <c r="M8" s="32">
        <v>4.3878000000000004</v>
      </c>
      <c r="N8" t="s">
        <v>340</v>
      </c>
      <c r="P8">
        <v>0</v>
      </c>
      <c r="Q8" t="s">
        <v>1958</v>
      </c>
      <c r="R8" t="s">
        <v>21</v>
      </c>
      <c r="S8" t="s">
        <v>22</v>
      </c>
      <c r="T8">
        <f t="shared" si="0"/>
        <v>1065.6000000000001</v>
      </c>
    </row>
    <row r="9" spans="1:20" x14ac:dyDescent="0.25">
      <c r="A9" t="s">
        <v>1754</v>
      </c>
      <c r="B9" t="s">
        <v>244</v>
      </c>
      <c r="C9">
        <v>3</v>
      </c>
      <c r="D9">
        <v>7697</v>
      </c>
      <c r="E9" t="s">
        <v>2192</v>
      </c>
      <c r="F9" t="s">
        <v>477</v>
      </c>
      <c r="G9" s="31">
        <v>0.77</v>
      </c>
      <c r="H9" s="31">
        <v>0.69799999999999995</v>
      </c>
      <c r="I9" t="s">
        <v>1954</v>
      </c>
      <c r="J9" t="s">
        <v>1972</v>
      </c>
      <c r="K9">
        <v>810526</v>
      </c>
      <c r="L9">
        <v>3591230</v>
      </c>
      <c r="M9" s="32">
        <v>4.4306999999999999</v>
      </c>
      <c r="N9" t="s">
        <v>331</v>
      </c>
      <c r="O9" t="s">
        <v>308</v>
      </c>
      <c r="P9">
        <v>100</v>
      </c>
      <c r="Q9" t="s">
        <v>1958</v>
      </c>
      <c r="R9" t="s">
        <v>21</v>
      </c>
      <c r="S9" t="s">
        <v>22</v>
      </c>
      <c r="T9">
        <f t="shared" si="0"/>
        <v>1165.6000000000001</v>
      </c>
    </row>
    <row r="10" spans="1:20" x14ac:dyDescent="0.25">
      <c r="A10" t="s">
        <v>1756</v>
      </c>
      <c r="B10" t="s">
        <v>244</v>
      </c>
      <c r="C10">
        <v>3</v>
      </c>
      <c r="D10">
        <v>7697</v>
      </c>
      <c r="E10" t="s">
        <v>2192</v>
      </c>
      <c r="F10" t="s">
        <v>477</v>
      </c>
      <c r="G10" s="31">
        <v>0.77</v>
      </c>
      <c r="H10" s="31">
        <v>0.69799999999999995</v>
      </c>
      <c r="I10" t="s">
        <v>1954</v>
      </c>
      <c r="J10" t="s">
        <v>1972</v>
      </c>
      <c r="K10">
        <v>810526</v>
      </c>
      <c r="L10">
        <v>3591230</v>
      </c>
      <c r="M10" s="32">
        <v>4.4306999999999999</v>
      </c>
      <c r="N10" t="s">
        <v>331</v>
      </c>
      <c r="O10" t="s">
        <v>308</v>
      </c>
      <c r="P10">
        <v>100</v>
      </c>
      <c r="Q10" t="s">
        <v>1958</v>
      </c>
      <c r="R10" t="s">
        <v>21</v>
      </c>
      <c r="S10" t="s">
        <v>22</v>
      </c>
      <c r="T10">
        <f t="shared" si="0"/>
        <v>1265.6000000000001</v>
      </c>
    </row>
    <row r="11" spans="1:20" x14ac:dyDescent="0.25">
      <c r="A11" t="s">
        <v>1757</v>
      </c>
      <c r="B11" t="s">
        <v>244</v>
      </c>
      <c r="C11">
        <v>3</v>
      </c>
      <c r="D11">
        <v>7697</v>
      </c>
      <c r="E11" t="s">
        <v>2192</v>
      </c>
      <c r="F11" t="s">
        <v>477</v>
      </c>
      <c r="G11" s="31">
        <v>0.77</v>
      </c>
      <c r="H11" s="31">
        <v>0.69799999999999995</v>
      </c>
      <c r="I11" t="s">
        <v>1954</v>
      </c>
      <c r="J11" t="s">
        <v>1972</v>
      </c>
      <c r="K11">
        <v>810526</v>
      </c>
      <c r="L11">
        <v>3591230</v>
      </c>
      <c r="M11" s="32">
        <v>4.4306999999999999</v>
      </c>
      <c r="N11" t="s">
        <v>331</v>
      </c>
      <c r="O11" t="s">
        <v>308</v>
      </c>
      <c r="P11">
        <v>100</v>
      </c>
      <c r="Q11" t="s">
        <v>1958</v>
      </c>
      <c r="R11" t="s">
        <v>21</v>
      </c>
      <c r="S11" t="s">
        <v>22</v>
      </c>
      <c r="T11">
        <f t="shared" si="0"/>
        <v>1365.6000000000001</v>
      </c>
    </row>
    <row r="12" spans="1:20" x14ac:dyDescent="0.25">
      <c r="A12" t="s">
        <v>324</v>
      </c>
      <c r="B12" t="s">
        <v>189</v>
      </c>
      <c r="C12">
        <v>3</v>
      </c>
      <c r="D12">
        <v>50479</v>
      </c>
      <c r="E12" t="s">
        <v>1977</v>
      </c>
      <c r="F12" t="s">
        <v>201</v>
      </c>
      <c r="G12" s="31">
        <v>0.4385</v>
      </c>
      <c r="H12" s="31">
        <v>0.48449999999999999</v>
      </c>
      <c r="I12" t="s">
        <v>1954</v>
      </c>
      <c r="J12" t="s">
        <v>1972</v>
      </c>
      <c r="K12">
        <v>23305.248</v>
      </c>
      <c r="L12">
        <v>107293</v>
      </c>
      <c r="M12" s="32">
        <v>4.6037999999999997</v>
      </c>
      <c r="N12" t="s">
        <v>265</v>
      </c>
      <c r="O12" t="s">
        <v>282</v>
      </c>
      <c r="P12">
        <v>7</v>
      </c>
      <c r="Q12" t="s">
        <v>1958</v>
      </c>
      <c r="R12" t="s">
        <v>21</v>
      </c>
      <c r="S12" t="s">
        <v>22</v>
      </c>
      <c r="T12">
        <f t="shared" si="0"/>
        <v>1372.6000000000001</v>
      </c>
    </row>
    <row r="13" spans="1:20" x14ac:dyDescent="0.25">
      <c r="A13" t="s">
        <v>327</v>
      </c>
      <c r="B13" t="s">
        <v>189</v>
      </c>
      <c r="C13">
        <v>3</v>
      </c>
      <c r="D13">
        <v>50479</v>
      </c>
      <c r="E13" t="s">
        <v>1977</v>
      </c>
      <c r="F13" t="s">
        <v>201</v>
      </c>
      <c r="G13" s="31">
        <v>0.4385</v>
      </c>
      <c r="H13" s="31">
        <v>0.48449999999999999</v>
      </c>
      <c r="I13" t="s">
        <v>1954</v>
      </c>
      <c r="J13" t="s">
        <v>1972</v>
      </c>
      <c r="K13">
        <v>23305.248</v>
      </c>
      <c r="L13">
        <v>107293</v>
      </c>
      <c r="M13" s="32">
        <v>4.6037999999999997</v>
      </c>
      <c r="N13" t="s">
        <v>265</v>
      </c>
      <c r="O13" t="s">
        <v>282</v>
      </c>
      <c r="P13">
        <v>7</v>
      </c>
      <c r="Q13" t="s">
        <v>1958</v>
      </c>
      <c r="R13" t="s">
        <v>21</v>
      </c>
      <c r="S13" t="s">
        <v>22</v>
      </c>
      <c r="T13">
        <f t="shared" si="0"/>
        <v>1379.6000000000001</v>
      </c>
    </row>
    <row r="14" spans="1:20" x14ac:dyDescent="0.25">
      <c r="A14" t="s">
        <v>328</v>
      </c>
      <c r="B14" t="s">
        <v>189</v>
      </c>
      <c r="C14">
        <v>3</v>
      </c>
      <c r="D14">
        <v>50479</v>
      </c>
      <c r="E14" t="s">
        <v>1977</v>
      </c>
      <c r="F14" t="s">
        <v>201</v>
      </c>
      <c r="G14" s="31">
        <v>0.4385</v>
      </c>
      <c r="H14" s="31">
        <v>0.48449999999999999</v>
      </c>
      <c r="I14" t="s">
        <v>1954</v>
      </c>
      <c r="J14" t="s">
        <v>1972</v>
      </c>
      <c r="K14">
        <v>23305.248</v>
      </c>
      <c r="L14">
        <v>107293</v>
      </c>
      <c r="M14" s="32">
        <v>4.6037999999999997</v>
      </c>
      <c r="N14" t="s">
        <v>265</v>
      </c>
      <c r="O14" t="s">
        <v>282</v>
      </c>
      <c r="P14">
        <v>7</v>
      </c>
      <c r="Q14" t="s">
        <v>1958</v>
      </c>
      <c r="R14" t="s">
        <v>21</v>
      </c>
      <c r="S14" t="s">
        <v>22</v>
      </c>
      <c r="T14">
        <f t="shared" si="0"/>
        <v>1386.6000000000001</v>
      </c>
    </row>
    <row r="15" spans="1:20" x14ac:dyDescent="0.25">
      <c r="A15" t="s">
        <v>1787</v>
      </c>
      <c r="B15" t="s">
        <v>189</v>
      </c>
      <c r="C15">
        <v>3</v>
      </c>
      <c r="D15">
        <v>10504</v>
      </c>
      <c r="E15" t="s">
        <v>2199</v>
      </c>
      <c r="F15" t="s">
        <v>2200</v>
      </c>
      <c r="G15" s="31">
        <v>0.4123</v>
      </c>
      <c r="H15" s="31">
        <v>0.34029999999999999</v>
      </c>
      <c r="I15" t="s">
        <v>1954</v>
      </c>
      <c r="J15" t="s">
        <v>1972</v>
      </c>
      <c r="K15">
        <v>20649.332999999999</v>
      </c>
      <c r="L15">
        <v>101901</v>
      </c>
      <c r="M15" s="32">
        <v>4.9348000000000001</v>
      </c>
      <c r="N15" t="s">
        <v>265</v>
      </c>
      <c r="O15" t="s">
        <v>2201</v>
      </c>
      <c r="P15">
        <v>10.5</v>
      </c>
      <c r="Q15" t="s">
        <v>1958</v>
      </c>
      <c r="R15" t="s">
        <v>21</v>
      </c>
      <c r="S15" t="s">
        <v>22</v>
      </c>
      <c r="T15">
        <f t="shared" si="0"/>
        <v>1397.1000000000001</v>
      </c>
    </row>
    <row r="16" spans="1:20" x14ac:dyDescent="0.25">
      <c r="A16" t="s">
        <v>635</v>
      </c>
      <c r="B16" t="s">
        <v>109</v>
      </c>
      <c r="C16">
        <v>3</v>
      </c>
      <c r="D16">
        <v>54214</v>
      </c>
      <c r="E16" t="s">
        <v>2036</v>
      </c>
      <c r="F16" t="s">
        <v>2037</v>
      </c>
      <c r="G16" s="31">
        <v>0.39250000000000002</v>
      </c>
      <c r="H16" s="31">
        <v>0.32050000000000001</v>
      </c>
      <c r="I16" t="s">
        <v>1954</v>
      </c>
      <c r="J16" t="s">
        <v>1972</v>
      </c>
      <c r="K16">
        <v>42576</v>
      </c>
      <c r="L16">
        <v>242116</v>
      </c>
      <c r="M16" s="32">
        <v>5.6867000000000001</v>
      </c>
      <c r="N16" t="s">
        <v>1018</v>
      </c>
      <c r="O16" t="s">
        <v>2038</v>
      </c>
      <c r="P16">
        <v>7.5</v>
      </c>
      <c r="Q16" t="s">
        <v>1958</v>
      </c>
      <c r="R16" t="s">
        <v>21</v>
      </c>
      <c r="S16" t="s">
        <v>22</v>
      </c>
      <c r="T16">
        <f t="shared" si="0"/>
        <v>1404.6000000000001</v>
      </c>
    </row>
    <row r="17" spans="1:20" x14ac:dyDescent="0.25">
      <c r="A17" t="s">
        <v>997</v>
      </c>
      <c r="B17" t="s">
        <v>244</v>
      </c>
      <c r="C17">
        <v>2</v>
      </c>
      <c r="D17">
        <v>1595</v>
      </c>
      <c r="E17" t="s">
        <v>2082</v>
      </c>
      <c r="F17" t="s">
        <v>2083</v>
      </c>
      <c r="G17" s="31">
        <v>0.83499999999999996</v>
      </c>
      <c r="H17" s="31">
        <v>0.76300000000000001</v>
      </c>
      <c r="I17" t="s">
        <v>1954</v>
      </c>
      <c r="J17" t="s">
        <v>1954</v>
      </c>
      <c r="K17">
        <v>1533754.9979999999</v>
      </c>
      <c r="L17">
        <v>8963771</v>
      </c>
      <c r="M17" s="32">
        <v>5.8442999999999996</v>
      </c>
      <c r="N17" t="s">
        <v>239</v>
      </c>
      <c r="O17" t="s">
        <v>2084</v>
      </c>
      <c r="P17">
        <v>206</v>
      </c>
      <c r="Q17" t="s">
        <v>1958</v>
      </c>
      <c r="R17" t="s">
        <v>21</v>
      </c>
      <c r="S17" t="s">
        <v>22</v>
      </c>
      <c r="T17">
        <f t="shared" si="0"/>
        <v>1610.6000000000001</v>
      </c>
    </row>
    <row r="18" spans="1:20" x14ac:dyDescent="0.25">
      <c r="A18" t="s">
        <v>1000</v>
      </c>
      <c r="B18" t="s">
        <v>244</v>
      </c>
      <c r="C18">
        <v>2</v>
      </c>
      <c r="D18">
        <v>1595</v>
      </c>
      <c r="E18" t="s">
        <v>2082</v>
      </c>
      <c r="F18" t="s">
        <v>2083</v>
      </c>
      <c r="G18" s="31">
        <v>0.83499999999999996</v>
      </c>
      <c r="H18" s="31">
        <v>0.76300000000000001</v>
      </c>
      <c r="I18" t="s">
        <v>1954</v>
      </c>
      <c r="J18" t="s">
        <v>1954</v>
      </c>
      <c r="K18">
        <v>1533754.9979999999</v>
      </c>
      <c r="L18">
        <v>8963771</v>
      </c>
      <c r="M18" s="32">
        <v>5.8442999999999996</v>
      </c>
      <c r="N18" t="s">
        <v>239</v>
      </c>
      <c r="O18" t="s">
        <v>2084</v>
      </c>
      <c r="P18">
        <v>206</v>
      </c>
      <c r="Q18" t="s">
        <v>1958</v>
      </c>
      <c r="R18" t="s">
        <v>21</v>
      </c>
      <c r="S18" t="s">
        <v>22</v>
      </c>
      <c r="T18">
        <f t="shared" si="0"/>
        <v>1816.6000000000001</v>
      </c>
    </row>
    <row r="19" spans="1:20" x14ac:dyDescent="0.25">
      <c r="A19" t="s">
        <v>1001</v>
      </c>
      <c r="B19" t="s">
        <v>244</v>
      </c>
      <c r="C19">
        <v>2</v>
      </c>
      <c r="D19">
        <v>1595</v>
      </c>
      <c r="E19" t="s">
        <v>2082</v>
      </c>
      <c r="F19" t="s">
        <v>2083</v>
      </c>
      <c r="G19" s="31">
        <v>0.83499999999999996</v>
      </c>
      <c r="H19" s="31">
        <v>0.76300000000000001</v>
      </c>
      <c r="I19" t="s">
        <v>1954</v>
      </c>
      <c r="J19" t="s">
        <v>1954</v>
      </c>
      <c r="K19">
        <v>1533754.9979999999</v>
      </c>
      <c r="L19">
        <v>8963771</v>
      </c>
      <c r="M19" s="32">
        <v>5.8442999999999996</v>
      </c>
      <c r="N19" t="s">
        <v>239</v>
      </c>
      <c r="O19" t="s">
        <v>2084</v>
      </c>
      <c r="P19">
        <v>206</v>
      </c>
      <c r="Q19" t="s">
        <v>1958</v>
      </c>
      <c r="R19" t="s">
        <v>21</v>
      </c>
      <c r="S19" t="s">
        <v>22</v>
      </c>
      <c r="T19">
        <f t="shared" si="0"/>
        <v>2022.6000000000001</v>
      </c>
    </row>
    <row r="20" spans="1:20" x14ac:dyDescent="0.25">
      <c r="A20" t="s">
        <v>1002</v>
      </c>
      <c r="B20" t="s">
        <v>244</v>
      </c>
      <c r="C20">
        <v>2</v>
      </c>
      <c r="D20">
        <v>1595</v>
      </c>
      <c r="E20" t="s">
        <v>2082</v>
      </c>
      <c r="F20" t="s">
        <v>2083</v>
      </c>
      <c r="G20" s="31">
        <v>0.83499999999999996</v>
      </c>
      <c r="H20" s="31">
        <v>0.76300000000000001</v>
      </c>
      <c r="I20" t="s">
        <v>1954</v>
      </c>
      <c r="J20" t="s">
        <v>1954</v>
      </c>
      <c r="K20">
        <v>1533754.9979999999</v>
      </c>
      <c r="L20">
        <v>8963771</v>
      </c>
      <c r="M20" s="32">
        <v>5.8442999999999996</v>
      </c>
      <c r="N20" t="s">
        <v>239</v>
      </c>
      <c r="O20" t="s">
        <v>2084</v>
      </c>
      <c r="P20">
        <v>206</v>
      </c>
      <c r="Q20" t="s">
        <v>1958</v>
      </c>
      <c r="R20" t="s">
        <v>21</v>
      </c>
      <c r="S20" t="s">
        <v>22</v>
      </c>
      <c r="T20">
        <f t="shared" si="0"/>
        <v>2228.6000000000004</v>
      </c>
    </row>
    <row r="21" spans="1:20" x14ac:dyDescent="0.25">
      <c r="A21" t="s">
        <v>366</v>
      </c>
      <c r="B21" t="s">
        <v>244</v>
      </c>
      <c r="C21">
        <v>2</v>
      </c>
      <c r="D21">
        <v>50006</v>
      </c>
      <c r="E21" t="s">
        <v>1984</v>
      </c>
      <c r="F21" t="s">
        <v>241</v>
      </c>
      <c r="G21" s="31">
        <v>0.3952</v>
      </c>
      <c r="H21" s="31">
        <v>0.44119999999999998</v>
      </c>
      <c r="I21" t="s">
        <v>1954</v>
      </c>
      <c r="J21" t="s">
        <v>1954</v>
      </c>
      <c r="K21">
        <v>5739998.9919999996</v>
      </c>
      <c r="L21">
        <v>34855812</v>
      </c>
      <c r="M21" s="32">
        <v>6.0724</v>
      </c>
      <c r="N21" t="s">
        <v>1985</v>
      </c>
      <c r="O21" t="s">
        <v>1986</v>
      </c>
      <c r="P21">
        <v>915.3</v>
      </c>
      <c r="Q21" t="s">
        <v>1958</v>
      </c>
      <c r="R21" t="s">
        <v>21</v>
      </c>
      <c r="S21" t="s">
        <v>22</v>
      </c>
      <c r="T21">
        <f t="shared" si="0"/>
        <v>3143.9000000000005</v>
      </c>
    </row>
    <row r="22" spans="1:20" x14ac:dyDescent="0.25">
      <c r="A22" t="s">
        <v>1096</v>
      </c>
      <c r="B22" t="s">
        <v>244</v>
      </c>
      <c r="C22">
        <v>2</v>
      </c>
      <c r="D22">
        <v>50006</v>
      </c>
      <c r="E22" t="s">
        <v>1984</v>
      </c>
      <c r="F22" t="s">
        <v>241</v>
      </c>
      <c r="G22" s="31">
        <v>0.83499999999999996</v>
      </c>
      <c r="H22" s="31">
        <v>0.88100000000000001</v>
      </c>
      <c r="I22" t="s">
        <v>1954</v>
      </c>
      <c r="J22" t="s">
        <v>1954</v>
      </c>
      <c r="K22">
        <v>5739998.9919999996</v>
      </c>
      <c r="L22">
        <v>34855812</v>
      </c>
      <c r="M22" s="32">
        <v>6.0724</v>
      </c>
      <c r="N22" t="s">
        <v>1985</v>
      </c>
      <c r="O22" t="s">
        <v>1986</v>
      </c>
      <c r="P22">
        <v>915.3</v>
      </c>
      <c r="Q22" t="s">
        <v>1958</v>
      </c>
      <c r="R22" t="s">
        <v>21</v>
      </c>
      <c r="S22" t="s">
        <v>22</v>
      </c>
      <c r="T22">
        <f t="shared" si="0"/>
        <v>4059.2000000000007</v>
      </c>
    </row>
    <row r="23" spans="1:20" x14ac:dyDescent="0.25">
      <c r="A23" t="s">
        <v>1099</v>
      </c>
      <c r="B23" t="s">
        <v>244</v>
      </c>
      <c r="C23">
        <v>2</v>
      </c>
      <c r="D23">
        <v>50006</v>
      </c>
      <c r="E23" t="s">
        <v>1984</v>
      </c>
      <c r="F23" t="s">
        <v>241</v>
      </c>
      <c r="G23" s="31">
        <v>0.83499999999999996</v>
      </c>
      <c r="H23" s="31">
        <v>0.88100000000000001</v>
      </c>
      <c r="I23" t="s">
        <v>1954</v>
      </c>
      <c r="J23" t="s">
        <v>1954</v>
      </c>
      <c r="K23">
        <v>5739998.9919999996</v>
      </c>
      <c r="L23">
        <v>34855812</v>
      </c>
      <c r="M23" s="32">
        <v>6.0724</v>
      </c>
      <c r="N23" t="s">
        <v>1985</v>
      </c>
      <c r="O23" t="s">
        <v>1986</v>
      </c>
      <c r="P23">
        <v>915.3</v>
      </c>
      <c r="Q23" t="s">
        <v>1958</v>
      </c>
      <c r="R23" t="s">
        <v>21</v>
      </c>
      <c r="S23" t="s">
        <v>22</v>
      </c>
      <c r="T23">
        <f t="shared" si="0"/>
        <v>4974.5000000000009</v>
      </c>
    </row>
    <row r="24" spans="1:20" x14ac:dyDescent="0.25">
      <c r="A24" t="s">
        <v>1100</v>
      </c>
      <c r="B24" t="s">
        <v>244</v>
      </c>
      <c r="C24">
        <v>2</v>
      </c>
      <c r="D24">
        <v>50006</v>
      </c>
      <c r="E24" t="s">
        <v>1984</v>
      </c>
      <c r="F24" t="s">
        <v>241</v>
      </c>
      <c r="G24" s="31">
        <v>0.83499999999999996</v>
      </c>
      <c r="H24" s="31">
        <v>0.88100000000000001</v>
      </c>
      <c r="I24" t="s">
        <v>1954</v>
      </c>
      <c r="J24" t="s">
        <v>1954</v>
      </c>
      <c r="K24">
        <v>5739998.9919999996</v>
      </c>
      <c r="L24">
        <v>34855812</v>
      </c>
      <c r="M24" s="32">
        <v>6.0724</v>
      </c>
      <c r="N24" t="s">
        <v>1985</v>
      </c>
      <c r="O24" t="s">
        <v>1986</v>
      </c>
      <c r="P24">
        <v>915.3</v>
      </c>
      <c r="Q24" t="s">
        <v>1958</v>
      </c>
      <c r="R24" t="s">
        <v>21</v>
      </c>
      <c r="S24" t="s">
        <v>22</v>
      </c>
      <c r="T24">
        <f t="shared" si="0"/>
        <v>5889.8000000000011</v>
      </c>
    </row>
    <row r="25" spans="1:20" x14ac:dyDescent="0.25">
      <c r="A25" t="s">
        <v>1033</v>
      </c>
      <c r="B25" t="s">
        <v>244</v>
      </c>
      <c r="C25">
        <v>1</v>
      </c>
      <c r="D25">
        <v>60357</v>
      </c>
      <c r="E25" t="s">
        <v>2094</v>
      </c>
      <c r="F25" t="s">
        <v>143</v>
      </c>
      <c r="G25" s="31">
        <v>0.55820000000000003</v>
      </c>
      <c r="H25" s="31">
        <v>0.60419999999999996</v>
      </c>
      <c r="I25" t="s">
        <v>1954</v>
      </c>
      <c r="J25" t="s">
        <v>1954</v>
      </c>
      <c r="K25">
        <v>9043168</v>
      </c>
      <c r="L25">
        <v>57098441</v>
      </c>
      <c r="M25" s="32">
        <v>6.3140000000000001</v>
      </c>
      <c r="N25" t="s">
        <v>281</v>
      </c>
      <c r="O25" t="s">
        <v>686</v>
      </c>
      <c r="P25">
        <v>1362</v>
      </c>
      <c r="Q25" t="s">
        <v>1958</v>
      </c>
      <c r="R25" t="s">
        <v>21</v>
      </c>
      <c r="S25" t="s">
        <v>22</v>
      </c>
      <c r="T25">
        <f t="shared" si="0"/>
        <v>7251.8000000000011</v>
      </c>
    </row>
    <row r="26" spans="1:20" x14ac:dyDescent="0.25">
      <c r="A26" t="s">
        <v>1035</v>
      </c>
      <c r="B26" t="s">
        <v>244</v>
      </c>
      <c r="C26">
        <v>1</v>
      </c>
      <c r="D26">
        <v>60357</v>
      </c>
      <c r="E26" t="s">
        <v>2094</v>
      </c>
      <c r="F26" t="s">
        <v>143</v>
      </c>
      <c r="G26" s="31">
        <v>0.55820000000000003</v>
      </c>
      <c r="H26" s="31">
        <v>0.60419999999999996</v>
      </c>
      <c r="I26" t="s">
        <v>1954</v>
      </c>
      <c r="J26" t="s">
        <v>1954</v>
      </c>
      <c r="K26">
        <v>9043168</v>
      </c>
      <c r="L26">
        <v>57098441</v>
      </c>
      <c r="M26" s="32">
        <v>6.3140000000000001</v>
      </c>
      <c r="N26" t="s">
        <v>281</v>
      </c>
      <c r="O26" t="s">
        <v>686</v>
      </c>
      <c r="P26">
        <v>1362</v>
      </c>
      <c r="Q26" t="s">
        <v>1958</v>
      </c>
      <c r="R26" t="s">
        <v>21</v>
      </c>
      <c r="S26" t="s">
        <v>22</v>
      </c>
      <c r="T26">
        <f t="shared" si="0"/>
        <v>8613.8000000000011</v>
      </c>
    </row>
    <row r="27" spans="1:20" x14ac:dyDescent="0.25">
      <c r="A27" t="s">
        <v>1036</v>
      </c>
      <c r="B27" t="s">
        <v>244</v>
      </c>
      <c r="C27">
        <v>1</v>
      </c>
      <c r="D27">
        <v>60357</v>
      </c>
      <c r="E27" t="s">
        <v>2094</v>
      </c>
      <c r="F27" t="s">
        <v>143</v>
      </c>
      <c r="G27" s="31">
        <v>0.55820000000000003</v>
      </c>
      <c r="H27" s="31">
        <v>0.60419999999999996</v>
      </c>
      <c r="I27" t="s">
        <v>1954</v>
      </c>
      <c r="J27" t="s">
        <v>1954</v>
      </c>
      <c r="K27">
        <v>9043168</v>
      </c>
      <c r="L27">
        <v>57098441</v>
      </c>
      <c r="M27" s="32">
        <v>6.3140000000000001</v>
      </c>
      <c r="N27" t="s">
        <v>281</v>
      </c>
      <c r="O27" t="s">
        <v>686</v>
      </c>
      <c r="P27">
        <v>1362</v>
      </c>
      <c r="Q27" t="s">
        <v>1958</v>
      </c>
      <c r="R27" t="s">
        <v>21</v>
      </c>
      <c r="S27" t="s">
        <v>22</v>
      </c>
      <c r="T27">
        <f t="shared" si="0"/>
        <v>9975.8000000000011</v>
      </c>
    </row>
    <row r="28" spans="1:20" x14ac:dyDescent="0.25">
      <c r="A28" t="s">
        <v>1598</v>
      </c>
      <c r="B28" t="s">
        <v>213</v>
      </c>
      <c r="C28">
        <v>1</v>
      </c>
      <c r="D28">
        <v>60356</v>
      </c>
      <c r="E28" t="s">
        <v>2167</v>
      </c>
      <c r="F28" t="s">
        <v>322</v>
      </c>
      <c r="G28" s="31">
        <v>0.51290000000000002</v>
      </c>
      <c r="H28" s="31">
        <v>0.55889999999999995</v>
      </c>
      <c r="I28" t="s">
        <v>1954</v>
      </c>
      <c r="J28" t="s">
        <v>1954</v>
      </c>
      <c r="K28">
        <v>7218175</v>
      </c>
      <c r="L28">
        <v>45766171</v>
      </c>
      <c r="M28" s="32">
        <v>6.3403999999999998</v>
      </c>
      <c r="N28" t="s">
        <v>331</v>
      </c>
      <c r="O28" t="s">
        <v>1600</v>
      </c>
      <c r="P28">
        <v>1210.4000000000001</v>
      </c>
      <c r="Q28" t="s">
        <v>1958</v>
      </c>
      <c r="R28" t="s">
        <v>21</v>
      </c>
      <c r="S28" t="s">
        <v>22</v>
      </c>
      <c r="T28">
        <f t="shared" si="0"/>
        <v>11186.2</v>
      </c>
    </row>
    <row r="29" spans="1:20" x14ac:dyDescent="0.25">
      <c r="A29" t="s">
        <v>1601</v>
      </c>
      <c r="B29" t="s">
        <v>213</v>
      </c>
      <c r="C29">
        <v>1</v>
      </c>
      <c r="D29">
        <v>60356</v>
      </c>
      <c r="E29" t="s">
        <v>2167</v>
      </c>
      <c r="F29" t="s">
        <v>322</v>
      </c>
      <c r="G29" s="31">
        <v>0.51290000000000002</v>
      </c>
      <c r="H29" s="31">
        <v>0.55889999999999995</v>
      </c>
      <c r="I29" t="s">
        <v>1954</v>
      </c>
      <c r="J29" t="s">
        <v>1954</v>
      </c>
      <c r="K29">
        <v>7218175</v>
      </c>
      <c r="L29">
        <v>45766171</v>
      </c>
      <c r="M29" s="32">
        <v>6.3403999999999998</v>
      </c>
      <c r="N29" t="s">
        <v>331</v>
      </c>
      <c r="O29" t="s">
        <v>1600</v>
      </c>
      <c r="P29">
        <v>1210.4000000000001</v>
      </c>
      <c r="Q29" t="s">
        <v>1958</v>
      </c>
      <c r="R29" t="s">
        <v>21</v>
      </c>
      <c r="S29" t="s">
        <v>22</v>
      </c>
      <c r="T29">
        <f t="shared" si="0"/>
        <v>12396.6</v>
      </c>
    </row>
    <row r="30" spans="1:20" x14ac:dyDescent="0.25">
      <c r="A30" t="s">
        <v>1609</v>
      </c>
      <c r="B30" t="s">
        <v>244</v>
      </c>
      <c r="C30">
        <v>1</v>
      </c>
      <c r="D30">
        <v>60356</v>
      </c>
      <c r="E30" t="s">
        <v>2167</v>
      </c>
      <c r="F30" t="s">
        <v>322</v>
      </c>
      <c r="G30" s="31">
        <v>0.41909999999999997</v>
      </c>
      <c r="H30" s="31">
        <v>0.46510000000000001</v>
      </c>
      <c r="I30" t="s">
        <v>1954</v>
      </c>
      <c r="J30" t="s">
        <v>1954</v>
      </c>
      <c r="K30">
        <v>7218175</v>
      </c>
      <c r="L30">
        <v>45766171</v>
      </c>
      <c r="M30" s="32">
        <v>6.3403999999999998</v>
      </c>
      <c r="N30" t="s">
        <v>331</v>
      </c>
      <c r="O30" t="s">
        <v>1600</v>
      </c>
      <c r="P30">
        <v>1210.4000000000001</v>
      </c>
      <c r="Q30" t="s">
        <v>1958</v>
      </c>
      <c r="R30" t="s">
        <v>21</v>
      </c>
      <c r="S30" t="s">
        <v>22</v>
      </c>
      <c r="T30">
        <f t="shared" si="0"/>
        <v>13607</v>
      </c>
    </row>
    <row r="31" spans="1:20" x14ac:dyDescent="0.25">
      <c r="A31" t="s">
        <v>976</v>
      </c>
      <c r="B31" t="s">
        <v>244</v>
      </c>
      <c r="C31">
        <v>1</v>
      </c>
      <c r="D31">
        <v>62926</v>
      </c>
      <c r="E31" t="s">
        <v>2079</v>
      </c>
      <c r="F31" t="s">
        <v>166</v>
      </c>
      <c r="G31" s="31">
        <v>1</v>
      </c>
      <c r="H31" s="31">
        <v>1</v>
      </c>
      <c r="I31" t="s">
        <v>1954</v>
      </c>
      <c r="J31" t="s">
        <v>1954</v>
      </c>
      <c r="K31">
        <v>7550957</v>
      </c>
      <c r="L31">
        <v>48759600</v>
      </c>
      <c r="M31" s="32">
        <v>6.4573999999999998</v>
      </c>
      <c r="N31" t="s">
        <v>281</v>
      </c>
      <c r="O31" t="s">
        <v>978</v>
      </c>
      <c r="P31">
        <v>1185.5</v>
      </c>
      <c r="Q31" t="s">
        <v>1958</v>
      </c>
      <c r="R31" t="s">
        <v>21</v>
      </c>
      <c r="S31" t="s">
        <v>22</v>
      </c>
      <c r="T31">
        <f t="shared" si="0"/>
        <v>14792.5</v>
      </c>
    </row>
    <row r="32" spans="1:20" x14ac:dyDescent="0.25">
      <c r="A32" t="s">
        <v>979</v>
      </c>
      <c r="B32" t="s">
        <v>244</v>
      </c>
      <c r="C32">
        <v>1</v>
      </c>
      <c r="D32">
        <v>62926</v>
      </c>
      <c r="E32" t="s">
        <v>2079</v>
      </c>
      <c r="F32" t="s">
        <v>166</v>
      </c>
      <c r="G32" s="31">
        <v>1</v>
      </c>
      <c r="H32" s="31">
        <v>1</v>
      </c>
      <c r="I32" t="s">
        <v>1954</v>
      </c>
      <c r="J32" t="s">
        <v>1954</v>
      </c>
      <c r="K32">
        <v>7550957</v>
      </c>
      <c r="L32">
        <v>48759600</v>
      </c>
      <c r="M32" s="32">
        <v>6.4573999999999998</v>
      </c>
      <c r="N32" t="s">
        <v>281</v>
      </c>
      <c r="O32" t="s">
        <v>978</v>
      </c>
      <c r="P32">
        <v>1185.5</v>
      </c>
      <c r="Q32" t="s">
        <v>1958</v>
      </c>
      <c r="R32" t="s">
        <v>21</v>
      </c>
      <c r="S32" t="s">
        <v>22</v>
      </c>
      <c r="T32">
        <f t="shared" si="0"/>
        <v>15978</v>
      </c>
    </row>
    <row r="33" spans="1:20" x14ac:dyDescent="0.25">
      <c r="A33" t="s">
        <v>279</v>
      </c>
      <c r="B33" t="s">
        <v>244</v>
      </c>
      <c r="C33">
        <v>1</v>
      </c>
      <c r="D33">
        <v>61035</v>
      </c>
      <c r="E33" t="s">
        <v>280</v>
      </c>
      <c r="F33" t="s">
        <v>143</v>
      </c>
      <c r="G33" s="31">
        <v>1</v>
      </c>
      <c r="H33" s="31">
        <v>1</v>
      </c>
      <c r="I33" t="s">
        <v>1954</v>
      </c>
      <c r="J33" t="s">
        <v>1954</v>
      </c>
      <c r="K33">
        <v>3377539</v>
      </c>
      <c r="L33">
        <v>21872108</v>
      </c>
      <c r="M33" s="32">
        <v>6.4757999999999996</v>
      </c>
      <c r="N33" t="s">
        <v>281</v>
      </c>
      <c r="O33" t="s">
        <v>282</v>
      </c>
      <c r="P33">
        <v>485</v>
      </c>
      <c r="Q33" s="33" t="s">
        <v>1955</v>
      </c>
      <c r="R33" t="s">
        <v>21</v>
      </c>
      <c r="S33" t="s">
        <v>22</v>
      </c>
      <c r="T33">
        <f t="shared" si="0"/>
        <v>16463</v>
      </c>
    </row>
    <row r="34" spans="1:20" x14ac:dyDescent="0.25">
      <c r="A34" t="s">
        <v>1379</v>
      </c>
      <c r="B34" t="s">
        <v>137</v>
      </c>
      <c r="C34">
        <v>2</v>
      </c>
      <c r="D34">
        <v>50537</v>
      </c>
      <c r="E34" t="s">
        <v>2139</v>
      </c>
      <c r="F34" t="s">
        <v>1969</v>
      </c>
      <c r="G34" s="31">
        <v>0.3846</v>
      </c>
      <c r="H34" s="31">
        <v>0.31259999999999999</v>
      </c>
      <c r="I34" t="s">
        <v>1954</v>
      </c>
      <c r="J34" t="s">
        <v>1972</v>
      </c>
      <c r="K34">
        <v>23557</v>
      </c>
      <c r="L34">
        <v>152863</v>
      </c>
      <c r="M34" s="32">
        <v>6.4890999999999996</v>
      </c>
      <c r="N34" t="s">
        <v>141</v>
      </c>
      <c r="O34" t="s">
        <v>282</v>
      </c>
      <c r="P34">
        <v>5.6</v>
      </c>
      <c r="Q34" t="s">
        <v>1958</v>
      </c>
      <c r="R34" t="s">
        <v>21</v>
      </c>
      <c r="S34" t="s">
        <v>22</v>
      </c>
      <c r="T34">
        <f t="shared" si="0"/>
        <v>16468.599999999999</v>
      </c>
    </row>
    <row r="35" spans="1:20" x14ac:dyDescent="0.25">
      <c r="A35" t="s">
        <v>1783</v>
      </c>
      <c r="B35" t="s">
        <v>244</v>
      </c>
      <c r="C35">
        <v>1</v>
      </c>
      <c r="D35">
        <v>60464</v>
      </c>
      <c r="E35" t="s">
        <v>1784</v>
      </c>
      <c r="F35" t="s">
        <v>143</v>
      </c>
      <c r="G35" s="31">
        <v>0.85</v>
      </c>
      <c r="H35" s="31">
        <v>0.89600000000000002</v>
      </c>
      <c r="I35" t="s">
        <v>1954</v>
      </c>
      <c r="J35" t="s">
        <v>1954</v>
      </c>
      <c r="K35">
        <v>6298297</v>
      </c>
      <c r="L35">
        <v>40918552</v>
      </c>
      <c r="M35" s="32">
        <v>6.4968000000000004</v>
      </c>
      <c r="N35" t="s">
        <v>331</v>
      </c>
      <c r="O35" t="s">
        <v>924</v>
      </c>
      <c r="P35">
        <v>947</v>
      </c>
      <c r="Q35" s="33" t="s">
        <v>1955</v>
      </c>
      <c r="R35" t="s">
        <v>21</v>
      </c>
      <c r="S35" t="s">
        <v>22</v>
      </c>
      <c r="T35">
        <f t="shared" si="0"/>
        <v>17415.599999999999</v>
      </c>
    </row>
    <row r="36" spans="1:20" x14ac:dyDescent="0.25">
      <c r="A36" t="s">
        <v>850</v>
      </c>
      <c r="B36" t="s">
        <v>244</v>
      </c>
      <c r="C36">
        <v>1</v>
      </c>
      <c r="D36">
        <v>59913</v>
      </c>
      <c r="E36" t="s">
        <v>854</v>
      </c>
      <c r="F36" t="s">
        <v>201</v>
      </c>
      <c r="G36" s="31">
        <v>0.56100000000000005</v>
      </c>
      <c r="H36" s="31">
        <v>0.60699999999999998</v>
      </c>
      <c r="I36" t="s">
        <v>1954</v>
      </c>
      <c r="J36" t="s">
        <v>1954</v>
      </c>
      <c r="K36">
        <v>11337552</v>
      </c>
      <c r="L36">
        <v>73871197</v>
      </c>
      <c r="M36" s="32">
        <v>6.5156000000000001</v>
      </c>
      <c r="N36" t="s">
        <v>340</v>
      </c>
      <c r="O36" t="s">
        <v>341</v>
      </c>
      <c r="P36">
        <v>1605.1</v>
      </c>
      <c r="Q36" t="s">
        <v>1958</v>
      </c>
      <c r="R36" t="s">
        <v>21</v>
      </c>
      <c r="S36" t="s">
        <v>22</v>
      </c>
      <c r="T36">
        <f t="shared" si="0"/>
        <v>19020.699999999997</v>
      </c>
    </row>
    <row r="37" spans="1:20" x14ac:dyDescent="0.25">
      <c r="A37" t="s">
        <v>853</v>
      </c>
      <c r="B37" t="s">
        <v>244</v>
      </c>
      <c r="C37">
        <v>1</v>
      </c>
      <c r="D37">
        <v>59913</v>
      </c>
      <c r="E37" t="s">
        <v>854</v>
      </c>
      <c r="F37" t="s">
        <v>201</v>
      </c>
      <c r="G37" s="31">
        <v>1</v>
      </c>
      <c r="H37" s="31">
        <v>1</v>
      </c>
      <c r="I37" t="s">
        <v>1954</v>
      </c>
      <c r="J37" t="s">
        <v>1954</v>
      </c>
      <c r="K37">
        <v>11337552</v>
      </c>
      <c r="L37">
        <v>73871197</v>
      </c>
      <c r="M37" s="32">
        <v>6.5156000000000001</v>
      </c>
      <c r="N37" t="s">
        <v>340</v>
      </c>
      <c r="O37" t="s">
        <v>341</v>
      </c>
      <c r="P37">
        <v>1605.1</v>
      </c>
      <c r="Q37" s="33" t="s">
        <v>1955</v>
      </c>
      <c r="R37" t="s">
        <v>21</v>
      </c>
      <c r="S37" t="s">
        <v>22</v>
      </c>
      <c r="T37">
        <f t="shared" si="0"/>
        <v>20625.799999999996</v>
      </c>
    </row>
    <row r="38" spans="1:20" x14ac:dyDescent="0.25">
      <c r="A38" t="s">
        <v>863</v>
      </c>
      <c r="B38" t="s">
        <v>244</v>
      </c>
      <c r="C38">
        <v>2</v>
      </c>
      <c r="D38">
        <v>59913</v>
      </c>
      <c r="E38" t="s">
        <v>854</v>
      </c>
      <c r="F38" t="s">
        <v>201</v>
      </c>
      <c r="G38" s="31">
        <v>0.54090000000000005</v>
      </c>
      <c r="H38" s="31">
        <v>0.58689999999999998</v>
      </c>
      <c r="I38" t="s">
        <v>1954</v>
      </c>
      <c r="J38" t="s">
        <v>1954</v>
      </c>
      <c r="K38">
        <v>11337552</v>
      </c>
      <c r="L38">
        <v>73871197</v>
      </c>
      <c r="M38" s="32">
        <v>6.5156000000000001</v>
      </c>
      <c r="N38" t="s">
        <v>340</v>
      </c>
      <c r="O38" t="s">
        <v>341</v>
      </c>
      <c r="P38">
        <v>1605.1</v>
      </c>
      <c r="Q38" t="s">
        <v>1958</v>
      </c>
      <c r="R38" t="s">
        <v>21</v>
      </c>
      <c r="S38" t="s">
        <v>22</v>
      </c>
      <c r="T38">
        <f t="shared" si="0"/>
        <v>22230.899999999994</v>
      </c>
    </row>
    <row r="39" spans="1:20" x14ac:dyDescent="0.25">
      <c r="A39" t="s">
        <v>867</v>
      </c>
      <c r="B39" t="s">
        <v>244</v>
      </c>
      <c r="C39">
        <v>2</v>
      </c>
      <c r="D39">
        <v>59913</v>
      </c>
      <c r="E39" t="s">
        <v>854</v>
      </c>
      <c r="F39" t="s">
        <v>201</v>
      </c>
      <c r="G39" s="31">
        <v>0.54090000000000005</v>
      </c>
      <c r="H39" s="31">
        <v>0.58689999999999998</v>
      </c>
      <c r="I39" t="s">
        <v>1954</v>
      </c>
      <c r="J39" t="s">
        <v>1954</v>
      </c>
      <c r="K39">
        <v>11337552</v>
      </c>
      <c r="L39">
        <v>73871197</v>
      </c>
      <c r="M39" s="32">
        <v>6.5156000000000001</v>
      </c>
      <c r="N39" t="s">
        <v>340</v>
      </c>
      <c r="O39" t="s">
        <v>341</v>
      </c>
      <c r="P39">
        <v>1605.1</v>
      </c>
      <c r="Q39" t="s">
        <v>1958</v>
      </c>
      <c r="R39" t="s">
        <v>21</v>
      </c>
      <c r="S39" t="s">
        <v>22</v>
      </c>
      <c r="T39">
        <f t="shared" si="0"/>
        <v>23835.999999999993</v>
      </c>
    </row>
    <row r="40" spans="1:20" x14ac:dyDescent="0.25">
      <c r="A40" t="s">
        <v>868</v>
      </c>
      <c r="B40" t="s">
        <v>244</v>
      </c>
      <c r="C40">
        <v>2</v>
      </c>
      <c r="D40">
        <v>59913</v>
      </c>
      <c r="E40" t="s">
        <v>854</v>
      </c>
      <c r="F40" t="s">
        <v>201</v>
      </c>
      <c r="G40" s="31">
        <v>0.54090000000000005</v>
      </c>
      <c r="H40" s="31">
        <v>0.58689999999999998</v>
      </c>
      <c r="I40" t="s">
        <v>1954</v>
      </c>
      <c r="J40" t="s">
        <v>1954</v>
      </c>
      <c r="K40">
        <v>11337552</v>
      </c>
      <c r="L40">
        <v>73871197</v>
      </c>
      <c r="M40" s="32">
        <v>6.5156000000000001</v>
      </c>
      <c r="N40" t="s">
        <v>340</v>
      </c>
      <c r="O40" t="s">
        <v>341</v>
      </c>
      <c r="P40">
        <v>1605.1</v>
      </c>
      <c r="Q40" t="s">
        <v>1958</v>
      </c>
      <c r="R40" t="s">
        <v>21</v>
      </c>
      <c r="S40" t="s">
        <v>22</v>
      </c>
      <c r="T40">
        <f t="shared" si="0"/>
        <v>25441.099999999991</v>
      </c>
    </row>
    <row r="41" spans="1:20" x14ac:dyDescent="0.25">
      <c r="A41" t="s">
        <v>1748</v>
      </c>
      <c r="B41" t="s">
        <v>244</v>
      </c>
      <c r="C41">
        <v>3</v>
      </c>
      <c r="D41">
        <v>59913</v>
      </c>
      <c r="E41" t="s">
        <v>854</v>
      </c>
      <c r="F41" t="s">
        <v>201</v>
      </c>
      <c r="G41" s="31">
        <v>0.52610000000000001</v>
      </c>
      <c r="H41" s="31">
        <v>0.57210000000000005</v>
      </c>
      <c r="I41" t="s">
        <v>1954</v>
      </c>
      <c r="J41" t="s">
        <v>1954</v>
      </c>
      <c r="K41">
        <v>11337552</v>
      </c>
      <c r="L41">
        <v>73871197</v>
      </c>
      <c r="M41" s="32">
        <v>6.5156000000000001</v>
      </c>
      <c r="N41" t="s">
        <v>340</v>
      </c>
      <c r="O41" t="s">
        <v>341</v>
      </c>
      <c r="P41">
        <v>1605.1</v>
      </c>
      <c r="Q41" t="s">
        <v>1958</v>
      </c>
      <c r="R41" t="s">
        <v>21</v>
      </c>
      <c r="S41" t="s">
        <v>22</v>
      </c>
      <c r="T41">
        <f t="shared" si="0"/>
        <v>27046.19999999999</v>
      </c>
    </row>
    <row r="42" spans="1:20" x14ac:dyDescent="0.25">
      <c r="A42" t="s">
        <v>1231</v>
      </c>
      <c r="B42" t="s">
        <v>244</v>
      </c>
      <c r="C42">
        <v>1</v>
      </c>
      <c r="D42">
        <v>59906</v>
      </c>
      <c r="E42" t="s">
        <v>1232</v>
      </c>
      <c r="F42" t="s">
        <v>143</v>
      </c>
      <c r="G42" s="31">
        <v>1</v>
      </c>
      <c r="H42" s="31">
        <v>1</v>
      </c>
      <c r="I42" t="s">
        <v>1954</v>
      </c>
      <c r="J42" t="s">
        <v>1954</v>
      </c>
      <c r="K42">
        <v>7044975</v>
      </c>
      <c r="L42">
        <v>45919317</v>
      </c>
      <c r="M42" s="32">
        <v>6.5179999999999998</v>
      </c>
      <c r="N42" t="s">
        <v>281</v>
      </c>
      <c r="O42" t="s">
        <v>368</v>
      </c>
      <c r="P42">
        <v>1045</v>
      </c>
      <c r="Q42" s="33" t="s">
        <v>1955</v>
      </c>
      <c r="R42" t="s">
        <v>21</v>
      </c>
      <c r="S42" t="s">
        <v>22</v>
      </c>
      <c r="T42">
        <f t="shared" si="0"/>
        <v>28091.19999999999</v>
      </c>
    </row>
    <row r="43" spans="1:20" x14ac:dyDescent="0.25">
      <c r="A43" t="s">
        <v>1233</v>
      </c>
      <c r="B43" t="s">
        <v>244</v>
      </c>
      <c r="C43">
        <v>1</v>
      </c>
      <c r="D43">
        <v>59906</v>
      </c>
      <c r="E43" t="s">
        <v>1232</v>
      </c>
      <c r="F43" t="s">
        <v>143</v>
      </c>
      <c r="G43" s="31">
        <v>1</v>
      </c>
      <c r="H43" s="31">
        <v>1</v>
      </c>
      <c r="I43" t="s">
        <v>1954</v>
      </c>
      <c r="J43" t="s">
        <v>1954</v>
      </c>
      <c r="K43">
        <v>7044975</v>
      </c>
      <c r="L43">
        <v>45919317</v>
      </c>
      <c r="M43" s="32">
        <v>6.5179999999999998</v>
      </c>
      <c r="N43" t="s">
        <v>281</v>
      </c>
      <c r="O43" t="s">
        <v>368</v>
      </c>
      <c r="P43">
        <v>1045</v>
      </c>
      <c r="Q43" s="33" t="s">
        <v>1955</v>
      </c>
      <c r="R43" t="s">
        <v>21</v>
      </c>
      <c r="S43" t="s">
        <v>22</v>
      </c>
      <c r="T43">
        <f t="shared" si="0"/>
        <v>29136.19999999999</v>
      </c>
    </row>
    <row r="44" spans="1:20" x14ac:dyDescent="0.25">
      <c r="A44" t="s">
        <v>1234</v>
      </c>
      <c r="B44" t="s">
        <v>244</v>
      </c>
      <c r="C44">
        <v>2</v>
      </c>
      <c r="D44">
        <v>59906</v>
      </c>
      <c r="E44" t="s">
        <v>1232</v>
      </c>
      <c r="F44" t="s">
        <v>143</v>
      </c>
      <c r="G44" s="31">
        <v>0.50690000000000002</v>
      </c>
      <c r="H44" s="31">
        <v>0.55289999999999995</v>
      </c>
      <c r="I44" t="s">
        <v>1954</v>
      </c>
      <c r="J44" t="s">
        <v>1954</v>
      </c>
      <c r="K44">
        <v>7044975</v>
      </c>
      <c r="L44">
        <v>45919317</v>
      </c>
      <c r="M44" s="32">
        <v>6.5179999999999998</v>
      </c>
      <c r="N44" t="s">
        <v>281</v>
      </c>
      <c r="O44" t="s">
        <v>368</v>
      </c>
      <c r="P44">
        <v>1045</v>
      </c>
      <c r="Q44" t="s">
        <v>1958</v>
      </c>
      <c r="R44" t="s">
        <v>21</v>
      </c>
      <c r="S44" t="s">
        <v>22</v>
      </c>
      <c r="T44">
        <f t="shared" si="0"/>
        <v>30181.19999999999</v>
      </c>
    </row>
    <row r="45" spans="1:20" x14ac:dyDescent="0.25">
      <c r="A45" t="s">
        <v>1235</v>
      </c>
      <c r="B45" t="s">
        <v>244</v>
      </c>
      <c r="C45">
        <v>2</v>
      </c>
      <c r="D45">
        <v>59906</v>
      </c>
      <c r="E45" t="s">
        <v>1232</v>
      </c>
      <c r="F45" t="s">
        <v>143</v>
      </c>
      <c r="G45" s="31">
        <v>0.47920000000000001</v>
      </c>
      <c r="H45" s="31">
        <v>0.5252</v>
      </c>
      <c r="I45" t="s">
        <v>1954</v>
      </c>
      <c r="J45" t="s">
        <v>1954</v>
      </c>
      <c r="K45">
        <v>7044975</v>
      </c>
      <c r="L45">
        <v>45919317</v>
      </c>
      <c r="M45" s="32">
        <v>6.5179999999999998</v>
      </c>
      <c r="N45" t="s">
        <v>281</v>
      </c>
      <c r="O45" t="s">
        <v>368</v>
      </c>
      <c r="P45">
        <v>1045</v>
      </c>
      <c r="Q45" t="s">
        <v>1958</v>
      </c>
      <c r="R45" t="s">
        <v>21</v>
      </c>
      <c r="S45" t="s">
        <v>22</v>
      </c>
      <c r="T45">
        <f t="shared" si="0"/>
        <v>31226.19999999999</v>
      </c>
    </row>
    <row r="46" spans="1:20" x14ac:dyDescent="0.25">
      <c r="A46" t="s">
        <v>1177</v>
      </c>
      <c r="B46" t="s">
        <v>244</v>
      </c>
      <c r="C46">
        <v>1</v>
      </c>
      <c r="D46">
        <v>60376</v>
      </c>
      <c r="E46" t="s">
        <v>2111</v>
      </c>
      <c r="F46" t="s">
        <v>322</v>
      </c>
      <c r="G46" s="31">
        <v>0.85899999999999999</v>
      </c>
      <c r="H46" s="31">
        <v>0.90500000000000003</v>
      </c>
      <c r="I46" t="s">
        <v>1954</v>
      </c>
      <c r="J46" t="s">
        <v>1954</v>
      </c>
      <c r="K46">
        <v>6529885.5800000001</v>
      </c>
      <c r="L46">
        <v>43153278</v>
      </c>
      <c r="M46" s="32">
        <v>6.6086</v>
      </c>
      <c r="N46" t="s">
        <v>331</v>
      </c>
      <c r="O46" t="s">
        <v>924</v>
      </c>
      <c r="P46">
        <v>856.5</v>
      </c>
      <c r="Q46" t="s">
        <v>1958</v>
      </c>
      <c r="R46" t="s">
        <v>21</v>
      </c>
      <c r="S46" t="s">
        <v>22</v>
      </c>
      <c r="T46">
        <f t="shared" si="0"/>
        <v>32082.69999999999</v>
      </c>
    </row>
    <row r="47" spans="1:20" x14ac:dyDescent="0.25">
      <c r="A47" t="s">
        <v>896</v>
      </c>
      <c r="B47" t="s">
        <v>189</v>
      </c>
      <c r="C47">
        <v>1</v>
      </c>
      <c r="D47">
        <v>10118</v>
      </c>
      <c r="E47" t="s">
        <v>2069</v>
      </c>
      <c r="F47" t="s">
        <v>143</v>
      </c>
      <c r="G47" s="31">
        <v>0.66500000000000004</v>
      </c>
      <c r="H47" s="31">
        <v>0.68300000000000005</v>
      </c>
      <c r="I47" t="s">
        <v>1976</v>
      </c>
      <c r="J47" t="s">
        <v>1954</v>
      </c>
      <c r="K47">
        <v>5365.7</v>
      </c>
      <c r="L47">
        <v>35477</v>
      </c>
      <c r="M47" s="32">
        <v>6.6117999999999997</v>
      </c>
      <c r="N47" t="s">
        <v>265</v>
      </c>
      <c r="P47">
        <v>0</v>
      </c>
      <c r="Q47" t="s">
        <v>1958</v>
      </c>
      <c r="R47" t="s">
        <v>21</v>
      </c>
      <c r="S47" t="s">
        <v>22</v>
      </c>
      <c r="T47">
        <f t="shared" si="0"/>
        <v>32082.69999999999</v>
      </c>
    </row>
    <row r="48" spans="1:20" x14ac:dyDescent="0.25">
      <c r="A48" t="s">
        <v>922</v>
      </c>
      <c r="B48" t="s">
        <v>244</v>
      </c>
      <c r="C48">
        <v>1</v>
      </c>
      <c r="D48">
        <v>61028</v>
      </c>
      <c r="E48" t="s">
        <v>923</v>
      </c>
      <c r="F48" t="s">
        <v>143</v>
      </c>
      <c r="G48" s="31">
        <v>1</v>
      </c>
      <c r="H48" s="31">
        <v>1</v>
      </c>
      <c r="I48" t="s">
        <v>1954</v>
      </c>
      <c r="J48" t="s">
        <v>1954</v>
      </c>
      <c r="K48">
        <v>6668580</v>
      </c>
      <c r="L48">
        <v>44175102</v>
      </c>
      <c r="M48" s="32">
        <v>6.6243999999999996</v>
      </c>
      <c r="N48" t="s">
        <v>331</v>
      </c>
      <c r="O48" t="s">
        <v>924</v>
      </c>
      <c r="P48">
        <v>962.3</v>
      </c>
      <c r="Q48" s="33" t="s">
        <v>1955</v>
      </c>
      <c r="R48" t="s">
        <v>21</v>
      </c>
      <c r="S48" t="s">
        <v>22</v>
      </c>
      <c r="T48">
        <f t="shared" si="0"/>
        <v>33044.999999999993</v>
      </c>
    </row>
    <row r="49" spans="1:20" x14ac:dyDescent="0.25">
      <c r="A49" t="s">
        <v>863</v>
      </c>
      <c r="B49" t="s">
        <v>244</v>
      </c>
      <c r="C49">
        <v>1</v>
      </c>
      <c r="D49">
        <v>62949</v>
      </c>
      <c r="E49" t="s">
        <v>864</v>
      </c>
      <c r="F49" t="s">
        <v>322</v>
      </c>
      <c r="G49" s="31">
        <v>0.64019999999999999</v>
      </c>
      <c r="H49" s="31">
        <v>0.68620000000000003</v>
      </c>
      <c r="I49" t="s">
        <v>1954</v>
      </c>
      <c r="J49" t="s">
        <v>1954</v>
      </c>
      <c r="K49">
        <v>11309051</v>
      </c>
      <c r="L49">
        <v>75101830</v>
      </c>
      <c r="M49" s="32">
        <v>6.6409000000000002</v>
      </c>
      <c r="N49" t="s">
        <v>281</v>
      </c>
      <c r="O49" t="s">
        <v>866</v>
      </c>
      <c r="P49">
        <v>1788.5</v>
      </c>
      <c r="Q49" s="33" t="s">
        <v>1956</v>
      </c>
      <c r="R49" t="s">
        <v>21</v>
      </c>
      <c r="S49" t="s">
        <v>22</v>
      </c>
      <c r="T49">
        <f t="shared" si="0"/>
        <v>34833.499999999993</v>
      </c>
    </row>
    <row r="50" spans="1:20" x14ac:dyDescent="0.25">
      <c r="A50" t="s">
        <v>867</v>
      </c>
      <c r="B50" t="s">
        <v>244</v>
      </c>
      <c r="C50">
        <v>1</v>
      </c>
      <c r="D50">
        <v>62949</v>
      </c>
      <c r="E50" t="s">
        <v>864</v>
      </c>
      <c r="F50" t="s">
        <v>322</v>
      </c>
      <c r="G50" s="31">
        <v>0.64019999999999999</v>
      </c>
      <c r="H50" s="31">
        <v>0.68620000000000003</v>
      </c>
      <c r="I50" t="s">
        <v>1954</v>
      </c>
      <c r="J50" t="s">
        <v>1954</v>
      </c>
      <c r="K50">
        <v>11309051</v>
      </c>
      <c r="L50">
        <v>75101830</v>
      </c>
      <c r="M50" s="32">
        <v>6.6409000000000002</v>
      </c>
      <c r="N50" t="s">
        <v>281</v>
      </c>
      <c r="O50" t="s">
        <v>866</v>
      </c>
      <c r="P50">
        <v>1788.5</v>
      </c>
      <c r="Q50" s="33" t="s">
        <v>1956</v>
      </c>
      <c r="R50" t="s">
        <v>21</v>
      </c>
      <c r="S50" t="s">
        <v>22</v>
      </c>
      <c r="T50">
        <f t="shared" si="0"/>
        <v>36621.999999999993</v>
      </c>
    </row>
    <row r="51" spans="1:20" x14ac:dyDescent="0.25">
      <c r="A51" t="s">
        <v>868</v>
      </c>
      <c r="B51" t="s">
        <v>244</v>
      </c>
      <c r="C51">
        <v>1</v>
      </c>
      <c r="D51">
        <v>62949</v>
      </c>
      <c r="E51" t="s">
        <v>864</v>
      </c>
      <c r="F51" t="s">
        <v>322</v>
      </c>
      <c r="G51" s="31">
        <v>0.64019999999999999</v>
      </c>
      <c r="H51" s="31">
        <v>0.68620000000000003</v>
      </c>
      <c r="I51" t="s">
        <v>1954</v>
      </c>
      <c r="J51" t="s">
        <v>1954</v>
      </c>
      <c r="K51">
        <v>11309051</v>
      </c>
      <c r="L51">
        <v>75101830</v>
      </c>
      <c r="M51" s="32">
        <v>6.6409000000000002</v>
      </c>
      <c r="N51" t="s">
        <v>281</v>
      </c>
      <c r="O51" t="s">
        <v>866</v>
      </c>
      <c r="P51">
        <v>1788.5</v>
      </c>
      <c r="Q51" s="33" t="s">
        <v>1956</v>
      </c>
      <c r="R51" t="s">
        <v>21</v>
      </c>
      <c r="S51" t="s">
        <v>22</v>
      </c>
      <c r="T51">
        <f t="shared" si="0"/>
        <v>38410.499999999993</v>
      </c>
    </row>
    <row r="52" spans="1:20" x14ac:dyDescent="0.25">
      <c r="A52" t="s">
        <v>1235</v>
      </c>
      <c r="B52" t="s">
        <v>244</v>
      </c>
      <c r="C52">
        <v>1</v>
      </c>
      <c r="D52">
        <v>58426</v>
      </c>
      <c r="E52" t="s">
        <v>2117</v>
      </c>
      <c r="F52" t="s">
        <v>143</v>
      </c>
      <c r="G52" s="31">
        <v>0.53410000000000002</v>
      </c>
      <c r="H52" s="31">
        <v>0.58009999999999995</v>
      </c>
      <c r="I52" t="s">
        <v>1954</v>
      </c>
      <c r="J52" t="s">
        <v>1954</v>
      </c>
      <c r="K52">
        <v>6102059</v>
      </c>
      <c r="L52">
        <v>40765309</v>
      </c>
      <c r="M52" s="32">
        <v>6.6806000000000001</v>
      </c>
      <c r="N52" t="s">
        <v>281</v>
      </c>
      <c r="O52" t="s">
        <v>368</v>
      </c>
      <c r="P52">
        <v>795</v>
      </c>
      <c r="Q52" t="s">
        <v>1958</v>
      </c>
      <c r="R52" t="s">
        <v>21</v>
      </c>
      <c r="S52" t="s">
        <v>22</v>
      </c>
      <c r="T52">
        <f t="shared" si="0"/>
        <v>39205.499999999993</v>
      </c>
    </row>
    <row r="53" spans="1:20" x14ac:dyDescent="0.25">
      <c r="A53" t="s">
        <v>763</v>
      </c>
      <c r="B53" t="s">
        <v>244</v>
      </c>
      <c r="C53">
        <v>1</v>
      </c>
      <c r="D53">
        <v>63931</v>
      </c>
      <c r="E53" t="s">
        <v>1680</v>
      </c>
      <c r="F53" t="s">
        <v>166</v>
      </c>
      <c r="G53" s="31">
        <v>0.44219999999999998</v>
      </c>
      <c r="H53" s="31">
        <v>0.48820000000000002</v>
      </c>
      <c r="I53" t="s">
        <v>1954</v>
      </c>
      <c r="J53" t="s">
        <v>1954</v>
      </c>
      <c r="K53">
        <v>6456046</v>
      </c>
      <c r="L53">
        <v>43371450</v>
      </c>
      <c r="M53" s="32">
        <v>6.718</v>
      </c>
      <c r="N53" t="s">
        <v>281</v>
      </c>
      <c r="O53" t="s">
        <v>368</v>
      </c>
      <c r="P53">
        <v>1220.9000000000001</v>
      </c>
      <c r="Q53" t="s">
        <v>1958</v>
      </c>
      <c r="R53" t="s">
        <v>21</v>
      </c>
      <c r="S53" t="s">
        <v>22</v>
      </c>
      <c r="T53">
        <f t="shared" si="0"/>
        <v>40426.399999999994</v>
      </c>
    </row>
    <row r="54" spans="1:20" x14ac:dyDescent="0.25">
      <c r="A54" t="s">
        <v>1679</v>
      </c>
      <c r="B54" t="s">
        <v>244</v>
      </c>
      <c r="C54">
        <v>1</v>
      </c>
      <c r="D54">
        <v>63931</v>
      </c>
      <c r="E54" t="s">
        <v>1680</v>
      </c>
      <c r="F54" t="s">
        <v>166</v>
      </c>
      <c r="G54" s="31">
        <v>0.83840000000000003</v>
      </c>
      <c r="H54" s="31">
        <v>0.88439999999999996</v>
      </c>
      <c r="I54" t="s">
        <v>1954</v>
      </c>
      <c r="J54" t="s">
        <v>1954</v>
      </c>
      <c r="K54">
        <v>6456046</v>
      </c>
      <c r="L54">
        <v>43371450</v>
      </c>
      <c r="M54" s="32">
        <v>6.718</v>
      </c>
      <c r="N54" t="s">
        <v>281</v>
      </c>
      <c r="O54" t="s">
        <v>368</v>
      </c>
      <c r="P54">
        <v>1220.9000000000001</v>
      </c>
      <c r="Q54" s="33" t="s">
        <v>1955</v>
      </c>
      <c r="R54" t="s">
        <v>21</v>
      </c>
      <c r="S54" t="s">
        <v>22</v>
      </c>
      <c r="T54">
        <f t="shared" si="0"/>
        <v>41647.299999999996</v>
      </c>
    </row>
    <row r="55" spans="1:20" x14ac:dyDescent="0.25">
      <c r="A55" t="s">
        <v>922</v>
      </c>
      <c r="B55" t="s">
        <v>244</v>
      </c>
      <c r="C55">
        <v>2</v>
      </c>
      <c r="D55">
        <v>1363</v>
      </c>
      <c r="E55" t="s">
        <v>2074</v>
      </c>
      <c r="F55" t="s">
        <v>266</v>
      </c>
      <c r="G55" s="31">
        <v>0.50470000000000004</v>
      </c>
      <c r="H55" s="31">
        <v>0.55069999999999997</v>
      </c>
      <c r="I55" t="s">
        <v>1954</v>
      </c>
      <c r="J55" t="s">
        <v>1954</v>
      </c>
      <c r="K55">
        <v>5128350</v>
      </c>
      <c r="L55">
        <v>34557757</v>
      </c>
      <c r="M55" s="32">
        <v>6.7385999999999999</v>
      </c>
      <c r="N55" t="s">
        <v>331</v>
      </c>
      <c r="O55" t="s">
        <v>2075</v>
      </c>
      <c r="P55">
        <v>691</v>
      </c>
      <c r="Q55" t="s">
        <v>1958</v>
      </c>
      <c r="R55" t="s">
        <v>21</v>
      </c>
      <c r="S55" t="s">
        <v>22</v>
      </c>
      <c r="T55">
        <f t="shared" si="0"/>
        <v>42338.299999999996</v>
      </c>
    </row>
    <row r="56" spans="1:20" x14ac:dyDescent="0.25">
      <c r="A56" t="s">
        <v>1637</v>
      </c>
      <c r="B56" t="s">
        <v>244</v>
      </c>
      <c r="C56">
        <v>1</v>
      </c>
      <c r="D56">
        <v>57794</v>
      </c>
      <c r="E56" t="s">
        <v>2177</v>
      </c>
      <c r="F56" t="s">
        <v>131</v>
      </c>
      <c r="G56" s="31">
        <v>0.54849999999999999</v>
      </c>
      <c r="H56" s="31">
        <v>0.59450000000000003</v>
      </c>
      <c r="I56" t="s">
        <v>1954</v>
      </c>
      <c r="J56" t="s">
        <v>1954</v>
      </c>
      <c r="K56">
        <v>5335234</v>
      </c>
      <c r="L56">
        <v>36167541</v>
      </c>
      <c r="M56" s="32">
        <v>6.7789999999999999</v>
      </c>
      <c r="N56" t="s">
        <v>331</v>
      </c>
      <c r="O56" t="s">
        <v>843</v>
      </c>
      <c r="P56">
        <v>715</v>
      </c>
      <c r="Q56" t="s">
        <v>1958</v>
      </c>
      <c r="R56" t="s">
        <v>21</v>
      </c>
      <c r="S56" t="s">
        <v>22</v>
      </c>
      <c r="T56">
        <f t="shared" si="0"/>
        <v>43053.299999999996</v>
      </c>
    </row>
    <row r="57" spans="1:20" x14ac:dyDescent="0.25">
      <c r="A57" t="s">
        <v>619</v>
      </c>
      <c r="B57" t="s">
        <v>244</v>
      </c>
      <c r="C57">
        <v>1</v>
      </c>
      <c r="D57">
        <v>55350</v>
      </c>
      <c r="E57" t="s">
        <v>620</v>
      </c>
      <c r="F57" t="s">
        <v>322</v>
      </c>
      <c r="G57" s="31">
        <v>1</v>
      </c>
      <c r="H57" s="31">
        <v>1</v>
      </c>
      <c r="I57" t="s">
        <v>1954</v>
      </c>
      <c r="J57" t="s">
        <v>1954</v>
      </c>
      <c r="K57">
        <v>4189180</v>
      </c>
      <c r="L57">
        <v>28402131</v>
      </c>
      <c r="M57" s="32">
        <v>6.7798999999999996</v>
      </c>
      <c r="N57" t="s">
        <v>331</v>
      </c>
      <c r="O57" t="s">
        <v>119</v>
      </c>
      <c r="P57">
        <v>540</v>
      </c>
      <c r="Q57" s="33" t="s">
        <v>1955</v>
      </c>
      <c r="R57" t="s">
        <v>21</v>
      </c>
      <c r="S57" t="s">
        <v>22</v>
      </c>
      <c r="T57">
        <f t="shared" si="0"/>
        <v>43593.299999999996</v>
      </c>
    </row>
    <row r="58" spans="1:20" x14ac:dyDescent="0.25">
      <c r="A58" t="s">
        <v>621</v>
      </c>
      <c r="B58" t="s">
        <v>244</v>
      </c>
      <c r="C58">
        <v>1</v>
      </c>
      <c r="D58">
        <v>55350</v>
      </c>
      <c r="E58" t="s">
        <v>620</v>
      </c>
      <c r="F58" t="s">
        <v>322</v>
      </c>
      <c r="G58" s="31">
        <v>1</v>
      </c>
      <c r="H58" s="31">
        <v>1</v>
      </c>
      <c r="I58" t="s">
        <v>1954</v>
      </c>
      <c r="J58" t="s">
        <v>1954</v>
      </c>
      <c r="K58">
        <v>4189180</v>
      </c>
      <c r="L58">
        <v>28402131</v>
      </c>
      <c r="M58" s="32">
        <v>6.7798999999999996</v>
      </c>
      <c r="N58" t="s">
        <v>331</v>
      </c>
      <c r="O58" t="s">
        <v>119</v>
      </c>
      <c r="P58">
        <v>540</v>
      </c>
      <c r="Q58" s="33" t="s">
        <v>1955</v>
      </c>
      <c r="R58" t="s">
        <v>21</v>
      </c>
      <c r="S58" t="s">
        <v>22</v>
      </c>
      <c r="T58">
        <f t="shared" si="0"/>
        <v>44133.299999999996</v>
      </c>
    </row>
    <row r="59" spans="1:20" x14ac:dyDescent="0.25">
      <c r="A59" t="s">
        <v>624</v>
      </c>
      <c r="B59" t="s">
        <v>244</v>
      </c>
      <c r="C59">
        <v>1</v>
      </c>
      <c r="D59">
        <v>55350</v>
      </c>
      <c r="E59" t="s">
        <v>620</v>
      </c>
      <c r="F59" t="s">
        <v>322</v>
      </c>
      <c r="G59" s="31">
        <v>1</v>
      </c>
      <c r="H59" s="31">
        <v>1</v>
      </c>
      <c r="I59" t="s">
        <v>1954</v>
      </c>
      <c r="J59" t="s">
        <v>1954</v>
      </c>
      <c r="K59">
        <v>4189180</v>
      </c>
      <c r="L59">
        <v>28402131</v>
      </c>
      <c r="M59" s="32">
        <v>6.7798999999999996</v>
      </c>
      <c r="N59" t="s">
        <v>331</v>
      </c>
      <c r="O59" t="s">
        <v>119</v>
      </c>
      <c r="P59">
        <v>540</v>
      </c>
      <c r="Q59" s="33" t="s">
        <v>1955</v>
      </c>
      <c r="R59" t="s">
        <v>21</v>
      </c>
      <c r="S59" t="s">
        <v>22</v>
      </c>
      <c r="T59">
        <f t="shared" si="0"/>
        <v>44673.299999999996</v>
      </c>
    </row>
    <row r="60" spans="1:20" x14ac:dyDescent="0.25">
      <c r="A60" t="s">
        <v>1078</v>
      </c>
      <c r="B60" t="s">
        <v>244</v>
      </c>
      <c r="C60">
        <v>2</v>
      </c>
      <c r="D60">
        <v>58420</v>
      </c>
      <c r="E60" t="s">
        <v>2101</v>
      </c>
      <c r="F60" t="s">
        <v>143</v>
      </c>
      <c r="G60" s="31">
        <v>0.51290000000000002</v>
      </c>
      <c r="H60" s="31">
        <v>0.55889999999999995</v>
      </c>
      <c r="I60" t="s">
        <v>1954</v>
      </c>
      <c r="J60" t="s">
        <v>1954</v>
      </c>
      <c r="K60">
        <v>5197158</v>
      </c>
      <c r="L60">
        <v>35343927</v>
      </c>
      <c r="M60" s="32">
        <v>6.8006000000000002</v>
      </c>
      <c r="N60" t="s">
        <v>281</v>
      </c>
      <c r="O60" t="s">
        <v>368</v>
      </c>
      <c r="P60">
        <v>830</v>
      </c>
      <c r="Q60" t="s">
        <v>1958</v>
      </c>
      <c r="R60" t="s">
        <v>21</v>
      </c>
      <c r="S60" t="s">
        <v>22</v>
      </c>
      <c r="T60">
        <f t="shared" si="0"/>
        <v>45503.299999999996</v>
      </c>
    </row>
    <row r="61" spans="1:20" x14ac:dyDescent="0.25">
      <c r="A61" t="s">
        <v>1081</v>
      </c>
      <c r="B61" t="s">
        <v>244</v>
      </c>
      <c r="C61">
        <v>2</v>
      </c>
      <c r="D61">
        <v>58420</v>
      </c>
      <c r="E61" t="s">
        <v>2101</v>
      </c>
      <c r="F61" t="s">
        <v>143</v>
      </c>
      <c r="G61" s="31">
        <v>0.51290000000000002</v>
      </c>
      <c r="H61" s="31">
        <v>0.55889999999999995</v>
      </c>
      <c r="I61" t="s">
        <v>1954</v>
      </c>
      <c r="J61" t="s">
        <v>1954</v>
      </c>
      <c r="K61">
        <v>5197158</v>
      </c>
      <c r="L61">
        <v>35343927</v>
      </c>
      <c r="M61" s="32">
        <v>6.8006000000000002</v>
      </c>
      <c r="N61" t="s">
        <v>281</v>
      </c>
      <c r="O61" t="s">
        <v>368</v>
      </c>
      <c r="P61">
        <v>830</v>
      </c>
      <c r="Q61" t="s">
        <v>1958</v>
      </c>
      <c r="R61" t="s">
        <v>21</v>
      </c>
      <c r="S61" t="s">
        <v>22</v>
      </c>
      <c r="T61">
        <f t="shared" si="0"/>
        <v>46333.299999999996</v>
      </c>
    </row>
    <row r="62" spans="1:20" x14ac:dyDescent="0.25">
      <c r="A62" t="s">
        <v>1082</v>
      </c>
      <c r="B62" t="s">
        <v>244</v>
      </c>
      <c r="C62">
        <v>2</v>
      </c>
      <c r="D62">
        <v>58420</v>
      </c>
      <c r="E62" t="s">
        <v>2101</v>
      </c>
      <c r="F62" t="s">
        <v>143</v>
      </c>
      <c r="G62" s="31">
        <v>0.51290000000000002</v>
      </c>
      <c r="H62" s="31">
        <v>0.55889999999999995</v>
      </c>
      <c r="I62" t="s">
        <v>1954</v>
      </c>
      <c r="J62" t="s">
        <v>1954</v>
      </c>
      <c r="K62">
        <v>5197158</v>
      </c>
      <c r="L62">
        <v>35343927</v>
      </c>
      <c r="M62" s="32">
        <v>6.8006000000000002</v>
      </c>
      <c r="N62" t="s">
        <v>281</v>
      </c>
      <c r="O62" t="s">
        <v>368</v>
      </c>
      <c r="P62">
        <v>830</v>
      </c>
      <c r="Q62" t="s">
        <v>1958</v>
      </c>
      <c r="R62" t="s">
        <v>21</v>
      </c>
      <c r="S62" t="s">
        <v>22</v>
      </c>
      <c r="T62">
        <f t="shared" si="0"/>
        <v>47163.299999999996</v>
      </c>
    </row>
    <row r="63" spans="1:20" x14ac:dyDescent="0.25">
      <c r="A63" t="s">
        <v>1234</v>
      </c>
      <c r="B63" t="s">
        <v>244</v>
      </c>
      <c r="C63">
        <v>3</v>
      </c>
      <c r="D63">
        <v>58420</v>
      </c>
      <c r="E63" t="s">
        <v>2101</v>
      </c>
      <c r="F63" t="s">
        <v>143</v>
      </c>
      <c r="G63" s="31">
        <v>0.49690000000000001</v>
      </c>
      <c r="H63" s="31">
        <v>0.54290000000000005</v>
      </c>
      <c r="I63" t="s">
        <v>1954</v>
      </c>
      <c r="J63" t="s">
        <v>1954</v>
      </c>
      <c r="K63">
        <v>5197158</v>
      </c>
      <c r="L63">
        <v>35343927</v>
      </c>
      <c r="M63" s="32">
        <v>6.8006000000000002</v>
      </c>
      <c r="N63" t="s">
        <v>281</v>
      </c>
      <c r="O63" t="s">
        <v>368</v>
      </c>
      <c r="P63">
        <v>830</v>
      </c>
      <c r="Q63" t="s">
        <v>1958</v>
      </c>
      <c r="R63" t="s">
        <v>21</v>
      </c>
      <c r="S63" t="s">
        <v>22</v>
      </c>
      <c r="T63">
        <f t="shared" si="0"/>
        <v>47993.299999999996</v>
      </c>
    </row>
    <row r="64" spans="1:20" x14ac:dyDescent="0.25">
      <c r="A64" t="s">
        <v>1452</v>
      </c>
      <c r="B64" t="s">
        <v>244</v>
      </c>
      <c r="C64">
        <v>2</v>
      </c>
      <c r="D64">
        <v>628</v>
      </c>
      <c r="E64" t="s">
        <v>2142</v>
      </c>
      <c r="F64" t="s">
        <v>1364</v>
      </c>
      <c r="G64" s="31">
        <v>0.53459999999999996</v>
      </c>
      <c r="H64" s="31">
        <v>0.46260000000000001</v>
      </c>
      <c r="I64" t="s">
        <v>1954</v>
      </c>
      <c r="J64" t="s">
        <v>1954</v>
      </c>
      <c r="K64">
        <v>11470840</v>
      </c>
      <c r="L64">
        <v>78208744</v>
      </c>
      <c r="M64" s="32">
        <v>6.8179999999999996</v>
      </c>
      <c r="N64" t="s">
        <v>331</v>
      </c>
      <c r="O64" t="s">
        <v>2143</v>
      </c>
      <c r="P64">
        <v>1617</v>
      </c>
      <c r="Q64" t="s">
        <v>1958</v>
      </c>
      <c r="R64" t="s">
        <v>21</v>
      </c>
      <c r="S64" t="s">
        <v>22</v>
      </c>
      <c r="T64">
        <f t="shared" si="0"/>
        <v>49610.299999999996</v>
      </c>
    </row>
    <row r="65" spans="1:20" x14ac:dyDescent="0.25">
      <c r="A65" t="s">
        <v>629</v>
      </c>
      <c r="B65" t="s">
        <v>244</v>
      </c>
      <c r="C65">
        <v>3</v>
      </c>
      <c r="D65">
        <v>991</v>
      </c>
      <c r="E65" t="s">
        <v>2033</v>
      </c>
      <c r="F65" t="s">
        <v>131</v>
      </c>
      <c r="G65" s="31">
        <v>0.48580000000000001</v>
      </c>
      <c r="H65" s="31">
        <v>0.53180000000000005</v>
      </c>
      <c r="I65" t="s">
        <v>1954</v>
      </c>
      <c r="J65" t="s">
        <v>1954</v>
      </c>
      <c r="K65">
        <v>5560122</v>
      </c>
      <c r="L65">
        <v>38081789</v>
      </c>
      <c r="M65" s="32">
        <v>6.8491</v>
      </c>
      <c r="N65" t="s">
        <v>331</v>
      </c>
      <c r="O65" t="s">
        <v>2034</v>
      </c>
      <c r="P65">
        <v>673</v>
      </c>
      <c r="Q65" t="s">
        <v>1958</v>
      </c>
      <c r="R65" t="s">
        <v>21</v>
      </c>
      <c r="S65" t="s">
        <v>22</v>
      </c>
      <c r="T65">
        <f t="shared" si="0"/>
        <v>50283.299999999996</v>
      </c>
    </row>
    <row r="66" spans="1:20" x14ac:dyDescent="0.25">
      <c r="A66" t="s">
        <v>631</v>
      </c>
      <c r="B66" t="s">
        <v>244</v>
      </c>
      <c r="C66">
        <v>3</v>
      </c>
      <c r="D66">
        <v>991</v>
      </c>
      <c r="E66" t="s">
        <v>2033</v>
      </c>
      <c r="F66" t="s">
        <v>131</v>
      </c>
      <c r="G66" s="31">
        <v>0.48580000000000001</v>
      </c>
      <c r="H66" s="31">
        <v>0.53180000000000005</v>
      </c>
      <c r="I66" t="s">
        <v>1954</v>
      </c>
      <c r="J66" t="s">
        <v>1954</v>
      </c>
      <c r="K66">
        <v>5560122</v>
      </c>
      <c r="L66">
        <v>38081789</v>
      </c>
      <c r="M66" s="32">
        <v>6.8491</v>
      </c>
      <c r="N66" t="s">
        <v>331</v>
      </c>
      <c r="O66" t="s">
        <v>2034</v>
      </c>
      <c r="P66">
        <v>673</v>
      </c>
      <c r="Q66" t="s">
        <v>1958</v>
      </c>
      <c r="R66" t="s">
        <v>21</v>
      </c>
      <c r="S66" t="s">
        <v>22</v>
      </c>
      <c r="T66">
        <f t="shared" si="0"/>
        <v>50956.299999999996</v>
      </c>
    </row>
    <row r="67" spans="1:20" x14ac:dyDescent="0.25">
      <c r="A67" t="s">
        <v>632</v>
      </c>
      <c r="B67" t="s">
        <v>244</v>
      </c>
      <c r="C67">
        <v>3</v>
      </c>
      <c r="D67">
        <v>991</v>
      </c>
      <c r="E67" t="s">
        <v>2033</v>
      </c>
      <c r="F67" t="s">
        <v>131</v>
      </c>
      <c r="G67" s="31">
        <v>0.48580000000000001</v>
      </c>
      <c r="H67" s="31">
        <v>0.53180000000000005</v>
      </c>
      <c r="I67" t="s">
        <v>1954</v>
      </c>
      <c r="J67" t="s">
        <v>1954</v>
      </c>
      <c r="K67">
        <v>5560122</v>
      </c>
      <c r="L67">
        <v>38081789</v>
      </c>
      <c r="M67" s="32">
        <v>6.8491</v>
      </c>
      <c r="N67" t="s">
        <v>331</v>
      </c>
      <c r="O67" t="s">
        <v>2034</v>
      </c>
      <c r="P67">
        <v>673</v>
      </c>
      <c r="Q67" t="s">
        <v>1958</v>
      </c>
      <c r="R67" t="s">
        <v>21</v>
      </c>
      <c r="S67" t="s">
        <v>22</v>
      </c>
      <c r="T67">
        <f t="shared" si="0"/>
        <v>51629.299999999996</v>
      </c>
    </row>
    <row r="68" spans="1:20" x14ac:dyDescent="0.25">
      <c r="A68" t="s">
        <v>633</v>
      </c>
      <c r="B68" t="s">
        <v>244</v>
      </c>
      <c r="C68">
        <v>3</v>
      </c>
      <c r="D68">
        <v>991</v>
      </c>
      <c r="E68" t="s">
        <v>2033</v>
      </c>
      <c r="F68" t="s">
        <v>131</v>
      </c>
      <c r="G68" s="31">
        <v>0.48580000000000001</v>
      </c>
      <c r="H68" s="31">
        <v>0.53180000000000005</v>
      </c>
      <c r="I68" t="s">
        <v>1954</v>
      </c>
      <c r="J68" t="s">
        <v>1954</v>
      </c>
      <c r="K68">
        <v>5560122</v>
      </c>
      <c r="L68">
        <v>38081789</v>
      </c>
      <c r="M68" s="32">
        <v>6.8491</v>
      </c>
      <c r="N68" t="s">
        <v>331</v>
      </c>
      <c r="O68" t="s">
        <v>2034</v>
      </c>
      <c r="P68">
        <v>673</v>
      </c>
      <c r="Q68" t="s">
        <v>1958</v>
      </c>
      <c r="R68" t="s">
        <v>21</v>
      </c>
      <c r="S68" t="s">
        <v>22</v>
      </c>
      <c r="T68">
        <f t="shared" ref="T68:T131" si="1">T67+P68</f>
        <v>52302.299999999996</v>
      </c>
    </row>
    <row r="69" spans="1:20" x14ac:dyDescent="0.25">
      <c r="A69" t="s">
        <v>1316</v>
      </c>
      <c r="B69" t="s">
        <v>244</v>
      </c>
      <c r="C69">
        <v>1</v>
      </c>
      <c r="D69">
        <v>59764</v>
      </c>
      <c r="E69" t="s">
        <v>1317</v>
      </c>
      <c r="F69" t="s">
        <v>322</v>
      </c>
      <c r="G69" s="31">
        <v>0.76639999999999997</v>
      </c>
      <c r="H69" s="31">
        <v>0.81240000000000001</v>
      </c>
      <c r="I69" t="s">
        <v>1954</v>
      </c>
      <c r="J69" t="s">
        <v>1954</v>
      </c>
      <c r="K69">
        <v>5609595</v>
      </c>
      <c r="L69">
        <v>38551684</v>
      </c>
      <c r="M69" s="32">
        <v>6.8724999999999996</v>
      </c>
      <c r="N69" t="s">
        <v>331</v>
      </c>
      <c r="O69" t="s">
        <v>1318</v>
      </c>
      <c r="P69">
        <v>816.9</v>
      </c>
      <c r="Q69" s="33" t="s">
        <v>1956</v>
      </c>
      <c r="R69" t="s">
        <v>21</v>
      </c>
      <c r="S69" t="s">
        <v>22</v>
      </c>
      <c r="T69">
        <f t="shared" si="1"/>
        <v>53119.199999999997</v>
      </c>
    </row>
    <row r="70" spans="1:20" x14ac:dyDescent="0.25">
      <c r="A70" t="s">
        <v>1754</v>
      </c>
      <c r="B70" t="s">
        <v>244</v>
      </c>
      <c r="C70">
        <v>2</v>
      </c>
      <c r="D70">
        <v>4040</v>
      </c>
      <c r="E70" t="s">
        <v>2190</v>
      </c>
      <c r="F70" t="s">
        <v>1975</v>
      </c>
      <c r="G70" s="31">
        <v>0.85899999999999999</v>
      </c>
      <c r="H70" s="31">
        <v>0.78700000000000003</v>
      </c>
      <c r="I70" t="s">
        <v>1954</v>
      </c>
      <c r="J70" t="s">
        <v>1954</v>
      </c>
      <c r="K70">
        <v>7260771</v>
      </c>
      <c r="L70">
        <v>49911548</v>
      </c>
      <c r="M70" s="32">
        <v>6.8741000000000003</v>
      </c>
      <c r="N70" t="s">
        <v>331</v>
      </c>
      <c r="O70" t="s">
        <v>2191</v>
      </c>
      <c r="P70">
        <v>1236.5</v>
      </c>
      <c r="Q70" t="s">
        <v>1958</v>
      </c>
      <c r="R70" t="s">
        <v>21</v>
      </c>
      <c r="S70" t="s">
        <v>22</v>
      </c>
      <c r="T70">
        <f t="shared" si="1"/>
        <v>54355.7</v>
      </c>
    </row>
    <row r="71" spans="1:20" x14ac:dyDescent="0.25">
      <c r="A71" t="s">
        <v>1756</v>
      </c>
      <c r="B71" t="s">
        <v>244</v>
      </c>
      <c r="C71">
        <v>2</v>
      </c>
      <c r="D71">
        <v>4040</v>
      </c>
      <c r="E71" t="s">
        <v>2190</v>
      </c>
      <c r="F71" t="s">
        <v>1975</v>
      </c>
      <c r="G71" s="31">
        <v>0.85899999999999999</v>
      </c>
      <c r="H71" s="31">
        <v>0.78700000000000003</v>
      </c>
      <c r="I71" t="s">
        <v>1954</v>
      </c>
      <c r="J71" t="s">
        <v>1954</v>
      </c>
      <c r="K71">
        <v>7260771</v>
      </c>
      <c r="L71">
        <v>49911548</v>
      </c>
      <c r="M71" s="32">
        <v>6.8741000000000003</v>
      </c>
      <c r="N71" t="s">
        <v>331</v>
      </c>
      <c r="O71" t="s">
        <v>2191</v>
      </c>
      <c r="P71">
        <v>1236.5</v>
      </c>
      <c r="Q71" t="s">
        <v>1958</v>
      </c>
      <c r="R71" t="s">
        <v>21</v>
      </c>
      <c r="S71" t="s">
        <v>22</v>
      </c>
      <c r="T71">
        <f t="shared" si="1"/>
        <v>55592.2</v>
      </c>
    </row>
    <row r="72" spans="1:20" x14ac:dyDescent="0.25">
      <c r="A72" t="s">
        <v>1757</v>
      </c>
      <c r="B72" t="s">
        <v>244</v>
      </c>
      <c r="C72">
        <v>2</v>
      </c>
      <c r="D72">
        <v>4040</v>
      </c>
      <c r="E72" t="s">
        <v>2190</v>
      </c>
      <c r="F72" t="s">
        <v>1975</v>
      </c>
      <c r="G72" s="31">
        <v>0.85899999999999999</v>
      </c>
      <c r="H72" s="31">
        <v>0.78700000000000003</v>
      </c>
      <c r="I72" t="s">
        <v>1954</v>
      </c>
      <c r="J72" t="s">
        <v>1954</v>
      </c>
      <c r="K72">
        <v>7260771</v>
      </c>
      <c r="L72">
        <v>49911548</v>
      </c>
      <c r="M72" s="32">
        <v>6.8741000000000003</v>
      </c>
      <c r="N72" t="s">
        <v>331</v>
      </c>
      <c r="O72" t="s">
        <v>2191</v>
      </c>
      <c r="P72">
        <v>1236.5</v>
      </c>
      <c r="Q72" t="s">
        <v>1958</v>
      </c>
      <c r="R72" t="s">
        <v>21</v>
      </c>
      <c r="S72" t="s">
        <v>22</v>
      </c>
      <c r="T72">
        <f t="shared" si="1"/>
        <v>56828.7</v>
      </c>
    </row>
    <row r="73" spans="1:20" x14ac:dyDescent="0.25">
      <c r="A73" t="s">
        <v>338</v>
      </c>
      <c r="B73" t="s">
        <v>244</v>
      </c>
      <c r="C73">
        <v>3</v>
      </c>
      <c r="D73">
        <v>55939</v>
      </c>
      <c r="E73" t="s">
        <v>1749</v>
      </c>
      <c r="F73" t="s">
        <v>201</v>
      </c>
      <c r="G73" s="31">
        <v>0.48449999999999999</v>
      </c>
      <c r="H73" s="31">
        <v>0.53049999999999997</v>
      </c>
      <c r="I73" t="s">
        <v>1954</v>
      </c>
      <c r="J73" t="s">
        <v>1954</v>
      </c>
      <c r="K73">
        <v>8696953</v>
      </c>
      <c r="L73">
        <v>60111851</v>
      </c>
      <c r="M73" s="32">
        <v>6.9118000000000004</v>
      </c>
      <c r="N73" t="s">
        <v>340</v>
      </c>
      <c r="O73" t="s">
        <v>341</v>
      </c>
      <c r="P73">
        <v>1369.9</v>
      </c>
      <c r="Q73" t="s">
        <v>1958</v>
      </c>
      <c r="R73" t="s">
        <v>21</v>
      </c>
      <c r="S73" t="s">
        <v>22</v>
      </c>
      <c r="T73">
        <f t="shared" si="1"/>
        <v>58198.6</v>
      </c>
    </row>
    <row r="74" spans="1:20" x14ac:dyDescent="0.25">
      <c r="A74" t="s">
        <v>363</v>
      </c>
      <c r="B74" t="s">
        <v>244</v>
      </c>
      <c r="C74">
        <v>3</v>
      </c>
      <c r="D74">
        <v>55939</v>
      </c>
      <c r="E74" t="s">
        <v>1749</v>
      </c>
      <c r="F74" t="s">
        <v>201</v>
      </c>
      <c r="G74" s="31">
        <v>0.49</v>
      </c>
      <c r="H74" s="31">
        <v>0.53600000000000003</v>
      </c>
      <c r="I74" t="s">
        <v>1954</v>
      </c>
      <c r="J74" t="s">
        <v>1954</v>
      </c>
      <c r="K74">
        <v>8696953</v>
      </c>
      <c r="L74">
        <v>60111851</v>
      </c>
      <c r="M74" s="32">
        <v>6.9118000000000004</v>
      </c>
      <c r="N74" t="s">
        <v>340</v>
      </c>
      <c r="O74" t="s">
        <v>341</v>
      </c>
      <c r="P74">
        <v>1369.9</v>
      </c>
      <c r="Q74" t="s">
        <v>1958</v>
      </c>
      <c r="R74" t="s">
        <v>21</v>
      </c>
      <c r="S74" t="s">
        <v>22</v>
      </c>
      <c r="T74">
        <f t="shared" si="1"/>
        <v>59568.5</v>
      </c>
    </row>
    <row r="75" spans="1:20" x14ac:dyDescent="0.25">
      <c r="A75" t="s">
        <v>385</v>
      </c>
      <c r="B75" t="s">
        <v>244</v>
      </c>
      <c r="C75">
        <v>3</v>
      </c>
      <c r="D75">
        <v>55939</v>
      </c>
      <c r="E75" t="s">
        <v>1749</v>
      </c>
      <c r="F75" t="s">
        <v>201</v>
      </c>
      <c r="G75" s="31">
        <v>0.49</v>
      </c>
      <c r="H75" s="31">
        <v>0.53600000000000003</v>
      </c>
      <c r="I75" t="s">
        <v>1954</v>
      </c>
      <c r="J75" t="s">
        <v>1954</v>
      </c>
      <c r="K75">
        <v>8696953</v>
      </c>
      <c r="L75">
        <v>60111851</v>
      </c>
      <c r="M75" s="32">
        <v>6.9118000000000004</v>
      </c>
      <c r="N75" t="s">
        <v>340</v>
      </c>
      <c r="O75" t="s">
        <v>341</v>
      </c>
      <c r="P75">
        <v>1369.9</v>
      </c>
      <c r="Q75" t="s">
        <v>1958</v>
      </c>
      <c r="R75" t="s">
        <v>21</v>
      </c>
      <c r="S75" t="s">
        <v>22</v>
      </c>
      <c r="T75">
        <f t="shared" si="1"/>
        <v>60938.400000000001</v>
      </c>
    </row>
    <row r="76" spans="1:20" x14ac:dyDescent="0.25">
      <c r="A76" t="s">
        <v>388</v>
      </c>
      <c r="B76" t="s">
        <v>244</v>
      </c>
      <c r="C76">
        <v>3</v>
      </c>
      <c r="D76">
        <v>55939</v>
      </c>
      <c r="E76" t="s">
        <v>1749</v>
      </c>
      <c r="F76" t="s">
        <v>201</v>
      </c>
      <c r="G76" s="31">
        <v>0.5</v>
      </c>
      <c r="H76" s="31">
        <v>0.54600000000000004</v>
      </c>
      <c r="I76" t="s">
        <v>1954</v>
      </c>
      <c r="J76" t="s">
        <v>1954</v>
      </c>
      <c r="K76">
        <v>8696953</v>
      </c>
      <c r="L76">
        <v>60111851</v>
      </c>
      <c r="M76" s="32">
        <v>6.9118000000000004</v>
      </c>
      <c r="N76" t="s">
        <v>340</v>
      </c>
      <c r="O76" t="s">
        <v>341</v>
      </c>
      <c r="P76">
        <v>1369.9</v>
      </c>
      <c r="Q76" t="s">
        <v>1958</v>
      </c>
      <c r="R76" t="s">
        <v>21</v>
      </c>
      <c r="S76" t="s">
        <v>22</v>
      </c>
      <c r="T76">
        <f t="shared" si="1"/>
        <v>62308.3</v>
      </c>
    </row>
    <row r="77" spans="1:20" x14ac:dyDescent="0.25">
      <c r="A77" t="s">
        <v>850</v>
      </c>
      <c r="B77" t="s">
        <v>244</v>
      </c>
      <c r="C77">
        <v>2</v>
      </c>
      <c r="D77">
        <v>55939</v>
      </c>
      <c r="E77" t="s">
        <v>1749</v>
      </c>
      <c r="F77" t="s">
        <v>201</v>
      </c>
      <c r="G77" s="31">
        <v>0.54849999999999999</v>
      </c>
      <c r="H77" s="31">
        <v>0.59450000000000003</v>
      </c>
      <c r="I77" t="s">
        <v>1954</v>
      </c>
      <c r="J77" t="s">
        <v>1954</v>
      </c>
      <c r="K77">
        <v>8696953</v>
      </c>
      <c r="L77">
        <v>60111851</v>
      </c>
      <c r="M77" s="32">
        <v>6.9118000000000004</v>
      </c>
      <c r="N77" t="s">
        <v>340</v>
      </c>
      <c r="O77" t="s">
        <v>341</v>
      </c>
      <c r="P77">
        <v>1369.9</v>
      </c>
      <c r="Q77" t="s">
        <v>1958</v>
      </c>
      <c r="R77" t="s">
        <v>21</v>
      </c>
      <c r="S77" t="s">
        <v>22</v>
      </c>
      <c r="T77">
        <f t="shared" si="1"/>
        <v>63678.200000000004</v>
      </c>
    </row>
    <row r="78" spans="1:20" x14ac:dyDescent="0.25">
      <c r="A78" t="s">
        <v>853</v>
      </c>
      <c r="B78" t="s">
        <v>244</v>
      </c>
      <c r="C78">
        <v>3</v>
      </c>
      <c r="D78">
        <v>55939</v>
      </c>
      <c r="E78" t="s">
        <v>1749</v>
      </c>
      <c r="F78" t="s">
        <v>201</v>
      </c>
      <c r="G78" s="31">
        <v>0.52610000000000001</v>
      </c>
      <c r="H78" s="31">
        <v>0.57210000000000005</v>
      </c>
      <c r="I78" t="s">
        <v>1954</v>
      </c>
      <c r="J78" t="s">
        <v>1954</v>
      </c>
      <c r="K78">
        <v>8696953</v>
      </c>
      <c r="L78">
        <v>60111851</v>
      </c>
      <c r="M78" s="32">
        <v>6.9118000000000004</v>
      </c>
      <c r="N78" t="s">
        <v>340</v>
      </c>
      <c r="O78" t="s">
        <v>341</v>
      </c>
      <c r="P78">
        <v>1369.9</v>
      </c>
      <c r="Q78" t="s">
        <v>1958</v>
      </c>
      <c r="R78" t="s">
        <v>21</v>
      </c>
      <c r="S78" t="s">
        <v>22</v>
      </c>
      <c r="T78">
        <f t="shared" si="1"/>
        <v>65048.100000000006</v>
      </c>
    </row>
    <row r="79" spans="1:20" x14ac:dyDescent="0.25">
      <c r="A79" t="s">
        <v>863</v>
      </c>
      <c r="B79" t="s">
        <v>244</v>
      </c>
      <c r="C79">
        <v>3</v>
      </c>
      <c r="D79">
        <v>55939</v>
      </c>
      <c r="E79" t="s">
        <v>1749</v>
      </c>
      <c r="F79" t="s">
        <v>201</v>
      </c>
      <c r="G79" s="31">
        <v>0.52569999999999995</v>
      </c>
      <c r="H79" s="31">
        <v>0.57169999999999999</v>
      </c>
      <c r="I79" t="s">
        <v>1954</v>
      </c>
      <c r="J79" t="s">
        <v>1954</v>
      </c>
      <c r="K79">
        <v>8696953</v>
      </c>
      <c r="L79">
        <v>60111851</v>
      </c>
      <c r="M79" s="32">
        <v>6.9118000000000004</v>
      </c>
      <c r="N79" t="s">
        <v>340</v>
      </c>
      <c r="O79" t="s">
        <v>341</v>
      </c>
      <c r="P79">
        <v>1369.9</v>
      </c>
      <c r="Q79" t="s">
        <v>1958</v>
      </c>
      <c r="R79" t="s">
        <v>21</v>
      </c>
      <c r="S79" t="s">
        <v>22</v>
      </c>
      <c r="T79">
        <f t="shared" si="1"/>
        <v>66418</v>
      </c>
    </row>
    <row r="80" spans="1:20" x14ac:dyDescent="0.25">
      <c r="A80" t="s">
        <v>867</v>
      </c>
      <c r="B80" t="s">
        <v>244</v>
      </c>
      <c r="C80">
        <v>3</v>
      </c>
      <c r="D80">
        <v>55939</v>
      </c>
      <c r="E80" t="s">
        <v>1749</v>
      </c>
      <c r="F80" t="s">
        <v>201</v>
      </c>
      <c r="G80" s="31">
        <v>0.52569999999999995</v>
      </c>
      <c r="H80" s="31">
        <v>0.57169999999999999</v>
      </c>
      <c r="I80" t="s">
        <v>1954</v>
      </c>
      <c r="J80" t="s">
        <v>1954</v>
      </c>
      <c r="K80">
        <v>8696953</v>
      </c>
      <c r="L80">
        <v>60111851</v>
      </c>
      <c r="M80" s="32">
        <v>6.9118000000000004</v>
      </c>
      <c r="N80" t="s">
        <v>340</v>
      </c>
      <c r="O80" t="s">
        <v>341</v>
      </c>
      <c r="P80">
        <v>1369.9</v>
      </c>
      <c r="Q80" t="s">
        <v>1958</v>
      </c>
      <c r="R80" t="s">
        <v>21</v>
      </c>
      <c r="S80" t="s">
        <v>22</v>
      </c>
      <c r="T80">
        <f t="shared" si="1"/>
        <v>67787.899999999994</v>
      </c>
    </row>
    <row r="81" spans="1:20" x14ac:dyDescent="0.25">
      <c r="A81" t="s">
        <v>868</v>
      </c>
      <c r="B81" t="s">
        <v>244</v>
      </c>
      <c r="C81">
        <v>3</v>
      </c>
      <c r="D81">
        <v>55939</v>
      </c>
      <c r="E81" t="s">
        <v>1749</v>
      </c>
      <c r="F81" t="s">
        <v>201</v>
      </c>
      <c r="G81" s="31">
        <v>0.52569999999999995</v>
      </c>
      <c r="H81" s="31">
        <v>0.57169999999999999</v>
      </c>
      <c r="I81" t="s">
        <v>1954</v>
      </c>
      <c r="J81" t="s">
        <v>1954</v>
      </c>
      <c r="K81">
        <v>8696953</v>
      </c>
      <c r="L81">
        <v>60111851</v>
      </c>
      <c r="M81" s="32">
        <v>6.9118000000000004</v>
      </c>
      <c r="N81" t="s">
        <v>340</v>
      </c>
      <c r="O81" t="s">
        <v>341</v>
      </c>
      <c r="P81">
        <v>1369.9</v>
      </c>
      <c r="Q81" t="s">
        <v>1958</v>
      </c>
      <c r="R81" t="s">
        <v>21</v>
      </c>
      <c r="S81" t="s">
        <v>22</v>
      </c>
      <c r="T81">
        <f t="shared" si="1"/>
        <v>69157.799999999988</v>
      </c>
    </row>
    <row r="82" spans="1:20" x14ac:dyDescent="0.25">
      <c r="A82" t="s">
        <v>1033</v>
      </c>
      <c r="B82" t="s">
        <v>244</v>
      </c>
      <c r="C82">
        <v>2</v>
      </c>
      <c r="D82">
        <v>55939</v>
      </c>
      <c r="E82" t="s">
        <v>1749</v>
      </c>
      <c r="F82" t="s">
        <v>201</v>
      </c>
      <c r="G82" s="31">
        <v>0.53</v>
      </c>
      <c r="H82" s="31">
        <v>0.57599999999999996</v>
      </c>
      <c r="I82" t="s">
        <v>1954</v>
      </c>
      <c r="J82" t="s">
        <v>1954</v>
      </c>
      <c r="K82">
        <v>8696953</v>
      </c>
      <c r="L82">
        <v>60111851</v>
      </c>
      <c r="M82" s="32">
        <v>6.9118000000000004</v>
      </c>
      <c r="N82" t="s">
        <v>340</v>
      </c>
      <c r="O82" t="s">
        <v>341</v>
      </c>
      <c r="P82">
        <v>1369.9</v>
      </c>
      <c r="Q82" t="s">
        <v>1958</v>
      </c>
      <c r="R82" t="s">
        <v>21</v>
      </c>
      <c r="S82" t="s">
        <v>22</v>
      </c>
      <c r="T82">
        <f t="shared" si="1"/>
        <v>70527.699999999983</v>
      </c>
    </row>
    <row r="83" spans="1:20" x14ac:dyDescent="0.25">
      <c r="A83" t="s">
        <v>1035</v>
      </c>
      <c r="B83" t="s">
        <v>244</v>
      </c>
      <c r="C83">
        <v>2</v>
      </c>
      <c r="D83">
        <v>55939</v>
      </c>
      <c r="E83" t="s">
        <v>1749</v>
      </c>
      <c r="F83" t="s">
        <v>201</v>
      </c>
      <c r="G83" s="31">
        <v>0.53</v>
      </c>
      <c r="H83" s="31">
        <v>0.57599999999999996</v>
      </c>
      <c r="I83" t="s">
        <v>1954</v>
      </c>
      <c r="J83" t="s">
        <v>1954</v>
      </c>
      <c r="K83">
        <v>8696953</v>
      </c>
      <c r="L83">
        <v>60111851</v>
      </c>
      <c r="M83" s="32">
        <v>6.9118000000000004</v>
      </c>
      <c r="N83" t="s">
        <v>340</v>
      </c>
      <c r="O83" t="s">
        <v>341</v>
      </c>
      <c r="P83">
        <v>1369.9</v>
      </c>
      <c r="Q83" t="s">
        <v>1958</v>
      </c>
      <c r="R83" t="s">
        <v>21</v>
      </c>
      <c r="S83" t="s">
        <v>22</v>
      </c>
      <c r="T83">
        <f t="shared" si="1"/>
        <v>71897.599999999977</v>
      </c>
    </row>
    <row r="84" spans="1:20" x14ac:dyDescent="0.25">
      <c r="A84" t="s">
        <v>1036</v>
      </c>
      <c r="B84" t="s">
        <v>244</v>
      </c>
      <c r="C84">
        <v>2</v>
      </c>
      <c r="D84">
        <v>55939</v>
      </c>
      <c r="E84" t="s">
        <v>1749</v>
      </c>
      <c r="F84" t="s">
        <v>201</v>
      </c>
      <c r="G84" s="31">
        <v>0.53</v>
      </c>
      <c r="H84" s="31">
        <v>0.57599999999999996</v>
      </c>
      <c r="I84" t="s">
        <v>1954</v>
      </c>
      <c r="J84" t="s">
        <v>1954</v>
      </c>
      <c r="K84">
        <v>8696953</v>
      </c>
      <c r="L84">
        <v>60111851</v>
      </c>
      <c r="M84" s="32">
        <v>6.9118000000000004</v>
      </c>
      <c r="N84" t="s">
        <v>340</v>
      </c>
      <c r="O84" t="s">
        <v>341</v>
      </c>
      <c r="P84">
        <v>1369.9</v>
      </c>
      <c r="Q84" t="s">
        <v>1958</v>
      </c>
      <c r="R84" t="s">
        <v>21</v>
      </c>
      <c r="S84" t="s">
        <v>22</v>
      </c>
      <c r="T84">
        <f t="shared" si="1"/>
        <v>73267.499999999971</v>
      </c>
    </row>
    <row r="85" spans="1:20" x14ac:dyDescent="0.25">
      <c r="A85" t="s">
        <v>1637</v>
      </c>
      <c r="B85" t="s">
        <v>244</v>
      </c>
      <c r="C85">
        <v>2</v>
      </c>
      <c r="D85">
        <v>55939</v>
      </c>
      <c r="E85" t="s">
        <v>1749</v>
      </c>
      <c r="F85" t="s">
        <v>201</v>
      </c>
      <c r="G85" s="31">
        <v>0.52080000000000004</v>
      </c>
      <c r="H85" s="31">
        <v>0.56679999999999997</v>
      </c>
      <c r="I85" t="s">
        <v>1954</v>
      </c>
      <c r="J85" t="s">
        <v>1954</v>
      </c>
      <c r="K85">
        <v>8696953</v>
      </c>
      <c r="L85">
        <v>60111851</v>
      </c>
      <c r="M85" s="32">
        <v>6.9118000000000004</v>
      </c>
      <c r="N85" t="s">
        <v>340</v>
      </c>
      <c r="O85" t="s">
        <v>341</v>
      </c>
      <c r="P85">
        <v>1369.9</v>
      </c>
      <c r="Q85" t="s">
        <v>1958</v>
      </c>
      <c r="R85" t="s">
        <v>21</v>
      </c>
      <c r="S85" t="s">
        <v>22</v>
      </c>
      <c r="T85">
        <f t="shared" si="1"/>
        <v>74637.399999999965</v>
      </c>
    </row>
    <row r="86" spans="1:20" x14ac:dyDescent="0.25">
      <c r="A86" t="s">
        <v>1748</v>
      </c>
      <c r="B86" t="s">
        <v>244</v>
      </c>
      <c r="C86">
        <v>1</v>
      </c>
      <c r="D86">
        <v>55939</v>
      </c>
      <c r="E86" t="s">
        <v>1749</v>
      </c>
      <c r="F86" t="s">
        <v>201</v>
      </c>
      <c r="G86" s="31">
        <v>1</v>
      </c>
      <c r="H86" s="31">
        <v>1</v>
      </c>
      <c r="I86" t="s">
        <v>1954</v>
      </c>
      <c r="J86" t="s">
        <v>1954</v>
      </c>
      <c r="K86">
        <v>8696953</v>
      </c>
      <c r="L86">
        <v>60111851</v>
      </c>
      <c r="M86" s="32">
        <v>6.9118000000000004</v>
      </c>
      <c r="N86" t="s">
        <v>340</v>
      </c>
      <c r="O86" t="s">
        <v>341</v>
      </c>
      <c r="P86">
        <v>1369.9</v>
      </c>
      <c r="Q86" s="33" t="s">
        <v>1955</v>
      </c>
      <c r="R86" t="s">
        <v>21</v>
      </c>
      <c r="S86" t="s">
        <v>22</v>
      </c>
      <c r="T86">
        <f t="shared" si="1"/>
        <v>76007.299999999959</v>
      </c>
    </row>
    <row r="87" spans="1:20" x14ac:dyDescent="0.25">
      <c r="A87" t="s">
        <v>1843</v>
      </c>
      <c r="B87" t="s">
        <v>244</v>
      </c>
      <c r="C87">
        <v>2</v>
      </c>
      <c r="D87">
        <v>55939</v>
      </c>
      <c r="E87" t="s">
        <v>1749</v>
      </c>
      <c r="F87" t="s">
        <v>201</v>
      </c>
      <c r="G87" s="31">
        <v>0.53</v>
      </c>
      <c r="H87" s="31">
        <v>0.57599999999999996</v>
      </c>
      <c r="I87" t="s">
        <v>1954</v>
      </c>
      <c r="J87" t="s">
        <v>1954</v>
      </c>
      <c r="K87">
        <v>8696953</v>
      </c>
      <c r="L87">
        <v>60111851</v>
      </c>
      <c r="M87" s="32">
        <v>6.9118000000000004</v>
      </c>
      <c r="N87" t="s">
        <v>340</v>
      </c>
      <c r="O87" t="s">
        <v>341</v>
      </c>
      <c r="P87">
        <v>1369.9</v>
      </c>
      <c r="Q87" t="s">
        <v>1958</v>
      </c>
      <c r="R87" t="s">
        <v>21</v>
      </c>
      <c r="S87" t="s">
        <v>22</v>
      </c>
      <c r="T87">
        <f t="shared" si="1"/>
        <v>77377.199999999953</v>
      </c>
    </row>
    <row r="88" spans="1:20" x14ac:dyDescent="0.25">
      <c r="A88" t="s">
        <v>1177</v>
      </c>
      <c r="B88" t="s">
        <v>244</v>
      </c>
      <c r="C88">
        <v>2</v>
      </c>
      <c r="D88">
        <v>59326</v>
      </c>
      <c r="E88" t="s">
        <v>2112</v>
      </c>
      <c r="F88" t="s">
        <v>322</v>
      </c>
      <c r="G88" s="31">
        <v>0.84830000000000005</v>
      </c>
      <c r="H88" s="31">
        <v>0.89429999999999998</v>
      </c>
      <c r="I88" t="s">
        <v>1954</v>
      </c>
      <c r="J88" t="s">
        <v>1954</v>
      </c>
      <c r="K88">
        <v>3144914</v>
      </c>
      <c r="L88">
        <v>21810563</v>
      </c>
      <c r="M88" s="32">
        <v>6.9352</v>
      </c>
      <c r="N88" t="s">
        <v>331</v>
      </c>
      <c r="O88" t="s">
        <v>2113</v>
      </c>
      <c r="P88">
        <v>462.5</v>
      </c>
      <c r="Q88" t="s">
        <v>1958</v>
      </c>
      <c r="R88" t="s">
        <v>21</v>
      </c>
      <c r="S88" t="s">
        <v>22</v>
      </c>
      <c r="T88">
        <f t="shared" si="1"/>
        <v>77839.699999999953</v>
      </c>
    </row>
    <row r="89" spans="1:20" x14ac:dyDescent="0.25">
      <c r="A89" t="s">
        <v>772</v>
      </c>
      <c r="B89" t="s">
        <v>244</v>
      </c>
      <c r="C89">
        <v>1</v>
      </c>
      <c r="D89">
        <v>7710</v>
      </c>
      <c r="E89" t="s">
        <v>2052</v>
      </c>
      <c r="F89" t="s">
        <v>477</v>
      </c>
      <c r="G89" s="31">
        <v>0.84589999999999999</v>
      </c>
      <c r="H89" s="31">
        <v>0.77390000000000003</v>
      </c>
      <c r="I89" t="s">
        <v>1954</v>
      </c>
      <c r="J89" t="s">
        <v>1954</v>
      </c>
      <c r="K89">
        <v>12061177</v>
      </c>
      <c r="L89">
        <v>84506250</v>
      </c>
      <c r="M89" s="32">
        <v>7.0065</v>
      </c>
      <c r="N89" t="s">
        <v>331</v>
      </c>
      <c r="O89" t="s">
        <v>774</v>
      </c>
      <c r="P89">
        <v>1901.8</v>
      </c>
      <c r="Q89" t="s">
        <v>1958</v>
      </c>
      <c r="R89" t="s">
        <v>21</v>
      </c>
      <c r="S89" t="s">
        <v>22</v>
      </c>
      <c r="T89">
        <f t="shared" si="1"/>
        <v>79741.499999999956</v>
      </c>
    </row>
    <row r="90" spans="1:20" x14ac:dyDescent="0.25">
      <c r="A90" t="s">
        <v>1759</v>
      </c>
      <c r="B90" t="s">
        <v>244</v>
      </c>
      <c r="C90">
        <v>1</v>
      </c>
      <c r="D90">
        <v>55503</v>
      </c>
      <c r="E90" t="s">
        <v>1760</v>
      </c>
      <c r="F90" t="s">
        <v>322</v>
      </c>
      <c r="G90" s="31">
        <v>1</v>
      </c>
      <c r="H90" s="31">
        <v>1</v>
      </c>
      <c r="I90" t="s">
        <v>1954</v>
      </c>
      <c r="J90" t="s">
        <v>1954</v>
      </c>
      <c r="K90">
        <v>5173270</v>
      </c>
      <c r="L90">
        <v>36255541</v>
      </c>
      <c r="M90" s="32">
        <v>7.0082000000000004</v>
      </c>
      <c r="N90" t="s">
        <v>331</v>
      </c>
      <c r="O90" t="s">
        <v>1761</v>
      </c>
      <c r="P90">
        <v>874.6</v>
      </c>
      <c r="Q90" s="33" t="s">
        <v>1955</v>
      </c>
      <c r="R90" t="s">
        <v>21</v>
      </c>
      <c r="S90" t="s">
        <v>22</v>
      </c>
      <c r="T90">
        <f t="shared" si="1"/>
        <v>80616.099999999962</v>
      </c>
    </row>
    <row r="91" spans="1:20" x14ac:dyDescent="0.25">
      <c r="A91" t="s">
        <v>1762</v>
      </c>
      <c r="B91" t="s">
        <v>244</v>
      </c>
      <c r="C91">
        <v>1</v>
      </c>
      <c r="D91">
        <v>55503</v>
      </c>
      <c r="E91" t="s">
        <v>1760</v>
      </c>
      <c r="F91" t="s">
        <v>322</v>
      </c>
      <c r="G91" s="31">
        <v>1</v>
      </c>
      <c r="H91" s="31">
        <v>1</v>
      </c>
      <c r="I91" t="s">
        <v>1954</v>
      </c>
      <c r="J91" t="s">
        <v>1954</v>
      </c>
      <c r="K91">
        <v>5173270</v>
      </c>
      <c r="L91">
        <v>36255541</v>
      </c>
      <c r="M91" s="32">
        <v>7.0082000000000004</v>
      </c>
      <c r="N91" t="s">
        <v>331</v>
      </c>
      <c r="O91" t="s">
        <v>1761</v>
      </c>
      <c r="P91">
        <v>874.6</v>
      </c>
      <c r="Q91" s="33" t="s">
        <v>1955</v>
      </c>
      <c r="R91" t="s">
        <v>21</v>
      </c>
      <c r="S91" t="s">
        <v>22</v>
      </c>
      <c r="T91">
        <f t="shared" si="1"/>
        <v>81490.699999999968</v>
      </c>
    </row>
    <row r="92" spans="1:20" x14ac:dyDescent="0.25">
      <c r="A92" t="s">
        <v>1763</v>
      </c>
      <c r="B92" t="s">
        <v>244</v>
      </c>
      <c r="C92">
        <v>1</v>
      </c>
      <c r="D92">
        <v>55503</v>
      </c>
      <c r="E92" t="s">
        <v>1760</v>
      </c>
      <c r="F92" t="s">
        <v>322</v>
      </c>
      <c r="G92" s="31">
        <v>1</v>
      </c>
      <c r="H92" s="31">
        <v>1</v>
      </c>
      <c r="I92" t="s">
        <v>1954</v>
      </c>
      <c r="J92" t="s">
        <v>1954</v>
      </c>
      <c r="K92">
        <v>5173270</v>
      </c>
      <c r="L92">
        <v>36255541</v>
      </c>
      <c r="M92" s="32">
        <v>7.0082000000000004</v>
      </c>
      <c r="N92" t="s">
        <v>331</v>
      </c>
      <c r="O92" t="s">
        <v>1761</v>
      </c>
      <c r="P92">
        <v>874.6</v>
      </c>
      <c r="Q92" s="33" t="s">
        <v>1955</v>
      </c>
      <c r="R92" t="s">
        <v>21</v>
      </c>
      <c r="S92" t="s">
        <v>22</v>
      </c>
      <c r="T92">
        <f t="shared" si="1"/>
        <v>82365.299999999974</v>
      </c>
    </row>
    <row r="93" spans="1:20" x14ac:dyDescent="0.25">
      <c r="A93" t="s">
        <v>1764</v>
      </c>
      <c r="B93" t="s">
        <v>244</v>
      </c>
      <c r="C93">
        <v>1</v>
      </c>
      <c r="D93">
        <v>55503</v>
      </c>
      <c r="E93" t="s">
        <v>1760</v>
      </c>
      <c r="F93" t="s">
        <v>322</v>
      </c>
      <c r="G93" s="31">
        <v>1</v>
      </c>
      <c r="H93" s="31">
        <v>1</v>
      </c>
      <c r="I93" t="s">
        <v>1954</v>
      </c>
      <c r="J93" t="s">
        <v>1954</v>
      </c>
      <c r="K93">
        <v>5173270</v>
      </c>
      <c r="L93">
        <v>36255541</v>
      </c>
      <c r="M93" s="32">
        <v>7.0082000000000004</v>
      </c>
      <c r="N93" t="s">
        <v>331</v>
      </c>
      <c r="O93" t="s">
        <v>1761</v>
      </c>
      <c r="P93">
        <v>874.6</v>
      </c>
      <c r="Q93" s="33" t="s">
        <v>1955</v>
      </c>
      <c r="R93" t="s">
        <v>21</v>
      </c>
      <c r="S93" t="s">
        <v>22</v>
      </c>
      <c r="T93">
        <f t="shared" si="1"/>
        <v>83239.89999999998</v>
      </c>
    </row>
    <row r="94" spans="1:20" x14ac:dyDescent="0.25">
      <c r="A94" t="s">
        <v>338</v>
      </c>
      <c r="B94" t="s">
        <v>244</v>
      </c>
      <c r="C94">
        <v>1</v>
      </c>
      <c r="D94">
        <v>58260</v>
      </c>
      <c r="E94" t="s">
        <v>339</v>
      </c>
      <c r="F94" t="s">
        <v>201</v>
      </c>
      <c r="G94" s="31">
        <v>1</v>
      </c>
      <c r="H94" s="31">
        <v>1</v>
      </c>
      <c r="I94" t="s">
        <v>1954</v>
      </c>
      <c r="J94" t="s">
        <v>1954</v>
      </c>
      <c r="K94">
        <v>9690280</v>
      </c>
      <c r="L94">
        <v>68067301</v>
      </c>
      <c r="M94" s="32">
        <v>7.0243000000000002</v>
      </c>
      <c r="N94" t="s">
        <v>340</v>
      </c>
      <c r="O94" t="s">
        <v>341</v>
      </c>
      <c r="P94">
        <v>1376</v>
      </c>
      <c r="Q94" s="33" t="s">
        <v>1955</v>
      </c>
      <c r="R94" t="s">
        <v>21</v>
      </c>
      <c r="S94" t="s">
        <v>22</v>
      </c>
      <c r="T94">
        <f t="shared" si="1"/>
        <v>84615.89999999998</v>
      </c>
    </row>
    <row r="95" spans="1:20" x14ac:dyDescent="0.25">
      <c r="A95" t="s">
        <v>363</v>
      </c>
      <c r="B95" t="s">
        <v>244</v>
      </c>
      <c r="C95">
        <v>2</v>
      </c>
      <c r="D95">
        <v>58260</v>
      </c>
      <c r="E95" t="s">
        <v>339</v>
      </c>
      <c r="F95" t="s">
        <v>201</v>
      </c>
      <c r="G95" s="31">
        <v>0.53</v>
      </c>
      <c r="H95" s="31">
        <v>0.57599999999999996</v>
      </c>
      <c r="I95" t="s">
        <v>1954</v>
      </c>
      <c r="J95" t="s">
        <v>1954</v>
      </c>
      <c r="K95">
        <v>9690280</v>
      </c>
      <c r="L95">
        <v>68067301</v>
      </c>
      <c r="M95" s="32">
        <v>7.0243000000000002</v>
      </c>
      <c r="N95" t="s">
        <v>340</v>
      </c>
      <c r="O95" t="s">
        <v>341</v>
      </c>
      <c r="P95">
        <v>1376</v>
      </c>
      <c r="Q95" t="s">
        <v>1958</v>
      </c>
      <c r="R95" t="s">
        <v>21</v>
      </c>
      <c r="S95" t="s">
        <v>22</v>
      </c>
      <c r="T95">
        <f t="shared" si="1"/>
        <v>85991.89999999998</v>
      </c>
    </row>
    <row r="96" spans="1:20" x14ac:dyDescent="0.25">
      <c r="A96" t="s">
        <v>385</v>
      </c>
      <c r="B96" t="s">
        <v>244</v>
      </c>
      <c r="C96">
        <v>2</v>
      </c>
      <c r="D96">
        <v>58260</v>
      </c>
      <c r="E96" t="s">
        <v>339</v>
      </c>
      <c r="F96" t="s">
        <v>201</v>
      </c>
      <c r="G96" s="31">
        <v>0.50600000000000001</v>
      </c>
      <c r="H96" s="31">
        <v>0.55200000000000005</v>
      </c>
      <c r="I96" t="s">
        <v>1954</v>
      </c>
      <c r="J96" t="s">
        <v>1954</v>
      </c>
      <c r="K96">
        <v>9690280</v>
      </c>
      <c r="L96">
        <v>68067301</v>
      </c>
      <c r="M96" s="32">
        <v>7.0243000000000002</v>
      </c>
      <c r="N96" t="s">
        <v>340</v>
      </c>
      <c r="O96" t="s">
        <v>341</v>
      </c>
      <c r="P96">
        <v>1376</v>
      </c>
      <c r="Q96" t="s">
        <v>1958</v>
      </c>
      <c r="R96" t="s">
        <v>21</v>
      </c>
      <c r="S96" t="s">
        <v>22</v>
      </c>
      <c r="T96">
        <f t="shared" si="1"/>
        <v>87367.89999999998</v>
      </c>
    </row>
    <row r="97" spans="1:20" x14ac:dyDescent="0.25">
      <c r="A97" t="s">
        <v>388</v>
      </c>
      <c r="B97" t="s">
        <v>244</v>
      </c>
      <c r="C97">
        <v>2</v>
      </c>
      <c r="D97">
        <v>58260</v>
      </c>
      <c r="E97" t="s">
        <v>339</v>
      </c>
      <c r="F97" t="s">
        <v>201</v>
      </c>
      <c r="G97" s="31">
        <v>0.51670000000000005</v>
      </c>
      <c r="H97" s="31">
        <v>0.56269999999999998</v>
      </c>
      <c r="I97" t="s">
        <v>1954</v>
      </c>
      <c r="J97" t="s">
        <v>1954</v>
      </c>
      <c r="K97">
        <v>9690280</v>
      </c>
      <c r="L97">
        <v>68067301</v>
      </c>
      <c r="M97" s="32">
        <v>7.0243000000000002</v>
      </c>
      <c r="N97" t="s">
        <v>340</v>
      </c>
      <c r="O97" t="s">
        <v>341</v>
      </c>
      <c r="P97">
        <v>1376</v>
      </c>
      <c r="Q97" t="s">
        <v>1958</v>
      </c>
      <c r="R97" t="s">
        <v>21</v>
      </c>
      <c r="S97" t="s">
        <v>22</v>
      </c>
      <c r="T97">
        <f t="shared" si="1"/>
        <v>88743.89999999998</v>
      </c>
    </row>
    <row r="98" spans="1:20" x14ac:dyDescent="0.25">
      <c r="A98" t="s">
        <v>540</v>
      </c>
      <c r="B98" t="s">
        <v>244</v>
      </c>
      <c r="C98">
        <v>3</v>
      </c>
      <c r="D98">
        <v>59220</v>
      </c>
      <c r="E98" t="s">
        <v>1797</v>
      </c>
      <c r="F98" t="s">
        <v>307</v>
      </c>
      <c r="G98" s="31">
        <v>0.48499999999999999</v>
      </c>
      <c r="H98" s="31">
        <v>0.53100000000000003</v>
      </c>
      <c r="I98" t="s">
        <v>1954</v>
      </c>
      <c r="J98" t="s">
        <v>1954</v>
      </c>
      <c r="K98">
        <v>3333444</v>
      </c>
      <c r="L98">
        <v>23424114</v>
      </c>
      <c r="M98" s="32">
        <v>7.0270000000000001</v>
      </c>
      <c r="N98" t="s">
        <v>331</v>
      </c>
      <c r="O98" t="s">
        <v>843</v>
      </c>
      <c r="P98">
        <v>991.3</v>
      </c>
      <c r="Q98" t="s">
        <v>1958</v>
      </c>
      <c r="R98" t="s">
        <v>21</v>
      </c>
      <c r="S98" t="s">
        <v>22</v>
      </c>
      <c r="T98">
        <f t="shared" si="1"/>
        <v>89735.199999999983</v>
      </c>
    </row>
    <row r="99" spans="1:20" x14ac:dyDescent="0.25">
      <c r="A99" t="s">
        <v>1397</v>
      </c>
      <c r="B99" t="s">
        <v>213</v>
      </c>
      <c r="C99">
        <v>3</v>
      </c>
      <c r="D99">
        <v>59220</v>
      </c>
      <c r="E99" t="s">
        <v>1797</v>
      </c>
      <c r="F99" t="s">
        <v>307</v>
      </c>
      <c r="G99" s="31">
        <v>0.38279999999999997</v>
      </c>
      <c r="H99" s="31">
        <v>0.42880000000000001</v>
      </c>
      <c r="I99" t="s">
        <v>1954</v>
      </c>
      <c r="J99" t="s">
        <v>1954</v>
      </c>
      <c r="K99">
        <v>3333444</v>
      </c>
      <c r="L99">
        <v>23424114</v>
      </c>
      <c r="M99" s="32">
        <v>7.0270000000000001</v>
      </c>
      <c r="N99" t="s">
        <v>331</v>
      </c>
      <c r="O99" t="s">
        <v>843</v>
      </c>
      <c r="P99">
        <v>991.3</v>
      </c>
      <c r="Q99" t="s">
        <v>1958</v>
      </c>
      <c r="R99" t="s">
        <v>21</v>
      </c>
      <c r="S99" t="s">
        <v>22</v>
      </c>
      <c r="T99">
        <f t="shared" si="1"/>
        <v>90726.499999999985</v>
      </c>
    </row>
    <row r="100" spans="1:20" x14ac:dyDescent="0.25">
      <c r="A100" t="s">
        <v>1796</v>
      </c>
      <c r="B100" t="s">
        <v>244</v>
      </c>
      <c r="C100">
        <v>1</v>
      </c>
      <c r="D100">
        <v>59220</v>
      </c>
      <c r="E100" t="s">
        <v>1797</v>
      </c>
      <c r="F100" t="s">
        <v>307</v>
      </c>
      <c r="G100" s="31">
        <v>1</v>
      </c>
      <c r="H100" s="31">
        <v>1</v>
      </c>
      <c r="I100" t="s">
        <v>1954</v>
      </c>
      <c r="J100" t="s">
        <v>1954</v>
      </c>
      <c r="K100">
        <v>3333444</v>
      </c>
      <c r="L100">
        <v>23424114</v>
      </c>
      <c r="M100" s="32">
        <v>7.0270000000000001</v>
      </c>
      <c r="N100" t="s">
        <v>331</v>
      </c>
      <c r="O100" t="s">
        <v>843</v>
      </c>
      <c r="P100">
        <v>991.3</v>
      </c>
      <c r="Q100" s="33" t="s">
        <v>1955</v>
      </c>
      <c r="R100" t="s">
        <v>21</v>
      </c>
      <c r="S100" t="s">
        <v>22</v>
      </c>
      <c r="T100">
        <f t="shared" si="1"/>
        <v>91717.799999999988</v>
      </c>
    </row>
    <row r="101" spans="1:20" x14ac:dyDescent="0.25">
      <c r="A101" t="s">
        <v>212</v>
      </c>
      <c r="B101" t="s">
        <v>213</v>
      </c>
      <c r="C101">
        <v>1</v>
      </c>
      <c r="D101">
        <v>56807</v>
      </c>
      <c r="E101" t="s">
        <v>215</v>
      </c>
      <c r="F101" t="s">
        <v>201</v>
      </c>
      <c r="G101" s="31">
        <v>1</v>
      </c>
      <c r="H101" s="31">
        <v>1</v>
      </c>
      <c r="I101" t="s">
        <v>1954</v>
      </c>
      <c r="J101" t="s">
        <v>1954</v>
      </c>
      <c r="K101">
        <v>3368325</v>
      </c>
      <c r="L101">
        <v>23787858</v>
      </c>
      <c r="M101" s="32">
        <v>7.0621999999999998</v>
      </c>
      <c r="N101" t="s">
        <v>216</v>
      </c>
      <c r="O101" t="s">
        <v>218</v>
      </c>
      <c r="P101">
        <v>628.20000000000005</v>
      </c>
      <c r="Q101" s="33" t="s">
        <v>1955</v>
      </c>
      <c r="R101" t="s">
        <v>21</v>
      </c>
      <c r="S101" t="s">
        <v>22</v>
      </c>
      <c r="T101">
        <f t="shared" si="1"/>
        <v>92345.999999999985</v>
      </c>
    </row>
    <row r="102" spans="1:20" x14ac:dyDescent="0.25">
      <c r="A102" t="s">
        <v>958</v>
      </c>
      <c r="B102" t="s">
        <v>244</v>
      </c>
      <c r="C102">
        <v>1</v>
      </c>
      <c r="D102">
        <v>55976</v>
      </c>
      <c r="E102" t="s">
        <v>959</v>
      </c>
      <c r="F102" t="s">
        <v>143</v>
      </c>
      <c r="G102" s="31">
        <v>1</v>
      </c>
      <c r="H102" s="31">
        <v>1</v>
      </c>
      <c r="I102" t="s">
        <v>1954</v>
      </c>
      <c r="J102" t="s">
        <v>1954</v>
      </c>
      <c r="K102">
        <v>6086583</v>
      </c>
      <c r="L102">
        <v>43012096</v>
      </c>
      <c r="M102" s="32">
        <v>7.0667</v>
      </c>
      <c r="N102" t="s">
        <v>331</v>
      </c>
      <c r="O102" t="s">
        <v>960</v>
      </c>
      <c r="P102">
        <v>810</v>
      </c>
      <c r="Q102" s="33" t="s">
        <v>1955</v>
      </c>
      <c r="R102" t="s">
        <v>21</v>
      </c>
      <c r="S102" t="s">
        <v>22</v>
      </c>
      <c r="T102">
        <f t="shared" si="1"/>
        <v>93155.999999999985</v>
      </c>
    </row>
    <row r="103" spans="1:20" x14ac:dyDescent="0.25">
      <c r="A103" t="s">
        <v>962</v>
      </c>
      <c r="B103" t="s">
        <v>244</v>
      </c>
      <c r="C103">
        <v>1</v>
      </c>
      <c r="D103">
        <v>55976</v>
      </c>
      <c r="E103" t="s">
        <v>959</v>
      </c>
      <c r="F103" t="s">
        <v>143</v>
      </c>
      <c r="G103" s="31">
        <v>1</v>
      </c>
      <c r="H103" s="31">
        <v>1</v>
      </c>
      <c r="I103" t="s">
        <v>1954</v>
      </c>
      <c r="J103" t="s">
        <v>1954</v>
      </c>
      <c r="K103">
        <v>6086583</v>
      </c>
      <c r="L103">
        <v>43012096</v>
      </c>
      <c r="M103" s="32">
        <v>7.0667</v>
      </c>
      <c r="N103" t="s">
        <v>331</v>
      </c>
      <c r="O103" t="s">
        <v>960</v>
      </c>
      <c r="P103">
        <v>810</v>
      </c>
      <c r="Q103" s="33" t="s">
        <v>1955</v>
      </c>
      <c r="R103" t="s">
        <v>21</v>
      </c>
      <c r="S103" t="s">
        <v>22</v>
      </c>
      <c r="T103">
        <f t="shared" si="1"/>
        <v>93965.999999999985</v>
      </c>
    </row>
    <row r="104" spans="1:20" x14ac:dyDescent="0.25">
      <c r="A104" t="s">
        <v>964</v>
      </c>
      <c r="B104" t="s">
        <v>244</v>
      </c>
      <c r="C104">
        <v>1</v>
      </c>
      <c r="D104">
        <v>55976</v>
      </c>
      <c r="E104" t="s">
        <v>959</v>
      </c>
      <c r="F104" t="s">
        <v>143</v>
      </c>
      <c r="G104" s="31">
        <v>1</v>
      </c>
      <c r="H104" s="31">
        <v>1</v>
      </c>
      <c r="I104" t="s">
        <v>1954</v>
      </c>
      <c r="J104" t="s">
        <v>1954</v>
      </c>
      <c r="K104">
        <v>6086583</v>
      </c>
      <c r="L104">
        <v>43012096</v>
      </c>
      <c r="M104" s="32">
        <v>7.0667</v>
      </c>
      <c r="N104" t="s">
        <v>331</v>
      </c>
      <c r="O104" t="s">
        <v>960</v>
      </c>
      <c r="P104">
        <v>810</v>
      </c>
      <c r="Q104" s="33" t="s">
        <v>1955</v>
      </c>
      <c r="R104" t="s">
        <v>21</v>
      </c>
      <c r="S104" t="s">
        <v>22</v>
      </c>
      <c r="T104">
        <f t="shared" si="1"/>
        <v>94775.999999999985</v>
      </c>
    </row>
    <row r="105" spans="1:20" x14ac:dyDescent="0.25">
      <c r="A105" t="s">
        <v>965</v>
      </c>
      <c r="B105" t="s">
        <v>244</v>
      </c>
      <c r="C105">
        <v>1</v>
      </c>
      <c r="D105">
        <v>55976</v>
      </c>
      <c r="E105" t="s">
        <v>959</v>
      </c>
      <c r="F105" t="s">
        <v>143</v>
      </c>
      <c r="G105" s="31">
        <v>1</v>
      </c>
      <c r="H105" s="31">
        <v>1</v>
      </c>
      <c r="I105" t="s">
        <v>1954</v>
      </c>
      <c r="J105" t="s">
        <v>1954</v>
      </c>
      <c r="K105">
        <v>6086583</v>
      </c>
      <c r="L105">
        <v>43012096</v>
      </c>
      <c r="M105" s="32">
        <v>7.0667</v>
      </c>
      <c r="N105" t="s">
        <v>331</v>
      </c>
      <c r="O105" t="s">
        <v>960</v>
      </c>
      <c r="P105">
        <v>810</v>
      </c>
      <c r="Q105" s="33" t="s">
        <v>1955</v>
      </c>
      <c r="R105" t="s">
        <v>21</v>
      </c>
      <c r="S105" t="s">
        <v>22</v>
      </c>
      <c r="T105">
        <f t="shared" si="1"/>
        <v>95585.999999999985</v>
      </c>
    </row>
    <row r="106" spans="1:20" x14ac:dyDescent="0.25">
      <c r="A106" t="s">
        <v>1457</v>
      </c>
      <c r="B106" t="s">
        <v>244</v>
      </c>
      <c r="C106">
        <v>3</v>
      </c>
      <c r="D106">
        <v>55455</v>
      </c>
      <c r="E106" t="s">
        <v>2148</v>
      </c>
      <c r="F106" t="s">
        <v>2149</v>
      </c>
      <c r="G106" s="31">
        <v>0.55400000000000005</v>
      </c>
      <c r="H106" s="31">
        <v>0.48199999999999998</v>
      </c>
      <c r="I106" t="s">
        <v>1954</v>
      </c>
      <c r="J106" t="s">
        <v>1954</v>
      </c>
      <c r="K106">
        <v>4842624</v>
      </c>
      <c r="L106">
        <v>34261781</v>
      </c>
      <c r="M106" s="32">
        <v>7.0750000000000002</v>
      </c>
      <c r="N106" t="s">
        <v>331</v>
      </c>
      <c r="O106" t="s">
        <v>2077</v>
      </c>
      <c r="P106">
        <v>1026</v>
      </c>
      <c r="Q106" t="s">
        <v>1958</v>
      </c>
      <c r="R106" t="s">
        <v>21</v>
      </c>
      <c r="S106" t="s">
        <v>22</v>
      </c>
      <c r="T106">
        <f t="shared" si="1"/>
        <v>96611.999999999985</v>
      </c>
    </row>
    <row r="107" spans="1:20" x14ac:dyDescent="0.25">
      <c r="A107" t="s">
        <v>1460</v>
      </c>
      <c r="B107" t="s">
        <v>244</v>
      </c>
      <c r="C107">
        <v>3</v>
      </c>
      <c r="D107">
        <v>55455</v>
      </c>
      <c r="E107" t="s">
        <v>2148</v>
      </c>
      <c r="F107" t="s">
        <v>2149</v>
      </c>
      <c r="G107" s="31">
        <v>0.55400000000000005</v>
      </c>
      <c r="H107" s="31">
        <v>0.48199999999999998</v>
      </c>
      <c r="I107" t="s">
        <v>1954</v>
      </c>
      <c r="J107" t="s">
        <v>1954</v>
      </c>
      <c r="K107">
        <v>4842624</v>
      </c>
      <c r="L107">
        <v>34261781</v>
      </c>
      <c r="M107" s="32">
        <v>7.0750000000000002</v>
      </c>
      <c r="N107" t="s">
        <v>331</v>
      </c>
      <c r="O107" t="s">
        <v>2077</v>
      </c>
      <c r="P107">
        <v>1026</v>
      </c>
      <c r="Q107" t="s">
        <v>1958</v>
      </c>
      <c r="R107" t="s">
        <v>21</v>
      </c>
      <c r="S107" t="s">
        <v>22</v>
      </c>
      <c r="T107">
        <f t="shared" si="1"/>
        <v>97637.999999999985</v>
      </c>
    </row>
    <row r="108" spans="1:20" x14ac:dyDescent="0.25">
      <c r="A108" t="s">
        <v>1461</v>
      </c>
      <c r="B108" t="s">
        <v>244</v>
      </c>
      <c r="C108">
        <v>3</v>
      </c>
      <c r="D108">
        <v>55455</v>
      </c>
      <c r="E108" t="s">
        <v>2148</v>
      </c>
      <c r="F108" t="s">
        <v>2149</v>
      </c>
      <c r="G108" s="31">
        <v>0.55400000000000005</v>
      </c>
      <c r="H108" s="31">
        <v>0.48199999999999998</v>
      </c>
      <c r="I108" t="s">
        <v>1954</v>
      </c>
      <c r="J108" t="s">
        <v>1954</v>
      </c>
      <c r="K108">
        <v>4842624</v>
      </c>
      <c r="L108">
        <v>34261781</v>
      </c>
      <c r="M108" s="32">
        <v>7.0750000000000002</v>
      </c>
      <c r="N108" t="s">
        <v>331</v>
      </c>
      <c r="O108" t="s">
        <v>2077</v>
      </c>
      <c r="P108">
        <v>1026</v>
      </c>
      <c r="Q108" t="s">
        <v>1958</v>
      </c>
      <c r="R108" t="s">
        <v>21</v>
      </c>
      <c r="S108" t="s">
        <v>22</v>
      </c>
      <c r="T108">
        <f t="shared" si="1"/>
        <v>98663.999999999985</v>
      </c>
    </row>
    <row r="109" spans="1:20" x14ac:dyDescent="0.25">
      <c r="A109" t="s">
        <v>1462</v>
      </c>
      <c r="B109" t="s">
        <v>244</v>
      </c>
      <c r="C109">
        <v>3</v>
      </c>
      <c r="D109">
        <v>55455</v>
      </c>
      <c r="E109" t="s">
        <v>2148</v>
      </c>
      <c r="F109" t="s">
        <v>2149</v>
      </c>
      <c r="G109" s="31">
        <v>0.55400000000000005</v>
      </c>
      <c r="H109" s="31">
        <v>0.48199999999999998</v>
      </c>
      <c r="I109" t="s">
        <v>1954</v>
      </c>
      <c r="J109" t="s">
        <v>1954</v>
      </c>
      <c r="K109">
        <v>4842624</v>
      </c>
      <c r="L109">
        <v>34261781</v>
      </c>
      <c r="M109" s="32">
        <v>7.0750000000000002</v>
      </c>
      <c r="N109" t="s">
        <v>331</v>
      </c>
      <c r="O109" t="s">
        <v>2077</v>
      </c>
      <c r="P109">
        <v>1026</v>
      </c>
      <c r="Q109" t="s">
        <v>1958</v>
      </c>
      <c r="R109" t="s">
        <v>21</v>
      </c>
      <c r="S109" t="s">
        <v>22</v>
      </c>
      <c r="T109">
        <f t="shared" si="1"/>
        <v>99689.999999999985</v>
      </c>
    </row>
    <row r="110" spans="1:20" x14ac:dyDescent="0.25">
      <c r="A110" t="s">
        <v>1557</v>
      </c>
      <c r="B110" t="s">
        <v>244</v>
      </c>
      <c r="C110">
        <v>1</v>
      </c>
      <c r="D110">
        <v>2411</v>
      </c>
      <c r="E110" t="s">
        <v>1558</v>
      </c>
      <c r="F110" t="s">
        <v>241</v>
      </c>
      <c r="G110" s="31">
        <v>1</v>
      </c>
      <c r="H110" s="31">
        <v>1</v>
      </c>
      <c r="I110" t="s">
        <v>1954</v>
      </c>
      <c r="J110" t="s">
        <v>1954</v>
      </c>
      <c r="K110">
        <v>2122743.0049999999</v>
      </c>
      <c r="L110">
        <v>15052034</v>
      </c>
      <c r="M110" s="32">
        <v>7.0907999999999998</v>
      </c>
      <c r="N110" t="s">
        <v>239</v>
      </c>
      <c r="O110" t="s">
        <v>1559</v>
      </c>
      <c r="P110">
        <v>541</v>
      </c>
      <c r="Q110" s="33" t="s">
        <v>1955</v>
      </c>
      <c r="R110" t="s">
        <v>21</v>
      </c>
      <c r="S110" t="s">
        <v>22</v>
      </c>
      <c r="T110">
        <f t="shared" si="1"/>
        <v>100230.99999999999</v>
      </c>
    </row>
    <row r="111" spans="1:20" x14ac:dyDescent="0.25">
      <c r="A111" t="s">
        <v>703</v>
      </c>
      <c r="B111" t="s">
        <v>244</v>
      </c>
      <c r="C111">
        <v>1</v>
      </c>
      <c r="D111">
        <v>55216</v>
      </c>
      <c r="E111" t="s">
        <v>2046</v>
      </c>
      <c r="F111" t="s">
        <v>166</v>
      </c>
      <c r="G111" s="31">
        <v>0.50529999999999997</v>
      </c>
      <c r="H111" s="31">
        <v>0.55130000000000001</v>
      </c>
      <c r="I111" t="s">
        <v>1954</v>
      </c>
      <c r="J111" t="s">
        <v>1954</v>
      </c>
      <c r="K111">
        <v>602604</v>
      </c>
      <c r="L111">
        <v>4282493</v>
      </c>
      <c r="M111" s="32">
        <v>7.1066000000000003</v>
      </c>
      <c r="N111" t="s">
        <v>331</v>
      </c>
      <c r="O111" t="s">
        <v>705</v>
      </c>
      <c r="P111">
        <v>194</v>
      </c>
      <c r="Q111" t="s">
        <v>1958</v>
      </c>
      <c r="R111" t="s">
        <v>21</v>
      </c>
      <c r="S111" t="s">
        <v>22</v>
      </c>
      <c r="T111">
        <f t="shared" si="1"/>
        <v>100424.99999999999</v>
      </c>
    </row>
    <row r="112" spans="1:20" x14ac:dyDescent="0.25">
      <c r="A112" t="s">
        <v>338</v>
      </c>
      <c r="B112" t="s">
        <v>244</v>
      </c>
      <c r="C112">
        <v>2</v>
      </c>
      <c r="D112">
        <v>59773</v>
      </c>
      <c r="E112" t="s">
        <v>386</v>
      </c>
      <c r="F112" t="s">
        <v>322</v>
      </c>
      <c r="G112" s="31">
        <v>0.50600000000000001</v>
      </c>
      <c r="H112" s="31">
        <v>0.55200000000000005</v>
      </c>
      <c r="I112" t="s">
        <v>1954</v>
      </c>
      <c r="J112" t="s">
        <v>1954</v>
      </c>
      <c r="K112">
        <v>5270057</v>
      </c>
      <c r="L112">
        <v>37612901</v>
      </c>
      <c r="M112" s="32">
        <v>7.1371000000000002</v>
      </c>
      <c r="N112" t="s">
        <v>331</v>
      </c>
      <c r="O112" t="s">
        <v>365</v>
      </c>
      <c r="P112">
        <v>714.6</v>
      </c>
      <c r="Q112" t="s">
        <v>1958</v>
      </c>
      <c r="R112" t="s">
        <v>21</v>
      </c>
      <c r="S112" t="s">
        <v>22</v>
      </c>
      <c r="T112">
        <f t="shared" si="1"/>
        <v>101139.59999999999</v>
      </c>
    </row>
    <row r="113" spans="1:20" x14ac:dyDescent="0.25">
      <c r="A113" t="s">
        <v>363</v>
      </c>
      <c r="B113" t="s">
        <v>244</v>
      </c>
      <c r="C113">
        <v>1</v>
      </c>
      <c r="D113">
        <v>59773</v>
      </c>
      <c r="E113" t="s">
        <v>386</v>
      </c>
      <c r="F113" t="s">
        <v>322</v>
      </c>
      <c r="G113" s="31">
        <v>0.53859999999999997</v>
      </c>
      <c r="H113" s="31">
        <v>0.58460000000000001</v>
      </c>
      <c r="I113" t="s">
        <v>1954</v>
      </c>
      <c r="J113" t="s">
        <v>1954</v>
      </c>
      <c r="K113">
        <v>5270057</v>
      </c>
      <c r="L113">
        <v>37612901</v>
      </c>
      <c r="M113" s="32">
        <v>7.1371000000000002</v>
      </c>
      <c r="N113" t="s">
        <v>331</v>
      </c>
      <c r="O113" t="s">
        <v>365</v>
      </c>
      <c r="P113">
        <v>714.6</v>
      </c>
      <c r="Q113" t="s">
        <v>1958</v>
      </c>
      <c r="R113" t="s">
        <v>21</v>
      </c>
      <c r="S113" t="s">
        <v>22</v>
      </c>
      <c r="T113">
        <f t="shared" si="1"/>
        <v>101854.2</v>
      </c>
    </row>
    <row r="114" spans="1:20" x14ac:dyDescent="0.25">
      <c r="A114" t="s">
        <v>385</v>
      </c>
      <c r="B114" t="s">
        <v>244</v>
      </c>
      <c r="C114">
        <v>1</v>
      </c>
      <c r="D114">
        <v>59773</v>
      </c>
      <c r="E114" t="s">
        <v>386</v>
      </c>
      <c r="F114" t="s">
        <v>322</v>
      </c>
      <c r="G114" s="31">
        <v>1</v>
      </c>
      <c r="H114" s="31">
        <v>1</v>
      </c>
      <c r="I114" t="s">
        <v>1954</v>
      </c>
      <c r="J114" t="s">
        <v>1954</v>
      </c>
      <c r="K114">
        <v>5270057</v>
      </c>
      <c r="L114">
        <v>37612901</v>
      </c>
      <c r="M114" s="32">
        <v>7.1371000000000002</v>
      </c>
      <c r="N114" t="s">
        <v>331</v>
      </c>
      <c r="O114" t="s">
        <v>365</v>
      </c>
      <c r="P114">
        <v>714.6</v>
      </c>
      <c r="Q114" s="33" t="s">
        <v>1955</v>
      </c>
      <c r="R114" t="s">
        <v>21</v>
      </c>
      <c r="S114" t="s">
        <v>22</v>
      </c>
      <c r="T114">
        <f t="shared" si="1"/>
        <v>102568.8</v>
      </c>
    </row>
    <row r="115" spans="1:20" x14ac:dyDescent="0.25">
      <c r="A115" t="s">
        <v>388</v>
      </c>
      <c r="B115" t="s">
        <v>244</v>
      </c>
      <c r="C115">
        <v>1</v>
      </c>
      <c r="D115">
        <v>59773</v>
      </c>
      <c r="E115" t="s">
        <v>386</v>
      </c>
      <c r="F115" t="s">
        <v>322</v>
      </c>
      <c r="G115" s="31">
        <v>0.53959999999999997</v>
      </c>
      <c r="H115" s="31">
        <v>0.58560000000000001</v>
      </c>
      <c r="I115" t="s">
        <v>1954</v>
      </c>
      <c r="J115" t="s">
        <v>1954</v>
      </c>
      <c r="K115">
        <v>5270057</v>
      </c>
      <c r="L115">
        <v>37612901</v>
      </c>
      <c r="M115" s="32">
        <v>7.1371000000000002</v>
      </c>
      <c r="N115" t="s">
        <v>331</v>
      </c>
      <c r="O115" t="s">
        <v>365</v>
      </c>
      <c r="P115">
        <v>714.6</v>
      </c>
      <c r="Q115" t="s">
        <v>1958</v>
      </c>
      <c r="R115" t="s">
        <v>21</v>
      </c>
      <c r="S115" t="s">
        <v>22</v>
      </c>
      <c r="T115">
        <f t="shared" si="1"/>
        <v>103283.40000000001</v>
      </c>
    </row>
    <row r="116" spans="1:20" x14ac:dyDescent="0.25">
      <c r="A116" t="s">
        <v>1057</v>
      </c>
      <c r="B116" t="s">
        <v>244</v>
      </c>
      <c r="C116">
        <v>1</v>
      </c>
      <c r="D116">
        <v>55502</v>
      </c>
      <c r="E116" t="s">
        <v>1058</v>
      </c>
      <c r="F116" t="s">
        <v>131</v>
      </c>
      <c r="G116" s="31">
        <v>1</v>
      </c>
      <c r="H116" s="31">
        <v>1</v>
      </c>
      <c r="I116" t="s">
        <v>1954</v>
      </c>
      <c r="J116" t="s">
        <v>1954</v>
      </c>
      <c r="K116">
        <v>8225022</v>
      </c>
      <c r="L116">
        <v>58913428</v>
      </c>
      <c r="M116" s="32">
        <v>7.1627000000000001</v>
      </c>
      <c r="N116" t="s">
        <v>331</v>
      </c>
      <c r="O116" t="s">
        <v>1059</v>
      </c>
      <c r="P116">
        <v>1206.7</v>
      </c>
      <c r="Q116" s="33" t="s">
        <v>1955</v>
      </c>
      <c r="R116" t="s">
        <v>21</v>
      </c>
      <c r="S116" t="s">
        <v>22</v>
      </c>
      <c r="T116">
        <f t="shared" si="1"/>
        <v>104490.1</v>
      </c>
    </row>
    <row r="117" spans="1:20" x14ac:dyDescent="0.25">
      <c r="A117" t="s">
        <v>1060</v>
      </c>
      <c r="B117" t="s">
        <v>244</v>
      </c>
      <c r="C117">
        <v>1</v>
      </c>
      <c r="D117">
        <v>55502</v>
      </c>
      <c r="E117" t="s">
        <v>1058</v>
      </c>
      <c r="F117" t="s">
        <v>131</v>
      </c>
      <c r="G117" s="31">
        <v>1</v>
      </c>
      <c r="H117" s="31">
        <v>1</v>
      </c>
      <c r="I117" t="s">
        <v>1954</v>
      </c>
      <c r="J117" t="s">
        <v>1954</v>
      </c>
      <c r="K117">
        <v>8225022</v>
      </c>
      <c r="L117">
        <v>58913428</v>
      </c>
      <c r="M117" s="32">
        <v>7.1627000000000001</v>
      </c>
      <c r="N117" t="s">
        <v>331</v>
      </c>
      <c r="O117" t="s">
        <v>1059</v>
      </c>
      <c r="P117">
        <v>1206.7</v>
      </c>
      <c r="Q117" s="33" t="s">
        <v>1955</v>
      </c>
      <c r="R117" t="s">
        <v>21</v>
      </c>
      <c r="S117" t="s">
        <v>22</v>
      </c>
      <c r="T117">
        <f t="shared" si="1"/>
        <v>105696.8</v>
      </c>
    </row>
    <row r="118" spans="1:20" x14ac:dyDescent="0.25">
      <c r="A118" t="s">
        <v>1061</v>
      </c>
      <c r="B118" t="s">
        <v>244</v>
      </c>
      <c r="C118">
        <v>1</v>
      </c>
      <c r="D118">
        <v>55502</v>
      </c>
      <c r="E118" t="s">
        <v>1058</v>
      </c>
      <c r="F118" t="s">
        <v>131</v>
      </c>
      <c r="G118" s="31">
        <v>1</v>
      </c>
      <c r="H118" s="31">
        <v>1</v>
      </c>
      <c r="I118" t="s">
        <v>1954</v>
      </c>
      <c r="J118" t="s">
        <v>1954</v>
      </c>
      <c r="K118">
        <v>8225022</v>
      </c>
      <c r="L118">
        <v>58913428</v>
      </c>
      <c r="M118" s="32">
        <v>7.1627000000000001</v>
      </c>
      <c r="N118" t="s">
        <v>331</v>
      </c>
      <c r="O118" t="s">
        <v>1059</v>
      </c>
      <c r="P118">
        <v>1206.7</v>
      </c>
      <c r="Q118" s="33" t="s">
        <v>1955</v>
      </c>
      <c r="R118" t="s">
        <v>21</v>
      </c>
      <c r="S118" t="s">
        <v>22</v>
      </c>
      <c r="T118">
        <f t="shared" si="1"/>
        <v>106903.5</v>
      </c>
    </row>
    <row r="119" spans="1:20" x14ac:dyDescent="0.25">
      <c r="A119" t="s">
        <v>1062</v>
      </c>
      <c r="B119" t="s">
        <v>244</v>
      </c>
      <c r="C119">
        <v>1</v>
      </c>
      <c r="D119">
        <v>55502</v>
      </c>
      <c r="E119" t="s">
        <v>1058</v>
      </c>
      <c r="F119" t="s">
        <v>131</v>
      </c>
      <c r="G119" s="31">
        <v>1</v>
      </c>
      <c r="H119" s="31">
        <v>1</v>
      </c>
      <c r="I119" t="s">
        <v>1954</v>
      </c>
      <c r="J119" t="s">
        <v>1954</v>
      </c>
      <c r="K119">
        <v>8225022</v>
      </c>
      <c r="L119">
        <v>58913428</v>
      </c>
      <c r="M119" s="32">
        <v>7.1627000000000001</v>
      </c>
      <c r="N119" t="s">
        <v>331</v>
      </c>
      <c r="O119" t="s">
        <v>1059</v>
      </c>
      <c r="P119">
        <v>1206.7</v>
      </c>
      <c r="Q119" s="33" t="s">
        <v>1955</v>
      </c>
      <c r="R119" t="s">
        <v>21</v>
      </c>
      <c r="S119" t="s">
        <v>22</v>
      </c>
      <c r="T119">
        <f t="shared" si="1"/>
        <v>108110.2</v>
      </c>
    </row>
    <row r="120" spans="1:20" x14ac:dyDescent="0.25">
      <c r="A120" t="s">
        <v>1063</v>
      </c>
      <c r="B120" t="s">
        <v>244</v>
      </c>
      <c r="C120">
        <v>1</v>
      </c>
      <c r="D120">
        <v>55502</v>
      </c>
      <c r="E120" t="s">
        <v>1058</v>
      </c>
      <c r="F120" t="s">
        <v>131</v>
      </c>
      <c r="G120" s="31">
        <v>1</v>
      </c>
      <c r="H120" s="31">
        <v>1</v>
      </c>
      <c r="I120" t="s">
        <v>1954</v>
      </c>
      <c r="J120" t="s">
        <v>1954</v>
      </c>
      <c r="K120">
        <v>8225022</v>
      </c>
      <c r="L120">
        <v>58913428</v>
      </c>
      <c r="M120" s="32">
        <v>7.1627000000000001</v>
      </c>
      <c r="N120" t="s">
        <v>331</v>
      </c>
      <c r="O120" t="s">
        <v>1059</v>
      </c>
      <c r="P120">
        <v>1206.7</v>
      </c>
      <c r="Q120" s="33" t="s">
        <v>1955</v>
      </c>
      <c r="R120" t="s">
        <v>21</v>
      </c>
      <c r="S120" t="s">
        <v>22</v>
      </c>
      <c r="T120">
        <f t="shared" si="1"/>
        <v>109316.9</v>
      </c>
    </row>
    <row r="121" spans="1:20" x14ac:dyDescent="0.25">
      <c r="A121" t="s">
        <v>1064</v>
      </c>
      <c r="B121" t="s">
        <v>244</v>
      </c>
      <c r="C121">
        <v>1</v>
      </c>
      <c r="D121">
        <v>55502</v>
      </c>
      <c r="E121" t="s">
        <v>1058</v>
      </c>
      <c r="F121" t="s">
        <v>131</v>
      </c>
      <c r="G121" s="31">
        <v>1</v>
      </c>
      <c r="H121" s="31">
        <v>1</v>
      </c>
      <c r="I121" t="s">
        <v>1954</v>
      </c>
      <c r="J121" t="s">
        <v>1954</v>
      </c>
      <c r="K121">
        <v>8225022</v>
      </c>
      <c r="L121">
        <v>58913428</v>
      </c>
      <c r="M121" s="32">
        <v>7.1627000000000001</v>
      </c>
      <c r="N121" t="s">
        <v>331</v>
      </c>
      <c r="O121" t="s">
        <v>1059</v>
      </c>
      <c r="P121">
        <v>1206.7</v>
      </c>
      <c r="Q121" s="33" t="s">
        <v>1955</v>
      </c>
      <c r="R121" t="s">
        <v>21</v>
      </c>
      <c r="S121" t="s">
        <v>22</v>
      </c>
      <c r="T121">
        <f t="shared" si="1"/>
        <v>110523.59999999999</v>
      </c>
    </row>
    <row r="122" spans="1:20" x14ac:dyDescent="0.25">
      <c r="A122" t="s">
        <v>1310</v>
      </c>
      <c r="B122" t="s">
        <v>244</v>
      </c>
      <c r="C122">
        <v>1</v>
      </c>
      <c r="D122">
        <v>55193</v>
      </c>
      <c r="E122" t="s">
        <v>1311</v>
      </c>
      <c r="F122" t="s">
        <v>143</v>
      </c>
      <c r="G122" s="31">
        <v>0.84830000000000005</v>
      </c>
      <c r="H122" s="31">
        <v>0.89429999999999998</v>
      </c>
      <c r="I122" t="s">
        <v>1954</v>
      </c>
      <c r="J122" t="s">
        <v>1954</v>
      </c>
      <c r="K122">
        <v>4114446</v>
      </c>
      <c r="L122">
        <v>29581610</v>
      </c>
      <c r="M122" s="32">
        <v>7.1897000000000002</v>
      </c>
      <c r="N122" t="s">
        <v>331</v>
      </c>
      <c r="O122" t="s">
        <v>1312</v>
      </c>
      <c r="P122">
        <v>545.9</v>
      </c>
      <c r="Q122" s="33" t="s">
        <v>1955</v>
      </c>
      <c r="R122" t="s">
        <v>21</v>
      </c>
      <c r="S122" t="s">
        <v>22</v>
      </c>
      <c r="T122">
        <f t="shared" si="1"/>
        <v>111069.49999999999</v>
      </c>
    </row>
    <row r="123" spans="1:20" x14ac:dyDescent="0.25">
      <c r="A123" t="s">
        <v>1313</v>
      </c>
      <c r="B123" t="s">
        <v>244</v>
      </c>
      <c r="C123">
        <v>1</v>
      </c>
      <c r="D123">
        <v>55193</v>
      </c>
      <c r="E123" t="s">
        <v>1311</v>
      </c>
      <c r="F123" t="s">
        <v>143</v>
      </c>
      <c r="G123" s="31">
        <v>0.84830000000000005</v>
      </c>
      <c r="H123" s="31">
        <v>0.89429999999999998</v>
      </c>
      <c r="I123" t="s">
        <v>1954</v>
      </c>
      <c r="J123" t="s">
        <v>1954</v>
      </c>
      <c r="K123">
        <v>4114446</v>
      </c>
      <c r="L123">
        <v>29581610</v>
      </c>
      <c r="M123" s="32">
        <v>7.1897000000000002</v>
      </c>
      <c r="N123" t="s">
        <v>331</v>
      </c>
      <c r="O123" t="s">
        <v>1312</v>
      </c>
      <c r="P123">
        <v>545.9</v>
      </c>
      <c r="Q123" s="33" t="s">
        <v>1955</v>
      </c>
      <c r="R123" t="s">
        <v>21</v>
      </c>
      <c r="S123" t="s">
        <v>22</v>
      </c>
      <c r="T123">
        <f t="shared" si="1"/>
        <v>111615.39999999998</v>
      </c>
    </row>
    <row r="124" spans="1:20" x14ac:dyDescent="0.25">
      <c r="A124" t="s">
        <v>1314</v>
      </c>
      <c r="B124" t="s">
        <v>244</v>
      </c>
      <c r="C124">
        <v>1</v>
      </c>
      <c r="D124">
        <v>55193</v>
      </c>
      <c r="E124" t="s">
        <v>1311</v>
      </c>
      <c r="F124" t="s">
        <v>143</v>
      </c>
      <c r="G124" s="31">
        <v>0.84830000000000005</v>
      </c>
      <c r="H124" s="31">
        <v>0.89429999999999998</v>
      </c>
      <c r="I124" t="s">
        <v>1954</v>
      </c>
      <c r="J124" t="s">
        <v>1954</v>
      </c>
      <c r="K124">
        <v>4114446</v>
      </c>
      <c r="L124">
        <v>29581610</v>
      </c>
      <c r="M124" s="32">
        <v>7.1897000000000002</v>
      </c>
      <c r="N124" t="s">
        <v>331</v>
      </c>
      <c r="O124" t="s">
        <v>1312</v>
      </c>
      <c r="P124">
        <v>545.9</v>
      </c>
      <c r="Q124" s="33" t="s">
        <v>1955</v>
      </c>
      <c r="R124" t="s">
        <v>21</v>
      </c>
      <c r="S124" t="s">
        <v>22</v>
      </c>
      <c r="T124">
        <f t="shared" si="1"/>
        <v>112161.29999999997</v>
      </c>
    </row>
    <row r="125" spans="1:20" x14ac:dyDescent="0.25">
      <c r="A125" t="s">
        <v>1452</v>
      </c>
      <c r="B125" t="s">
        <v>244</v>
      </c>
      <c r="C125">
        <v>1</v>
      </c>
      <c r="D125">
        <v>2723</v>
      </c>
      <c r="E125" t="s">
        <v>2141</v>
      </c>
      <c r="F125" t="s">
        <v>708</v>
      </c>
      <c r="G125" s="31">
        <v>0.54090000000000005</v>
      </c>
      <c r="H125" s="31">
        <v>0.58689999999999998</v>
      </c>
      <c r="I125" t="s">
        <v>1954</v>
      </c>
      <c r="J125" t="s">
        <v>1954</v>
      </c>
      <c r="K125">
        <v>3928215</v>
      </c>
      <c r="L125">
        <v>28244130</v>
      </c>
      <c r="M125" s="32">
        <v>7.1901000000000002</v>
      </c>
      <c r="N125" t="s">
        <v>331</v>
      </c>
      <c r="O125" t="s">
        <v>1454</v>
      </c>
      <c r="P125">
        <v>666</v>
      </c>
      <c r="Q125" t="s">
        <v>1958</v>
      </c>
      <c r="R125" t="s">
        <v>21</v>
      </c>
      <c r="S125" t="s">
        <v>22</v>
      </c>
      <c r="T125">
        <f t="shared" si="1"/>
        <v>112827.29999999997</v>
      </c>
    </row>
    <row r="126" spans="1:20" x14ac:dyDescent="0.25">
      <c r="A126" t="s">
        <v>1609</v>
      </c>
      <c r="B126" t="s">
        <v>244</v>
      </c>
      <c r="C126">
        <v>2</v>
      </c>
      <c r="D126">
        <v>2723</v>
      </c>
      <c r="E126" t="s">
        <v>2141</v>
      </c>
      <c r="F126" t="s">
        <v>708</v>
      </c>
      <c r="G126" s="31">
        <v>0.4133</v>
      </c>
      <c r="H126" s="31">
        <v>0.45929999999999999</v>
      </c>
      <c r="I126" t="s">
        <v>1954</v>
      </c>
      <c r="J126" t="s">
        <v>1954</v>
      </c>
      <c r="K126">
        <v>3928215</v>
      </c>
      <c r="L126">
        <v>28244130</v>
      </c>
      <c r="M126" s="32">
        <v>7.1901000000000002</v>
      </c>
      <c r="N126" t="s">
        <v>331</v>
      </c>
      <c r="O126" t="s">
        <v>1454</v>
      </c>
      <c r="P126">
        <v>666</v>
      </c>
      <c r="Q126" t="s">
        <v>1958</v>
      </c>
      <c r="R126" t="s">
        <v>21</v>
      </c>
      <c r="S126" t="s">
        <v>22</v>
      </c>
      <c r="T126">
        <f t="shared" si="1"/>
        <v>113493.29999999997</v>
      </c>
    </row>
    <row r="127" spans="1:20" x14ac:dyDescent="0.25">
      <c r="A127" t="s">
        <v>592</v>
      </c>
      <c r="B127" t="s">
        <v>244</v>
      </c>
      <c r="C127">
        <v>2</v>
      </c>
      <c r="D127">
        <v>55333</v>
      </c>
      <c r="E127" t="s">
        <v>2025</v>
      </c>
      <c r="F127" t="s">
        <v>1969</v>
      </c>
      <c r="G127" s="31">
        <v>0.54710000000000003</v>
      </c>
      <c r="H127" s="31">
        <v>0.47510000000000002</v>
      </c>
      <c r="I127" t="s">
        <v>1954</v>
      </c>
      <c r="J127" t="s">
        <v>1954</v>
      </c>
      <c r="K127">
        <v>4137805</v>
      </c>
      <c r="L127">
        <v>29797672</v>
      </c>
      <c r="M127" s="32">
        <v>7.2012999999999998</v>
      </c>
      <c r="N127" t="s">
        <v>331</v>
      </c>
      <c r="O127" t="s">
        <v>2026</v>
      </c>
      <c r="P127">
        <v>842</v>
      </c>
      <c r="Q127" t="s">
        <v>1958</v>
      </c>
      <c r="R127" t="s">
        <v>21</v>
      </c>
      <c r="S127" t="s">
        <v>22</v>
      </c>
      <c r="T127">
        <f t="shared" si="1"/>
        <v>114335.29999999997</v>
      </c>
    </row>
    <row r="128" spans="1:20" x14ac:dyDescent="0.25">
      <c r="A128" t="s">
        <v>595</v>
      </c>
      <c r="B128" t="s">
        <v>244</v>
      </c>
      <c r="C128">
        <v>2</v>
      </c>
      <c r="D128">
        <v>55333</v>
      </c>
      <c r="E128" t="s">
        <v>2025</v>
      </c>
      <c r="F128" t="s">
        <v>1969</v>
      </c>
      <c r="G128" s="31">
        <v>0.54710000000000003</v>
      </c>
      <c r="H128" s="31">
        <v>0.47510000000000002</v>
      </c>
      <c r="I128" t="s">
        <v>1954</v>
      </c>
      <c r="J128" t="s">
        <v>1954</v>
      </c>
      <c r="K128">
        <v>4137805</v>
      </c>
      <c r="L128">
        <v>29797672</v>
      </c>
      <c r="M128" s="32">
        <v>7.2012999999999998</v>
      </c>
      <c r="N128" t="s">
        <v>331</v>
      </c>
      <c r="O128" t="s">
        <v>2026</v>
      </c>
      <c r="P128">
        <v>842</v>
      </c>
      <c r="Q128" t="s">
        <v>1958</v>
      </c>
      <c r="R128" t="s">
        <v>21</v>
      </c>
      <c r="S128" t="s">
        <v>22</v>
      </c>
      <c r="T128">
        <f t="shared" si="1"/>
        <v>115177.29999999997</v>
      </c>
    </row>
    <row r="129" spans="1:20" x14ac:dyDescent="0.25">
      <c r="A129" t="s">
        <v>596</v>
      </c>
      <c r="B129" t="s">
        <v>244</v>
      </c>
      <c r="C129">
        <v>2</v>
      </c>
      <c r="D129">
        <v>55333</v>
      </c>
      <c r="E129" t="s">
        <v>2025</v>
      </c>
      <c r="F129" t="s">
        <v>1969</v>
      </c>
      <c r="G129" s="31">
        <v>0.54710000000000003</v>
      </c>
      <c r="H129" s="31">
        <v>0.47510000000000002</v>
      </c>
      <c r="I129" t="s">
        <v>1954</v>
      </c>
      <c r="J129" t="s">
        <v>1954</v>
      </c>
      <c r="K129">
        <v>4137805</v>
      </c>
      <c r="L129">
        <v>29797672</v>
      </c>
      <c r="M129" s="32">
        <v>7.2012999999999998</v>
      </c>
      <c r="N129" t="s">
        <v>331</v>
      </c>
      <c r="O129" t="s">
        <v>2026</v>
      </c>
      <c r="P129">
        <v>842</v>
      </c>
      <c r="Q129" t="s">
        <v>1958</v>
      </c>
      <c r="R129" t="s">
        <v>21</v>
      </c>
      <c r="S129" t="s">
        <v>22</v>
      </c>
      <c r="T129">
        <f t="shared" si="1"/>
        <v>116019.29999999997</v>
      </c>
    </row>
    <row r="130" spans="1:20" x14ac:dyDescent="0.25">
      <c r="A130" t="s">
        <v>597</v>
      </c>
      <c r="B130" t="s">
        <v>244</v>
      </c>
      <c r="C130">
        <v>2</v>
      </c>
      <c r="D130">
        <v>55333</v>
      </c>
      <c r="E130" t="s">
        <v>2025</v>
      </c>
      <c r="F130" t="s">
        <v>1969</v>
      </c>
      <c r="G130" s="31">
        <v>0.82089999999999996</v>
      </c>
      <c r="H130" s="31">
        <v>0.74890000000000001</v>
      </c>
      <c r="I130" t="s">
        <v>1954</v>
      </c>
      <c r="J130" t="s">
        <v>1954</v>
      </c>
      <c r="K130">
        <v>4137805</v>
      </c>
      <c r="L130">
        <v>29797672</v>
      </c>
      <c r="M130" s="32">
        <v>7.2012999999999998</v>
      </c>
      <c r="N130" t="s">
        <v>331</v>
      </c>
      <c r="O130" t="s">
        <v>2026</v>
      </c>
      <c r="P130">
        <v>842</v>
      </c>
      <c r="Q130" t="s">
        <v>1958</v>
      </c>
      <c r="R130" t="s">
        <v>21</v>
      </c>
      <c r="S130" t="s">
        <v>22</v>
      </c>
      <c r="T130">
        <f t="shared" si="1"/>
        <v>116861.29999999997</v>
      </c>
    </row>
    <row r="131" spans="1:20" x14ac:dyDescent="0.25">
      <c r="A131" t="s">
        <v>1120</v>
      </c>
      <c r="B131" t="s">
        <v>244</v>
      </c>
      <c r="C131">
        <v>1</v>
      </c>
      <c r="D131">
        <v>55667</v>
      </c>
      <c r="E131" t="s">
        <v>2104</v>
      </c>
      <c r="F131" t="s">
        <v>143</v>
      </c>
      <c r="G131" s="31">
        <v>0.59089999999999998</v>
      </c>
      <c r="H131" s="31">
        <v>0.63690000000000002</v>
      </c>
      <c r="I131" t="s">
        <v>1954</v>
      </c>
      <c r="J131" t="s">
        <v>1954</v>
      </c>
      <c r="K131">
        <v>4484858</v>
      </c>
      <c r="L131">
        <v>32308154</v>
      </c>
      <c r="M131" s="32">
        <v>7.2038000000000002</v>
      </c>
      <c r="N131" t="s">
        <v>331</v>
      </c>
      <c r="O131" t="s">
        <v>1122</v>
      </c>
      <c r="P131">
        <v>601.6</v>
      </c>
      <c r="Q131" t="s">
        <v>1958</v>
      </c>
      <c r="R131" t="s">
        <v>21</v>
      </c>
      <c r="S131" t="s">
        <v>22</v>
      </c>
      <c r="T131">
        <f t="shared" si="1"/>
        <v>117462.89999999998</v>
      </c>
    </row>
    <row r="132" spans="1:20" x14ac:dyDescent="0.25">
      <c r="A132" t="s">
        <v>1123</v>
      </c>
      <c r="B132" t="s">
        <v>244</v>
      </c>
      <c r="C132">
        <v>1</v>
      </c>
      <c r="D132">
        <v>55667</v>
      </c>
      <c r="E132" t="s">
        <v>2104</v>
      </c>
      <c r="F132" t="s">
        <v>143</v>
      </c>
      <c r="G132" s="31">
        <v>0.59089999999999998</v>
      </c>
      <c r="H132" s="31">
        <v>0.63690000000000002</v>
      </c>
      <c r="I132" t="s">
        <v>1954</v>
      </c>
      <c r="J132" t="s">
        <v>1954</v>
      </c>
      <c r="K132">
        <v>4484858</v>
      </c>
      <c r="L132">
        <v>32308154</v>
      </c>
      <c r="M132" s="32">
        <v>7.2038000000000002</v>
      </c>
      <c r="N132" t="s">
        <v>331</v>
      </c>
      <c r="O132" t="s">
        <v>1122</v>
      </c>
      <c r="P132">
        <v>601.6</v>
      </c>
      <c r="Q132" t="s">
        <v>1958</v>
      </c>
      <c r="R132" t="s">
        <v>21</v>
      </c>
      <c r="S132" t="s">
        <v>22</v>
      </c>
      <c r="T132">
        <f t="shared" ref="T132:T195" si="2">T131+P132</f>
        <v>118064.49999999999</v>
      </c>
    </row>
    <row r="133" spans="1:20" x14ac:dyDescent="0.25">
      <c r="A133" t="s">
        <v>1124</v>
      </c>
      <c r="B133" t="s">
        <v>244</v>
      </c>
      <c r="C133">
        <v>1</v>
      </c>
      <c r="D133">
        <v>55667</v>
      </c>
      <c r="E133" t="s">
        <v>2104</v>
      </c>
      <c r="F133" t="s">
        <v>143</v>
      </c>
      <c r="G133" s="31">
        <v>0.59089999999999998</v>
      </c>
      <c r="H133" s="31">
        <v>0.63690000000000002</v>
      </c>
      <c r="I133" t="s">
        <v>1954</v>
      </c>
      <c r="J133" t="s">
        <v>1954</v>
      </c>
      <c r="K133">
        <v>4484858</v>
      </c>
      <c r="L133">
        <v>32308154</v>
      </c>
      <c r="M133" s="32">
        <v>7.2038000000000002</v>
      </c>
      <c r="N133" t="s">
        <v>331</v>
      </c>
      <c r="O133" t="s">
        <v>1122</v>
      </c>
      <c r="P133">
        <v>601.6</v>
      </c>
      <c r="Q133" t="s">
        <v>1958</v>
      </c>
      <c r="R133" t="s">
        <v>21</v>
      </c>
      <c r="S133" t="s">
        <v>22</v>
      </c>
      <c r="T133">
        <f t="shared" si="2"/>
        <v>118666.09999999999</v>
      </c>
    </row>
    <row r="134" spans="1:20" x14ac:dyDescent="0.25">
      <c r="A134" t="s">
        <v>880</v>
      </c>
      <c r="B134" t="s">
        <v>244</v>
      </c>
      <c r="C134">
        <v>1</v>
      </c>
      <c r="D134">
        <v>55736</v>
      </c>
      <c r="E134" t="s">
        <v>881</v>
      </c>
      <c r="F134" t="s">
        <v>322</v>
      </c>
      <c r="G134" s="31">
        <v>0.76559999999999995</v>
      </c>
      <c r="H134" s="31">
        <v>0.81159999999999999</v>
      </c>
      <c r="I134" t="s">
        <v>1954</v>
      </c>
      <c r="J134" t="s">
        <v>1954</v>
      </c>
      <c r="K134">
        <v>10201773</v>
      </c>
      <c r="L134">
        <v>73955319</v>
      </c>
      <c r="M134" s="32">
        <v>7.2492999999999999</v>
      </c>
      <c r="N134" t="s">
        <v>331</v>
      </c>
      <c r="O134" t="s">
        <v>882</v>
      </c>
      <c r="P134">
        <v>1365</v>
      </c>
      <c r="Q134" s="33" t="s">
        <v>1956</v>
      </c>
      <c r="R134" t="s">
        <v>21</v>
      </c>
      <c r="S134" t="s">
        <v>22</v>
      </c>
      <c r="T134">
        <f t="shared" si="2"/>
        <v>120031.09999999999</v>
      </c>
    </row>
    <row r="135" spans="1:20" x14ac:dyDescent="0.25">
      <c r="A135" t="s">
        <v>883</v>
      </c>
      <c r="B135" t="s">
        <v>244</v>
      </c>
      <c r="C135">
        <v>1</v>
      </c>
      <c r="D135">
        <v>55736</v>
      </c>
      <c r="E135" t="s">
        <v>881</v>
      </c>
      <c r="F135" t="s">
        <v>322</v>
      </c>
      <c r="G135" s="31">
        <v>0.76559999999999995</v>
      </c>
      <c r="H135" s="31">
        <v>0.81159999999999999</v>
      </c>
      <c r="I135" t="s">
        <v>1954</v>
      </c>
      <c r="J135" t="s">
        <v>1954</v>
      </c>
      <c r="K135">
        <v>10201773</v>
      </c>
      <c r="L135">
        <v>73955319</v>
      </c>
      <c r="M135" s="32">
        <v>7.2492999999999999</v>
      </c>
      <c r="N135" t="s">
        <v>331</v>
      </c>
      <c r="O135" t="s">
        <v>882</v>
      </c>
      <c r="P135">
        <v>1365</v>
      </c>
      <c r="Q135" s="33" t="s">
        <v>1956</v>
      </c>
      <c r="R135" t="s">
        <v>21</v>
      </c>
      <c r="S135" t="s">
        <v>22</v>
      </c>
      <c r="T135">
        <f t="shared" si="2"/>
        <v>121396.09999999999</v>
      </c>
    </row>
    <row r="136" spans="1:20" x14ac:dyDescent="0.25">
      <c r="A136" t="s">
        <v>884</v>
      </c>
      <c r="B136" t="s">
        <v>244</v>
      </c>
      <c r="C136">
        <v>1</v>
      </c>
      <c r="D136">
        <v>55736</v>
      </c>
      <c r="E136" t="s">
        <v>881</v>
      </c>
      <c r="F136" t="s">
        <v>322</v>
      </c>
      <c r="G136" s="31">
        <v>0.76559999999999995</v>
      </c>
      <c r="H136" s="31">
        <v>0.81159999999999999</v>
      </c>
      <c r="I136" t="s">
        <v>1954</v>
      </c>
      <c r="J136" t="s">
        <v>1954</v>
      </c>
      <c r="K136">
        <v>10201773</v>
      </c>
      <c r="L136">
        <v>73955319</v>
      </c>
      <c r="M136" s="32">
        <v>7.2492999999999999</v>
      </c>
      <c r="N136" t="s">
        <v>331</v>
      </c>
      <c r="O136" t="s">
        <v>882</v>
      </c>
      <c r="P136">
        <v>1365</v>
      </c>
      <c r="Q136" s="33" t="s">
        <v>1956</v>
      </c>
      <c r="R136" t="s">
        <v>21</v>
      </c>
      <c r="S136" t="s">
        <v>22</v>
      </c>
      <c r="T136">
        <f t="shared" si="2"/>
        <v>122761.09999999999</v>
      </c>
    </row>
    <row r="137" spans="1:20" x14ac:dyDescent="0.25">
      <c r="A137" t="s">
        <v>885</v>
      </c>
      <c r="B137" t="s">
        <v>244</v>
      </c>
      <c r="C137">
        <v>1</v>
      </c>
      <c r="D137">
        <v>55736</v>
      </c>
      <c r="E137" t="s">
        <v>881</v>
      </c>
      <c r="F137" t="s">
        <v>322</v>
      </c>
      <c r="G137" s="31">
        <v>0.76559999999999995</v>
      </c>
      <c r="H137" s="31">
        <v>0.81159999999999999</v>
      </c>
      <c r="I137" t="s">
        <v>1954</v>
      </c>
      <c r="J137" t="s">
        <v>1954</v>
      </c>
      <c r="K137">
        <v>10201773</v>
      </c>
      <c r="L137">
        <v>73955319</v>
      </c>
      <c r="M137" s="32">
        <v>7.2492999999999999</v>
      </c>
      <c r="N137" t="s">
        <v>331</v>
      </c>
      <c r="O137" t="s">
        <v>882</v>
      </c>
      <c r="P137">
        <v>1365</v>
      </c>
      <c r="Q137" s="33" t="s">
        <v>1956</v>
      </c>
      <c r="R137" t="s">
        <v>21</v>
      </c>
      <c r="S137" t="s">
        <v>22</v>
      </c>
      <c r="T137">
        <f t="shared" si="2"/>
        <v>124126.09999999999</v>
      </c>
    </row>
    <row r="138" spans="1:20" x14ac:dyDescent="0.25">
      <c r="A138" t="s">
        <v>886</v>
      </c>
      <c r="B138" t="s">
        <v>244</v>
      </c>
      <c r="C138">
        <v>1</v>
      </c>
      <c r="D138">
        <v>55736</v>
      </c>
      <c r="E138" t="s">
        <v>881</v>
      </c>
      <c r="F138" t="s">
        <v>322</v>
      </c>
      <c r="G138" s="31">
        <v>0.77100000000000002</v>
      </c>
      <c r="H138" s="31">
        <v>0.81699999999999995</v>
      </c>
      <c r="I138" t="s">
        <v>1954</v>
      </c>
      <c r="J138" t="s">
        <v>1954</v>
      </c>
      <c r="K138">
        <v>10201773</v>
      </c>
      <c r="L138">
        <v>73955319</v>
      </c>
      <c r="M138" s="32">
        <v>7.2492999999999999</v>
      </c>
      <c r="N138" t="s">
        <v>331</v>
      </c>
      <c r="O138" t="s">
        <v>882</v>
      </c>
      <c r="P138">
        <v>1365</v>
      </c>
      <c r="Q138" s="33" t="s">
        <v>1956</v>
      </c>
      <c r="R138" t="s">
        <v>21</v>
      </c>
      <c r="S138" t="s">
        <v>22</v>
      </c>
      <c r="T138">
        <f t="shared" si="2"/>
        <v>125491.09999999999</v>
      </c>
    </row>
    <row r="139" spans="1:20" x14ac:dyDescent="0.25">
      <c r="A139" t="s">
        <v>887</v>
      </c>
      <c r="B139" t="s">
        <v>244</v>
      </c>
      <c r="C139">
        <v>1</v>
      </c>
      <c r="D139">
        <v>55736</v>
      </c>
      <c r="E139" t="s">
        <v>881</v>
      </c>
      <c r="F139" t="s">
        <v>322</v>
      </c>
      <c r="G139" s="31">
        <v>0.77100000000000002</v>
      </c>
      <c r="H139" s="31">
        <v>0.81699999999999995</v>
      </c>
      <c r="I139" t="s">
        <v>1954</v>
      </c>
      <c r="J139" t="s">
        <v>1954</v>
      </c>
      <c r="K139">
        <v>10201773</v>
      </c>
      <c r="L139">
        <v>73955319</v>
      </c>
      <c r="M139" s="32">
        <v>7.2492999999999999</v>
      </c>
      <c r="N139" t="s">
        <v>331</v>
      </c>
      <c r="O139" t="s">
        <v>882</v>
      </c>
      <c r="P139">
        <v>1365</v>
      </c>
      <c r="Q139" s="33" t="s">
        <v>1956</v>
      </c>
      <c r="R139" t="s">
        <v>21</v>
      </c>
      <c r="S139" t="s">
        <v>22</v>
      </c>
      <c r="T139">
        <f t="shared" si="2"/>
        <v>126856.09999999999</v>
      </c>
    </row>
    <row r="140" spans="1:20" x14ac:dyDescent="0.25">
      <c r="A140" t="s">
        <v>329</v>
      </c>
      <c r="B140" t="s">
        <v>244</v>
      </c>
      <c r="C140">
        <v>2</v>
      </c>
      <c r="D140">
        <v>7238</v>
      </c>
      <c r="E140" t="s">
        <v>1978</v>
      </c>
      <c r="F140" t="s">
        <v>1364</v>
      </c>
      <c r="G140" s="31">
        <v>0.41120000000000001</v>
      </c>
      <c r="H140" s="31">
        <v>0.3392</v>
      </c>
      <c r="I140" t="s">
        <v>1954</v>
      </c>
      <c r="J140" t="s">
        <v>1954</v>
      </c>
      <c r="K140">
        <v>4004924</v>
      </c>
      <c r="L140">
        <v>29037561</v>
      </c>
      <c r="M140" s="32">
        <v>7.2504999999999997</v>
      </c>
      <c r="N140" t="s">
        <v>331</v>
      </c>
      <c r="O140" t="s">
        <v>1365</v>
      </c>
      <c r="P140">
        <v>647</v>
      </c>
      <c r="Q140" t="s">
        <v>1958</v>
      </c>
      <c r="R140" t="s">
        <v>21</v>
      </c>
      <c r="S140" t="s">
        <v>22</v>
      </c>
      <c r="T140">
        <f t="shared" si="2"/>
        <v>127503.09999999999</v>
      </c>
    </row>
    <row r="141" spans="1:20" x14ac:dyDescent="0.25">
      <c r="A141" t="s">
        <v>335</v>
      </c>
      <c r="B141" t="s">
        <v>244</v>
      </c>
      <c r="C141">
        <v>2</v>
      </c>
      <c r="D141">
        <v>7238</v>
      </c>
      <c r="E141" t="s">
        <v>1978</v>
      </c>
      <c r="F141" t="s">
        <v>1364</v>
      </c>
      <c r="G141" s="31">
        <v>0.40760000000000002</v>
      </c>
      <c r="H141" s="31">
        <v>0.33560000000000001</v>
      </c>
      <c r="I141" t="s">
        <v>1954</v>
      </c>
      <c r="J141" t="s">
        <v>1954</v>
      </c>
      <c r="K141">
        <v>4004924</v>
      </c>
      <c r="L141">
        <v>29037561</v>
      </c>
      <c r="M141" s="32">
        <v>7.2504999999999997</v>
      </c>
      <c r="N141" t="s">
        <v>331</v>
      </c>
      <c r="O141" t="s">
        <v>1365</v>
      </c>
      <c r="P141">
        <v>647</v>
      </c>
      <c r="Q141" t="s">
        <v>1958</v>
      </c>
      <c r="R141" t="s">
        <v>21</v>
      </c>
      <c r="S141" t="s">
        <v>22</v>
      </c>
      <c r="T141">
        <f t="shared" si="2"/>
        <v>128150.09999999999</v>
      </c>
    </row>
    <row r="142" spans="1:20" x14ac:dyDescent="0.25">
      <c r="A142" t="s">
        <v>336</v>
      </c>
      <c r="B142" t="s">
        <v>244</v>
      </c>
      <c r="C142">
        <v>2</v>
      </c>
      <c r="D142">
        <v>7238</v>
      </c>
      <c r="E142" t="s">
        <v>1978</v>
      </c>
      <c r="F142" t="s">
        <v>1364</v>
      </c>
      <c r="G142" s="31">
        <v>0.40760000000000002</v>
      </c>
      <c r="H142" s="31">
        <v>0.33560000000000001</v>
      </c>
      <c r="I142" t="s">
        <v>1954</v>
      </c>
      <c r="J142" t="s">
        <v>1954</v>
      </c>
      <c r="K142">
        <v>4004924</v>
      </c>
      <c r="L142">
        <v>29037561</v>
      </c>
      <c r="M142" s="32">
        <v>7.2504999999999997</v>
      </c>
      <c r="N142" t="s">
        <v>331</v>
      </c>
      <c r="O142" t="s">
        <v>1365</v>
      </c>
      <c r="P142">
        <v>647</v>
      </c>
      <c r="Q142" t="s">
        <v>1958</v>
      </c>
      <c r="R142" t="s">
        <v>21</v>
      </c>
      <c r="S142" t="s">
        <v>22</v>
      </c>
      <c r="T142">
        <f t="shared" si="2"/>
        <v>128797.09999999999</v>
      </c>
    </row>
    <row r="143" spans="1:20" x14ac:dyDescent="0.25">
      <c r="A143" t="s">
        <v>337</v>
      </c>
      <c r="B143" t="s">
        <v>244</v>
      </c>
      <c r="C143">
        <v>2</v>
      </c>
      <c r="D143">
        <v>7238</v>
      </c>
      <c r="E143" t="s">
        <v>1978</v>
      </c>
      <c r="F143" t="s">
        <v>1364</v>
      </c>
      <c r="G143" s="31">
        <v>0.41120000000000001</v>
      </c>
      <c r="H143" s="31">
        <v>0.3392</v>
      </c>
      <c r="I143" t="s">
        <v>1954</v>
      </c>
      <c r="J143" t="s">
        <v>1954</v>
      </c>
      <c r="K143">
        <v>4004924</v>
      </c>
      <c r="L143">
        <v>29037561</v>
      </c>
      <c r="M143" s="32">
        <v>7.2504999999999997</v>
      </c>
      <c r="N143" t="s">
        <v>331</v>
      </c>
      <c r="O143" t="s">
        <v>1365</v>
      </c>
      <c r="P143">
        <v>647</v>
      </c>
      <c r="Q143" t="s">
        <v>1958</v>
      </c>
      <c r="R143" t="s">
        <v>21</v>
      </c>
      <c r="S143" t="s">
        <v>22</v>
      </c>
      <c r="T143">
        <f t="shared" si="2"/>
        <v>129444.09999999999</v>
      </c>
    </row>
    <row r="144" spans="1:20" x14ac:dyDescent="0.25">
      <c r="A144" t="s">
        <v>1358</v>
      </c>
      <c r="B144" t="s">
        <v>244</v>
      </c>
      <c r="C144">
        <v>2</v>
      </c>
      <c r="D144">
        <v>7238</v>
      </c>
      <c r="E144" t="s">
        <v>1978</v>
      </c>
      <c r="F144" t="s">
        <v>1364</v>
      </c>
      <c r="G144" s="31">
        <v>0.40429999999999999</v>
      </c>
      <c r="H144" s="31">
        <v>0.33229999999999998</v>
      </c>
      <c r="I144" t="s">
        <v>1954</v>
      </c>
      <c r="J144" t="s">
        <v>1954</v>
      </c>
      <c r="K144">
        <v>4004924</v>
      </c>
      <c r="L144">
        <v>29037561</v>
      </c>
      <c r="M144" s="32">
        <v>7.2504999999999997</v>
      </c>
      <c r="N144" t="s">
        <v>331</v>
      </c>
      <c r="O144" t="s">
        <v>1365</v>
      </c>
      <c r="P144">
        <v>647</v>
      </c>
      <c r="Q144" t="s">
        <v>1958</v>
      </c>
      <c r="R144" t="s">
        <v>21</v>
      </c>
      <c r="S144" t="s">
        <v>22</v>
      </c>
      <c r="T144">
        <f t="shared" si="2"/>
        <v>130091.09999999999</v>
      </c>
    </row>
    <row r="145" spans="1:20" x14ac:dyDescent="0.25">
      <c r="A145" t="s">
        <v>1360</v>
      </c>
      <c r="B145" t="s">
        <v>244</v>
      </c>
      <c r="C145">
        <v>2</v>
      </c>
      <c r="D145">
        <v>7238</v>
      </c>
      <c r="E145" t="s">
        <v>1978</v>
      </c>
      <c r="F145" t="s">
        <v>1364</v>
      </c>
      <c r="G145" s="31">
        <v>0.40429999999999999</v>
      </c>
      <c r="H145" s="31">
        <v>0.33229999999999998</v>
      </c>
      <c r="I145" t="s">
        <v>1954</v>
      </c>
      <c r="J145" t="s">
        <v>1954</v>
      </c>
      <c r="K145">
        <v>4004924</v>
      </c>
      <c r="L145">
        <v>29037561</v>
      </c>
      <c r="M145" s="32">
        <v>7.2504999999999997</v>
      </c>
      <c r="N145" t="s">
        <v>331</v>
      </c>
      <c r="O145" t="s">
        <v>1365</v>
      </c>
      <c r="P145">
        <v>647</v>
      </c>
      <c r="Q145" t="s">
        <v>1958</v>
      </c>
      <c r="R145" t="s">
        <v>21</v>
      </c>
      <c r="S145" t="s">
        <v>22</v>
      </c>
      <c r="T145">
        <f t="shared" si="2"/>
        <v>130738.09999999999</v>
      </c>
    </row>
    <row r="146" spans="1:20" x14ac:dyDescent="0.25">
      <c r="A146" t="s">
        <v>1361</v>
      </c>
      <c r="B146" t="s">
        <v>244</v>
      </c>
      <c r="C146">
        <v>2</v>
      </c>
      <c r="D146">
        <v>7238</v>
      </c>
      <c r="E146" t="s">
        <v>1978</v>
      </c>
      <c r="F146" t="s">
        <v>1364</v>
      </c>
      <c r="G146" s="31">
        <v>0.40429999999999999</v>
      </c>
      <c r="H146" s="31">
        <v>0.33229999999999998</v>
      </c>
      <c r="I146" t="s">
        <v>1954</v>
      </c>
      <c r="J146" t="s">
        <v>1954</v>
      </c>
      <c r="K146">
        <v>4004924</v>
      </c>
      <c r="L146">
        <v>29037561</v>
      </c>
      <c r="M146" s="32">
        <v>7.2504999999999997</v>
      </c>
      <c r="N146" t="s">
        <v>331</v>
      </c>
      <c r="O146" t="s">
        <v>1365</v>
      </c>
      <c r="P146">
        <v>647</v>
      </c>
      <c r="Q146" t="s">
        <v>1958</v>
      </c>
      <c r="R146" t="s">
        <v>21</v>
      </c>
      <c r="S146" t="s">
        <v>22</v>
      </c>
      <c r="T146">
        <f t="shared" si="2"/>
        <v>131385.09999999998</v>
      </c>
    </row>
    <row r="147" spans="1:20" x14ac:dyDescent="0.25">
      <c r="A147" t="s">
        <v>1362</v>
      </c>
      <c r="B147" t="s">
        <v>244</v>
      </c>
      <c r="C147">
        <v>1</v>
      </c>
      <c r="D147">
        <v>7238</v>
      </c>
      <c r="E147" t="s">
        <v>1978</v>
      </c>
      <c r="F147" t="s">
        <v>1364</v>
      </c>
      <c r="G147" s="31">
        <v>0.38030000000000003</v>
      </c>
      <c r="H147" s="31">
        <v>0.30830000000000002</v>
      </c>
      <c r="I147" t="s">
        <v>1954</v>
      </c>
      <c r="J147" t="s">
        <v>1954</v>
      </c>
      <c r="K147">
        <v>4004924</v>
      </c>
      <c r="L147">
        <v>29037561</v>
      </c>
      <c r="M147" s="32">
        <v>7.2504999999999997</v>
      </c>
      <c r="N147" t="s">
        <v>331</v>
      </c>
      <c r="O147" t="s">
        <v>1365</v>
      </c>
      <c r="P147">
        <v>647</v>
      </c>
      <c r="Q147" t="s">
        <v>1958</v>
      </c>
      <c r="R147" t="s">
        <v>21</v>
      </c>
      <c r="S147" t="s">
        <v>22</v>
      </c>
      <c r="T147">
        <f t="shared" si="2"/>
        <v>132032.09999999998</v>
      </c>
    </row>
    <row r="148" spans="1:20" x14ac:dyDescent="0.25">
      <c r="A148" t="s">
        <v>1457</v>
      </c>
      <c r="B148" t="s">
        <v>244</v>
      </c>
      <c r="C148">
        <v>1</v>
      </c>
      <c r="D148">
        <v>55239</v>
      </c>
      <c r="E148" t="s">
        <v>1458</v>
      </c>
      <c r="F148" t="s">
        <v>241</v>
      </c>
      <c r="G148" s="31">
        <v>1</v>
      </c>
      <c r="H148" s="31">
        <v>1</v>
      </c>
      <c r="I148" t="s">
        <v>1954</v>
      </c>
      <c r="J148" t="s">
        <v>1954</v>
      </c>
      <c r="K148">
        <v>3448628</v>
      </c>
      <c r="L148">
        <v>25009533</v>
      </c>
      <c r="M148" s="32">
        <v>7.2519999999999998</v>
      </c>
      <c r="N148" t="s">
        <v>331</v>
      </c>
      <c r="O148" t="s">
        <v>1459</v>
      </c>
      <c r="P148">
        <v>775.9</v>
      </c>
      <c r="Q148" s="33" t="s">
        <v>1955</v>
      </c>
      <c r="R148" t="s">
        <v>21</v>
      </c>
      <c r="S148" t="s">
        <v>22</v>
      </c>
      <c r="T148">
        <f t="shared" si="2"/>
        <v>132807.99999999997</v>
      </c>
    </row>
    <row r="149" spans="1:20" x14ac:dyDescent="0.25">
      <c r="A149" t="s">
        <v>1460</v>
      </c>
      <c r="B149" t="s">
        <v>244</v>
      </c>
      <c r="C149">
        <v>1</v>
      </c>
      <c r="D149">
        <v>55239</v>
      </c>
      <c r="E149" t="s">
        <v>1458</v>
      </c>
      <c r="F149" t="s">
        <v>241</v>
      </c>
      <c r="G149" s="31">
        <v>1</v>
      </c>
      <c r="H149" s="31">
        <v>1</v>
      </c>
      <c r="I149" t="s">
        <v>1954</v>
      </c>
      <c r="J149" t="s">
        <v>1954</v>
      </c>
      <c r="K149">
        <v>3448628</v>
      </c>
      <c r="L149">
        <v>25009533</v>
      </c>
      <c r="M149" s="32">
        <v>7.2519999999999998</v>
      </c>
      <c r="N149" t="s">
        <v>331</v>
      </c>
      <c r="O149" t="s">
        <v>1459</v>
      </c>
      <c r="P149">
        <v>775.9</v>
      </c>
      <c r="Q149" s="33" t="s">
        <v>1955</v>
      </c>
      <c r="R149" t="s">
        <v>21</v>
      </c>
      <c r="S149" t="s">
        <v>22</v>
      </c>
      <c r="T149">
        <f t="shared" si="2"/>
        <v>133583.89999999997</v>
      </c>
    </row>
    <row r="150" spans="1:20" x14ac:dyDescent="0.25">
      <c r="A150" t="s">
        <v>1461</v>
      </c>
      <c r="B150" t="s">
        <v>244</v>
      </c>
      <c r="C150">
        <v>1</v>
      </c>
      <c r="D150">
        <v>55239</v>
      </c>
      <c r="E150" t="s">
        <v>1458</v>
      </c>
      <c r="F150" t="s">
        <v>241</v>
      </c>
      <c r="G150" s="31">
        <v>1</v>
      </c>
      <c r="H150" s="31">
        <v>1</v>
      </c>
      <c r="I150" t="s">
        <v>1954</v>
      </c>
      <c r="J150" t="s">
        <v>1954</v>
      </c>
      <c r="K150">
        <v>3448628</v>
      </c>
      <c r="L150">
        <v>25009533</v>
      </c>
      <c r="M150" s="32">
        <v>7.2519999999999998</v>
      </c>
      <c r="N150" t="s">
        <v>331</v>
      </c>
      <c r="O150" t="s">
        <v>1459</v>
      </c>
      <c r="P150">
        <v>775.9</v>
      </c>
      <c r="Q150" s="33" t="s">
        <v>1955</v>
      </c>
      <c r="R150" t="s">
        <v>21</v>
      </c>
      <c r="S150" t="s">
        <v>22</v>
      </c>
      <c r="T150">
        <f t="shared" si="2"/>
        <v>134359.79999999996</v>
      </c>
    </row>
    <row r="151" spans="1:20" x14ac:dyDescent="0.25">
      <c r="A151" t="s">
        <v>1462</v>
      </c>
      <c r="B151" t="s">
        <v>244</v>
      </c>
      <c r="C151">
        <v>1</v>
      </c>
      <c r="D151">
        <v>55239</v>
      </c>
      <c r="E151" t="s">
        <v>1458</v>
      </c>
      <c r="F151" t="s">
        <v>241</v>
      </c>
      <c r="G151" s="31">
        <v>1</v>
      </c>
      <c r="H151" s="31">
        <v>1</v>
      </c>
      <c r="I151" t="s">
        <v>1954</v>
      </c>
      <c r="J151" t="s">
        <v>1954</v>
      </c>
      <c r="K151">
        <v>3448628</v>
      </c>
      <c r="L151">
        <v>25009533</v>
      </c>
      <c r="M151" s="32">
        <v>7.2519999999999998</v>
      </c>
      <c r="N151" t="s">
        <v>331</v>
      </c>
      <c r="O151" t="s">
        <v>1459</v>
      </c>
      <c r="P151">
        <v>775.9</v>
      </c>
      <c r="Q151" s="33" t="s">
        <v>1955</v>
      </c>
      <c r="R151" t="s">
        <v>21</v>
      </c>
      <c r="S151" t="s">
        <v>22</v>
      </c>
      <c r="T151">
        <f t="shared" si="2"/>
        <v>135135.69999999995</v>
      </c>
    </row>
    <row r="152" spans="1:20" x14ac:dyDescent="0.25">
      <c r="A152" t="s">
        <v>970</v>
      </c>
      <c r="B152" t="s">
        <v>244</v>
      </c>
      <c r="C152">
        <v>1</v>
      </c>
      <c r="D152">
        <v>55337</v>
      </c>
      <c r="E152" t="s">
        <v>971</v>
      </c>
      <c r="F152" t="s">
        <v>143</v>
      </c>
      <c r="G152" s="31">
        <v>1</v>
      </c>
      <c r="H152" s="31">
        <v>1</v>
      </c>
      <c r="I152" t="s">
        <v>1954</v>
      </c>
      <c r="J152" t="s">
        <v>1954</v>
      </c>
      <c r="K152">
        <v>4899051</v>
      </c>
      <c r="L152">
        <v>35608166</v>
      </c>
      <c r="M152" s="32">
        <v>7.2683999999999997</v>
      </c>
      <c r="N152" t="s">
        <v>331</v>
      </c>
      <c r="O152" t="s">
        <v>972</v>
      </c>
      <c r="P152">
        <v>760</v>
      </c>
      <c r="Q152" s="33" t="s">
        <v>1955</v>
      </c>
      <c r="R152" t="s">
        <v>21</v>
      </c>
      <c r="S152" t="s">
        <v>22</v>
      </c>
      <c r="T152">
        <f t="shared" si="2"/>
        <v>135895.69999999995</v>
      </c>
    </row>
    <row r="153" spans="1:20" x14ac:dyDescent="0.25">
      <c r="A153" t="s">
        <v>973</v>
      </c>
      <c r="B153" t="s">
        <v>244</v>
      </c>
      <c r="C153">
        <v>1</v>
      </c>
      <c r="D153">
        <v>55337</v>
      </c>
      <c r="E153" t="s">
        <v>971</v>
      </c>
      <c r="F153" t="s">
        <v>143</v>
      </c>
      <c r="G153" s="31">
        <v>1</v>
      </c>
      <c r="H153" s="31">
        <v>1</v>
      </c>
      <c r="I153" t="s">
        <v>1954</v>
      </c>
      <c r="J153" t="s">
        <v>1954</v>
      </c>
      <c r="K153">
        <v>4899051</v>
      </c>
      <c r="L153">
        <v>35608166</v>
      </c>
      <c r="M153" s="32">
        <v>7.2683999999999997</v>
      </c>
      <c r="N153" t="s">
        <v>331</v>
      </c>
      <c r="O153" t="s">
        <v>972</v>
      </c>
      <c r="P153">
        <v>760</v>
      </c>
      <c r="Q153" s="33" t="s">
        <v>1955</v>
      </c>
      <c r="R153" t="s">
        <v>21</v>
      </c>
      <c r="S153" t="s">
        <v>22</v>
      </c>
      <c r="T153">
        <f t="shared" si="2"/>
        <v>136655.69999999995</v>
      </c>
    </row>
    <row r="154" spans="1:20" x14ac:dyDescent="0.25">
      <c r="A154" t="s">
        <v>974</v>
      </c>
      <c r="B154" t="s">
        <v>244</v>
      </c>
      <c r="C154">
        <v>1</v>
      </c>
      <c r="D154">
        <v>55337</v>
      </c>
      <c r="E154" t="s">
        <v>971</v>
      </c>
      <c r="F154" t="s">
        <v>143</v>
      </c>
      <c r="G154" s="31">
        <v>1</v>
      </c>
      <c r="H154" s="31">
        <v>1</v>
      </c>
      <c r="I154" t="s">
        <v>1954</v>
      </c>
      <c r="J154" t="s">
        <v>1954</v>
      </c>
      <c r="K154">
        <v>4899051</v>
      </c>
      <c r="L154">
        <v>35608166</v>
      </c>
      <c r="M154" s="32">
        <v>7.2683999999999997</v>
      </c>
      <c r="N154" t="s">
        <v>331</v>
      </c>
      <c r="O154" t="s">
        <v>972</v>
      </c>
      <c r="P154">
        <v>760</v>
      </c>
      <c r="Q154" s="33" t="s">
        <v>1955</v>
      </c>
      <c r="R154" t="s">
        <v>21</v>
      </c>
      <c r="S154" t="s">
        <v>22</v>
      </c>
      <c r="T154">
        <f t="shared" si="2"/>
        <v>137415.69999999995</v>
      </c>
    </row>
    <row r="155" spans="1:20" x14ac:dyDescent="0.25">
      <c r="A155" t="s">
        <v>791</v>
      </c>
      <c r="B155" t="s">
        <v>244</v>
      </c>
      <c r="C155">
        <v>1</v>
      </c>
      <c r="D155">
        <v>57349</v>
      </c>
      <c r="E155" t="s">
        <v>792</v>
      </c>
      <c r="F155" t="s">
        <v>672</v>
      </c>
      <c r="G155" s="31">
        <v>0.84019999999999995</v>
      </c>
      <c r="H155" s="31">
        <v>0.88619999999999999</v>
      </c>
      <c r="I155" t="s">
        <v>1954</v>
      </c>
      <c r="J155" t="s">
        <v>1954</v>
      </c>
      <c r="K155">
        <v>855452</v>
      </c>
      <c r="L155">
        <v>6249396</v>
      </c>
      <c r="M155" s="32">
        <v>7.3053999999999997</v>
      </c>
      <c r="N155" t="s">
        <v>239</v>
      </c>
      <c r="O155" t="s">
        <v>793</v>
      </c>
      <c r="P155">
        <v>309</v>
      </c>
      <c r="Q155" s="33" t="s">
        <v>1955</v>
      </c>
      <c r="R155" t="s">
        <v>21</v>
      </c>
      <c r="S155" t="s">
        <v>22</v>
      </c>
      <c r="T155">
        <f t="shared" si="2"/>
        <v>137724.69999999995</v>
      </c>
    </row>
    <row r="156" spans="1:20" x14ac:dyDescent="0.25">
      <c r="A156" t="s">
        <v>1078</v>
      </c>
      <c r="B156" t="s">
        <v>244</v>
      </c>
      <c r="C156">
        <v>1</v>
      </c>
      <c r="D156">
        <v>55231</v>
      </c>
      <c r="E156" t="s">
        <v>1079</v>
      </c>
      <c r="F156" t="s">
        <v>143</v>
      </c>
      <c r="G156" s="31">
        <v>0.64759999999999995</v>
      </c>
      <c r="H156" s="31">
        <v>0.69359999999999999</v>
      </c>
      <c r="I156" t="s">
        <v>1954</v>
      </c>
      <c r="J156" t="s">
        <v>1954</v>
      </c>
      <c r="K156">
        <v>3931943</v>
      </c>
      <c r="L156">
        <v>28724987</v>
      </c>
      <c r="M156" s="32">
        <v>7.3055000000000003</v>
      </c>
      <c r="N156" t="s">
        <v>331</v>
      </c>
      <c r="O156" t="s">
        <v>1080</v>
      </c>
      <c r="P156">
        <v>562</v>
      </c>
      <c r="Q156" s="33" t="s">
        <v>1956</v>
      </c>
      <c r="R156" t="s">
        <v>21</v>
      </c>
      <c r="S156" t="s">
        <v>22</v>
      </c>
      <c r="T156">
        <f t="shared" si="2"/>
        <v>138286.69999999995</v>
      </c>
    </row>
    <row r="157" spans="1:20" x14ac:dyDescent="0.25">
      <c r="A157" t="s">
        <v>1081</v>
      </c>
      <c r="B157" t="s">
        <v>244</v>
      </c>
      <c r="C157">
        <v>1</v>
      </c>
      <c r="D157">
        <v>55231</v>
      </c>
      <c r="E157" t="s">
        <v>1079</v>
      </c>
      <c r="F157" t="s">
        <v>143</v>
      </c>
      <c r="G157" s="31">
        <v>0.64759999999999995</v>
      </c>
      <c r="H157" s="31">
        <v>0.69359999999999999</v>
      </c>
      <c r="I157" t="s">
        <v>1954</v>
      </c>
      <c r="J157" t="s">
        <v>1954</v>
      </c>
      <c r="K157">
        <v>3931943</v>
      </c>
      <c r="L157">
        <v>28724987</v>
      </c>
      <c r="M157" s="32">
        <v>7.3055000000000003</v>
      </c>
      <c r="N157" t="s">
        <v>331</v>
      </c>
      <c r="O157" t="s">
        <v>1080</v>
      </c>
      <c r="P157">
        <v>562</v>
      </c>
      <c r="Q157" s="33" t="s">
        <v>1956</v>
      </c>
      <c r="R157" t="s">
        <v>21</v>
      </c>
      <c r="S157" t="s">
        <v>22</v>
      </c>
      <c r="T157">
        <f t="shared" si="2"/>
        <v>138848.69999999995</v>
      </c>
    </row>
    <row r="158" spans="1:20" x14ac:dyDescent="0.25">
      <c r="A158" t="s">
        <v>1082</v>
      </c>
      <c r="B158" t="s">
        <v>244</v>
      </c>
      <c r="C158">
        <v>1</v>
      </c>
      <c r="D158">
        <v>55231</v>
      </c>
      <c r="E158" t="s">
        <v>1079</v>
      </c>
      <c r="F158" t="s">
        <v>143</v>
      </c>
      <c r="G158" s="31">
        <v>0.64759999999999995</v>
      </c>
      <c r="H158" s="31">
        <v>0.69359999999999999</v>
      </c>
      <c r="I158" t="s">
        <v>1954</v>
      </c>
      <c r="J158" t="s">
        <v>1954</v>
      </c>
      <c r="K158">
        <v>3931943</v>
      </c>
      <c r="L158">
        <v>28724987</v>
      </c>
      <c r="M158" s="32">
        <v>7.3055000000000003</v>
      </c>
      <c r="N158" t="s">
        <v>331</v>
      </c>
      <c r="O158" t="s">
        <v>1080</v>
      </c>
      <c r="P158">
        <v>562</v>
      </c>
      <c r="Q158" s="33" t="s">
        <v>1956</v>
      </c>
      <c r="R158" t="s">
        <v>21</v>
      </c>
      <c r="S158" t="s">
        <v>22</v>
      </c>
      <c r="T158">
        <f t="shared" si="2"/>
        <v>139410.69999999995</v>
      </c>
    </row>
    <row r="159" spans="1:20" x14ac:dyDescent="0.25">
      <c r="A159" t="s">
        <v>1234</v>
      </c>
      <c r="B159" t="s">
        <v>244</v>
      </c>
      <c r="C159">
        <v>1</v>
      </c>
      <c r="D159">
        <v>55231</v>
      </c>
      <c r="E159" t="s">
        <v>1079</v>
      </c>
      <c r="F159" t="s">
        <v>143</v>
      </c>
      <c r="G159" s="31">
        <v>0.64100000000000001</v>
      </c>
      <c r="H159" s="31">
        <v>0.68700000000000006</v>
      </c>
      <c r="I159" t="s">
        <v>1954</v>
      </c>
      <c r="J159" t="s">
        <v>1954</v>
      </c>
      <c r="K159">
        <v>3931943</v>
      </c>
      <c r="L159">
        <v>28724987</v>
      </c>
      <c r="M159" s="32">
        <v>7.3055000000000003</v>
      </c>
      <c r="N159" t="s">
        <v>331</v>
      </c>
      <c r="O159" t="s">
        <v>1080</v>
      </c>
      <c r="P159">
        <v>562</v>
      </c>
      <c r="Q159" s="33" t="s">
        <v>1956</v>
      </c>
      <c r="R159" t="s">
        <v>21</v>
      </c>
      <c r="S159" t="s">
        <v>22</v>
      </c>
      <c r="T159">
        <f t="shared" si="2"/>
        <v>139972.69999999995</v>
      </c>
    </row>
    <row r="160" spans="1:20" x14ac:dyDescent="0.25">
      <c r="A160" t="s">
        <v>1754</v>
      </c>
      <c r="B160" t="s">
        <v>244</v>
      </c>
      <c r="C160">
        <v>1</v>
      </c>
      <c r="D160">
        <v>55397</v>
      </c>
      <c r="E160" t="s">
        <v>1755</v>
      </c>
      <c r="F160" t="s">
        <v>322</v>
      </c>
      <c r="G160" s="31">
        <v>1</v>
      </c>
      <c r="H160" s="31">
        <v>1</v>
      </c>
      <c r="I160" t="s">
        <v>1954</v>
      </c>
      <c r="J160" t="s">
        <v>1954</v>
      </c>
      <c r="K160">
        <v>3508822</v>
      </c>
      <c r="L160">
        <v>25707628</v>
      </c>
      <c r="M160" s="32">
        <v>7.3266</v>
      </c>
      <c r="N160" t="s">
        <v>331</v>
      </c>
      <c r="O160" t="s">
        <v>843</v>
      </c>
      <c r="P160">
        <v>661</v>
      </c>
      <c r="Q160" s="33" t="s">
        <v>1955</v>
      </c>
      <c r="R160" t="s">
        <v>21</v>
      </c>
      <c r="S160" t="s">
        <v>22</v>
      </c>
      <c r="T160">
        <f t="shared" si="2"/>
        <v>140633.69999999995</v>
      </c>
    </row>
    <row r="161" spans="1:20" x14ac:dyDescent="0.25">
      <c r="A161" t="s">
        <v>1756</v>
      </c>
      <c r="B161" t="s">
        <v>244</v>
      </c>
      <c r="C161">
        <v>1</v>
      </c>
      <c r="D161">
        <v>55397</v>
      </c>
      <c r="E161" t="s">
        <v>1755</v>
      </c>
      <c r="F161" t="s">
        <v>322</v>
      </c>
      <c r="G161" s="31">
        <v>1</v>
      </c>
      <c r="H161" s="31">
        <v>1</v>
      </c>
      <c r="I161" t="s">
        <v>1954</v>
      </c>
      <c r="J161" t="s">
        <v>1954</v>
      </c>
      <c r="K161">
        <v>3508822</v>
      </c>
      <c r="L161">
        <v>25707628</v>
      </c>
      <c r="M161" s="32">
        <v>7.3266</v>
      </c>
      <c r="N161" t="s">
        <v>331</v>
      </c>
      <c r="O161" t="s">
        <v>843</v>
      </c>
      <c r="P161">
        <v>661</v>
      </c>
      <c r="Q161" s="33" t="s">
        <v>1955</v>
      </c>
      <c r="R161" t="s">
        <v>21</v>
      </c>
      <c r="S161" t="s">
        <v>22</v>
      </c>
      <c r="T161">
        <f t="shared" si="2"/>
        <v>141294.69999999995</v>
      </c>
    </row>
    <row r="162" spans="1:20" x14ac:dyDescent="0.25">
      <c r="A162" t="s">
        <v>1757</v>
      </c>
      <c r="B162" t="s">
        <v>244</v>
      </c>
      <c r="C162">
        <v>1</v>
      </c>
      <c r="D162">
        <v>55397</v>
      </c>
      <c r="E162" t="s">
        <v>1755</v>
      </c>
      <c r="F162" t="s">
        <v>322</v>
      </c>
      <c r="G162" s="31">
        <v>1</v>
      </c>
      <c r="H162" s="31">
        <v>1</v>
      </c>
      <c r="I162" t="s">
        <v>1954</v>
      </c>
      <c r="J162" t="s">
        <v>1954</v>
      </c>
      <c r="K162">
        <v>3508822</v>
      </c>
      <c r="L162">
        <v>25707628</v>
      </c>
      <c r="M162" s="32">
        <v>7.3266</v>
      </c>
      <c r="N162" t="s">
        <v>331</v>
      </c>
      <c r="O162" t="s">
        <v>843</v>
      </c>
      <c r="P162">
        <v>661</v>
      </c>
      <c r="Q162" s="33" t="s">
        <v>1955</v>
      </c>
      <c r="R162" t="s">
        <v>21</v>
      </c>
      <c r="S162" t="s">
        <v>22</v>
      </c>
      <c r="T162">
        <f t="shared" si="2"/>
        <v>141955.69999999995</v>
      </c>
    </row>
    <row r="163" spans="1:20" x14ac:dyDescent="0.25">
      <c r="A163" t="s">
        <v>540</v>
      </c>
      <c r="B163" t="s">
        <v>244</v>
      </c>
      <c r="C163">
        <v>2</v>
      </c>
      <c r="D163">
        <v>3804</v>
      </c>
      <c r="E163" t="s">
        <v>1398</v>
      </c>
      <c r="F163" t="s">
        <v>201</v>
      </c>
      <c r="G163" s="31">
        <v>0.48830000000000001</v>
      </c>
      <c r="H163" s="31">
        <v>0.5343</v>
      </c>
      <c r="I163" t="s">
        <v>1954</v>
      </c>
      <c r="J163" t="s">
        <v>1954</v>
      </c>
      <c r="K163">
        <v>2798934.0060000001</v>
      </c>
      <c r="L163">
        <v>20510873</v>
      </c>
      <c r="M163" s="32">
        <v>7.3281000000000001</v>
      </c>
      <c r="N163" t="s">
        <v>216</v>
      </c>
      <c r="O163" t="s">
        <v>1399</v>
      </c>
      <c r="P163">
        <v>570.70000000000005</v>
      </c>
      <c r="Q163" t="s">
        <v>1958</v>
      </c>
      <c r="R163" t="s">
        <v>21</v>
      </c>
      <c r="S163" t="s">
        <v>22</v>
      </c>
      <c r="T163">
        <f t="shared" si="2"/>
        <v>142526.39999999997</v>
      </c>
    </row>
    <row r="164" spans="1:20" x14ac:dyDescent="0.25">
      <c r="A164" t="s">
        <v>629</v>
      </c>
      <c r="B164" t="s">
        <v>244</v>
      </c>
      <c r="C164">
        <v>2</v>
      </c>
      <c r="D164">
        <v>3804</v>
      </c>
      <c r="E164" t="s">
        <v>1398</v>
      </c>
      <c r="F164" t="s">
        <v>201</v>
      </c>
      <c r="G164" s="31">
        <v>0.48830000000000001</v>
      </c>
      <c r="H164" s="31">
        <v>0.5343</v>
      </c>
      <c r="I164" t="s">
        <v>1954</v>
      </c>
      <c r="J164" t="s">
        <v>1954</v>
      </c>
      <c r="K164">
        <v>2798934.0060000001</v>
      </c>
      <c r="L164">
        <v>20510873</v>
      </c>
      <c r="M164" s="32">
        <v>7.3281000000000001</v>
      </c>
      <c r="N164" t="s">
        <v>216</v>
      </c>
      <c r="O164" t="s">
        <v>1399</v>
      </c>
      <c r="P164">
        <v>570.70000000000005</v>
      </c>
      <c r="Q164" t="s">
        <v>1958</v>
      </c>
      <c r="R164" t="s">
        <v>21</v>
      </c>
      <c r="S164" t="s">
        <v>22</v>
      </c>
      <c r="T164">
        <f t="shared" si="2"/>
        <v>143097.09999999998</v>
      </c>
    </row>
    <row r="165" spans="1:20" x14ac:dyDescent="0.25">
      <c r="A165" t="s">
        <v>631</v>
      </c>
      <c r="B165" t="s">
        <v>244</v>
      </c>
      <c r="C165">
        <v>2</v>
      </c>
      <c r="D165">
        <v>3804</v>
      </c>
      <c r="E165" t="s">
        <v>1398</v>
      </c>
      <c r="F165" t="s">
        <v>201</v>
      </c>
      <c r="G165" s="31">
        <v>0.48830000000000001</v>
      </c>
      <c r="H165" s="31">
        <v>0.5343</v>
      </c>
      <c r="I165" t="s">
        <v>1954</v>
      </c>
      <c r="J165" t="s">
        <v>1954</v>
      </c>
      <c r="K165">
        <v>2798934.0060000001</v>
      </c>
      <c r="L165">
        <v>20510873</v>
      </c>
      <c r="M165" s="32">
        <v>7.3281000000000001</v>
      </c>
      <c r="N165" t="s">
        <v>216</v>
      </c>
      <c r="O165" t="s">
        <v>1399</v>
      </c>
      <c r="P165">
        <v>570.70000000000005</v>
      </c>
      <c r="Q165" t="s">
        <v>1958</v>
      </c>
      <c r="R165" t="s">
        <v>21</v>
      </c>
      <c r="S165" t="s">
        <v>22</v>
      </c>
      <c r="T165">
        <f t="shared" si="2"/>
        <v>143667.79999999999</v>
      </c>
    </row>
    <row r="166" spans="1:20" x14ac:dyDescent="0.25">
      <c r="A166" t="s">
        <v>632</v>
      </c>
      <c r="B166" t="s">
        <v>244</v>
      </c>
      <c r="C166">
        <v>2</v>
      </c>
      <c r="D166">
        <v>3804</v>
      </c>
      <c r="E166" t="s">
        <v>1398</v>
      </c>
      <c r="F166" t="s">
        <v>201</v>
      </c>
      <c r="G166" s="31">
        <v>0.48830000000000001</v>
      </c>
      <c r="H166" s="31">
        <v>0.5343</v>
      </c>
      <c r="I166" t="s">
        <v>1954</v>
      </c>
      <c r="J166" t="s">
        <v>1954</v>
      </c>
      <c r="K166">
        <v>2798934.0060000001</v>
      </c>
      <c r="L166">
        <v>20510873</v>
      </c>
      <c r="M166" s="32">
        <v>7.3281000000000001</v>
      </c>
      <c r="N166" t="s">
        <v>216</v>
      </c>
      <c r="O166" t="s">
        <v>1399</v>
      </c>
      <c r="P166">
        <v>570.70000000000005</v>
      </c>
      <c r="Q166" t="s">
        <v>1958</v>
      </c>
      <c r="R166" t="s">
        <v>21</v>
      </c>
      <c r="S166" t="s">
        <v>22</v>
      </c>
      <c r="T166">
        <f t="shared" si="2"/>
        <v>144238.5</v>
      </c>
    </row>
    <row r="167" spans="1:20" x14ac:dyDescent="0.25">
      <c r="A167" t="s">
        <v>633</v>
      </c>
      <c r="B167" t="s">
        <v>244</v>
      </c>
      <c r="C167">
        <v>2</v>
      </c>
      <c r="D167">
        <v>3804</v>
      </c>
      <c r="E167" t="s">
        <v>1398</v>
      </c>
      <c r="F167" t="s">
        <v>201</v>
      </c>
      <c r="G167" s="31">
        <v>0.48830000000000001</v>
      </c>
      <c r="H167" s="31">
        <v>0.5343</v>
      </c>
      <c r="I167" t="s">
        <v>1954</v>
      </c>
      <c r="J167" t="s">
        <v>1954</v>
      </c>
      <c r="K167">
        <v>2798934.0060000001</v>
      </c>
      <c r="L167">
        <v>20510873</v>
      </c>
      <c r="M167" s="32">
        <v>7.3281000000000001</v>
      </c>
      <c r="N167" t="s">
        <v>216</v>
      </c>
      <c r="O167" t="s">
        <v>1399</v>
      </c>
      <c r="P167">
        <v>570.70000000000005</v>
      </c>
      <c r="Q167" t="s">
        <v>1958</v>
      </c>
      <c r="R167" t="s">
        <v>21</v>
      </c>
      <c r="S167" t="s">
        <v>22</v>
      </c>
      <c r="T167">
        <f t="shared" si="2"/>
        <v>144809.20000000001</v>
      </c>
    </row>
    <row r="168" spans="1:20" x14ac:dyDescent="0.25">
      <c r="A168" t="s">
        <v>1397</v>
      </c>
      <c r="B168" t="s">
        <v>213</v>
      </c>
      <c r="C168">
        <v>1</v>
      </c>
      <c r="D168">
        <v>3804</v>
      </c>
      <c r="E168" t="s">
        <v>1398</v>
      </c>
      <c r="F168" t="s">
        <v>201</v>
      </c>
      <c r="G168" s="31">
        <v>0.77100000000000002</v>
      </c>
      <c r="H168" s="31">
        <v>0.81699999999999995</v>
      </c>
      <c r="I168" t="s">
        <v>1954</v>
      </c>
      <c r="J168" t="s">
        <v>1954</v>
      </c>
      <c r="K168">
        <v>2798934.0060000001</v>
      </c>
      <c r="L168">
        <v>20510873</v>
      </c>
      <c r="M168" s="32">
        <v>7.3281000000000001</v>
      </c>
      <c r="N168" t="s">
        <v>216</v>
      </c>
      <c r="O168" t="s">
        <v>1399</v>
      </c>
      <c r="P168">
        <v>570.70000000000005</v>
      </c>
      <c r="Q168" s="33" t="s">
        <v>1956</v>
      </c>
      <c r="R168" t="s">
        <v>21</v>
      </c>
      <c r="S168" t="s">
        <v>22</v>
      </c>
      <c r="T168">
        <f t="shared" si="2"/>
        <v>145379.90000000002</v>
      </c>
    </row>
    <row r="169" spans="1:20" x14ac:dyDescent="0.25">
      <c r="A169" t="s">
        <v>1796</v>
      </c>
      <c r="B169" t="s">
        <v>244</v>
      </c>
      <c r="C169">
        <v>2</v>
      </c>
      <c r="D169">
        <v>3804</v>
      </c>
      <c r="E169" t="s">
        <v>1398</v>
      </c>
      <c r="F169" t="s">
        <v>201</v>
      </c>
      <c r="G169" s="31">
        <v>0.49640000000000001</v>
      </c>
      <c r="H169" s="31">
        <v>0.54239999999999999</v>
      </c>
      <c r="I169" t="s">
        <v>1954</v>
      </c>
      <c r="J169" t="s">
        <v>1954</v>
      </c>
      <c r="K169">
        <v>2798934.0060000001</v>
      </c>
      <c r="L169">
        <v>20510873</v>
      </c>
      <c r="M169" s="32">
        <v>7.3281000000000001</v>
      </c>
      <c r="N169" t="s">
        <v>216</v>
      </c>
      <c r="O169" t="s">
        <v>1399</v>
      </c>
      <c r="P169">
        <v>570.70000000000005</v>
      </c>
      <c r="Q169" t="s">
        <v>1958</v>
      </c>
      <c r="R169" t="s">
        <v>21</v>
      </c>
      <c r="S169" t="s">
        <v>22</v>
      </c>
      <c r="T169">
        <f t="shared" si="2"/>
        <v>145950.60000000003</v>
      </c>
    </row>
    <row r="170" spans="1:20" x14ac:dyDescent="0.25">
      <c r="A170" t="s">
        <v>1843</v>
      </c>
      <c r="B170" t="s">
        <v>244</v>
      </c>
      <c r="C170">
        <v>1</v>
      </c>
      <c r="D170">
        <v>55524</v>
      </c>
      <c r="E170" t="s">
        <v>2204</v>
      </c>
      <c r="F170" t="s">
        <v>143</v>
      </c>
      <c r="G170" s="31">
        <v>0.54090000000000005</v>
      </c>
      <c r="H170" s="31">
        <v>0.58689999999999998</v>
      </c>
      <c r="I170" t="s">
        <v>1954</v>
      </c>
      <c r="J170" t="s">
        <v>1954</v>
      </c>
      <c r="K170">
        <v>8785592.0079999994</v>
      </c>
      <c r="L170">
        <v>64684208</v>
      </c>
      <c r="M170" s="32">
        <v>7.3624999999999998</v>
      </c>
      <c r="N170" t="s">
        <v>239</v>
      </c>
      <c r="O170" t="s">
        <v>1845</v>
      </c>
      <c r="P170">
        <v>1404</v>
      </c>
      <c r="Q170" t="s">
        <v>1958</v>
      </c>
      <c r="R170" t="s">
        <v>21</v>
      </c>
      <c r="S170" t="s">
        <v>22</v>
      </c>
      <c r="T170">
        <f t="shared" si="2"/>
        <v>147354.60000000003</v>
      </c>
    </row>
    <row r="171" spans="1:20" x14ac:dyDescent="0.25">
      <c r="A171" t="s">
        <v>776</v>
      </c>
      <c r="B171" t="s">
        <v>244</v>
      </c>
      <c r="C171">
        <v>1</v>
      </c>
      <c r="D171">
        <v>55701</v>
      </c>
      <c r="E171" t="s">
        <v>2053</v>
      </c>
      <c r="F171" t="s">
        <v>322</v>
      </c>
      <c r="G171" s="31">
        <v>0.55400000000000005</v>
      </c>
      <c r="H171" s="31">
        <v>0.6</v>
      </c>
      <c r="I171" t="s">
        <v>1954</v>
      </c>
      <c r="J171" t="s">
        <v>1954</v>
      </c>
      <c r="K171">
        <v>4028785</v>
      </c>
      <c r="L171">
        <v>29743807</v>
      </c>
      <c r="M171" s="32">
        <v>7.3827999999999996</v>
      </c>
      <c r="N171" t="s">
        <v>331</v>
      </c>
      <c r="O171" t="s">
        <v>778</v>
      </c>
      <c r="P171">
        <v>685.1</v>
      </c>
      <c r="Q171" t="s">
        <v>1958</v>
      </c>
      <c r="R171" t="s">
        <v>21</v>
      </c>
      <c r="S171" t="s">
        <v>22</v>
      </c>
      <c r="T171">
        <f t="shared" si="2"/>
        <v>148039.70000000004</v>
      </c>
    </row>
    <row r="172" spans="1:20" x14ac:dyDescent="0.25">
      <c r="A172" t="s">
        <v>779</v>
      </c>
      <c r="B172" t="s">
        <v>244</v>
      </c>
      <c r="C172">
        <v>1</v>
      </c>
      <c r="D172">
        <v>55701</v>
      </c>
      <c r="E172" t="s">
        <v>2053</v>
      </c>
      <c r="F172" t="s">
        <v>322</v>
      </c>
      <c r="G172" s="31">
        <v>0.55400000000000005</v>
      </c>
      <c r="H172" s="31">
        <v>0.6</v>
      </c>
      <c r="I172" t="s">
        <v>1954</v>
      </c>
      <c r="J172" t="s">
        <v>1954</v>
      </c>
      <c r="K172">
        <v>4028785</v>
      </c>
      <c r="L172">
        <v>29743807</v>
      </c>
      <c r="M172" s="32">
        <v>7.3827999999999996</v>
      </c>
      <c r="N172" t="s">
        <v>331</v>
      </c>
      <c r="O172" t="s">
        <v>778</v>
      </c>
      <c r="P172">
        <v>685.1</v>
      </c>
      <c r="Q172" t="s">
        <v>1958</v>
      </c>
      <c r="R172" t="s">
        <v>21</v>
      </c>
      <c r="S172" t="s">
        <v>22</v>
      </c>
      <c r="T172">
        <f t="shared" si="2"/>
        <v>148724.80000000005</v>
      </c>
    </row>
    <row r="173" spans="1:20" x14ac:dyDescent="0.25">
      <c r="A173" t="s">
        <v>780</v>
      </c>
      <c r="B173" t="s">
        <v>244</v>
      </c>
      <c r="C173">
        <v>1</v>
      </c>
      <c r="D173">
        <v>55701</v>
      </c>
      <c r="E173" t="s">
        <v>2053</v>
      </c>
      <c r="F173" t="s">
        <v>322</v>
      </c>
      <c r="G173" s="31">
        <v>0.51080000000000003</v>
      </c>
      <c r="H173" s="31">
        <v>0.55679999999999996</v>
      </c>
      <c r="I173" t="s">
        <v>1954</v>
      </c>
      <c r="J173" t="s">
        <v>1954</v>
      </c>
      <c r="K173">
        <v>4028785</v>
      </c>
      <c r="L173">
        <v>29743807</v>
      </c>
      <c r="M173" s="32">
        <v>7.3827999999999996</v>
      </c>
      <c r="N173" t="s">
        <v>331</v>
      </c>
      <c r="O173" t="s">
        <v>778</v>
      </c>
      <c r="P173">
        <v>685.1</v>
      </c>
      <c r="Q173" t="s">
        <v>1958</v>
      </c>
      <c r="R173" t="s">
        <v>21</v>
      </c>
      <c r="S173" t="s">
        <v>22</v>
      </c>
      <c r="T173">
        <f t="shared" si="2"/>
        <v>149409.90000000005</v>
      </c>
    </row>
    <row r="174" spans="1:20" x14ac:dyDescent="0.25">
      <c r="A174" t="s">
        <v>903</v>
      </c>
      <c r="B174" t="s">
        <v>213</v>
      </c>
      <c r="C174">
        <v>3</v>
      </c>
      <c r="D174">
        <v>7605</v>
      </c>
      <c r="E174" t="s">
        <v>2073</v>
      </c>
      <c r="F174" t="s">
        <v>842</v>
      </c>
      <c r="G174" s="31">
        <v>0.51</v>
      </c>
      <c r="H174" s="31">
        <v>0.438</v>
      </c>
      <c r="I174" t="s">
        <v>1954</v>
      </c>
      <c r="J174" t="s">
        <v>1954</v>
      </c>
      <c r="K174">
        <v>1317428</v>
      </c>
      <c r="L174">
        <v>9746461</v>
      </c>
      <c r="M174" s="32">
        <v>7.3981000000000003</v>
      </c>
      <c r="N174" t="s">
        <v>281</v>
      </c>
      <c r="O174" t="s">
        <v>267</v>
      </c>
      <c r="P174">
        <v>230</v>
      </c>
      <c r="Q174" t="s">
        <v>1958</v>
      </c>
      <c r="R174" t="s">
        <v>21</v>
      </c>
      <c r="S174" t="s">
        <v>22</v>
      </c>
      <c r="T174">
        <f t="shared" si="2"/>
        <v>149639.90000000005</v>
      </c>
    </row>
    <row r="175" spans="1:20" x14ac:dyDescent="0.25">
      <c r="A175" t="s">
        <v>907</v>
      </c>
      <c r="B175" t="s">
        <v>213</v>
      </c>
      <c r="C175">
        <v>3</v>
      </c>
      <c r="D175">
        <v>7605</v>
      </c>
      <c r="E175" t="s">
        <v>2073</v>
      </c>
      <c r="F175" t="s">
        <v>842</v>
      </c>
      <c r="G175" s="31">
        <v>0.51</v>
      </c>
      <c r="H175" s="31">
        <v>0.438</v>
      </c>
      <c r="I175" t="s">
        <v>1954</v>
      </c>
      <c r="J175" t="s">
        <v>1954</v>
      </c>
      <c r="K175">
        <v>1317428</v>
      </c>
      <c r="L175">
        <v>9746461</v>
      </c>
      <c r="M175" s="32">
        <v>7.3981000000000003</v>
      </c>
      <c r="N175" t="s">
        <v>281</v>
      </c>
      <c r="O175" t="s">
        <v>267</v>
      </c>
      <c r="P175">
        <v>230</v>
      </c>
      <c r="Q175" t="s">
        <v>1958</v>
      </c>
      <c r="R175" t="s">
        <v>21</v>
      </c>
      <c r="S175" t="s">
        <v>22</v>
      </c>
      <c r="T175">
        <f t="shared" si="2"/>
        <v>149869.90000000005</v>
      </c>
    </row>
    <row r="176" spans="1:20" x14ac:dyDescent="0.25">
      <c r="A176" t="s">
        <v>908</v>
      </c>
      <c r="B176" t="s">
        <v>213</v>
      </c>
      <c r="C176">
        <v>3</v>
      </c>
      <c r="D176">
        <v>7605</v>
      </c>
      <c r="E176" t="s">
        <v>2073</v>
      </c>
      <c r="F176" t="s">
        <v>842</v>
      </c>
      <c r="G176" s="31">
        <v>0.51</v>
      </c>
      <c r="H176" s="31">
        <v>0.438</v>
      </c>
      <c r="I176" t="s">
        <v>1954</v>
      </c>
      <c r="J176" t="s">
        <v>1954</v>
      </c>
      <c r="K176">
        <v>1317428</v>
      </c>
      <c r="L176">
        <v>9746461</v>
      </c>
      <c r="M176" s="32">
        <v>7.3981000000000003</v>
      </c>
      <c r="N176" t="s">
        <v>281</v>
      </c>
      <c r="O176" t="s">
        <v>267</v>
      </c>
      <c r="P176">
        <v>230</v>
      </c>
      <c r="Q176" t="s">
        <v>1958</v>
      </c>
      <c r="R176" t="s">
        <v>21</v>
      </c>
      <c r="S176" t="s">
        <v>22</v>
      </c>
      <c r="T176">
        <f t="shared" si="2"/>
        <v>150099.90000000005</v>
      </c>
    </row>
    <row r="177" spans="1:20" x14ac:dyDescent="0.25">
      <c r="A177" t="s">
        <v>909</v>
      </c>
      <c r="B177" t="s">
        <v>213</v>
      </c>
      <c r="C177">
        <v>3</v>
      </c>
      <c r="D177">
        <v>7605</v>
      </c>
      <c r="E177" t="s">
        <v>2073</v>
      </c>
      <c r="F177" t="s">
        <v>842</v>
      </c>
      <c r="G177" s="31">
        <v>0.51</v>
      </c>
      <c r="H177" s="31">
        <v>0.438</v>
      </c>
      <c r="I177" t="s">
        <v>1954</v>
      </c>
      <c r="J177" t="s">
        <v>1954</v>
      </c>
      <c r="K177">
        <v>1317428</v>
      </c>
      <c r="L177">
        <v>9746461</v>
      </c>
      <c r="M177" s="32">
        <v>7.3981000000000003</v>
      </c>
      <c r="N177" t="s">
        <v>281</v>
      </c>
      <c r="O177" t="s">
        <v>267</v>
      </c>
      <c r="P177">
        <v>230</v>
      </c>
      <c r="Q177" t="s">
        <v>1958</v>
      </c>
      <c r="R177" t="s">
        <v>21</v>
      </c>
      <c r="S177" t="s">
        <v>22</v>
      </c>
      <c r="T177">
        <f t="shared" si="2"/>
        <v>150329.90000000005</v>
      </c>
    </row>
    <row r="178" spans="1:20" x14ac:dyDescent="0.25">
      <c r="A178" t="s">
        <v>910</v>
      </c>
      <c r="B178" t="s">
        <v>213</v>
      </c>
      <c r="C178">
        <v>3</v>
      </c>
      <c r="D178">
        <v>7605</v>
      </c>
      <c r="E178" t="s">
        <v>2073</v>
      </c>
      <c r="F178" t="s">
        <v>842</v>
      </c>
      <c r="G178" s="31">
        <v>0.51</v>
      </c>
      <c r="H178" s="31">
        <v>0.438</v>
      </c>
      <c r="I178" t="s">
        <v>1954</v>
      </c>
      <c r="J178" t="s">
        <v>1954</v>
      </c>
      <c r="K178">
        <v>1317428</v>
      </c>
      <c r="L178">
        <v>9746461</v>
      </c>
      <c r="M178" s="32">
        <v>7.3981000000000003</v>
      </c>
      <c r="N178" t="s">
        <v>281</v>
      </c>
      <c r="O178" t="s">
        <v>267</v>
      </c>
      <c r="P178">
        <v>230</v>
      </c>
      <c r="Q178" t="s">
        <v>1958</v>
      </c>
      <c r="R178" t="s">
        <v>21</v>
      </c>
      <c r="S178" t="s">
        <v>22</v>
      </c>
      <c r="T178">
        <f t="shared" si="2"/>
        <v>150559.90000000005</v>
      </c>
    </row>
    <row r="179" spans="1:20" x14ac:dyDescent="0.25">
      <c r="A179" t="s">
        <v>911</v>
      </c>
      <c r="B179" t="s">
        <v>213</v>
      </c>
      <c r="C179">
        <v>3</v>
      </c>
      <c r="D179">
        <v>7605</v>
      </c>
      <c r="E179" t="s">
        <v>2073</v>
      </c>
      <c r="F179" t="s">
        <v>842</v>
      </c>
      <c r="G179" s="31">
        <v>0.51</v>
      </c>
      <c r="H179" s="31">
        <v>0.438</v>
      </c>
      <c r="I179" t="s">
        <v>1954</v>
      </c>
      <c r="J179" t="s">
        <v>1954</v>
      </c>
      <c r="K179">
        <v>1317428</v>
      </c>
      <c r="L179">
        <v>9746461</v>
      </c>
      <c r="M179" s="32">
        <v>7.3981000000000003</v>
      </c>
      <c r="N179" t="s">
        <v>281</v>
      </c>
      <c r="O179" t="s">
        <v>267</v>
      </c>
      <c r="P179">
        <v>230</v>
      </c>
      <c r="Q179" t="s">
        <v>1958</v>
      </c>
      <c r="R179" t="s">
        <v>21</v>
      </c>
      <c r="S179" t="s">
        <v>22</v>
      </c>
      <c r="T179">
        <f t="shared" si="2"/>
        <v>150789.90000000005</v>
      </c>
    </row>
    <row r="180" spans="1:20" x14ac:dyDescent="0.25">
      <c r="A180" t="s">
        <v>912</v>
      </c>
      <c r="B180" t="s">
        <v>213</v>
      </c>
      <c r="C180">
        <v>3</v>
      </c>
      <c r="D180">
        <v>7605</v>
      </c>
      <c r="E180" t="s">
        <v>2073</v>
      </c>
      <c r="F180" t="s">
        <v>842</v>
      </c>
      <c r="G180" s="31">
        <v>0.51</v>
      </c>
      <c r="H180" s="31">
        <v>0.438</v>
      </c>
      <c r="I180" t="s">
        <v>1954</v>
      </c>
      <c r="J180" t="s">
        <v>1954</v>
      </c>
      <c r="K180">
        <v>1317428</v>
      </c>
      <c r="L180">
        <v>9746461</v>
      </c>
      <c r="M180" s="32">
        <v>7.3981000000000003</v>
      </c>
      <c r="N180" t="s">
        <v>281</v>
      </c>
      <c r="O180" t="s">
        <v>267</v>
      </c>
      <c r="P180">
        <v>230</v>
      </c>
      <c r="Q180" t="s">
        <v>1958</v>
      </c>
      <c r="R180" t="s">
        <v>21</v>
      </c>
      <c r="S180" t="s">
        <v>22</v>
      </c>
      <c r="T180">
        <f t="shared" si="2"/>
        <v>151019.90000000005</v>
      </c>
    </row>
    <row r="181" spans="1:20" x14ac:dyDescent="0.25">
      <c r="A181" t="s">
        <v>913</v>
      </c>
      <c r="B181" t="s">
        <v>213</v>
      </c>
      <c r="C181">
        <v>3</v>
      </c>
      <c r="D181">
        <v>7605</v>
      </c>
      <c r="E181" t="s">
        <v>2073</v>
      </c>
      <c r="F181" t="s">
        <v>842</v>
      </c>
      <c r="G181" s="31">
        <v>0.51</v>
      </c>
      <c r="H181" s="31">
        <v>0.438</v>
      </c>
      <c r="I181" t="s">
        <v>1954</v>
      </c>
      <c r="J181" t="s">
        <v>1954</v>
      </c>
      <c r="K181">
        <v>1317428</v>
      </c>
      <c r="L181">
        <v>9746461</v>
      </c>
      <c r="M181" s="32">
        <v>7.3981000000000003</v>
      </c>
      <c r="N181" t="s">
        <v>281</v>
      </c>
      <c r="O181" t="s">
        <v>267</v>
      </c>
      <c r="P181">
        <v>230</v>
      </c>
      <c r="Q181" t="s">
        <v>1958</v>
      </c>
      <c r="R181" t="s">
        <v>21</v>
      </c>
      <c r="S181" t="s">
        <v>22</v>
      </c>
      <c r="T181">
        <f t="shared" si="2"/>
        <v>151249.90000000005</v>
      </c>
    </row>
    <row r="182" spans="1:20" x14ac:dyDescent="0.25">
      <c r="A182" t="s">
        <v>1609</v>
      </c>
      <c r="B182" t="s">
        <v>244</v>
      </c>
      <c r="C182">
        <v>3</v>
      </c>
      <c r="D182">
        <v>7605</v>
      </c>
      <c r="E182" t="s">
        <v>2073</v>
      </c>
      <c r="F182" t="s">
        <v>842</v>
      </c>
      <c r="G182" s="31">
        <v>0.40910000000000002</v>
      </c>
      <c r="H182" s="31">
        <v>0.33710000000000001</v>
      </c>
      <c r="I182" t="s">
        <v>1954</v>
      </c>
      <c r="J182" t="s">
        <v>1954</v>
      </c>
      <c r="K182">
        <v>1317428</v>
      </c>
      <c r="L182">
        <v>9746461</v>
      </c>
      <c r="M182" s="32">
        <v>7.3981000000000003</v>
      </c>
      <c r="N182" t="s">
        <v>281</v>
      </c>
      <c r="O182" t="s">
        <v>267</v>
      </c>
      <c r="P182">
        <v>230</v>
      </c>
      <c r="Q182" t="s">
        <v>1958</v>
      </c>
      <c r="R182" t="s">
        <v>21</v>
      </c>
      <c r="S182" t="s">
        <v>22</v>
      </c>
      <c r="T182">
        <f t="shared" si="2"/>
        <v>151479.90000000005</v>
      </c>
    </row>
    <row r="183" spans="1:20" x14ac:dyDescent="0.25">
      <c r="A183" t="s">
        <v>1452</v>
      </c>
      <c r="B183" t="s">
        <v>244</v>
      </c>
      <c r="C183">
        <v>3</v>
      </c>
      <c r="D183">
        <v>55317</v>
      </c>
      <c r="E183" t="s">
        <v>2144</v>
      </c>
      <c r="F183" t="s">
        <v>2083</v>
      </c>
      <c r="G183" s="31">
        <v>0.51959999999999995</v>
      </c>
      <c r="H183" s="31">
        <v>0.4476</v>
      </c>
      <c r="I183" t="s">
        <v>1954</v>
      </c>
      <c r="J183" t="s">
        <v>1954</v>
      </c>
      <c r="K183">
        <v>3105506.986</v>
      </c>
      <c r="L183">
        <v>23049149</v>
      </c>
      <c r="M183" s="32">
        <v>7.4219999999999997</v>
      </c>
      <c r="N183" t="s">
        <v>239</v>
      </c>
      <c r="O183" t="s">
        <v>2145</v>
      </c>
      <c r="P183">
        <v>724</v>
      </c>
      <c r="Q183" t="s">
        <v>1958</v>
      </c>
      <c r="R183" t="s">
        <v>21</v>
      </c>
      <c r="S183" t="s">
        <v>22</v>
      </c>
      <c r="T183">
        <f t="shared" si="2"/>
        <v>152203.90000000005</v>
      </c>
    </row>
    <row r="184" spans="1:20" x14ac:dyDescent="0.25">
      <c r="A184" t="s">
        <v>903</v>
      </c>
      <c r="B184" t="s">
        <v>213</v>
      </c>
      <c r="C184">
        <v>2</v>
      </c>
      <c r="D184">
        <v>55149</v>
      </c>
      <c r="E184" t="s">
        <v>2070</v>
      </c>
      <c r="F184" t="s">
        <v>2071</v>
      </c>
      <c r="G184" s="31">
        <v>0.53710000000000002</v>
      </c>
      <c r="H184" s="31">
        <v>0.46510000000000001</v>
      </c>
      <c r="I184" t="s">
        <v>1954</v>
      </c>
      <c r="J184" t="s">
        <v>1954</v>
      </c>
      <c r="K184">
        <v>5814808</v>
      </c>
      <c r="L184">
        <v>43328065</v>
      </c>
      <c r="M184" s="32">
        <v>7.4512999999999998</v>
      </c>
      <c r="N184" t="s">
        <v>281</v>
      </c>
      <c r="O184" t="s">
        <v>2072</v>
      </c>
      <c r="P184">
        <v>828.8</v>
      </c>
      <c r="Q184" t="s">
        <v>1958</v>
      </c>
      <c r="R184" t="s">
        <v>21</v>
      </c>
      <c r="S184" t="s">
        <v>22</v>
      </c>
      <c r="T184">
        <f t="shared" si="2"/>
        <v>153032.70000000004</v>
      </c>
    </row>
    <row r="185" spans="1:20" x14ac:dyDescent="0.25">
      <c r="A185" t="s">
        <v>907</v>
      </c>
      <c r="B185" t="s">
        <v>213</v>
      </c>
      <c r="C185">
        <v>2</v>
      </c>
      <c r="D185">
        <v>55149</v>
      </c>
      <c r="E185" t="s">
        <v>2070</v>
      </c>
      <c r="F185" t="s">
        <v>2071</v>
      </c>
      <c r="G185" s="31">
        <v>0.53710000000000002</v>
      </c>
      <c r="H185" s="31">
        <v>0.46510000000000001</v>
      </c>
      <c r="I185" t="s">
        <v>1954</v>
      </c>
      <c r="J185" t="s">
        <v>1954</v>
      </c>
      <c r="K185">
        <v>5814808</v>
      </c>
      <c r="L185">
        <v>43328065</v>
      </c>
      <c r="M185" s="32">
        <v>7.4512999999999998</v>
      </c>
      <c r="N185" t="s">
        <v>281</v>
      </c>
      <c r="O185" t="s">
        <v>2072</v>
      </c>
      <c r="P185">
        <v>828.8</v>
      </c>
      <c r="Q185" t="s">
        <v>1958</v>
      </c>
      <c r="R185" t="s">
        <v>21</v>
      </c>
      <c r="S185" t="s">
        <v>22</v>
      </c>
      <c r="T185">
        <f t="shared" si="2"/>
        <v>153861.50000000003</v>
      </c>
    </row>
    <row r="186" spans="1:20" x14ac:dyDescent="0.25">
      <c r="A186" t="s">
        <v>908</v>
      </c>
      <c r="B186" t="s">
        <v>213</v>
      </c>
      <c r="C186">
        <v>2</v>
      </c>
      <c r="D186">
        <v>55149</v>
      </c>
      <c r="E186" t="s">
        <v>2070</v>
      </c>
      <c r="F186" t="s">
        <v>2071</v>
      </c>
      <c r="G186" s="31">
        <v>0.53710000000000002</v>
      </c>
      <c r="H186" s="31">
        <v>0.46510000000000001</v>
      </c>
      <c r="I186" t="s">
        <v>1954</v>
      </c>
      <c r="J186" t="s">
        <v>1954</v>
      </c>
      <c r="K186">
        <v>5814808</v>
      </c>
      <c r="L186">
        <v>43328065</v>
      </c>
      <c r="M186" s="32">
        <v>7.4512999999999998</v>
      </c>
      <c r="N186" t="s">
        <v>281</v>
      </c>
      <c r="O186" t="s">
        <v>2072</v>
      </c>
      <c r="P186">
        <v>828.8</v>
      </c>
      <c r="Q186" t="s">
        <v>1958</v>
      </c>
      <c r="R186" t="s">
        <v>21</v>
      </c>
      <c r="S186" t="s">
        <v>22</v>
      </c>
      <c r="T186">
        <f t="shared" si="2"/>
        <v>154690.30000000002</v>
      </c>
    </row>
    <row r="187" spans="1:20" x14ac:dyDescent="0.25">
      <c r="A187" t="s">
        <v>909</v>
      </c>
      <c r="B187" t="s">
        <v>213</v>
      </c>
      <c r="C187">
        <v>2</v>
      </c>
      <c r="D187">
        <v>55149</v>
      </c>
      <c r="E187" t="s">
        <v>2070</v>
      </c>
      <c r="F187" t="s">
        <v>2071</v>
      </c>
      <c r="G187" s="31">
        <v>0.53710000000000002</v>
      </c>
      <c r="H187" s="31">
        <v>0.46510000000000001</v>
      </c>
      <c r="I187" t="s">
        <v>1954</v>
      </c>
      <c r="J187" t="s">
        <v>1954</v>
      </c>
      <c r="K187">
        <v>5814808</v>
      </c>
      <c r="L187">
        <v>43328065</v>
      </c>
      <c r="M187" s="32">
        <v>7.4512999999999998</v>
      </c>
      <c r="N187" t="s">
        <v>281</v>
      </c>
      <c r="O187" t="s">
        <v>2072</v>
      </c>
      <c r="P187">
        <v>828.8</v>
      </c>
      <c r="Q187" t="s">
        <v>1958</v>
      </c>
      <c r="R187" t="s">
        <v>21</v>
      </c>
      <c r="S187" t="s">
        <v>22</v>
      </c>
      <c r="T187">
        <f t="shared" si="2"/>
        <v>155519.1</v>
      </c>
    </row>
    <row r="188" spans="1:20" x14ac:dyDescent="0.25">
      <c r="A188" t="s">
        <v>910</v>
      </c>
      <c r="B188" t="s">
        <v>213</v>
      </c>
      <c r="C188">
        <v>2</v>
      </c>
      <c r="D188">
        <v>55149</v>
      </c>
      <c r="E188" t="s">
        <v>2070</v>
      </c>
      <c r="F188" t="s">
        <v>2071</v>
      </c>
      <c r="G188" s="31">
        <v>0.53710000000000002</v>
      </c>
      <c r="H188" s="31">
        <v>0.46510000000000001</v>
      </c>
      <c r="I188" t="s">
        <v>1954</v>
      </c>
      <c r="J188" t="s">
        <v>1954</v>
      </c>
      <c r="K188">
        <v>5814808</v>
      </c>
      <c r="L188">
        <v>43328065</v>
      </c>
      <c r="M188" s="32">
        <v>7.4512999999999998</v>
      </c>
      <c r="N188" t="s">
        <v>281</v>
      </c>
      <c r="O188" t="s">
        <v>2072</v>
      </c>
      <c r="P188">
        <v>828.8</v>
      </c>
      <c r="Q188" t="s">
        <v>1958</v>
      </c>
      <c r="R188" t="s">
        <v>21</v>
      </c>
      <c r="S188" t="s">
        <v>22</v>
      </c>
      <c r="T188">
        <f t="shared" si="2"/>
        <v>156347.9</v>
      </c>
    </row>
    <row r="189" spans="1:20" x14ac:dyDescent="0.25">
      <c r="A189" t="s">
        <v>911</v>
      </c>
      <c r="B189" t="s">
        <v>213</v>
      </c>
      <c r="C189">
        <v>2</v>
      </c>
      <c r="D189">
        <v>55149</v>
      </c>
      <c r="E189" t="s">
        <v>2070</v>
      </c>
      <c r="F189" t="s">
        <v>2071</v>
      </c>
      <c r="G189" s="31">
        <v>0.53710000000000002</v>
      </c>
      <c r="H189" s="31">
        <v>0.46510000000000001</v>
      </c>
      <c r="I189" t="s">
        <v>1954</v>
      </c>
      <c r="J189" t="s">
        <v>1954</v>
      </c>
      <c r="K189">
        <v>5814808</v>
      </c>
      <c r="L189">
        <v>43328065</v>
      </c>
      <c r="M189" s="32">
        <v>7.4512999999999998</v>
      </c>
      <c r="N189" t="s">
        <v>281</v>
      </c>
      <c r="O189" t="s">
        <v>2072</v>
      </c>
      <c r="P189">
        <v>828.8</v>
      </c>
      <c r="Q189" t="s">
        <v>1958</v>
      </c>
      <c r="R189" t="s">
        <v>21</v>
      </c>
      <c r="S189" t="s">
        <v>22</v>
      </c>
      <c r="T189">
        <f t="shared" si="2"/>
        <v>157176.69999999998</v>
      </c>
    </row>
    <row r="190" spans="1:20" x14ac:dyDescent="0.25">
      <c r="A190" t="s">
        <v>912</v>
      </c>
      <c r="B190" t="s">
        <v>213</v>
      </c>
      <c r="C190">
        <v>2</v>
      </c>
      <c r="D190">
        <v>55149</v>
      </c>
      <c r="E190" t="s">
        <v>2070</v>
      </c>
      <c r="F190" t="s">
        <v>2071</v>
      </c>
      <c r="G190" s="31">
        <v>0.53710000000000002</v>
      </c>
      <c r="H190" s="31">
        <v>0.46510000000000001</v>
      </c>
      <c r="I190" t="s">
        <v>1954</v>
      </c>
      <c r="J190" t="s">
        <v>1954</v>
      </c>
      <c r="K190">
        <v>5814808</v>
      </c>
      <c r="L190">
        <v>43328065</v>
      </c>
      <c r="M190" s="32">
        <v>7.4512999999999998</v>
      </c>
      <c r="N190" t="s">
        <v>281</v>
      </c>
      <c r="O190" t="s">
        <v>2072</v>
      </c>
      <c r="P190">
        <v>828.8</v>
      </c>
      <c r="Q190" t="s">
        <v>1958</v>
      </c>
      <c r="R190" t="s">
        <v>21</v>
      </c>
      <c r="S190" t="s">
        <v>22</v>
      </c>
      <c r="T190">
        <f t="shared" si="2"/>
        <v>158005.49999999997</v>
      </c>
    </row>
    <row r="191" spans="1:20" x14ac:dyDescent="0.25">
      <c r="A191" t="s">
        <v>913</v>
      </c>
      <c r="B191" t="s">
        <v>213</v>
      </c>
      <c r="C191">
        <v>2</v>
      </c>
      <c r="D191">
        <v>55149</v>
      </c>
      <c r="E191" t="s">
        <v>2070</v>
      </c>
      <c r="F191" t="s">
        <v>2071</v>
      </c>
      <c r="G191" s="31">
        <v>0.53710000000000002</v>
      </c>
      <c r="H191" s="31">
        <v>0.46510000000000001</v>
      </c>
      <c r="I191" t="s">
        <v>1954</v>
      </c>
      <c r="J191" t="s">
        <v>1954</v>
      </c>
      <c r="K191">
        <v>5814808</v>
      </c>
      <c r="L191">
        <v>43328065</v>
      </c>
      <c r="M191" s="32">
        <v>7.4512999999999998</v>
      </c>
      <c r="N191" t="s">
        <v>281</v>
      </c>
      <c r="O191" t="s">
        <v>2072</v>
      </c>
      <c r="P191">
        <v>828.8</v>
      </c>
      <c r="Q191" t="s">
        <v>1958</v>
      </c>
      <c r="R191" t="s">
        <v>21</v>
      </c>
      <c r="S191" t="s">
        <v>22</v>
      </c>
      <c r="T191">
        <f t="shared" si="2"/>
        <v>158834.29999999996</v>
      </c>
    </row>
    <row r="192" spans="1:20" x14ac:dyDescent="0.25">
      <c r="A192" t="s">
        <v>1096</v>
      </c>
      <c r="B192" t="s">
        <v>244</v>
      </c>
      <c r="C192">
        <v>1</v>
      </c>
      <c r="D192">
        <v>2406</v>
      </c>
      <c r="E192" t="s">
        <v>1097</v>
      </c>
      <c r="F192" t="s">
        <v>241</v>
      </c>
      <c r="G192" s="31">
        <v>1</v>
      </c>
      <c r="H192" s="31">
        <v>1</v>
      </c>
      <c r="I192" t="s">
        <v>1954</v>
      </c>
      <c r="J192" t="s">
        <v>1954</v>
      </c>
      <c r="K192">
        <v>4339560.6749999998</v>
      </c>
      <c r="L192">
        <v>32612692</v>
      </c>
      <c r="M192" s="32">
        <v>7.5152000000000001</v>
      </c>
      <c r="N192" t="s">
        <v>239</v>
      </c>
      <c r="O192" t="s">
        <v>1098</v>
      </c>
      <c r="P192">
        <v>1300</v>
      </c>
      <c r="Q192" s="33" t="s">
        <v>1955</v>
      </c>
      <c r="R192" t="s">
        <v>21</v>
      </c>
      <c r="S192" t="s">
        <v>22</v>
      </c>
      <c r="T192">
        <f t="shared" si="2"/>
        <v>160134.29999999996</v>
      </c>
    </row>
    <row r="193" spans="1:20" x14ac:dyDescent="0.25">
      <c r="A193" t="s">
        <v>1099</v>
      </c>
      <c r="B193" t="s">
        <v>244</v>
      </c>
      <c r="C193">
        <v>1</v>
      </c>
      <c r="D193">
        <v>2406</v>
      </c>
      <c r="E193" t="s">
        <v>1097</v>
      </c>
      <c r="F193" t="s">
        <v>241</v>
      </c>
      <c r="G193" s="31">
        <v>1</v>
      </c>
      <c r="H193" s="31">
        <v>1</v>
      </c>
      <c r="I193" t="s">
        <v>1954</v>
      </c>
      <c r="J193" t="s">
        <v>1954</v>
      </c>
      <c r="K193">
        <v>4339560.6749999998</v>
      </c>
      <c r="L193">
        <v>32612692</v>
      </c>
      <c r="M193" s="32">
        <v>7.5152000000000001</v>
      </c>
      <c r="N193" t="s">
        <v>239</v>
      </c>
      <c r="O193" t="s">
        <v>1098</v>
      </c>
      <c r="P193">
        <v>1300</v>
      </c>
      <c r="Q193" s="33" t="s">
        <v>1955</v>
      </c>
      <c r="R193" t="s">
        <v>21</v>
      </c>
      <c r="S193" t="s">
        <v>22</v>
      </c>
      <c r="T193">
        <f t="shared" si="2"/>
        <v>161434.29999999996</v>
      </c>
    </row>
    <row r="194" spans="1:20" x14ac:dyDescent="0.25">
      <c r="A194" t="s">
        <v>1100</v>
      </c>
      <c r="B194" t="s">
        <v>244</v>
      </c>
      <c r="C194">
        <v>1</v>
      </c>
      <c r="D194">
        <v>2406</v>
      </c>
      <c r="E194" t="s">
        <v>1097</v>
      </c>
      <c r="F194" t="s">
        <v>241</v>
      </c>
      <c r="G194" s="31">
        <v>1</v>
      </c>
      <c r="H194" s="31">
        <v>1</v>
      </c>
      <c r="I194" t="s">
        <v>1954</v>
      </c>
      <c r="J194" t="s">
        <v>1954</v>
      </c>
      <c r="K194">
        <v>4339560.6749999998</v>
      </c>
      <c r="L194">
        <v>32612692</v>
      </c>
      <c r="M194" s="32">
        <v>7.5152000000000001</v>
      </c>
      <c r="N194" t="s">
        <v>239</v>
      </c>
      <c r="O194" t="s">
        <v>1098</v>
      </c>
      <c r="P194">
        <v>1300</v>
      </c>
      <c r="Q194" s="33" t="s">
        <v>1955</v>
      </c>
      <c r="R194" t="s">
        <v>21</v>
      </c>
      <c r="S194" t="s">
        <v>22</v>
      </c>
      <c r="T194">
        <f t="shared" si="2"/>
        <v>162734.29999999996</v>
      </c>
    </row>
    <row r="195" spans="1:20" x14ac:dyDescent="0.25">
      <c r="A195" t="s">
        <v>1598</v>
      </c>
      <c r="B195" t="s">
        <v>213</v>
      </c>
      <c r="C195">
        <v>2</v>
      </c>
      <c r="D195">
        <v>55177</v>
      </c>
      <c r="E195" t="s">
        <v>2168</v>
      </c>
      <c r="F195" t="s">
        <v>2149</v>
      </c>
      <c r="G195" s="31">
        <v>0.47789999999999999</v>
      </c>
      <c r="H195" s="31">
        <v>0.40589999999999998</v>
      </c>
      <c r="I195" t="s">
        <v>1954</v>
      </c>
      <c r="J195" t="s">
        <v>1954</v>
      </c>
      <c r="K195">
        <v>2024909</v>
      </c>
      <c r="L195">
        <v>15252003</v>
      </c>
      <c r="M195" s="32">
        <v>7.5321999999999996</v>
      </c>
      <c r="N195" t="s">
        <v>331</v>
      </c>
      <c r="O195" t="s">
        <v>2169</v>
      </c>
      <c r="P195">
        <v>516.6</v>
      </c>
      <c r="Q195" t="s">
        <v>1958</v>
      </c>
      <c r="R195" t="s">
        <v>21</v>
      </c>
      <c r="S195" t="s">
        <v>22</v>
      </c>
      <c r="T195">
        <f t="shared" si="2"/>
        <v>163250.89999999997</v>
      </c>
    </row>
    <row r="196" spans="1:20" x14ac:dyDescent="0.25">
      <c r="A196" t="s">
        <v>1601</v>
      </c>
      <c r="B196" t="s">
        <v>213</v>
      </c>
      <c r="C196">
        <v>2</v>
      </c>
      <c r="D196">
        <v>55177</v>
      </c>
      <c r="E196" t="s">
        <v>2168</v>
      </c>
      <c r="F196" t="s">
        <v>2149</v>
      </c>
      <c r="G196" s="31">
        <v>0.47789999999999999</v>
      </c>
      <c r="H196" s="31">
        <v>0.40589999999999998</v>
      </c>
      <c r="I196" t="s">
        <v>1954</v>
      </c>
      <c r="J196" t="s">
        <v>1954</v>
      </c>
      <c r="K196">
        <v>2024909</v>
      </c>
      <c r="L196">
        <v>15252003</v>
      </c>
      <c r="M196" s="32">
        <v>7.5321999999999996</v>
      </c>
      <c r="N196" t="s">
        <v>331</v>
      </c>
      <c r="O196" t="s">
        <v>2169</v>
      </c>
      <c r="P196">
        <v>516.6</v>
      </c>
      <c r="Q196" t="s">
        <v>1958</v>
      </c>
      <c r="R196" t="s">
        <v>21</v>
      </c>
      <c r="S196" t="s">
        <v>22</v>
      </c>
      <c r="T196">
        <f t="shared" ref="T196:T259" si="3">T195+P196</f>
        <v>163767.49999999997</v>
      </c>
    </row>
    <row r="197" spans="1:20" x14ac:dyDescent="0.25">
      <c r="A197" t="s">
        <v>513</v>
      </c>
      <c r="B197" t="s">
        <v>244</v>
      </c>
      <c r="C197">
        <v>1</v>
      </c>
      <c r="D197">
        <v>55188</v>
      </c>
      <c r="E197" t="s">
        <v>514</v>
      </c>
      <c r="F197" t="s">
        <v>166</v>
      </c>
      <c r="G197" s="31">
        <v>1</v>
      </c>
      <c r="H197" s="31">
        <v>1</v>
      </c>
      <c r="I197" t="s">
        <v>1954</v>
      </c>
      <c r="J197" t="s">
        <v>1954</v>
      </c>
      <c r="K197">
        <v>1095265</v>
      </c>
      <c r="L197">
        <v>8268679</v>
      </c>
      <c r="M197" s="32">
        <v>7.5495000000000001</v>
      </c>
      <c r="N197" t="s">
        <v>331</v>
      </c>
      <c r="O197" t="s">
        <v>515</v>
      </c>
      <c r="P197">
        <v>521.20000000000005</v>
      </c>
      <c r="Q197" s="33" t="s">
        <v>1955</v>
      </c>
      <c r="R197" t="s">
        <v>21</v>
      </c>
      <c r="S197" t="s">
        <v>22</v>
      </c>
      <c r="T197">
        <f t="shared" si="3"/>
        <v>164288.69999999998</v>
      </c>
    </row>
    <row r="198" spans="1:20" x14ac:dyDescent="0.25">
      <c r="A198" t="s">
        <v>516</v>
      </c>
      <c r="B198" t="s">
        <v>244</v>
      </c>
      <c r="C198">
        <v>1</v>
      </c>
      <c r="D198">
        <v>55188</v>
      </c>
      <c r="E198" t="s">
        <v>514</v>
      </c>
      <c r="F198" t="s">
        <v>166</v>
      </c>
      <c r="G198" s="31">
        <v>1</v>
      </c>
      <c r="H198" s="31">
        <v>1</v>
      </c>
      <c r="I198" t="s">
        <v>1954</v>
      </c>
      <c r="J198" t="s">
        <v>1954</v>
      </c>
      <c r="K198">
        <v>1095265</v>
      </c>
      <c r="L198">
        <v>8268679</v>
      </c>
      <c r="M198" s="32">
        <v>7.5495000000000001</v>
      </c>
      <c r="N198" t="s">
        <v>331</v>
      </c>
      <c r="O198" t="s">
        <v>515</v>
      </c>
      <c r="P198">
        <v>521.20000000000005</v>
      </c>
      <c r="Q198" s="33" t="s">
        <v>1955</v>
      </c>
      <c r="R198" t="s">
        <v>21</v>
      </c>
      <c r="S198" t="s">
        <v>22</v>
      </c>
      <c r="T198">
        <f t="shared" si="3"/>
        <v>164809.9</v>
      </c>
    </row>
    <row r="199" spans="1:20" x14ac:dyDescent="0.25">
      <c r="A199" t="s">
        <v>517</v>
      </c>
      <c r="B199" t="s">
        <v>244</v>
      </c>
      <c r="C199">
        <v>1</v>
      </c>
      <c r="D199">
        <v>55188</v>
      </c>
      <c r="E199" t="s">
        <v>514</v>
      </c>
      <c r="F199" t="s">
        <v>166</v>
      </c>
      <c r="G199" s="31">
        <v>1</v>
      </c>
      <c r="H199" s="31">
        <v>1</v>
      </c>
      <c r="I199" t="s">
        <v>1954</v>
      </c>
      <c r="J199" t="s">
        <v>1954</v>
      </c>
      <c r="K199">
        <v>1095265</v>
      </c>
      <c r="L199">
        <v>8268679</v>
      </c>
      <c r="M199" s="32">
        <v>7.5495000000000001</v>
      </c>
      <c r="N199" t="s">
        <v>331</v>
      </c>
      <c r="O199" t="s">
        <v>515</v>
      </c>
      <c r="P199">
        <v>521.20000000000005</v>
      </c>
      <c r="Q199" s="33" t="s">
        <v>1955</v>
      </c>
      <c r="R199" t="s">
        <v>21</v>
      </c>
      <c r="S199" t="s">
        <v>22</v>
      </c>
      <c r="T199">
        <f t="shared" si="3"/>
        <v>165331.1</v>
      </c>
    </row>
    <row r="200" spans="1:20" x14ac:dyDescent="0.25">
      <c r="A200" t="s">
        <v>592</v>
      </c>
      <c r="B200" t="s">
        <v>244</v>
      </c>
      <c r="C200">
        <v>1</v>
      </c>
      <c r="D200">
        <v>63259</v>
      </c>
      <c r="E200" t="s">
        <v>598</v>
      </c>
      <c r="F200" t="s">
        <v>250</v>
      </c>
      <c r="G200" s="31">
        <v>0.50470000000000004</v>
      </c>
      <c r="H200" s="31">
        <v>0.55069999999999997</v>
      </c>
      <c r="I200" t="s">
        <v>1954</v>
      </c>
      <c r="J200" t="s">
        <v>1954</v>
      </c>
      <c r="K200">
        <v>1317655</v>
      </c>
      <c r="L200">
        <v>9991067</v>
      </c>
      <c r="M200" s="32">
        <v>7.5824999999999996</v>
      </c>
      <c r="N200" t="s">
        <v>331</v>
      </c>
      <c r="O200" t="s">
        <v>594</v>
      </c>
      <c r="P200">
        <v>177.6</v>
      </c>
      <c r="Q200" t="s">
        <v>1958</v>
      </c>
      <c r="R200" t="s">
        <v>21</v>
      </c>
      <c r="S200" t="s">
        <v>22</v>
      </c>
      <c r="T200">
        <f t="shared" si="3"/>
        <v>165508.70000000001</v>
      </c>
    </row>
    <row r="201" spans="1:20" x14ac:dyDescent="0.25">
      <c r="A201" t="s">
        <v>595</v>
      </c>
      <c r="B201" t="s">
        <v>244</v>
      </c>
      <c r="C201">
        <v>1</v>
      </c>
      <c r="D201">
        <v>63259</v>
      </c>
      <c r="E201" t="s">
        <v>598</v>
      </c>
      <c r="F201" t="s">
        <v>250</v>
      </c>
      <c r="G201" s="31">
        <v>0.50470000000000004</v>
      </c>
      <c r="H201" s="31">
        <v>0.55069999999999997</v>
      </c>
      <c r="I201" t="s">
        <v>1954</v>
      </c>
      <c r="J201" t="s">
        <v>1954</v>
      </c>
      <c r="K201">
        <v>1317655</v>
      </c>
      <c r="L201">
        <v>9991067</v>
      </c>
      <c r="M201" s="32">
        <v>7.5824999999999996</v>
      </c>
      <c r="N201" t="s">
        <v>331</v>
      </c>
      <c r="O201" t="s">
        <v>594</v>
      </c>
      <c r="P201">
        <v>177.6</v>
      </c>
      <c r="Q201" t="s">
        <v>1958</v>
      </c>
      <c r="R201" t="s">
        <v>21</v>
      </c>
      <c r="S201" t="s">
        <v>22</v>
      </c>
      <c r="T201">
        <f t="shared" si="3"/>
        <v>165686.30000000002</v>
      </c>
    </row>
    <row r="202" spans="1:20" x14ac:dyDescent="0.25">
      <c r="A202" t="s">
        <v>596</v>
      </c>
      <c r="B202" t="s">
        <v>244</v>
      </c>
      <c r="C202">
        <v>1</v>
      </c>
      <c r="D202">
        <v>63259</v>
      </c>
      <c r="E202" t="s">
        <v>598</v>
      </c>
      <c r="F202" t="s">
        <v>250</v>
      </c>
      <c r="G202" s="31">
        <v>0.50470000000000004</v>
      </c>
      <c r="H202" s="31">
        <v>0.55069999999999997</v>
      </c>
      <c r="I202" t="s">
        <v>1954</v>
      </c>
      <c r="J202" t="s">
        <v>1954</v>
      </c>
      <c r="K202">
        <v>1317655</v>
      </c>
      <c r="L202">
        <v>9991067</v>
      </c>
      <c r="M202" s="32">
        <v>7.5824999999999996</v>
      </c>
      <c r="N202" t="s">
        <v>331</v>
      </c>
      <c r="O202" t="s">
        <v>594</v>
      </c>
      <c r="P202">
        <v>177.6</v>
      </c>
      <c r="Q202" t="s">
        <v>1958</v>
      </c>
      <c r="R202" t="s">
        <v>21</v>
      </c>
      <c r="S202" t="s">
        <v>22</v>
      </c>
      <c r="T202">
        <f t="shared" si="3"/>
        <v>165863.90000000002</v>
      </c>
    </row>
    <row r="203" spans="1:20" x14ac:dyDescent="0.25">
      <c r="A203" t="s">
        <v>597</v>
      </c>
      <c r="B203" t="s">
        <v>244</v>
      </c>
      <c r="C203">
        <v>1</v>
      </c>
      <c r="D203">
        <v>63259</v>
      </c>
      <c r="E203" t="s">
        <v>598</v>
      </c>
      <c r="F203" t="s">
        <v>250</v>
      </c>
      <c r="G203" s="31">
        <v>0.83499999999999996</v>
      </c>
      <c r="H203" s="31">
        <v>0.88100000000000001</v>
      </c>
      <c r="I203" t="s">
        <v>1954</v>
      </c>
      <c r="J203" t="s">
        <v>1954</v>
      </c>
      <c r="K203">
        <v>1317655</v>
      </c>
      <c r="L203">
        <v>9991067</v>
      </c>
      <c r="M203" s="32">
        <v>7.5824999999999996</v>
      </c>
      <c r="N203" t="s">
        <v>331</v>
      </c>
      <c r="O203" t="s">
        <v>594</v>
      </c>
      <c r="P203">
        <v>177.6</v>
      </c>
      <c r="Q203" s="33" t="s">
        <v>1955</v>
      </c>
      <c r="R203" t="s">
        <v>21</v>
      </c>
      <c r="S203" t="s">
        <v>22</v>
      </c>
      <c r="T203">
        <f t="shared" si="3"/>
        <v>166041.50000000003</v>
      </c>
    </row>
    <row r="204" spans="1:20" x14ac:dyDescent="0.25">
      <c r="A204" t="s">
        <v>435</v>
      </c>
      <c r="B204" t="s">
        <v>213</v>
      </c>
      <c r="C204">
        <v>1</v>
      </c>
      <c r="D204">
        <v>3797</v>
      </c>
      <c r="E204" t="s">
        <v>436</v>
      </c>
      <c r="F204" t="s">
        <v>201</v>
      </c>
      <c r="G204" s="31">
        <v>1</v>
      </c>
      <c r="H204" s="31">
        <v>1</v>
      </c>
      <c r="I204" t="s">
        <v>1954</v>
      </c>
      <c r="J204" t="s">
        <v>1954</v>
      </c>
      <c r="K204">
        <v>2070102.9979999999</v>
      </c>
      <c r="L204">
        <v>16038705</v>
      </c>
      <c r="M204" s="32">
        <v>7.7477999999999998</v>
      </c>
      <c r="N204" t="s">
        <v>216</v>
      </c>
      <c r="O204" t="s">
        <v>437</v>
      </c>
      <c r="P204">
        <v>386</v>
      </c>
      <c r="Q204" s="33" t="s">
        <v>1955</v>
      </c>
      <c r="R204" t="s">
        <v>21</v>
      </c>
      <c r="S204" t="s">
        <v>22</v>
      </c>
      <c r="T204">
        <f t="shared" si="3"/>
        <v>166427.50000000003</v>
      </c>
    </row>
    <row r="205" spans="1:20" x14ac:dyDescent="0.25">
      <c r="A205" t="s">
        <v>438</v>
      </c>
      <c r="B205" t="s">
        <v>213</v>
      </c>
      <c r="C205">
        <v>1</v>
      </c>
      <c r="D205">
        <v>3797</v>
      </c>
      <c r="E205" t="s">
        <v>436</v>
      </c>
      <c r="F205" t="s">
        <v>201</v>
      </c>
      <c r="G205" s="31">
        <v>1</v>
      </c>
      <c r="H205" s="31">
        <v>1</v>
      </c>
      <c r="I205" t="s">
        <v>1954</v>
      </c>
      <c r="J205" t="s">
        <v>1954</v>
      </c>
      <c r="K205">
        <v>2070102.9979999999</v>
      </c>
      <c r="L205">
        <v>16038705</v>
      </c>
      <c r="M205" s="32">
        <v>7.7477999999999998</v>
      </c>
      <c r="N205" t="s">
        <v>216</v>
      </c>
      <c r="O205" t="s">
        <v>437</v>
      </c>
      <c r="P205">
        <v>386</v>
      </c>
      <c r="Q205" s="33" t="s">
        <v>1955</v>
      </c>
      <c r="R205" t="s">
        <v>21</v>
      </c>
      <c r="S205" t="s">
        <v>22</v>
      </c>
      <c r="T205">
        <f t="shared" si="3"/>
        <v>166813.50000000003</v>
      </c>
    </row>
    <row r="206" spans="1:20" x14ac:dyDescent="0.25">
      <c r="A206" t="s">
        <v>850</v>
      </c>
      <c r="B206" t="s">
        <v>244</v>
      </c>
      <c r="C206">
        <v>3</v>
      </c>
      <c r="D206">
        <v>55131</v>
      </c>
      <c r="E206" t="s">
        <v>998</v>
      </c>
      <c r="F206" t="s">
        <v>166</v>
      </c>
      <c r="G206" s="31">
        <v>0.53</v>
      </c>
      <c r="H206" s="31">
        <v>0.57599999999999996</v>
      </c>
      <c r="I206" t="s">
        <v>1954</v>
      </c>
      <c r="J206" t="s">
        <v>1954</v>
      </c>
      <c r="K206">
        <v>5535361</v>
      </c>
      <c r="L206">
        <v>42912215</v>
      </c>
      <c r="M206" s="32">
        <v>7.7523999999999997</v>
      </c>
      <c r="N206" t="s">
        <v>331</v>
      </c>
      <c r="O206" t="s">
        <v>999</v>
      </c>
      <c r="P206">
        <v>1140</v>
      </c>
      <c r="Q206" t="s">
        <v>1958</v>
      </c>
      <c r="R206" t="s">
        <v>21</v>
      </c>
      <c r="S206" t="s">
        <v>22</v>
      </c>
      <c r="T206">
        <f t="shared" si="3"/>
        <v>167953.50000000003</v>
      </c>
    </row>
    <row r="207" spans="1:20" x14ac:dyDescent="0.25">
      <c r="A207" t="s">
        <v>853</v>
      </c>
      <c r="B207" t="s">
        <v>244</v>
      </c>
      <c r="C207">
        <v>2</v>
      </c>
      <c r="D207">
        <v>55131</v>
      </c>
      <c r="E207" t="s">
        <v>998</v>
      </c>
      <c r="F207" t="s">
        <v>166</v>
      </c>
      <c r="G207" s="31">
        <v>0.53369999999999995</v>
      </c>
      <c r="H207" s="31">
        <v>0.57969999999999999</v>
      </c>
      <c r="I207" t="s">
        <v>1954</v>
      </c>
      <c r="J207" t="s">
        <v>1954</v>
      </c>
      <c r="K207">
        <v>5535361</v>
      </c>
      <c r="L207">
        <v>42912215</v>
      </c>
      <c r="M207" s="32">
        <v>7.7523999999999997</v>
      </c>
      <c r="N207" t="s">
        <v>331</v>
      </c>
      <c r="O207" t="s">
        <v>999</v>
      </c>
      <c r="P207">
        <v>1140</v>
      </c>
      <c r="Q207" t="s">
        <v>1958</v>
      </c>
      <c r="R207" t="s">
        <v>21</v>
      </c>
      <c r="S207" t="s">
        <v>22</v>
      </c>
      <c r="T207">
        <f t="shared" si="3"/>
        <v>169093.50000000003</v>
      </c>
    </row>
    <row r="208" spans="1:20" x14ac:dyDescent="0.25">
      <c r="A208" t="s">
        <v>997</v>
      </c>
      <c r="B208" t="s">
        <v>244</v>
      </c>
      <c r="C208">
        <v>1</v>
      </c>
      <c r="D208">
        <v>55131</v>
      </c>
      <c r="E208" t="s">
        <v>998</v>
      </c>
      <c r="F208" t="s">
        <v>166</v>
      </c>
      <c r="G208" s="31">
        <v>0.83499999999999996</v>
      </c>
      <c r="H208" s="31">
        <v>0.88100000000000001</v>
      </c>
      <c r="I208" t="s">
        <v>1954</v>
      </c>
      <c r="J208" t="s">
        <v>1954</v>
      </c>
      <c r="K208">
        <v>5535361</v>
      </c>
      <c r="L208">
        <v>42912215</v>
      </c>
      <c r="M208" s="32">
        <v>7.7523999999999997</v>
      </c>
      <c r="N208" t="s">
        <v>331</v>
      </c>
      <c r="O208" t="s">
        <v>999</v>
      </c>
      <c r="P208">
        <v>1140</v>
      </c>
      <c r="Q208" s="33" t="s">
        <v>1955</v>
      </c>
      <c r="R208" t="s">
        <v>21</v>
      </c>
      <c r="S208" t="s">
        <v>22</v>
      </c>
      <c r="T208">
        <f t="shared" si="3"/>
        <v>170233.50000000003</v>
      </c>
    </row>
    <row r="209" spans="1:20" x14ac:dyDescent="0.25">
      <c r="A209" t="s">
        <v>1000</v>
      </c>
      <c r="B209" t="s">
        <v>244</v>
      </c>
      <c r="C209">
        <v>1</v>
      </c>
      <c r="D209">
        <v>55131</v>
      </c>
      <c r="E209" t="s">
        <v>998</v>
      </c>
      <c r="F209" t="s">
        <v>166</v>
      </c>
      <c r="G209" s="31">
        <v>0.83499999999999996</v>
      </c>
      <c r="H209" s="31">
        <v>0.88100000000000001</v>
      </c>
      <c r="I209" t="s">
        <v>1954</v>
      </c>
      <c r="J209" t="s">
        <v>1954</v>
      </c>
      <c r="K209">
        <v>5535361</v>
      </c>
      <c r="L209">
        <v>42912215</v>
      </c>
      <c r="M209" s="32">
        <v>7.7523999999999997</v>
      </c>
      <c r="N209" t="s">
        <v>331</v>
      </c>
      <c r="O209" t="s">
        <v>999</v>
      </c>
      <c r="P209">
        <v>1140</v>
      </c>
      <c r="Q209" s="33" t="s">
        <v>1955</v>
      </c>
      <c r="R209" t="s">
        <v>21</v>
      </c>
      <c r="S209" t="s">
        <v>22</v>
      </c>
      <c r="T209">
        <f t="shared" si="3"/>
        <v>171373.50000000003</v>
      </c>
    </row>
    <row r="210" spans="1:20" x14ac:dyDescent="0.25">
      <c r="A210" t="s">
        <v>1001</v>
      </c>
      <c r="B210" t="s">
        <v>244</v>
      </c>
      <c r="C210">
        <v>1</v>
      </c>
      <c r="D210">
        <v>55131</v>
      </c>
      <c r="E210" t="s">
        <v>998</v>
      </c>
      <c r="F210" t="s">
        <v>166</v>
      </c>
      <c r="G210" s="31">
        <v>0.83499999999999996</v>
      </c>
      <c r="H210" s="31">
        <v>0.88100000000000001</v>
      </c>
      <c r="I210" t="s">
        <v>1954</v>
      </c>
      <c r="J210" t="s">
        <v>1954</v>
      </c>
      <c r="K210">
        <v>5535361</v>
      </c>
      <c r="L210">
        <v>42912215</v>
      </c>
      <c r="M210" s="32">
        <v>7.7523999999999997</v>
      </c>
      <c r="N210" t="s">
        <v>331</v>
      </c>
      <c r="O210" t="s">
        <v>999</v>
      </c>
      <c r="P210">
        <v>1140</v>
      </c>
      <c r="Q210" s="33" t="s">
        <v>1955</v>
      </c>
      <c r="R210" t="s">
        <v>21</v>
      </c>
      <c r="S210" t="s">
        <v>22</v>
      </c>
      <c r="T210">
        <f t="shared" si="3"/>
        <v>172513.50000000003</v>
      </c>
    </row>
    <row r="211" spans="1:20" x14ac:dyDescent="0.25">
      <c r="A211" t="s">
        <v>1002</v>
      </c>
      <c r="B211" t="s">
        <v>244</v>
      </c>
      <c r="C211">
        <v>1</v>
      </c>
      <c r="D211">
        <v>55131</v>
      </c>
      <c r="E211" t="s">
        <v>998</v>
      </c>
      <c r="F211" t="s">
        <v>166</v>
      </c>
      <c r="G211" s="31">
        <v>0.83499999999999996</v>
      </c>
      <c r="H211" s="31">
        <v>0.88100000000000001</v>
      </c>
      <c r="I211" t="s">
        <v>1954</v>
      </c>
      <c r="J211" t="s">
        <v>1954</v>
      </c>
      <c r="K211">
        <v>5535361</v>
      </c>
      <c r="L211">
        <v>42912215</v>
      </c>
      <c r="M211" s="32">
        <v>7.7523999999999997</v>
      </c>
      <c r="N211" t="s">
        <v>331</v>
      </c>
      <c r="O211" t="s">
        <v>999</v>
      </c>
      <c r="P211">
        <v>1140</v>
      </c>
      <c r="Q211" s="33" t="s">
        <v>1955</v>
      </c>
      <c r="R211" t="s">
        <v>21</v>
      </c>
      <c r="S211" t="s">
        <v>22</v>
      </c>
      <c r="T211">
        <f t="shared" si="3"/>
        <v>173653.50000000003</v>
      </c>
    </row>
    <row r="212" spans="1:20" x14ac:dyDescent="0.25">
      <c r="A212" t="s">
        <v>1033</v>
      </c>
      <c r="B212" t="s">
        <v>244</v>
      </c>
      <c r="C212">
        <v>3</v>
      </c>
      <c r="D212">
        <v>55131</v>
      </c>
      <c r="E212" t="s">
        <v>998</v>
      </c>
      <c r="F212" t="s">
        <v>166</v>
      </c>
      <c r="G212" s="31">
        <v>0.50290000000000001</v>
      </c>
      <c r="H212" s="31">
        <v>0.54890000000000005</v>
      </c>
      <c r="I212" t="s">
        <v>1954</v>
      </c>
      <c r="J212" t="s">
        <v>1954</v>
      </c>
      <c r="K212">
        <v>5535361</v>
      </c>
      <c r="L212">
        <v>42912215</v>
      </c>
      <c r="M212" s="32">
        <v>7.7523999999999997</v>
      </c>
      <c r="N212" t="s">
        <v>331</v>
      </c>
      <c r="O212" t="s">
        <v>999</v>
      </c>
      <c r="P212">
        <v>1140</v>
      </c>
      <c r="Q212" t="s">
        <v>1958</v>
      </c>
      <c r="R212" t="s">
        <v>21</v>
      </c>
      <c r="S212" t="s">
        <v>22</v>
      </c>
      <c r="T212">
        <f t="shared" si="3"/>
        <v>174793.50000000003</v>
      </c>
    </row>
    <row r="213" spans="1:20" x14ac:dyDescent="0.25">
      <c r="A213" t="s">
        <v>1035</v>
      </c>
      <c r="B213" t="s">
        <v>244</v>
      </c>
      <c r="C213">
        <v>3</v>
      </c>
      <c r="D213">
        <v>55131</v>
      </c>
      <c r="E213" t="s">
        <v>998</v>
      </c>
      <c r="F213" t="s">
        <v>166</v>
      </c>
      <c r="G213" s="31">
        <v>0.50290000000000001</v>
      </c>
      <c r="H213" s="31">
        <v>0.54890000000000005</v>
      </c>
      <c r="I213" t="s">
        <v>1954</v>
      </c>
      <c r="J213" t="s">
        <v>1954</v>
      </c>
      <c r="K213">
        <v>5535361</v>
      </c>
      <c r="L213">
        <v>42912215</v>
      </c>
      <c r="M213" s="32">
        <v>7.7523999999999997</v>
      </c>
      <c r="N213" t="s">
        <v>331</v>
      </c>
      <c r="O213" t="s">
        <v>999</v>
      </c>
      <c r="P213">
        <v>1140</v>
      </c>
      <c r="Q213" t="s">
        <v>1958</v>
      </c>
      <c r="R213" t="s">
        <v>21</v>
      </c>
      <c r="S213" t="s">
        <v>22</v>
      </c>
      <c r="T213">
        <f t="shared" si="3"/>
        <v>175933.50000000003</v>
      </c>
    </row>
    <row r="214" spans="1:20" x14ac:dyDescent="0.25">
      <c r="A214" t="s">
        <v>1036</v>
      </c>
      <c r="B214" t="s">
        <v>244</v>
      </c>
      <c r="C214">
        <v>3</v>
      </c>
      <c r="D214">
        <v>55131</v>
      </c>
      <c r="E214" t="s">
        <v>998</v>
      </c>
      <c r="F214" t="s">
        <v>166</v>
      </c>
      <c r="G214" s="31">
        <v>0.50290000000000001</v>
      </c>
      <c r="H214" s="31">
        <v>0.54890000000000005</v>
      </c>
      <c r="I214" t="s">
        <v>1954</v>
      </c>
      <c r="J214" t="s">
        <v>1954</v>
      </c>
      <c r="K214">
        <v>5535361</v>
      </c>
      <c r="L214">
        <v>42912215</v>
      </c>
      <c r="M214" s="32">
        <v>7.7523999999999997</v>
      </c>
      <c r="N214" t="s">
        <v>331</v>
      </c>
      <c r="O214" t="s">
        <v>999</v>
      </c>
      <c r="P214">
        <v>1140</v>
      </c>
      <c r="Q214" t="s">
        <v>1958</v>
      </c>
      <c r="R214" t="s">
        <v>21</v>
      </c>
      <c r="S214" t="s">
        <v>22</v>
      </c>
      <c r="T214">
        <f t="shared" si="3"/>
        <v>177073.50000000003</v>
      </c>
    </row>
    <row r="215" spans="1:20" x14ac:dyDescent="0.25">
      <c r="A215" t="s">
        <v>1637</v>
      </c>
      <c r="B215" t="s">
        <v>244</v>
      </c>
      <c r="C215">
        <v>3</v>
      </c>
      <c r="D215">
        <v>55131</v>
      </c>
      <c r="E215" t="s">
        <v>998</v>
      </c>
      <c r="F215" t="s">
        <v>166</v>
      </c>
      <c r="G215" s="31">
        <v>0.51670000000000005</v>
      </c>
      <c r="H215" s="31">
        <v>0.56269999999999998</v>
      </c>
      <c r="I215" t="s">
        <v>1954</v>
      </c>
      <c r="J215" t="s">
        <v>1954</v>
      </c>
      <c r="K215">
        <v>5535361</v>
      </c>
      <c r="L215">
        <v>42912215</v>
      </c>
      <c r="M215" s="32">
        <v>7.7523999999999997</v>
      </c>
      <c r="N215" t="s">
        <v>331</v>
      </c>
      <c r="O215" t="s">
        <v>999</v>
      </c>
      <c r="P215">
        <v>1140</v>
      </c>
      <c r="Q215" t="s">
        <v>1958</v>
      </c>
      <c r="R215" t="s">
        <v>21</v>
      </c>
      <c r="S215" t="s">
        <v>22</v>
      </c>
      <c r="T215">
        <f t="shared" si="3"/>
        <v>178213.50000000003</v>
      </c>
    </row>
    <row r="216" spans="1:20" x14ac:dyDescent="0.25">
      <c r="A216" t="s">
        <v>1748</v>
      </c>
      <c r="B216" t="s">
        <v>244</v>
      </c>
      <c r="C216">
        <v>2</v>
      </c>
      <c r="D216">
        <v>55131</v>
      </c>
      <c r="E216" t="s">
        <v>998</v>
      </c>
      <c r="F216" t="s">
        <v>166</v>
      </c>
      <c r="G216" s="31">
        <v>0.53</v>
      </c>
      <c r="H216" s="31">
        <v>0.57599999999999996</v>
      </c>
      <c r="I216" t="s">
        <v>1954</v>
      </c>
      <c r="J216" t="s">
        <v>1954</v>
      </c>
      <c r="K216">
        <v>5535361</v>
      </c>
      <c r="L216">
        <v>42912215</v>
      </c>
      <c r="M216" s="32">
        <v>7.7523999999999997</v>
      </c>
      <c r="N216" t="s">
        <v>331</v>
      </c>
      <c r="O216" t="s">
        <v>999</v>
      </c>
      <c r="P216">
        <v>1140</v>
      </c>
      <c r="Q216" t="s">
        <v>1958</v>
      </c>
      <c r="R216" t="s">
        <v>21</v>
      </c>
      <c r="S216" t="s">
        <v>22</v>
      </c>
      <c r="T216">
        <f t="shared" si="3"/>
        <v>179353.50000000003</v>
      </c>
    </row>
    <row r="217" spans="1:20" x14ac:dyDescent="0.25">
      <c r="A217" t="s">
        <v>1843</v>
      </c>
      <c r="B217" t="s">
        <v>244</v>
      </c>
      <c r="C217">
        <v>3</v>
      </c>
      <c r="D217">
        <v>55131</v>
      </c>
      <c r="E217" t="s">
        <v>998</v>
      </c>
      <c r="F217" t="s">
        <v>166</v>
      </c>
      <c r="G217" s="31">
        <v>0.5252</v>
      </c>
      <c r="H217" s="31">
        <v>0.57120000000000004</v>
      </c>
      <c r="I217" t="s">
        <v>1954</v>
      </c>
      <c r="J217" t="s">
        <v>1954</v>
      </c>
      <c r="K217">
        <v>5535361</v>
      </c>
      <c r="L217">
        <v>42912215</v>
      </c>
      <c r="M217" s="32">
        <v>7.7523999999999997</v>
      </c>
      <c r="N217" t="s">
        <v>331</v>
      </c>
      <c r="O217" t="s">
        <v>999</v>
      </c>
      <c r="P217">
        <v>1140</v>
      </c>
      <c r="Q217" t="s">
        <v>1958</v>
      </c>
      <c r="R217" t="s">
        <v>21</v>
      </c>
      <c r="S217" t="s">
        <v>22</v>
      </c>
      <c r="T217">
        <f t="shared" si="3"/>
        <v>180493.50000000003</v>
      </c>
    </row>
    <row r="218" spans="1:20" x14ac:dyDescent="0.25">
      <c r="A218" t="s">
        <v>840</v>
      </c>
      <c r="B218" t="s">
        <v>244</v>
      </c>
      <c r="C218">
        <v>1</v>
      </c>
      <c r="D218">
        <v>7999</v>
      </c>
      <c r="E218" t="s">
        <v>2059</v>
      </c>
      <c r="F218" t="s">
        <v>842</v>
      </c>
      <c r="G218" s="31">
        <v>0.48830000000000001</v>
      </c>
      <c r="H218" s="31">
        <v>0.4163</v>
      </c>
      <c r="I218" t="s">
        <v>1954</v>
      </c>
      <c r="J218" t="s">
        <v>1954</v>
      </c>
      <c r="K218">
        <v>3649445</v>
      </c>
      <c r="L218">
        <v>28547807</v>
      </c>
      <c r="M218" s="32">
        <v>7.8224999999999998</v>
      </c>
      <c r="N218" t="s">
        <v>331</v>
      </c>
      <c r="O218" t="s">
        <v>843</v>
      </c>
      <c r="P218">
        <v>595</v>
      </c>
      <c r="Q218" t="s">
        <v>1958</v>
      </c>
      <c r="R218" t="s">
        <v>21</v>
      </c>
      <c r="S218" t="s">
        <v>22</v>
      </c>
      <c r="T218">
        <f t="shared" si="3"/>
        <v>181088.50000000003</v>
      </c>
    </row>
    <row r="219" spans="1:20" x14ac:dyDescent="0.25">
      <c r="A219" t="s">
        <v>844</v>
      </c>
      <c r="B219" t="s">
        <v>244</v>
      </c>
      <c r="C219">
        <v>1</v>
      </c>
      <c r="D219">
        <v>7999</v>
      </c>
      <c r="E219" t="s">
        <v>2059</v>
      </c>
      <c r="F219" t="s">
        <v>842</v>
      </c>
      <c r="G219" s="31">
        <v>0.48830000000000001</v>
      </c>
      <c r="H219" s="31">
        <v>0.4163</v>
      </c>
      <c r="I219" t="s">
        <v>1954</v>
      </c>
      <c r="J219" t="s">
        <v>1954</v>
      </c>
      <c r="K219">
        <v>3649445</v>
      </c>
      <c r="L219">
        <v>28547807</v>
      </c>
      <c r="M219" s="32">
        <v>7.8224999999999998</v>
      </c>
      <c r="N219" t="s">
        <v>331</v>
      </c>
      <c r="O219" t="s">
        <v>843</v>
      </c>
      <c r="P219">
        <v>595</v>
      </c>
      <c r="Q219" t="s">
        <v>1958</v>
      </c>
      <c r="R219" t="s">
        <v>21</v>
      </c>
      <c r="S219" t="s">
        <v>22</v>
      </c>
      <c r="T219">
        <f t="shared" si="3"/>
        <v>181683.50000000003</v>
      </c>
    </row>
    <row r="220" spans="1:20" x14ac:dyDescent="0.25">
      <c r="A220" t="s">
        <v>1252</v>
      </c>
      <c r="B220" t="s">
        <v>244</v>
      </c>
      <c r="C220">
        <v>1</v>
      </c>
      <c r="D220">
        <v>55183</v>
      </c>
      <c r="E220" t="s">
        <v>1253</v>
      </c>
      <c r="F220" t="s">
        <v>166</v>
      </c>
      <c r="G220" s="31">
        <v>0.82869999999999999</v>
      </c>
      <c r="H220" s="31">
        <v>0.87470000000000003</v>
      </c>
      <c r="I220" t="s">
        <v>1954</v>
      </c>
      <c r="J220" t="s">
        <v>1954</v>
      </c>
      <c r="K220">
        <v>3027433</v>
      </c>
      <c r="L220">
        <v>23787388</v>
      </c>
      <c r="M220" s="32">
        <v>7.8573000000000004</v>
      </c>
      <c r="N220" t="s">
        <v>331</v>
      </c>
      <c r="O220" t="s">
        <v>1254</v>
      </c>
      <c r="P220">
        <v>586</v>
      </c>
      <c r="Q220" s="33" t="s">
        <v>1955</v>
      </c>
      <c r="R220" t="s">
        <v>21</v>
      </c>
      <c r="S220" t="s">
        <v>22</v>
      </c>
      <c r="T220">
        <f t="shared" si="3"/>
        <v>182269.50000000003</v>
      </c>
    </row>
    <row r="221" spans="1:20" x14ac:dyDescent="0.25">
      <c r="A221" t="s">
        <v>1255</v>
      </c>
      <c r="B221" t="s">
        <v>244</v>
      </c>
      <c r="C221">
        <v>1</v>
      </c>
      <c r="D221">
        <v>55183</v>
      </c>
      <c r="E221" t="s">
        <v>1253</v>
      </c>
      <c r="F221" t="s">
        <v>166</v>
      </c>
      <c r="G221" s="31">
        <v>0.82869999999999999</v>
      </c>
      <c r="H221" s="31">
        <v>0.87470000000000003</v>
      </c>
      <c r="I221" t="s">
        <v>1954</v>
      </c>
      <c r="J221" t="s">
        <v>1954</v>
      </c>
      <c r="K221">
        <v>3027433</v>
      </c>
      <c r="L221">
        <v>23787388</v>
      </c>
      <c r="M221" s="32">
        <v>7.8573000000000004</v>
      </c>
      <c r="N221" t="s">
        <v>331</v>
      </c>
      <c r="O221" t="s">
        <v>1254</v>
      </c>
      <c r="P221">
        <v>586</v>
      </c>
      <c r="Q221" s="33" t="s">
        <v>1955</v>
      </c>
      <c r="R221" t="s">
        <v>21</v>
      </c>
      <c r="S221" t="s">
        <v>22</v>
      </c>
      <c r="T221">
        <f t="shared" si="3"/>
        <v>182855.50000000003</v>
      </c>
    </row>
    <row r="222" spans="1:20" x14ac:dyDescent="0.25">
      <c r="A222" t="s">
        <v>574</v>
      </c>
      <c r="B222" t="s">
        <v>244</v>
      </c>
      <c r="C222">
        <v>1</v>
      </c>
      <c r="D222">
        <v>3236</v>
      </c>
      <c r="E222" t="s">
        <v>2015</v>
      </c>
      <c r="F222" t="s">
        <v>576</v>
      </c>
      <c r="G222" s="31">
        <v>0.52610000000000001</v>
      </c>
      <c r="H222" s="31">
        <v>0.4541</v>
      </c>
      <c r="I222" t="s">
        <v>1954</v>
      </c>
      <c r="J222" t="s">
        <v>1954</v>
      </c>
      <c r="K222">
        <v>1952063</v>
      </c>
      <c r="L222">
        <v>15408777</v>
      </c>
      <c r="M222" s="32">
        <v>7.8936000000000002</v>
      </c>
      <c r="N222" t="s">
        <v>239</v>
      </c>
      <c r="O222" t="s">
        <v>577</v>
      </c>
      <c r="P222">
        <v>471</v>
      </c>
      <c r="Q222" t="s">
        <v>1958</v>
      </c>
      <c r="R222" t="s">
        <v>21</v>
      </c>
      <c r="S222" t="s">
        <v>22</v>
      </c>
      <c r="T222">
        <f t="shared" si="3"/>
        <v>183326.50000000003</v>
      </c>
    </row>
    <row r="223" spans="1:20" x14ac:dyDescent="0.25">
      <c r="A223" t="s">
        <v>236</v>
      </c>
      <c r="B223" t="s">
        <v>213</v>
      </c>
      <c r="C223">
        <v>1</v>
      </c>
      <c r="D223">
        <v>2398</v>
      </c>
      <c r="E223" t="s">
        <v>238</v>
      </c>
      <c r="F223" t="s">
        <v>241</v>
      </c>
      <c r="G223" s="31">
        <v>1</v>
      </c>
      <c r="H223" s="31">
        <v>1</v>
      </c>
      <c r="I223" t="s">
        <v>1954</v>
      </c>
      <c r="J223" t="s">
        <v>1954</v>
      </c>
      <c r="K223">
        <v>3192903.9959999998</v>
      </c>
      <c r="L223">
        <v>25480089</v>
      </c>
      <c r="M223" s="32">
        <v>7.9802</v>
      </c>
      <c r="N223" t="s">
        <v>239</v>
      </c>
      <c r="O223" t="s">
        <v>242</v>
      </c>
      <c r="P223">
        <v>1255</v>
      </c>
      <c r="Q223" s="33" t="s">
        <v>1955</v>
      </c>
      <c r="R223" t="s">
        <v>21</v>
      </c>
      <c r="S223" t="s">
        <v>22</v>
      </c>
      <c r="T223">
        <f t="shared" si="3"/>
        <v>184581.50000000003</v>
      </c>
    </row>
    <row r="224" spans="1:20" x14ac:dyDescent="0.25">
      <c r="A224" t="s">
        <v>243</v>
      </c>
      <c r="B224" t="s">
        <v>244</v>
      </c>
      <c r="C224">
        <v>1</v>
      </c>
      <c r="D224">
        <v>2398</v>
      </c>
      <c r="E224" t="s">
        <v>238</v>
      </c>
      <c r="F224" t="s">
        <v>241</v>
      </c>
      <c r="G224" s="31">
        <v>1</v>
      </c>
      <c r="H224" s="31">
        <v>1</v>
      </c>
      <c r="I224" t="s">
        <v>1954</v>
      </c>
      <c r="J224" t="s">
        <v>1954</v>
      </c>
      <c r="K224">
        <v>3192903.9959999998</v>
      </c>
      <c r="L224">
        <v>25480089</v>
      </c>
      <c r="M224" s="32">
        <v>7.9802</v>
      </c>
      <c r="N224" t="s">
        <v>239</v>
      </c>
      <c r="O224" t="s">
        <v>242</v>
      </c>
      <c r="P224">
        <v>1255</v>
      </c>
      <c r="Q224" s="33" t="s">
        <v>1955</v>
      </c>
      <c r="R224" t="s">
        <v>21</v>
      </c>
      <c r="S224" t="s">
        <v>22</v>
      </c>
      <c r="T224">
        <f t="shared" si="3"/>
        <v>185836.50000000003</v>
      </c>
    </row>
    <row r="225" spans="1:20" x14ac:dyDescent="0.25">
      <c r="A225" t="s">
        <v>1003</v>
      </c>
      <c r="B225" t="s">
        <v>244</v>
      </c>
      <c r="C225">
        <v>1</v>
      </c>
      <c r="D225">
        <v>10805</v>
      </c>
      <c r="E225" t="s">
        <v>1004</v>
      </c>
      <c r="F225" t="s">
        <v>241</v>
      </c>
      <c r="G225" s="31">
        <v>0.66500000000000004</v>
      </c>
      <c r="H225" s="31">
        <v>0.71099999999999997</v>
      </c>
      <c r="I225" t="s">
        <v>1954</v>
      </c>
      <c r="J225" t="s">
        <v>1954</v>
      </c>
      <c r="K225">
        <v>163187.94699999999</v>
      </c>
      <c r="L225">
        <v>1334925</v>
      </c>
      <c r="M225" s="32">
        <v>8.1803000000000008</v>
      </c>
      <c r="N225" t="s">
        <v>331</v>
      </c>
      <c r="O225" t="s">
        <v>368</v>
      </c>
      <c r="P225">
        <v>24.5</v>
      </c>
      <c r="Q225" s="33" t="s">
        <v>1956</v>
      </c>
      <c r="R225" t="s">
        <v>21</v>
      </c>
      <c r="S225" t="s">
        <v>22</v>
      </c>
      <c r="T225">
        <f t="shared" si="3"/>
        <v>185861.00000000003</v>
      </c>
    </row>
    <row r="226" spans="1:20" x14ac:dyDescent="0.25">
      <c r="A226" t="s">
        <v>1049</v>
      </c>
      <c r="B226" t="s">
        <v>213</v>
      </c>
      <c r="C226">
        <v>1</v>
      </c>
      <c r="D226">
        <v>54640</v>
      </c>
      <c r="E226" t="s">
        <v>2098</v>
      </c>
      <c r="F226" t="s">
        <v>241</v>
      </c>
      <c r="G226" s="31">
        <v>0.55400000000000005</v>
      </c>
      <c r="H226" s="31">
        <v>0.6</v>
      </c>
      <c r="I226" t="s">
        <v>1954</v>
      </c>
      <c r="J226" t="s">
        <v>1954</v>
      </c>
      <c r="K226">
        <v>239438</v>
      </c>
      <c r="L226">
        <v>1988024</v>
      </c>
      <c r="M226" s="32">
        <v>8.3028999999999993</v>
      </c>
      <c r="N226" t="s">
        <v>239</v>
      </c>
      <c r="O226" t="s">
        <v>686</v>
      </c>
      <c r="P226">
        <v>265</v>
      </c>
      <c r="Q226" t="s">
        <v>1958</v>
      </c>
      <c r="R226" t="s">
        <v>21</v>
      </c>
      <c r="S226" t="s">
        <v>22</v>
      </c>
      <c r="T226">
        <f t="shared" si="3"/>
        <v>186126.00000000003</v>
      </c>
    </row>
    <row r="227" spans="1:20" x14ac:dyDescent="0.25">
      <c r="A227" t="s">
        <v>922</v>
      </c>
      <c r="B227" t="s">
        <v>244</v>
      </c>
      <c r="C227">
        <v>3</v>
      </c>
      <c r="D227">
        <v>56349</v>
      </c>
      <c r="E227" t="s">
        <v>2076</v>
      </c>
      <c r="F227" t="s">
        <v>1805</v>
      </c>
      <c r="G227" s="31">
        <v>0.44169999999999998</v>
      </c>
      <c r="H227" s="31">
        <v>0.36969999999999997</v>
      </c>
      <c r="I227" t="s">
        <v>1954</v>
      </c>
      <c r="J227" t="s">
        <v>1954</v>
      </c>
      <c r="K227">
        <v>3081998</v>
      </c>
      <c r="L227">
        <v>25688652</v>
      </c>
      <c r="M227" s="32">
        <v>8.3351000000000006</v>
      </c>
      <c r="N227" t="s">
        <v>331</v>
      </c>
      <c r="O227" t="s">
        <v>2077</v>
      </c>
      <c r="P227">
        <v>472.2</v>
      </c>
      <c r="Q227" t="s">
        <v>1958</v>
      </c>
      <c r="R227" t="s">
        <v>21</v>
      </c>
      <c r="S227" t="s">
        <v>22</v>
      </c>
      <c r="T227">
        <f t="shared" si="3"/>
        <v>186598.20000000004</v>
      </c>
    </row>
    <row r="228" spans="1:20" x14ac:dyDescent="0.25">
      <c r="A228" t="s">
        <v>1717</v>
      </c>
      <c r="B228" t="s">
        <v>137</v>
      </c>
      <c r="C228">
        <v>3</v>
      </c>
      <c r="D228">
        <v>7345</v>
      </c>
      <c r="E228" t="s">
        <v>2183</v>
      </c>
      <c r="F228" t="s">
        <v>1364</v>
      </c>
      <c r="G228" s="31">
        <v>0.43759999999999999</v>
      </c>
      <c r="H228" s="31">
        <v>0.36559999999999998</v>
      </c>
      <c r="I228" t="s">
        <v>1954</v>
      </c>
      <c r="J228" t="s">
        <v>1954</v>
      </c>
      <c r="K228">
        <v>388153.00099999999</v>
      </c>
      <c r="L228">
        <v>3235514</v>
      </c>
      <c r="M228" s="32">
        <v>8.3356999999999992</v>
      </c>
      <c r="N228" t="s">
        <v>141</v>
      </c>
      <c r="O228" t="s">
        <v>2184</v>
      </c>
      <c r="P228">
        <v>44</v>
      </c>
      <c r="Q228" t="s">
        <v>1958</v>
      </c>
      <c r="R228" t="s">
        <v>21</v>
      </c>
      <c r="S228" t="s">
        <v>22</v>
      </c>
      <c r="T228">
        <f t="shared" si="3"/>
        <v>186642.20000000004</v>
      </c>
    </row>
    <row r="229" spans="1:20" x14ac:dyDescent="0.25">
      <c r="A229" t="s">
        <v>1718</v>
      </c>
      <c r="B229" t="s">
        <v>137</v>
      </c>
      <c r="C229">
        <v>3</v>
      </c>
      <c r="D229">
        <v>7345</v>
      </c>
      <c r="E229" t="s">
        <v>2183</v>
      </c>
      <c r="F229" t="s">
        <v>1364</v>
      </c>
      <c r="G229" s="31">
        <v>0.43759999999999999</v>
      </c>
      <c r="H229" s="31">
        <v>0.36559999999999998</v>
      </c>
      <c r="I229" t="s">
        <v>1954</v>
      </c>
      <c r="J229" t="s">
        <v>1954</v>
      </c>
      <c r="K229">
        <v>388153.00099999999</v>
      </c>
      <c r="L229">
        <v>3235514</v>
      </c>
      <c r="M229" s="32">
        <v>8.3356999999999992</v>
      </c>
      <c r="N229" t="s">
        <v>141</v>
      </c>
      <c r="O229" t="s">
        <v>2184</v>
      </c>
      <c r="P229">
        <v>44</v>
      </c>
      <c r="Q229" t="s">
        <v>1958</v>
      </c>
      <c r="R229" t="s">
        <v>21</v>
      </c>
      <c r="S229" t="s">
        <v>22</v>
      </c>
      <c r="T229">
        <f t="shared" si="3"/>
        <v>186686.20000000004</v>
      </c>
    </row>
    <row r="230" spans="1:20" x14ac:dyDescent="0.25">
      <c r="A230" t="s">
        <v>1719</v>
      </c>
      <c r="B230" t="s">
        <v>137</v>
      </c>
      <c r="C230">
        <v>3</v>
      </c>
      <c r="D230">
        <v>7345</v>
      </c>
      <c r="E230" t="s">
        <v>2183</v>
      </c>
      <c r="F230" t="s">
        <v>1364</v>
      </c>
      <c r="G230" s="31">
        <v>0.43759999999999999</v>
      </c>
      <c r="H230" s="31">
        <v>0.36559999999999998</v>
      </c>
      <c r="I230" t="s">
        <v>1954</v>
      </c>
      <c r="J230" t="s">
        <v>1954</v>
      </c>
      <c r="K230">
        <v>388153.00099999999</v>
      </c>
      <c r="L230">
        <v>3235514</v>
      </c>
      <c r="M230" s="32">
        <v>8.3356999999999992</v>
      </c>
      <c r="N230" t="s">
        <v>141</v>
      </c>
      <c r="O230" t="s">
        <v>2184</v>
      </c>
      <c r="P230">
        <v>44</v>
      </c>
      <c r="Q230" t="s">
        <v>1958</v>
      </c>
      <c r="R230" t="s">
        <v>21</v>
      </c>
      <c r="S230" t="s">
        <v>22</v>
      </c>
      <c r="T230">
        <f t="shared" si="3"/>
        <v>186730.20000000004</v>
      </c>
    </row>
    <row r="231" spans="1:20" x14ac:dyDescent="0.25">
      <c r="A231" t="s">
        <v>1720</v>
      </c>
      <c r="B231" t="s">
        <v>137</v>
      </c>
      <c r="C231">
        <v>3</v>
      </c>
      <c r="D231">
        <v>7345</v>
      </c>
      <c r="E231" t="s">
        <v>2183</v>
      </c>
      <c r="F231" t="s">
        <v>1364</v>
      </c>
      <c r="G231" s="31">
        <v>0.43759999999999999</v>
      </c>
      <c r="H231" s="31">
        <v>0.36559999999999998</v>
      </c>
      <c r="I231" t="s">
        <v>1954</v>
      </c>
      <c r="J231" t="s">
        <v>1954</v>
      </c>
      <c r="K231">
        <v>388153.00099999999</v>
      </c>
      <c r="L231">
        <v>3235514</v>
      </c>
      <c r="M231" s="32">
        <v>8.3356999999999992</v>
      </c>
      <c r="N231" t="s">
        <v>141</v>
      </c>
      <c r="O231" t="s">
        <v>2184</v>
      </c>
      <c r="P231">
        <v>44</v>
      </c>
      <c r="Q231" t="s">
        <v>1958</v>
      </c>
      <c r="R231" t="s">
        <v>21</v>
      </c>
      <c r="S231" t="s">
        <v>22</v>
      </c>
      <c r="T231">
        <f t="shared" si="3"/>
        <v>186774.20000000004</v>
      </c>
    </row>
    <row r="232" spans="1:20" x14ac:dyDescent="0.25">
      <c r="A232" t="s">
        <v>1721</v>
      </c>
      <c r="B232" t="s">
        <v>137</v>
      </c>
      <c r="C232">
        <v>3</v>
      </c>
      <c r="D232">
        <v>7345</v>
      </c>
      <c r="E232" t="s">
        <v>2183</v>
      </c>
      <c r="F232" t="s">
        <v>1364</v>
      </c>
      <c r="G232" s="31">
        <v>0.43759999999999999</v>
      </c>
      <c r="H232" s="31">
        <v>0.36559999999999998</v>
      </c>
      <c r="I232" t="s">
        <v>1954</v>
      </c>
      <c r="J232" t="s">
        <v>1954</v>
      </c>
      <c r="K232">
        <v>388153.00099999999</v>
      </c>
      <c r="L232">
        <v>3235514</v>
      </c>
      <c r="M232" s="32">
        <v>8.3356999999999992</v>
      </c>
      <c r="N232" t="s">
        <v>141</v>
      </c>
      <c r="O232" t="s">
        <v>2184</v>
      </c>
      <c r="P232">
        <v>44</v>
      </c>
      <c r="Q232" t="s">
        <v>1958</v>
      </c>
      <c r="R232" t="s">
        <v>21</v>
      </c>
      <c r="S232" t="s">
        <v>22</v>
      </c>
      <c r="T232">
        <f t="shared" si="3"/>
        <v>186818.20000000004</v>
      </c>
    </row>
    <row r="233" spans="1:20" x14ac:dyDescent="0.25">
      <c r="A233" t="s">
        <v>1722</v>
      </c>
      <c r="B233" t="s">
        <v>137</v>
      </c>
      <c r="C233">
        <v>3</v>
      </c>
      <c r="D233">
        <v>7345</v>
      </c>
      <c r="E233" t="s">
        <v>2183</v>
      </c>
      <c r="F233" t="s">
        <v>1364</v>
      </c>
      <c r="G233" s="31">
        <v>0.43759999999999999</v>
      </c>
      <c r="H233" s="31">
        <v>0.36559999999999998</v>
      </c>
      <c r="I233" t="s">
        <v>1954</v>
      </c>
      <c r="J233" t="s">
        <v>1954</v>
      </c>
      <c r="K233">
        <v>388153.00099999999</v>
      </c>
      <c r="L233">
        <v>3235514</v>
      </c>
      <c r="M233" s="32">
        <v>8.3356999999999992</v>
      </c>
      <c r="N233" t="s">
        <v>141</v>
      </c>
      <c r="O233" t="s">
        <v>2184</v>
      </c>
      <c r="P233">
        <v>44</v>
      </c>
      <c r="Q233" t="s">
        <v>1958</v>
      </c>
      <c r="R233" t="s">
        <v>21</v>
      </c>
      <c r="S233" t="s">
        <v>22</v>
      </c>
      <c r="T233">
        <f t="shared" si="3"/>
        <v>186862.20000000004</v>
      </c>
    </row>
    <row r="234" spans="1:20" x14ac:dyDescent="0.25">
      <c r="A234" t="s">
        <v>1723</v>
      </c>
      <c r="B234" t="s">
        <v>137</v>
      </c>
      <c r="C234">
        <v>3</v>
      </c>
      <c r="D234">
        <v>7345</v>
      </c>
      <c r="E234" t="s">
        <v>2183</v>
      </c>
      <c r="F234" t="s">
        <v>1364</v>
      </c>
      <c r="G234" s="31">
        <v>0.43759999999999999</v>
      </c>
      <c r="H234" s="31">
        <v>0.36559999999999998</v>
      </c>
      <c r="I234" t="s">
        <v>1954</v>
      </c>
      <c r="J234" t="s">
        <v>1954</v>
      </c>
      <c r="K234">
        <v>388153.00099999999</v>
      </c>
      <c r="L234">
        <v>3235514</v>
      </c>
      <c r="M234" s="32">
        <v>8.3356999999999992</v>
      </c>
      <c r="N234" t="s">
        <v>141</v>
      </c>
      <c r="O234" t="s">
        <v>2184</v>
      </c>
      <c r="P234">
        <v>44</v>
      </c>
      <c r="Q234" t="s">
        <v>1958</v>
      </c>
      <c r="R234" t="s">
        <v>21</v>
      </c>
      <c r="S234" t="s">
        <v>22</v>
      </c>
      <c r="T234">
        <f t="shared" si="3"/>
        <v>186906.20000000004</v>
      </c>
    </row>
    <row r="235" spans="1:20" x14ac:dyDescent="0.25">
      <c r="A235" t="s">
        <v>1724</v>
      </c>
      <c r="B235" t="s">
        <v>137</v>
      </c>
      <c r="C235">
        <v>3</v>
      </c>
      <c r="D235">
        <v>7345</v>
      </c>
      <c r="E235" t="s">
        <v>2183</v>
      </c>
      <c r="F235" t="s">
        <v>1364</v>
      </c>
      <c r="G235" s="31">
        <v>0.43759999999999999</v>
      </c>
      <c r="H235" s="31">
        <v>0.36559999999999998</v>
      </c>
      <c r="I235" t="s">
        <v>1954</v>
      </c>
      <c r="J235" t="s">
        <v>1954</v>
      </c>
      <c r="K235">
        <v>388153.00099999999</v>
      </c>
      <c r="L235">
        <v>3235514</v>
      </c>
      <c r="M235" s="32">
        <v>8.3356999999999992</v>
      </c>
      <c r="N235" t="s">
        <v>141</v>
      </c>
      <c r="O235" t="s">
        <v>2184</v>
      </c>
      <c r="P235">
        <v>44</v>
      </c>
      <c r="Q235" t="s">
        <v>1958</v>
      </c>
      <c r="R235" t="s">
        <v>21</v>
      </c>
      <c r="S235" t="s">
        <v>22</v>
      </c>
      <c r="T235">
        <f t="shared" si="3"/>
        <v>186950.20000000004</v>
      </c>
    </row>
    <row r="236" spans="1:20" x14ac:dyDescent="0.25">
      <c r="A236" t="s">
        <v>1725</v>
      </c>
      <c r="B236" t="s">
        <v>137</v>
      </c>
      <c r="C236">
        <v>3</v>
      </c>
      <c r="D236">
        <v>7345</v>
      </c>
      <c r="E236" t="s">
        <v>2183</v>
      </c>
      <c r="F236" t="s">
        <v>1364</v>
      </c>
      <c r="G236" s="31">
        <v>0.43759999999999999</v>
      </c>
      <c r="H236" s="31">
        <v>0.36559999999999998</v>
      </c>
      <c r="I236" t="s">
        <v>1954</v>
      </c>
      <c r="J236" t="s">
        <v>1954</v>
      </c>
      <c r="K236">
        <v>388153.00099999999</v>
      </c>
      <c r="L236">
        <v>3235514</v>
      </c>
      <c r="M236" s="32">
        <v>8.3356999999999992</v>
      </c>
      <c r="N236" t="s">
        <v>141</v>
      </c>
      <c r="O236" t="s">
        <v>2184</v>
      </c>
      <c r="P236">
        <v>44</v>
      </c>
      <c r="Q236" t="s">
        <v>1958</v>
      </c>
      <c r="R236" t="s">
        <v>21</v>
      </c>
      <c r="S236" t="s">
        <v>22</v>
      </c>
      <c r="T236">
        <f t="shared" si="3"/>
        <v>186994.20000000004</v>
      </c>
    </row>
    <row r="237" spans="1:20" x14ac:dyDescent="0.25">
      <c r="A237" t="s">
        <v>366</v>
      </c>
      <c r="B237" t="s">
        <v>244</v>
      </c>
      <c r="C237">
        <v>3</v>
      </c>
      <c r="D237">
        <v>7784</v>
      </c>
      <c r="E237" t="s">
        <v>1987</v>
      </c>
      <c r="F237" t="s">
        <v>1789</v>
      </c>
      <c r="G237" s="31">
        <v>0.4128</v>
      </c>
      <c r="H237" s="31">
        <v>0.34079999999999999</v>
      </c>
      <c r="I237" t="s">
        <v>1954</v>
      </c>
      <c r="J237" t="s">
        <v>1954</v>
      </c>
      <c r="K237">
        <v>36823</v>
      </c>
      <c r="L237">
        <v>309686</v>
      </c>
      <c r="M237" s="32">
        <v>8.4100999999999999</v>
      </c>
      <c r="N237" t="s">
        <v>331</v>
      </c>
      <c r="O237" t="s">
        <v>308</v>
      </c>
      <c r="P237">
        <v>60</v>
      </c>
      <c r="Q237" t="s">
        <v>1958</v>
      </c>
      <c r="R237" t="s">
        <v>21</v>
      </c>
      <c r="S237" t="s">
        <v>22</v>
      </c>
      <c r="T237">
        <f t="shared" si="3"/>
        <v>187054.20000000004</v>
      </c>
    </row>
    <row r="238" spans="1:20" x14ac:dyDescent="0.25">
      <c r="A238" t="s">
        <v>947</v>
      </c>
      <c r="B238" t="s">
        <v>244</v>
      </c>
      <c r="C238">
        <v>1</v>
      </c>
      <c r="D238">
        <v>3176</v>
      </c>
      <c r="E238" t="s">
        <v>948</v>
      </c>
      <c r="F238" t="s">
        <v>143</v>
      </c>
      <c r="G238" s="31">
        <v>1</v>
      </c>
      <c r="H238" s="31">
        <v>1</v>
      </c>
      <c r="I238" t="s">
        <v>1954</v>
      </c>
      <c r="J238" t="s">
        <v>1954</v>
      </c>
      <c r="K238">
        <v>232519</v>
      </c>
      <c r="L238">
        <v>1972850</v>
      </c>
      <c r="M238" s="32">
        <v>8.4847000000000001</v>
      </c>
      <c r="N238" t="s">
        <v>331</v>
      </c>
      <c r="O238" t="s">
        <v>949</v>
      </c>
      <c r="P238">
        <v>125.2</v>
      </c>
      <c r="Q238" s="33" t="s">
        <v>1955</v>
      </c>
      <c r="R238" t="s">
        <v>21</v>
      </c>
      <c r="S238" t="s">
        <v>22</v>
      </c>
      <c r="T238">
        <f t="shared" si="3"/>
        <v>187179.40000000005</v>
      </c>
    </row>
    <row r="239" spans="1:20" x14ac:dyDescent="0.25">
      <c r="A239" t="s">
        <v>953</v>
      </c>
      <c r="B239" t="s">
        <v>244</v>
      </c>
      <c r="C239">
        <v>1</v>
      </c>
      <c r="D239">
        <v>3176</v>
      </c>
      <c r="E239" t="s">
        <v>948</v>
      </c>
      <c r="F239" t="s">
        <v>143</v>
      </c>
      <c r="G239" s="31">
        <v>1</v>
      </c>
      <c r="H239" s="31">
        <v>1</v>
      </c>
      <c r="I239" t="s">
        <v>1954</v>
      </c>
      <c r="J239" t="s">
        <v>1954</v>
      </c>
      <c r="K239">
        <v>232519</v>
      </c>
      <c r="L239">
        <v>1972850</v>
      </c>
      <c r="M239" s="32">
        <v>8.4847000000000001</v>
      </c>
      <c r="N239" t="s">
        <v>331</v>
      </c>
      <c r="O239" t="s">
        <v>949</v>
      </c>
      <c r="P239">
        <v>125.2</v>
      </c>
      <c r="Q239" s="33" t="s">
        <v>1955</v>
      </c>
      <c r="R239" t="s">
        <v>21</v>
      </c>
      <c r="S239" t="s">
        <v>22</v>
      </c>
      <c r="T239">
        <f t="shared" si="3"/>
        <v>187304.60000000006</v>
      </c>
    </row>
    <row r="240" spans="1:20" x14ac:dyDescent="0.25">
      <c r="A240" t="s">
        <v>954</v>
      </c>
      <c r="B240" t="s">
        <v>244</v>
      </c>
      <c r="C240">
        <v>1</v>
      </c>
      <c r="D240">
        <v>3176</v>
      </c>
      <c r="E240" t="s">
        <v>948</v>
      </c>
      <c r="F240" t="s">
        <v>143</v>
      </c>
      <c r="G240" s="31">
        <v>1</v>
      </c>
      <c r="H240" s="31">
        <v>1</v>
      </c>
      <c r="I240" t="s">
        <v>1954</v>
      </c>
      <c r="J240" t="s">
        <v>1954</v>
      </c>
      <c r="K240">
        <v>232519</v>
      </c>
      <c r="L240">
        <v>1972850</v>
      </c>
      <c r="M240" s="32">
        <v>8.4847000000000001</v>
      </c>
      <c r="N240" t="s">
        <v>331</v>
      </c>
      <c r="O240" t="s">
        <v>949</v>
      </c>
      <c r="P240">
        <v>125.2</v>
      </c>
      <c r="Q240" s="33" t="s">
        <v>1955</v>
      </c>
      <c r="R240" t="s">
        <v>21</v>
      </c>
      <c r="S240" t="s">
        <v>22</v>
      </c>
      <c r="T240">
        <f t="shared" si="3"/>
        <v>187429.80000000008</v>
      </c>
    </row>
    <row r="241" spans="1:20" x14ac:dyDescent="0.25">
      <c r="A241" t="s">
        <v>903</v>
      </c>
      <c r="B241" t="s">
        <v>213</v>
      </c>
      <c r="C241">
        <v>1</v>
      </c>
      <c r="D241">
        <v>7153</v>
      </c>
      <c r="E241" t="s">
        <v>904</v>
      </c>
      <c r="F241" t="s">
        <v>672</v>
      </c>
      <c r="G241" s="31">
        <v>1</v>
      </c>
      <c r="H241" s="31">
        <v>1</v>
      </c>
      <c r="I241" t="s">
        <v>1954</v>
      </c>
      <c r="J241" t="s">
        <v>1954</v>
      </c>
      <c r="K241">
        <v>2178940.0040000002</v>
      </c>
      <c r="L241">
        <v>18501741</v>
      </c>
      <c r="M241" s="32">
        <v>8.4911999999999992</v>
      </c>
      <c r="N241" t="s">
        <v>239</v>
      </c>
      <c r="O241" t="s">
        <v>906</v>
      </c>
      <c r="P241">
        <v>1128</v>
      </c>
      <c r="Q241" s="33" t="s">
        <v>1955</v>
      </c>
      <c r="R241" t="s">
        <v>21</v>
      </c>
      <c r="S241" t="s">
        <v>22</v>
      </c>
      <c r="T241">
        <f t="shared" si="3"/>
        <v>188557.80000000008</v>
      </c>
    </row>
    <row r="242" spans="1:20" x14ac:dyDescent="0.25">
      <c r="A242" t="s">
        <v>907</v>
      </c>
      <c r="B242" t="s">
        <v>213</v>
      </c>
      <c r="C242">
        <v>1</v>
      </c>
      <c r="D242">
        <v>7153</v>
      </c>
      <c r="E242" t="s">
        <v>904</v>
      </c>
      <c r="F242" t="s">
        <v>672</v>
      </c>
      <c r="G242" s="31">
        <v>1</v>
      </c>
      <c r="H242" s="31">
        <v>1</v>
      </c>
      <c r="I242" t="s">
        <v>1954</v>
      </c>
      <c r="J242" t="s">
        <v>1954</v>
      </c>
      <c r="K242">
        <v>2178940.0040000002</v>
      </c>
      <c r="L242">
        <v>18501741</v>
      </c>
      <c r="M242" s="32">
        <v>8.4911999999999992</v>
      </c>
      <c r="N242" t="s">
        <v>239</v>
      </c>
      <c r="O242" t="s">
        <v>906</v>
      </c>
      <c r="P242">
        <v>1128</v>
      </c>
      <c r="Q242" s="33" t="s">
        <v>1955</v>
      </c>
      <c r="R242" t="s">
        <v>21</v>
      </c>
      <c r="S242" t="s">
        <v>22</v>
      </c>
      <c r="T242">
        <f t="shared" si="3"/>
        <v>189685.80000000008</v>
      </c>
    </row>
    <row r="243" spans="1:20" x14ac:dyDescent="0.25">
      <c r="A243" t="s">
        <v>908</v>
      </c>
      <c r="B243" t="s">
        <v>213</v>
      </c>
      <c r="C243">
        <v>1</v>
      </c>
      <c r="D243">
        <v>7153</v>
      </c>
      <c r="E243" t="s">
        <v>904</v>
      </c>
      <c r="F243" t="s">
        <v>672</v>
      </c>
      <c r="G243" s="31">
        <v>1</v>
      </c>
      <c r="H243" s="31">
        <v>1</v>
      </c>
      <c r="I243" t="s">
        <v>1954</v>
      </c>
      <c r="J243" t="s">
        <v>1954</v>
      </c>
      <c r="K243">
        <v>2178940.0040000002</v>
      </c>
      <c r="L243">
        <v>18501741</v>
      </c>
      <c r="M243" s="32">
        <v>8.4911999999999992</v>
      </c>
      <c r="N243" t="s">
        <v>239</v>
      </c>
      <c r="O243" t="s">
        <v>906</v>
      </c>
      <c r="P243">
        <v>1128</v>
      </c>
      <c r="Q243" s="33" t="s">
        <v>1955</v>
      </c>
      <c r="R243" t="s">
        <v>21</v>
      </c>
      <c r="S243" t="s">
        <v>22</v>
      </c>
      <c r="T243">
        <f t="shared" si="3"/>
        <v>190813.80000000008</v>
      </c>
    </row>
    <row r="244" spans="1:20" x14ac:dyDescent="0.25">
      <c r="A244" t="s">
        <v>909</v>
      </c>
      <c r="B244" t="s">
        <v>213</v>
      </c>
      <c r="C244">
        <v>1</v>
      </c>
      <c r="D244">
        <v>7153</v>
      </c>
      <c r="E244" t="s">
        <v>904</v>
      </c>
      <c r="F244" t="s">
        <v>672</v>
      </c>
      <c r="G244" s="31">
        <v>1</v>
      </c>
      <c r="H244" s="31">
        <v>1</v>
      </c>
      <c r="I244" t="s">
        <v>1954</v>
      </c>
      <c r="J244" t="s">
        <v>1954</v>
      </c>
      <c r="K244">
        <v>2178940.0040000002</v>
      </c>
      <c r="L244">
        <v>18501741</v>
      </c>
      <c r="M244" s="32">
        <v>8.4911999999999992</v>
      </c>
      <c r="N244" t="s">
        <v>239</v>
      </c>
      <c r="O244" t="s">
        <v>906</v>
      </c>
      <c r="P244">
        <v>1128</v>
      </c>
      <c r="Q244" s="33" t="s">
        <v>1955</v>
      </c>
      <c r="R244" t="s">
        <v>21</v>
      </c>
      <c r="S244" t="s">
        <v>22</v>
      </c>
      <c r="T244">
        <f t="shared" si="3"/>
        <v>191941.80000000008</v>
      </c>
    </row>
    <row r="245" spans="1:20" x14ac:dyDescent="0.25">
      <c r="A245" t="s">
        <v>910</v>
      </c>
      <c r="B245" t="s">
        <v>213</v>
      </c>
      <c r="C245">
        <v>1</v>
      </c>
      <c r="D245">
        <v>7153</v>
      </c>
      <c r="E245" t="s">
        <v>904</v>
      </c>
      <c r="F245" t="s">
        <v>672</v>
      </c>
      <c r="G245" s="31">
        <v>1</v>
      </c>
      <c r="H245" s="31">
        <v>1</v>
      </c>
      <c r="I245" t="s">
        <v>1954</v>
      </c>
      <c r="J245" t="s">
        <v>1954</v>
      </c>
      <c r="K245">
        <v>2178940.0040000002</v>
      </c>
      <c r="L245">
        <v>18501741</v>
      </c>
      <c r="M245" s="32">
        <v>8.4911999999999992</v>
      </c>
      <c r="N245" t="s">
        <v>239</v>
      </c>
      <c r="O245" t="s">
        <v>906</v>
      </c>
      <c r="P245">
        <v>1128</v>
      </c>
      <c r="Q245" s="33" t="s">
        <v>1955</v>
      </c>
      <c r="R245" t="s">
        <v>21</v>
      </c>
      <c r="S245" t="s">
        <v>22</v>
      </c>
      <c r="T245">
        <f t="shared" si="3"/>
        <v>193069.80000000008</v>
      </c>
    </row>
    <row r="246" spans="1:20" x14ac:dyDescent="0.25">
      <c r="A246" t="s">
        <v>911</v>
      </c>
      <c r="B246" t="s">
        <v>213</v>
      </c>
      <c r="C246">
        <v>1</v>
      </c>
      <c r="D246">
        <v>7153</v>
      </c>
      <c r="E246" t="s">
        <v>904</v>
      </c>
      <c r="F246" t="s">
        <v>672</v>
      </c>
      <c r="G246" s="31">
        <v>1</v>
      </c>
      <c r="H246" s="31">
        <v>1</v>
      </c>
      <c r="I246" t="s">
        <v>1954</v>
      </c>
      <c r="J246" t="s">
        <v>1954</v>
      </c>
      <c r="K246">
        <v>2178940.0040000002</v>
      </c>
      <c r="L246">
        <v>18501741</v>
      </c>
      <c r="M246" s="32">
        <v>8.4911999999999992</v>
      </c>
      <c r="N246" t="s">
        <v>239</v>
      </c>
      <c r="O246" t="s">
        <v>906</v>
      </c>
      <c r="P246">
        <v>1128</v>
      </c>
      <c r="Q246" s="33" t="s">
        <v>1955</v>
      </c>
      <c r="R246" t="s">
        <v>21</v>
      </c>
      <c r="S246" t="s">
        <v>22</v>
      </c>
      <c r="T246">
        <f t="shared" si="3"/>
        <v>194197.80000000008</v>
      </c>
    </row>
    <row r="247" spans="1:20" x14ac:dyDescent="0.25">
      <c r="A247" t="s">
        <v>912</v>
      </c>
      <c r="B247" t="s">
        <v>213</v>
      </c>
      <c r="C247">
        <v>1</v>
      </c>
      <c r="D247">
        <v>7153</v>
      </c>
      <c r="E247" t="s">
        <v>904</v>
      </c>
      <c r="F247" t="s">
        <v>672</v>
      </c>
      <c r="G247" s="31">
        <v>1</v>
      </c>
      <c r="H247" s="31">
        <v>1</v>
      </c>
      <c r="I247" t="s">
        <v>1954</v>
      </c>
      <c r="J247" t="s">
        <v>1954</v>
      </c>
      <c r="K247">
        <v>2178940.0040000002</v>
      </c>
      <c r="L247">
        <v>18501741</v>
      </c>
      <c r="M247" s="32">
        <v>8.4911999999999992</v>
      </c>
      <c r="N247" t="s">
        <v>239</v>
      </c>
      <c r="O247" t="s">
        <v>906</v>
      </c>
      <c r="P247">
        <v>1128</v>
      </c>
      <c r="Q247" s="33" t="s">
        <v>1955</v>
      </c>
      <c r="R247" t="s">
        <v>21</v>
      </c>
      <c r="S247" t="s">
        <v>22</v>
      </c>
      <c r="T247">
        <f t="shared" si="3"/>
        <v>195325.80000000008</v>
      </c>
    </row>
    <row r="248" spans="1:20" x14ac:dyDescent="0.25">
      <c r="A248" t="s">
        <v>913</v>
      </c>
      <c r="B248" t="s">
        <v>213</v>
      </c>
      <c r="C248">
        <v>1</v>
      </c>
      <c r="D248">
        <v>7153</v>
      </c>
      <c r="E248" t="s">
        <v>904</v>
      </c>
      <c r="F248" t="s">
        <v>672</v>
      </c>
      <c r="G248" s="31">
        <v>1</v>
      </c>
      <c r="H248" s="31">
        <v>1</v>
      </c>
      <c r="I248" t="s">
        <v>1954</v>
      </c>
      <c r="J248" t="s">
        <v>1954</v>
      </c>
      <c r="K248">
        <v>2178940.0040000002</v>
      </c>
      <c r="L248">
        <v>18501741</v>
      </c>
      <c r="M248" s="32">
        <v>8.4911999999999992</v>
      </c>
      <c r="N248" t="s">
        <v>239</v>
      </c>
      <c r="O248" t="s">
        <v>906</v>
      </c>
      <c r="P248">
        <v>1128</v>
      </c>
      <c r="Q248" s="33" t="s">
        <v>1955</v>
      </c>
      <c r="R248" t="s">
        <v>21</v>
      </c>
      <c r="S248" t="s">
        <v>22</v>
      </c>
      <c r="T248">
        <f t="shared" si="3"/>
        <v>196453.80000000008</v>
      </c>
    </row>
    <row r="249" spans="1:20" x14ac:dyDescent="0.25">
      <c r="A249" t="s">
        <v>976</v>
      </c>
      <c r="B249" t="s">
        <v>244</v>
      </c>
      <c r="C249">
        <v>2</v>
      </c>
      <c r="D249">
        <v>55270</v>
      </c>
      <c r="E249" t="s">
        <v>2080</v>
      </c>
      <c r="F249" t="s">
        <v>250</v>
      </c>
      <c r="G249" s="31">
        <v>1</v>
      </c>
      <c r="H249" s="31">
        <v>1</v>
      </c>
      <c r="I249" t="s">
        <v>1954</v>
      </c>
      <c r="J249" t="s">
        <v>1954</v>
      </c>
      <c r="K249">
        <v>1958496</v>
      </c>
      <c r="L249">
        <v>16705462</v>
      </c>
      <c r="M249" s="32">
        <v>8.5297000000000001</v>
      </c>
      <c r="N249" t="s">
        <v>331</v>
      </c>
      <c r="O249" t="s">
        <v>2081</v>
      </c>
      <c r="P249">
        <v>534.4</v>
      </c>
      <c r="Q249" t="s">
        <v>1958</v>
      </c>
      <c r="R249" t="s">
        <v>21</v>
      </c>
      <c r="S249" t="s">
        <v>22</v>
      </c>
      <c r="T249">
        <f t="shared" si="3"/>
        <v>196988.20000000007</v>
      </c>
    </row>
    <row r="250" spans="1:20" x14ac:dyDescent="0.25">
      <c r="A250" t="s">
        <v>979</v>
      </c>
      <c r="B250" t="s">
        <v>244</v>
      </c>
      <c r="C250">
        <v>2</v>
      </c>
      <c r="D250">
        <v>55270</v>
      </c>
      <c r="E250" t="s">
        <v>2080</v>
      </c>
      <c r="F250" t="s">
        <v>250</v>
      </c>
      <c r="G250" s="31">
        <v>1</v>
      </c>
      <c r="H250" s="31">
        <v>1</v>
      </c>
      <c r="I250" t="s">
        <v>1954</v>
      </c>
      <c r="J250" t="s">
        <v>1954</v>
      </c>
      <c r="K250">
        <v>1958496</v>
      </c>
      <c r="L250">
        <v>16705462</v>
      </c>
      <c r="M250" s="32">
        <v>8.5297000000000001</v>
      </c>
      <c r="N250" t="s">
        <v>331</v>
      </c>
      <c r="O250" t="s">
        <v>2081</v>
      </c>
      <c r="P250">
        <v>534.4</v>
      </c>
      <c r="Q250" t="s">
        <v>1958</v>
      </c>
      <c r="R250" t="s">
        <v>21</v>
      </c>
      <c r="S250" t="s">
        <v>22</v>
      </c>
      <c r="T250">
        <f t="shared" si="3"/>
        <v>197522.60000000006</v>
      </c>
    </row>
    <row r="251" spans="1:20" x14ac:dyDescent="0.25">
      <c r="A251" t="s">
        <v>574</v>
      </c>
      <c r="B251" t="s">
        <v>244</v>
      </c>
      <c r="C251">
        <v>2</v>
      </c>
      <c r="D251">
        <v>50978</v>
      </c>
      <c r="E251" t="s">
        <v>2016</v>
      </c>
      <c r="F251" t="s">
        <v>1789</v>
      </c>
      <c r="G251" s="31">
        <v>0.5252</v>
      </c>
      <c r="H251" s="31">
        <v>0.45319999999999999</v>
      </c>
      <c r="I251" t="s">
        <v>1954</v>
      </c>
      <c r="J251" t="s">
        <v>1954</v>
      </c>
      <c r="K251">
        <v>227584</v>
      </c>
      <c r="L251">
        <v>1945331</v>
      </c>
      <c r="M251" s="32">
        <v>8.5477000000000007</v>
      </c>
      <c r="N251" t="s">
        <v>331</v>
      </c>
      <c r="O251" t="s">
        <v>686</v>
      </c>
      <c r="P251">
        <v>93</v>
      </c>
      <c r="Q251" t="s">
        <v>1958</v>
      </c>
      <c r="R251" t="s">
        <v>21</v>
      </c>
      <c r="S251" t="s">
        <v>22</v>
      </c>
      <c r="T251">
        <f t="shared" si="3"/>
        <v>197615.60000000006</v>
      </c>
    </row>
    <row r="252" spans="1:20" x14ac:dyDescent="0.25">
      <c r="A252" t="s">
        <v>1284</v>
      </c>
      <c r="B252" t="s">
        <v>109</v>
      </c>
      <c r="C252">
        <v>1</v>
      </c>
      <c r="D252">
        <v>56671</v>
      </c>
      <c r="E252" t="s">
        <v>1285</v>
      </c>
      <c r="F252" t="s">
        <v>118</v>
      </c>
      <c r="G252" s="31">
        <v>0.64590000000000003</v>
      </c>
      <c r="H252" s="31">
        <v>0.69189999999999996</v>
      </c>
      <c r="I252" t="s">
        <v>1954</v>
      </c>
      <c r="J252" t="s">
        <v>1954</v>
      </c>
      <c r="K252">
        <v>4615575</v>
      </c>
      <c r="L252">
        <v>40460006</v>
      </c>
      <c r="M252" s="32">
        <v>8.766</v>
      </c>
      <c r="N252" t="s">
        <v>116</v>
      </c>
      <c r="O252" t="s">
        <v>1286</v>
      </c>
      <c r="P252">
        <v>710</v>
      </c>
      <c r="Q252" s="33" t="s">
        <v>1956</v>
      </c>
      <c r="R252" t="s">
        <v>21</v>
      </c>
      <c r="S252" t="s">
        <v>22</v>
      </c>
      <c r="T252">
        <f t="shared" si="3"/>
        <v>198325.60000000006</v>
      </c>
    </row>
    <row r="253" spans="1:20" x14ac:dyDescent="0.25">
      <c r="A253" t="s">
        <v>1335</v>
      </c>
      <c r="B253" t="s">
        <v>194</v>
      </c>
      <c r="C253">
        <v>1</v>
      </c>
      <c r="D253">
        <v>50373</v>
      </c>
      <c r="E253" t="s">
        <v>2135</v>
      </c>
      <c r="F253" t="s">
        <v>143</v>
      </c>
      <c r="G253" s="31">
        <v>0.86680000000000001</v>
      </c>
      <c r="H253" s="31">
        <v>0.88480000000000003</v>
      </c>
      <c r="I253" t="s">
        <v>1976</v>
      </c>
      <c r="J253" t="s">
        <v>1954</v>
      </c>
      <c r="K253">
        <v>1228.086</v>
      </c>
      <c r="L253">
        <v>10926</v>
      </c>
      <c r="M253" s="32">
        <v>8.8968000000000007</v>
      </c>
      <c r="N253" t="s">
        <v>199</v>
      </c>
      <c r="P253">
        <v>0</v>
      </c>
      <c r="Q253" t="s">
        <v>1958</v>
      </c>
      <c r="R253" t="s">
        <v>21</v>
      </c>
      <c r="S253" t="s">
        <v>22</v>
      </c>
      <c r="T253">
        <f t="shared" si="3"/>
        <v>198325.60000000006</v>
      </c>
    </row>
    <row r="254" spans="1:20" x14ac:dyDescent="0.25">
      <c r="A254" t="s">
        <v>942</v>
      </c>
      <c r="B254" t="s">
        <v>213</v>
      </c>
      <c r="C254">
        <v>1</v>
      </c>
      <c r="D254">
        <v>10633</v>
      </c>
      <c r="E254" t="s">
        <v>2078</v>
      </c>
      <c r="F254" t="s">
        <v>201</v>
      </c>
      <c r="G254" s="31">
        <v>0.51910000000000001</v>
      </c>
      <c r="H254" s="31">
        <v>0.56510000000000005</v>
      </c>
      <c r="I254" t="s">
        <v>1954</v>
      </c>
      <c r="J254" t="s">
        <v>1954</v>
      </c>
      <c r="K254">
        <v>1773262</v>
      </c>
      <c r="L254">
        <v>15790787</v>
      </c>
      <c r="M254" s="32">
        <v>8.9048999999999996</v>
      </c>
      <c r="N254" t="s">
        <v>239</v>
      </c>
      <c r="O254" t="s">
        <v>944</v>
      </c>
      <c r="P254">
        <v>378.3</v>
      </c>
      <c r="Q254" t="s">
        <v>1958</v>
      </c>
      <c r="R254" t="s">
        <v>21</v>
      </c>
      <c r="S254" t="s">
        <v>22</v>
      </c>
      <c r="T254">
        <f t="shared" si="3"/>
        <v>198703.90000000005</v>
      </c>
    </row>
    <row r="255" spans="1:20" x14ac:dyDescent="0.25">
      <c r="A255" t="s">
        <v>706</v>
      </c>
      <c r="B255" t="s">
        <v>150</v>
      </c>
      <c r="C255">
        <v>3</v>
      </c>
      <c r="D255">
        <v>56280</v>
      </c>
      <c r="E255" t="s">
        <v>2048</v>
      </c>
      <c r="F255" t="s">
        <v>266</v>
      </c>
      <c r="G255" s="31">
        <v>0.4042</v>
      </c>
      <c r="H255" s="31">
        <v>0.45019999999999999</v>
      </c>
      <c r="I255" t="s">
        <v>1954</v>
      </c>
      <c r="J255" t="s">
        <v>1954</v>
      </c>
      <c r="K255">
        <v>3997</v>
      </c>
      <c r="L255">
        <v>36662</v>
      </c>
      <c r="M255" s="32">
        <v>9.1723999999999997</v>
      </c>
      <c r="N255" t="s">
        <v>321</v>
      </c>
      <c r="O255" t="s">
        <v>119</v>
      </c>
      <c r="P255">
        <v>2.4</v>
      </c>
      <c r="Q255" t="s">
        <v>1958</v>
      </c>
      <c r="R255" t="s">
        <v>21</v>
      </c>
      <c r="S255" t="s">
        <v>22</v>
      </c>
      <c r="T255">
        <f t="shared" si="3"/>
        <v>198706.30000000005</v>
      </c>
    </row>
    <row r="256" spans="1:20" x14ac:dyDescent="0.25">
      <c r="A256" t="s">
        <v>982</v>
      </c>
      <c r="B256" t="s">
        <v>150</v>
      </c>
      <c r="C256">
        <v>3</v>
      </c>
      <c r="D256">
        <v>56280</v>
      </c>
      <c r="E256" t="s">
        <v>2048</v>
      </c>
      <c r="F256" t="s">
        <v>266</v>
      </c>
      <c r="G256" s="31">
        <v>0.39710000000000001</v>
      </c>
      <c r="H256" s="31">
        <v>0.44309999999999999</v>
      </c>
      <c r="I256" t="s">
        <v>1954</v>
      </c>
      <c r="J256" t="s">
        <v>1954</v>
      </c>
      <c r="K256">
        <v>3997</v>
      </c>
      <c r="L256">
        <v>36662</v>
      </c>
      <c r="M256" s="32">
        <v>9.1723999999999997</v>
      </c>
      <c r="N256" t="s">
        <v>321</v>
      </c>
      <c r="O256" t="s">
        <v>119</v>
      </c>
      <c r="P256">
        <v>2.4</v>
      </c>
      <c r="Q256" t="s">
        <v>1958</v>
      </c>
      <c r="R256" t="s">
        <v>21</v>
      </c>
      <c r="S256" t="s">
        <v>22</v>
      </c>
      <c r="T256">
        <f t="shared" si="3"/>
        <v>198708.70000000004</v>
      </c>
    </row>
    <row r="257" spans="1:20" x14ac:dyDescent="0.25">
      <c r="A257" t="s">
        <v>366</v>
      </c>
      <c r="B257" t="s">
        <v>244</v>
      </c>
      <c r="C257">
        <v>1</v>
      </c>
      <c r="D257">
        <v>10751</v>
      </c>
      <c r="E257" t="s">
        <v>1983</v>
      </c>
      <c r="F257" t="s">
        <v>241</v>
      </c>
      <c r="G257" s="31">
        <v>0.4128</v>
      </c>
      <c r="H257" s="31">
        <v>0.45879999999999999</v>
      </c>
      <c r="I257" t="s">
        <v>1954</v>
      </c>
      <c r="J257" t="s">
        <v>1954</v>
      </c>
      <c r="K257">
        <v>97880</v>
      </c>
      <c r="L257">
        <v>899846</v>
      </c>
      <c r="M257" s="32">
        <v>9.1934000000000005</v>
      </c>
      <c r="N257" t="s">
        <v>331</v>
      </c>
      <c r="O257" t="s">
        <v>368</v>
      </c>
      <c r="P257">
        <v>145</v>
      </c>
      <c r="Q257" t="s">
        <v>1958</v>
      </c>
      <c r="R257" t="s">
        <v>21</v>
      </c>
      <c r="S257" t="s">
        <v>22</v>
      </c>
      <c r="T257">
        <f t="shared" si="3"/>
        <v>198853.70000000004</v>
      </c>
    </row>
    <row r="258" spans="1:20" x14ac:dyDescent="0.25">
      <c r="A258" t="s">
        <v>540</v>
      </c>
      <c r="B258" t="s">
        <v>244</v>
      </c>
      <c r="C258">
        <v>1</v>
      </c>
      <c r="D258">
        <v>50561</v>
      </c>
      <c r="E258" t="s">
        <v>630</v>
      </c>
      <c r="F258" t="s">
        <v>241</v>
      </c>
      <c r="G258" s="31">
        <v>0.50819999999999999</v>
      </c>
      <c r="H258" s="31">
        <v>0.55420000000000003</v>
      </c>
      <c r="I258" t="s">
        <v>1954</v>
      </c>
      <c r="J258" t="s">
        <v>1954</v>
      </c>
      <c r="K258">
        <v>204800</v>
      </c>
      <c r="L258">
        <v>1895303</v>
      </c>
      <c r="M258" s="32">
        <v>9.2544000000000004</v>
      </c>
      <c r="N258" t="s">
        <v>239</v>
      </c>
      <c r="O258" t="s">
        <v>542</v>
      </c>
      <c r="P258">
        <v>244</v>
      </c>
      <c r="Q258" t="s">
        <v>1958</v>
      </c>
      <c r="R258" t="s">
        <v>21</v>
      </c>
      <c r="S258" t="s">
        <v>22</v>
      </c>
      <c r="T258">
        <f t="shared" si="3"/>
        <v>199097.70000000004</v>
      </c>
    </row>
    <row r="259" spans="1:20" x14ac:dyDescent="0.25">
      <c r="A259" t="s">
        <v>629</v>
      </c>
      <c r="B259" t="s">
        <v>244</v>
      </c>
      <c r="C259">
        <v>1</v>
      </c>
      <c r="D259">
        <v>50561</v>
      </c>
      <c r="E259" t="s">
        <v>630</v>
      </c>
      <c r="F259" t="s">
        <v>241</v>
      </c>
      <c r="G259" s="31">
        <v>1</v>
      </c>
      <c r="H259" s="31">
        <v>1</v>
      </c>
      <c r="I259" t="s">
        <v>1954</v>
      </c>
      <c r="J259" t="s">
        <v>1954</v>
      </c>
      <c r="K259">
        <v>204800</v>
      </c>
      <c r="L259">
        <v>1895303</v>
      </c>
      <c r="M259" s="32">
        <v>9.2544000000000004</v>
      </c>
      <c r="N259" t="s">
        <v>239</v>
      </c>
      <c r="O259" t="s">
        <v>542</v>
      </c>
      <c r="P259">
        <v>244</v>
      </c>
      <c r="Q259" s="33" t="s">
        <v>1955</v>
      </c>
      <c r="R259" t="s">
        <v>21</v>
      </c>
      <c r="S259" t="s">
        <v>22</v>
      </c>
      <c r="T259">
        <f t="shared" si="3"/>
        <v>199341.70000000004</v>
      </c>
    </row>
    <row r="260" spans="1:20" x14ac:dyDescent="0.25">
      <c r="A260" t="s">
        <v>631</v>
      </c>
      <c r="B260" t="s">
        <v>244</v>
      </c>
      <c r="C260">
        <v>1</v>
      </c>
      <c r="D260">
        <v>50561</v>
      </c>
      <c r="E260" t="s">
        <v>630</v>
      </c>
      <c r="F260" t="s">
        <v>241</v>
      </c>
      <c r="G260" s="31">
        <v>1</v>
      </c>
      <c r="H260" s="31">
        <v>1</v>
      </c>
      <c r="I260" t="s">
        <v>1954</v>
      </c>
      <c r="J260" t="s">
        <v>1954</v>
      </c>
      <c r="K260">
        <v>204800</v>
      </c>
      <c r="L260">
        <v>1895303</v>
      </c>
      <c r="M260" s="32">
        <v>9.2544000000000004</v>
      </c>
      <c r="N260" t="s">
        <v>239</v>
      </c>
      <c r="O260" t="s">
        <v>542</v>
      </c>
      <c r="P260">
        <v>244</v>
      </c>
      <c r="Q260" s="33" t="s">
        <v>1955</v>
      </c>
      <c r="R260" t="s">
        <v>21</v>
      </c>
      <c r="S260" t="s">
        <v>22</v>
      </c>
      <c r="T260">
        <f t="shared" ref="T260:T323" si="4">T259+P260</f>
        <v>199585.70000000004</v>
      </c>
    </row>
    <row r="261" spans="1:20" x14ac:dyDescent="0.25">
      <c r="A261" t="s">
        <v>632</v>
      </c>
      <c r="B261" t="s">
        <v>244</v>
      </c>
      <c r="C261">
        <v>1</v>
      </c>
      <c r="D261">
        <v>50561</v>
      </c>
      <c r="E261" t="s">
        <v>630</v>
      </c>
      <c r="F261" t="s">
        <v>241</v>
      </c>
      <c r="G261" s="31">
        <v>1</v>
      </c>
      <c r="H261" s="31">
        <v>1</v>
      </c>
      <c r="I261" t="s">
        <v>1954</v>
      </c>
      <c r="J261" t="s">
        <v>1954</v>
      </c>
      <c r="K261">
        <v>204800</v>
      </c>
      <c r="L261">
        <v>1895303</v>
      </c>
      <c r="M261" s="32">
        <v>9.2544000000000004</v>
      </c>
      <c r="N261" t="s">
        <v>239</v>
      </c>
      <c r="O261" t="s">
        <v>542</v>
      </c>
      <c r="P261">
        <v>244</v>
      </c>
      <c r="Q261" s="33" t="s">
        <v>1955</v>
      </c>
      <c r="R261" t="s">
        <v>21</v>
      </c>
      <c r="S261" t="s">
        <v>22</v>
      </c>
      <c r="T261">
        <f t="shared" si="4"/>
        <v>199829.70000000004</v>
      </c>
    </row>
    <row r="262" spans="1:20" x14ac:dyDescent="0.25">
      <c r="A262" t="s">
        <v>633</v>
      </c>
      <c r="B262" t="s">
        <v>244</v>
      </c>
      <c r="C262">
        <v>1</v>
      </c>
      <c r="D262">
        <v>50561</v>
      </c>
      <c r="E262" t="s">
        <v>630</v>
      </c>
      <c r="F262" t="s">
        <v>241</v>
      </c>
      <c r="G262" s="31">
        <v>1</v>
      </c>
      <c r="H262" s="31">
        <v>1</v>
      </c>
      <c r="I262" t="s">
        <v>1954</v>
      </c>
      <c r="J262" t="s">
        <v>1954</v>
      </c>
      <c r="K262">
        <v>204800</v>
      </c>
      <c r="L262">
        <v>1895303</v>
      </c>
      <c r="M262" s="32">
        <v>9.2544000000000004</v>
      </c>
      <c r="N262" t="s">
        <v>239</v>
      </c>
      <c r="O262" t="s">
        <v>542</v>
      </c>
      <c r="P262">
        <v>244</v>
      </c>
      <c r="Q262" s="33" t="s">
        <v>1955</v>
      </c>
      <c r="R262" t="s">
        <v>21</v>
      </c>
      <c r="S262" t="s">
        <v>22</v>
      </c>
      <c r="T262">
        <f t="shared" si="4"/>
        <v>200073.70000000004</v>
      </c>
    </row>
    <row r="263" spans="1:20" x14ac:dyDescent="0.25">
      <c r="A263" t="s">
        <v>1397</v>
      </c>
      <c r="B263" t="s">
        <v>213</v>
      </c>
      <c r="C263">
        <v>2</v>
      </c>
      <c r="D263">
        <v>50561</v>
      </c>
      <c r="E263" t="s">
        <v>630</v>
      </c>
      <c r="F263" t="s">
        <v>241</v>
      </c>
      <c r="G263" s="31">
        <v>0.4017</v>
      </c>
      <c r="H263" s="31">
        <v>0.44769999999999999</v>
      </c>
      <c r="I263" t="s">
        <v>1954</v>
      </c>
      <c r="J263" t="s">
        <v>1954</v>
      </c>
      <c r="K263">
        <v>204800</v>
      </c>
      <c r="L263">
        <v>1895303</v>
      </c>
      <c r="M263" s="32">
        <v>9.2544000000000004</v>
      </c>
      <c r="N263" t="s">
        <v>239</v>
      </c>
      <c r="O263" t="s">
        <v>542</v>
      </c>
      <c r="P263">
        <v>244</v>
      </c>
      <c r="Q263" t="s">
        <v>1958</v>
      </c>
      <c r="R263" t="s">
        <v>21</v>
      </c>
      <c r="S263" t="s">
        <v>22</v>
      </c>
      <c r="T263">
        <f t="shared" si="4"/>
        <v>200317.70000000004</v>
      </c>
    </row>
    <row r="264" spans="1:20" x14ac:dyDescent="0.25">
      <c r="A264" t="s">
        <v>1796</v>
      </c>
      <c r="B264" t="s">
        <v>244</v>
      </c>
      <c r="C264">
        <v>3</v>
      </c>
      <c r="D264">
        <v>50561</v>
      </c>
      <c r="E264" t="s">
        <v>630</v>
      </c>
      <c r="F264" t="s">
        <v>241</v>
      </c>
      <c r="G264" s="31">
        <v>0.48499999999999999</v>
      </c>
      <c r="H264" s="31">
        <v>0.53100000000000003</v>
      </c>
      <c r="I264" t="s">
        <v>1954</v>
      </c>
      <c r="J264" t="s">
        <v>1954</v>
      </c>
      <c r="K264">
        <v>204800</v>
      </c>
      <c r="L264">
        <v>1895303</v>
      </c>
      <c r="M264" s="32">
        <v>9.2544000000000004</v>
      </c>
      <c r="N264" t="s">
        <v>239</v>
      </c>
      <c r="O264" t="s">
        <v>542</v>
      </c>
      <c r="P264">
        <v>244</v>
      </c>
      <c r="Q264" t="s">
        <v>1958</v>
      </c>
      <c r="R264" t="s">
        <v>21</v>
      </c>
      <c r="S264" t="s">
        <v>22</v>
      </c>
      <c r="T264">
        <f t="shared" si="4"/>
        <v>200561.70000000004</v>
      </c>
    </row>
    <row r="265" spans="1:20" x14ac:dyDescent="0.25">
      <c r="A265" t="s">
        <v>375</v>
      </c>
      <c r="B265" t="s">
        <v>194</v>
      </c>
      <c r="C265">
        <v>3</v>
      </c>
      <c r="D265">
        <v>60235</v>
      </c>
      <c r="E265" t="s">
        <v>1994</v>
      </c>
      <c r="F265" t="s">
        <v>201</v>
      </c>
      <c r="G265" s="31">
        <v>0.49309999999999998</v>
      </c>
      <c r="H265" s="31">
        <v>0.53910000000000002</v>
      </c>
      <c r="I265" t="s">
        <v>1954</v>
      </c>
      <c r="J265" t="s">
        <v>1954</v>
      </c>
      <c r="K265">
        <v>554</v>
      </c>
      <c r="L265">
        <v>5131</v>
      </c>
      <c r="M265" s="32">
        <v>9.2616999999999994</v>
      </c>
      <c r="N265" t="s">
        <v>199</v>
      </c>
      <c r="O265" t="s">
        <v>1995</v>
      </c>
      <c r="P265">
        <v>4</v>
      </c>
      <c r="Q265" t="s">
        <v>1958</v>
      </c>
      <c r="R265" t="s">
        <v>21</v>
      </c>
      <c r="S265" t="s">
        <v>22</v>
      </c>
      <c r="T265">
        <f t="shared" si="4"/>
        <v>200565.70000000004</v>
      </c>
    </row>
    <row r="266" spans="1:20" x14ac:dyDescent="0.25">
      <c r="A266" t="s">
        <v>861</v>
      </c>
      <c r="B266" t="s">
        <v>194</v>
      </c>
      <c r="C266">
        <v>3</v>
      </c>
      <c r="D266">
        <v>60235</v>
      </c>
      <c r="E266" t="s">
        <v>1994</v>
      </c>
      <c r="F266" t="s">
        <v>201</v>
      </c>
      <c r="G266" s="31">
        <v>0.53459999999999996</v>
      </c>
      <c r="H266" s="31">
        <v>0.5806</v>
      </c>
      <c r="I266" t="s">
        <v>1954</v>
      </c>
      <c r="J266" t="s">
        <v>1954</v>
      </c>
      <c r="K266">
        <v>554</v>
      </c>
      <c r="L266">
        <v>5131</v>
      </c>
      <c r="M266" s="32">
        <v>9.2616999999999994</v>
      </c>
      <c r="N266" t="s">
        <v>199</v>
      </c>
      <c r="O266" t="s">
        <v>1995</v>
      </c>
      <c r="P266">
        <v>4</v>
      </c>
      <c r="Q266" t="s">
        <v>1958</v>
      </c>
      <c r="R266" t="s">
        <v>21</v>
      </c>
      <c r="S266" t="s">
        <v>22</v>
      </c>
      <c r="T266">
        <f t="shared" si="4"/>
        <v>200569.70000000004</v>
      </c>
    </row>
    <row r="267" spans="1:20" x14ac:dyDescent="0.25">
      <c r="A267" t="s">
        <v>1568</v>
      </c>
      <c r="B267" t="s">
        <v>194</v>
      </c>
      <c r="C267">
        <v>3</v>
      </c>
      <c r="D267">
        <v>60235</v>
      </c>
      <c r="E267" t="s">
        <v>1994</v>
      </c>
      <c r="F267" t="s">
        <v>201</v>
      </c>
      <c r="G267" s="31">
        <v>0.50929999999999997</v>
      </c>
      <c r="H267" s="31">
        <v>0.55530000000000002</v>
      </c>
      <c r="I267" t="s">
        <v>1954</v>
      </c>
      <c r="J267" t="s">
        <v>1954</v>
      </c>
      <c r="K267">
        <v>554</v>
      </c>
      <c r="L267">
        <v>5131</v>
      </c>
      <c r="M267" s="32">
        <v>9.2616999999999994</v>
      </c>
      <c r="N267" t="s">
        <v>199</v>
      </c>
      <c r="O267" t="s">
        <v>1995</v>
      </c>
      <c r="P267">
        <v>4</v>
      </c>
      <c r="Q267" t="s">
        <v>1958</v>
      </c>
      <c r="R267" t="s">
        <v>21</v>
      </c>
      <c r="S267" t="s">
        <v>22</v>
      </c>
      <c r="T267">
        <f t="shared" si="4"/>
        <v>200573.70000000004</v>
      </c>
    </row>
    <row r="268" spans="1:20" x14ac:dyDescent="0.25">
      <c r="A268" t="s">
        <v>1648</v>
      </c>
      <c r="B268" t="s">
        <v>194</v>
      </c>
      <c r="C268">
        <v>2</v>
      </c>
      <c r="D268">
        <v>60235</v>
      </c>
      <c r="E268" t="s">
        <v>1994</v>
      </c>
      <c r="F268" t="s">
        <v>201</v>
      </c>
      <c r="G268" s="31">
        <v>0.42009999999999997</v>
      </c>
      <c r="H268" s="31">
        <v>0.46610000000000001</v>
      </c>
      <c r="I268" t="s">
        <v>1954</v>
      </c>
      <c r="J268" t="s">
        <v>1954</v>
      </c>
      <c r="K268">
        <v>554</v>
      </c>
      <c r="L268">
        <v>5131</v>
      </c>
      <c r="M268" s="32">
        <v>9.2616999999999994</v>
      </c>
      <c r="N268" t="s">
        <v>199</v>
      </c>
      <c r="O268" t="s">
        <v>1995</v>
      </c>
      <c r="P268">
        <v>4</v>
      </c>
      <c r="Q268" t="s">
        <v>1958</v>
      </c>
      <c r="R268" t="s">
        <v>21</v>
      </c>
      <c r="S268" t="s">
        <v>22</v>
      </c>
      <c r="T268">
        <f t="shared" si="4"/>
        <v>200577.70000000004</v>
      </c>
    </row>
    <row r="269" spans="1:20" x14ac:dyDescent="0.25">
      <c r="A269" t="s">
        <v>1265</v>
      </c>
      <c r="B269" t="s">
        <v>194</v>
      </c>
      <c r="C269">
        <v>2</v>
      </c>
      <c r="D269">
        <v>7941</v>
      </c>
      <c r="E269" t="s">
        <v>2122</v>
      </c>
      <c r="F269" t="s">
        <v>201</v>
      </c>
      <c r="G269" s="31">
        <v>0.40960000000000002</v>
      </c>
      <c r="H269" s="31">
        <v>0.4556</v>
      </c>
      <c r="I269" t="s">
        <v>1954</v>
      </c>
      <c r="J269" t="s">
        <v>1954</v>
      </c>
      <c r="K269">
        <v>953</v>
      </c>
      <c r="L269">
        <v>8963</v>
      </c>
      <c r="M269" s="32">
        <v>9.4049999999999994</v>
      </c>
      <c r="N269" t="s">
        <v>199</v>
      </c>
      <c r="O269" t="s">
        <v>308</v>
      </c>
      <c r="P269">
        <v>4</v>
      </c>
      <c r="Q269" t="s">
        <v>1958</v>
      </c>
      <c r="R269" t="s">
        <v>21</v>
      </c>
      <c r="S269" t="s">
        <v>22</v>
      </c>
      <c r="T269">
        <f t="shared" si="4"/>
        <v>200581.70000000004</v>
      </c>
    </row>
    <row r="270" spans="1:20" x14ac:dyDescent="0.25">
      <c r="A270" t="s">
        <v>1324</v>
      </c>
      <c r="B270" t="s">
        <v>194</v>
      </c>
      <c r="C270">
        <v>1</v>
      </c>
      <c r="D270">
        <v>7941</v>
      </c>
      <c r="E270" t="s">
        <v>2122</v>
      </c>
      <c r="F270" t="s">
        <v>201</v>
      </c>
      <c r="G270" s="31">
        <v>0.54330000000000001</v>
      </c>
      <c r="H270" s="31">
        <v>0.58930000000000005</v>
      </c>
      <c r="I270" t="s">
        <v>1954</v>
      </c>
      <c r="J270" t="s">
        <v>1954</v>
      </c>
      <c r="K270">
        <v>953</v>
      </c>
      <c r="L270">
        <v>8963</v>
      </c>
      <c r="M270" s="32">
        <v>9.4049999999999994</v>
      </c>
      <c r="N270" t="s">
        <v>199</v>
      </c>
      <c r="O270" t="s">
        <v>308</v>
      </c>
      <c r="P270">
        <v>4</v>
      </c>
      <c r="Q270" t="s">
        <v>1958</v>
      </c>
      <c r="R270" t="s">
        <v>21</v>
      </c>
      <c r="S270" t="s">
        <v>22</v>
      </c>
      <c r="T270">
        <f t="shared" si="4"/>
        <v>200585.70000000004</v>
      </c>
    </row>
    <row r="271" spans="1:20" x14ac:dyDescent="0.25">
      <c r="A271" t="s">
        <v>1648</v>
      </c>
      <c r="B271" t="s">
        <v>194</v>
      </c>
      <c r="C271">
        <v>3</v>
      </c>
      <c r="D271">
        <v>7941</v>
      </c>
      <c r="E271" t="s">
        <v>2122</v>
      </c>
      <c r="F271" t="s">
        <v>201</v>
      </c>
      <c r="G271" s="31">
        <v>0.4128</v>
      </c>
      <c r="H271" s="31">
        <v>0.45879999999999999</v>
      </c>
      <c r="I271" t="s">
        <v>1954</v>
      </c>
      <c r="J271" t="s">
        <v>1954</v>
      </c>
      <c r="K271">
        <v>953</v>
      </c>
      <c r="L271">
        <v>8963</v>
      </c>
      <c r="M271" s="32">
        <v>9.4049999999999994</v>
      </c>
      <c r="N271" t="s">
        <v>199</v>
      </c>
      <c r="O271" t="s">
        <v>308</v>
      </c>
      <c r="P271">
        <v>4</v>
      </c>
      <c r="Q271" t="s">
        <v>1958</v>
      </c>
      <c r="R271" t="s">
        <v>21</v>
      </c>
      <c r="S271" t="s">
        <v>22</v>
      </c>
      <c r="T271">
        <f t="shared" si="4"/>
        <v>200589.70000000004</v>
      </c>
    </row>
    <row r="272" spans="1:20" x14ac:dyDescent="0.25">
      <c r="A272" t="s">
        <v>1181</v>
      </c>
      <c r="B272" t="s">
        <v>194</v>
      </c>
      <c r="C272">
        <v>1</v>
      </c>
      <c r="D272">
        <v>60236</v>
      </c>
      <c r="E272" t="s">
        <v>2114</v>
      </c>
      <c r="F272" t="s">
        <v>201</v>
      </c>
      <c r="G272" s="31">
        <v>0.53</v>
      </c>
      <c r="H272" s="31">
        <v>0.57599999999999996</v>
      </c>
      <c r="I272" t="s">
        <v>1954</v>
      </c>
      <c r="J272" t="s">
        <v>1954</v>
      </c>
      <c r="K272">
        <v>578</v>
      </c>
      <c r="L272">
        <v>5469</v>
      </c>
      <c r="M272" s="32">
        <v>9.4619</v>
      </c>
      <c r="N272" t="s">
        <v>199</v>
      </c>
      <c r="O272" t="s">
        <v>1183</v>
      </c>
      <c r="P272">
        <v>4</v>
      </c>
      <c r="Q272" t="s">
        <v>1958</v>
      </c>
      <c r="R272" t="s">
        <v>21</v>
      </c>
      <c r="S272" t="s">
        <v>22</v>
      </c>
      <c r="T272">
        <f t="shared" si="4"/>
        <v>200593.70000000004</v>
      </c>
    </row>
    <row r="273" spans="1:20" x14ac:dyDescent="0.25">
      <c r="A273" t="s">
        <v>1287</v>
      </c>
      <c r="B273" t="s">
        <v>194</v>
      </c>
      <c r="C273">
        <v>1</v>
      </c>
      <c r="D273">
        <v>60236</v>
      </c>
      <c r="E273" t="s">
        <v>2114</v>
      </c>
      <c r="F273" t="s">
        <v>201</v>
      </c>
      <c r="G273" s="31">
        <v>0.41539999999999999</v>
      </c>
      <c r="H273" s="31">
        <v>0.46139999999999998</v>
      </c>
      <c r="I273" t="s">
        <v>1954</v>
      </c>
      <c r="J273" t="s">
        <v>1954</v>
      </c>
      <c r="K273">
        <v>578</v>
      </c>
      <c r="L273">
        <v>5469</v>
      </c>
      <c r="M273" s="32">
        <v>9.4619</v>
      </c>
      <c r="N273" t="s">
        <v>199</v>
      </c>
      <c r="O273" t="s">
        <v>1183</v>
      </c>
      <c r="P273">
        <v>4</v>
      </c>
      <c r="Q273" t="s">
        <v>1958</v>
      </c>
      <c r="R273" t="s">
        <v>21</v>
      </c>
      <c r="S273" t="s">
        <v>22</v>
      </c>
      <c r="T273">
        <f t="shared" si="4"/>
        <v>200597.70000000004</v>
      </c>
    </row>
    <row r="274" spans="1:20" x14ac:dyDescent="0.25">
      <c r="A274" t="s">
        <v>1324</v>
      </c>
      <c r="B274" t="s">
        <v>194</v>
      </c>
      <c r="C274">
        <v>3</v>
      </c>
      <c r="D274">
        <v>60236</v>
      </c>
      <c r="E274" t="s">
        <v>2114</v>
      </c>
      <c r="F274" t="s">
        <v>201</v>
      </c>
      <c r="G274" s="31">
        <v>0.53</v>
      </c>
      <c r="H274" s="31">
        <v>0.57599999999999996</v>
      </c>
      <c r="I274" t="s">
        <v>1954</v>
      </c>
      <c r="J274" t="s">
        <v>1954</v>
      </c>
      <c r="K274">
        <v>578</v>
      </c>
      <c r="L274">
        <v>5469</v>
      </c>
      <c r="M274" s="32">
        <v>9.4619</v>
      </c>
      <c r="N274" t="s">
        <v>199</v>
      </c>
      <c r="O274" t="s">
        <v>1183</v>
      </c>
      <c r="P274">
        <v>4</v>
      </c>
      <c r="Q274" t="s">
        <v>1958</v>
      </c>
      <c r="R274" t="s">
        <v>21</v>
      </c>
      <c r="S274" t="s">
        <v>22</v>
      </c>
      <c r="T274">
        <f t="shared" si="4"/>
        <v>200601.70000000004</v>
      </c>
    </row>
    <row r="275" spans="1:20" x14ac:dyDescent="0.25">
      <c r="A275" t="s">
        <v>1086</v>
      </c>
      <c r="B275" t="s">
        <v>137</v>
      </c>
      <c r="C275">
        <v>2</v>
      </c>
      <c r="D275">
        <v>7277</v>
      </c>
      <c r="E275" t="s">
        <v>2102</v>
      </c>
      <c r="F275" t="s">
        <v>708</v>
      </c>
      <c r="G275" s="31">
        <v>0.81579999999999997</v>
      </c>
      <c r="H275" s="31">
        <v>0.86180000000000001</v>
      </c>
      <c r="I275" t="s">
        <v>1954</v>
      </c>
      <c r="J275" t="s">
        <v>1954</v>
      </c>
      <c r="K275">
        <v>957898.00600000005</v>
      </c>
      <c r="L275">
        <v>9074281</v>
      </c>
      <c r="M275" s="32">
        <v>9.4731000000000005</v>
      </c>
      <c r="N275" t="s">
        <v>130</v>
      </c>
      <c r="O275" t="s">
        <v>2103</v>
      </c>
      <c r="P275">
        <v>1485</v>
      </c>
      <c r="Q275" t="s">
        <v>1958</v>
      </c>
      <c r="R275" t="s">
        <v>21</v>
      </c>
      <c r="S275" t="s">
        <v>22</v>
      </c>
      <c r="T275">
        <f t="shared" si="4"/>
        <v>202086.70000000004</v>
      </c>
    </row>
    <row r="276" spans="1:20" x14ac:dyDescent="0.25">
      <c r="A276" t="s">
        <v>1089</v>
      </c>
      <c r="B276" t="s">
        <v>137</v>
      </c>
      <c r="C276">
        <v>2</v>
      </c>
      <c r="D276">
        <v>7277</v>
      </c>
      <c r="E276" t="s">
        <v>2102</v>
      </c>
      <c r="F276" t="s">
        <v>708</v>
      </c>
      <c r="G276" s="31">
        <v>0.81579999999999997</v>
      </c>
      <c r="H276" s="31">
        <v>0.86180000000000001</v>
      </c>
      <c r="I276" t="s">
        <v>1954</v>
      </c>
      <c r="J276" t="s">
        <v>1954</v>
      </c>
      <c r="K276">
        <v>957898.00600000005</v>
      </c>
      <c r="L276">
        <v>9074281</v>
      </c>
      <c r="M276" s="32">
        <v>9.4731000000000005</v>
      </c>
      <c r="N276" t="s">
        <v>130</v>
      </c>
      <c r="O276" t="s">
        <v>2103</v>
      </c>
      <c r="P276">
        <v>1485</v>
      </c>
      <c r="Q276" t="s">
        <v>1958</v>
      </c>
      <c r="R276" t="s">
        <v>21</v>
      </c>
      <c r="S276" t="s">
        <v>22</v>
      </c>
      <c r="T276">
        <f t="shared" si="4"/>
        <v>203571.70000000004</v>
      </c>
    </row>
    <row r="277" spans="1:20" x14ac:dyDescent="0.25">
      <c r="A277" t="s">
        <v>1090</v>
      </c>
      <c r="B277" t="s">
        <v>137</v>
      </c>
      <c r="C277">
        <v>2</v>
      </c>
      <c r="D277">
        <v>7277</v>
      </c>
      <c r="E277" t="s">
        <v>2102</v>
      </c>
      <c r="F277" t="s">
        <v>708</v>
      </c>
      <c r="G277" s="31">
        <v>0.81579999999999997</v>
      </c>
      <c r="H277" s="31">
        <v>0.86180000000000001</v>
      </c>
      <c r="I277" t="s">
        <v>1954</v>
      </c>
      <c r="J277" t="s">
        <v>1954</v>
      </c>
      <c r="K277">
        <v>957898.00600000005</v>
      </c>
      <c r="L277">
        <v>9074281</v>
      </c>
      <c r="M277" s="32">
        <v>9.4731000000000005</v>
      </c>
      <c r="N277" t="s">
        <v>130</v>
      </c>
      <c r="O277" t="s">
        <v>2103</v>
      </c>
      <c r="P277">
        <v>1485</v>
      </c>
      <c r="Q277" t="s">
        <v>1958</v>
      </c>
      <c r="R277" t="s">
        <v>21</v>
      </c>
      <c r="S277" t="s">
        <v>22</v>
      </c>
      <c r="T277">
        <f t="shared" si="4"/>
        <v>205056.70000000004</v>
      </c>
    </row>
    <row r="278" spans="1:20" x14ac:dyDescent="0.25">
      <c r="A278" t="s">
        <v>1091</v>
      </c>
      <c r="B278" t="s">
        <v>137</v>
      </c>
      <c r="C278">
        <v>2</v>
      </c>
      <c r="D278">
        <v>7277</v>
      </c>
      <c r="E278" t="s">
        <v>2102</v>
      </c>
      <c r="F278" t="s">
        <v>708</v>
      </c>
      <c r="G278" s="31">
        <v>0.81579999999999997</v>
      </c>
      <c r="H278" s="31">
        <v>0.86180000000000001</v>
      </c>
      <c r="I278" t="s">
        <v>1954</v>
      </c>
      <c r="J278" t="s">
        <v>1954</v>
      </c>
      <c r="K278">
        <v>957898.00600000005</v>
      </c>
      <c r="L278">
        <v>9074281</v>
      </c>
      <c r="M278" s="32">
        <v>9.4731000000000005</v>
      </c>
      <c r="N278" t="s">
        <v>130</v>
      </c>
      <c r="O278" t="s">
        <v>2103</v>
      </c>
      <c r="P278">
        <v>1485</v>
      </c>
      <c r="Q278" t="s">
        <v>1958</v>
      </c>
      <c r="R278" t="s">
        <v>21</v>
      </c>
      <c r="S278" t="s">
        <v>22</v>
      </c>
      <c r="T278">
        <f t="shared" si="4"/>
        <v>206541.70000000004</v>
      </c>
    </row>
    <row r="279" spans="1:20" x14ac:dyDescent="0.25">
      <c r="A279" t="s">
        <v>1092</v>
      </c>
      <c r="B279" t="s">
        <v>137</v>
      </c>
      <c r="C279">
        <v>2</v>
      </c>
      <c r="D279">
        <v>7277</v>
      </c>
      <c r="E279" t="s">
        <v>2102</v>
      </c>
      <c r="F279" t="s">
        <v>708</v>
      </c>
      <c r="G279" s="31">
        <v>0.81579999999999997</v>
      </c>
      <c r="H279" s="31">
        <v>0.86180000000000001</v>
      </c>
      <c r="I279" t="s">
        <v>1954</v>
      </c>
      <c r="J279" t="s">
        <v>1954</v>
      </c>
      <c r="K279">
        <v>957898.00600000005</v>
      </c>
      <c r="L279">
        <v>9074281</v>
      </c>
      <c r="M279" s="32">
        <v>9.4731000000000005</v>
      </c>
      <c r="N279" t="s">
        <v>130</v>
      </c>
      <c r="O279" t="s">
        <v>2103</v>
      </c>
      <c r="P279">
        <v>1485</v>
      </c>
      <c r="Q279" t="s">
        <v>1958</v>
      </c>
      <c r="R279" t="s">
        <v>21</v>
      </c>
      <c r="S279" t="s">
        <v>22</v>
      </c>
      <c r="T279">
        <f t="shared" si="4"/>
        <v>208026.70000000004</v>
      </c>
    </row>
    <row r="280" spans="1:20" x14ac:dyDescent="0.25">
      <c r="A280" t="s">
        <v>1093</v>
      </c>
      <c r="B280" t="s">
        <v>137</v>
      </c>
      <c r="C280">
        <v>2</v>
      </c>
      <c r="D280">
        <v>7277</v>
      </c>
      <c r="E280" t="s">
        <v>2102</v>
      </c>
      <c r="F280" t="s">
        <v>708</v>
      </c>
      <c r="G280" s="31">
        <v>0.81579999999999997</v>
      </c>
      <c r="H280" s="31">
        <v>0.86180000000000001</v>
      </c>
      <c r="I280" t="s">
        <v>1954</v>
      </c>
      <c r="J280" t="s">
        <v>1954</v>
      </c>
      <c r="K280">
        <v>957898.00600000005</v>
      </c>
      <c r="L280">
        <v>9074281</v>
      </c>
      <c r="M280" s="32">
        <v>9.4731000000000005</v>
      </c>
      <c r="N280" t="s">
        <v>130</v>
      </c>
      <c r="O280" t="s">
        <v>2103</v>
      </c>
      <c r="P280">
        <v>1485</v>
      </c>
      <c r="Q280" t="s">
        <v>1958</v>
      </c>
      <c r="R280" t="s">
        <v>21</v>
      </c>
      <c r="S280" t="s">
        <v>22</v>
      </c>
      <c r="T280">
        <f t="shared" si="4"/>
        <v>209511.70000000004</v>
      </c>
    </row>
    <row r="281" spans="1:20" x14ac:dyDescent="0.25">
      <c r="A281" t="s">
        <v>1094</v>
      </c>
      <c r="B281" t="s">
        <v>137</v>
      </c>
      <c r="C281">
        <v>2</v>
      </c>
      <c r="D281">
        <v>7277</v>
      </c>
      <c r="E281" t="s">
        <v>2102</v>
      </c>
      <c r="F281" t="s">
        <v>708</v>
      </c>
      <c r="G281" s="31">
        <v>0.81579999999999997</v>
      </c>
      <c r="H281" s="31">
        <v>0.86180000000000001</v>
      </c>
      <c r="I281" t="s">
        <v>1954</v>
      </c>
      <c r="J281" t="s">
        <v>1954</v>
      </c>
      <c r="K281">
        <v>957898.00600000005</v>
      </c>
      <c r="L281">
        <v>9074281</v>
      </c>
      <c r="M281" s="32">
        <v>9.4731000000000005</v>
      </c>
      <c r="N281" t="s">
        <v>130</v>
      </c>
      <c r="O281" t="s">
        <v>2103</v>
      </c>
      <c r="P281">
        <v>1485</v>
      </c>
      <c r="Q281" t="s">
        <v>1958</v>
      </c>
      <c r="R281" t="s">
        <v>21</v>
      </c>
      <c r="S281" t="s">
        <v>22</v>
      </c>
      <c r="T281">
        <f t="shared" si="4"/>
        <v>210996.70000000004</v>
      </c>
    </row>
    <row r="282" spans="1:20" x14ac:dyDescent="0.25">
      <c r="A282" t="s">
        <v>1095</v>
      </c>
      <c r="B282" t="s">
        <v>137</v>
      </c>
      <c r="C282">
        <v>2</v>
      </c>
      <c r="D282">
        <v>7277</v>
      </c>
      <c r="E282" t="s">
        <v>2102</v>
      </c>
      <c r="F282" t="s">
        <v>708</v>
      </c>
      <c r="G282" s="31">
        <v>0.81579999999999997</v>
      </c>
      <c r="H282" s="31">
        <v>0.86180000000000001</v>
      </c>
      <c r="I282" t="s">
        <v>1954</v>
      </c>
      <c r="J282" t="s">
        <v>1954</v>
      </c>
      <c r="K282">
        <v>957898.00600000005</v>
      </c>
      <c r="L282">
        <v>9074281</v>
      </c>
      <c r="M282" s="32">
        <v>9.4731000000000005</v>
      </c>
      <c r="N282" t="s">
        <v>130</v>
      </c>
      <c r="O282" t="s">
        <v>2103</v>
      </c>
      <c r="P282">
        <v>1485</v>
      </c>
      <c r="Q282" t="s">
        <v>1958</v>
      </c>
      <c r="R282" t="s">
        <v>21</v>
      </c>
      <c r="S282" t="s">
        <v>22</v>
      </c>
      <c r="T282">
        <f t="shared" si="4"/>
        <v>212481.70000000004</v>
      </c>
    </row>
    <row r="283" spans="1:20" x14ac:dyDescent="0.25">
      <c r="A283" t="s">
        <v>375</v>
      </c>
      <c r="B283" t="s">
        <v>194</v>
      </c>
      <c r="C283">
        <v>2</v>
      </c>
      <c r="D283">
        <v>7940</v>
      </c>
      <c r="E283" t="s">
        <v>1993</v>
      </c>
      <c r="F283" t="s">
        <v>201</v>
      </c>
      <c r="G283" s="31">
        <v>0.49309999999999998</v>
      </c>
      <c r="H283" s="31">
        <v>0.53910000000000002</v>
      </c>
      <c r="I283" t="s">
        <v>1954</v>
      </c>
      <c r="J283" t="s">
        <v>1954</v>
      </c>
      <c r="K283">
        <v>712</v>
      </c>
      <c r="L283">
        <v>6750</v>
      </c>
      <c r="M283" s="32">
        <v>9.4802999999999997</v>
      </c>
      <c r="N283" t="s">
        <v>199</v>
      </c>
      <c r="O283" t="s">
        <v>308</v>
      </c>
      <c r="P283">
        <v>4</v>
      </c>
      <c r="Q283" t="s">
        <v>1958</v>
      </c>
      <c r="R283" t="s">
        <v>21</v>
      </c>
      <c r="S283" t="s">
        <v>22</v>
      </c>
      <c r="T283">
        <f t="shared" si="4"/>
        <v>212485.70000000004</v>
      </c>
    </row>
    <row r="284" spans="1:20" x14ac:dyDescent="0.25">
      <c r="A284" t="s">
        <v>493</v>
      </c>
      <c r="B284" t="s">
        <v>194</v>
      </c>
      <c r="C284">
        <v>3</v>
      </c>
      <c r="D284">
        <v>7940</v>
      </c>
      <c r="E284" t="s">
        <v>1993</v>
      </c>
      <c r="F284" t="s">
        <v>201</v>
      </c>
      <c r="G284" s="31">
        <v>0.48449999999999999</v>
      </c>
      <c r="H284" s="31">
        <v>0.53049999999999997</v>
      </c>
      <c r="I284" t="s">
        <v>1954</v>
      </c>
      <c r="J284" t="s">
        <v>1954</v>
      </c>
      <c r="K284">
        <v>712</v>
      </c>
      <c r="L284">
        <v>6750</v>
      </c>
      <c r="M284" s="32">
        <v>9.4802999999999997</v>
      </c>
      <c r="N284" t="s">
        <v>199</v>
      </c>
      <c r="O284" t="s">
        <v>308</v>
      </c>
      <c r="P284">
        <v>4</v>
      </c>
      <c r="Q284" t="s">
        <v>1958</v>
      </c>
      <c r="R284" t="s">
        <v>21</v>
      </c>
      <c r="S284" t="s">
        <v>22</v>
      </c>
      <c r="T284">
        <f t="shared" si="4"/>
        <v>212489.70000000004</v>
      </c>
    </row>
    <row r="285" spans="1:20" x14ac:dyDescent="0.25">
      <c r="A285" t="s">
        <v>1013</v>
      </c>
      <c r="B285" t="s">
        <v>194</v>
      </c>
      <c r="C285">
        <v>2</v>
      </c>
      <c r="D285">
        <v>7940</v>
      </c>
      <c r="E285" t="s">
        <v>1993</v>
      </c>
      <c r="F285" t="s">
        <v>201</v>
      </c>
      <c r="G285" s="31">
        <v>0.53859999999999997</v>
      </c>
      <c r="H285" s="31">
        <v>0.58460000000000001</v>
      </c>
      <c r="I285" t="s">
        <v>1954</v>
      </c>
      <c r="J285" t="s">
        <v>1954</v>
      </c>
      <c r="K285">
        <v>712</v>
      </c>
      <c r="L285">
        <v>6750</v>
      </c>
      <c r="M285" s="32">
        <v>9.4802999999999997</v>
      </c>
      <c r="N285" t="s">
        <v>199</v>
      </c>
      <c r="O285" t="s">
        <v>308</v>
      </c>
      <c r="P285">
        <v>4</v>
      </c>
      <c r="Q285" t="s">
        <v>1958</v>
      </c>
      <c r="R285" t="s">
        <v>21</v>
      </c>
      <c r="S285" t="s">
        <v>22</v>
      </c>
      <c r="T285">
        <f t="shared" si="4"/>
        <v>212493.70000000004</v>
      </c>
    </row>
    <row r="286" spans="1:20" x14ac:dyDescent="0.25">
      <c r="A286" t="s">
        <v>1287</v>
      </c>
      <c r="B286" t="s">
        <v>194</v>
      </c>
      <c r="C286">
        <v>3</v>
      </c>
      <c r="D286">
        <v>7940</v>
      </c>
      <c r="E286" t="s">
        <v>1993</v>
      </c>
      <c r="F286" t="s">
        <v>201</v>
      </c>
      <c r="G286" s="31">
        <v>0.41120000000000001</v>
      </c>
      <c r="H286" s="31">
        <v>0.4572</v>
      </c>
      <c r="I286" t="s">
        <v>1954</v>
      </c>
      <c r="J286" t="s">
        <v>1954</v>
      </c>
      <c r="K286">
        <v>712</v>
      </c>
      <c r="L286">
        <v>6750</v>
      </c>
      <c r="M286" s="32">
        <v>9.4802999999999997</v>
      </c>
      <c r="N286" t="s">
        <v>199</v>
      </c>
      <c r="O286" t="s">
        <v>308</v>
      </c>
      <c r="P286">
        <v>4</v>
      </c>
      <c r="Q286" t="s">
        <v>1958</v>
      </c>
      <c r="R286" t="s">
        <v>21</v>
      </c>
      <c r="S286" t="s">
        <v>22</v>
      </c>
      <c r="T286">
        <f t="shared" si="4"/>
        <v>212497.70000000004</v>
      </c>
    </row>
    <row r="287" spans="1:20" x14ac:dyDescent="0.25">
      <c r="A287" t="s">
        <v>1324</v>
      </c>
      <c r="B287" t="s">
        <v>194</v>
      </c>
      <c r="C287">
        <v>2</v>
      </c>
      <c r="D287">
        <v>7940</v>
      </c>
      <c r="E287" t="s">
        <v>1993</v>
      </c>
      <c r="F287" t="s">
        <v>201</v>
      </c>
      <c r="G287" s="31">
        <v>0.53959999999999997</v>
      </c>
      <c r="H287" s="31">
        <v>0.58560000000000001</v>
      </c>
      <c r="I287" t="s">
        <v>1954</v>
      </c>
      <c r="J287" t="s">
        <v>1954</v>
      </c>
      <c r="K287">
        <v>712</v>
      </c>
      <c r="L287">
        <v>6750</v>
      </c>
      <c r="M287" s="32">
        <v>9.4802999999999997</v>
      </c>
      <c r="N287" t="s">
        <v>199</v>
      </c>
      <c r="O287" t="s">
        <v>308</v>
      </c>
      <c r="P287">
        <v>4</v>
      </c>
      <c r="Q287" t="s">
        <v>1958</v>
      </c>
      <c r="R287" t="s">
        <v>21</v>
      </c>
      <c r="S287" t="s">
        <v>22</v>
      </c>
      <c r="T287">
        <f t="shared" si="4"/>
        <v>212501.70000000004</v>
      </c>
    </row>
    <row r="288" spans="1:20" x14ac:dyDescent="0.25">
      <c r="A288" t="s">
        <v>1463</v>
      </c>
      <c r="B288" t="s">
        <v>189</v>
      </c>
      <c r="C288">
        <v>3</v>
      </c>
      <c r="D288">
        <v>8042</v>
      </c>
      <c r="E288" t="s">
        <v>2150</v>
      </c>
      <c r="F288" t="s">
        <v>708</v>
      </c>
      <c r="G288" s="31">
        <v>0.48830000000000001</v>
      </c>
      <c r="H288" s="31">
        <v>0.5343</v>
      </c>
      <c r="I288" t="s">
        <v>1954</v>
      </c>
      <c r="J288" t="s">
        <v>1954</v>
      </c>
      <c r="K288">
        <v>7727877.0130000003</v>
      </c>
      <c r="L288">
        <v>73989089</v>
      </c>
      <c r="M288" s="32">
        <v>9.5742999999999991</v>
      </c>
      <c r="N288" t="s">
        <v>2151</v>
      </c>
      <c r="O288" t="s">
        <v>308</v>
      </c>
      <c r="P288">
        <v>2220</v>
      </c>
      <c r="Q288" t="s">
        <v>1958</v>
      </c>
      <c r="R288" t="s">
        <v>21</v>
      </c>
      <c r="S288" t="s">
        <v>22</v>
      </c>
      <c r="T288">
        <f t="shared" si="4"/>
        <v>214721.70000000004</v>
      </c>
    </row>
    <row r="289" spans="1:20" x14ac:dyDescent="0.25">
      <c r="A289" t="s">
        <v>950</v>
      </c>
      <c r="B289" t="s">
        <v>137</v>
      </c>
      <c r="C289">
        <v>1</v>
      </c>
      <c r="D289">
        <v>56397</v>
      </c>
      <c r="E289" t="s">
        <v>951</v>
      </c>
      <c r="F289" t="s">
        <v>143</v>
      </c>
      <c r="G289" s="31">
        <v>1</v>
      </c>
      <c r="H289" s="31">
        <v>1</v>
      </c>
      <c r="I289" t="s">
        <v>1954</v>
      </c>
      <c r="J289" t="s">
        <v>1954</v>
      </c>
      <c r="K289">
        <v>37882.000999999997</v>
      </c>
      <c r="L289">
        <v>368573</v>
      </c>
      <c r="M289" s="32">
        <v>9.7294999999999998</v>
      </c>
      <c r="N289" t="s">
        <v>141</v>
      </c>
      <c r="O289" t="s">
        <v>952</v>
      </c>
      <c r="P289">
        <v>44.8</v>
      </c>
      <c r="Q289" s="33" t="s">
        <v>1955</v>
      </c>
      <c r="R289" t="s">
        <v>21</v>
      </c>
      <c r="S289" t="s">
        <v>22</v>
      </c>
      <c r="T289">
        <f t="shared" si="4"/>
        <v>214766.50000000003</v>
      </c>
    </row>
    <row r="290" spans="1:20" x14ac:dyDescent="0.25">
      <c r="A290" t="s">
        <v>193</v>
      </c>
      <c r="B290" t="s">
        <v>194</v>
      </c>
      <c r="C290">
        <v>1</v>
      </c>
      <c r="D290">
        <v>3782</v>
      </c>
      <c r="E290" t="s">
        <v>198</v>
      </c>
      <c r="F290" t="s">
        <v>201</v>
      </c>
      <c r="G290" s="31">
        <v>1</v>
      </c>
      <c r="H290" s="31">
        <v>1</v>
      </c>
      <c r="I290" t="s">
        <v>1954</v>
      </c>
      <c r="J290" t="s">
        <v>1954</v>
      </c>
      <c r="K290">
        <v>3844</v>
      </c>
      <c r="L290">
        <v>37631</v>
      </c>
      <c r="M290" s="32">
        <v>9.7895000000000003</v>
      </c>
      <c r="N290" t="s">
        <v>199</v>
      </c>
      <c r="O290" t="s">
        <v>202</v>
      </c>
      <c r="P290">
        <v>12.6</v>
      </c>
      <c r="Q290" s="33" t="s">
        <v>1955</v>
      </c>
      <c r="R290" t="s">
        <v>21</v>
      </c>
      <c r="S290" t="s">
        <v>22</v>
      </c>
      <c r="T290">
        <f t="shared" si="4"/>
        <v>214779.10000000003</v>
      </c>
    </row>
    <row r="291" spans="1:20" x14ac:dyDescent="0.25">
      <c r="A291" t="s">
        <v>203</v>
      </c>
      <c r="B291" t="s">
        <v>194</v>
      </c>
      <c r="C291">
        <v>1</v>
      </c>
      <c r="D291">
        <v>3782</v>
      </c>
      <c r="E291" t="s">
        <v>198</v>
      </c>
      <c r="F291" t="s">
        <v>201</v>
      </c>
      <c r="G291" s="31">
        <v>1</v>
      </c>
      <c r="H291" s="31">
        <v>1</v>
      </c>
      <c r="I291" t="s">
        <v>1954</v>
      </c>
      <c r="J291" t="s">
        <v>1954</v>
      </c>
      <c r="K291">
        <v>3844</v>
      </c>
      <c r="L291">
        <v>37631</v>
      </c>
      <c r="M291" s="32">
        <v>9.7895000000000003</v>
      </c>
      <c r="N291" t="s">
        <v>199</v>
      </c>
      <c r="O291" t="s">
        <v>202</v>
      </c>
      <c r="P291">
        <v>12.6</v>
      </c>
      <c r="Q291" s="33" t="s">
        <v>1955</v>
      </c>
      <c r="R291" t="s">
        <v>21</v>
      </c>
      <c r="S291" t="s">
        <v>22</v>
      </c>
      <c r="T291">
        <f t="shared" si="4"/>
        <v>214791.70000000004</v>
      </c>
    </row>
    <row r="292" spans="1:20" x14ac:dyDescent="0.25">
      <c r="A292" t="s">
        <v>204</v>
      </c>
      <c r="B292" t="s">
        <v>194</v>
      </c>
      <c r="C292">
        <v>1</v>
      </c>
      <c r="D292">
        <v>3782</v>
      </c>
      <c r="E292" t="s">
        <v>198</v>
      </c>
      <c r="F292" t="s">
        <v>201</v>
      </c>
      <c r="G292" s="31">
        <v>1</v>
      </c>
      <c r="H292" s="31">
        <v>1</v>
      </c>
      <c r="I292" t="s">
        <v>1954</v>
      </c>
      <c r="J292" t="s">
        <v>1954</v>
      </c>
      <c r="K292">
        <v>3844</v>
      </c>
      <c r="L292">
        <v>37631</v>
      </c>
      <c r="M292" s="32">
        <v>9.7895000000000003</v>
      </c>
      <c r="N292" t="s">
        <v>199</v>
      </c>
      <c r="O292" t="s">
        <v>202</v>
      </c>
      <c r="P292">
        <v>12.6</v>
      </c>
      <c r="Q292" s="33" t="s">
        <v>1955</v>
      </c>
      <c r="R292" t="s">
        <v>21</v>
      </c>
      <c r="S292" t="s">
        <v>22</v>
      </c>
      <c r="T292">
        <f t="shared" si="4"/>
        <v>214804.30000000005</v>
      </c>
    </row>
    <row r="293" spans="1:20" x14ac:dyDescent="0.25">
      <c r="A293" t="s">
        <v>205</v>
      </c>
      <c r="B293" t="s">
        <v>194</v>
      </c>
      <c r="C293">
        <v>1</v>
      </c>
      <c r="D293">
        <v>3782</v>
      </c>
      <c r="E293" t="s">
        <v>198</v>
      </c>
      <c r="F293" t="s">
        <v>201</v>
      </c>
      <c r="G293" s="31">
        <v>1</v>
      </c>
      <c r="H293" s="31">
        <v>1</v>
      </c>
      <c r="I293" t="s">
        <v>1954</v>
      </c>
      <c r="J293" t="s">
        <v>1954</v>
      </c>
      <c r="K293">
        <v>3844</v>
      </c>
      <c r="L293">
        <v>37631</v>
      </c>
      <c r="M293" s="32">
        <v>9.7895000000000003</v>
      </c>
      <c r="N293" t="s">
        <v>199</v>
      </c>
      <c r="O293" t="s">
        <v>202</v>
      </c>
      <c r="P293">
        <v>12.6</v>
      </c>
      <c r="Q293" s="33" t="s">
        <v>1955</v>
      </c>
      <c r="R293" t="s">
        <v>21</v>
      </c>
      <c r="S293" t="s">
        <v>22</v>
      </c>
      <c r="T293">
        <f t="shared" si="4"/>
        <v>214816.90000000005</v>
      </c>
    </row>
    <row r="294" spans="1:20" x14ac:dyDescent="0.25">
      <c r="A294" t="s">
        <v>206</v>
      </c>
      <c r="B294" t="s">
        <v>194</v>
      </c>
      <c r="C294">
        <v>1</v>
      </c>
      <c r="D294">
        <v>3782</v>
      </c>
      <c r="E294" t="s">
        <v>198</v>
      </c>
      <c r="F294" t="s">
        <v>201</v>
      </c>
      <c r="G294" s="31">
        <v>1</v>
      </c>
      <c r="H294" s="31">
        <v>1</v>
      </c>
      <c r="I294" t="s">
        <v>1954</v>
      </c>
      <c r="J294" t="s">
        <v>1954</v>
      </c>
      <c r="K294">
        <v>3844</v>
      </c>
      <c r="L294">
        <v>37631</v>
      </c>
      <c r="M294" s="32">
        <v>9.7895000000000003</v>
      </c>
      <c r="N294" t="s">
        <v>199</v>
      </c>
      <c r="O294" t="s">
        <v>202</v>
      </c>
      <c r="P294">
        <v>12.6</v>
      </c>
      <c r="Q294" s="33" t="s">
        <v>1955</v>
      </c>
      <c r="R294" t="s">
        <v>21</v>
      </c>
      <c r="S294" t="s">
        <v>22</v>
      </c>
      <c r="T294">
        <f t="shared" si="4"/>
        <v>214829.50000000006</v>
      </c>
    </row>
    <row r="295" spans="1:20" x14ac:dyDescent="0.25">
      <c r="A295" t="s">
        <v>207</v>
      </c>
      <c r="B295" t="s">
        <v>194</v>
      </c>
      <c r="C295">
        <v>1</v>
      </c>
      <c r="D295">
        <v>3782</v>
      </c>
      <c r="E295" t="s">
        <v>198</v>
      </c>
      <c r="F295" t="s">
        <v>201</v>
      </c>
      <c r="G295" s="31">
        <v>1</v>
      </c>
      <c r="H295" s="31">
        <v>1</v>
      </c>
      <c r="I295" t="s">
        <v>1954</v>
      </c>
      <c r="J295" t="s">
        <v>1954</v>
      </c>
      <c r="K295">
        <v>3844</v>
      </c>
      <c r="L295">
        <v>37631</v>
      </c>
      <c r="M295" s="32">
        <v>9.7895000000000003</v>
      </c>
      <c r="N295" t="s">
        <v>199</v>
      </c>
      <c r="O295" t="s">
        <v>202</v>
      </c>
      <c r="P295">
        <v>12.6</v>
      </c>
      <c r="Q295" s="33" t="s">
        <v>1955</v>
      </c>
      <c r="R295" t="s">
        <v>21</v>
      </c>
      <c r="S295" t="s">
        <v>22</v>
      </c>
      <c r="T295">
        <f t="shared" si="4"/>
        <v>214842.10000000006</v>
      </c>
    </row>
    <row r="296" spans="1:20" x14ac:dyDescent="0.25">
      <c r="A296" t="s">
        <v>1293</v>
      </c>
      <c r="B296" t="s">
        <v>150</v>
      </c>
      <c r="C296">
        <v>1</v>
      </c>
      <c r="D296">
        <v>58326</v>
      </c>
      <c r="E296" t="s">
        <v>2129</v>
      </c>
      <c r="F296" t="s">
        <v>143</v>
      </c>
      <c r="G296" s="31">
        <v>0.43070000000000003</v>
      </c>
      <c r="H296" s="31">
        <v>0.47670000000000001</v>
      </c>
      <c r="I296" t="s">
        <v>1954</v>
      </c>
      <c r="J296" t="s">
        <v>1954</v>
      </c>
      <c r="K296">
        <v>27181.861000000001</v>
      </c>
      <c r="L296">
        <v>267103</v>
      </c>
      <c r="M296" s="32">
        <v>9.8264999999999993</v>
      </c>
      <c r="N296" t="s">
        <v>2130</v>
      </c>
      <c r="O296" t="s">
        <v>1295</v>
      </c>
      <c r="P296">
        <v>5.6</v>
      </c>
      <c r="Q296" t="s">
        <v>1958</v>
      </c>
      <c r="R296" t="s">
        <v>21</v>
      </c>
      <c r="S296" t="s">
        <v>22</v>
      </c>
      <c r="T296">
        <f t="shared" si="4"/>
        <v>214847.70000000007</v>
      </c>
    </row>
    <row r="297" spans="1:20" x14ac:dyDescent="0.25">
      <c r="A297" t="s">
        <v>1229</v>
      </c>
      <c r="B297" t="s">
        <v>109</v>
      </c>
      <c r="C297">
        <v>1</v>
      </c>
      <c r="D297">
        <v>6264</v>
      </c>
      <c r="E297" t="s">
        <v>1230</v>
      </c>
      <c r="F297" t="s">
        <v>118</v>
      </c>
      <c r="G297" s="31">
        <v>1</v>
      </c>
      <c r="H297" s="31">
        <v>1</v>
      </c>
      <c r="I297" t="s">
        <v>1954</v>
      </c>
      <c r="J297" t="s">
        <v>1954</v>
      </c>
      <c r="K297">
        <v>6850134.75</v>
      </c>
      <c r="L297">
        <v>67589207</v>
      </c>
      <c r="M297" s="32">
        <v>9.8667999999999996</v>
      </c>
      <c r="N297" t="s">
        <v>116</v>
      </c>
      <c r="O297" t="s">
        <v>267</v>
      </c>
      <c r="P297">
        <v>1299</v>
      </c>
      <c r="Q297" s="33" t="s">
        <v>1955</v>
      </c>
      <c r="R297" t="s">
        <v>21</v>
      </c>
      <c r="S297" t="s">
        <v>22</v>
      </c>
      <c r="T297">
        <f t="shared" si="4"/>
        <v>216146.70000000007</v>
      </c>
    </row>
    <row r="298" spans="1:20" x14ac:dyDescent="0.25">
      <c r="A298" t="s">
        <v>1509</v>
      </c>
      <c r="B298" t="s">
        <v>109</v>
      </c>
      <c r="C298">
        <v>1</v>
      </c>
      <c r="D298">
        <v>6166</v>
      </c>
      <c r="E298" t="s">
        <v>1510</v>
      </c>
      <c r="F298" t="s">
        <v>131</v>
      </c>
      <c r="G298" s="31">
        <v>1</v>
      </c>
      <c r="H298" s="31">
        <v>1</v>
      </c>
      <c r="I298" t="s">
        <v>1954</v>
      </c>
      <c r="J298" t="s">
        <v>1954</v>
      </c>
      <c r="K298">
        <v>9596938.4279999994</v>
      </c>
      <c r="L298">
        <v>94799530</v>
      </c>
      <c r="M298" s="32">
        <v>9.8780999999999999</v>
      </c>
      <c r="N298" t="s">
        <v>458</v>
      </c>
      <c r="O298" t="s">
        <v>308</v>
      </c>
      <c r="P298">
        <v>2600</v>
      </c>
      <c r="Q298" s="33" t="s">
        <v>1955</v>
      </c>
      <c r="R298" t="s">
        <v>21</v>
      </c>
      <c r="S298" t="s">
        <v>22</v>
      </c>
      <c r="T298">
        <f t="shared" si="4"/>
        <v>218746.70000000007</v>
      </c>
    </row>
    <row r="299" spans="1:20" x14ac:dyDescent="0.25">
      <c r="A299" t="s">
        <v>1511</v>
      </c>
      <c r="B299" t="s">
        <v>109</v>
      </c>
      <c r="C299">
        <v>1</v>
      </c>
      <c r="D299">
        <v>6166</v>
      </c>
      <c r="E299" t="s">
        <v>1510</v>
      </c>
      <c r="F299" t="s">
        <v>131</v>
      </c>
      <c r="G299" s="31">
        <v>1</v>
      </c>
      <c r="H299" s="31">
        <v>1</v>
      </c>
      <c r="I299" t="s">
        <v>1954</v>
      </c>
      <c r="J299" t="s">
        <v>1954</v>
      </c>
      <c r="K299">
        <v>9596938.4279999994</v>
      </c>
      <c r="L299">
        <v>94799530</v>
      </c>
      <c r="M299" s="32">
        <v>9.8780999999999999</v>
      </c>
      <c r="N299" t="s">
        <v>458</v>
      </c>
      <c r="O299" t="s">
        <v>308</v>
      </c>
      <c r="P299">
        <v>2600</v>
      </c>
      <c r="Q299" s="33" t="s">
        <v>1955</v>
      </c>
      <c r="R299" t="s">
        <v>21</v>
      </c>
      <c r="S299" t="s">
        <v>22</v>
      </c>
      <c r="T299">
        <f t="shared" si="4"/>
        <v>221346.70000000007</v>
      </c>
    </row>
    <row r="300" spans="1:20" x14ac:dyDescent="0.25">
      <c r="A300" t="s">
        <v>820</v>
      </c>
      <c r="B300" t="s">
        <v>189</v>
      </c>
      <c r="C300">
        <v>3</v>
      </c>
      <c r="D300">
        <v>6090</v>
      </c>
      <c r="E300" t="s">
        <v>2054</v>
      </c>
      <c r="F300" t="s">
        <v>2037</v>
      </c>
      <c r="G300" s="31">
        <v>0.41539999999999999</v>
      </c>
      <c r="H300" s="31">
        <v>0.34339999999999998</v>
      </c>
      <c r="I300" t="s">
        <v>1954</v>
      </c>
      <c r="J300" t="s">
        <v>1954</v>
      </c>
      <c r="K300">
        <v>7312757.0089999996</v>
      </c>
      <c r="L300">
        <v>72275001</v>
      </c>
      <c r="M300" s="32">
        <v>9.8834</v>
      </c>
      <c r="N300" t="s">
        <v>2002</v>
      </c>
      <c r="O300" t="s">
        <v>488</v>
      </c>
      <c r="P300">
        <v>1556</v>
      </c>
      <c r="Q300" t="s">
        <v>1958</v>
      </c>
      <c r="R300" t="s">
        <v>21</v>
      </c>
      <c r="S300" t="s">
        <v>22</v>
      </c>
      <c r="T300">
        <f t="shared" si="4"/>
        <v>222902.70000000007</v>
      </c>
    </row>
    <row r="301" spans="1:20" x14ac:dyDescent="0.25">
      <c r="A301" t="s">
        <v>1051</v>
      </c>
      <c r="B301" t="s">
        <v>189</v>
      </c>
      <c r="C301">
        <v>2</v>
      </c>
      <c r="D301">
        <v>6090</v>
      </c>
      <c r="E301" t="s">
        <v>2054</v>
      </c>
      <c r="F301" t="s">
        <v>2037</v>
      </c>
      <c r="G301" s="31">
        <v>0.41830000000000001</v>
      </c>
      <c r="H301" s="31">
        <v>0.3463</v>
      </c>
      <c r="I301" t="s">
        <v>1954</v>
      </c>
      <c r="J301" t="s">
        <v>1954</v>
      </c>
      <c r="K301">
        <v>7312757.0089999996</v>
      </c>
      <c r="L301">
        <v>72275001</v>
      </c>
      <c r="M301" s="32">
        <v>9.8834</v>
      </c>
      <c r="N301" t="s">
        <v>2002</v>
      </c>
      <c r="O301" t="s">
        <v>488</v>
      </c>
      <c r="P301">
        <v>1556</v>
      </c>
      <c r="Q301" t="s">
        <v>1958</v>
      </c>
      <c r="R301" t="s">
        <v>21</v>
      </c>
      <c r="S301" t="s">
        <v>22</v>
      </c>
      <c r="T301">
        <f t="shared" si="4"/>
        <v>224458.70000000007</v>
      </c>
    </row>
    <row r="302" spans="1:20" x14ac:dyDescent="0.25">
      <c r="A302" t="s">
        <v>404</v>
      </c>
      <c r="B302" t="s">
        <v>189</v>
      </c>
      <c r="C302">
        <v>2</v>
      </c>
      <c r="D302">
        <v>56456</v>
      </c>
      <c r="E302" t="s">
        <v>2000</v>
      </c>
      <c r="F302" t="s">
        <v>2001</v>
      </c>
      <c r="G302" s="31">
        <v>0.53</v>
      </c>
      <c r="H302" s="31">
        <v>0.45800000000000002</v>
      </c>
      <c r="I302" t="s">
        <v>1954</v>
      </c>
      <c r="J302" t="s">
        <v>1954</v>
      </c>
      <c r="K302">
        <v>3680117.0129999998</v>
      </c>
      <c r="L302">
        <v>36383397</v>
      </c>
      <c r="M302" s="32">
        <v>9.8864999999999998</v>
      </c>
      <c r="N302" t="s">
        <v>2002</v>
      </c>
      <c r="O302" t="s">
        <v>2003</v>
      </c>
      <c r="P302">
        <v>680</v>
      </c>
      <c r="Q302" t="s">
        <v>1958</v>
      </c>
      <c r="R302" t="s">
        <v>21</v>
      </c>
      <c r="S302" t="s">
        <v>22</v>
      </c>
      <c r="T302">
        <f t="shared" si="4"/>
        <v>225138.70000000007</v>
      </c>
    </row>
    <row r="303" spans="1:20" x14ac:dyDescent="0.25">
      <c r="A303" t="s">
        <v>408</v>
      </c>
      <c r="B303" t="s">
        <v>189</v>
      </c>
      <c r="C303">
        <v>2</v>
      </c>
      <c r="D303">
        <v>56456</v>
      </c>
      <c r="E303" t="s">
        <v>2000</v>
      </c>
      <c r="F303" t="s">
        <v>2001</v>
      </c>
      <c r="G303" s="31">
        <v>0.53</v>
      </c>
      <c r="H303" s="31">
        <v>0.45800000000000002</v>
      </c>
      <c r="I303" t="s">
        <v>1954</v>
      </c>
      <c r="J303" t="s">
        <v>1954</v>
      </c>
      <c r="K303">
        <v>3680117.0129999998</v>
      </c>
      <c r="L303">
        <v>36383397</v>
      </c>
      <c r="M303" s="32">
        <v>9.8864999999999998</v>
      </c>
      <c r="N303" t="s">
        <v>2002</v>
      </c>
      <c r="O303" t="s">
        <v>2003</v>
      </c>
      <c r="P303">
        <v>680</v>
      </c>
      <c r="Q303" t="s">
        <v>1958</v>
      </c>
      <c r="R303" t="s">
        <v>21</v>
      </c>
      <c r="S303" t="s">
        <v>22</v>
      </c>
      <c r="T303">
        <f t="shared" si="4"/>
        <v>225818.70000000007</v>
      </c>
    </row>
    <row r="304" spans="1:20" x14ac:dyDescent="0.25">
      <c r="A304" t="s">
        <v>350</v>
      </c>
      <c r="B304" t="s">
        <v>125</v>
      </c>
      <c r="C304">
        <v>1</v>
      </c>
      <c r="D304">
        <v>2399</v>
      </c>
      <c r="E304" t="s">
        <v>351</v>
      </c>
      <c r="F304" t="s">
        <v>241</v>
      </c>
      <c r="G304" s="31">
        <v>1</v>
      </c>
      <c r="H304" s="31">
        <v>1</v>
      </c>
      <c r="I304" t="s">
        <v>1954</v>
      </c>
      <c r="J304" t="s">
        <v>1954</v>
      </c>
      <c r="K304">
        <v>52970.999000000003</v>
      </c>
      <c r="L304">
        <v>524343</v>
      </c>
      <c r="M304" s="32">
        <v>9.8986999999999998</v>
      </c>
      <c r="N304" t="s">
        <v>352</v>
      </c>
      <c r="O304" t="s">
        <v>353</v>
      </c>
      <c r="P304">
        <v>171.6</v>
      </c>
      <c r="Q304" s="33" t="s">
        <v>1956</v>
      </c>
      <c r="R304" t="s">
        <v>21</v>
      </c>
      <c r="S304" t="s">
        <v>22</v>
      </c>
      <c r="T304">
        <f t="shared" si="4"/>
        <v>225990.30000000008</v>
      </c>
    </row>
    <row r="305" spans="1:20" x14ac:dyDescent="0.25">
      <c r="A305" t="s">
        <v>354</v>
      </c>
      <c r="B305" t="s">
        <v>125</v>
      </c>
      <c r="C305">
        <v>1</v>
      </c>
      <c r="D305">
        <v>2399</v>
      </c>
      <c r="E305" t="s">
        <v>351</v>
      </c>
      <c r="F305" t="s">
        <v>241</v>
      </c>
      <c r="G305" s="31">
        <v>1</v>
      </c>
      <c r="H305" s="31">
        <v>1</v>
      </c>
      <c r="I305" t="s">
        <v>1954</v>
      </c>
      <c r="J305" t="s">
        <v>1954</v>
      </c>
      <c r="K305">
        <v>52970.999000000003</v>
      </c>
      <c r="L305">
        <v>524343</v>
      </c>
      <c r="M305" s="32">
        <v>9.8986999999999998</v>
      </c>
      <c r="N305" t="s">
        <v>352</v>
      </c>
      <c r="O305" t="s">
        <v>353</v>
      </c>
      <c r="P305">
        <v>171.6</v>
      </c>
      <c r="Q305" s="33" t="s">
        <v>1956</v>
      </c>
      <c r="R305" t="s">
        <v>21</v>
      </c>
      <c r="S305" t="s">
        <v>22</v>
      </c>
      <c r="T305">
        <f t="shared" si="4"/>
        <v>226161.90000000008</v>
      </c>
    </row>
    <row r="306" spans="1:20" x14ac:dyDescent="0.25">
      <c r="A306" t="s">
        <v>355</v>
      </c>
      <c r="B306" t="s">
        <v>125</v>
      </c>
      <c r="C306">
        <v>1</v>
      </c>
      <c r="D306">
        <v>2399</v>
      </c>
      <c r="E306" t="s">
        <v>351</v>
      </c>
      <c r="F306" t="s">
        <v>241</v>
      </c>
      <c r="G306" s="31">
        <v>1</v>
      </c>
      <c r="H306" s="31">
        <v>1</v>
      </c>
      <c r="I306" t="s">
        <v>1954</v>
      </c>
      <c r="J306" t="s">
        <v>1954</v>
      </c>
      <c r="K306">
        <v>52970.999000000003</v>
      </c>
      <c r="L306">
        <v>524343</v>
      </c>
      <c r="M306" s="32">
        <v>9.8986999999999998</v>
      </c>
      <c r="N306" t="s">
        <v>352</v>
      </c>
      <c r="O306" t="s">
        <v>353</v>
      </c>
      <c r="P306">
        <v>171.6</v>
      </c>
      <c r="Q306" s="33" t="s">
        <v>1956</v>
      </c>
      <c r="R306" t="s">
        <v>21</v>
      </c>
      <c r="S306" t="s">
        <v>22</v>
      </c>
      <c r="T306">
        <f t="shared" si="4"/>
        <v>226333.50000000009</v>
      </c>
    </row>
    <row r="307" spans="1:20" x14ac:dyDescent="0.25">
      <c r="A307" t="s">
        <v>356</v>
      </c>
      <c r="B307" t="s">
        <v>125</v>
      </c>
      <c r="C307">
        <v>1</v>
      </c>
      <c r="D307">
        <v>2399</v>
      </c>
      <c r="E307" t="s">
        <v>351</v>
      </c>
      <c r="F307" t="s">
        <v>241</v>
      </c>
      <c r="G307" s="31">
        <v>1</v>
      </c>
      <c r="H307" s="31">
        <v>1</v>
      </c>
      <c r="I307" t="s">
        <v>1954</v>
      </c>
      <c r="J307" t="s">
        <v>1954</v>
      </c>
      <c r="K307">
        <v>52970.999000000003</v>
      </c>
      <c r="L307">
        <v>524343</v>
      </c>
      <c r="M307" s="32">
        <v>9.8986999999999998</v>
      </c>
      <c r="N307" t="s">
        <v>352</v>
      </c>
      <c r="O307" t="s">
        <v>353</v>
      </c>
      <c r="P307">
        <v>171.6</v>
      </c>
      <c r="Q307" s="33" t="s">
        <v>1956</v>
      </c>
      <c r="R307" t="s">
        <v>21</v>
      </c>
      <c r="S307" t="s">
        <v>22</v>
      </c>
      <c r="T307">
        <f t="shared" si="4"/>
        <v>226505.10000000009</v>
      </c>
    </row>
    <row r="308" spans="1:20" x14ac:dyDescent="0.25">
      <c r="A308" t="s">
        <v>1020</v>
      </c>
      <c r="B308" t="s">
        <v>150</v>
      </c>
      <c r="C308">
        <v>2</v>
      </c>
      <c r="D308">
        <v>56686</v>
      </c>
      <c r="E308" t="s">
        <v>2090</v>
      </c>
      <c r="F308" t="s">
        <v>201</v>
      </c>
      <c r="G308" s="31">
        <v>0.38329999999999997</v>
      </c>
      <c r="H308" s="31">
        <v>0.42930000000000001</v>
      </c>
      <c r="I308" t="s">
        <v>1954</v>
      </c>
      <c r="J308" t="s">
        <v>1954</v>
      </c>
      <c r="K308">
        <v>61969.277000000002</v>
      </c>
      <c r="L308">
        <v>614410</v>
      </c>
      <c r="M308" s="32">
        <v>9.9147999999999996</v>
      </c>
      <c r="N308" t="s">
        <v>321</v>
      </c>
      <c r="O308" t="s">
        <v>2091</v>
      </c>
      <c r="P308">
        <v>10.8</v>
      </c>
      <c r="Q308" t="s">
        <v>1958</v>
      </c>
      <c r="R308" t="s">
        <v>21</v>
      </c>
      <c r="S308" t="s">
        <v>22</v>
      </c>
      <c r="T308">
        <f t="shared" si="4"/>
        <v>226515.90000000008</v>
      </c>
    </row>
    <row r="309" spans="1:20" x14ac:dyDescent="0.25">
      <c r="A309" t="s">
        <v>861</v>
      </c>
      <c r="B309" t="s">
        <v>194</v>
      </c>
      <c r="C309">
        <v>2</v>
      </c>
      <c r="D309">
        <v>59614</v>
      </c>
      <c r="E309" t="s">
        <v>2060</v>
      </c>
      <c r="F309" t="s">
        <v>201</v>
      </c>
      <c r="G309" s="31">
        <v>0.53859999999999997</v>
      </c>
      <c r="H309" s="31">
        <v>0.58460000000000001</v>
      </c>
      <c r="I309" t="s">
        <v>1954</v>
      </c>
      <c r="J309" t="s">
        <v>1954</v>
      </c>
      <c r="K309">
        <v>323</v>
      </c>
      <c r="L309">
        <v>3203</v>
      </c>
      <c r="M309" s="32">
        <v>9.9163999999999994</v>
      </c>
      <c r="N309" t="s">
        <v>199</v>
      </c>
      <c r="O309" t="s">
        <v>2061</v>
      </c>
      <c r="P309">
        <v>6</v>
      </c>
      <c r="Q309" t="s">
        <v>1958</v>
      </c>
      <c r="R309" t="s">
        <v>21</v>
      </c>
      <c r="S309" t="s">
        <v>22</v>
      </c>
      <c r="T309">
        <f t="shared" si="4"/>
        <v>226521.90000000008</v>
      </c>
    </row>
    <row r="310" spans="1:20" x14ac:dyDescent="0.25">
      <c r="A310" t="s">
        <v>1181</v>
      </c>
      <c r="B310" t="s">
        <v>194</v>
      </c>
      <c r="C310">
        <v>2</v>
      </c>
      <c r="D310">
        <v>59614</v>
      </c>
      <c r="E310" t="s">
        <v>2060</v>
      </c>
      <c r="F310" t="s">
        <v>201</v>
      </c>
      <c r="G310" s="31">
        <v>0.53</v>
      </c>
      <c r="H310" s="31">
        <v>0.57599999999999996</v>
      </c>
      <c r="I310" t="s">
        <v>1954</v>
      </c>
      <c r="J310" t="s">
        <v>1954</v>
      </c>
      <c r="K310">
        <v>323</v>
      </c>
      <c r="L310">
        <v>3203</v>
      </c>
      <c r="M310" s="32">
        <v>9.9163999999999994</v>
      </c>
      <c r="N310" t="s">
        <v>199</v>
      </c>
      <c r="O310" t="s">
        <v>2061</v>
      </c>
      <c r="P310">
        <v>6</v>
      </c>
      <c r="Q310" t="s">
        <v>1958</v>
      </c>
      <c r="R310" t="s">
        <v>21</v>
      </c>
      <c r="S310" t="s">
        <v>22</v>
      </c>
      <c r="T310">
        <f t="shared" si="4"/>
        <v>226527.90000000008</v>
      </c>
    </row>
    <row r="311" spans="1:20" x14ac:dyDescent="0.25">
      <c r="A311" t="s">
        <v>1265</v>
      </c>
      <c r="B311" t="s">
        <v>194</v>
      </c>
      <c r="C311">
        <v>3</v>
      </c>
      <c r="D311">
        <v>59614</v>
      </c>
      <c r="E311" t="s">
        <v>2060</v>
      </c>
      <c r="F311" t="s">
        <v>201</v>
      </c>
      <c r="G311" s="31">
        <v>0.40960000000000002</v>
      </c>
      <c r="H311" s="31">
        <v>0.4556</v>
      </c>
      <c r="I311" t="s">
        <v>1954</v>
      </c>
      <c r="J311" t="s">
        <v>1954</v>
      </c>
      <c r="K311">
        <v>323</v>
      </c>
      <c r="L311">
        <v>3203</v>
      </c>
      <c r="M311" s="32">
        <v>9.9163999999999994</v>
      </c>
      <c r="N311" t="s">
        <v>199</v>
      </c>
      <c r="O311" t="s">
        <v>2061</v>
      </c>
      <c r="P311">
        <v>6</v>
      </c>
      <c r="Q311" t="s">
        <v>1958</v>
      </c>
      <c r="R311" t="s">
        <v>21</v>
      </c>
      <c r="S311" t="s">
        <v>22</v>
      </c>
      <c r="T311">
        <f t="shared" si="4"/>
        <v>226533.90000000008</v>
      </c>
    </row>
    <row r="312" spans="1:20" x14ac:dyDescent="0.25">
      <c r="A312" t="s">
        <v>533</v>
      </c>
      <c r="B312" t="s">
        <v>194</v>
      </c>
      <c r="C312">
        <v>1</v>
      </c>
      <c r="D312">
        <v>1563</v>
      </c>
      <c r="E312" t="s">
        <v>534</v>
      </c>
      <c r="F312" t="s">
        <v>307</v>
      </c>
      <c r="G312" s="31">
        <v>1</v>
      </c>
      <c r="H312" s="31">
        <v>1</v>
      </c>
      <c r="I312" t="s">
        <v>1954</v>
      </c>
      <c r="J312" t="s">
        <v>1954</v>
      </c>
      <c r="K312">
        <v>2128</v>
      </c>
      <c r="L312">
        <v>21179</v>
      </c>
      <c r="M312" s="32">
        <v>9.9525000000000006</v>
      </c>
      <c r="N312" t="s">
        <v>199</v>
      </c>
      <c r="O312" t="s">
        <v>535</v>
      </c>
      <c r="P312">
        <v>10.4</v>
      </c>
      <c r="Q312" s="33" t="s">
        <v>1955</v>
      </c>
      <c r="R312" t="s">
        <v>21</v>
      </c>
      <c r="S312" t="s">
        <v>22</v>
      </c>
      <c r="T312">
        <f t="shared" si="4"/>
        <v>226544.30000000008</v>
      </c>
    </row>
    <row r="313" spans="1:20" x14ac:dyDescent="0.25">
      <c r="A313" t="s">
        <v>536</v>
      </c>
      <c r="B313" t="s">
        <v>194</v>
      </c>
      <c r="C313">
        <v>1</v>
      </c>
      <c r="D313">
        <v>1563</v>
      </c>
      <c r="E313" t="s">
        <v>534</v>
      </c>
      <c r="F313" t="s">
        <v>307</v>
      </c>
      <c r="G313" s="31">
        <v>1</v>
      </c>
      <c r="H313" s="31">
        <v>1</v>
      </c>
      <c r="I313" t="s">
        <v>1954</v>
      </c>
      <c r="J313" t="s">
        <v>1954</v>
      </c>
      <c r="K313">
        <v>2128</v>
      </c>
      <c r="L313">
        <v>21179</v>
      </c>
      <c r="M313" s="32">
        <v>9.9525000000000006</v>
      </c>
      <c r="N313" t="s">
        <v>199</v>
      </c>
      <c r="O313" t="s">
        <v>535</v>
      </c>
      <c r="P313">
        <v>10.4</v>
      </c>
      <c r="Q313" s="33" t="s">
        <v>1955</v>
      </c>
      <c r="R313" t="s">
        <v>21</v>
      </c>
      <c r="S313" t="s">
        <v>22</v>
      </c>
      <c r="T313">
        <f t="shared" si="4"/>
        <v>226554.70000000007</v>
      </c>
    </row>
    <row r="314" spans="1:20" x14ac:dyDescent="0.25">
      <c r="A314" t="s">
        <v>537</v>
      </c>
      <c r="B314" t="s">
        <v>194</v>
      </c>
      <c r="C314">
        <v>1</v>
      </c>
      <c r="D314">
        <v>1563</v>
      </c>
      <c r="E314" t="s">
        <v>534</v>
      </c>
      <c r="F314" t="s">
        <v>307</v>
      </c>
      <c r="G314" s="31">
        <v>1</v>
      </c>
      <c r="H314" s="31">
        <v>1</v>
      </c>
      <c r="I314" t="s">
        <v>1954</v>
      </c>
      <c r="J314" t="s">
        <v>1954</v>
      </c>
      <c r="K314">
        <v>2128</v>
      </c>
      <c r="L314">
        <v>21179</v>
      </c>
      <c r="M314" s="32">
        <v>9.9525000000000006</v>
      </c>
      <c r="N314" t="s">
        <v>199</v>
      </c>
      <c r="O314" t="s">
        <v>535</v>
      </c>
      <c r="P314">
        <v>10.4</v>
      </c>
      <c r="Q314" s="33" t="s">
        <v>1955</v>
      </c>
      <c r="R314" t="s">
        <v>21</v>
      </c>
      <c r="S314" t="s">
        <v>22</v>
      </c>
      <c r="T314">
        <f t="shared" si="4"/>
        <v>226565.10000000006</v>
      </c>
    </row>
    <row r="315" spans="1:20" x14ac:dyDescent="0.25">
      <c r="A315" t="s">
        <v>538</v>
      </c>
      <c r="B315" t="s">
        <v>194</v>
      </c>
      <c r="C315">
        <v>1</v>
      </c>
      <c r="D315">
        <v>1563</v>
      </c>
      <c r="E315" t="s">
        <v>534</v>
      </c>
      <c r="F315" t="s">
        <v>307</v>
      </c>
      <c r="G315" s="31">
        <v>1</v>
      </c>
      <c r="H315" s="31">
        <v>1</v>
      </c>
      <c r="I315" t="s">
        <v>1954</v>
      </c>
      <c r="J315" t="s">
        <v>1954</v>
      </c>
      <c r="K315">
        <v>2128</v>
      </c>
      <c r="L315">
        <v>21179</v>
      </c>
      <c r="M315" s="32">
        <v>9.9525000000000006</v>
      </c>
      <c r="N315" t="s">
        <v>199</v>
      </c>
      <c r="O315" t="s">
        <v>535</v>
      </c>
      <c r="P315">
        <v>10.4</v>
      </c>
      <c r="Q315" s="33" t="s">
        <v>1955</v>
      </c>
      <c r="R315" t="s">
        <v>21</v>
      </c>
      <c r="S315" t="s">
        <v>22</v>
      </c>
      <c r="T315">
        <f t="shared" si="4"/>
        <v>226575.50000000006</v>
      </c>
    </row>
    <row r="316" spans="1:20" x14ac:dyDescent="0.25">
      <c r="A316" t="s">
        <v>268</v>
      </c>
      <c r="B316" t="s">
        <v>137</v>
      </c>
      <c r="C316">
        <v>1</v>
      </c>
      <c r="D316">
        <v>55284</v>
      </c>
      <c r="E316" t="s">
        <v>269</v>
      </c>
      <c r="F316" t="s">
        <v>118</v>
      </c>
      <c r="G316" s="31">
        <v>0.67079999999999995</v>
      </c>
      <c r="H316" s="31">
        <v>0.71679999999999999</v>
      </c>
      <c r="I316" t="s">
        <v>1954</v>
      </c>
      <c r="J316" t="s">
        <v>1954</v>
      </c>
      <c r="K316">
        <v>329839</v>
      </c>
      <c r="L316">
        <v>3283857</v>
      </c>
      <c r="M316" s="32">
        <v>9.9558999999999997</v>
      </c>
      <c r="N316" t="s">
        <v>141</v>
      </c>
      <c r="O316" t="s">
        <v>271</v>
      </c>
      <c r="P316">
        <v>300</v>
      </c>
      <c r="Q316" s="33" t="s">
        <v>1956</v>
      </c>
      <c r="R316" t="s">
        <v>21</v>
      </c>
      <c r="S316" t="s">
        <v>22</v>
      </c>
      <c r="T316">
        <f t="shared" si="4"/>
        <v>226875.50000000006</v>
      </c>
    </row>
    <row r="317" spans="1:20" x14ac:dyDescent="0.25">
      <c r="A317" t="s">
        <v>272</v>
      </c>
      <c r="B317" t="s">
        <v>137</v>
      </c>
      <c r="C317">
        <v>1</v>
      </c>
      <c r="D317">
        <v>55284</v>
      </c>
      <c r="E317" t="s">
        <v>269</v>
      </c>
      <c r="F317" t="s">
        <v>118</v>
      </c>
      <c r="G317" s="31">
        <v>0.67079999999999995</v>
      </c>
      <c r="H317" s="31">
        <v>0.71679999999999999</v>
      </c>
      <c r="I317" t="s">
        <v>1954</v>
      </c>
      <c r="J317" t="s">
        <v>1954</v>
      </c>
      <c r="K317">
        <v>329839</v>
      </c>
      <c r="L317">
        <v>3283857</v>
      </c>
      <c r="M317" s="32">
        <v>9.9558999999999997</v>
      </c>
      <c r="N317" t="s">
        <v>141</v>
      </c>
      <c r="O317" t="s">
        <v>271</v>
      </c>
      <c r="P317">
        <v>300</v>
      </c>
      <c r="Q317" s="33" t="s">
        <v>1956</v>
      </c>
      <c r="R317" t="s">
        <v>21</v>
      </c>
      <c r="S317" t="s">
        <v>22</v>
      </c>
      <c r="T317">
        <f t="shared" si="4"/>
        <v>227175.50000000006</v>
      </c>
    </row>
    <row r="318" spans="1:20" x14ac:dyDescent="0.25">
      <c r="A318" t="s">
        <v>273</v>
      </c>
      <c r="B318" t="s">
        <v>137</v>
      </c>
      <c r="C318">
        <v>1</v>
      </c>
      <c r="D318">
        <v>55284</v>
      </c>
      <c r="E318" t="s">
        <v>269</v>
      </c>
      <c r="F318" t="s">
        <v>118</v>
      </c>
      <c r="G318" s="31">
        <v>0.67079999999999995</v>
      </c>
      <c r="H318" s="31">
        <v>0.71679999999999999</v>
      </c>
      <c r="I318" t="s">
        <v>1954</v>
      </c>
      <c r="J318" t="s">
        <v>1954</v>
      </c>
      <c r="K318">
        <v>329839</v>
      </c>
      <c r="L318">
        <v>3283857</v>
      </c>
      <c r="M318" s="32">
        <v>9.9558999999999997</v>
      </c>
      <c r="N318" t="s">
        <v>141</v>
      </c>
      <c r="O318" t="s">
        <v>271</v>
      </c>
      <c r="P318">
        <v>300</v>
      </c>
      <c r="Q318" s="33" t="s">
        <v>1956</v>
      </c>
      <c r="R318" t="s">
        <v>21</v>
      </c>
      <c r="S318" t="s">
        <v>22</v>
      </c>
      <c r="T318">
        <f t="shared" si="4"/>
        <v>227475.50000000006</v>
      </c>
    </row>
    <row r="319" spans="1:20" x14ac:dyDescent="0.25">
      <c r="A319" t="s">
        <v>274</v>
      </c>
      <c r="B319" t="s">
        <v>137</v>
      </c>
      <c r="C319">
        <v>1</v>
      </c>
      <c r="D319">
        <v>55284</v>
      </c>
      <c r="E319" t="s">
        <v>269</v>
      </c>
      <c r="F319" t="s">
        <v>118</v>
      </c>
      <c r="G319" s="31">
        <v>0.67079999999999995</v>
      </c>
      <c r="H319" s="31">
        <v>0.71679999999999999</v>
      </c>
      <c r="I319" t="s">
        <v>1954</v>
      </c>
      <c r="J319" t="s">
        <v>1954</v>
      </c>
      <c r="K319">
        <v>329839</v>
      </c>
      <c r="L319">
        <v>3283857</v>
      </c>
      <c r="M319" s="32">
        <v>9.9558999999999997</v>
      </c>
      <c r="N319" t="s">
        <v>141</v>
      </c>
      <c r="O319" t="s">
        <v>271</v>
      </c>
      <c r="P319">
        <v>300</v>
      </c>
      <c r="Q319" s="33" t="s">
        <v>1956</v>
      </c>
      <c r="R319" t="s">
        <v>21</v>
      </c>
      <c r="S319" t="s">
        <v>22</v>
      </c>
      <c r="T319">
        <f t="shared" si="4"/>
        <v>227775.50000000006</v>
      </c>
    </row>
    <row r="320" spans="1:20" x14ac:dyDescent="0.25">
      <c r="A320" t="s">
        <v>275</v>
      </c>
      <c r="B320" t="s">
        <v>137</v>
      </c>
      <c r="C320">
        <v>1</v>
      </c>
      <c r="D320">
        <v>55284</v>
      </c>
      <c r="E320" t="s">
        <v>269</v>
      </c>
      <c r="F320" t="s">
        <v>118</v>
      </c>
      <c r="G320" s="31">
        <v>0.67079999999999995</v>
      </c>
      <c r="H320" s="31">
        <v>0.71679999999999999</v>
      </c>
      <c r="I320" t="s">
        <v>1954</v>
      </c>
      <c r="J320" t="s">
        <v>1954</v>
      </c>
      <c r="K320">
        <v>329839</v>
      </c>
      <c r="L320">
        <v>3283857</v>
      </c>
      <c r="M320" s="32">
        <v>9.9558999999999997</v>
      </c>
      <c r="N320" t="s">
        <v>141</v>
      </c>
      <c r="O320" t="s">
        <v>271</v>
      </c>
      <c r="P320">
        <v>300</v>
      </c>
      <c r="Q320" s="33" t="s">
        <v>1956</v>
      </c>
      <c r="R320" t="s">
        <v>21</v>
      </c>
      <c r="S320" t="s">
        <v>22</v>
      </c>
      <c r="T320">
        <f t="shared" si="4"/>
        <v>228075.50000000006</v>
      </c>
    </row>
    <row r="321" spans="1:20" x14ac:dyDescent="0.25">
      <c r="A321" t="s">
        <v>276</v>
      </c>
      <c r="B321" t="s">
        <v>137</v>
      </c>
      <c r="C321">
        <v>1</v>
      </c>
      <c r="D321">
        <v>55284</v>
      </c>
      <c r="E321" t="s">
        <v>269</v>
      </c>
      <c r="F321" t="s">
        <v>118</v>
      </c>
      <c r="G321" s="31">
        <v>0.67079999999999995</v>
      </c>
      <c r="H321" s="31">
        <v>0.71679999999999999</v>
      </c>
      <c r="I321" t="s">
        <v>1954</v>
      </c>
      <c r="J321" t="s">
        <v>1954</v>
      </c>
      <c r="K321">
        <v>329839</v>
      </c>
      <c r="L321">
        <v>3283857</v>
      </c>
      <c r="M321" s="32">
        <v>9.9558999999999997</v>
      </c>
      <c r="N321" t="s">
        <v>141</v>
      </c>
      <c r="O321" t="s">
        <v>271</v>
      </c>
      <c r="P321">
        <v>300</v>
      </c>
      <c r="Q321" s="33" t="s">
        <v>1956</v>
      </c>
      <c r="R321" t="s">
        <v>21</v>
      </c>
      <c r="S321" t="s">
        <v>22</v>
      </c>
      <c r="T321">
        <f t="shared" si="4"/>
        <v>228375.50000000006</v>
      </c>
    </row>
    <row r="322" spans="1:20" x14ac:dyDescent="0.25">
      <c r="A322" t="s">
        <v>798</v>
      </c>
      <c r="B322" t="s">
        <v>109</v>
      </c>
      <c r="C322">
        <v>1</v>
      </c>
      <c r="D322">
        <v>8102</v>
      </c>
      <c r="E322" t="s">
        <v>799</v>
      </c>
      <c r="F322" t="s">
        <v>322</v>
      </c>
      <c r="G322" s="31">
        <v>1</v>
      </c>
      <c r="H322" s="31">
        <v>1</v>
      </c>
      <c r="I322" t="s">
        <v>1954</v>
      </c>
      <c r="J322" t="s">
        <v>1954</v>
      </c>
      <c r="K322">
        <v>12816048.91</v>
      </c>
      <c r="L322">
        <v>127674621</v>
      </c>
      <c r="M322" s="32">
        <v>9.9620999999999995</v>
      </c>
      <c r="N322" t="s">
        <v>116</v>
      </c>
      <c r="O322" t="s">
        <v>308</v>
      </c>
      <c r="P322">
        <v>2722</v>
      </c>
      <c r="Q322" s="33" t="s">
        <v>1955</v>
      </c>
      <c r="R322" t="s">
        <v>21</v>
      </c>
      <c r="S322" t="s">
        <v>22</v>
      </c>
      <c r="T322">
        <f t="shared" si="4"/>
        <v>231097.50000000006</v>
      </c>
    </row>
    <row r="323" spans="1:20" x14ac:dyDescent="0.25">
      <c r="A323" t="s">
        <v>800</v>
      </c>
      <c r="B323" t="s">
        <v>109</v>
      </c>
      <c r="C323">
        <v>1</v>
      </c>
      <c r="D323">
        <v>8102</v>
      </c>
      <c r="E323" t="s">
        <v>799</v>
      </c>
      <c r="F323" t="s">
        <v>322</v>
      </c>
      <c r="G323" s="31">
        <v>1</v>
      </c>
      <c r="H323" s="31">
        <v>1</v>
      </c>
      <c r="I323" t="s">
        <v>1954</v>
      </c>
      <c r="J323" t="s">
        <v>1954</v>
      </c>
      <c r="K323">
        <v>12816048.91</v>
      </c>
      <c r="L323">
        <v>127674621</v>
      </c>
      <c r="M323" s="32">
        <v>9.9620999999999995</v>
      </c>
      <c r="N323" t="s">
        <v>116</v>
      </c>
      <c r="O323" t="s">
        <v>308</v>
      </c>
      <c r="P323">
        <v>2722</v>
      </c>
      <c r="Q323" s="33" t="s">
        <v>1955</v>
      </c>
      <c r="R323" t="s">
        <v>21</v>
      </c>
      <c r="S323" t="s">
        <v>22</v>
      </c>
      <c r="T323">
        <f t="shared" si="4"/>
        <v>233819.50000000006</v>
      </c>
    </row>
    <row r="324" spans="1:20" x14ac:dyDescent="0.25">
      <c r="A324" t="s">
        <v>1632</v>
      </c>
      <c r="B324" t="s">
        <v>109</v>
      </c>
      <c r="C324">
        <v>1</v>
      </c>
      <c r="D324">
        <v>6041</v>
      </c>
      <c r="E324" t="s">
        <v>1633</v>
      </c>
      <c r="F324" t="s">
        <v>266</v>
      </c>
      <c r="G324" s="31">
        <v>1</v>
      </c>
      <c r="H324" s="31">
        <v>1</v>
      </c>
      <c r="I324" t="s">
        <v>1954</v>
      </c>
      <c r="J324" t="s">
        <v>1954</v>
      </c>
      <c r="K324">
        <v>8748851.4900000002</v>
      </c>
      <c r="L324">
        <v>87232758</v>
      </c>
      <c r="M324" s="32">
        <v>9.9708000000000006</v>
      </c>
      <c r="N324" t="s">
        <v>116</v>
      </c>
      <c r="O324" t="s">
        <v>567</v>
      </c>
      <c r="P324">
        <v>1346</v>
      </c>
      <c r="Q324" s="33" t="s">
        <v>1955</v>
      </c>
      <c r="R324" t="s">
        <v>21</v>
      </c>
      <c r="S324" t="s">
        <v>22</v>
      </c>
      <c r="T324">
        <f t="shared" ref="T324:T387" si="5">T323+P324</f>
        <v>235165.50000000006</v>
      </c>
    </row>
    <row r="325" spans="1:20" x14ac:dyDescent="0.25">
      <c r="A325" t="s">
        <v>1634</v>
      </c>
      <c r="B325" t="s">
        <v>109</v>
      </c>
      <c r="C325">
        <v>1</v>
      </c>
      <c r="D325">
        <v>6041</v>
      </c>
      <c r="E325" t="s">
        <v>1633</v>
      </c>
      <c r="F325" t="s">
        <v>266</v>
      </c>
      <c r="G325" s="31">
        <v>1</v>
      </c>
      <c r="H325" s="31">
        <v>1</v>
      </c>
      <c r="I325" t="s">
        <v>1954</v>
      </c>
      <c r="J325" t="s">
        <v>1954</v>
      </c>
      <c r="K325">
        <v>8748851.4900000002</v>
      </c>
      <c r="L325">
        <v>87232758</v>
      </c>
      <c r="M325" s="32">
        <v>9.9708000000000006</v>
      </c>
      <c r="N325" t="s">
        <v>116</v>
      </c>
      <c r="O325" t="s">
        <v>567</v>
      </c>
      <c r="P325">
        <v>1346</v>
      </c>
      <c r="Q325" s="33" t="s">
        <v>1955</v>
      </c>
      <c r="R325" t="s">
        <v>21</v>
      </c>
      <c r="S325" t="s">
        <v>22</v>
      </c>
      <c r="T325">
        <f t="shared" si="5"/>
        <v>236511.50000000006</v>
      </c>
    </row>
    <row r="326" spans="1:20" x14ac:dyDescent="0.25">
      <c r="A326" t="s">
        <v>1635</v>
      </c>
      <c r="B326" t="s">
        <v>109</v>
      </c>
      <c r="C326">
        <v>1</v>
      </c>
      <c r="D326">
        <v>6041</v>
      </c>
      <c r="E326" t="s">
        <v>1633</v>
      </c>
      <c r="F326" t="s">
        <v>266</v>
      </c>
      <c r="G326" s="31">
        <v>1</v>
      </c>
      <c r="H326" s="31">
        <v>1</v>
      </c>
      <c r="I326" t="s">
        <v>1954</v>
      </c>
      <c r="J326" t="s">
        <v>1954</v>
      </c>
      <c r="K326">
        <v>8748851.4900000002</v>
      </c>
      <c r="L326">
        <v>87232758</v>
      </c>
      <c r="M326" s="32">
        <v>9.9708000000000006</v>
      </c>
      <c r="N326" t="s">
        <v>116</v>
      </c>
      <c r="O326" t="s">
        <v>567</v>
      </c>
      <c r="P326">
        <v>1346</v>
      </c>
      <c r="Q326" s="33" t="s">
        <v>1955</v>
      </c>
      <c r="R326" t="s">
        <v>21</v>
      </c>
      <c r="S326" t="s">
        <v>22</v>
      </c>
      <c r="T326">
        <f t="shared" si="5"/>
        <v>237857.50000000006</v>
      </c>
    </row>
    <row r="327" spans="1:20" x14ac:dyDescent="0.25">
      <c r="A327" t="s">
        <v>1636</v>
      </c>
      <c r="B327" t="s">
        <v>109</v>
      </c>
      <c r="C327">
        <v>1</v>
      </c>
      <c r="D327">
        <v>6041</v>
      </c>
      <c r="E327" t="s">
        <v>1633</v>
      </c>
      <c r="F327" t="s">
        <v>266</v>
      </c>
      <c r="G327" s="31">
        <v>1</v>
      </c>
      <c r="H327" s="31">
        <v>1</v>
      </c>
      <c r="I327" t="s">
        <v>1954</v>
      </c>
      <c r="J327" t="s">
        <v>1954</v>
      </c>
      <c r="K327">
        <v>8748851.4900000002</v>
      </c>
      <c r="L327">
        <v>87232758</v>
      </c>
      <c r="M327" s="32">
        <v>9.9708000000000006</v>
      </c>
      <c r="N327" t="s">
        <v>116</v>
      </c>
      <c r="O327" t="s">
        <v>567</v>
      </c>
      <c r="P327">
        <v>1346</v>
      </c>
      <c r="Q327" s="33" t="s">
        <v>1955</v>
      </c>
      <c r="R327" t="s">
        <v>21</v>
      </c>
      <c r="S327" t="s">
        <v>22</v>
      </c>
      <c r="T327">
        <f t="shared" si="5"/>
        <v>239203.50000000006</v>
      </c>
    </row>
    <row r="328" spans="1:20" x14ac:dyDescent="0.25">
      <c r="A328" t="s">
        <v>1016</v>
      </c>
      <c r="B328" t="s">
        <v>109</v>
      </c>
      <c r="C328">
        <v>2</v>
      </c>
      <c r="D328">
        <v>6030</v>
      </c>
      <c r="E328" t="s">
        <v>2085</v>
      </c>
      <c r="F328" t="s">
        <v>2086</v>
      </c>
      <c r="G328" s="31">
        <v>0.50819999999999999</v>
      </c>
      <c r="H328" s="31">
        <v>0.43619999999999998</v>
      </c>
      <c r="I328" t="s">
        <v>1954</v>
      </c>
      <c r="J328" t="s">
        <v>1954</v>
      </c>
      <c r="K328">
        <v>8231793.25</v>
      </c>
      <c r="L328">
        <v>82085323</v>
      </c>
      <c r="M328" s="32">
        <v>9.9717000000000002</v>
      </c>
      <c r="N328" t="s">
        <v>2087</v>
      </c>
      <c r="O328" t="s">
        <v>308</v>
      </c>
      <c r="P328">
        <v>1142.2</v>
      </c>
      <c r="Q328" t="s">
        <v>1958</v>
      </c>
      <c r="R328" t="s">
        <v>21</v>
      </c>
      <c r="S328" t="s">
        <v>22</v>
      </c>
      <c r="T328">
        <f t="shared" si="5"/>
        <v>240345.70000000007</v>
      </c>
    </row>
    <row r="329" spans="1:20" x14ac:dyDescent="0.25">
      <c r="A329" t="s">
        <v>1019</v>
      </c>
      <c r="B329" t="s">
        <v>109</v>
      </c>
      <c r="C329">
        <v>2</v>
      </c>
      <c r="D329">
        <v>6030</v>
      </c>
      <c r="E329" t="s">
        <v>2085</v>
      </c>
      <c r="F329" t="s">
        <v>2086</v>
      </c>
      <c r="G329" s="31">
        <v>0.50819999999999999</v>
      </c>
      <c r="H329" s="31">
        <v>0.43619999999999998</v>
      </c>
      <c r="I329" t="s">
        <v>1954</v>
      </c>
      <c r="J329" t="s">
        <v>1954</v>
      </c>
      <c r="K329">
        <v>8231793.25</v>
      </c>
      <c r="L329">
        <v>82085323</v>
      </c>
      <c r="M329" s="32">
        <v>9.9717000000000002</v>
      </c>
      <c r="N329" t="s">
        <v>2087</v>
      </c>
      <c r="O329" t="s">
        <v>308</v>
      </c>
      <c r="P329">
        <v>1142.2</v>
      </c>
      <c r="Q329" t="s">
        <v>1958</v>
      </c>
      <c r="R329" t="s">
        <v>21</v>
      </c>
      <c r="S329" t="s">
        <v>22</v>
      </c>
      <c r="T329">
        <f t="shared" si="5"/>
        <v>241487.90000000008</v>
      </c>
    </row>
    <row r="330" spans="1:20" x14ac:dyDescent="0.25">
      <c r="A330" t="s">
        <v>1404</v>
      </c>
      <c r="B330" t="s">
        <v>109</v>
      </c>
      <c r="C330">
        <v>2</v>
      </c>
      <c r="D330">
        <v>6030</v>
      </c>
      <c r="E330" t="s">
        <v>2085</v>
      </c>
      <c r="F330" t="s">
        <v>2086</v>
      </c>
      <c r="G330" s="31">
        <v>0.50390000000000001</v>
      </c>
      <c r="H330" s="31">
        <v>0.43190000000000001</v>
      </c>
      <c r="I330" t="s">
        <v>1954</v>
      </c>
      <c r="J330" t="s">
        <v>1954</v>
      </c>
      <c r="K330">
        <v>8231793.25</v>
      </c>
      <c r="L330">
        <v>82085323</v>
      </c>
      <c r="M330" s="32">
        <v>9.9717000000000002</v>
      </c>
      <c r="N330" t="s">
        <v>2087</v>
      </c>
      <c r="O330" t="s">
        <v>308</v>
      </c>
      <c r="P330">
        <v>1142.2</v>
      </c>
      <c r="Q330" t="s">
        <v>1958</v>
      </c>
      <c r="R330" t="s">
        <v>21</v>
      </c>
      <c r="S330" t="s">
        <v>22</v>
      </c>
      <c r="T330">
        <f t="shared" si="5"/>
        <v>242630.10000000009</v>
      </c>
    </row>
    <row r="331" spans="1:20" x14ac:dyDescent="0.25">
      <c r="A331" t="s">
        <v>1407</v>
      </c>
      <c r="B331" t="s">
        <v>109</v>
      </c>
      <c r="C331">
        <v>2</v>
      </c>
      <c r="D331">
        <v>6030</v>
      </c>
      <c r="E331" t="s">
        <v>2085</v>
      </c>
      <c r="F331" t="s">
        <v>2086</v>
      </c>
      <c r="G331" s="31">
        <v>0.50390000000000001</v>
      </c>
      <c r="H331" s="31">
        <v>0.43190000000000001</v>
      </c>
      <c r="I331" t="s">
        <v>1954</v>
      </c>
      <c r="J331" t="s">
        <v>1954</v>
      </c>
      <c r="K331">
        <v>8231793.25</v>
      </c>
      <c r="L331">
        <v>82085323</v>
      </c>
      <c r="M331" s="32">
        <v>9.9717000000000002</v>
      </c>
      <c r="N331" t="s">
        <v>2087</v>
      </c>
      <c r="O331" t="s">
        <v>308</v>
      </c>
      <c r="P331">
        <v>1142.2</v>
      </c>
      <c r="Q331" t="s">
        <v>1958</v>
      </c>
      <c r="R331" t="s">
        <v>21</v>
      </c>
      <c r="S331" t="s">
        <v>22</v>
      </c>
      <c r="T331">
        <f t="shared" si="5"/>
        <v>243772.3000000001</v>
      </c>
    </row>
    <row r="332" spans="1:20" x14ac:dyDescent="0.25">
      <c r="A332" t="s">
        <v>1261</v>
      </c>
      <c r="B332" t="s">
        <v>189</v>
      </c>
      <c r="C332">
        <v>3</v>
      </c>
      <c r="D332">
        <v>2167</v>
      </c>
      <c r="E332" t="s">
        <v>2119</v>
      </c>
      <c r="F332" t="s">
        <v>2120</v>
      </c>
      <c r="G332" s="31">
        <v>0.5</v>
      </c>
      <c r="H332" s="31">
        <v>0.42799999999999999</v>
      </c>
      <c r="I332" t="s">
        <v>1954</v>
      </c>
      <c r="J332" t="s">
        <v>1954</v>
      </c>
      <c r="K332">
        <v>6738552.0020000003</v>
      </c>
      <c r="L332">
        <v>67285711</v>
      </c>
      <c r="M332" s="32">
        <v>9.9852000000000007</v>
      </c>
      <c r="N332" t="s">
        <v>2121</v>
      </c>
      <c r="O332" t="s">
        <v>308</v>
      </c>
      <c r="P332">
        <v>1200</v>
      </c>
      <c r="Q332" t="s">
        <v>1958</v>
      </c>
      <c r="R332" t="s">
        <v>21</v>
      </c>
      <c r="S332" t="s">
        <v>22</v>
      </c>
      <c r="T332">
        <f t="shared" si="5"/>
        <v>244972.3000000001</v>
      </c>
    </row>
    <row r="333" spans="1:20" x14ac:dyDescent="0.25">
      <c r="A333" t="s">
        <v>1263</v>
      </c>
      <c r="B333" t="s">
        <v>189</v>
      </c>
      <c r="C333">
        <v>3</v>
      </c>
      <c r="D333">
        <v>2167</v>
      </c>
      <c r="E333" t="s">
        <v>2119</v>
      </c>
      <c r="F333" t="s">
        <v>2120</v>
      </c>
      <c r="G333" s="31">
        <v>0.5</v>
      </c>
      <c r="H333" s="31">
        <v>0.42799999999999999</v>
      </c>
      <c r="I333" t="s">
        <v>1954</v>
      </c>
      <c r="J333" t="s">
        <v>1954</v>
      </c>
      <c r="K333">
        <v>6738552.0020000003</v>
      </c>
      <c r="L333">
        <v>67285711</v>
      </c>
      <c r="M333" s="32">
        <v>9.9852000000000007</v>
      </c>
      <c r="N333" t="s">
        <v>2121</v>
      </c>
      <c r="O333" t="s">
        <v>308</v>
      </c>
      <c r="P333">
        <v>1200</v>
      </c>
      <c r="Q333" t="s">
        <v>1958</v>
      </c>
      <c r="R333" t="s">
        <v>21</v>
      </c>
      <c r="S333" t="s">
        <v>22</v>
      </c>
      <c r="T333">
        <f t="shared" si="5"/>
        <v>246172.3000000001</v>
      </c>
    </row>
    <row r="334" spans="1:20" x14ac:dyDescent="0.25">
      <c r="A334" t="s">
        <v>1264</v>
      </c>
      <c r="B334" t="s">
        <v>189</v>
      </c>
      <c r="C334">
        <v>3</v>
      </c>
      <c r="D334">
        <v>2167</v>
      </c>
      <c r="E334" t="s">
        <v>2119</v>
      </c>
      <c r="F334" t="s">
        <v>2120</v>
      </c>
      <c r="G334" s="31">
        <v>0.5</v>
      </c>
      <c r="H334" s="31">
        <v>0.42799999999999999</v>
      </c>
      <c r="I334" t="s">
        <v>1954</v>
      </c>
      <c r="J334" t="s">
        <v>1954</v>
      </c>
      <c r="K334">
        <v>6738552.0020000003</v>
      </c>
      <c r="L334">
        <v>67285711</v>
      </c>
      <c r="M334" s="32">
        <v>9.9852000000000007</v>
      </c>
      <c r="N334" t="s">
        <v>2121</v>
      </c>
      <c r="O334" t="s">
        <v>308</v>
      </c>
      <c r="P334">
        <v>1200</v>
      </c>
      <c r="Q334" t="s">
        <v>1958</v>
      </c>
      <c r="R334" t="s">
        <v>21</v>
      </c>
      <c r="S334" t="s">
        <v>22</v>
      </c>
      <c r="T334">
        <f t="shared" si="5"/>
        <v>247372.3000000001</v>
      </c>
    </row>
    <row r="335" spans="1:20" x14ac:dyDescent="0.25">
      <c r="A335" t="s">
        <v>1467</v>
      </c>
      <c r="B335" t="s">
        <v>125</v>
      </c>
      <c r="C335">
        <v>1</v>
      </c>
      <c r="D335">
        <v>7838</v>
      </c>
      <c r="E335" t="s">
        <v>1468</v>
      </c>
      <c r="F335" t="s">
        <v>201</v>
      </c>
      <c r="G335" s="31">
        <v>0.6623</v>
      </c>
      <c r="H335" s="31">
        <v>0.70830000000000004</v>
      </c>
      <c r="I335" t="s">
        <v>1954</v>
      </c>
      <c r="J335" t="s">
        <v>1954</v>
      </c>
      <c r="K335">
        <v>1269191.9979999999</v>
      </c>
      <c r="L335">
        <v>12674047</v>
      </c>
      <c r="M335" s="32">
        <v>9.9859000000000009</v>
      </c>
      <c r="N335" t="s">
        <v>130</v>
      </c>
      <c r="O335" t="s">
        <v>567</v>
      </c>
      <c r="P335">
        <v>613.70000000000005</v>
      </c>
      <c r="Q335" s="33" t="s">
        <v>1956</v>
      </c>
      <c r="R335" t="s">
        <v>21</v>
      </c>
      <c r="S335" t="s">
        <v>22</v>
      </c>
      <c r="T335">
        <f t="shared" si="5"/>
        <v>247986.00000000012</v>
      </c>
    </row>
    <row r="336" spans="1:20" x14ac:dyDescent="0.25">
      <c r="A336" t="s">
        <v>1469</v>
      </c>
      <c r="B336" t="s">
        <v>125</v>
      </c>
      <c r="C336">
        <v>1</v>
      </c>
      <c r="D336">
        <v>7838</v>
      </c>
      <c r="E336" t="s">
        <v>1468</v>
      </c>
      <c r="F336" t="s">
        <v>201</v>
      </c>
      <c r="G336" s="31">
        <v>0.6623</v>
      </c>
      <c r="H336" s="31">
        <v>0.70830000000000004</v>
      </c>
      <c r="I336" t="s">
        <v>1954</v>
      </c>
      <c r="J336" t="s">
        <v>1954</v>
      </c>
      <c r="K336">
        <v>1269191.9979999999</v>
      </c>
      <c r="L336">
        <v>12674047</v>
      </c>
      <c r="M336" s="32">
        <v>9.9859000000000009</v>
      </c>
      <c r="N336" t="s">
        <v>130</v>
      </c>
      <c r="O336" t="s">
        <v>567</v>
      </c>
      <c r="P336">
        <v>613.70000000000005</v>
      </c>
      <c r="Q336" s="33" t="s">
        <v>1956</v>
      </c>
      <c r="R336" t="s">
        <v>21</v>
      </c>
      <c r="S336" t="s">
        <v>22</v>
      </c>
      <c r="T336">
        <f t="shared" si="5"/>
        <v>248599.70000000013</v>
      </c>
    </row>
    <row r="337" spans="1:20" x14ac:dyDescent="0.25">
      <c r="A337" t="s">
        <v>1470</v>
      </c>
      <c r="B337" t="s">
        <v>125</v>
      </c>
      <c r="C337">
        <v>1</v>
      </c>
      <c r="D337">
        <v>7838</v>
      </c>
      <c r="E337" t="s">
        <v>1468</v>
      </c>
      <c r="F337" t="s">
        <v>201</v>
      </c>
      <c r="G337" s="31">
        <v>0.6623</v>
      </c>
      <c r="H337" s="31">
        <v>0.70830000000000004</v>
      </c>
      <c r="I337" t="s">
        <v>1954</v>
      </c>
      <c r="J337" t="s">
        <v>1954</v>
      </c>
      <c r="K337">
        <v>1269191.9979999999</v>
      </c>
      <c r="L337">
        <v>12674047</v>
      </c>
      <c r="M337" s="32">
        <v>9.9859000000000009</v>
      </c>
      <c r="N337" t="s">
        <v>130</v>
      </c>
      <c r="O337" t="s">
        <v>567</v>
      </c>
      <c r="P337">
        <v>613.70000000000005</v>
      </c>
      <c r="Q337" s="33" t="s">
        <v>1956</v>
      </c>
      <c r="R337" t="s">
        <v>21</v>
      </c>
      <c r="S337" t="s">
        <v>22</v>
      </c>
      <c r="T337">
        <f t="shared" si="5"/>
        <v>249213.40000000014</v>
      </c>
    </row>
    <row r="338" spans="1:20" x14ac:dyDescent="0.25">
      <c r="A338" t="s">
        <v>1471</v>
      </c>
      <c r="B338" t="s">
        <v>125</v>
      </c>
      <c r="C338">
        <v>1</v>
      </c>
      <c r="D338">
        <v>7838</v>
      </c>
      <c r="E338" t="s">
        <v>1468</v>
      </c>
      <c r="F338" t="s">
        <v>201</v>
      </c>
      <c r="G338" s="31">
        <v>0.6623</v>
      </c>
      <c r="H338" s="31">
        <v>0.70830000000000004</v>
      </c>
      <c r="I338" t="s">
        <v>1954</v>
      </c>
      <c r="J338" t="s">
        <v>1954</v>
      </c>
      <c r="K338">
        <v>1269191.9979999999</v>
      </c>
      <c r="L338">
        <v>12674047</v>
      </c>
      <c r="M338" s="32">
        <v>9.9859000000000009</v>
      </c>
      <c r="N338" t="s">
        <v>130</v>
      </c>
      <c r="O338" t="s">
        <v>567</v>
      </c>
      <c r="P338">
        <v>613.70000000000005</v>
      </c>
      <c r="Q338" s="33" t="s">
        <v>1956</v>
      </c>
      <c r="R338" t="s">
        <v>21</v>
      </c>
      <c r="S338" t="s">
        <v>22</v>
      </c>
      <c r="T338">
        <f t="shared" si="5"/>
        <v>249827.10000000015</v>
      </c>
    </row>
    <row r="339" spans="1:20" x14ac:dyDescent="0.25">
      <c r="A339" t="s">
        <v>873</v>
      </c>
      <c r="B339" t="s">
        <v>137</v>
      </c>
      <c r="C339">
        <v>2</v>
      </c>
      <c r="D339">
        <v>2951</v>
      </c>
      <c r="E339" t="s">
        <v>2062</v>
      </c>
      <c r="F339" t="s">
        <v>2063</v>
      </c>
      <c r="G339" s="31">
        <v>0.53</v>
      </c>
      <c r="H339" s="31">
        <v>0.45800000000000002</v>
      </c>
      <c r="I339" t="s">
        <v>1954</v>
      </c>
      <c r="J339" t="s">
        <v>1954</v>
      </c>
      <c r="K339">
        <v>174846</v>
      </c>
      <c r="L339">
        <v>1746652</v>
      </c>
      <c r="M339" s="32">
        <v>9.9896999999999991</v>
      </c>
      <c r="N339" t="s">
        <v>141</v>
      </c>
      <c r="O339" t="s">
        <v>2064</v>
      </c>
      <c r="P339">
        <v>90.76</v>
      </c>
      <c r="Q339" t="s">
        <v>1958</v>
      </c>
      <c r="R339" t="s">
        <v>21</v>
      </c>
      <c r="S339" t="s">
        <v>22</v>
      </c>
      <c r="T339">
        <f t="shared" si="5"/>
        <v>249917.86000000016</v>
      </c>
    </row>
    <row r="340" spans="1:20" x14ac:dyDescent="0.25">
      <c r="A340" t="s">
        <v>876</v>
      </c>
      <c r="B340" t="s">
        <v>137</v>
      </c>
      <c r="C340">
        <v>2</v>
      </c>
      <c r="D340">
        <v>2951</v>
      </c>
      <c r="E340" t="s">
        <v>2062</v>
      </c>
      <c r="F340" t="s">
        <v>2063</v>
      </c>
      <c r="G340" s="31">
        <v>0.53</v>
      </c>
      <c r="H340" s="31">
        <v>0.45800000000000002</v>
      </c>
      <c r="I340" t="s">
        <v>1954</v>
      </c>
      <c r="J340" t="s">
        <v>1954</v>
      </c>
      <c r="K340">
        <v>174846</v>
      </c>
      <c r="L340">
        <v>1746652</v>
      </c>
      <c r="M340" s="32">
        <v>9.9896999999999991</v>
      </c>
      <c r="N340" t="s">
        <v>141</v>
      </c>
      <c r="O340" t="s">
        <v>2064</v>
      </c>
      <c r="P340">
        <v>90.76</v>
      </c>
      <c r="Q340" t="s">
        <v>1958</v>
      </c>
      <c r="R340" t="s">
        <v>21</v>
      </c>
      <c r="S340" t="s">
        <v>22</v>
      </c>
      <c r="T340">
        <f t="shared" si="5"/>
        <v>250008.62000000017</v>
      </c>
    </row>
    <row r="341" spans="1:20" x14ac:dyDescent="0.25">
      <c r="A341" t="s">
        <v>877</v>
      </c>
      <c r="B341" t="s">
        <v>137</v>
      </c>
      <c r="C341">
        <v>2</v>
      </c>
      <c r="D341">
        <v>2951</v>
      </c>
      <c r="E341" t="s">
        <v>2062</v>
      </c>
      <c r="F341" t="s">
        <v>2063</v>
      </c>
      <c r="G341" s="31">
        <v>0.53</v>
      </c>
      <c r="H341" s="31">
        <v>0.45800000000000002</v>
      </c>
      <c r="I341" t="s">
        <v>1954</v>
      </c>
      <c r="J341" t="s">
        <v>1954</v>
      </c>
      <c r="K341">
        <v>174846</v>
      </c>
      <c r="L341">
        <v>1746652</v>
      </c>
      <c r="M341" s="32">
        <v>9.9896999999999991</v>
      </c>
      <c r="N341" t="s">
        <v>141</v>
      </c>
      <c r="O341" t="s">
        <v>2064</v>
      </c>
      <c r="P341">
        <v>90.76</v>
      </c>
      <c r="Q341" t="s">
        <v>1958</v>
      </c>
      <c r="R341" t="s">
        <v>21</v>
      </c>
      <c r="S341" t="s">
        <v>22</v>
      </c>
      <c r="T341">
        <f t="shared" si="5"/>
        <v>250099.38000000018</v>
      </c>
    </row>
    <row r="342" spans="1:20" x14ac:dyDescent="0.25">
      <c r="A342" t="s">
        <v>878</v>
      </c>
      <c r="B342" t="s">
        <v>137</v>
      </c>
      <c r="C342">
        <v>2</v>
      </c>
      <c r="D342">
        <v>2951</v>
      </c>
      <c r="E342" t="s">
        <v>2062</v>
      </c>
      <c r="F342" t="s">
        <v>2063</v>
      </c>
      <c r="G342" s="31">
        <v>0.53</v>
      </c>
      <c r="H342" s="31">
        <v>0.45800000000000002</v>
      </c>
      <c r="I342" t="s">
        <v>1954</v>
      </c>
      <c r="J342" t="s">
        <v>1954</v>
      </c>
      <c r="K342">
        <v>174846</v>
      </c>
      <c r="L342">
        <v>1746652</v>
      </c>
      <c r="M342" s="32">
        <v>9.9896999999999991</v>
      </c>
      <c r="N342" t="s">
        <v>141</v>
      </c>
      <c r="O342" t="s">
        <v>2064</v>
      </c>
      <c r="P342">
        <v>90.76</v>
      </c>
      <c r="Q342" t="s">
        <v>1958</v>
      </c>
      <c r="R342" t="s">
        <v>21</v>
      </c>
      <c r="S342" t="s">
        <v>22</v>
      </c>
      <c r="T342">
        <f t="shared" si="5"/>
        <v>250190.14000000019</v>
      </c>
    </row>
    <row r="343" spans="1:20" x14ac:dyDescent="0.25">
      <c r="A343" t="s">
        <v>879</v>
      </c>
      <c r="B343" t="s">
        <v>137</v>
      </c>
      <c r="C343">
        <v>2</v>
      </c>
      <c r="D343">
        <v>2951</v>
      </c>
      <c r="E343" t="s">
        <v>2062</v>
      </c>
      <c r="F343" t="s">
        <v>2063</v>
      </c>
      <c r="G343" s="31">
        <v>0.53</v>
      </c>
      <c r="H343" s="31">
        <v>0.45800000000000002</v>
      </c>
      <c r="I343" t="s">
        <v>1954</v>
      </c>
      <c r="J343" t="s">
        <v>1954</v>
      </c>
      <c r="K343">
        <v>174846</v>
      </c>
      <c r="L343">
        <v>1746652</v>
      </c>
      <c r="M343" s="32">
        <v>9.9896999999999991</v>
      </c>
      <c r="N343" t="s">
        <v>141</v>
      </c>
      <c r="O343" t="s">
        <v>2064</v>
      </c>
      <c r="P343">
        <v>90.76</v>
      </c>
      <c r="Q343" t="s">
        <v>1958</v>
      </c>
      <c r="R343" t="s">
        <v>21</v>
      </c>
      <c r="S343" t="s">
        <v>22</v>
      </c>
      <c r="T343">
        <f t="shared" si="5"/>
        <v>250280.9000000002</v>
      </c>
    </row>
    <row r="344" spans="1:20" x14ac:dyDescent="0.25">
      <c r="A344" t="s">
        <v>1708</v>
      </c>
      <c r="B344" t="s">
        <v>137</v>
      </c>
      <c r="C344">
        <v>3</v>
      </c>
      <c r="D344">
        <v>63259</v>
      </c>
      <c r="E344" t="s">
        <v>598</v>
      </c>
      <c r="F344" t="s">
        <v>250</v>
      </c>
      <c r="G344" s="31">
        <v>0.46760000000000002</v>
      </c>
      <c r="H344" s="31">
        <v>0.51359999999999995</v>
      </c>
      <c r="I344" t="s">
        <v>1954</v>
      </c>
      <c r="J344" t="s">
        <v>1954</v>
      </c>
      <c r="K344">
        <v>154260</v>
      </c>
      <c r="L344">
        <v>1544711</v>
      </c>
      <c r="M344" s="32">
        <v>10.0137</v>
      </c>
      <c r="N344" t="s">
        <v>141</v>
      </c>
      <c r="O344" t="s">
        <v>2182</v>
      </c>
      <c r="P344">
        <v>46.3</v>
      </c>
      <c r="Q344" t="s">
        <v>1958</v>
      </c>
      <c r="R344" t="s">
        <v>21</v>
      </c>
      <c r="S344" t="s">
        <v>22</v>
      </c>
      <c r="T344">
        <f t="shared" si="5"/>
        <v>250327.20000000019</v>
      </c>
    </row>
    <row r="345" spans="1:20" x14ac:dyDescent="0.25">
      <c r="A345" t="s">
        <v>1712</v>
      </c>
      <c r="B345" t="s">
        <v>137</v>
      </c>
      <c r="C345">
        <v>3</v>
      </c>
      <c r="D345">
        <v>63259</v>
      </c>
      <c r="E345" t="s">
        <v>598</v>
      </c>
      <c r="F345" t="s">
        <v>250</v>
      </c>
      <c r="G345" s="31">
        <v>0.46760000000000002</v>
      </c>
      <c r="H345" s="31">
        <v>0.51359999999999995</v>
      </c>
      <c r="I345" t="s">
        <v>1954</v>
      </c>
      <c r="J345" t="s">
        <v>1954</v>
      </c>
      <c r="K345">
        <v>154260</v>
      </c>
      <c r="L345">
        <v>1544711</v>
      </c>
      <c r="M345" s="32">
        <v>10.0137</v>
      </c>
      <c r="N345" t="s">
        <v>141</v>
      </c>
      <c r="O345" t="s">
        <v>2182</v>
      </c>
      <c r="P345">
        <v>46.3</v>
      </c>
      <c r="Q345" t="s">
        <v>1958</v>
      </c>
      <c r="R345" t="s">
        <v>21</v>
      </c>
      <c r="S345" t="s">
        <v>22</v>
      </c>
      <c r="T345">
        <f t="shared" si="5"/>
        <v>250373.50000000017</v>
      </c>
    </row>
    <row r="346" spans="1:20" x14ac:dyDescent="0.25">
      <c r="A346" t="s">
        <v>1713</v>
      </c>
      <c r="B346" t="s">
        <v>137</v>
      </c>
      <c r="C346">
        <v>3</v>
      </c>
      <c r="D346">
        <v>63259</v>
      </c>
      <c r="E346" t="s">
        <v>598</v>
      </c>
      <c r="F346" t="s">
        <v>250</v>
      </c>
      <c r="G346" s="31">
        <v>0.46760000000000002</v>
      </c>
      <c r="H346" s="31">
        <v>0.51359999999999995</v>
      </c>
      <c r="I346" t="s">
        <v>1954</v>
      </c>
      <c r="J346" t="s">
        <v>1954</v>
      </c>
      <c r="K346">
        <v>154260</v>
      </c>
      <c r="L346">
        <v>1544711</v>
      </c>
      <c r="M346" s="32">
        <v>10.0137</v>
      </c>
      <c r="N346" t="s">
        <v>141</v>
      </c>
      <c r="O346" t="s">
        <v>2182</v>
      </c>
      <c r="P346">
        <v>46.3</v>
      </c>
      <c r="Q346" t="s">
        <v>1958</v>
      </c>
      <c r="R346" t="s">
        <v>21</v>
      </c>
      <c r="S346" t="s">
        <v>22</v>
      </c>
      <c r="T346">
        <f t="shared" si="5"/>
        <v>250419.80000000016</v>
      </c>
    </row>
    <row r="347" spans="1:20" x14ac:dyDescent="0.25">
      <c r="A347" t="s">
        <v>1714</v>
      </c>
      <c r="B347" t="s">
        <v>137</v>
      </c>
      <c r="C347">
        <v>3</v>
      </c>
      <c r="D347">
        <v>63259</v>
      </c>
      <c r="E347" t="s">
        <v>598</v>
      </c>
      <c r="F347" t="s">
        <v>250</v>
      </c>
      <c r="G347" s="31">
        <v>0.46760000000000002</v>
      </c>
      <c r="H347" s="31">
        <v>0.51359999999999995</v>
      </c>
      <c r="I347" t="s">
        <v>1954</v>
      </c>
      <c r="J347" t="s">
        <v>1954</v>
      </c>
      <c r="K347">
        <v>154260</v>
      </c>
      <c r="L347">
        <v>1544711</v>
      </c>
      <c r="M347" s="32">
        <v>10.0137</v>
      </c>
      <c r="N347" t="s">
        <v>141</v>
      </c>
      <c r="O347" t="s">
        <v>2182</v>
      </c>
      <c r="P347">
        <v>46.3</v>
      </c>
      <c r="Q347" t="s">
        <v>1958</v>
      </c>
      <c r="R347" t="s">
        <v>21</v>
      </c>
      <c r="S347" t="s">
        <v>22</v>
      </c>
      <c r="T347">
        <f t="shared" si="5"/>
        <v>250466.10000000015</v>
      </c>
    </row>
    <row r="348" spans="1:20" x14ac:dyDescent="0.25">
      <c r="A348" t="s">
        <v>1715</v>
      </c>
      <c r="B348" t="s">
        <v>137</v>
      </c>
      <c r="C348">
        <v>3</v>
      </c>
      <c r="D348">
        <v>63259</v>
      </c>
      <c r="E348" t="s">
        <v>598</v>
      </c>
      <c r="F348" t="s">
        <v>250</v>
      </c>
      <c r="G348" s="31">
        <v>0.46760000000000002</v>
      </c>
      <c r="H348" s="31">
        <v>0.51359999999999995</v>
      </c>
      <c r="I348" t="s">
        <v>1954</v>
      </c>
      <c r="J348" t="s">
        <v>1954</v>
      </c>
      <c r="K348">
        <v>154260</v>
      </c>
      <c r="L348">
        <v>1544711</v>
      </c>
      <c r="M348" s="32">
        <v>10.0137</v>
      </c>
      <c r="N348" t="s">
        <v>141</v>
      </c>
      <c r="O348" t="s">
        <v>2182</v>
      </c>
      <c r="P348">
        <v>46.3</v>
      </c>
      <c r="Q348" t="s">
        <v>1958</v>
      </c>
      <c r="R348" t="s">
        <v>21</v>
      </c>
      <c r="S348" t="s">
        <v>22</v>
      </c>
      <c r="T348">
        <f t="shared" si="5"/>
        <v>250512.40000000014</v>
      </c>
    </row>
    <row r="349" spans="1:20" x14ac:dyDescent="0.25">
      <c r="A349" t="s">
        <v>1716</v>
      </c>
      <c r="B349" t="s">
        <v>137</v>
      </c>
      <c r="C349">
        <v>3</v>
      </c>
      <c r="D349">
        <v>63259</v>
      </c>
      <c r="E349" t="s">
        <v>598</v>
      </c>
      <c r="F349" t="s">
        <v>250</v>
      </c>
      <c r="G349" s="31">
        <v>0.46760000000000002</v>
      </c>
      <c r="H349" s="31">
        <v>0.51359999999999995</v>
      </c>
      <c r="I349" t="s">
        <v>1954</v>
      </c>
      <c r="J349" t="s">
        <v>1954</v>
      </c>
      <c r="K349">
        <v>154260</v>
      </c>
      <c r="L349">
        <v>1544711</v>
      </c>
      <c r="M349" s="32">
        <v>10.0137</v>
      </c>
      <c r="N349" t="s">
        <v>141</v>
      </c>
      <c r="O349" t="s">
        <v>2182</v>
      </c>
      <c r="P349">
        <v>46.3</v>
      </c>
      <c r="Q349" t="s">
        <v>1958</v>
      </c>
      <c r="R349" t="s">
        <v>21</v>
      </c>
      <c r="S349" t="s">
        <v>22</v>
      </c>
      <c r="T349">
        <f t="shared" si="5"/>
        <v>250558.70000000013</v>
      </c>
    </row>
    <row r="350" spans="1:20" x14ac:dyDescent="0.25">
      <c r="A350" t="s">
        <v>1504</v>
      </c>
      <c r="B350" t="s">
        <v>137</v>
      </c>
      <c r="C350">
        <v>2</v>
      </c>
      <c r="D350">
        <v>55936</v>
      </c>
      <c r="E350" t="s">
        <v>2157</v>
      </c>
      <c r="F350" t="s">
        <v>166</v>
      </c>
      <c r="G350" s="31">
        <v>0.75849999999999995</v>
      </c>
      <c r="H350" s="31">
        <v>0.80449999999999999</v>
      </c>
      <c r="I350" t="s">
        <v>1954</v>
      </c>
      <c r="J350" t="s">
        <v>1954</v>
      </c>
      <c r="K350">
        <v>56115.999000000003</v>
      </c>
      <c r="L350">
        <v>562520</v>
      </c>
      <c r="M350" s="32">
        <v>10.0242</v>
      </c>
      <c r="N350" t="s">
        <v>141</v>
      </c>
      <c r="O350" t="s">
        <v>2158</v>
      </c>
      <c r="P350">
        <v>180.7</v>
      </c>
      <c r="Q350" t="s">
        <v>1958</v>
      </c>
      <c r="R350" t="s">
        <v>21</v>
      </c>
      <c r="S350" t="s">
        <v>22</v>
      </c>
      <c r="T350">
        <f t="shared" si="5"/>
        <v>250739.40000000014</v>
      </c>
    </row>
    <row r="351" spans="1:20" x14ac:dyDescent="0.25">
      <c r="A351" t="s">
        <v>1507</v>
      </c>
      <c r="B351" t="s">
        <v>137</v>
      </c>
      <c r="C351">
        <v>2</v>
      </c>
      <c r="D351">
        <v>55936</v>
      </c>
      <c r="E351" t="s">
        <v>2157</v>
      </c>
      <c r="F351" t="s">
        <v>166</v>
      </c>
      <c r="G351" s="31">
        <v>0.75849999999999995</v>
      </c>
      <c r="H351" s="31">
        <v>0.80449999999999999</v>
      </c>
      <c r="I351" t="s">
        <v>1954</v>
      </c>
      <c r="J351" t="s">
        <v>1954</v>
      </c>
      <c r="K351">
        <v>56115.999000000003</v>
      </c>
      <c r="L351">
        <v>562520</v>
      </c>
      <c r="M351" s="32">
        <v>10.0242</v>
      </c>
      <c r="N351" t="s">
        <v>141</v>
      </c>
      <c r="O351" t="s">
        <v>2158</v>
      </c>
      <c r="P351">
        <v>180.7</v>
      </c>
      <c r="Q351" t="s">
        <v>1958</v>
      </c>
      <c r="R351" t="s">
        <v>21</v>
      </c>
      <c r="S351" t="s">
        <v>22</v>
      </c>
      <c r="T351">
        <f t="shared" si="5"/>
        <v>250920.10000000015</v>
      </c>
    </row>
    <row r="352" spans="1:20" x14ac:dyDescent="0.25">
      <c r="A352" t="s">
        <v>1508</v>
      </c>
      <c r="B352" t="s">
        <v>137</v>
      </c>
      <c r="C352">
        <v>2</v>
      </c>
      <c r="D352">
        <v>55936</v>
      </c>
      <c r="E352" t="s">
        <v>2157</v>
      </c>
      <c r="F352" t="s">
        <v>166</v>
      </c>
      <c r="G352" s="31">
        <v>0.75849999999999995</v>
      </c>
      <c r="H352" s="31">
        <v>0.80449999999999999</v>
      </c>
      <c r="I352" t="s">
        <v>1954</v>
      </c>
      <c r="J352" t="s">
        <v>1954</v>
      </c>
      <c r="K352">
        <v>56115.999000000003</v>
      </c>
      <c r="L352">
        <v>562520</v>
      </c>
      <c r="M352" s="32">
        <v>10.0242</v>
      </c>
      <c r="N352" t="s">
        <v>141</v>
      </c>
      <c r="O352" t="s">
        <v>2158</v>
      </c>
      <c r="P352">
        <v>180.7</v>
      </c>
      <c r="Q352" t="s">
        <v>1958</v>
      </c>
      <c r="R352" t="s">
        <v>21</v>
      </c>
      <c r="S352" t="s">
        <v>22</v>
      </c>
      <c r="T352">
        <f t="shared" si="5"/>
        <v>251100.80000000016</v>
      </c>
    </row>
    <row r="353" spans="1:20" x14ac:dyDescent="0.25">
      <c r="A353" t="s">
        <v>1328</v>
      </c>
      <c r="B353" t="s">
        <v>109</v>
      </c>
      <c r="C353">
        <v>3</v>
      </c>
      <c r="D353">
        <v>1073</v>
      </c>
      <c r="E353" t="s">
        <v>2134</v>
      </c>
      <c r="F353" t="s">
        <v>2032</v>
      </c>
      <c r="G353" s="31">
        <v>0.4163</v>
      </c>
      <c r="H353" s="31">
        <v>0.34429999999999999</v>
      </c>
      <c r="I353" t="s">
        <v>1954</v>
      </c>
      <c r="J353" t="s">
        <v>1954</v>
      </c>
      <c r="K353">
        <v>63213.432999999997</v>
      </c>
      <c r="L353">
        <v>634518</v>
      </c>
      <c r="M353" s="32">
        <v>10.037699999999999</v>
      </c>
      <c r="N353" t="s">
        <v>1018</v>
      </c>
      <c r="O353" t="s">
        <v>1753</v>
      </c>
      <c r="P353">
        <v>29.3</v>
      </c>
      <c r="Q353" t="s">
        <v>1958</v>
      </c>
      <c r="R353" t="s">
        <v>21</v>
      </c>
      <c r="S353" t="s">
        <v>22</v>
      </c>
      <c r="T353">
        <f t="shared" si="5"/>
        <v>251130.10000000015</v>
      </c>
    </row>
    <row r="354" spans="1:20" x14ac:dyDescent="0.25">
      <c r="A354" t="s">
        <v>380</v>
      </c>
      <c r="B354" t="s">
        <v>109</v>
      </c>
      <c r="C354">
        <v>1</v>
      </c>
      <c r="D354">
        <v>2828</v>
      </c>
      <c r="E354" t="s">
        <v>381</v>
      </c>
      <c r="F354" t="s">
        <v>322</v>
      </c>
      <c r="G354" s="31">
        <v>1</v>
      </c>
      <c r="H354" s="31">
        <v>1</v>
      </c>
      <c r="I354" t="s">
        <v>1954</v>
      </c>
      <c r="J354" t="s">
        <v>1954</v>
      </c>
      <c r="K354">
        <v>10783073.029999999</v>
      </c>
      <c r="L354">
        <v>108591428</v>
      </c>
      <c r="M354" s="32">
        <v>10.070499999999999</v>
      </c>
      <c r="N354" t="s">
        <v>116</v>
      </c>
      <c r="O354" t="s">
        <v>119</v>
      </c>
      <c r="P354">
        <v>1790</v>
      </c>
      <c r="Q354" s="33" t="s">
        <v>1955</v>
      </c>
      <c r="R354" t="s">
        <v>21</v>
      </c>
      <c r="S354" t="s">
        <v>22</v>
      </c>
      <c r="T354">
        <f t="shared" si="5"/>
        <v>252920.10000000015</v>
      </c>
    </row>
    <row r="355" spans="1:20" x14ac:dyDescent="0.25">
      <c r="A355" t="s">
        <v>382</v>
      </c>
      <c r="B355" t="s">
        <v>109</v>
      </c>
      <c r="C355">
        <v>1</v>
      </c>
      <c r="D355">
        <v>2828</v>
      </c>
      <c r="E355" t="s">
        <v>381</v>
      </c>
      <c r="F355" t="s">
        <v>322</v>
      </c>
      <c r="G355" s="31">
        <v>1</v>
      </c>
      <c r="H355" s="31">
        <v>1</v>
      </c>
      <c r="I355" t="s">
        <v>1954</v>
      </c>
      <c r="J355" t="s">
        <v>1954</v>
      </c>
      <c r="K355">
        <v>10783073.029999999</v>
      </c>
      <c r="L355">
        <v>108591428</v>
      </c>
      <c r="M355" s="32">
        <v>10.070499999999999</v>
      </c>
      <c r="N355" t="s">
        <v>116</v>
      </c>
      <c r="O355" t="s">
        <v>119</v>
      </c>
      <c r="P355">
        <v>1790</v>
      </c>
      <c r="Q355" s="33" t="s">
        <v>1955</v>
      </c>
      <c r="R355" t="s">
        <v>21</v>
      </c>
      <c r="S355" t="s">
        <v>22</v>
      </c>
      <c r="T355">
        <f t="shared" si="5"/>
        <v>254710.10000000015</v>
      </c>
    </row>
    <row r="356" spans="1:20" x14ac:dyDescent="0.25">
      <c r="A356" t="s">
        <v>383</v>
      </c>
      <c r="B356" t="s">
        <v>109</v>
      </c>
      <c r="C356">
        <v>1</v>
      </c>
      <c r="D356">
        <v>2828</v>
      </c>
      <c r="E356" t="s">
        <v>381</v>
      </c>
      <c r="F356" t="s">
        <v>322</v>
      </c>
      <c r="G356" s="31">
        <v>1</v>
      </c>
      <c r="H356" s="31">
        <v>1</v>
      </c>
      <c r="I356" t="s">
        <v>1954</v>
      </c>
      <c r="J356" t="s">
        <v>1954</v>
      </c>
      <c r="K356">
        <v>10783073.029999999</v>
      </c>
      <c r="L356">
        <v>108591428</v>
      </c>
      <c r="M356" s="32">
        <v>10.070499999999999</v>
      </c>
      <c r="N356" t="s">
        <v>116</v>
      </c>
      <c r="O356" t="s">
        <v>119</v>
      </c>
      <c r="P356">
        <v>1790</v>
      </c>
      <c r="Q356" s="33" t="s">
        <v>1955</v>
      </c>
      <c r="R356" t="s">
        <v>21</v>
      </c>
      <c r="S356" t="s">
        <v>22</v>
      </c>
      <c r="T356">
        <f t="shared" si="5"/>
        <v>256500.10000000015</v>
      </c>
    </row>
    <row r="357" spans="1:20" x14ac:dyDescent="0.25">
      <c r="A357" t="s">
        <v>369</v>
      </c>
      <c r="B357" t="s">
        <v>189</v>
      </c>
      <c r="C357">
        <v>2</v>
      </c>
      <c r="D357">
        <v>6071</v>
      </c>
      <c r="E357" t="s">
        <v>1989</v>
      </c>
      <c r="F357" t="s">
        <v>266</v>
      </c>
      <c r="G357" s="31">
        <v>0.3896</v>
      </c>
      <c r="H357" s="31">
        <v>0.43559999999999999</v>
      </c>
      <c r="I357" t="s">
        <v>1954</v>
      </c>
      <c r="J357" t="s">
        <v>1954</v>
      </c>
      <c r="K357">
        <v>7897091.0089999996</v>
      </c>
      <c r="L357">
        <v>80025928</v>
      </c>
      <c r="M357" s="32">
        <v>10.133599999999999</v>
      </c>
      <c r="N357" t="s">
        <v>1990</v>
      </c>
      <c r="O357" t="s">
        <v>308</v>
      </c>
      <c r="P357">
        <v>1225</v>
      </c>
      <c r="Q357" t="s">
        <v>1958</v>
      </c>
      <c r="R357" t="s">
        <v>21</v>
      </c>
      <c r="S357" t="s">
        <v>22</v>
      </c>
      <c r="T357">
        <f t="shared" si="5"/>
        <v>257725.10000000015</v>
      </c>
    </row>
    <row r="358" spans="1:20" x14ac:dyDescent="0.25">
      <c r="A358" t="s">
        <v>820</v>
      </c>
      <c r="B358" t="s">
        <v>189</v>
      </c>
      <c r="C358">
        <v>1</v>
      </c>
      <c r="D358">
        <v>6071</v>
      </c>
      <c r="E358" t="s">
        <v>1989</v>
      </c>
      <c r="F358" t="s">
        <v>266</v>
      </c>
      <c r="G358" s="31">
        <v>0.40089999999999998</v>
      </c>
      <c r="H358" s="31">
        <v>0.44690000000000002</v>
      </c>
      <c r="I358" t="s">
        <v>1954</v>
      </c>
      <c r="J358" t="s">
        <v>1954</v>
      </c>
      <c r="K358">
        <v>7897091.0089999996</v>
      </c>
      <c r="L358">
        <v>80025928</v>
      </c>
      <c r="M358" s="32">
        <v>10.133599999999999</v>
      </c>
      <c r="N358" t="s">
        <v>1990</v>
      </c>
      <c r="O358" t="s">
        <v>308</v>
      </c>
      <c r="P358">
        <v>1225</v>
      </c>
      <c r="Q358" t="s">
        <v>1958</v>
      </c>
      <c r="R358" t="s">
        <v>21</v>
      </c>
      <c r="S358" t="s">
        <v>22</v>
      </c>
      <c r="T358">
        <f t="shared" si="5"/>
        <v>258950.10000000015</v>
      </c>
    </row>
    <row r="359" spans="1:20" x14ac:dyDescent="0.25">
      <c r="A359" t="s">
        <v>1051</v>
      </c>
      <c r="B359" t="s">
        <v>189</v>
      </c>
      <c r="C359">
        <v>1</v>
      </c>
      <c r="D359">
        <v>6071</v>
      </c>
      <c r="E359" t="s">
        <v>1989</v>
      </c>
      <c r="F359" t="s">
        <v>266</v>
      </c>
      <c r="G359" s="31">
        <v>0.40360000000000001</v>
      </c>
      <c r="H359" s="31">
        <v>0.4496</v>
      </c>
      <c r="I359" t="s">
        <v>1954</v>
      </c>
      <c r="J359" t="s">
        <v>1954</v>
      </c>
      <c r="K359">
        <v>7897091.0089999996</v>
      </c>
      <c r="L359">
        <v>80025928</v>
      </c>
      <c r="M359" s="32">
        <v>10.133599999999999</v>
      </c>
      <c r="N359" t="s">
        <v>1990</v>
      </c>
      <c r="O359" t="s">
        <v>308</v>
      </c>
      <c r="P359">
        <v>1225</v>
      </c>
      <c r="Q359" t="s">
        <v>1958</v>
      </c>
      <c r="R359" t="s">
        <v>21</v>
      </c>
      <c r="S359" t="s">
        <v>22</v>
      </c>
      <c r="T359">
        <f t="shared" si="5"/>
        <v>260175.10000000015</v>
      </c>
    </row>
    <row r="360" spans="1:20" x14ac:dyDescent="0.25">
      <c r="A360" t="s">
        <v>1846</v>
      </c>
      <c r="B360" t="s">
        <v>189</v>
      </c>
      <c r="C360">
        <v>2</v>
      </c>
      <c r="D360">
        <v>6071</v>
      </c>
      <c r="E360" t="s">
        <v>1989</v>
      </c>
      <c r="F360" t="s">
        <v>266</v>
      </c>
      <c r="G360" s="31">
        <v>0.40760000000000002</v>
      </c>
      <c r="H360" s="31">
        <v>0.4536</v>
      </c>
      <c r="I360" t="s">
        <v>1954</v>
      </c>
      <c r="J360" t="s">
        <v>1954</v>
      </c>
      <c r="K360">
        <v>7897091.0089999996</v>
      </c>
      <c r="L360">
        <v>80025928</v>
      </c>
      <c r="M360" s="32">
        <v>10.133599999999999</v>
      </c>
      <c r="N360" t="s">
        <v>1990</v>
      </c>
      <c r="O360" t="s">
        <v>308</v>
      </c>
      <c r="P360">
        <v>1225</v>
      </c>
      <c r="Q360" t="s">
        <v>1958</v>
      </c>
      <c r="R360" t="s">
        <v>21</v>
      </c>
      <c r="S360" t="s">
        <v>22</v>
      </c>
      <c r="T360">
        <f t="shared" si="5"/>
        <v>261400.10000000015</v>
      </c>
    </row>
    <row r="361" spans="1:20" x14ac:dyDescent="0.25">
      <c r="A361" t="s">
        <v>1630</v>
      </c>
      <c r="B361" t="s">
        <v>189</v>
      </c>
      <c r="C361">
        <v>1</v>
      </c>
      <c r="D361">
        <v>54081</v>
      </c>
      <c r="E361" t="s">
        <v>2174</v>
      </c>
      <c r="F361" t="s">
        <v>201</v>
      </c>
      <c r="G361" s="31">
        <v>0.48299999999999998</v>
      </c>
      <c r="H361" s="31">
        <v>0.52900000000000003</v>
      </c>
      <c r="I361" t="s">
        <v>1954</v>
      </c>
      <c r="J361" t="s">
        <v>1954</v>
      </c>
      <c r="K361">
        <v>66468.22</v>
      </c>
      <c r="L361">
        <v>674063</v>
      </c>
      <c r="M361" s="32">
        <v>10.1411</v>
      </c>
      <c r="N361" t="s">
        <v>265</v>
      </c>
      <c r="O361" t="s">
        <v>478</v>
      </c>
      <c r="P361">
        <v>55</v>
      </c>
      <c r="Q361" t="s">
        <v>1958</v>
      </c>
      <c r="R361" t="s">
        <v>21</v>
      </c>
      <c r="S361" t="s">
        <v>22</v>
      </c>
      <c r="T361">
        <f t="shared" si="5"/>
        <v>261455.10000000015</v>
      </c>
    </row>
    <row r="362" spans="1:20" x14ac:dyDescent="0.25">
      <c r="A362" t="s">
        <v>1201</v>
      </c>
      <c r="B362" t="s">
        <v>189</v>
      </c>
      <c r="C362">
        <v>1</v>
      </c>
      <c r="D362">
        <v>3149</v>
      </c>
      <c r="E362" t="s">
        <v>1202</v>
      </c>
      <c r="F362" t="s">
        <v>143</v>
      </c>
      <c r="G362" s="31">
        <v>0.81189999999999996</v>
      </c>
      <c r="H362" s="31">
        <v>0.8579</v>
      </c>
      <c r="I362" t="s">
        <v>1954</v>
      </c>
      <c r="J362" t="s">
        <v>1954</v>
      </c>
      <c r="K362">
        <v>4717153.0089999996</v>
      </c>
      <c r="L362">
        <v>47938867</v>
      </c>
      <c r="M362" s="32">
        <v>10.162699999999999</v>
      </c>
      <c r="N362" t="s">
        <v>1203</v>
      </c>
      <c r="O362" t="s">
        <v>308</v>
      </c>
      <c r="P362">
        <v>1504</v>
      </c>
      <c r="Q362" s="33" t="s">
        <v>1955</v>
      </c>
      <c r="R362" t="s">
        <v>21</v>
      </c>
      <c r="S362" t="s">
        <v>22</v>
      </c>
      <c r="T362">
        <f t="shared" si="5"/>
        <v>262959.10000000015</v>
      </c>
    </row>
    <row r="363" spans="1:20" x14ac:dyDescent="0.25">
      <c r="A363" t="s">
        <v>1204</v>
      </c>
      <c r="B363" t="s">
        <v>189</v>
      </c>
      <c r="C363">
        <v>1</v>
      </c>
      <c r="D363">
        <v>3149</v>
      </c>
      <c r="E363" t="s">
        <v>1202</v>
      </c>
      <c r="F363" t="s">
        <v>143</v>
      </c>
      <c r="G363" s="31">
        <v>0.81189999999999996</v>
      </c>
      <c r="H363" s="31">
        <v>0.8579</v>
      </c>
      <c r="I363" t="s">
        <v>1954</v>
      </c>
      <c r="J363" t="s">
        <v>1954</v>
      </c>
      <c r="K363">
        <v>4717153.0089999996</v>
      </c>
      <c r="L363">
        <v>47938867</v>
      </c>
      <c r="M363" s="32">
        <v>10.162699999999999</v>
      </c>
      <c r="N363" t="s">
        <v>1203</v>
      </c>
      <c r="O363" t="s">
        <v>308</v>
      </c>
      <c r="P363">
        <v>1504</v>
      </c>
      <c r="Q363" s="33" t="s">
        <v>1955</v>
      </c>
      <c r="R363" t="s">
        <v>21</v>
      </c>
      <c r="S363" t="s">
        <v>22</v>
      </c>
      <c r="T363">
        <f t="shared" si="5"/>
        <v>264463.10000000015</v>
      </c>
    </row>
    <row r="364" spans="1:20" x14ac:dyDescent="0.25">
      <c r="A364" t="s">
        <v>750</v>
      </c>
      <c r="B364" t="s">
        <v>109</v>
      </c>
      <c r="C364">
        <v>1</v>
      </c>
      <c r="D364">
        <v>3943</v>
      </c>
      <c r="E364" t="s">
        <v>751</v>
      </c>
      <c r="F364" t="s">
        <v>118</v>
      </c>
      <c r="G364" s="31">
        <v>0.86650000000000005</v>
      </c>
      <c r="H364" s="31">
        <v>0.91249999999999998</v>
      </c>
      <c r="I364" t="s">
        <v>1954</v>
      </c>
      <c r="J364" t="s">
        <v>1954</v>
      </c>
      <c r="K364">
        <v>6111202.4100000001</v>
      </c>
      <c r="L364">
        <v>62428903</v>
      </c>
      <c r="M364" s="32">
        <v>10.2155</v>
      </c>
      <c r="N364" t="s">
        <v>116</v>
      </c>
      <c r="O364" t="s">
        <v>308</v>
      </c>
      <c r="P364">
        <v>1098</v>
      </c>
      <c r="Q364" s="33" t="s">
        <v>1955</v>
      </c>
      <c r="R364" t="s">
        <v>21</v>
      </c>
      <c r="S364" t="s">
        <v>22</v>
      </c>
      <c r="T364">
        <f t="shared" si="5"/>
        <v>265561.10000000015</v>
      </c>
    </row>
    <row r="365" spans="1:20" x14ac:dyDescent="0.25">
      <c r="A365" t="s">
        <v>752</v>
      </c>
      <c r="B365" t="s">
        <v>109</v>
      </c>
      <c r="C365">
        <v>1</v>
      </c>
      <c r="D365">
        <v>3943</v>
      </c>
      <c r="E365" t="s">
        <v>751</v>
      </c>
      <c r="F365" t="s">
        <v>118</v>
      </c>
      <c r="G365" s="31">
        <v>0.86650000000000005</v>
      </c>
      <c r="H365" s="31">
        <v>0.91249999999999998</v>
      </c>
      <c r="I365" t="s">
        <v>1954</v>
      </c>
      <c r="J365" t="s">
        <v>1954</v>
      </c>
      <c r="K365">
        <v>6111202.4100000001</v>
      </c>
      <c r="L365">
        <v>62428903</v>
      </c>
      <c r="M365" s="32">
        <v>10.2155</v>
      </c>
      <c r="N365" t="s">
        <v>116</v>
      </c>
      <c r="O365" t="s">
        <v>308</v>
      </c>
      <c r="P365">
        <v>1098</v>
      </c>
      <c r="Q365" s="33" t="s">
        <v>1955</v>
      </c>
      <c r="R365" t="s">
        <v>21</v>
      </c>
      <c r="S365" t="s">
        <v>22</v>
      </c>
      <c r="T365">
        <f t="shared" si="5"/>
        <v>266659.10000000015</v>
      </c>
    </row>
    <row r="366" spans="1:20" x14ac:dyDescent="0.25">
      <c r="A366" t="s">
        <v>1165</v>
      </c>
      <c r="B366" t="s">
        <v>109</v>
      </c>
      <c r="C366">
        <v>2</v>
      </c>
      <c r="D366">
        <v>3943</v>
      </c>
      <c r="E366" t="s">
        <v>751</v>
      </c>
      <c r="F366" t="s">
        <v>118</v>
      </c>
      <c r="G366" s="31">
        <v>0.45140000000000002</v>
      </c>
      <c r="H366" s="31">
        <v>0.49740000000000001</v>
      </c>
      <c r="I366" t="s">
        <v>1954</v>
      </c>
      <c r="J366" t="s">
        <v>1954</v>
      </c>
      <c r="K366">
        <v>6111202.4100000001</v>
      </c>
      <c r="L366">
        <v>62428903</v>
      </c>
      <c r="M366" s="32">
        <v>10.2155</v>
      </c>
      <c r="N366" t="s">
        <v>116</v>
      </c>
      <c r="O366" t="s">
        <v>308</v>
      </c>
      <c r="P366">
        <v>1098</v>
      </c>
      <c r="Q366" t="s">
        <v>1958</v>
      </c>
      <c r="R366" t="s">
        <v>21</v>
      </c>
      <c r="S366" t="s">
        <v>22</v>
      </c>
      <c r="T366">
        <f t="shared" si="5"/>
        <v>267757.10000000015</v>
      </c>
    </row>
    <row r="367" spans="1:20" x14ac:dyDescent="0.25">
      <c r="A367" t="s">
        <v>1168</v>
      </c>
      <c r="B367" t="s">
        <v>109</v>
      </c>
      <c r="C367">
        <v>2</v>
      </c>
      <c r="D367">
        <v>3943</v>
      </c>
      <c r="E367" t="s">
        <v>751</v>
      </c>
      <c r="F367" t="s">
        <v>118</v>
      </c>
      <c r="G367" s="31">
        <v>0.45140000000000002</v>
      </c>
      <c r="H367" s="31">
        <v>0.49740000000000001</v>
      </c>
      <c r="I367" t="s">
        <v>1954</v>
      </c>
      <c r="J367" t="s">
        <v>1954</v>
      </c>
      <c r="K367">
        <v>6111202.4100000001</v>
      </c>
      <c r="L367">
        <v>62428903</v>
      </c>
      <c r="M367" s="32">
        <v>10.2155</v>
      </c>
      <c r="N367" t="s">
        <v>116</v>
      </c>
      <c r="O367" t="s">
        <v>308</v>
      </c>
      <c r="P367">
        <v>1098</v>
      </c>
      <c r="Q367" t="s">
        <v>1958</v>
      </c>
      <c r="R367" t="s">
        <v>21</v>
      </c>
      <c r="S367" t="s">
        <v>22</v>
      </c>
      <c r="T367">
        <f t="shared" si="5"/>
        <v>268855.10000000015</v>
      </c>
    </row>
    <row r="368" spans="1:20" x14ac:dyDescent="0.25">
      <c r="A368" t="s">
        <v>1305</v>
      </c>
      <c r="B368" t="s">
        <v>189</v>
      </c>
      <c r="C368">
        <v>1</v>
      </c>
      <c r="D368">
        <v>3943</v>
      </c>
      <c r="E368" t="s">
        <v>751</v>
      </c>
      <c r="F368" t="s">
        <v>118</v>
      </c>
      <c r="G368" s="31">
        <v>0.43669999999999998</v>
      </c>
      <c r="H368" s="31">
        <v>0.48270000000000002</v>
      </c>
      <c r="I368" t="s">
        <v>1954</v>
      </c>
      <c r="J368" t="s">
        <v>1954</v>
      </c>
      <c r="K368">
        <v>6131291.0159999998</v>
      </c>
      <c r="L368">
        <v>62636378</v>
      </c>
      <c r="M368" s="32">
        <v>10.2159</v>
      </c>
      <c r="N368" t="s">
        <v>2011</v>
      </c>
      <c r="O368" t="s">
        <v>308</v>
      </c>
      <c r="P368">
        <v>1098</v>
      </c>
      <c r="Q368" t="s">
        <v>1958</v>
      </c>
      <c r="R368" t="s">
        <v>21</v>
      </c>
      <c r="S368" t="s">
        <v>22</v>
      </c>
      <c r="T368">
        <f t="shared" si="5"/>
        <v>269953.10000000015</v>
      </c>
    </row>
    <row r="369" spans="1:20" x14ac:dyDescent="0.25">
      <c r="A369" t="s">
        <v>451</v>
      </c>
      <c r="B369" t="s">
        <v>137</v>
      </c>
      <c r="C369">
        <v>1</v>
      </c>
      <c r="D369">
        <v>58235</v>
      </c>
      <c r="E369" t="s">
        <v>452</v>
      </c>
      <c r="F369" t="s">
        <v>241</v>
      </c>
      <c r="G369" s="31">
        <v>1</v>
      </c>
      <c r="H369" s="31">
        <v>1</v>
      </c>
      <c r="I369" t="s">
        <v>1954</v>
      </c>
      <c r="J369" t="s">
        <v>1954</v>
      </c>
      <c r="K369">
        <v>70157.998000000007</v>
      </c>
      <c r="L369">
        <v>717748</v>
      </c>
      <c r="M369" s="32">
        <v>10.230499999999999</v>
      </c>
      <c r="N369" t="s">
        <v>141</v>
      </c>
      <c r="O369" t="s">
        <v>267</v>
      </c>
      <c r="P369">
        <v>55</v>
      </c>
      <c r="Q369" s="33" t="s">
        <v>1955</v>
      </c>
      <c r="R369" t="s">
        <v>21</v>
      </c>
      <c r="S369" t="s">
        <v>22</v>
      </c>
      <c r="T369">
        <f t="shared" si="5"/>
        <v>270008.10000000015</v>
      </c>
    </row>
    <row r="370" spans="1:20" x14ac:dyDescent="0.25">
      <c r="A370" t="s">
        <v>1850</v>
      </c>
      <c r="B370" t="s">
        <v>137</v>
      </c>
      <c r="C370">
        <v>3</v>
      </c>
      <c r="D370">
        <v>56143</v>
      </c>
      <c r="E370" t="s">
        <v>2207</v>
      </c>
      <c r="F370" t="s">
        <v>1969</v>
      </c>
      <c r="G370" s="31">
        <v>0.51449999999999996</v>
      </c>
      <c r="H370" s="31">
        <v>0.4425</v>
      </c>
      <c r="I370" t="s">
        <v>1954</v>
      </c>
      <c r="J370" t="s">
        <v>1954</v>
      </c>
      <c r="K370">
        <v>16843.999</v>
      </c>
      <c r="L370">
        <v>172325</v>
      </c>
      <c r="M370" s="32">
        <v>10.230600000000001</v>
      </c>
      <c r="N370" t="s">
        <v>141</v>
      </c>
      <c r="O370" t="s">
        <v>567</v>
      </c>
      <c r="P370">
        <v>196</v>
      </c>
      <c r="Q370" t="s">
        <v>1958</v>
      </c>
      <c r="R370" t="s">
        <v>21</v>
      </c>
      <c r="S370" t="s">
        <v>22</v>
      </c>
      <c r="T370">
        <f t="shared" si="5"/>
        <v>270204.10000000015</v>
      </c>
    </row>
    <row r="371" spans="1:20" x14ac:dyDescent="0.25">
      <c r="A371" t="s">
        <v>1853</v>
      </c>
      <c r="B371" t="s">
        <v>137</v>
      </c>
      <c r="C371">
        <v>3</v>
      </c>
      <c r="D371">
        <v>56143</v>
      </c>
      <c r="E371" t="s">
        <v>2207</v>
      </c>
      <c r="F371" t="s">
        <v>1969</v>
      </c>
      <c r="G371" s="31">
        <v>0.51449999999999996</v>
      </c>
      <c r="H371" s="31">
        <v>0.4425</v>
      </c>
      <c r="I371" t="s">
        <v>1954</v>
      </c>
      <c r="J371" t="s">
        <v>1954</v>
      </c>
      <c r="K371">
        <v>16843.999</v>
      </c>
      <c r="L371">
        <v>172325</v>
      </c>
      <c r="M371" s="32">
        <v>10.230600000000001</v>
      </c>
      <c r="N371" t="s">
        <v>141</v>
      </c>
      <c r="O371" t="s">
        <v>567</v>
      </c>
      <c r="P371">
        <v>196</v>
      </c>
      <c r="Q371" t="s">
        <v>1958</v>
      </c>
      <c r="R371" t="s">
        <v>21</v>
      </c>
      <c r="S371" t="s">
        <v>22</v>
      </c>
      <c r="T371">
        <f t="shared" si="5"/>
        <v>270400.10000000015</v>
      </c>
    </row>
    <row r="372" spans="1:20" x14ac:dyDescent="0.25">
      <c r="A372" t="s">
        <v>1854</v>
      </c>
      <c r="B372" t="s">
        <v>137</v>
      </c>
      <c r="C372">
        <v>3</v>
      </c>
      <c r="D372">
        <v>56143</v>
      </c>
      <c r="E372" t="s">
        <v>2207</v>
      </c>
      <c r="F372" t="s">
        <v>1969</v>
      </c>
      <c r="G372" s="31">
        <v>0.51449999999999996</v>
      </c>
      <c r="H372" s="31">
        <v>0.4425</v>
      </c>
      <c r="I372" t="s">
        <v>1954</v>
      </c>
      <c r="J372" t="s">
        <v>1954</v>
      </c>
      <c r="K372">
        <v>16843.999</v>
      </c>
      <c r="L372">
        <v>172325</v>
      </c>
      <c r="M372" s="32">
        <v>10.230600000000001</v>
      </c>
      <c r="N372" t="s">
        <v>141</v>
      </c>
      <c r="O372" t="s">
        <v>567</v>
      </c>
      <c r="P372">
        <v>196</v>
      </c>
      <c r="Q372" t="s">
        <v>1958</v>
      </c>
      <c r="R372" t="s">
        <v>21</v>
      </c>
      <c r="S372" t="s">
        <v>22</v>
      </c>
      <c r="T372">
        <f t="shared" si="5"/>
        <v>270596.10000000015</v>
      </c>
    </row>
    <row r="373" spans="1:20" x14ac:dyDescent="0.25">
      <c r="A373" t="s">
        <v>404</v>
      </c>
      <c r="B373" t="s">
        <v>189</v>
      </c>
      <c r="C373">
        <v>3</v>
      </c>
      <c r="D373">
        <v>2625</v>
      </c>
      <c r="E373" t="s">
        <v>2004</v>
      </c>
      <c r="F373" t="s">
        <v>1789</v>
      </c>
      <c r="G373" s="31">
        <v>0.51500000000000001</v>
      </c>
      <c r="H373" s="31">
        <v>0.443</v>
      </c>
      <c r="I373" t="s">
        <v>1954</v>
      </c>
      <c r="J373" t="s">
        <v>1954</v>
      </c>
      <c r="K373">
        <v>1959440.004</v>
      </c>
      <c r="L373">
        <v>20062043</v>
      </c>
      <c r="M373" s="32">
        <v>10.2387</v>
      </c>
      <c r="N373" t="s">
        <v>2005</v>
      </c>
      <c r="O373" t="s">
        <v>308</v>
      </c>
      <c r="P373">
        <v>1159.5999999999999</v>
      </c>
      <c r="Q373" t="s">
        <v>1958</v>
      </c>
      <c r="R373" t="s">
        <v>21</v>
      </c>
      <c r="S373" t="s">
        <v>22</v>
      </c>
      <c r="T373">
        <f t="shared" si="5"/>
        <v>271755.70000000013</v>
      </c>
    </row>
    <row r="374" spans="1:20" x14ac:dyDescent="0.25">
      <c r="A374" t="s">
        <v>408</v>
      </c>
      <c r="B374" t="s">
        <v>189</v>
      </c>
      <c r="C374">
        <v>3</v>
      </c>
      <c r="D374">
        <v>2625</v>
      </c>
      <c r="E374" t="s">
        <v>2004</v>
      </c>
      <c r="F374" t="s">
        <v>1789</v>
      </c>
      <c r="G374" s="31">
        <v>0.51500000000000001</v>
      </c>
      <c r="H374" s="31">
        <v>0.443</v>
      </c>
      <c r="I374" t="s">
        <v>1954</v>
      </c>
      <c r="J374" t="s">
        <v>1954</v>
      </c>
      <c r="K374">
        <v>1959440.004</v>
      </c>
      <c r="L374">
        <v>20062043</v>
      </c>
      <c r="M374" s="32">
        <v>10.2387</v>
      </c>
      <c r="N374" t="s">
        <v>2005</v>
      </c>
      <c r="O374" t="s">
        <v>308</v>
      </c>
      <c r="P374">
        <v>1159.5999999999999</v>
      </c>
      <c r="Q374" t="s">
        <v>1958</v>
      </c>
      <c r="R374" t="s">
        <v>21</v>
      </c>
      <c r="S374" t="s">
        <v>22</v>
      </c>
      <c r="T374">
        <f t="shared" si="5"/>
        <v>272915.3000000001</v>
      </c>
    </row>
    <row r="375" spans="1:20" x14ac:dyDescent="0.25">
      <c r="A375" t="s">
        <v>889</v>
      </c>
      <c r="B375" t="s">
        <v>137</v>
      </c>
      <c r="C375">
        <v>3</v>
      </c>
      <c r="D375">
        <v>55237</v>
      </c>
      <c r="E375" t="s">
        <v>2068</v>
      </c>
      <c r="F375" t="s">
        <v>166</v>
      </c>
      <c r="G375" s="31">
        <v>0.53</v>
      </c>
      <c r="H375" s="31">
        <v>0.57599999999999996</v>
      </c>
      <c r="I375" t="s">
        <v>1954</v>
      </c>
      <c r="J375" t="s">
        <v>1954</v>
      </c>
      <c r="K375">
        <v>183906.99900000001</v>
      </c>
      <c r="L375">
        <v>1884364</v>
      </c>
      <c r="M375" s="32">
        <v>10.2463</v>
      </c>
      <c r="N375" t="s">
        <v>141</v>
      </c>
      <c r="O375" t="s">
        <v>1088</v>
      </c>
      <c r="P375">
        <v>336</v>
      </c>
      <c r="Q375" t="s">
        <v>1958</v>
      </c>
      <c r="R375" t="s">
        <v>21</v>
      </c>
      <c r="S375" t="s">
        <v>22</v>
      </c>
      <c r="T375">
        <f t="shared" si="5"/>
        <v>273251.3000000001</v>
      </c>
    </row>
    <row r="376" spans="1:20" x14ac:dyDescent="0.25">
      <c r="A376" t="s">
        <v>1010</v>
      </c>
      <c r="B376" t="s">
        <v>109</v>
      </c>
      <c r="C376">
        <v>1</v>
      </c>
      <c r="D376">
        <v>3136</v>
      </c>
      <c r="E376" t="s">
        <v>1011</v>
      </c>
      <c r="F376" t="s">
        <v>143</v>
      </c>
      <c r="G376" s="31">
        <v>1</v>
      </c>
      <c r="H376" s="31">
        <v>1</v>
      </c>
      <c r="I376" t="s">
        <v>1954</v>
      </c>
      <c r="J376" t="s">
        <v>1954</v>
      </c>
      <c r="K376">
        <v>4597794</v>
      </c>
      <c r="L376">
        <v>47127336</v>
      </c>
      <c r="M376" s="32">
        <v>10.25</v>
      </c>
      <c r="N376" t="s">
        <v>116</v>
      </c>
      <c r="O376" t="s">
        <v>308</v>
      </c>
      <c r="P376">
        <v>1700</v>
      </c>
      <c r="Q376" s="33" t="s">
        <v>1955</v>
      </c>
      <c r="R376" t="s">
        <v>21</v>
      </c>
      <c r="S376" t="s">
        <v>22</v>
      </c>
      <c r="T376">
        <f t="shared" si="5"/>
        <v>274951.3000000001</v>
      </c>
    </row>
    <row r="377" spans="1:20" x14ac:dyDescent="0.25">
      <c r="A377" t="s">
        <v>1012</v>
      </c>
      <c r="B377" t="s">
        <v>109</v>
      </c>
      <c r="C377">
        <v>1</v>
      </c>
      <c r="D377">
        <v>3136</v>
      </c>
      <c r="E377" t="s">
        <v>1011</v>
      </c>
      <c r="F377" t="s">
        <v>143</v>
      </c>
      <c r="G377" s="31">
        <v>1</v>
      </c>
      <c r="H377" s="31">
        <v>1</v>
      </c>
      <c r="I377" t="s">
        <v>1954</v>
      </c>
      <c r="J377" t="s">
        <v>1954</v>
      </c>
      <c r="K377">
        <v>4597794</v>
      </c>
      <c r="L377">
        <v>47127336</v>
      </c>
      <c r="M377" s="32">
        <v>10.25</v>
      </c>
      <c r="N377" t="s">
        <v>116</v>
      </c>
      <c r="O377" t="s">
        <v>308</v>
      </c>
      <c r="P377">
        <v>1700</v>
      </c>
      <c r="Q377" s="33" t="s">
        <v>1955</v>
      </c>
      <c r="R377" t="s">
        <v>21</v>
      </c>
      <c r="S377" t="s">
        <v>22</v>
      </c>
      <c r="T377">
        <f t="shared" si="5"/>
        <v>276651.3000000001</v>
      </c>
    </row>
    <row r="378" spans="1:20" x14ac:dyDescent="0.25">
      <c r="A378" t="s">
        <v>263</v>
      </c>
      <c r="B378" t="s">
        <v>189</v>
      </c>
      <c r="C378">
        <v>1</v>
      </c>
      <c r="D378">
        <v>1353</v>
      </c>
      <c r="E378" t="s">
        <v>264</v>
      </c>
      <c r="F378" t="s">
        <v>266</v>
      </c>
      <c r="G378" s="31">
        <v>1</v>
      </c>
      <c r="H378" s="31">
        <v>1</v>
      </c>
      <c r="I378" t="s">
        <v>1954</v>
      </c>
      <c r="J378" t="s">
        <v>1954</v>
      </c>
      <c r="K378">
        <v>1206248</v>
      </c>
      <c r="L378">
        <v>12370172</v>
      </c>
      <c r="M378" s="32">
        <v>10.255100000000001</v>
      </c>
      <c r="N378" t="s">
        <v>265</v>
      </c>
      <c r="O378" t="s">
        <v>267</v>
      </c>
      <c r="P378">
        <v>260</v>
      </c>
      <c r="Q378" s="33" t="s">
        <v>1955</v>
      </c>
      <c r="R378" t="s">
        <v>21</v>
      </c>
      <c r="S378" t="s">
        <v>22</v>
      </c>
      <c r="T378">
        <f t="shared" si="5"/>
        <v>276911.3000000001</v>
      </c>
    </row>
    <row r="379" spans="1:20" x14ac:dyDescent="0.25">
      <c r="A379" t="s">
        <v>898</v>
      </c>
      <c r="B379" t="s">
        <v>109</v>
      </c>
      <c r="C379">
        <v>1</v>
      </c>
      <c r="D379">
        <v>3944</v>
      </c>
      <c r="E379" t="s">
        <v>899</v>
      </c>
      <c r="F379" t="s">
        <v>118</v>
      </c>
      <c r="G379" s="31">
        <v>0.81789999999999996</v>
      </c>
      <c r="H379" s="31">
        <v>0.8639</v>
      </c>
      <c r="I379" t="s">
        <v>1954</v>
      </c>
      <c r="J379" t="s">
        <v>1954</v>
      </c>
      <c r="K379">
        <v>10728794.27</v>
      </c>
      <c r="L379">
        <v>110215590</v>
      </c>
      <c r="M379" s="32">
        <v>10.2729</v>
      </c>
      <c r="N379" t="s">
        <v>116</v>
      </c>
      <c r="O379" t="s">
        <v>119</v>
      </c>
      <c r="P379">
        <v>1954</v>
      </c>
      <c r="Q379" s="33" t="s">
        <v>1955</v>
      </c>
      <c r="R379" t="s">
        <v>21</v>
      </c>
      <c r="S379" t="s">
        <v>22</v>
      </c>
      <c r="T379">
        <f t="shared" si="5"/>
        <v>278865.3000000001</v>
      </c>
    </row>
    <row r="380" spans="1:20" x14ac:dyDescent="0.25">
      <c r="A380" t="s">
        <v>314</v>
      </c>
      <c r="B380" t="s">
        <v>150</v>
      </c>
      <c r="C380">
        <v>3</v>
      </c>
      <c r="D380">
        <v>56895</v>
      </c>
      <c r="E380" t="s">
        <v>1968</v>
      </c>
      <c r="F380" t="s">
        <v>1969</v>
      </c>
      <c r="G380" s="31">
        <v>0.38040000000000002</v>
      </c>
      <c r="H380" s="31">
        <v>0.30840000000000001</v>
      </c>
      <c r="I380" t="s">
        <v>1954</v>
      </c>
      <c r="J380" t="s">
        <v>1954</v>
      </c>
      <c r="K380">
        <v>82097</v>
      </c>
      <c r="L380">
        <v>845325</v>
      </c>
      <c r="M380" s="32">
        <v>10.2967</v>
      </c>
      <c r="N380" t="s">
        <v>321</v>
      </c>
      <c r="O380" t="s">
        <v>459</v>
      </c>
      <c r="P380">
        <v>10.8</v>
      </c>
      <c r="Q380" t="s">
        <v>1958</v>
      </c>
      <c r="R380" t="s">
        <v>21</v>
      </c>
      <c r="S380" t="s">
        <v>22</v>
      </c>
      <c r="T380">
        <f t="shared" si="5"/>
        <v>278876.10000000009</v>
      </c>
    </row>
    <row r="381" spans="1:20" x14ac:dyDescent="0.25">
      <c r="A381" t="s">
        <v>1316</v>
      </c>
      <c r="B381" t="s">
        <v>244</v>
      </c>
      <c r="C381">
        <v>2</v>
      </c>
      <c r="D381">
        <v>54950</v>
      </c>
      <c r="E381" t="s">
        <v>2131</v>
      </c>
      <c r="F381" t="s">
        <v>1967</v>
      </c>
      <c r="G381" s="31">
        <v>0.76639999999999997</v>
      </c>
      <c r="H381" s="31">
        <v>0.69440000000000002</v>
      </c>
      <c r="I381" t="s">
        <v>1954</v>
      </c>
      <c r="J381" t="s">
        <v>1954</v>
      </c>
      <c r="K381">
        <v>410.31</v>
      </c>
      <c r="L381">
        <v>4231</v>
      </c>
      <c r="M381" s="32">
        <v>10.3117</v>
      </c>
      <c r="N381" t="s">
        <v>340</v>
      </c>
      <c r="O381" t="s">
        <v>2132</v>
      </c>
      <c r="P381">
        <v>9</v>
      </c>
      <c r="Q381" t="s">
        <v>1958</v>
      </c>
      <c r="R381" t="s">
        <v>21</v>
      </c>
      <c r="S381" t="s">
        <v>22</v>
      </c>
      <c r="T381">
        <f t="shared" si="5"/>
        <v>278885.10000000009</v>
      </c>
    </row>
    <row r="382" spans="1:20" x14ac:dyDescent="0.25">
      <c r="A382" t="s">
        <v>135</v>
      </c>
      <c r="B382" t="s">
        <v>137</v>
      </c>
      <c r="C382">
        <v>1</v>
      </c>
      <c r="D382">
        <v>50279</v>
      </c>
      <c r="E382" t="s">
        <v>140</v>
      </c>
      <c r="F382" t="s">
        <v>143</v>
      </c>
      <c r="G382" s="31">
        <v>0.65900000000000003</v>
      </c>
      <c r="H382" s="31">
        <v>0.70499999999999996</v>
      </c>
      <c r="I382" t="s">
        <v>1954</v>
      </c>
      <c r="J382" t="s">
        <v>1954</v>
      </c>
      <c r="K382">
        <v>60106.080999999998</v>
      </c>
      <c r="L382">
        <v>621918</v>
      </c>
      <c r="M382" s="32">
        <v>10.347</v>
      </c>
      <c r="N382" t="s">
        <v>141</v>
      </c>
      <c r="O382" t="s">
        <v>144</v>
      </c>
      <c r="P382">
        <v>43.7</v>
      </c>
      <c r="Q382" s="33" t="s">
        <v>1956</v>
      </c>
      <c r="R382" t="s">
        <v>21</v>
      </c>
      <c r="S382" t="s">
        <v>22</v>
      </c>
      <c r="T382">
        <f t="shared" si="5"/>
        <v>278928.8000000001</v>
      </c>
    </row>
    <row r="383" spans="1:20" x14ac:dyDescent="0.25">
      <c r="A383" t="s">
        <v>489</v>
      </c>
      <c r="B383" t="s">
        <v>109</v>
      </c>
      <c r="C383">
        <v>1</v>
      </c>
      <c r="D383">
        <v>3118</v>
      </c>
      <c r="E383" t="s">
        <v>490</v>
      </c>
      <c r="F383" t="s">
        <v>143</v>
      </c>
      <c r="G383" s="31">
        <v>1</v>
      </c>
      <c r="H383" s="31">
        <v>1</v>
      </c>
      <c r="I383" t="s">
        <v>1954</v>
      </c>
      <c r="J383" t="s">
        <v>1954</v>
      </c>
      <c r="K383">
        <v>3889847.9279999998</v>
      </c>
      <c r="L383">
        <v>40303766</v>
      </c>
      <c r="M383" s="32">
        <v>10.3613</v>
      </c>
      <c r="N383" t="s">
        <v>116</v>
      </c>
      <c r="O383" t="s">
        <v>308</v>
      </c>
      <c r="P383">
        <v>1700</v>
      </c>
      <c r="Q383" s="33" t="s">
        <v>1955</v>
      </c>
      <c r="R383" t="s">
        <v>21</v>
      </c>
      <c r="S383" t="s">
        <v>22</v>
      </c>
      <c r="T383">
        <f t="shared" si="5"/>
        <v>280628.8000000001</v>
      </c>
    </row>
    <row r="384" spans="1:20" x14ac:dyDescent="0.25">
      <c r="A384" t="s">
        <v>491</v>
      </c>
      <c r="B384" t="s">
        <v>109</v>
      </c>
      <c r="C384">
        <v>1</v>
      </c>
      <c r="D384">
        <v>3118</v>
      </c>
      <c r="E384" t="s">
        <v>490</v>
      </c>
      <c r="F384" t="s">
        <v>143</v>
      </c>
      <c r="G384" s="31">
        <v>1</v>
      </c>
      <c r="H384" s="31">
        <v>1</v>
      </c>
      <c r="I384" t="s">
        <v>1954</v>
      </c>
      <c r="J384" t="s">
        <v>1954</v>
      </c>
      <c r="K384">
        <v>3889847.9279999998</v>
      </c>
      <c r="L384">
        <v>40303766</v>
      </c>
      <c r="M384" s="32">
        <v>10.3613</v>
      </c>
      <c r="N384" t="s">
        <v>116</v>
      </c>
      <c r="O384" t="s">
        <v>308</v>
      </c>
      <c r="P384">
        <v>1700</v>
      </c>
      <c r="Q384" s="33" t="s">
        <v>1955</v>
      </c>
      <c r="R384" t="s">
        <v>21</v>
      </c>
      <c r="S384" t="s">
        <v>22</v>
      </c>
      <c r="T384">
        <f t="shared" si="5"/>
        <v>282328.8000000001</v>
      </c>
    </row>
    <row r="385" spans="1:20" x14ac:dyDescent="0.25">
      <c r="A385" t="s">
        <v>706</v>
      </c>
      <c r="B385" t="s">
        <v>150</v>
      </c>
      <c r="C385">
        <v>1</v>
      </c>
      <c r="D385">
        <v>56962</v>
      </c>
      <c r="E385" t="s">
        <v>2047</v>
      </c>
      <c r="F385" t="s">
        <v>708</v>
      </c>
      <c r="G385" s="31">
        <v>0.4083</v>
      </c>
      <c r="H385" s="31">
        <v>0.45429999999999998</v>
      </c>
      <c r="I385" t="s">
        <v>1954</v>
      </c>
      <c r="J385" t="s">
        <v>1954</v>
      </c>
      <c r="K385">
        <v>25978</v>
      </c>
      <c r="L385">
        <v>269639</v>
      </c>
      <c r="M385" s="32">
        <v>10.3795</v>
      </c>
      <c r="N385" t="s">
        <v>321</v>
      </c>
      <c r="O385" t="s">
        <v>308</v>
      </c>
      <c r="P385">
        <v>3.2</v>
      </c>
      <c r="Q385" t="s">
        <v>1958</v>
      </c>
      <c r="R385" t="s">
        <v>21</v>
      </c>
      <c r="S385" t="s">
        <v>22</v>
      </c>
      <c r="T385">
        <f t="shared" si="5"/>
        <v>282332.00000000012</v>
      </c>
    </row>
    <row r="386" spans="1:20" x14ac:dyDescent="0.25">
      <c r="A386" t="s">
        <v>108</v>
      </c>
      <c r="B386" t="s">
        <v>109</v>
      </c>
      <c r="C386">
        <v>1</v>
      </c>
      <c r="D386">
        <v>3935</v>
      </c>
      <c r="E386" t="s">
        <v>114</v>
      </c>
      <c r="F386" t="s">
        <v>118</v>
      </c>
      <c r="G386" s="31">
        <v>0.82579999999999998</v>
      </c>
      <c r="H386" s="31">
        <v>0.87180000000000002</v>
      </c>
      <c r="I386" t="s">
        <v>1954</v>
      </c>
      <c r="J386" t="s">
        <v>1954</v>
      </c>
      <c r="K386">
        <v>9023267.5810000002</v>
      </c>
      <c r="L386">
        <v>93691622</v>
      </c>
      <c r="M386" s="32">
        <v>10.3833</v>
      </c>
      <c r="N386" t="s">
        <v>116</v>
      </c>
      <c r="O386" t="s">
        <v>119</v>
      </c>
      <c r="P386">
        <v>2900</v>
      </c>
      <c r="Q386" s="33" t="s">
        <v>1955</v>
      </c>
      <c r="R386" t="s">
        <v>21</v>
      </c>
      <c r="S386" t="s">
        <v>22</v>
      </c>
      <c r="T386">
        <f t="shared" si="5"/>
        <v>285232.00000000012</v>
      </c>
    </row>
    <row r="387" spans="1:20" x14ac:dyDescent="0.25">
      <c r="A387" t="s">
        <v>122</v>
      </c>
      <c r="B387" t="s">
        <v>109</v>
      </c>
      <c r="C387">
        <v>1</v>
      </c>
      <c r="D387">
        <v>3935</v>
      </c>
      <c r="E387" t="s">
        <v>114</v>
      </c>
      <c r="F387" t="s">
        <v>118</v>
      </c>
      <c r="G387" s="31">
        <v>0.82579999999999998</v>
      </c>
      <c r="H387" s="31">
        <v>0.87180000000000002</v>
      </c>
      <c r="I387" t="s">
        <v>1954</v>
      </c>
      <c r="J387" t="s">
        <v>1954</v>
      </c>
      <c r="K387">
        <v>9023267.5810000002</v>
      </c>
      <c r="L387">
        <v>93691622</v>
      </c>
      <c r="M387" s="32">
        <v>10.3833</v>
      </c>
      <c r="N387" t="s">
        <v>116</v>
      </c>
      <c r="O387" t="s">
        <v>119</v>
      </c>
      <c r="P387">
        <v>2900</v>
      </c>
      <c r="Q387" s="33" t="s">
        <v>1955</v>
      </c>
      <c r="R387" t="s">
        <v>21</v>
      </c>
      <c r="S387" t="s">
        <v>22</v>
      </c>
      <c r="T387">
        <f t="shared" si="5"/>
        <v>288132.00000000012</v>
      </c>
    </row>
    <row r="388" spans="1:20" x14ac:dyDescent="0.25">
      <c r="A388" t="s">
        <v>123</v>
      </c>
      <c r="B388" t="s">
        <v>109</v>
      </c>
      <c r="C388">
        <v>1</v>
      </c>
      <c r="D388">
        <v>3935</v>
      </c>
      <c r="E388" t="s">
        <v>114</v>
      </c>
      <c r="F388" t="s">
        <v>118</v>
      </c>
      <c r="G388" s="31">
        <v>0.82579999999999998</v>
      </c>
      <c r="H388" s="31">
        <v>0.87180000000000002</v>
      </c>
      <c r="I388" t="s">
        <v>1954</v>
      </c>
      <c r="J388" t="s">
        <v>1954</v>
      </c>
      <c r="K388">
        <v>9023267.5810000002</v>
      </c>
      <c r="L388">
        <v>93691622</v>
      </c>
      <c r="M388" s="32">
        <v>10.3833</v>
      </c>
      <c r="N388" t="s">
        <v>116</v>
      </c>
      <c r="O388" t="s">
        <v>119</v>
      </c>
      <c r="P388">
        <v>2900</v>
      </c>
      <c r="Q388" s="33" t="s">
        <v>1955</v>
      </c>
      <c r="R388" t="s">
        <v>21</v>
      </c>
      <c r="S388" t="s">
        <v>22</v>
      </c>
      <c r="T388">
        <f t="shared" ref="T388:T451" si="6">T387+P388</f>
        <v>291032.00000000012</v>
      </c>
    </row>
    <row r="389" spans="1:20" x14ac:dyDescent="0.25">
      <c r="A389" t="s">
        <v>1237</v>
      </c>
      <c r="B389" t="s">
        <v>109</v>
      </c>
      <c r="C389">
        <v>1</v>
      </c>
      <c r="D389">
        <v>3954</v>
      </c>
      <c r="E389" t="s">
        <v>1238</v>
      </c>
      <c r="F389" t="s">
        <v>118</v>
      </c>
      <c r="G389" s="31">
        <v>1</v>
      </c>
      <c r="H389" s="31">
        <v>1</v>
      </c>
      <c r="I389" t="s">
        <v>1954</v>
      </c>
      <c r="J389" t="s">
        <v>1954</v>
      </c>
      <c r="K389">
        <v>4334578.6150000002</v>
      </c>
      <c r="L389">
        <v>45198663</v>
      </c>
      <c r="M389" s="32">
        <v>10.4275</v>
      </c>
      <c r="N389" t="s">
        <v>116</v>
      </c>
      <c r="O389" t="s">
        <v>119</v>
      </c>
      <c r="P389">
        <v>1613.5</v>
      </c>
      <c r="Q389" s="33" t="s">
        <v>1955</v>
      </c>
      <c r="R389" t="s">
        <v>21</v>
      </c>
      <c r="S389" t="s">
        <v>22</v>
      </c>
      <c r="T389">
        <f t="shared" si="6"/>
        <v>292645.50000000012</v>
      </c>
    </row>
    <row r="390" spans="1:20" x14ac:dyDescent="0.25">
      <c r="A390" t="s">
        <v>1239</v>
      </c>
      <c r="B390" t="s">
        <v>109</v>
      </c>
      <c r="C390">
        <v>1</v>
      </c>
      <c r="D390">
        <v>3954</v>
      </c>
      <c r="E390" t="s">
        <v>1238</v>
      </c>
      <c r="F390" t="s">
        <v>118</v>
      </c>
      <c r="G390" s="31">
        <v>1</v>
      </c>
      <c r="H390" s="31">
        <v>1</v>
      </c>
      <c r="I390" t="s">
        <v>1954</v>
      </c>
      <c r="J390" t="s">
        <v>1954</v>
      </c>
      <c r="K390">
        <v>4334578.6150000002</v>
      </c>
      <c r="L390">
        <v>45198663</v>
      </c>
      <c r="M390" s="32">
        <v>10.4275</v>
      </c>
      <c r="N390" t="s">
        <v>116</v>
      </c>
      <c r="O390" t="s">
        <v>119</v>
      </c>
      <c r="P390">
        <v>1613.5</v>
      </c>
      <c r="Q390" s="33" t="s">
        <v>1955</v>
      </c>
      <c r="R390" t="s">
        <v>21</v>
      </c>
      <c r="S390" t="s">
        <v>22</v>
      </c>
      <c r="T390">
        <f t="shared" si="6"/>
        <v>294259.00000000012</v>
      </c>
    </row>
    <row r="391" spans="1:20" x14ac:dyDescent="0.25">
      <c r="A391" t="s">
        <v>1240</v>
      </c>
      <c r="B391" t="s">
        <v>109</v>
      </c>
      <c r="C391">
        <v>1</v>
      </c>
      <c r="D391">
        <v>3954</v>
      </c>
      <c r="E391" t="s">
        <v>1238</v>
      </c>
      <c r="F391" t="s">
        <v>118</v>
      </c>
      <c r="G391" s="31">
        <v>1</v>
      </c>
      <c r="H391" s="31">
        <v>1</v>
      </c>
      <c r="I391" t="s">
        <v>1954</v>
      </c>
      <c r="J391" t="s">
        <v>1954</v>
      </c>
      <c r="K391">
        <v>4334578.6150000002</v>
      </c>
      <c r="L391">
        <v>45198663</v>
      </c>
      <c r="M391" s="32">
        <v>10.4275</v>
      </c>
      <c r="N391" t="s">
        <v>116</v>
      </c>
      <c r="O391" t="s">
        <v>119</v>
      </c>
      <c r="P391">
        <v>1613.5</v>
      </c>
      <c r="Q391" s="33" t="s">
        <v>1955</v>
      </c>
      <c r="R391" t="s">
        <v>21</v>
      </c>
      <c r="S391" t="s">
        <v>22</v>
      </c>
      <c r="T391">
        <f t="shared" si="6"/>
        <v>295872.50000000012</v>
      </c>
    </row>
    <row r="392" spans="1:20" x14ac:dyDescent="0.25">
      <c r="A392" t="s">
        <v>1025</v>
      </c>
      <c r="B392" t="s">
        <v>109</v>
      </c>
      <c r="C392">
        <v>3</v>
      </c>
      <c r="D392">
        <v>1364</v>
      </c>
      <c r="E392" t="s">
        <v>2092</v>
      </c>
      <c r="F392" t="s">
        <v>266</v>
      </c>
      <c r="G392" s="31">
        <v>0.3851</v>
      </c>
      <c r="H392" s="31">
        <v>0.43109999999999998</v>
      </c>
      <c r="I392" t="s">
        <v>1954</v>
      </c>
      <c r="J392" t="s">
        <v>1954</v>
      </c>
      <c r="K392">
        <v>7160903.8600000003</v>
      </c>
      <c r="L392">
        <v>75026129</v>
      </c>
      <c r="M392" s="32">
        <v>10.4772</v>
      </c>
      <c r="N392" t="s">
        <v>116</v>
      </c>
      <c r="O392" t="s">
        <v>2093</v>
      </c>
      <c r="P392">
        <v>1165</v>
      </c>
      <c r="Q392" t="s">
        <v>1958</v>
      </c>
      <c r="R392" t="s">
        <v>21</v>
      </c>
      <c r="S392" t="s">
        <v>22</v>
      </c>
      <c r="T392">
        <f t="shared" si="6"/>
        <v>297037.50000000012</v>
      </c>
    </row>
    <row r="393" spans="1:20" x14ac:dyDescent="0.25">
      <c r="A393" t="s">
        <v>1029</v>
      </c>
      <c r="B393" t="s">
        <v>109</v>
      </c>
      <c r="C393">
        <v>3</v>
      </c>
      <c r="D393">
        <v>1364</v>
      </c>
      <c r="E393" t="s">
        <v>2092</v>
      </c>
      <c r="F393" t="s">
        <v>266</v>
      </c>
      <c r="G393" s="31">
        <v>0.3851</v>
      </c>
      <c r="H393" s="31">
        <v>0.43109999999999998</v>
      </c>
      <c r="I393" t="s">
        <v>1954</v>
      </c>
      <c r="J393" t="s">
        <v>1954</v>
      </c>
      <c r="K393">
        <v>7160903.8600000003</v>
      </c>
      <c r="L393">
        <v>75026129</v>
      </c>
      <c r="M393" s="32">
        <v>10.4772</v>
      </c>
      <c r="N393" t="s">
        <v>116</v>
      </c>
      <c r="O393" t="s">
        <v>2093</v>
      </c>
      <c r="P393">
        <v>1165</v>
      </c>
      <c r="Q393" t="s">
        <v>1958</v>
      </c>
      <c r="R393" t="s">
        <v>21</v>
      </c>
      <c r="S393" t="s">
        <v>22</v>
      </c>
      <c r="T393">
        <f t="shared" si="6"/>
        <v>298202.50000000012</v>
      </c>
    </row>
    <row r="394" spans="1:20" x14ac:dyDescent="0.25">
      <c r="A394" t="s">
        <v>1030</v>
      </c>
      <c r="B394" t="s">
        <v>109</v>
      </c>
      <c r="C394">
        <v>3</v>
      </c>
      <c r="D394">
        <v>1364</v>
      </c>
      <c r="E394" t="s">
        <v>2092</v>
      </c>
      <c r="F394" t="s">
        <v>266</v>
      </c>
      <c r="G394" s="31">
        <v>0.3851</v>
      </c>
      <c r="H394" s="31">
        <v>0.43109999999999998</v>
      </c>
      <c r="I394" t="s">
        <v>1954</v>
      </c>
      <c r="J394" t="s">
        <v>1954</v>
      </c>
      <c r="K394">
        <v>7160903.8600000003</v>
      </c>
      <c r="L394">
        <v>75026129</v>
      </c>
      <c r="M394" s="32">
        <v>10.4772</v>
      </c>
      <c r="N394" t="s">
        <v>116</v>
      </c>
      <c r="O394" t="s">
        <v>2093</v>
      </c>
      <c r="P394">
        <v>1165</v>
      </c>
      <c r="Q394" t="s">
        <v>1958</v>
      </c>
      <c r="R394" t="s">
        <v>21</v>
      </c>
      <c r="S394" t="s">
        <v>22</v>
      </c>
      <c r="T394">
        <f t="shared" si="6"/>
        <v>299367.50000000012</v>
      </c>
    </row>
    <row r="395" spans="1:20" x14ac:dyDescent="0.25">
      <c r="A395" t="s">
        <v>1031</v>
      </c>
      <c r="B395" t="s">
        <v>109</v>
      </c>
      <c r="C395">
        <v>3</v>
      </c>
      <c r="D395">
        <v>1364</v>
      </c>
      <c r="E395" t="s">
        <v>2092</v>
      </c>
      <c r="F395" t="s">
        <v>266</v>
      </c>
      <c r="G395" s="31">
        <v>0.3851</v>
      </c>
      <c r="H395" s="31">
        <v>0.43109999999999998</v>
      </c>
      <c r="I395" t="s">
        <v>1954</v>
      </c>
      <c r="J395" t="s">
        <v>1954</v>
      </c>
      <c r="K395">
        <v>7160903.8600000003</v>
      </c>
      <c r="L395">
        <v>75026129</v>
      </c>
      <c r="M395" s="32">
        <v>10.4772</v>
      </c>
      <c r="N395" t="s">
        <v>116</v>
      </c>
      <c r="O395" t="s">
        <v>2093</v>
      </c>
      <c r="P395">
        <v>1165</v>
      </c>
      <c r="Q395" t="s">
        <v>1958</v>
      </c>
      <c r="R395" t="s">
        <v>21</v>
      </c>
      <c r="S395" t="s">
        <v>22</v>
      </c>
      <c r="T395">
        <f t="shared" si="6"/>
        <v>300532.50000000012</v>
      </c>
    </row>
    <row r="396" spans="1:20" x14ac:dyDescent="0.25">
      <c r="A396" t="s">
        <v>1032</v>
      </c>
      <c r="B396" t="s">
        <v>109</v>
      </c>
      <c r="C396">
        <v>3</v>
      </c>
      <c r="D396">
        <v>1364</v>
      </c>
      <c r="E396" t="s">
        <v>2092</v>
      </c>
      <c r="F396" t="s">
        <v>266</v>
      </c>
      <c r="G396" s="31">
        <v>0.3851</v>
      </c>
      <c r="H396" s="31">
        <v>0.43109999999999998</v>
      </c>
      <c r="I396" t="s">
        <v>1954</v>
      </c>
      <c r="J396" t="s">
        <v>1954</v>
      </c>
      <c r="K396">
        <v>7160903.8600000003</v>
      </c>
      <c r="L396">
        <v>75026129</v>
      </c>
      <c r="M396" s="32">
        <v>10.4772</v>
      </c>
      <c r="N396" t="s">
        <v>116</v>
      </c>
      <c r="O396" t="s">
        <v>2093</v>
      </c>
      <c r="P396">
        <v>1165</v>
      </c>
      <c r="Q396" t="s">
        <v>1958</v>
      </c>
      <c r="R396" t="s">
        <v>21</v>
      </c>
      <c r="S396" t="s">
        <v>22</v>
      </c>
      <c r="T396">
        <f t="shared" si="6"/>
        <v>301697.50000000012</v>
      </c>
    </row>
    <row r="397" spans="1:20" x14ac:dyDescent="0.25">
      <c r="A397" t="s">
        <v>552</v>
      </c>
      <c r="B397" t="s">
        <v>125</v>
      </c>
      <c r="C397">
        <v>1</v>
      </c>
      <c r="D397">
        <v>5083</v>
      </c>
      <c r="E397" t="s">
        <v>553</v>
      </c>
      <c r="F397" t="s">
        <v>241</v>
      </c>
      <c r="G397" s="31">
        <v>0.87150000000000005</v>
      </c>
      <c r="H397" s="31">
        <v>0.91749999999999998</v>
      </c>
      <c r="I397" t="s">
        <v>1954</v>
      </c>
      <c r="J397" t="s">
        <v>1954</v>
      </c>
      <c r="K397">
        <v>119393.003</v>
      </c>
      <c r="L397">
        <v>1251516</v>
      </c>
      <c r="M397" s="32">
        <v>10.4823</v>
      </c>
      <c r="N397" t="s">
        <v>352</v>
      </c>
      <c r="O397" t="s">
        <v>554</v>
      </c>
      <c r="P397">
        <v>186.9</v>
      </c>
      <c r="Q397" s="33" t="s">
        <v>1955</v>
      </c>
      <c r="R397" t="s">
        <v>21</v>
      </c>
      <c r="S397" t="s">
        <v>22</v>
      </c>
      <c r="T397">
        <f t="shared" si="6"/>
        <v>301884.40000000014</v>
      </c>
    </row>
    <row r="398" spans="1:20" x14ac:dyDescent="0.25">
      <c r="A398" t="s">
        <v>555</v>
      </c>
      <c r="B398" t="s">
        <v>125</v>
      </c>
      <c r="C398">
        <v>1</v>
      </c>
      <c r="D398">
        <v>5083</v>
      </c>
      <c r="E398" t="s">
        <v>553</v>
      </c>
      <c r="F398" t="s">
        <v>241</v>
      </c>
      <c r="G398" s="31">
        <v>0.87150000000000005</v>
      </c>
      <c r="H398" s="31">
        <v>0.91749999999999998</v>
      </c>
      <c r="I398" t="s">
        <v>1954</v>
      </c>
      <c r="J398" t="s">
        <v>1954</v>
      </c>
      <c r="K398">
        <v>119393.003</v>
      </c>
      <c r="L398">
        <v>1251516</v>
      </c>
      <c r="M398" s="32">
        <v>10.4823</v>
      </c>
      <c r="N398" t="s">
        <v>352</v>
      </c>
      <c r="O398" t="s">
        <v>554</v>
      </c>
      <c r="P398">
        <v>186.9</v>
      </c>
      <c r="Q398" s="33" t="s">
        <v>1955</v>
      </c>
      <c r="R398" t="s">
        <v>21</v>
      </c>
      <c r="S398" t="s">
        <v>22</v>
      </c>
      <c r="T398">
        <f t="shared" si="6"/>
        <v>302071.30000000016</v>
      </c>
    </row>
    <row r="399" spans="1:20" x14ac:dyDescent="0.25">
      <c r="A399" t="s">
        <v>785</v>
      </c>
      <c r="B399" t="s">
        <v>137</v>
      </c>
      <c r="C399">
        <v>1</v>
      </c>
      <c r="D399">
        <v>55377</v>
      </c>
      <c r="E399" t="s">
        <v>786</v>
      </c>
      <c r="F399" t="s">
        <v>143</v>
      </c>
      <c r="G399" s="31">
        <v>1</v>
      </c>
      <c r="H399" s="31">
        <v>1</v>
      </c>
      <c r="I399" t="s">
        <v>1954</v>
      </c>
      <c r="J399" t="s">
        <v>1954</v>
      </c>
      <c r="K399">
        <v>145465.00099999999</v>
      </c>
      <c r="L399">
        <v>1526314</v>
      </c>
      <c r="M399" s="32">
        <v>10.492699999999999</v>
      </c>
      <c r="N399" t="s">
        <v>141</v>
      </c>
      <c r="O399" t="s">
        <v>787</v>
      </c>
      <c r="P399">
        <v>97.4</v>
      </c>
      <c r="Q399" s="33" t="s">
        <v>1955</v>
      </c>
      <c r="R399" t="s">
        <v>21</v>
      </c>
      <c r="S399" t="s">
        <v>22</v>
      </c>
      <c r="T399">
        <f t="shared" si="6"/>
        <v>302168.70000000019</v>
      </c>
    </row>
    <row r="400" spans="1:20" x14ac:dyDescent="0.25">
      <c r="A400" t="s">
        <v>788</v>
      </c>
      <c r="B400" t="s">
        <v>137</v>
      </c>
      <c r="C400">
        <v>1</v>
      </c>
      <c r="D400">
        <v>55377</v>
      </c>
      <c r="E400" t="s">
        <v>786</v>
      </c>
      <c r="F400" t="s">
        <v>143</v>
      </c>
      <c r="G400" s="31">
        <v>1</v>
      </c>
      <c r="H400" s="31">
        <v>1</v>
      </c>
      <c r="I400" t="s">
        <v>1954</v>
      </c>
      <c r="J400" t="s">
        <v>1954</v>
      </c>
      <c r="K400">
        <v>145465.00099999999</v>
      </c>
      <c r="L400">
        <v>1526314</v>
      </c>
      <c r="M400" s="32">
        <v>10.492699999999999</v>
      </c>
      <c r="N400" t="s">
        <v>141</v>
      </c>
      <c r="O400" t="s">
        <v>787</v>
      </c>
      <c r="P400">
        <v>97.4</v>
      </c>
      <c r="Q400" s="33" t="s">
        <v>1955</v>
      </c>
      <c r="R400" t="s">
        <v>21</v>
      </c>
      <c r="S400" t="s">
        <v>22</v>
      </c>
      <c r="T400">
        <f t="shared" si="6"/>
        <v>302266.10000000021</v>
      </c>
    </row>
    <row r="401" spans="1:20" x14ac:dyDescent="0.25">
      <c r="A401" t="s">
        <v>982</v>
      </c>
      <c r="B401" t="s">
        <v>150</v>
      </c>
      <c r="C401">
        <v>1</v>
      </c>
      <c r="D401">
        <v>56464</v>
      </c>
      <c r="E401" t="s">
        <v>983</v>
      </c>
      <c r="F401" t="s">
        <v>131</v>
      </c>
      <c r="G401" s="31">
        <v>0.70799999999999996</v>
      </c>
      <c r="H401" s="31">
        <v>0.754</v>
      </c>
      <c r="I401" t="s">
        <v>1954</v>
      </c>
      <c r="J401" t="s">
        <v>1954</v>
      </c>
      <c r="K401">
        <v>16917</v>
      </c>
      <c r="L401">
        <v>177630</v>
      </c>
      <c r="M401" s="32">
        <v>10.5001</v>
      </c>
      <c r="N401" t="s">
        <v>321</v>
      </c>
      <c r="O401" t="s">
        <v>567</v>
      </c>
      <c r="P401">
        <v>3.2</v>
      </c>
      <c r="Q401" s="33" t="s">
        <v>1956</v>
      </c>
      <c r="R401" t="s">
        <v>21</v>
      </c>
      <c r="S401" t="s">
        <v>22</v>
      </c>
      <c r="T401">
        <f t="shared" si="6"/>
        <v>302269.30000000022</v>
      </c>
    </row>
    <row r="402" spans="1:20" x14ac:dyDescent="0.25">
      <c r="A402" t="s">
        <v>1448</v>
      </c>
      <c r="B402" t="s">
        <v>150</v>
      </c>
      <c r="C402">
        <v>3</v>
      </c>
      <c r="D402">
        <v>56464</v>
      </c>
      <c r="E402" t="s">
        <v>983</v>
      </c>
      <c r="F402" t="s">
        <v>131</v>
      </c>
      <c r="G402" s="31">
        <v>0.38240000000000002</v>
      </c>
      <c r="H402" s="31">
        <v>0.4284</v>
      </c>
      <c r="I402" t="s">
        <v>1954</v>
      </c>
      <c r="J402" t="s">
        <v>1954</v>
      </c>
      <c r="K402">
        <v>16917</v>
      </c>
      <c r="L402">
        <v>177630</v>
      </c>
      <c r="M402" s="32">
        <v>10.5001</v>
      </c>
      <c r="N402" t="s">
        <v>321</v>
      </c>
      <c r="O402" t="s">
        <v>567</v>
      </c>
      <c r="P402">
        <v>3.2</v>
      </c>
      <c r="Q402" t="s">
        <v>1958</v>
      </c>
      <c r="R402" t="s">
        <v>21</v>
      </c>
      <c r="S402" t="s">
        <v>22</v>
      </c>
      <c r="T402">
        <f t="shared" si="6"/>
        <v>302272.50000000023</v>
      </c>
    </row>
    <row r="403" spans="1:20" x14ac:dyDescent="0.25">
      <c r="A403" t="s">
        <v>1803</v>
      </c>
      <c r="B403" t="s">
        <v>137</v>
      </c>
      <c r="C403">
        <v>1</v>
      </c>
      <c r="D403">
        <v>56674</v>
      </c>
      <c r="E403" t="s">
        <v>2202</v>
      </c>
      <c r="F403" t="s">
        <v>1805</v>
      </c>
      <c r="G403" s="31">
        <v>0.85899999999999999</v>
      </c>
      <c r="H403" s="31">
        <v>0.78700000000000003</v>
      </c>
      <c r="I403" t="s">
        <v>1954</v>
      </c>
      <c r="J403" t="s">
        <v>1954</v>
      </c>
      <c r="K403">
        <v>58082</v>
      </c>
      <c r="L403">
        <v>609967</v>
      </c>
      <c r="M403" s="32">
        <v>10.501799999999999</v>
      </c>
      <c r="N403" t="s">
        <v>141</v>
      </c>
      <c r="O403" t="s">
        <v>1806</v>
      </c>
      <c r="P403">
        <v>176</v>
      </c>
      <c r="Q403" t="s">
        <v>1958</v>
      </c>
      <c r="R403" t="s">
        <v>21</v>
      </c>
      <c r="S403" t="s">
        <v>22</v>
      </c>
      <c r="T403">
        <f t="shared" si="6"/>
        <v>302448.50000000023</v>
      </c>
    </row>
    <row r="404" spans="1:20" x14ac:dyDescent="0.25">
      <c r="A404" t="s">
        <v>1037</v>
      </c>
      <c r="B404" t="s">
        <v>125</v>
      </c>
      <c r="C404">
        <v>1</v>
      </c>
      <c r="D404">
        <v>7839</v>
      </c>
      <c r="E404" t="s">
        <v>1038</v>
      </c>
      <c r="F404" t="s">
        <v>201</v>
      </c>
      <c r="G404" s="31">
        <v>0.6623</v>
      </c>
      <c r="H404" s="31">
        <v>0.70830000000000004</v>
      </c>
      <c r="I404" t="s">
        <v>1954</v>
      </c>
      <c r="J404" t="s">
        <v>1954</v>
      </c>
      <c r="K404">
        <v>992525.01</v>
      </c>
      <c r="L404">
        <v>10449093</v>
      </c>
      <c r="M404" s="32">
        <v>10.527799999999999</v>
      </c>
      <c r="N404" t="s">
        <v>130</v>
      </c>
      <c r="O404" t="s">
        <v>1028</v>
      </c>
      <c r="P404">
        <v>788.9</v>
      </c>
      <c r="Q404" s="33" t="s">
        <v>1956</v>
      </c>
      <c r="R404" t="s">
        <v>21</v>
      </c>
      <c r="S404" t="s">
        <v>22</v>
      </c>
      <c r="T404">
        <f t="shared" si="6"/>
        <v>303237.40000000026</v>
      </c>
    </row>
    <row r="405" spans="1:20" x14ac:dyDescent="0.25">
      <c r="A405" t="s">
        <v>1039</v>
      </c>
      <c r="B405" t="s">
        <v>125</v>
      </c>
      <c r="C405">
        <v>1</v>
      </c>
      <c r="D405">
        <v>7839</v>
      </c>
      <c r="E405" t="s">
        <v>1038</v>
      </c>
      <c r="F405" t="s">
        <v>201</v>
      </c>
      <c r="G405" s="31">
        <v>0.6623</v>
      </c>
      <c r="H405" s="31">
        <v>0.70830000000000004</v>
      </c>
      <c r="I405" t="s">
        <v>1954</v>
      </c>
      <c r="J405" t="s">
        <v>1954</v>
      </c>
      <c r="K405">
        <v>992525.01</v>
      </c>
      <c r="L405">
        <v>10449093</v>
      </c>
      <c r="M405" s="32">
        <v>10.527799999999999</v>
      </c>
      <c r="N405" t="s">
        <v>130</v>
      </c>
      <c r="O405" t="s">
        <v>1028</v>
      </c>
      <c r="P405">
        <v>788.9</v>
      </c>
      <c r="Q405" s="33" t="s">
        <v>1956</v>
      </c>
      <c r="R405" t="s">
        <v>21</v>
      </c>
      <c r="S405" t="s">
        <v>22</v>
      </c>
      <c r="T405">
        <f t="shared" si="6"/>
        <v>304026.30000000028</v>
      </c>
    </row>
    <row r="406" spans="1:20" x14ac:dyDescent="0.25">
      <c r="A406" t="s">
        <v>1040</v>
      </c>
      <c r="B406" t="s">
        <v>125</v>
      </c>
      <c r="C406">
        <v>1</v>
      </c>
      <c r="D406">
        <v>7839</v>
      </c>
      <c r="E406" t="s">
        <v>1038</v>
      </c>
      <c r="F406" t="s">
        <v>201</v>
      </c>
      <c r="G406" s="31">
        <v>0.6623</v>
      </c>
      <c r="H406" s="31">
        <v>0.70830000000000004</v>
      </c>
      <c r="I406" t="s">
        <v>1954</v>
      </c>
      <c r="J406" t="s">
        <v>1954</v>
      </c>
      <c r="K406">
        <v>992525.01</v>
      </c>
      <c r="L406">
        <v>10449093</v>
      </c>
      <c r="M406" s="32">
        <v>10.527799999999999</v>
      </c>
      <c r="N406" t="s">
        <v>130</v>
      </c>
      <c r="O406" t="s">
        <v>1028</v>
      </c>
      <c r="P406">
        <v>788.9</v>
      </c>
      <c r="Q406" s="33" t="s">
        <v>1956</v>
      </c>
      <c r="R406" t="s">
        <v>21</v>
      </c>
      <c r="S406" t="s">
        <v>22</v>
      </c>
      <c r="T406">
        <f t="shared" si="6"/>
        <v>304815.2000000003</v>
      </c>
    </row>
    <row r="407" spans="1:20" x14ac:dyDescent="0.25">
      <c r="A407" t="s">
        <v>1041</v>
      </c>
      <c r="B407" t="s">
        <v>125</v>
      </c>
      <c r="C407">
        <v>1</v>
      </c>
      <c r="D407">
        <v>7839</v>
      </c>
      <c r="E407" t="s">
        <v>1038</v>
      </c>
      <c r="F407" t="s">
        <v>201</v>
      </c>
      <c r="G407" s="31">
        <v>0.6623</v>
      </c>
      <c r="H407" s="31">
        <v>0.70830000000000004</v>
      </c>
      <c r="I407" t="s">
        <v>1954</v>
      </c>
      <c r="J407" t="s">
        <v>1954</v>
      </c>
      <c r="K407">
        <v>992525.01</v>
      </c>
      <c r="L407">
        <v>10449093</v>
      </c>
      <c r="M407" s="32">
        <v>10.527799999999999</v>
      </c>
      <c r="N407" t="s">
        <v>130</v>
      </c>
      <c r="O407" t="s">
        <v>1028</v>
      </c>
      <c r="P407">
        <v>788.9</v>
      </c>
      <c r="Q407" s="33" t="s">
        <v>1956</v>
      </c>
      <c r="R407" t="s">
        <v>21</v>
      </c>
      <c r="S407" t="s">
        <v>22</v>
      </c>
      <c r="T407">
        <f t="shared" si="6"/>
        <v>305604.10000000033</v>
      </c>
    </row>
    <row r="408" spans="1:20" x14ac:dyDescent="0.25">
      <c r="A408" t="s">
        <v>1042</v>
      </c>
      <c r="B408" t="s">
        <v>125</v>
      </c>
      <c r="C408">
        <v>1</v>
      </c>
      <c r="D408">
        <v>7839</v>
      </c>
      <c r="E408" t="s">
        <v>1038</v>
      </c>
      <c r="F408" t="s">
        <v>201</v>
      </c>
      <c r="G408" s="31">
        <v>0.6623</v>
      </c>
      <c r="H408" s="31">
        <v>0.70830000000000004</v>
      </c>
      <c r="I408" t="s">
        <v>1954</v>
      </c>
      <c r="J408" t="s">
        <v>1954</v>
      </c>
      <c r="K408">
        <v>992525.01</v>
      </c>
      <c r="L408">
        <v>10449093</v>
      </c>
      <c r="M408" s="32">
        <v>10.527799999999999</v>
      </c>
      <c r="N408" t="s">
        <v>130</v>
      </c>
      <c r="O408" t="s">
        <v>1028</v>
      </c>
      <c r="P408">
        <v>788.9</v>
      </c>
      <c r="Q408" s="33" t="s">
        <v>1956</v>
      </c>
      <c r="R408" t="s">
        <v>21</v>
      </c>
      <c r="S408" t="s">
        <v>22</v>
      </c>
      <c r="T408">
        <f t="shared" si="6"/>
        <v>306393.00000000035</v>
      </c>
    </row>
    <row r="409" spans="1:20" x14ac:dyDescent="0.25">
      <c r="A409" t="s">
        <v>750</v>
      </c>
      <c r="B409" t="s">
        <v>109</v>
      </c>
      <c r="C409">
        <v>2</v>
      </c>
      <c r="D409">
        <v>2832</v>
      </c>
      <c r="E409" t="s">
        <v>1166</v>
      </c>
      <c r="F409" t="s">
        <v>322</v>
      </c>
      <c r="G409" s="31">
        <v>0.54710000000000003</v>
      </c>
      <c r="H409" s="31">
        <v>0.59309999999999996</v>
      </c>
      <c r="I409" t="s">
        <v>1954</v>
      </c>
      <c r="J409" t="s">
        <v>1954</v>
      </c>
      <c r="K409">
        <v>6702261</v>
      </c>
      <c r="L409">
        <v>70568590</v>
      </c>
      <c r="M409" s="32">
        <v>10.5291</v>
      </c>
      <c r="N409" t="s">
        <v>116</v>
      </c>
      <c r="O409" t="s">
        <v>1167</v>
      </c>
      <c r="P409">
        <v>1020</v>
      </c>
      <c r="Q409" t="s">
        <v>1958</v>
      </c>
      <c r="R409" t="s">
        <v>21</v>
      </c>
      <c r="S409" t="s">
        <v>22</v>
      </c>
      <c r="T409">
        <f t="shared" si="6"/>
        <v>307413.00000000035</v>
      </c>
    </row>
    <row r="410" spans="1:20" x14ac:dyDescent="0.25">
      <c r="A410" t="s">
        <v>752</v>
      </c>
      <c r="B410" t="s">
        <v>109</v>
      </c>
      <c r="C410">
        <v>2</v>
      </c>
      <c r="D410">
        <v>2832</v>
      </c>
      <c r="E410" t="s">
        <v>1166</v>
      </c>
      <c r="F410" t="s">
        <v>322</v>
      </c>
      <c r="G410" s="31">
        <v>0.54710000000000003</v>
      </c>
      <c r="H410" s="31">
        <v>0.59309999999999996</v>
      </c>
      <c r="I410" t="s">
        <v>1954</v>
      </c>
      <c r="J410" t="s">
        <v>1954</v>
      </c>
      <c r="K410">
        <v>6702261</v>
      </c>
      <c r="L410">
        <v>70568590</v>
      </c>
      <c r="M410" s="32">
        <v>10.5291</v>
      </c>
      <c r="N410" t="s">
        <v>116</v>
      </c>
      <c r="O410" t="s">
        <v>1167</v>
      </c>
      <c r="P410">
        <v>1020</v>
      </c>
      <c r="Q410" t="s">
        <v>1958</v>
      </c>
      <c r="R410" t="s">
        <v>21</v>
      </c>
      <c r="S410" t="s">
        <v>22</v>
      </c>
      <c r="T410">
        <f t="shared" si="6"/>
        <v>308433.00000000035</v>
      </c>
    </row>
    <row r="411" spans="1:20" x14ac:dyDescent="0.25">
      <c r="A411" t="s">
        <v>1165</v>
      </c>
      <c r="B411" t="s">
        <v>109</v>
      </c>
      <c r="C411">
        <v>1</v>
      </c>
      <c r="D411">
        <v>2832</v>
      </c>
      <c r="E411" t="s">
        <v>1166</v>
      </c>
      <c r="F411" t="s">
        <v>322</v>
      </c>
      <c r="G411" s="31">
        <v>1</v>
      </c>
      <c r="H411" s="31">
        <v>1</v>
      </c>
      <c r="I411" t="s">
        <v>1954</v>
      </c>
      <c r="J411" t="s">
        <v>1954</v>
      </c>
      <c r="K411">
        <v>6702261</v>
      </c>
      <c r="L411">
        <v>70568590</v>
      </c>
      <c r="M411" s="32">
        <v>10.5291</v>
      </c>
      <c r="N411" t="s">
        <v>116</v>
      </c>
      <c r="O411" t="s">
        <v>1167</v>
      </c>
      <c r="P411">
        <v>1020</v>
      </c>
      <c r="Q411" s="33" t="s">
        <v>1955</v>
      </c>
      <c r="R411" t="s">
        <v>21</v>
      </c>
      <c r="S411" t="s">
        <v>22</v>
      </c>
      <c r="T411">
        <f t="shared" si="6"/>
        <v>309453.00000000035</v>
      </c>
    </row>
    <row r="412" spans="1:20" x14ac:dyDescent="0.25">
      <c r="A412" t="s">
        <v>1168</v>
      </c>
      <c r="B412" t="s">
        <v>109</v>
      </c>
      <c r="C412">
        <v>1</v>
      </c>
      <c r="D412">
        <v>2832</v>
      </c>
      <c r="E412" t="s">
        <v>1166</v>
      </c>
      <c r="F412" t="s">
        <v>322</v>
      </c>
      <c r="G412" s="31">
        <v>1</v>
      </c>
      <c r="H412" s="31">
        <v>1</v>
      </c>
      <c r="I412" t="s">
        <v>1954</v>
      </c>
      <c r="J412" t="s">
        <v>1954</v>
      </c>
      <c r="K412">
        <v>6702261</v>
      </c>
      <c r="L412">
        <v>70568590</v>
      </c>
      <c r="M412" s="32">
        <v>10.5291</v>
      </c>
      <c r="N412" t="s">
        <v>116</v>
      </c>
      <c r="O412" t="s">
        <v>1167</v>
      </c>
      <c r="P412">
        <v>1020</v>
      </c>
      <c r="Q412" s="33" t="s">
        <v>1955</v>
      </c>
      <c r="R412" t="s">
        <v>21</v>
      </c>
      <c r="S412" t="s">
        <v>22</v>
      </c>
      <c r="T412">
        <f t="shared" si="6"/>
        <v>310473.00000000035</v>
      </c>
    </row>
    <row r="413" spans="1:20" x14ac:dyDescent="0.25">
      <c r="A413" t="s">
        <v>1499</v>
      </c>
      <c r="B413" t="s">
        <v>137</v>
      </c>
      <c r="C413">
        <v>1</v>
      </c>
      <c r="D413">
        <v>7835</v>
      </c>
      <c r="E413" t="s">
        <v>1500</v>
      </c>
      <c r="F413" t="s">
        <v>307</v>
      </c>
      <c r="G413" s="31">
        <v>0.67930000000000001</v>
      </c>
      <c r="H413" s="31">
        <v>0.72529999999999994</v>
      </c>
      <c r="I413" t="s">
        <v>1954</v>
      </c>
      <c r="J413" t="s">
        <v>1954</v>
      </c>
      <c r="K413">
        <v>407685.99699999997</v>
      </c>
      <c r="L413">
        <v>4306303</v>
      </c>
      <c r="M413" s="32">
        <v>10.562799999999999</v>
      </c>
      <c r="N413" t="s">
        <v>141</v>
      </c>
      <c r="O413" t="s">
        <v>567</v>
      </c>
      <c r="P413">
        <v>666.7</v>
      </c>
      <c r="Q413" s="33" t="s">
        <v>1956</v>
      </c>
      <c r="R413" t="s">
        <v>21</v>
      </c>
      <c r="S413" t="s">
        <v>22</v>
      </c>
      <c r="T413">
        <f t="shared" si="6"/>
        <v>311139.70000000036</v>
      </c>
    </row>
    <row r="414" spans="1:20" x14ac:dyDescent="0.25">
      <c r="A414" t="s">
        <v>1501</v>
      </c>
      <c r="B414" t="s">
        <v>137</v>
      </c>
      <c r="C414">
        <v>1</v>
      </c>
      <c r="D414">
        <v>7835</v>
      </c>
      <c r="E414" t="s">
        <v>1500</v>
      </c>
      <c r="F414" t="s">
        <v>307</v>
      </c>
      <c r="G414" s="31">
        <v>0.67930000000000001</v>
      </c>
      <c r="H414" s="31">
        <v>0.72529999999999994</v>
      </c>
      <c r="I414" t="s">
        <v>1954</v>
      </c>
      <c r="J414" t="s">
        <v>1954</v>
      </c>
      <c r="K414">
        <v>407685.99699999997</v>
      </c>
      <c r="L414">
        <v>4306303</v>
      </c>
      <c r="M414" s="32">
        <v>10.562799999999999</v>
      </c>
      <c r="N414" t="s">
        <v>141</v>
      </c>
      <c r="O414" t="s">
        <v>567</v>
      </c>
      <c r="P414">
        <v>666.7</v>
      </c>
      <c r="Q414" s="33" t="s">
        <v>1956</v>
      </c>
      <c r="R414" t="s">
        <v>21</v>
      </c>
      <c r="S414" t="s">
        <v>22</v>
      </c>
      <c r="T414">
        <f t="shared" si="6"/>
        <v>311806.40000000037</v>
      </c>
    </row>
    <row r="415" spans="1:20" x14ac:dyDescent="0.25">
      <c r="A415" t="s">
        <v>1502</v>
      </c>
      <c r="B415" t="s">
        <v>137</v>
      </c>
      <c r="C415">
        <v>1</v>
      </c>
      <c r="D415">
        <v>7835</v>
      </c>
      <c r="E415" t="s">
        <v>1500</v>
      </c>
      <c r="F415" t="s">
        <v>307</v>
      </c>
      <c r="G415" s="31">
        <v>0.67930000000000001</v>
      </c>
      <c r="H415" s="31">
        <v>0.72529999999999994</v>
      </c>
      <c r="I415" t="s">
        <v>1954</v>
      </c>
      <c r="J415" t="s">
        <v>1954</v>
      </c>
      <c r="K415">
        <v>407685.99699999997</v>
      </c>
      <c r="L415">
        <v>4306303</v>
      </c>
      <c r="M415" s="32">
        <v>10.562799999999999</v>
      </c>
      <c r="N415" t="s">
        <v>141</v>
      </c>
      <c r="O415" t="s">
        <v>567</v>
      </c>
      <c r="P415">
        <v>666.7</v>
      </c>
      <c r="Q415" s="33" t="s">
        <v>1956</v>
      </c>
      <c r="R415" t="s">
        <v>21</v>
      </c>
      <c r="S415" t="s">
        <v>22</v>
      </c>
      <c r="T415">
        <f t="shared" si="6"/>
        <v>312473.10000000038</v>
      </c>
    </row>
    <row r="416" spans="1:20" x14ac:dyDescent="0.25">
      <c r="A416" t="s">
        <v>1503</v>
      </c>
      <c r="B416" t="s">
        <v>137</v>
      </c>
      <c r="C416">
        <v>1</v>
      </c>
      <c r="D416">
        <v>7835</v>
      </c>
      <c r="E416" t="s">
        <v>1500</v>
      </c>
      <c r="F416" t="s">
        <v>307</v>
      </c>
      <c r="G416" s="31">
        <v>0.67930000000000001</v>
      </c>
      <c r="H416" s="31">
        <v>0.72529999999999994</v>
      </c>
      <c r="I416" t="s">
        <v>1954</v>
      </c>
      <c r="J416" t="s">
        <v>1954</v>
      </c>
      <c r="K416">
        <v>407685.99699999997</v>
      </c>
      <c r="L416">
        <v>4306303</v>
      </c>
      <c r="M416" s="32">
        <v>10.562799999999999</v>
      </c>
      <c r="N416" t="s">
        <v>141</v>
      </c>
      <c r="O416" t="s">
        <v>567</v>
      </c>
      <c r="P416">
        <v>666.7</v>
      </c>
      <c r="Q416" s="33" t="s">
        <v>1956</v>
      </c>
      <c r="R416" t="s">
        <v>21</v>
      </c>
      <c r="S416" t="s">
        <v>22</v>
      </c>
      <c r="T416">
        <f t="shared" si="6"/>
        <v>313139.8000000004</v>
      </c>
    </row>
    <row r="417" spans="1:20" x14ac:dyDescent="0.25">
      <c r="A417" t="s">
        <v>1187</v>
      </c>
      <c r="B417" t="s">
        <v>150</v>
      </c>
      <c r="C417">
        <v>1</v>
      </c>
      <c r="D417">
        <v>58246</v>
      </c>
      <c r="E417" t="s">
        <v>2115</v>
      </c>
      <c r="F417" t="s">
        <v>307</v>
      </c>
      <c r="G417" s="31">
        <v>0.58420000000000005</v>
      </c>
      <c r="H417" s="31">
        <v>0.63019999999999998</v>
      </c>
      <c r="I417" t="s">
        <v>1954</v>
      </c>
      <c r="J417" t="s">
        <v>1954</v>
      </c>
      <c r="K417">
        <v>20895</v>
      </c>
      <c r="L417">
        <v>220882</v>
      </c>
      <c r="M417" s="32">
        <v>10.571</v>
      </c>
      <c r="N417" t="s">
        <v>321</v>
      </c>
      <c r="O417" t="s">
        <v>1189</v>
      </c>
      <c r="P417">
        <v>3</v>
      </c>
      <c r="Q417" t="s">
        <v>1958</v>
      </c>
      <c r="R417" t="s">
        <v>21</v>
      </c>
      <c r="S417" t="s">
        <v>22</v>
      </c>
      <c r="T417">
        <f t="shared" si="6"/>
        <v>313142.8000000004</v>
      </c>
    </row>
    <row r="418" spans="1:20" x14ac:dyDescent="0.25">
      <c r="A418" t="s">
        <v>856</v>
      </c>
      <c r="B418" t="s">
        <v>125</v>
      </c>
      <c r="C418">
        <v>1</v>
      </c>
      <c r="D418">
        <v>55228</v>
      </c>
      <c r="E418" t="s">
        <v>857</v>
      </c>
      <c r="F418" t="s">
        <v>322</v>
      </c>
      <c r="G418" s="31">
        <v>1</v>
      </c>
      <c r="H418" s="31">
        <v>1</v>
      </c>
      <c r="I418" t="s">
        <v>1954</v>
      </c>
      <c r="J418" t="s">
        <v>1954</v>
      </c>
      <c r="K418">
        <v>82206.001000000004</v>
      </c>
      <c r="L418">
        <v>871646</v>
      </c>
      <c r="M418" s="32">
        <v>10.603199999999999</v>
      </c>
      <c r="N418" t="s">
        <v>130</v>
      </c>
      <c r="O418" t="s">
        <v>529</v>
      </c>
      <c r="P418">
        <v>196</v>
      </c>
      <c r="Q418" s="33" t="s">
        <v>1955</v>
      </c>
      <c r="R418" t="s">
        <v>21</v>
      </c>
      <c r="S418" t="s">
        <v>22</v>
      </c>
      <c r="T418">
        <f t="shared" si="6"/>
        <v>313338.8000000004</v>
      </c>
    </row>
    <row r="419" spans="1:20" x14ac:dyDescent="0.25">
      <c r="A419" t="s">
        <v>858</v>
      </c>
      <c r="B419" t="s">
        <v>125</v>
      </c>
      <c r="C419">
        <v>1</v>
      </c>
      <c r="D419">
        <v>55228</v>
      </c>
      <c r="E419" t="s">
        <v>857</v>
      </c>
      <c r="F419" t="s">
        <v>322</v>
      </c>
      <c r="G419" s="31">
        <v>1</v>
      </c>
      <c r="H419" s="31">
        <v>1</v>
      </c>
      <c r="I419" t="s">
        <v>1954</v>
      </c>
      <c r="J419" t="s">
        <v>1954</v>
      </c>
      <c r="K419">
        <v>82206.001000000004</v>
      </c>
      <c r="L419">
        <v>871646</v>
      </c>
      <c r="M419" s="32">
        <v>10.603199999999999</v>
      </c>
      <c r="N419" t="s">
        <v>130</v>
      </c>
      <c r="O419" t="s">
        <v>529</v>
      </c>
      <c r="P419">
        <v>196</v>
      </c>
      <c r="Q419" s="33" t="s">
        <v>1955</v>
      </c>
      <c r="R419" t="s">
        <v>21</v>
      </c>
      <c r="S419" t="s">
        <v>22</v>
      </c>
      <c r="T419">
        <f t="shared" si="6"/>
        <v>313534.8000000004</v>
      </c>
    </row>
    <row r="420" spans="1:20" x14ac:dyDescent="0.25">
      <c r="A420" t="s">
        <v>859</v>
      </c>
      <c r="B420" t="s">
        <v>125</v>
      </c>
      <c r="C420">
        <v>1</v>
      </c>
      <c r="D420">
        <v>55228</v>
      </c>
      <c r="E420" t="s">
        <v>857</v>
      </c>
      <c r="F420" t="s">
        <v>322</v>
      </c>
      <c r="G420" s="31">
        <v>1</v>
      </c>
      <c r="H420" s="31">
        <v>1</v>
      </c>
      <c r="I420" t="s">
        <v>1954</v>
      </c>
      <c r="J420" t="s">
        <v>1954</v>
      </c>
      <c r="K420">
        <v>82206.001000000004</v>
      </c>
      <c r="L420">
        <v>871646</v>
      </c>
      <c r="M420" s="32">
        <v>10.603199999999999</v>
      </c>
      <c r="N420" t="s">
        <v>130</v>
      </c>
      <c r="O420" t="s">
        <v>529</v>
      </c>
      <c r="P420">
        <v>196</v>
      </c>
      <c r="Q420" s="33" t="s">
        <v>1955</v>
      </c>
      <c r="R420" t="s">
        <v>21</v>
      </c>
      <c r="S420" t="s">
        <v>22</v>
      </c>
      <c r="T420">
        <f t="shared" si="6"/>
        <v>313730.8000000004</v>
      </c>
    </row>
    <row r="421" spans="1:20" x14ac:dyDescent="0.25">
      <c r="A421" t="s">
        <v>860</v>
      </c>
      <c r="B421" t="s">
        <v>125</v>
      </c>
      <c r="C421">
        <v>1</v>
      </c>
      <c r="D421">
        <v>55228</v>
      </c>
      <c r="E421" t="s">
        <v>857</v>
      </c>
      <c r="F421" t="s">
        <v>322</v>
      </c>
      <c r="G421" s="31">
        <v>1</v>
      </c>
      <c r="H421" s="31">
        <v>1</v>
      </c>
      <c r="I421" t="s">
        <v>1954</v>
      </c>
      <c r="J421" t="s">
        <v>1954</v>
      </c>
      <c r="K421">
        <v>82206.001000000004</v>
      </c>
      <c r="L421">
        <v>871646</v>
      </c>
      <c r="M421" s="32">
        <v>10.603199999999999</v>
      </c>
      <c r="N421" t="s">
        <v>130</v>
      </c>
      <c r="O421" t="s">
        <v>529</v>
      </c>
      <c r="P421">
        <v>196</v>
      </c>
      <c r="Q421" s="33" t="s">
        <v>1955</v>
      </c>
      <c r="R421" t="s">
        <v>21</v>
      </c>
      <c r="S421" t="s">
        <v>22</v>
      </c>
      <c r="T421">
        <f t="shared" si="6"/>
        <v>313926.8000000004</v>
      </c>
    </row>
    <row r="422" spans="1:20" x14ac:dyDescent="0.25">
      <c r="A422" t="s">
        <v>1196</v>
      </c>
      <c r="B422" t="s">
        <v>109</v>
      </c>
      <c r="C422">
        <v>1</v>
      </c>
      <c r="D422">
        <v>3948</v>
      </c>
      <c r="E422" t="s">
        <v>2116</v>
      </c>
      <c r="F422" t="s">
        <v>118</v>
      </c>
      <c r="G422" s="31">
        <v>0.53520000000000001</v>
      </c>
      <c r="H422" s="31">
        <v>0.58120000000000005</v>
      </c>
      <c r="I422" t="s">
        <v>1954</v>
      </c>
      <c r="J422" t="s">
        <v>1954</v>
      </c>
      <c r="K422">
        <v>3909597.6579999998</v>
      </c>
      <c r="L422">
        <v>41589858</v>
      </c>
      <c r="M422" s="32">
        <v>10.6379</v>
      </c>
      <c r="N422" t="s">
        <v>116</v>
      </c>
      <c r="O422" t="s">
        <v>308</v>
      </c>
      <c r="P422">
        <v>1560</v>
      </c>
      <c r="Q422" t="s">
        <v>1958</v>
      </c>
      <c r="R422" t="s">
        <v>21</v>
      </c>
      <c r="S422" t="s">
        <v>22</v>
      </c>
      <c r="T422">
        <f t="shared" si="6"/>
        <v>315486.8000000004</v>
      </c>
    </row>
    <row r="423" spans="1:20" x14ac:dyDescent="0.25">
      <c r="A423" t="s">
        <v>1198</v>
      </c>
      <c r="B423" t="s">
        <v>109</v>
      </c>
      <c r="C423">
        <v>1</v>
      </c>
      <c r="D423">
        <v>3948</v>
      </c>
      <c r="E423" t="s">
        <v>2116</v>
      </c>
      <c r="F423" t="s">
        <v>118</v>
      </c>
      <c r="G423" s="31">
        <v>0.53520000000000001</v>
      </c>
      <c r="H423" s="31">
        <v>0.58120000000000005</v>
      </c>
      <c r="I423" t="s">
        <v>1954</v>
      </c>
      <c r="J423" t="s">
        <v>1954</v>
      </c>
      <c r="K423">
        <v>3909597.6579999998</v>
      </c>
      <c r="L423">
        <v>41589858</v>
      </c>
      <c r="M423" s="32">
        <v>10.6379</v>
      </c>
      <c r="N423" t="s">
        <v>116</v>
      </c>
      <c r="O423" t="s">
        <v>308</v>
      </c>
      <c r="P423">
        <v>1560</v>
      </c>
      <c r="Q423" t="s">
        <v>1958</v>
      </c>
      <c r="R423" t="s">
        <v>21</v>
      </c>
      <c r="S423" t="s">
        <v>22</v>
      </c>
      <c r="T423">
        <f t="shared" si="6"/>
        <v>317046.8000000004</v>
      </c>
    </row>
    <row r="424" spans="1:20" x14ac:dyDescent="0.25">
      <c r="A424" t="s">
        <v>404</v>
      </c>
      <c r="B424" t="s">
        <v>189</v>
      </c>
      <c r="C424">
        <v>1</v>
      </c>
      <c r="D424">
        <v>1571</v>
      </c>
      <c r="E424" t="s">
        <v>406</v>
      </c>
      <c r="F424" t="s">
        <v>307</v>
      </c>
      <c r="G424" s="31">
        <v>1</v>
      </c>
      <c r="H424" s="31">
        <v>1</v>
      </c>
      <c r="I424" t="s">
        <v>1954</v>
      </c>
      <c r="J424" t="s">
        <v>1954</v>
      </c>
      <c r="K424">
        <v>1651996</v>
      </c>
      <c r="L424">
        <v>17574144</v>
      </c>
      <c r="M424" s="32">
        <v>10.6381</v>
      </c>
      <c r="N424" t="s">
        <v>265</v>
      </c>
      <c r="O424" t="s">
        <v>407</v>
      </c>
      <c r="P424">
        <v>1180.3</v>
      </c>
      <c r="Q424" s="33" t="s">
        <v>1955</v>
      </c>
      <c r="R424" t="s">
        <v>21</v>
      </c>
      <c r="S424" t="s">
        <v>22</v>
      </c>
      <c r="T424">
        <f t="shared" si="6"/>
        <v>318227.10000000038</v>
      </c>
    </row>
    <row r="425" spans="1:20" x14ac:dyDescent="0.25">
      <c r="A425" t="s">
        <v>408</v>
      </c>
      <c r="B425" t="s">
        <v>189</v>
      </c>
      <c r="C425">
        <v>1</v>
      </c>
      <c r="D425">
        <v>1571</v>
      </c>
      <c r="E425" t="s">
        <v>406</v>
      </c>
      <c r="F425" t="s">
        <v>307</v>
      </c>
      <c r="G425" s="31">
        <v>1</v>
      </c>
      <c r="H425" s="31">
        <v>1</v>
      </c>
      <c r="I425" t="s">
        <v>1954</v>
      </c>
      <c r="J425" t="s">
        <v>1954</v>
      </c>
      <c r="K425">
        <v>1651996</v>
      </c>
      <c r="L425">
        <v>17574144</v>
      </c>
      <c r="M425" s="32">
        <v>10.6381</v>
      </c>
      <c r="N425" t="s">
        <v>265</v>
      </c>
      <c r="O425" t="s">
        <v>407</v>
      </c>
      <c r="P425">
        <v>1180.3</v>
      </c>
      <c r="Q425" s="33" t="s">
        <v>1955</v>
      </c>
      <c r="R425" t="s">
        <v>21</v>
      </c>
      <c r="S425" t="s">
        <v>22</v>
      </c>
      <c r="T425">
        <f t="shared" si="6"/>
        <v>319407.40000000037</v>
      </c>
    </row>
    <row r="426" spans="1:20" x14ac:dyDescent="0.25">
      <c r="A426" t="s">
        <v>465</v>
      </c>
      <c r="B426" t="s">
        <v>189</v>
      </c>
      <c r="C426">
        <v>2</v>
      </c>
      <c r="D426">
        <v>6034</v>
      </c>
      <c r="E426" t="s">
        <v>2008</v>
      </c>
      <c r="F426" t="s">
        <v>250</v>
      </c>
      <c r="G426" s="31">
        <v>0.51959999999999995</v>
      </c>
      <c r="H426" s="31">
        <v>0.56559999999999999</v>
      </c>
      <c r="I426" t="s">
        <v>1954</v>
      </c>
      <c r="J426" t="s">
        <v>1954</v>
      </c>
      <c r="K426">
        <v>6071083.9929999998</v>
      </c>
      <c r="L426">
        <v>64635797</v>
      </c>
      <c r="M426" s="32">
        <v>10.6465</v>
      </c>
      <c r="N426" t="s">
        <v>2002</v>
      </c>
      <c r="O426" t="s">
        <v>2009</v>
      </c>
      <c r="P426">
        <v>1270</v>
      </c>
      <c r="Q426" t="s">
        <v>1958</v>
      </c>
      <c r="R426" t="s">
        <v>21</v>
      </c>
      <c r="S426" t="s">
        <v>22</v>
      </c>
      <c r="T426">
        <f t="shared" si="6"/>
        <v>320677.40000000037</v>
      </c>
    </row>
    <row r="427" spans="1:20" x14ac:dyDescent="0.25">
      <c r="A427" t="s">
        <v>467</v>
      </c>
      <c r="B427" t="s">
        <v>189</v>
      </c>
      <c r="C427">
        <v>2</v>
      </c>
      <c r="D427">
        <v>6034</v>
      </c>
      <c r="E427" t="s">
        <v>2008</v>
      </c>
      <c r="F427" t="s">
        <v>250</v>
      </c>
      <c r="G427" s="31">
        <v>0.51959999999999995</v>
      </c>
      <c r="H427" s="31">
        <v>0.56559999999999999</v>
      </c>
      <c r="I427" t="s">
        <v>1954</v>
      </c>
      <c r="J427" t="s">
        <v>1954</v>
      </c>
      <c r="K427">
        <v>6071083.9929999998</v>
      </c>
      <c r="L427">
        <v>64635797</v>
      </c>
      <c r="M427" s="32">
        <v>10.6465</v>
      </c>
      <c r="N427" t="s">
        <v>2002</v>
      </c>
      <c r="O427" t="s">
        <v>2009</v>
      </c>
      <c r="P427">
        <v>1270</v>
      </c>
      <c r="Q427" t="s">
        <v>1958</v>
      </c>
      <c r="R427" t="s">
        <v>21</v>
      </c>
      <c r="S427" t="s">
        <v>22</v>
      </c>
      <c r="T427">
        <f t="shared" si="6"/>
        <v>321947.40000000037</v>
      </c>
    </row>
    <row r="428" spans="1:20" x14ac:dyDescent="0.25">
      <c r="A428" t="s">
        <v>163</v>
      </c>
      <c r="B428" t="s">
        <v>137</v>
      </c>
      <c r="C428">
        <v>1</v>
      </c>
      <c r="D428">
        <v>55279</v>
      </c>
      <c r="E428" t="s">
        <v>164</v>
      </c>
      <c r="F428" t="s">
        <v>166</v>
      </c>
      <c r="G428" s="31">
        <v>1</v>
      </c>
      <c r="H428" s="31">
        <v>1</v>
      </c>
      <c r="I428" t="s">
        <v>1954</v>
      </c>
      <c r="J428" t="s">
        <v>1954</v>
      </c>
      <c r="K428">
        <v>498735</v>
      </c>
      <c r="L428">
        <v>5330425</v>
      </c>
      <c r="M428" s="32">
        <v>10.687900000000001</v>
      </c>
      <c r="N428" t="s">
        <v>141</v>
      </c>
      <c r="O428" t="s">
        <v>167</v>
      </c>
      <c r="P428">
        <v>990.2</v>
      </c>
      <c r="Q428" s="33" t="s">
        <v>1955</v>
      </c>
      <c r="R428" t="s">
        <v>21</v>
      </c>
      <c r="S428" t="s">
        <v>22</v>
      </c>
      <c r="T428">
        <f t="shared" si="6"/>
        <v>322937.60000000038</v>
      </c>
    </row>
    <row r="429" spans="1:20" x14ac:dyDescent="0.25">
      <c r="A429" t="s">
        <v>168</v>
      </c>
      <c r="B429" t="s">
        <v>137</v>
      </c>
      <c r="C429">
        <v>1</v>
      </c>
      <c r="D429">
        <v>55279</v>
      </c>
      <c r="E429" t="s">
        <v>164</v>
      </c>
      <c r="F429" t="s">
        <v>166</v>
      </c>
      <c r="G429" s="31">
        <v>1</v>
      </c>
      <c r="H429" s="31">
        <v>1</v>
      </c>
      <c r="I429" t="s">
        <v>1954</v>
      </c>
      <c r="J429" t="s">
        <v>1954</v>
      </c>
      <c r="K429">
        <v>498735</v>
      </c>
      <c r="L429">
        <v>5330425</v>
      </c>
      <c r="M429" s="32">
        <v>10.687900000000001</v>
      </c>
      <c r="N429" t="s">
        <v>141</v>
      </c>
      <c r="O429" t="s">
        <v>167</v>
      </c>
      <c r="P429">
        <v>990.2</v>
      </c>
      <c r="Q429" s="33" t="s">
        <v>1955</v>
      </c>
      <c r="R429" t="s">
        <v>21</v>
      </c>
      <c r="S429" t="s">
        <v>22</v>
      </c>
      <c r="T429">
        <f t="shared" si="6"/>
        <v>323927.8000000004</v>
      </c>
    </row>
    <row r="430" spans="1:20" x14ac:dyDescent="0.25">
      <c r="A430" t="s">
        <v>169</v>
      </c>
      <c r="B430" t="s">
        <v>137</v>
      </c>
      <c r="C430">
        <v>1</v>
      </c>
      <c r="D430">
        <v>55279</v>
      </c>
      <c r="E430" t="s">
        <v>164</v>
      </c>
      <c r="F430" t="s">
        <v>166</v>
      </c>
      <c r="G430" s="31">
        <v>1</v>
      </c>
      <c r="H430" s="31">
        <v>1</v>
      </c>
      <c r="I430" t="s">
        <v>1954</v>
      </c>
      <c r="J430" t="s">
        <v>1954</v>
      </c>
      <c r="K430">
        <v>498735</v>
      </c>
      <c r="L430">
        <v>5330425</v>
      </c>
      <c r="M430" s="32">
        <v>10.687900000000001</v>
      </c>
      <c r="N430" t="s">
        <v>141</v>
      </c>
      <c r="O430" t="s">
        <v>167</v>
      </c>
      <c r="P430">
        <v>990.2</v>
      </c>
      <c r="Q430" s="33" t="s">
        <v>1955</v>
      </c>
      <c r="R430" t="s">
        <v>21</v>
      </c>
      <c r="S430" t="s">
        <v>22</v>
      </c>
      <c r="T430">
        <f t="shared" si="6"/>
        <v>324918.00000000041</v>
      </c>
    </row>
    <row r="431" spans="1:20" x14ac:dyDescent="0.25">
      <c r="A431" t="s">
        <v>170</v>
      </c>
      <c r="B431" t="s">
        <v>137</v>
      </c>
      <c r="C431">
        <v>1</v>
      </c>
      <c r="D431">
        <v>55279</v>
      </c>
      <c r="E431" t="s">
        <v>164</v>
      </c>
      <c r="F431" t="s">
        <v>166</v>
      </c>
      <c r="G431" s="31">
        <v>1</v>
      </c>
      <c r="H431" s="31">
        <v>1</v>
      </c>
      <c r="I431" t="s">
        <v>1954</v>
      </c>
      <c r="J431" t="s">
        <v>1954</v>
      </c>
      <c r="K431">
        <v>498735</v>
      </c>
      <c r="L431">
        <v>5330425</v>
      </c>
      <c r="M431" s="32">
        <v>10.687900000000001</v>
      </c>
      <c r="N431" t="s">
        <v>141</v>
      </c>
      <c r="O431" t="s">
        <v>167</v>
      </c>
      <c r="P431">
        <v>990.2</v>
      </c>
      <c r="Q431" s="33" t="s">
        <v>1955</v>
      </c>
      <c r="R431" t="s">
        <v>21</v>
      </c>
      <c r="S431" t="s">
        <v>22</v>
      </c>
      <c r="T431">
        <f t="shared" si="6"/>
        <v>325908.20000000042</v>
      </c>
    </row>
    <row r="432" spans="1:20" x14ac:dyDescent="0.25">
      <c r="A432" t="s">
        <v>171</v>
      </c>
      <c r="B432" t="s">
        <v>137</v>
      </c>
      <c r="C432">
        <v>1</v>
      </c>
      <c r="D432">
        <v>55279</v>
      </c>
      <c r="E432" t="s">
        <v>164</v>
      </c>
      <c r="F432" t="s">
        <v>166</v>
      </c>
      <c r="G432" s="31">
        <v>1</v>
      </c>
      <c r="H432" s="31">
        <v>1</v>
      </c>
      <c r="I432" t="s">
        <v>1954</v>
      </c>
      <c r="J432" t="s">
        <v>1954</v>
      </c>
      <c r="K432">
        <v>498735</v>
      </c>
      <c r="L432">
        <v>5330425</v>
      </c>
      <c r="M432" s="32">
        <v>10.687900000000001</v>
      </c>
      <c r="N432" t="s">
        <v>141</v>
      </c>
      <c r="O432" t="s">
        <v>167</v>
      </c>
      <c r="P432">
        <v>990.2</v>
      </c>
      <c r="Q432" s="33" t="s">
        <v>1955</v>
      </c>
      <c r="R432" t="s">
        <v>21</v>
      </c>
      <c r="S432" t="s">
        <v>22</v>
      </c>
      <c r="T432">
        <f t="shared" si="6"/>
        <v>326898.40000000043</v>
      </c>
    </row>
    <row r="433" spans="1:20" x14ac:dyDescent="0.25">
      <c r="A433" t="s">
        <v>172</v>
      </c>
      <c r="B433" t="s">
        <v>137</v>
      </c>
      <c r="C433">
        <v>1</v>
      </c>
      <c r="D433">
        <v>55279</v>
      </c>
      <c r="E433" t="s">
        <v>164</v>
      </c>
      <c r="F433" t="s">
        <v>166</v>
      </c>
      <c r="G433" s="31">
        <v>1</v>
      </c>
      <c r="H433" s="31">
        <v>1</v>
      </c>
      <c r="I433" t="s">
        <v>1954</v>
      </c>
      <c r="J433" t="s">
        <v>1954</v>
      </c>
      <c r="K433">
        <v>498735</v>
      </c>
      <c r="L433">
        <v>5330425</v>
      </c>
      <c r="M433" s="32">
        <v>10.687900000000001</v>
      </c>
      <c r="N433" t="s">
        <v>141</v>
      </c>
      <c r="O433" t="s">
        <v>167</v>
      </c>
      <c r="P433">
        <v>990.2</v>
      </c>
      <c r="Q433" s="33" t="s">
        <v>1955</v>
      </c>
      <c r="R433" t="s">
        <v>21</v>
      </c>
      <c r="S433" t="s">
        <v>22</v>
      </c>
      <c r="T433">
        <f t="shared" si="6"/>
        <v>327888.60000000044</v>
      </c>
    </row>
    <row r="434" spans="1:20" x14ac:dyDescent="0.25">
      <c r="A434" t="s">
        <v>173</v>
      </c>
      <c r="B434" t="s">
        <v>137</v>
      </c>
      <c r="C434">
        <v>1</v>
      </c>
      <c r="D434">
        <v>55279</v>
      </c>
      <c r="E434" t="s">
        <v>164</v>
      </c>
      <c r="F434" t="s">
        <v>166</v>
      </c>
      <c r="G434" s="31">
        <v>1</v>
      </c>
      <c r="H434" s="31">
        <v>1</v>
      </c>
      <c r="I434" t="s">
        <v>1954</v>
      </c>
      <c r="J434" t="s">
        <v>1954</v>
      </c>
      <c r="K434">
        <v>498735</v>
      </c>
      <c r="L434">
        <v>5330425</v>
      </c>
      <c r="M434" s="32">
        <v>10.687900000000001</v>
      </c>
      <c r="N434" t="s">
        <v>141</v>
      </c>
      <c r="O434" t="s">
        <v>167</v>
      </c>
      <c r="P434">
        <v>990.2</v>
      </c>
      <c r="Q434" s="33" t="s">
        <v>1955</v>
      </c>
      <c r="R434" t="s">
        <v>21</v>
      </c>
      <c r="S434" t="s">
        <v>22</v>
      </c>
      <c r="T434">
        <f t="shared" si="6"/>
        <v>328878.80000000045</v>
      </c>
    </row>
    <row r="435" spans="1:20" x14ac:dyDescent="0.25">
      <c r="A435" t="s">
        <v>174</v>
      </c>
      <c r="B435" t="s">
        <v>137</v>
      </c>
      <c r="C435">
        <v>1</v>
      </c>
      <c r="D435">
        <v>55279</v>
      </c>
      <c r="E435" t="s">
        <v>164</v>
      </c>
      <c r="F435" t="s">
        <v>166</v>
      </c>
      <c r="G435" s="31">
        <v>1</v>
      </c>
      <c r="H435" s="31">
        <v>1</v>
      </c>
      <c r="I435" t="s">
        <v>1954</v>
      </c>
      <c r="J435" t="s">
        <v>1954</v>
      </c>
      <c r="K435">
        <v>498735</v>
      </c>
      <c r="L435">
        <v>5330425</v>
      </c>
      <c r="M435" s="32">
        <v>10.687900000000001</v>
      </c>
      <c r="N435" t="s">
        <v>141</v>
      </c>
      <c r="O435" t="s">
        <v>167</v>
      </c>
      <c r="P435">
        <v>990.2</v>
      </c>
      <c r="Q435" s="33" t="s">
        <v>1955</v>
      </c>
      <c r="R435" t="s">
        <v>21</v>
      </c>
      <c r="S435" t="s">
        <v>22</v>
      </c>
      <c r="T435">
        <f t="shared" si="6"/>
        <v>329869.00000000047</v>
      </c>
    </row>
    <row r="436" spans="1:20" x14ac:dyDescent="0.25">
      <c r="A436" t="s">
        <v>175</v>
      </c>
      <c r="B436" t="s">
        <v>137</v>
      </c>
      <c r="C436">
        <v>1</v>
      </c>
      <c r="D436">
        <v>55279</v>
      </c>
      <c r="E436" t="s">
        <v>164</v>
      </c>
      <c r="F436" t="s">
        <v>166</v>
      </c>
      <c r="G436" s="31">
        <v>1</v>
      </c>
      <c r="H436" s="31">
        <v>1</v>
      </c>
      <c r="I436" t="s">
        <v>1954</v>
      </c>
      <c r="J436" t="s">
        <v>1954</v>
      </c>
      <c r="K436">
        <v>498735</v>
      </c>
      <c r="L436">
        <v>5330425</v>
      </c>
      <c r="M436" s="32">
        <v>10.687900000000001</v>
      </c>
      <c r="N436" t="s">
        <v>141</v>
      </c>
      <c r="O436" t="s">
        <v>167</v>
      </c>
      <c r="P436">
        <v>990.2</v>
      </c>
      <c r="Q436" s="33" t="s">
        <v>1955</v>
      </c>
      <c r="R436" t="s">
        <v>21</v>
      </c>
      <c r="S436" t="s">
        <v>22</v>
      </c>
      <c r="T436">
        <f t="shared" si="6"/>
        <v>330859.20000000048</v>
      </c>
    </row>
    <row r="437" spans="1:20" x14ac:dyDescent="0.25">
      <c r="A437" t="s">
        <v>176</v>
      </c>
      <c r="B437" t="s">
        <v>137</v>
      </c>
      <c r="C437">
        <v>1</v>
      </c>
      <c r="D437">
        <v>55279</v>
      </c>
      <c r="E437" t="s">
        <v>164</v>
      </c>
      <c r="F437" t="s">
        <v>166</v>
      </c>
      <c r="G437" s="31">
        <v>1</v>
      </c>
      <c r="H437" s="31">
        <v>1</v>
      </c>
      <c r="I437" t="s">
        <v>1954</v>
      </c>
      <c r="J437" t="s">
        <v>1954</v>
      </c>
      <c r="K437">
        <v>498735</v>
      </c>
      <c r="L437">
        <v>5330425</v>
      </c>
      <c r="M437" s="32">
        <v>10.687900000000001</v>
      </c>
      <c r="N437" t="s">
        <v>141</v>
      </c>
      <c r="O437" t="s">
        <v>167</v>
      </c>
      <c r="P437">
        <v>990.2</v>
      </c>
      <c r="Q437" s="33" t="s">
        <v>1955</v>
      </c>
      <c r="R437" t="s">
        <v>21</v>
      </c>
      <c r="S437" t="s">
        <v>22</v>
      </c>
      <c r="T437">
        <f t="shared" si="6"/>
        <v>331849.40000000049</v>
      </c>
    </row>
    <row r="438" spans="1:20" x14ac:dyDescent="0.25">
      <c r="A438" t="s">
        <v>1736</v>
      </c>
      <c r="B438" t="s">
        <v>109</v>
      </c>
      <c r="C438">
        <v>2</v>
      </c>
      <c r="D438">
        <v>997</v>
      </c>
      <c r="E438" t="s">
        <v>2017</v>
      </c>
      <c r="F438" t="s">
        <v>131</v>
      </c>
      <c r="G438" s="31">
        <v>0.52080000000000004</v>
      </c>
      <c r="H438" s="31">
        <v>0.56679999999999997</v>
      </c>
      <c r="I438" t="s">
        <v>1954</v>
      </c>
      <c r="J438" t="s">
        <v>1954</v>
      </c>
      <c r="K438">
        <v>1906845.1040000001</v>
      </c>
      <c r="L438">
        <v>20393237</v>
      </c>
      <c r="M438" s="32">
        <v>10.694800000000001</v>
      </c>
      <c r="N438" t="s">
        <v>458</v>
      </c>
      <c r="O438" t="s">
        <v>581</v>
      </c>
      <c r="P438">
        <v>455</v>
      </c>
      <c r="Q438" t="s">
        <v>1958</v>
      </c>
      <c r="R438" t="s">
        <v>21</v>
      </c>
      <c r="S438" t="s">
        <v>22</v>
      </c>
      <c r="T438">
        <f t="shared" si="6"/>
        <v>332304.40000000049</v>
      </c>
    </row>
    <row r="439" spans="1:20" x14ac:dyDescent="0.25">
      <c r="A439" t="s">
        <v>493</v>
      </c>
      <c r="B439" t="s">
        <v>194</v>
      </c>
      <c r="C439">
        <v>1</v>
      </c>
      <c r="D439">
        <v>3118</v>
      </c>
      <c r="E439" t="s">
        <v>490</v>
      </c>
      <c r="F439" t="s">
        <v>143</v>
      </c>
      <c r="G439" s="31">
        <v>0.64459999999999995</v>
      </c>
      <c r="H439" s="31">
        <v>0.69059999999999999</v>
      </c>
      <c r="I439" t="s">
        <v>1954</v>
      </c>
      <c r="J439" t="s">
        <v>1954</v>
      </c>
      <c r="K439">
        <v>682</v>
      </c>
      <c r="L439">
        <v>7304</v>
      </c>
      <c r="M439" s="32">
        <v>10.7097</v>
      </c>
      <c r="N439" t="s">
        <v>199</v>
      </c>
      <c r="O439" t="s">
        <v>494</v>
      </c>
      <c r="P439">
        <v>11.2</v>
      </c>
      <c r="Q439" s="33" t="s">
        <v>1956</v>
      </c>
      <c r="R439" t="s">
        <v>21</v>
      </c>
      <c r="S439" t="s">
        <v>22</v>
      </c>
      <c r="T439">
        <f t="shared" si="6"/>
        <v>332315.6000000005</v>
      </c>
    </row>
    <row r="440" spans="1:20" x14ac:dyDescent="0.25">
      <c r="A440" t="s">
        <v>579</v>
      </c>
      <c r="B440" t="s">
        <v>189</v>
      </c>
      <c r="C440">
        <v>1</v>
      </c>
      <c r="D440">
        <v>997</v>
      </c>
      <c r="E440" t="s">
        <v>2017</v>
      </c>
      <c r="F440" t="s">
        <v>131</v>
      </c>
      <c r="G440" s="31">
        <v>0.39229999999999998</v>
      </c>
      <c r="H440" s="31">
        <v>0.43830000000000002</v>
      </c>
      <c r="I440" t="s">
        <v>1954</v>
      </c>
      <c r="J440" t="s">
        <v>1954</v>
      </c>
      <c r="K440">
        <v>1934991.997</v>
      </c>
      <c r="L440">
        <v>20750414</v>
      </c>
      <c r="M440" s="32">
        <v>10.723800000000001</v>
      </c>
      <c r="N440" t="s">
        <v>1990</v>
      </c>
      <c r="O440" t="s">
        <v>581</v>
      </c>
      <c r="P440">
        <v>455</v>
      </c>
      <c r="Q440" t="s">
        <v>1958</v>
      </c>
      <c r="R440" t="s">
        <v>21</v>
      </c>
      <c r="S440" t="s">
        <v>22</v>
      </c>
      <c r="T440">
        <f t="shared" si="6"/>
        <v>332770.6000000005</v>
      </c>
    </row>
    <row r="441" spans="1:20" x14ac:dyDescent="0.25">
      <c r="A441" t="s">
        <v>369</v>
      </c>
      <c r="B441" t="s">
        <v>189</v>
      </c>
      <c r="C441">
        <v>3</v>
      </c>
      <c r="D441">
        <v>10</v>
      </c>
      <c r="E441" t="s">
        <v>1991</v>
      </c>
      <c r="F441" t="s">
        <v>477</v>
      </c>
      <c r="G441" s="31">
        <v>0.40429999999999999</v>
      </c>
      <c r="H441" s="31">
        <v>0.33229999999999998</v>
      </c>
      <c r="I441" t="s">
        <v>1954</v>
      </c>
      <c r="J441" t="s">
        <v>1954</v>
      </c>
      <c r="K441">
        <v>1068285</v>
      </c>
      <c r="L441">
        <v>11462898</v>
      </c>
      <c r="M441" s="32">
        <v>10.7302</v>
      </c>
      <c r="N441" t="s">
        <v>265</v>
      </c>
      <c r="O441" t="s">
        <v>308</v>
      </c>
      <c r="P441">
        <v>516.1</v>
      </c>
      <c r="Q441" t="s">
        <v>1958</v>
      </c>
      <c r="R441" t="s">
        <v>21</v>
      </c>
      <c r="S441" t="s">
        <v>22</v>
      </c>
      <c r="T441">
        <f t="shared" si="6"/>
        <v>333286.70000000048</v>
      </c>
    </row>
    <row r="442" spans="1:20" x14ac:dyDescent="0.25">
      <c r="A442" t="s">
        <v>820</v>
      </c>
      <c r="B442" t="s">
        <v>189</v>
      </c>
      <c r="C442">
        <v>2</v>
      </c>
      <c r="D442">
        <v>10</v>
      </c>
      <c r="E442" t="s">
        <v>1991</v>
      </c>
      <c r="F442" t="s">
        <v>477</v>
      </c>
      <c r="G442" s="31">
        <v>0.42480000000000001</v>
      </c>
      <c r="H442" s="31">
        <v>0.3528</v>
      </c>
      <c r="I442" t="s">
        <v>1954</v>
      </c>
      <c r="J442" t="s">
        <v>1954</v>
      </c>
      <c r="K442">
        <v>1068285</v>
      </c>
      <c r="L442">
        <v>11462898</v>
      </c>
      <c r="M442" s="32">
        <v>10.7302</v>
      </c>
      <c r="N442" t="s">
        <v>265</v>
      </c>
      <c r="O442" t="s">
        <v>308</v>
      </c>
      <c r="P442">
        <v>516.1</v>
      </c>
      <c r="Q442" t="s">
        <v>1958</v>
      </c>
      <c r="R442" t="s">
        <v>21</v>
      </c>
      <c r="S442" t="s">
        <v>22</v>
      </c>
      <c r="T442">
        <f t="shared" si="6"/>
        <v>333802.80000000045</v>
      </c>
    </row>
    <row r="443" spans="1:20" x14ac:dyDescent="0.25">
      <c r="A443" t="s">
        <v>1051</v>
      </c>
      <c r="B443" t="s">
        <v>189</v>
      </c>
      <c r="C443">
        <v>3</v>
      </c>
      <c r="D443">
        <v>10</v>
      </c>
      <c r="E443" t="s">
        <v>1991</v>
      </c>
      <c r="F443" t="s">
        <v>477</v>
      </c>
      <c r="G443" s="31">
        <v>0.40649999999999997</v>
      </c>
      <c r="H443" s="31">
        <v>0.33450000000000002</v>
      </c>
      <c r="I443" t="s">
        <v>1954</v>
      </c>
      <c r="J443" t="s">
        <v>1954</v>
      </c>
      <c r="K443">
        <v>1068285</v>
      </c>
      <c r="L443">
        <v>11462898</v>
      </c>
      <c r="M443" s="32">
        <v>10.7302</v>
      </c>
      <c r="N443" t="s">
        <v>265</v>
      </c>
      <c r="O443" t="s">
        <v>308</v>
      </c>
      <c r="P443">
        <v>516.1</v>
      </c>
      <c r="Q443" t="s">
        <v>1958</v>
      </c>
      <c r="R443" t="s">
        <v>21</v>
      </c>
      <c r="S443" t="s">
        <v>22</v>
      </c>
      <c r="T443">
        <f t="shared" si="6"/>
        <v>334318.90000000043</v>
      </c>
    </row>
    <row r="444" spans="1:20" x14ac:dyDescent="0.25">
      <c r="A444" t="s">
        <v>1846</v>
      </c>
      <c r="B444" t="s">
        <v>189</v>
      </c>
      <c r="C444">
        <v>3</v>
      </c>
      <c r="D444">
        <v>10</v>
      </c>
      <c r="E444" t="s">
        <v>1991</v>
      </c>
      <c r="F444" t="s">
        <v>477</v>
      </c>
      <c r="G444" s="31">
        <v>0.41120000000000001</v>
      </c>
      <c r="H444" s="31">
        <v>0.3392</v>
      </c>
      <c r="I444" t="s">
        <v>1954</v>
      </c>
      <c r="J444" t="s">
        <v>1954</v>
      </c>
      <c r="K444">
        <v>1068285</v>
      </c>
      <c r="L444">
        <v>11462898</v>
      </c>
      <c r="M444" s="32">
        <v>10.7302</v>
      </c>
      <c r="N444" t="s">
        <v>265</v>
      </c>
      <c r="O444" t="s">
        <v>308</v>
      </c>
      <c r="P444">
        <v>516.1</v>
      </c>
      <c r="Q444" t="s">
        <v>1958</v>
      </c>
      <c r="R444" t="s">
        <v>21</v>
      </c>
      <c r="S444" t="s">
        <v>22</v>
      </c>
      <c r="T444">
        <f t="shared" si="6"/>
        <v>334835.00000000041</v>
      </c>
    </row>
    <row r="445" spans="1:20" x14ac:dyDescent="0.25">
      <c r="A445" t="s">
        <v>455</v>
      </c>
      <c r="B445" t="s">
        <v>109</v>
      </c>
      <c r="C445">
        <v>2</v>
      </c>
      <c r="D445">
        <v>2876</v>
      </c>
      <c r="E445" t="s">
        <v>1026</v>
      </c>
      <c r="F445" t="s">
        <v>322</v>
      </c>
      <c r="G445" s="31">
        <v>0.39829999999999999</v>
      </c>
      <c r="H445" s="31">
        <v>0.44429999999999997</v>
      </c>
      <c r="I445" t="s">
        <v>1954</v>
      </c>
      <c r="J445" t="s">
        <v>1954</v>
      </c>
      <c r="K445">
        <v>5375360.4850000003</v>
      </c>
      <c r="L445">
        <v>57819213</v>
      </c>
      <c r="M445" s="32">
        <v>10.7563</v>
      </c>
      <c r="N445" t="s">
        <v>458</v>
      </c>
      <c r="O445" t="s">
        <v>1028</v>
      </c>
      <c r="P445">
        <v>962.8</v>
      </c>
      <c r="Q445" t="s">
        <v>1958</v>
      </c>
      <c r="R445" t="s">
        <v>21</v>
      </c>
      <c r="S445" t="s">
        <v>22</v>
      </c>
      <c r="T445">
        <f t="shared" si="6"/>
        <v>335797.8000000004</v>
      </c>
    </row>
    <row r="446" spans="1:20" x14ac:dyDescent="0.25">
      <c r="A446" t="s">
        <v>460</v>
      </c>
      <c r="B446" t="s">
        <v>109</v>
      </c>
      <c r="C446">
        <v>2</v>
      </c>
      <c r="D446">
        <v>2876</v>
      </c>
      <c r="E446" t="s">
        <v>1026</v>
      </c>
      <c r="F446" t="s">
        <v>322</v>
      </c>
      <c r="G446" s="31">
        <v>0.39829999999999999</v>
      </c>
      <c r="H446" s="31">
        <v>0.44429999999999997</v>
      </c>
      <c r="I446" t="s">
        <v>1954</v>
      </c>
      <c r="J446" t="s">
        <v>1954</v>
      </c>
      <c r="K446">
        <v>5375360.4850000003</v>
      </c>
      <c r="L446">
        <v>57819213</v>
      </c>
      <c r="M446" s="32">
        <v>10.7563</v>
      </c>
      <c r="N446" t="s">
        <v>458</v>
      </c>
      <c r="O446" t="s">
        <v>1028</v>
      </c>
      <c r="P446">
        <v>962.8</v>
      </c>
      <c r="Q446" t="s">
        <v>1958</v>
      </c>
      <c r="R446" t="s">
        <v>21</v>
      </c>
      <c r="S446" t="s">
        <v>22</v>
      </c>
      <c r="T446">
        <f t="shared" si="6"/>
        <v>336760.60000000038</v>
      </c>
    </row>
    <row r="447" spans="1:20" x14ac:dyDescent="0.25">
      <c r="A447" t="s">
        <v>461</v>
      </c>
      <c r="B447" t="s">
        <v>109</v>
      </c>
      <c r="C447">
        <v>2</v>
      </c>
      <c r="D447">
        <v>2876</v>
      </c>
      <c r="E447" t="s">
        <v>1026</v>
      </c>
      <c r="F447" t="s">
        <v>322</v>
      </c>
      <c r="G447" s="31">
        <v>0.39829999999999999</v>
      </c>
      <c r="H447" s="31">
        <v>0.44429999999999997</v>
      </c>
      <c r="I447" t="s">
        <v>1954</v>
      </c>
      <c r="J447" t="s">
        <v>1954</v>
      </c>
      <c r="K447">
        <v>5375360.4850000003</v>
      </c>
      <c r="L447">
        <v>57819213</v>
      </c>
      <c r="M447" s="32">
        <v>10.7563</v>
      </c>
      <c r="N447" t="s">
        <v>458</v>
      </c>
      <c r="O447" t="s">
        <v>1028</v>
      </c>
      <c r="P447">
        <v>962.8</v>
      </c>
      <c r="Q447" t="s">
        <v>1958</v>
      </c>
      <c r="R447" t="s">
        <v>21</v>
      </c>
      <c r="S447" t="s">
        <v>22</v>
      </c>
      <c r="T447">
        <f t="shared" si="6"/>
        <v>337723.40000000037</v>
      </c>
    </row>
    <row r="448" spans="1:20" x14ac:dyDescent="0.25">
      <c r="A448" t="s">
        <v>462</v>
      </c>
      <c r="B448" t="s">
        <v>109</v>
      </c>
      <c r="C448">
        <v>2</v>
      </c>
      <c r="D448">
        <v>2876</v>
      </c>
      <c r="E448" t="s">
        <v>1026</v>
      </c>
      <c r="F448" t="s">
        <v>322</v>
      </c>
      <c r="G448" s="31">
        <v>0.39829999999999999</v>
      </c>
      <c r="H448" s="31">
        <v>0.44429999999999997</v>
      </c>
      <c r="I448" t="s">
        <v>1954</v>
      </c>
      <c r="J448" t="s">
        <v>1954</v>
      </c>
      <c r="K448">
        <v>5375360.4850000003</v>
      </c>
      <c r="L448">
        <v>57819213</v>
      </c>
      <c r="M448" s="32">
        <v>10.7563</v>
      </c>
      <c r="N448" t="s">
        <v>458</v>
      </c>
      <c r="O448" t="s">
        <v>1028</v>
      </c>
      <c r="P448">
        <v>962.8</v>
      </c>
      <c r="Q448" t="s">
        <v>1958</v>
      </c>
      <c r="R448" t="s">
        <v>21</v>
      </c>
      <c r="S448" t="s">
        <v>22</v>
      </c>
      <c r="T448">
        <f t="shared" si="6"/>
        <v>338686.20000000036</v>
      </c>
    </row>
    <row r="449" spans="1:20" x14ac:dyDescent="0.25">
      <c r="A449" t="s">
        <v>463</v>
      </c>
      <c r="B449" t="s">
        <v>109</v>
      </c>
      <c r="C449">
        <v>2</v>
      </c>
      <c r="D449">
        <v>2876</v>
      </c>
      <c r="E449" t="s">
        <v>1026</v>
      </c>
      <c r="F449" t="s">
        <v>322</v>
      </c>
      <c r="G449" s="31">
        <v>0.39829999999999999</v>
      </c>
      <c r="H449" s="31">
        <v>0.44429999999999997</v>
      </c>
      <c r="I449" t="s">
        <v>1954</v>
      </c>
      <c r="J449" t="s">
        <v>1954</v>
      </c>
      <c r="K449">
        <v>5375360.4850000003</v>
      </c>
      <c r="L449">
        <v>57819213</v>
      </c>
      <c r="M449" s="32">
        <v>10.7563</v>
      </c>
      <c r="N449" t="s">
        <v>458</v>
      </c>
      <c r="O449" t="s">
        <v>1028</v>
      </c>
      <c r="P449">
        <v>962.8</v>
      </c>
      <c r="Q449" t="s">
        <v>1958</v>
      </c>
      <c r="R449" t="s">
        <v>21</v>
      </c>
      <c r="S449" t="s">
        <v>22</v>
      </c>
      <c r="T449">
        <f t="shared" si="6"/>
        <v>339649.00000000035</v>
      </c>
    </row>
    <row r="450" spans="1:20" x14ac:dyDescent="0.25">
      <c r="A450" t="s">
        <v>464</v>
      </c>
      <c r="B450" t="s">
        <v>109</v>
      </c>
      <c r="C450">
        <v>2</v>
      </c>
      <c r="D450">
        <v>2876</v>
      </c>
      <c r="E450" t="s">
        <v>1026</v>
      </c>
      <c r="F450" t="s">
        <v>322</v>
      </c>
      <c r="G450" s="31">
        <v>0.39829999999999999</v>
      </c>
      <c r="H450" s="31">
        <v>0.44429999999999997</v>
      </c>
      <c r="I450" t="s">
        <v>1954</v>
      </c>
      <c r="J450" t="s">
        <v>1954</v>
      </c>
      <c r="K450">
        <v>5375360.4850000003</v>
      </c>
      <c r="L450">
        <v>57819213</v>
      </c>
      <c r="M450" s="32">
        <v>10.7563</v>
      </c>
      <c r="N450" t="s">
        <v>458</v>
      </c>
      <c r="O450" t="s">
        <v>1028</v>
      </c>
      <c r="P450">
        <v>962.8</v>
      </c>
      <c r="Q450" t="s">
        <v>1958</v>
      </c>
      <c r="R450" t="s">
        <v>21</v>
      </c>
      <c r="S450" t="s">
        <v>22</v>
      </c>
      <c r="T450">
        <f t="shared" si="6"/>
        <v>340611.80000000034</v>
      </c>
    </row>
    <row r="451" spans="1:20" x14ac:dyDescent="0.25">
      <c r="A451" t="s">
        <v>1025</v>
      </c>
      <c r="B451" t="s">
        <v>109</v>
      </c>
      <c r="C451">
        <v>1</v>
      </c>
      <c r="D451">
        <v>2876</v>
      </c>
      <c r="E451" t="s">
        <v>1026</v>
      </c>
      <c r="F451" t="s">
        <v>322</v>
      </c>
      <c r="G451" s="31">
        <v>0.76329999999999998</v>
      </c>
      <c r="H451" s="31">
        <v>0.80930000000000002</v>
      </c>
      <c r="I451" t="s">
        <v>1954</v>
      </c>
      <c r="J451" t="s">
        <v>1954</v>
      </c>
      <c r="K451">
        <v>5375360.4850000003</v>
      </c>
      <c r="L451">
        <v>57819213</v>
      </c>
      <c r="M451" s="32">
        <v>10.7563</v>
      </c>
      <c r="N451" t="s">
        <v>458</v>
      </c>
      <c r="O451" t="s">
        <v>1028</v>
      </c>
      <c r="P451">
        <v>962.8</v>
      </c>
      <c r="Q451" s="33" t="s">
        <v>1956</v>
      </c>
      <c r="R451" t="s">
        <v>21</v>
      </c>
      <c r="S451" t="s">
        <v>22</v>
      </c>
      <c r="T451">
        <f t="shared" si="6"/>
        <v>341574.60000000033</v>
      </c>
    </row>
    <row r="452" spans="1:20" x14ac:dyDescent="0.25">
      <c r="A452" t="s">
        <v>1029</v>
      </c>
      <c r="B452" t="s">
        <v>109</v>
      </c>
      <c r="C452">
        <v>1</v>
      </c>
      <c r="D452">
        <v>2876</v>
      </c>
      <c r="E452" t="s">
        <v>1026</v>
      </c>
      <c r="F452" t="s">
        <v>322</v>
      </c>
      <c r="G452" s="31">
        <v>0.76329999999999998</v>
      </c>
      <c r="H452" s="31">
        <v>0.80930000000000002</v>
      </c>
      <c r="I452" t="s">
        <v>1954</v>
      </c>
      <c r="J452" t="s">
        <v>1954</v>
      </c>
      <c r="K452">
        <v>5375360.4850000003</v>
      </c>
      <c r="L452">
        <v>57819213</v>
      </c>
      <c r="M452" s="32">
        <v>10.7563</v>
      </c>
      <c r="N452" t="s">
        <v>458</v>
      </c>
      <c r="O452" t="s">
        <v>1028</v>
      </c>
      <c r="P452">
        <v>962.8</v>
      </c>
      <c r="Q452" s="33" t="s">
        <v>1956</v>
      </c>
      <c r="R452" t="s">
        <v>21</v>
      </c>
      <c r="S452" t="s">
        <v>22</v>
      </c>
      <c r="T452">
        <f t="shared" ref="T452:T515" si="7">T451+P452</f>
        <v>342537.40000000031</v>
      </c>
    </row>
    <row r="453" spans="1:20" x14ac:dyDescent="0.25">
      <c r="A453" t="s">
        <v>1030</v>
      </c>
      <c r="B453" t="s">
        <v>109</v>
      </c>
      <c r="C453">
        <v>1</v>
      </c>
      <c r="D453">
        <v>2876</v>
      </c>
      <c r="E453" t="s">
        <v>1026</v>
      </c>
      <c r="F453" t="s">
        <v>322</v>
      </c>
      <c r="G453" s="31">
        <v>0.76329999999999998</v>
      </c>
      <c r="H453" s="31">
        <v>0.80930000000000002</v>
      </c>
      <c r="I453" t="s">
        <v>1954</v>
      </c>
      <c r="J453" t="s">
        <v>1954</v>
      </c>
      <c r="K453">
        <v>5375360.4850000003</v>
      </c>
      <c r="L453">
        <v>57819213</v>
      </c>
      <c r="M453" s="32">
        <v>10.7563</v>
      </c>
      <c r="N453" t="s">
        <v>458</v>
      </c>
      <c r="O453" t="s">
        <v>1028</v>
      </c>
      <c r="P453">
        <v>962.8</v>
      </c>
      <c r="Q453" s="33" t="s">
        <v>1956</v>
      </c>
      <c r="R453" t="s">
        <v>21</v>
      </c>
      <c r="S453" t="s">
        <v>22</v>
      </c>
      <c r="T453">
        <f t="shared" si="7"/>
        <v>343500.2000000003</v>
      </c>
    </row>
    <row r="454" spans="1:20" x14ac:dyDescent="0.25">
      <c r="A454" t="s">
        <v>1031</v>
      </c>
      <c r="B454" t="s">
        <v>109</v>
      </c>
      <c r="C454">
        <v>1</v>
      </c>
      <c r="D454">
        <v>2876</v>
      </c>
      <c r="E454" t="s">
        <v>1026</v>
      </c>
      <c r="F454" t="s">
        <v>322</v>
      </c>
      <c r="G454" s="31">
        <v>0.76329999999999998</v>
      </c>
      <c r="H454" s="31">
        <v>0.80930000000000002</v>
      </c>
      <c r="I454" t="s">
        <v>1954</v>
      </c>
      <c r="J454" t="s">
        <v>1954</v>
      </c>
      <c r="K454">
        <v>5375360.4850000003</v>
      </c>
      <c r="L454">
        <v>57819213</v>
      </c>
      <c r="M454" s="32">
        <v>10.7563</v>
      </c>
      <c r="N454" t="s">
        <v>458</v>
      </c>
      <c r="O454" t="s">
        <v>1028</v>
      </c>
      <c r="P454">
        <v>962.8</v>
      </c>
      <c r="Q454" s="33" t="s">
        <v>1956</v>
      </c>
      <c r="R454" t="s">
        <v>21</v>
      </c>
      <c r="S454" t="s">
        <v>22</v>
      </c>
      <c r="T454">
        <f t="shared" si="7"/>
        <v>344463.00000000029</v>
      </c>
    </row>
    <row r="455" spans="1:20" x14ac:dyDescent="0.25">
      <c r="A455" t="s">
        <v>1032</v>
      </c>
      <c r="B455" t="s">
        <v>109</v>
      </c>
      <c r="C455">
        <v>1</v>
      </c>
      <c r="D455">
        <v>2876</v>
      </c>
      <c r="E455" t="s">
        <v>1026</v>
      </c>
      <c r="F455" t="s">
        <v>322</v>
      </c>
      <c r="G455" s="31">
        <v>0.76329999999999998</v>
      </c>
      <c r="H455" s="31">
        <v>0.80930000000000002</v>
      </c>
      <c r="I455" t="s">
        <v>1954</v>
      </c>
      <c r="J455" t="s">
        <v>1954</v>
      </c>
      <c r="K455">
        <v>5375360.4850000003</v>
      </c>
      <c r="L455">
        <v>57819213</v>
      </c>
      <c r="M455" s="32">
        <v>10.7563</v>
      </c>
      <c r="N455" t="s">
        <v>458</v>
      </c>
      <c r="O455" t="s">
        <v>1028</v>
      </c>
      <c r="P455">
        <v>962.8</v>
      </c>
      <c r="Q455" s="33" t="s">
        <v>1956</v>
      </c>
      <c r="R455" t="s">
        <v>21</v>
      </c>
      <c r="S455" t="s">
        <v>22</v>
      </c>
      <c r="T455">
        <f t="shared" si="7"/>
        <v>345425.80000000028</v>
      </c>
    </row>
    <row r="456" spans="1:20" x14ac:dyDescent="0.25">
      <c r="A456" t="s">
        <v>1328</v>
      </c>
      <c r="B456" t="s">
        <v>109</v>
      </c>
      <c r="C456">
        <v>2</v>
      </c>
      <c r="D456">
        <v>2876</v>
      </c>
      <c r="E456" t="s">
        <v>1026</v>
      </c>
      <c r="F456" t="s">
        <v>322</v>
      </c>
      <c r="G456" s="31">
        <v>0.42399999999999999</v>
      </c>
      <c r="H456" s="31">
        <v>0.47</v>
      </c>
      <c r="I456" t="s">
        <v>1954</v>
      </c>
      <c r="J456" t="s">
        <v>1954</v>
      </c>
      <c r="K456">
        <v>5375360.4850000003</v>
      </c>
      <c r="L456">
        <v>57819213</v>
      </c>
      <c r="M456" s="32">
        <v>10.7563</v>
      </c>
      <c r="N456" t="s">
        <v>458</v>
      </c>
      <c r="O456" t="s">
        <v>1028</v>
      </c>
      <c r="P456">
        <v>962.8</v>
      </c>
      <c r="Q456" t="s">
        <v>1958</v>
      </c>
      <c r="R456" t="s">
        <v>21</v>
      </c>
      <c r="S456" t="s">
        <v>22</v>
      </c>
      <c r="T456">
        <f t="shared" si="7"/>
        <v>346388.60000000027</v>
      </c>
    </row>
    <row r="457" spans="1:20" x14ac:dyDescent="0.25">
      <c r="A457" t="s">
        <v>1144</v>
      </c>
      <c r="B457" t="s">
        <v>189</v>
      </c>
      <c r="C457">
        <v>3</v>
      </c>
      <c r="D457">
        <v>2876</v>
      </c>
      <c r="E457" t="s">
        <v>1026</v>
      </c>
      <c r="F457" t="s">
        <v>322</v>
      </c>
      <c r="G457" s="31">
        <v>0.51500000000000001</v>
      </c>
      <c r="H457" s="31">
        <v>0.56100000000000005</v>
      </c>
      <c r="I457" t="s">
        <v>1954</v>
      </c>
      <c r="J457" t="s">
        <v>1954</v>
      </c>
      <c r="K457">
        <v>5382929.0190000003</v>
      </c>
      <c r="L457">
        <v>57904281</v>
      </c>
      <c r="M457" s="32">
        <v>10.757</v>
      </c>
      <c r="N457" t="s">
        <v>2109</v>
      </c>
      <c r="O457" t="s">
        <v>1028</v>
      </c>
      <c r="P457">
        <v>962.8</v>
      </c>
      <c r="Q457" t="s">
        <v>1958</v>
      </c>
      <c r="R457" t="s">
        <v>21</v>
      </c>
      <c r="S457" t="s">
        <v>22</v>
      </c>
      <c r="T457">
        <f t="shared" si="7"/>
        <v>347351.40000000026</v>
      </c>
    </row>
    <row r="458" spans="1:20" x14ac:dyDescent="0.25">
      <c r="A458" t="s">
        <v>1146</v>
      </c>
      <c r="B458" t="s">
        <v>189</v>
      </c>
      <c r="C458">
        <v>3</v>
      </c>
      <c r="D458">
        <v>2876</v>
      </c>
      <c r="E458" t="s">
        <v>1026</v>
      </c>
      <c r="F458" t="s">
        <v>322</v>
      </c>
      <c r="G458" s="31">
        <v>0.51500000000000001</v>
      </c>
      <c r="H458" s="31">
        <v>0.56100000000000005</v>
      </c>
      <c r="I458" t="s">
        <v>1954</v>
      </c>
      <c r="J458" t="s">
        <v>1954</v>
      </c>
      <c r="K458">
        <v>5382929.0190000003</v>
      </c>
      <c r="L458">
        <v>57904281</v>
      </c>
      <c r="M458" s="32">
        <v>10.757</v>
      </c>
      <c r="N458" t="s">
        <v>2109</v>
      </c>
      <c r="O458" t="s">
        <v>1028</v>
      </c>
      <c r="P458">
        <v>962.8</v>
      </c>
      <c r="Q458" t="s">
        <v>1958</v>
      </c>
      <c r="R458" t="s">
        <v>21</v>
      </c>
      <c r="S458" t="s">
        <v>22</v>
      </c>
      <c r="T458">
        <f t="shared" si="7"/>
        <v>348314.20000000024</v>
      </c>
    </row>
    <row r="459" spans="1:20" x14ac:dyDescent="0.25">
      <c r="A459" t="s">
        <v>1463</v>
      </c>
      <c r="B459" t="s">
        <v>189</v>
      </c>
      <c r="C459">
        <v>1</v>
      </c>
      <c r="D459">
        <v>2876</v>
      </c>
      <c r="E459" t="s">
        <v>1026</v>
      </c>
      <c r="F459" t="s">
        <v>322</v>
      </c>
      <c r="G459" s="31">
        <v>0.52449999999999997</v>
      </c>
      <c r="H459" s="31">
        <v>0.57050000000000001</v>
      </c>
      <c r="I459" t="s">
        <v>1954</v>
      </c>
      <c r="J459" t="s">
        <v>1954</v>
      </c>
      <c r="K459">
        <v>5382929.0190000003</v>
      </c>
      <c r="L459">
        <v>57904281</v>
      </c>
      <c r="M459" s="32">
        <v>10.757</v>
      </c>
      <c r="N459" t="s">
        <v>2109</v>
      </c>
      <c r="O459" t="s">
        <v>1028</v>
      </c>
      <c r="P459">
        <v>962.8</v>
      </c>
      <c r="Q459" t="s">
        <v>1958</v>
      </c>
      <c r="R459" t="s">
        <v>21</v>
      </c>
      <c r="S459" t="s">
        <v>22</v>
      </c>
      <c r="T459">
        <f t="shared" si="7"/>
        <v>349277.00000000023</v>
      </c>
    </row>
    <row r="460" spans="1:20" x14ac:dyDescent="0.25">
      <c r="A460" t="s">
        <v>1574</v>
      </c>
      <c r="B460" t="s">
        <v>194</v>
      </c>
      <c r="C460">
        <v>1</v>
      </c>
      <c r="D460">
        <v>2852</v>
      </c>
      <c r="E460" t="s">
        <v>1575</v>
      </c>
      <c r="F460" t="s">
        <v>322</v>
      </c>
      <c r="G460" s="31">
        <v>0.85899999999999999</v>
      </c>
      <c r="H460" s="31">
        <v>0.90500000000000003</v>
      </c>
      <c r="I460" t="s">
        <v>1954</v>
      </c>
      <c r="J460" t="s">
        <v>1954</v>
      </c>
      <c r="K460">
        <v>497</v>
      </c>
      <c r="L460">
        <v>5352</v>
      </c>
      <c r="M460" s="32">
        <v>10.768599999999999</v>
      </c>
      <c r="N460" t="s">
        <v>199</v>
      </c>
      <c r="O460" t="s">
        <v>1028</v>
      </c>
      <c r="P460">
        <v>13.5</v>
      </c>
      <c r="Q460" s="33" t="s">
        <v>1955</v>
      </c>
      <c r="R460" t="s">
        <v>21</v>
      </c>
      <c r="S460" t="s">
        <v>22</v>
      </c>
      <c r="T460">
        <f t="shared" si="7"/>
        <v>349290.50000000023</v>
      </c>
    </row>
    <row r="461" spans="1:20" x14ac:dyDescent="0.25">
      <c r="A461" t="s">
        <v>1695</v>
      </c>
      <c r="B461" t="s">
        <v>125</v>
      </c>
      <c r="C461">
        <v>1</v>
      </c>
      <c r="D461">
        <v>55348</v>
      </c>
      <c r="E461" t="s">
        <v>1696</v>
      </c>
      <c r="F461" t="s">
        <v>322</v>
      </c>
      <c r="G461" s="31">
        <v>1</v>
      </c>
      <c r="H461" s="31">
        <v>1</v>
      </c>
      <c r="I461" t="s">
        <v>1954</v>
      </c>
      <c r="J461" t="s">
        <v>1954</v>
      </c>
      <c r="K461">
        <v>1276805.0009999999</v>
      </c>
      <c r="L461">
        <v>13749640</v>
      </c>
      <c r="M461" s="32">
        <v>10.768800000000001</v>
      </c>
      <c r="N461" t="s">
        <v>130</v>
      </c>
      <c r="O461" t="s">
        <v>567</v>
      </c>
      <c r="P461">
        <v>704.41</v>
      </c>
      <c r="Q461" s="33" t="s">
        <v>1955</v>
      </c>
      <c r="R461" t="s">
        <v>21</v>
      </c>
      <c r="S461" t="s">
        <v>22</v>
      </c>
      <c r="T461">
        <f t="shared" si="7"/>
        <v>349994.91000000021</v>
      </c>
    </row>
    <row r="462" spans="1:20" x14ac:dyDescent="0.25">
      <c r="A462" t="s">
        <v>1697</v>
      </c>
      <c r="B462" t="s">
        <v>125</v>
      </c>
      <c r="C462">
        <v>1</v>
      </c>
      <c r="D462">
        <v>55348</v>
      </c>
      <c r="E462" t="s">
        <v>1696</v>
      </c>
      <c r="F462" t="s">
        <v>322</v>
      </c>
      <c r="G462" s="31">
        <v>1</v>
      </c>
      <c r="H462" s="31">
        <v>1</v>
      </c>
      <c r="I462" t="s">
        <v>1954</v>
      </c>
      <c r="J462" t="s">
        <v>1954</v>
      </c>
      <c r="K462">
        <v>1276805.0009999999</v>
      </c>
      <c r="L462">
        <v>13749640</v>
      </c>
      <c r="M462" s="32">
        <v>10.768800000000001</v>
      </c>
      <c r="N462" t="s">
        <v>130</v>
      </c>
      <c r="O462" t="s">
        <v>567</v>
      </c>
      <c r="P462">
        <v>704.41</v>
      </c>
      <c r="Q462" s="33" t="s">
        <v>1955</v>
      </c>
      <c r="R462" t="s">
        <v>21</v>
      </c>
      <c r="S462" t="s">
        <v>22</v>
      </c>
      <c r="T462">
        <f t="shared" si="7"/>
        <v>350699.32000000018</v>
      </c>
    </row>
    <row r="463" spans="1:20" x14ac:dyDescent="0.25">
      <c r="A463" t="s">
        <v>1698</v>
      </c>
      <c r="B463" t="s">
        <v>125</v>
      </c>
      <c r="C463">
        <v>1</v>
      </c>
      <c r="D463">
        <v>55348</v>
      </c>
      <c r="E463" t="s">
        <v>1696</v>
      </c>
      <c r="F463" t="s">
        <v>322</v>
      </c>
      <c r="G463" s="31">
        <v>1</v>
      </c>
      <c r="H463" s="31">
        <v>1</v>
      </c>
      <c r="I463" t="s">
        <v>1954</v>
      </c>
      <c r="J463" t="s">
        <v>1954</v>
      </c>
      <c r="K463">
        <v>1276805.0009999999</v>
      </c>
      <c r="L463">
        <v>13749640</v>
      </c>
      <c r="M463" s="32">
        <v>10.768800000000001</v>
      </c>
      <c r="N463" t="s">
        <v>130</v>
      </c>
      <c r="O463" t="s">
        <v>567</v>
      </c>
      <c r="P463">
        <v>704.41</v>
      </c>
      <c r="Q463" s="33" t="s">
        <v>1955</v>
      </c>
      <c r="R463" t="s">
        <v>21</v>
      </c>
      <c r="S463" t="s">
        <v>22</v>
      </c>
      <c r="T463">
        <f t="shared" si="7"/>
        <v>351403.73000000016</v>
      </c>
    </row>
    <row r="464" spans="1:20" x14ac:dyDescent="0.25">
      <c r="A464" t="s">
        <v>1699</v>
      </c>
      <c r="B464" t="s">
        <v>125</v>
      </c>
      <c r="C464">
        <v>1</v>
      </c>
      <c r="D464">
        <v>55348</v>
      </c>
      <c r="E464" t="s">
        <v>1696</v>
      </c>
      <c r="F464" t="s">
        <v>322</v>
      </c>
      <c r="G464" s="31">
        <v>1</v>
      </c>
      <c r="H464" s="31">
        <v>1</v>
      </c>
      <c r="I464" t="s">
        <v>1954</v>
      </c>
      <c r="J464" t="s">
        <v>1954</v>
      </c>
      <c r="K464">
        <v>1276805.0009999999</v>
      </c>
      <c r="L464">
        <v>13749640</v>
      </c>
      <c r="M464" s="32">
        <v>10.768800000000001</v>
      </c>
      <c r="N464" t="s">
        <v>130</v>
      </c>
      <c r="O464" t="s">
        <v>567</v>
      </c>
      <c r="P464">
        <v>704.41</v>
      </c>
      <c r="Q464" s="33" t="s">
        <v>1955</v>
      </c>
      <c r="R464" t="s">
        <v>21</v>
      </c>
      <c r="S464" t="s">
        <v>22</v>
      </c>
      <c r="T464">
        <f t="shared" si="7"/>
        <v>352108.14000000013</v>
      </c>
    </row>
    <row r="465" spans="1:20" x14ac:dyDescent="0.25">
      <c r="A465" t="s">
        <v>1708</v>
      </c>
      <c r="B465" t="s">
        <v>137</v>
      </c>
      <c r="C465">
        <v>1</v>
      </c>
      <c r="D465">
        <v>55640</v>
      </c>
      <c r="E465" t="s">
        <v>1709</v>
      </c>
      <c r="F465" t="s">
        <v>166</v>
      </c>
      <c r="G465" s="31">
        <v>0.9</v>
      </c>
      <c r="H465" s="31">
        <v>0.94599999999999995</v>
      </c>
      <c r="I465" t="s">
        <v>1954</v>
      </c>
      <c r="J465" t="s">
        <v>1954</v>
      </c>
      <c r="K465">
        <v>277572</v>
      </c>
      <c r="L465">
        <v>2991172</v>
      </c>
      <c r="M465" s="32">
        <v>10.776199999999999</v>
      </c>
      <c r="N465" t="s">
        <v>141</v>
      </c>
      <c r="O465" t="s">
        <v>1711</v>
      </c>
      <c r="P465">
        <v>540</v>
      </c>
      <c r="Q465" s="33" t="s">
        <v>1955</v>
      </c>
      <c r="R465" t="s">
        <v>21</v>
      </c>
      <c r="S465" t="s">
        <v>22</v>
      </c>
      <c r="T465">
        <f t="shared" si="7"/>
        <v>352648.14000000013</v>
      </c>
    </row>
    <row r="466" spans="1:20" x14ac:dyDescent="0.25">
      <c r="A466" t="s">
        <v>1712</v>
      </c>
      <c r="B466" t="s">
        <v>137</v>
      </c>
      <c r="C466">
        <v>1</v>
      </c>
      <c r="D466">
        <v>55640</v>
      </c>
      <c r="E466" t="s">
        <v>1709</v>
      </c>
      <c r="F466" t="s">
        <v>166</v>
      </c>
      <c r="G466" s="31">
        <v>0.9</v>
      </c>
      <c r="H466" s="31">
        <v>0.94599999999999995</v>
      </c>
      <c r="I466" t="s">
        <v>1954</v>
      </c>
      <c r="J466" t="s">
        <v>1954</v>
      </c>
      <c r="K466">
        <v>277572</v>
      </c>
      <c r="L466">
        <v>2991172</v>
      </c>
      <c r="M466" s="32">
        <v>10.776199999999999</v>
      </c>
      <c r="N466" t="s">
        <v>141</v>
      </c>
      <c r="O466" t="s">
        <v>1711</v>
      </c>
      <c r="P466">
        <v>540</v>
      </c>
      <c r="Q466" s="33" t="s">
        <v>1955</v>
      </c>
      <c r="R466" t="s">
        <v>21</v>
      </c>
      <c r="S466" t="s">
        <v>22</v>
      </c>
      <c r="T466">
        <f t="shared" si="7"/>
        <v>353188.14000000013</v>
      </c>
    </row>
    <row r="467" spans="1:20" x14ac:dyDescent="0.25">
      <c r="A467" t="s">
        <v>1713</v>
      </c>
      <c r="B467" t="s">
        <v>137</v>
      </c>
      <c r="C467">
        <v>1</v>
      </c>
      <c r="D467">
        <v>55640</v>
      </c>
      <c r="E467" t="s">
        <v>1709</v>
      </c>
      <c r="F467" t="s">
        <v>166</v>
      </c>
      <c r="G467" s="31">
        <v>0.9</v>
      </c>
      <c r="H467" s="31">
        <v>0.94599999999999995</v>
      </c>
      <c r="I467" t="s">
        <v>1954</v>
      </c>
      <c r="J467" t="s">
        <v>1954</v>
      </c>
      <c r="K467">
        <v>277572</v>
      </c>
      <c r="L467">
        <v>2991172</v>
      </c>
      <c r="M467" s="32">
        <v>10.776199999999999</v>
      </c>
      <c r="N467" t="s">
        <v>141</v>
      </c>
      <c r="O467" t="s">
        <v>1711</v>
      </c>
      <c r="P467">
        <v>540</v>
      </c>
      <c r="Q467" s="33" t="s">
        <v>1955</v>
      </c>
      <c r="R467" t="s">
        <v>21</v>
      </c>
      <c r="S467" t="s">
        <v>22</v>
      </c>
      <c r="T467">
        <f t="shared" si="7"/>
        <v>353728.14000000013</v>
      </c>
    </row>
    <row r="468" spans="1:20" x14ac:dyDescent="0.25">
      <c r="A468" t="s">
        <v>1714</v>
      </c>
      <c r="B468" t="s">
        <v>137</v>
      </c>
      <c r="C468">
        <v>1</v>
      </c>
      <c r="D468">
        <v>55640</v>
      </c>
      <c r="E468" t="s">
        <v>1709</v>
      </c>
      <c r="F468" t="s">
        <v>166</v>
      </c>
      <c r="G468" s="31">
        <v>0.9</v>
      </c>
      <c r="H468" s="31">
        <v>0.94599999999999995</v>
      </c>
      <c r="I468" t="s">
        <v>1954</v>
      </c>
      <c r="J468" t="s">
        <v>1954</v>
      </c>
      <c r="K468">
        <v>277572</v>
      </c>
      <c r="L468">
        <v>2991172</v>
      </c>
      <c r="M468" s="32">
        <v>10.776199999999999</v>
      </c>
      <c r="N468" t="s">
        <v>141</v>
      </c>
      <c r="O468" t="s">
        <v>1711</v>
      </c>
      <c r="P468">
        <v>540</v>
      </c>
      <c r="Q468" s="33" t="s">
        <v>1955</v>
      </c>
      <c r="R468" t="s">
        <v>21</v>
      </c>
      <c r="S468" t="s">
        <v>22</v>
      </c>
      <c r="T468">
        <f t="shared" si="7"/>
        <v>354268.14000000013</v>
      </c>
    </row>
    <row r="469" spans="1:20" x14ac:dyDescent="0.25">
      <c r="A469" t="s">
        <v>1715</v>
      </c>
      <c r="B469" t="s">
        <v>137</v>
      </c>
      <c r="C469">
        <v>1</v>
      </c>
      <c r="D469">
        <v>55640</v>
      </c>
      <c r="E469" t="s">
        <v>1709</v>
      </c>
      <c r="F469" t="s">
        <v>166</v>
      </c>
      <c r="G469" s="31">
        <v>0.9</v>
      </c>
      <c r="H469" s="31">
        <v>0.94599999999999995</v>
      </c>
      <c r="I469" t="s">
        <v>1954</v>
      </c>
      <c r="J469" t="s">
        <v>1954</v>
      </c>
      <c r="K469">
        <v>277572</v>
      </c>
      <c r="L469">
        <v>2991172</v>
      </c>
      <c r="M469" s="32">
        <v>10.776199999999999</v>
      </c>
      <c r="N469" t="s">
        <v>141</v>
      </c>
      <c r="O469" t="s">
        <v>1711</v>
      </c>
      <c r="P469">
        <v>540</v>
      </c>
      <c r="Q469" s="33" t="s">
        <v>1955</v>
      </c>
      <c r="R469" t="s">
        <v>21</v>
      </c>
      <c r="S469" t="s">
        <v>22</v>
      </c>
      <c r="T469">
        <f t="shared" si="7"/>
        <v>354808.14000000013</v>
      </c>
    </row>
    <row r="470" spans="1:20" x14ac:dyDescent="0.25">
      <c r="A470" t="s">
        <v>1716</v>
      </c>
      <c r="B470" t="s">
        <v>137</v>
      </c>
      <c r="C470">
        <v>1</v>
      </c>
      <c r="D470">
        <v>55640</v>
      </c>
      <c r="E470" t="s">
        <v>1709</v>
      </c>
      <c r="F470" t="s">
        <v>166</v>
      </c>
      <c r="G470" s="31">
        <v>0.9</v>
      </c>
      <c r="H470" s="31">
        <v>0.94599999999999995</v>
      </c>
      <c r="I470" t="s">
        <v>1954</v>
      </c>
      <c r="J470" t="s">
        <v>1954</v>
      </c>
      <c r="K470">
        <v>277572</v>
      </c>
      <c r="L470">
        <v>2991172</v>
      </c>
      <c r="M470" s="32">
        <v>10.776199999999999</v>
      </c>
      <c r="N470" t="s">
        <v>141</v>
      </c>
      <c r="O470" t="s">
        <v>1711</v>
      </c>
      <c r="P470">
        <v>540</v>
      </c>
      <c r="Q470" s="33" t="s">
        <v>1955</v>
      </c>
      <c r="R470" t="s">
        <v>21</v>
      </c>
      <c r="S470" t="s">
        <v>22</v>
      </c>
      <c r="T470">
        <f t="shared" si="7"/>
        <v>355348.14000000013</v>
      </c>
    </row>
    <row r="471" spans="1:20" x14ac:dyDescent="0.25">
      <c r="A471" t="s">
        <v>1717</v>
      </c>
      <c r="B471" t="s">
        <v>137</v>
      </c>
      <c r="C471">
        <v>1</v>
      </c>
      <c r="D471">
        <v>55640</v>
      </c>
      <c r="E471" t="s">
        <v>1709</v>
      </c>
      <c r="F471" t="s">
        <v>166</v>
      </c>
      <c r="G471" s="31">
        <v>1</v>
      </c>
      <c r="H471" s="31">
        <v>1</v>
      </c>
      <c r="I471" t="s">
        <v>1954</v>
      </c>
      <c r="J471" t="s">
        <v>1954</v>
      </c>
      <c r="K471">
        <v>277572</v>
      </c>
      <c r="L471">
        <v>2991172</v>
      </c>
      <c r="M471" s="32">
        <v>10.776199999999999</v>
      </c>
      <c r="N471" t="s">
        <v>141</v>
      </c>
      <c r="O471" t="s">
        <v>1711</v>
      </c>
      <c r="P471">
        <v>540</v>
      </c>
      <c r="Q471" s="33" t="s">
        <v>1955</v>
      </c>
      <c r="R471" t="s">
        <v>21</v>
      </c>
      <c r="S471" t="s">
        <v>22</v>
      </c>
      <c r="T471">
        <f t="shared" si="7"/>
        <v>355888.14000000013</v>
      </c>
    </row>
    <row r="472" spans="1:20" x14ac:dyDescent="0.25">
      <c r="A472" t="s">
        <v>1718</v>
      </c>
      <c r="B472" t="s">
        <v>137</v>
      </c>
      <c r="C472">
        <v>1</v>
      </c>
      <c r="D472">
        <v>55640</v>
      </c>
      <c r="E472" t="s">
        <v>1709</v>
      </c>
      <c r="F472" t="s">
        <v>166</v>
      </c>
      <c r="G472" s="31">
        <v>1</v>
      </c>
      <c r="H472" s="31">
        <v>1</v>
      </c>
      <c r="I472" t="s">
        <v>1954</v>
      </c>
      <c r="J472" t="s">
        <v>1954</v>
      </c>
      <c r="K472">
        <v>277572</v>
      </c>
      <c r="L472">
        <v>2991172</v>
      </c>
      <c r="M472" s="32">
        <v>10.776199999999999</v>
      </c>
      <c r="N472" t="s">
        <v>141</v>
      </c>
      <c r="O472" t="s">
        <v>1711</v>
      </c>
      <c r="P472">
        <v>540</v>
      </c>
      <c r="Q472" s="33" t="s">
        <v>1955</v>
      </c>
      <c r="R472" t="s">
        <v>21</v>
      </c>
      <c r="S472" t="s">
        <v>22</v>
      </c>
      <c r="T472">
        <f t="shared" si="7"/>
        <v>356428.14000000013</v>
      </c>
    </row>
    <row r="473" spans="1:20" x14ac:dyDescent="0.25">
      <c r="A473" t="s">
        <v>1719</v>
      </c>
      <c r="B473" t="s">
        <v>137</v>
      </c>
      <c r="C473">
        <v>1</v>
      </c>
      <c r="D473">
        <v>55640</v>
      </c>
      <c r="E473" t="s">
        <v>1709</v>
      </c>
      <c r="F473" t="s">
        <v>166</v>
      </c>
      <c r="G473" s="31">
        <v>1</v>
      </c>
      <c r="H473" s="31">
        <v>1</v>
      </c>
      <c r="I473" t="s">
        <v>1954</v>
      </c>
      <c r="J473" t="s">
        <v>1954</v>
      </c>
      <c r="K473">
        <v>277572</v>
      </c>
      <c r="L473">
        <v>2991172</v>
      </c>
      <c r="M473" s="32">
        <v>10.776199999999999</v>
      </c>
      <c r="N473" t="s">
        <v>141</v>
      </c>
      <c r="O473" t="s">
        <v>1711</v>
      </c>
      <c r="P473">
        <v>540</v>
      </c>
      <c r="Q473" s="33" t="s">
        <v>1955</v>
      </c>
      <c r="R473" t="s">
        <v>21</v>
      </c>
      <c r="S473" t="s">
        <v>22</v>
      </c>
      <c r="T473">
        <f t="shared" si="7"/>
        <v>356968.14000000013</v>
      </c>
    </row>
    <row r="474" spans="1:20" x14ac:dyDescent="0.25">
      <c r="A474" t="s">
        <v>1720</v>
      </c>
      <c r="B474" t="s">
        <v>137</v>
      </c>
      <c r="C474">
        <v>1</v>
      </c>
      <c r="D474">
        <v>55640</v>
      </c>
      <c r="E474" t="s">
        <v>1709</v>
      </c>
      <c r="F474" t="s">
        <v>166</v>
      </c>
      <c r="G474" s="31">
        <v>1</v>
      </c>
      <c r="H474" s="31">
        <v>1</v>
      </c>
      <c r="I474" t="s">
        <v>1954</v>
      </c>
      <c r="J474" t="s">
        <v>1954</v>
      </c>
      <c r="K474">
        <v>277572</v>
      </c>
      <c r="L474">
        <v>2991172</v>
      </c>
      <c r="M474" s="32">
        <v>10.776199999999999</v>
      </c>
      <c r="N474" t="s">
        <v>141</v>
      </c>
      <c r="O474" t="s">
        <v>1711</v>
      </c>
      <c r="P474">
        <v>540</v>
      </c>
      <c r="Q474" s="33" t="s">
        <v>1955</v>
      </c>
      <c r="R474" t="s">
        <v>21</v>
      </c>
      <c r="S474" t="s">
        <v>22</v>
      </c>
      <c r="T474">
        <f t="shared" si="7"/>
        <v>357508.14000000013</v>
      </c>
    </row>
    <row r="475" spans="1:20" x14ac:dyDescent="0.25">
      <c r="A475" t="s">
        <v>1721</v>
      </c>
      <c r="B475" t="s">
        <v>137</v>
      </c>
      <c r="C475">
        <v>1</v>
      </c>
      <c r="D475">
        <v>55640</v>
      </c>
      <c r="E475" t="s">
        <v>1709</v>
      </c>
      <c r="F475" t="s">
        <v>166</v>
      </c>
      <c r="G475" s="31">
        <v>1</v>
      </c>
      <c r="H475" s="31">
        <v>1</v>
      </c>
      <c r="I475" t="s">
        <v>1954</v>
      </c>
      <c r="J475" t="s">
        <v>1954</v>
      </c>
      <c r="K475">
        <v>277572</v>
      </c>
      <c r="L475">
        <v>2991172</v>
      </c>
      <c r="M475" s="32">
        <v>10.776199999999999</v>
      </c>
      <c r="N475" t="s">
        <v>141</v>
      </c>
      <c r="O475" t="s">
        <v>1711</v>
      </c>
      <c r="P475">
        <v>540</v>
      </c>
      <c r="Q475" s="33" t="s">
        <v>1955</v>
      </c>
      <c r="R475" t="s">
        <v>21</v>
      </c>
      <c r="S475" t="s">
        <v>22</v>
      </c>
      <c r="T475">
        <f t="shared" si="7"/>
        <v>358048.14000000013</v>
      </c>
    </row>
    <row r="476" spans="1:20" x14ac:dyDescent="0.25">
      <c r="A476" t="s">
        <v>1722</v>
      </c>
      <c r="B476" t="s">
        <v>137</v>
      </c>
      <c r="C476">
        <v>1</v>
      </c>
      <c r="D476">
        <v>55640</v>
      </c>
      <c r="E476" t="s">
        <v>1709</v>
      </c>
      <c r="F476" t="s">
        <v>166</v>
      </c>
      <c r="G476" s="31">
        <v>1</v>
      </c>
      <c r="H476" s="31">
        <v>1</v>
      </c>
      <c r="I476" t="s">
        <v>1954</v>
      </c>
      <c r="J476" t="s">
        <v>1954</v>
      </c>
      <c r="K476">
        <v>277572</v>
      </c>
      <c r="L476">
        <v>2991172</v>
      </c>
      <c r="M476" s="32">
        <v>10.776199999999999</v>
      </c>
      <c r="N476" t="s">
        <v>141</v>
      </c>
      <c r="O476" t="s">
        <v>1711</v>
      </c>
      <c r="P476">
        <v>540</v>
      </c>
      <c r="Q476" s="33" t="s">
        <v>1955</v>
      </c>
      <c r="R476" t="s">
        <v>21</v>
      </c>
      <c r="S476" t="s">
        <v>22</v>
      </c>
      <c r="T476">
        <f t="shared" si="7"/>
        <v>358588.14000000013</v>
      </c>
    </row>
    <row r="477" spans="1:20" x14ac:dyDescent="0.25">
      <c r="A477" t="s">
        <v>1723</v>
      </c>
      <c r="B477" t="s">
        <v>137</v>
      </c>
      <c r="C477">
        <v>1</v>
      </c>
      <c r="D477">
        <v>55640</v>
      </c>
      <c r="E477" t="s">
        <v>1709</v>
      </c>
      <c r="F477" t="s">
        <v>166</v>
      </c>
      <c r="G477" s="31">
        <v>1</v>
      </c>
      <c r="H477" s="31">
        <v>1</v>
      </c>
      <c r="I477" t="s">
        <v>1954</v>
      </c>
      <c r="J477" t="s">
        <v>1954</v>
      </c>
      <c r="K477">
        <v>277572</v>
      </c>
      <c r="L477">
        <v>2991172</v>
      </c>
      <c r="M477" s="32">
        <v>10.776199999999999</v>
      </c>
      <c r="N477" t="s">
        <v>141</v>
      </c>
      <c r="O477" t="s">
        <v>1711</v>
      </c>
      <c r="P477">
        <v>540</v>
      </c>
      <c r="Q477" s="33" t="s">
        <v>1955</v>
      </c>
      <c r="R477" t="s">
        <v>21</v>
      </c>
      <c r="S477" t="s">
        <v>22</v>
      </c>
      <c r="T477">
        <f t="shared" si="7"/>
        <v>359128.14000000013</v>
      </c>
    </row>
    <row r="478" spans="1:20" x14ac:dyDescent="0.25">
      <c r="A478" t="s">
        <v>1724</v>
      </c>
      <c r="B478" t="s">
        <v>137</v>
      </c>
      <c r="C478">
        <v>1</v>
      </c>
      <c r="D478">
        <v>55640</v>
      </c>
      <c r="E478" t="s">
        <v>1709</v>
      </c>
      <c r="F478" t="s">
        <v>166</v>
      </c>
      <c r="G478" s="31">
        <v>1</v>
      </c>
      <c r="H478" s="31">
        <v>1</v>
      </c>
      <c r="I478" t="s">
        <v>1954</v>
      </c>
      <c r="J478" t="s">
        <v>1954</v>
      </c>
      <c r="K478">
        <v>277572</v>
      </c>
      <c r="L478">
        <v>2991172</v>
      </c>
      <c r="M478" s="32">
        <v>10.776199999999999</v>
      </c>
      <c r="N478" t="s">
        <v>141</v>
      </c>
      <c r="O478" t="s">
        <v>1711</v>
      </c>
      <c r="P478">
        <v>540</v>
      </c>
      <c r="Q478" s="33" t="s">
        <v>1955</v>
      </c>
      <c r="R478" t="s">
        <v>21</v>
      </c>
      <c r="S478" t="s">
        <v>22</v>
      </c>
      <c r="T478">
        <f t="shared" si="7"/>
        <v>359668.14000000013</v>
      </c>
    </row>
    <row r="479" spans="1:20" x14ac:dyDescent="0.25">
      <c r="A479" t="s">
        <v>1725</v>
      </c>
      <c r="B479" t="s">
        <v>137</v>
      </c>
      <c r="C479">
        <v>1</v>
      </c>
      <c r="D479">
        <v>55640</v>
      </c>
      <c r="E479" t="s">
        <v>1709</v>
      </c>
      <c r="F479" t="s">
        <v>166</v>
      </c>
      <c r="G479" s="31">
        <v>1</v>
      </c>
      <c r="H479" s="31">
        <v>1</v>
      </c>
      <c r="I479" t="s">
        <v>1954</v>
      </c>
      <c r="J479" t="s">
        <v>1954</v>
      </c>
      <c r="K479">
        <v>277572</v>
      </c>
      <c r="L479">
        <v>2991172</v>
      </c>
      <c r="M479" s="32">
        <v>10.776199999999999</v>
      </c>
      <c r="N479" t="s">
        <v>141</v>
      </c>
      <c r="O479" t="s">
        <v>1711</v>
      </c>
      <c r="P479">
        <v>540</v>
      </c>
      <c r="Q479" s="33" t="s">
        <v>1955</v>
      </c>
      <c r="R479" t="s">
        <v>21</v>
      </c>
      <c r="S479" t="s">
        <v>22</v>
      </c>
      <c r="T479">
        <f t="shared" si="7"/>
        <v>360208.14000000013</v>
      </c>
    </row>
    <row r="480" spans="1:20" x14ac:dyDescent="0.25">
      <c r="A480" t="s">
        <v>1726</v>
      </c>
      <c r="B480" t="s">
        <v>137</v>
      </c>
      <c r="C480">
        <v>1</v>
      </c>
      <c r="D480">
        <v>55640</v>
      </c>
      <c r="E480" t="s">
        <v>1709</v>
      </c>
      <c r="F480" t="s">
        <v>166</v>
      </c>
      <c r="G480" s="31">
        <v>0.82840000000000003</v>
      </c>
      <c r="H480" s="31">
        <v>0.87439999999999996</v>
      </c>
      <c r="I480" t="s">
        <v>1954</v>
      </c>
      <c r="J480" t="s">
        <v>1954</v>
      </c>
      <c r="K480">
        <v>277572</v>
      </c>
      <c r="L480">
        <v>2991172</v>
      </c>
      <c r="M480" s="32">
        <v>10.776199999999999</v>
      </c>
      <c r="N480" t="s">
        <v>141</v>
      </c>
      <c r="O480" t="s">
        <v>1711</v>
      </c>
      <c r="P480">
        <v>540</v>
      </c>
      <c r="Q480" s="33" t="s">
        <v>1955</v>
      </c>
      <c r="R480" t="s">
        <v>21</v>
      </c>
      <c r="S480" t="s">
        <v>22</v>
      </c>
      <c r="T480">
        <f t="shared" si="7"/>
        <v>360748.14000000013</v>
      </c>
    </row>
    <row r="481" spans="1:20" x14ac:dyDescent="0.25">
      <c r="A481" t="s">
        <v>1727</v>
      </c>
      <c r="B481" t="s">
        <v>137</v>
      </c>
      <c r="C481">
        <v>1</v>
      </c>
      <c r="D481">
        <v>55640</v>
      </c>
      <c r="E481" t="s">
        <v>1709</v>
      </c>
      <c r="F481" t="s">
        <v>166</v>
      </c>
      <c r="G481" s="31">
        <v>0.82840000000000003</v>
      </c>
      <c r="H481" s="31">
        <v>0.87439999999999996</v>
      </c>
      <c r="I481" t="s">
        <v>1954</v>
      </c>
      <c r="J481" t="s">
        <v>1954</v>
      </c>
      <c r="K481">
        <v>277572</v>
      </c>
      <c r="L481">
        <v>2991172</v>
      </c>
      <c r="M481" s="32">
        <v>10.776199999999999</v>
      </c>
      <c r="N481" t="s">
        <v>141</v>
      </c>
      <c r="O481" t="s">
        <v>1711</v>
      </c>
      <c r="P481">
        <v>540</v>
      </c>
      <c r="Q481" s="33" t="s">
        <v>1955</v>
      </c>
      <c r="R481" t="s">
        <v>21</v>
      </c>
      <c r="S481" t="s">
        <v>22</v>
      </c>
      <c r="T481">
        <f t="shared" si="7"/>
        <v>361288.14000000013</v>
      </c>
    </row>
    <row r="482" spans="1:20" x14ac:dyDescent="0.25">
      <c r="A482" t="s">
        <v>1728</v>
      </c>
      <c r="B482" t="s">
        <v>137</v>
      </c>
      <c r="C482">
        <v>1</v>
      </c>
      <c r="D482">
        <v>55640</v>
      </c>
      <c r="E482" t="s">
        <v>1709</v>
      </c>
      <c r="F482" t="s">
        <v>166</v>
      </c>
      <c r="G482" s="31">
        <v>0.82840000000000003</v>
      </c>
      <c r="H482" s="31">
        <v>0.87439999999999996</v>
      </c>
      <c r="I482" t="s">
        <v>1954</v>
      </c>
      <c r="J482" t="s">
        <v>1954</v>
      </c>
      <c r="K482">
        <v>277572</v>
      </c>
      <c r="L482">
        <v>2991172</v>
      </c>
      <c r="M482" s="32">
        <v>10.776199999999999</v>
      </c>
      <c r="N482" t="s">
        <v>141</v>
      </c>
      <c r="O482" t="s">
        <v>1711</v>
      </c>
      <c r="P482">
        <v>540</v>
      </c>
      <c r="Q482" s="33" t="s">
        <v>1955</v>
      </c>
      <c r="R482" t="s">
        <v>21</v>
      </c>
      <c r="S482" t="s">
        <v>22</v>
      </c>
      <c r="T482">
        <f t="shared" si="7"/>
        <v>361828.14000000013</v>
      </c>
    </row>
    <row r="483" spans="1:20" x14ac:dyDescent="0.25">
      <c r="A483" t="s">
        <v>1211</v>
      </c>
      <c r="B483" t="s">
        <v>194</v>
      </c>
      <c r="C483">
        <v>1</v>
      </c>
      <c r="D483">
        <v>2851</v>
      </c>
      <c r="E483" t="s">
        <v>1212</v>
      </c>
      <c r="F483" t="s">
        <v>322</v>
      </c>
      <c r="G483" s="31">
        <v>1</v>
      </c>
      <c r="H483" s="31">
        <v>1</v>
      </c>
      <c r="I483" t="s">
        <v>1954</v>
      </c>
      <c r="J483" t="s">
        <v>1954</v>
      </c>
      <c r="K483">
        <v>522</v>
      </c>
      <c r="L483">
        <v>5626</v>
      </c>
      <c r="M483" s="32">
        <v>10.777799999999999</v>
      </c>
      <c r="N483" t="s">
        <v>199</v>
      </c>
      <c r="O483" t="s">
        <v>1028</v>
      </c>
      <c r="P483">
        <v>12.5</v>
      </c>
      <c r="Q483" s="33" t="s">
        <v>1955</v>
      </c>
      <c r="R483" t="s">
        <v>21</v>
      </c>
      <c r="S483" t="s">
        <v>22</v>
      </c>
      <c r="T483">
        <f t="shared" si="7"/>
        <v>361840.64000000013</v>
      </c>
    </row>
    <row r="484" spans="1:20" x14ac:dyDescent="0.25">
      <c r="A484" t="s">
        <v>455</v>
      </c>
      <c r="B484" t="s">
        <v>109</v>
      </c>
      <c r="C484">
        <v>1</v>
      </c>
      <c r="D484">
        <v>983</v>
      </c>
      <c r="E484" t="s">
        <v>457</v>
      </c>
      <c r="F484" t="s">
        <v>131</v>
      </c>
      <c r="G484" s="31">
        <v>0.76559999999999995</v>
      </c>
      <c r="H484" s="31">
        <v>0.81159999999999999</v>
      </c>
      <c r="I484" t="s">
        <v>1954</v>
      </c>
      <c r="J484" t="s">
        <v>1954</v>
      </c>
      <c r="K484">
        <v>5771258.3389999997</v>
      </c>
      <c r="L484">
        <v>62576933</v>
      </c>
      <c r="M484" s="32">
        <v>10.8429</v>
      </c>
      <c r="N484" t="s">
        <v>458</v>
      </c>
      <c r="O484" t="s">
        <v>459</v>
      </c>
      <c r="P484">
        <v>1173</v>
      </c>
      <c r="Q484" s="33" t="s">
        <v>1956</v>
      </c>
      <c r="R484" t="s">
        <v>21</v>
      </c>
      <c r="S484" t="s">
        <v>22</v>
      </c>
      <c r="T484">
        <f t="shared" si="7"/>
        <v>363013.64000000013</v>
      </c>
    </row>
    <row r="485" spans="1:20" x14ac:dyDescent="0.25">
      <c r="A485" t="s">
        <v>460</v>
      </c>
      <c r="B485" t="s">
        <v>109</v>
      </c>
      <c r="C485">
        <v>1</v>
      </c>
      <c r="D485">
        <v>983</v>
      </c>
      <c r="E485" t="s">
        <v>457</v>
      </c>
      <c r="F485" t="s">
        <v>131</v>
      </c>
      <c r="G485" s="31">
        <v>0.76559999999999995</v>
      </c>
      <c r="H485" s="31">
        <v>0.81159999999999999</v>
      </c>
      <c r="I485" t="s">
        <v>1954</v>
      </c>
      <c r="J485" t="s">
        <v>1954</v>
      </c>
      <c r="K485">
        <v>5771258.3389999997</v>
      </c>
      <c r="L485">
        <v>62576933</v>
      </c>
      <c r="M485" s="32">
        <v>10.8429</v>
      </c>
      <c r="N485" t="s">
        <v>458</v>
      </c>
      <c r="O485" t="s">
        <v>459</v>
      </c>
      <c r="P485">
        <v>1173</v>
      </c>
      <c r="Q485" s="33" t="s">
        <v>1956</v>
      </c>
      <c r="R485" t="s">
        <v>21</v>
      </c>
      <c r="S485" t="s">
        <v>22</v>
      </c>
      <c r="T485">
        <f t="shared" si="7"/>
        <v>364186.64000000013</v>
      </c>
    </row>
    <row r="486" spans="1:20" x14ac:dyDescent="0.25">
      <c r="A486" t="s">
        <v>461</v>
      </c>
      <c r="B486" t="s">
        <v>109</v>
      </c>
      <c r="C486">
        <v>1</v>
      </c>
      <c r="D486">
        <v>983</v>
      </c>
      <c r="E486" t="s">
        <v>457</v>
      </c>
      <c r="F486" t="s">
        <v>131</v>
      </c>
      <c r="G486" s="31">
        <v>0.76559999999999995</v>
      </c>
      <c r="H486" s="31">
        <v>0.81159999999999999</v>
      </c>
      <c r="I486" t="s">
        <v>1954</v>
      </c>
      <c r="J486" t="s">
        <v>1954</v>
      </c>
      <c r="K486">
        <v>5771258.3389999997</v>
      </c>
      <c r="L486">
        <v>62576933</v>
      </c>
      <c r="M486" s="32">
        <v>10.8429</v>
      </c>
      <c r="N486" t="s">
        <v>458</v>
      </c>
      <c r="O486" t="s">
        <v>459</v>
      </c>
      <c r="P486">
        <v>1173</v>
      </c>
      <c r="Q486" s="33" t="s">
        <v>1956</v>
      </c>
      <c r="R486" t="s">
        <v>21</v>
      </c>
      <c r="S486" t="s">
        <v>22</v>
      </c>
      <c r="T486">
        <f t="shared" si="7"/>
        <v>365359.64000000013</v>
      </c>
    </row>
    <row r="487" spans="1:20" x14ac:dyDescent="0.25">
      <c r="A487" t="s">
        <v>462</v>
      </c>
      <c r="B487" t="s">
        <v>109</v>
      </c>
      <c r="C487">
        <v>1</v>
      </c>
      <c r="D487">
        <v>983</v>
      </c>
      <c r="E487" t="s">
        <v>457</v>
      </c>
      <c r="F487" t="s">
        <v>131</v>
      </c>
      <c r="G487" s="31">
        <v>0.76559999999999995</v>
      </c>
      <c r="H487" s="31">
        <v>0.81159999999999999</v>
      </c>
      <c r="I487" t="s">
        <v>1954</v>
      </c>
      <c r="J487" t="s">
        <v>1954</v>
      </c>
      <c r="K487">
        <v>5771258.3389999997</v>
      </c>
      <c r="L487">
        <v>62576933</v>
      </c>
      <c r="M487" s="32">
        <v>10.8429</v>
      </c>
      <c r="N487" t="s">
        <v>458</v>
      </c>
      <c r="O487" t="s">
        <v>459</v>
      </c>
      <c r="P487">
        <v>1173</v>
      </c>
      <c r="Q487" s="33" t="s">
        <v>1956</v>
      </c>
      <c r="R487" t="s">
        <v>21</v>
      </c>
      <c r="S487" t="s">
        <v>22</v>
      </c>
      <c r="T487">
        <f t="shared" si="7"/>
        <v>366532.64000000013</v>
      </c>
    </row>
    <row r="488" spans="1:20" x14ac:dyDescent="0.25">
      <c r="A488" t="s">
        <v>463</v>
      </c>
      <c r="B488" t="s">
        <v>109</v>
      </c>
      <c r="C488">
        <v>1</v>
      </c>
      <c r="D488">
        <v>983</v>
      </c>
      <c r="E488" t="s">
        <v>457</v>
      </c>
      <c r="F488" t="s">
        <v>131</v>
      </c>
      <c r="G488" s="31">
        <v>0.76559999999999995</v>
      </c>
      <c r="H488" s="31">
        <v>0.81159999999999999</v>
      </c>
      <c r="I488" t="s">
        <v>1954</v>
      </c>
      <c r="J488" t="s">
        <v>1954</v>
      </c>
      <c r="K488">
        <v>5771258.3389999997</v>
      </c>
      <c r="L488">
        <v>62576933</v>
      </c>
      <c r="M488" s="32">
        <v>10.8429</v>
      </c>
      <c r="N488" t="s">
        <v>458</v>
      </c>
      <c r="O488" t="s">
        <v>459</v>
      </c>
      <c r="P488">
        <v>1173</v>
      </c>
      <c r="Q488" s="33" t="s">
        <v>1956</v>
      </c>
      <c r="R488" t="s">
        <v>21</v>
      </c>
      <c r="S488" t="s">
        <v>22</v>
      </c>
      <c r="T488">
        <f t="shared" si="7"/>
        <v>367705.64000000013</v>
      </c>
    </row>
    <row r="489" spans="1:20" x14ac:dyDescent="0.25">
      <c r="A489" t="s">
        <v>464</v>
      </c>
      <c r="B489" t="s">
        <v>109</v>
      </c>
      <c r="C489">
        <v>1</v>
      </c>
      <c r="D489">
        <v>983</v>
      </c>
      <c r="E489" t="s">
        <v>457</v>
      </c>
      <c r="F489" t="s">
        <v>131</v>
      </c>
      <c r="G489" s="31">
        <v>0.76559999999999995</v>
      </c>
      <c r="H489" s="31">
        <v>0.81159999999999999</v>
      </c>
      <c r="I489" t="s">
        <v>1954</v>
      </c>
      <c r="J489" t="s">
        <v>1954</v>
      </c>
      <c r="K489">
        <v>5771258.3389999997</v>
      </c>
      <c r="L489">
        <v>62576933</v>
      </c>
      <c r="M489" s="32">
        <v>10.8429</v>
      </c>
      <c r="N489" t="s">
        <v>458</v>
      </c>
      <c r="O489" t="s">
        <v>459</v>
      </c>
      <c r="P489">
        <v>1173</v>
      </c>
      <c r="Q489" s="33" t="s">
        <v>1956</v>
      </c>
      <c r="R489" t="s">
        <v>21</v>
      </c>
      <c r="S489" t="s">
        <v>22</v>
      </c>
      <c r="T489">
        <f t="shared" si="7"/>
        <v>368878.64000000013</v>
      </c>
    </row>
    <row r="490" spans="1:20" x14ac:dyDescent="0.25">
      <c r="A490" t="s">
        <v>1504</v>
      </c>
      <c r="B490" t="s">
        <v>137</v>
      </c>
      <c r="C490">
        <v>1</v>
      </c>
      <c r="D490">
        <v>55238</v>
      </c>
      <c r="E490" t="s">
        <v>1505</v>
      </c>
      <c r="F490" t="s">
        <v>166</v>
      </c>
      <c r="G490" s="31">
        <v>0.85899999999999999</v>
      </c>
      <c r="H490" s="31">
        <v>0.90500000000000003</v>
      </c>
      <c r="I490" t="s">
        <v>1954</v>
      </c>
      <c r="J490" t="s">
        <v>1954</v>
      </c>
      <c r="K490">
        <v>106527</v>
      </c>
      <c r="L490">
        <v>1156723</v>
      </c>
      <c r="M490" s="32">
        <v>10.858499999999999</v>
      </c>
      <c r="N490" t="s">
        <v>141</v>
      </c>
      <c r="O490" t="s">
        <v>1506</v>
      </c>
      <c r="P490">
        <v>362.2</v>
      </c>
      <c r="Q490" s="33" t="s">
        <v>1955</v>
      </c>
      <c r="R490" t="s">
        <v>21</v>
      </c>
      <c r="S490" t="s">
        <v>22</v>
      </c>
      <c r="T490">
        <f t="shared" si="7"/>
        <v>369240.84000000014</v>
      </c>
    </row>
    <row r="491" spans="1:20" x14ac:dyDescent="0.25">
      <c r="A491" t="s">
        <v>1507</v>
      </c>
      <c r="B491" t="s">
        <v>137</v>
      </c>
      <c r="C491">
        <v>1</v>
      </c>
      <c r="D491">
        <v>55238</v>
      </c>
      <c r="E491" t="s">
        <v>1505</v>
      </c>
      <c r="F491" t="s">
        <v>166</v>
      </c>
      <c r="G491" s="31">
        <v>0.85899999999999999</v>
      </c>
      <c r="H491" s="31">
        <v>0.90500000000000003</v>
      </c>
      <c r="I491" t="s">
        <v>1954</v>
      </c>
      <c r="J491" t="s">
        <v>1954</v>
      </c>
      <c r="K491">
        <v>106527</v>
      </c>
      <c r="L491">
        <v>1156723</v>
      </c>
      <c r="M491" s="32">
        <v>10.858499999999999</v>
      </c>
      <c r="N491" t="s">
        <v>141</v>
      </c>
      <c r="O491" t="s">
        <v>1506</v>
      </c>
      <c r="P491">
        <v>362.2</v>
      </c>
      <c r="Q491" s="33" t="s">
        <v>1955</v>
      </c>
      <c r="R491" t="s">
        <v>21</v>
      </c>
      <c r="S491" t="s">
        <v>22</v>
      </c>
      <c r="T491">
        <f t="shared" si="7"/>
        <v>369603.04000000015</v>
      </c>
    </row>
    <row r="492" spans="1:20" x14ac:dyDescent="0.25">
      <c r="A492" t="s">
        <v>1508</v>
      </c>
      <c r="B492" t="s">
        <v>137</v>
      </c>
      <c r="C492">
        <v>1</v>
      </c>
      <c r="D492">
        <v>55238</v>
      </c>
      <c r="E492" t="s">
        <v>1505</v>
      </c>
      <c r="F492" t="s">
        <v>166</v>
      </c>
      <c r="G492" s="31">
        <v>0.85899999999999999</v>
      </c>
      <c r="H492" s="31">
        <v>0.90500000000000003</v>
      </c>
      <c r="I492" t="s">
        <v>1954</v>
      </c>
      <c r="J492" t="s">
        <v>1954</v>
      </c>
      <c r="K492">
        <v>106527</v>
      </c>
      <c r="L492">
        <v>1156723</v>
      </c>
      <c r="M492" s="32">
        <v>10.858499999999999</v>
      </c>
      <c r="N492" t="s">
        <v>141</v>
      </c>
      <c r="O492" t="s">
        <v>1506</v>
      </c>
      <c r="P492">
        <v>362.2</v>
      </c>
      <c r="Q492" s="33" t="s">
        <v>1955</v>
      </c>
      <c r="R492" t="s">
        <v>21</v>
      </c>
      <c r="S492" t="s">
        <v>22</v>
      </c>
      <c r="T492">
        <f t="shared" si="7"/>
        <v>369965.24000000017</v>
      </c>
    </row>
    <row r="493" spans="1:20" x14ac:dyDescent="0.25">
      <c r="A493" t="s">
        <v>1602</v>
      </c>
      <c r="B493" t="s">
        <v>125</v>
      </c>
      <c r="C493">
        <v>1</v>
      </c>
      <c r="D493">
        <v>492</v>
      </c>
      <c r="E493" t="s">
        <v>2170</v>
      </c>
      <c r="F493" t="s">
        <v>1381</v>
      </c>
      <c r="G493" s="31">
        <v>0.5081</v>
      </c>
      <c r="H493" s="31">
        <v>0.43609999999999999</v>
      </c>
      <c r="I493" t="s">
        <v>1954</v>
      </c>
      <c r="J493" t="s">
        <v>1954</v>
      </c>
      <c r="K493">
        <v>73232</v>
      </c>
      <c r="L493">
        <v>796661</v>
      </c>
      <c r="M493" s="32">
        <v>10.8786</v>
      </c>
      <c r="N493" t="s">
        <v>130</v>
      </c>
      <c r="O493" t="s">
        <v>1604</v>
      </c>
      <c r="P493">
        <v>150</v>
      </c>
      <c r="Q493" t="s">
        <v>1958</v>
      </c>
      <c r="R493" t="s">
        <v>21</v>
      </c>
      <c r="S493" t="s">
        <v>22</v>
      </c>
      <c r="T493">
        <f t="shared" si="7"/>
        <v>370115.24000000017</v>
      </c>
    </row>
    <row r="494" spans="1:20" x14ac:dyDescent="0.25">
      <c r="A494" t="s">
        <v>1605</v>
      </c>
      <c r="B494" t="s">
        <v>125</v>
      </c>
      <c r="C494">
        <v>1</v>
      </c>
      <c r="D494">
        <v>492</v>
      </c>
      <c r="E494" t="s">
        <v>2170</v>
      </c>
      <c r="F494" t="s">
        <v>1381</v>
      </c>
      <c r="G494" s="31">
        <v>0.5081</v>
      </c>
      <c r="H494" s="31">
        <v>0.43609999999999999</v>
      </c>
      <c r="I494" t="s">
        <v>1954</v>
      </c>
      <c r="J494" t="s">
        <v>1954</v>
      </c>
      <c r="K494">
        <v>73232</v>
      </c>
      <c r="L494">
        <v>796661</v>
      </c>
      <c r="M494" s="32">
        <v>10.8786</v>
      </c>
      <c r="N494" t="s">
        <v>130</v>
      </c>
      <c r="O494" t="s">
        <v>1604</v>
      </c>
      <c r="P494">
        <v>150</v>
      </c>
      <c r="Q494" t="s">
        <v>1958</v>
      </c>
      <c r="R494" t="s">
        <v>21</v>
      </c>
      <c r="S494" t="s">
        <v>22</v>
      </c>
      <c r="T494">
        <f t="shared" si="7"/>
        <v>370265.24000000017</v>
      </c>
    </row>
    <row r="495" spans="1:20" x14ac:dyDescent="0.25">
      <c r="A495" t="s">
        <v>1606</v>
      </c>
      <c r="B495" t="s">
        <v>125</v>
      </c>
      <c r="C495">
        <v>1</v>
      </c>
      <c r="D495">
        <v>492</v>
      </c>
      <c r="E495" t="s">
        <v>2170</v>
      </c>
      <c r="F495" t="s">
        <v>1381</v>
      </c>
      <c r="G495" s="31">
        <v>0.5081</v>
      </c>
      <c r="H495" s="31">
        <v>0.43609999999999999</v>
      </c>
      <c r="I495" t="s">
        <v>1954</v>
      </c>
      <c r="J495" t="s">
        <v>1954</v>
      </c>
      <c r="K495">
        <v>73232</v>
      </c>
      <c r="L495">
        <v>796661</v>
      </c>
      <c r="M495" s="32">
        <v>10.8786</v>
      </c>
      <c r="N495" t="s">
        <v>130</v>
      </c>
      <c r="O495" t="s">
        <v>1604</v>
      </c>
      <c r="P495">
        <v>150</v>
      </c>
      <c r="Q495" t="s">
        <v>1958</v>
      </c>
      <c r="R495" t="s">
        <v>21</v>
      </c>
      <c r="S495" t="s">
        <v>22</v>
      </c>
      <c r="T495">
        <f t="shared" si="7"/>
        <v>370415.24000000017</v>
      </c>
    </row>
    <row r="496" spans="1:20" x14ac:dyDescent="0.25">
      <c r="A496" t="s">
        <v>1607</v>
      </c>
      <c r="B496" t="s">
        <v>125</v>
      </c>
      <c r="C496">
        <v>1</v>
      </c>
      <c r="D496">
        <v>492</v>
      </c>
      <c r="E496" t="s">
        <v>2170</v>
      </c>
      <c r="F496" t="s">
        <v>1381</v>
      </c>
      <c r="G496" s="31">
        <v>0.5081</v>
      </c>
      <c r="H496" s="31">
        <v>0.43609999999999999</v>
      </c>
      <c r="I496" t="s">
        <v>1954</v>
      </c>
      <c r="J496" t="s">
        <v>1954</v>
      </c>
      <c r="K496">
        <v>73232</v>
      </c>
      <c r="L496">
        <v>796661</v>
      </c>
      <c r="M496" s="32">
        <v>10.8786</v>
      </c>
      <c r="N496" t="s">
        <v>130</v>
      </c>
      <c r="O496" t="s">
        <v>1604</v>
      </c>
      <c r="P496">
        <v>150</v>
      </c>
      <c r="Q496" t="s">
        <v>1958</v>
      </c>
      <c r="R496" t="s">
        <v>21</v>
      </c>
      <c r="S496" t="s">
        <v>22</v>
      </c>
      <c r="T496">
        <f t="shared" si="7"/>
        <v>370565.24000000017</v>
      </c>
    </row>
    <row r="497" spans="1:20" x14ac:dyDescent="0.25">
      <c r="A497" t="s">
        <v>1379</v>
      </c>
      <c r="B497" t="s">
        <v>137</v>
      </c>
      <c r="C497">
        <v>1</v>
      </c>
      <c r="D497">
        <v>56998</v>
      </c>
      <c r="E497" t="s">
        <v>2138</v>
      </c>
      <c r="F497" t="s">
        <v>1381</v>
      </c>
      <c r="G497" s="31">
        <v>0.3866</v>
      </c>
      <c r="H497" s="31">
        <v>0.31459999999999999</v>
      </c>
      <c r="I497" t="s">
        <v>1954</v>
      </c>
      <c r="J497" t="s">
        <v>1954</v>
      </c>
      <c r="K497">
        <v>527874</v>
      </c>
      <c r="L497">
        <v>5763205</v>
      </c>
      <c r="M497" s="32">
        <v>10.9178</v>
      </c>
      <c r="N497" t="s">
        <v>141</v>
      </c>
      <c r="O497" t="s">
        <v>1382</v>
      </c>
      <c r="P497">
        <v>220</v>
      </c>
      <c r="Q497" t="s">
        <v>1958</v>
      </c>
      <c r="R497" t="s">
        <v>21</v>
      </c>
      <c r="S497" t="s">
        <v>22</v>
      </c>
      <c r="T497">
        <f t="shared" si="7"/>
        <v>370785.24000000017</v>
      </c>
    </row>
    <row r="498" spans="1:20" x14ac:dyDescent="0.25">
      <c r="A498" t="s">
        <v>510</v>
      </c>
      <c r="B498" t="s">
        <v>109</v>
      </c>
      <c r="C498">
        <v>1</v>
      </c>
      <c r="D498">
        <v>1384</v>
      </c>
      <c r="E498" t="s">
        <v>511</v>
      </c>
      <c r="F498" t="s">
        <v>266</v>
      </c>
      <c r="G498" s="31">
        <v>1</v>
      </c>
      <c r="H498" s="31">
        <v>1</v>
      </c>
      <c r="I498" t="s">
        <v>1954</v>
      </c>
      <c r="J498" t="s">
        <v>1954</v>
      </c>
      <c r="K498">
        <v>512838.35100000002</v>
      </c>
      <c r="L498">
        <v>5601003</v>
      </c>
      <c r="M498" s="32">
        <v>10.9216</v>
      </c>
      <c r="N498" t="s">
        <v>116</v>
      </c>
      <c r="O498" t="s">
        <v>308</v>
      </c>
      <c r="P498">
        <v>341</v>
      </c>
      <c r="Q498" s="33" t="s">
        <v>1955</v>
      </c>
      <c r="R498" t="s">
        <v>21</v>
      </c>
      <c r="S498" t="s">
        <v>22</v>
      </c>
      <c r="T498">
        <f t="shared" si="7"/>
        <v>371126.24000000017</v>
      </c>
    </row>
    <row r="499" spans="1:20" x14ac:dyDescent="0.25">
      <c r="A499" t="s">
        <v>512</v>
      </c>
      <c r="B499" t="s">
        <v>109</v>
      </c>
      <c r="C499">
        <v>1</v>
      </c>
      <c r="D499">
        <v>1384</v>
      </c>
      <c r="E499" t="s">
        <v>511</v>
      </c>
      <c r="F499" t="s">
        <v>266</v>
      </c>
      <c r="G499" s="31">
        <v>1</v>
      </c>
      <c r="H499" s="31">
        <v>1</v>
      </c>
      <c r="I499" t="s">
        <v>1954</v>
      </c>
      <c r="J499" t="s">
        <v>1954</v>
      </c>
      <c r="K499">
        <v>512838.35100000002</v>
      </c>
      <c r="L499">
        <v>5601003</v>
      </c>
      <c r="M499" s="32">
        <v>10.9216</v>
      </c>
      <c r="N499" t="s">
        <v>116</v>
      </c>
      <c r="O499" t="s">
        <v>308</v>
      </c>
      <c r="P499">
        <v>341</v>
      </c>
      <c r="Q499" s="33" t="s">
        <v>1955</v>
      </c>
      <c r="R499" t="s">
        <v>21</v>
      </c>
      <c r="S499" t="s">
        <v>22</v>
      </c>
      <c r="T499">
        <f t="shared" si="7"/>
        <v>371467.24000000017</v>
      </c>
    </row>
    <row r="500" spans="1:20" x14ac:dyDescent="0.25">
      <c r="A500" t="s">
        <v>1736</v>
      </c>
      <c r="B500" t="s">
        <v>109</v>
      </c>
      <c r="C500">
        <v>3</v>
      </c>
      <c r="D500">
        <v>50835</v>
      </c>
      <c r="E500" t="s">
        <v>2187</v>
      </c>
      <c r="F500" t="s">
        <v>250</v>
      </c>
      <c r="G500" s="31">
        <v>0.46829999999999999</v>
      </c>
      <c r="H500" s="31">
        <v>0.51429999999999998</v>
      </c>
      <c r="I500" t="s">
        <v>1954</v>
      </c>
      <c r="J500" t="s">
        <v>1954</v>
      </c>
      <c r="K500">
        <v>227554.37700000001</v>
      </c>
      <c r="L500">
        <v>2490024</v>
      </c>
      <c r="M500" s="32">
        <v>10.942500000000001</v>
      </c>
      <c r="N500" t="s">
        <v>116</v>
      </c>
      <c r="O500" t="s">
        <v>282</v>
      </c>
      <c r="P500">
        <v>60</v>
      </c>
      <c r="Q500" t="s">
        <v>1958</v>
      </c>
      <c r="R500" t="s">
        <v>21</v>
      </c>
      <c r="S500" t="s">
        <v>22</v>
      </c>
      <c r="T500">
        <f t="shared" si="7"/>
        <v>371527.24000000017</v>
      </c>
    </row>
    <row r="501" spans="1:20" x14ac:dyDescent="0.25">
      <c r="A501" t="s">
        <v>324</v>
      </c>
      <c r="B501" t="s">
        <v>189</v>
      </c>
      <c r="C501">
        <v>1</v>
      </c>
      <c r="D501">
        <v>3140</v>
      </c>
      <c r="E501" t="s">
        <v>325</v>
      </c>
      <c r="F501" t="s">
        <v>143</v>
      </c>
      <c r="G501" s="31">
        <v>1</v>
      </c>
      <c r="H501" s="31">
        <v>1</v>
      </c>
      <c r="I501" t="s">
        <v>1954</v>
      </c>
      <c r="J501" t="s">
        <v>1954</v>
      </c>
      <c r="K501">
        <v>4191477.9929999998</v>
      </c>
      <c r="L501">
        <v>45961533</v>
      </c>
      <c r="M501" s="32">
        <v>10.9655</v>
      </c>
      <c r="N501" t="s">
        <v>326</v>
      </c>
      <c r="O501" t="s">
        <v>119</v>
      </c>
      <c r="P501">
        <v>1411</v>
      </c>
      <c r="Q501" s="33" t="s">
        <v>1955</v>
      </c>
      <c r="R501" t="s">
        <v>21</v>
      </c>
      <c r="S501" t="s">
        <v>22</v>
      </c>
      <c r="T501">
        <f t="shared" si="7"/>
        <v>372938.24000000017</v>
      </c>
    </row>
    <row r="502" spans="1:20" x14ac:dyDescent="0.25">
      <c r="A502" t="s">
        <v>327</v>
      </c>
      <c r="B502" t="s">
        <v>189</v>
      </c>
      <c r="C502">
        <v>1</v>
      </c>
      <c r="D502">
        <v>3140</v>
      </c>
      <c r="E502" t="s">
        <v>325</v>
      </c>
      <c r="F502" t="s">
        <v>143</v>
      </c>
      <c r="G502" s="31">
        <v>1</v>
      </c>
      <c r="H502" s="31">
        <v>1</v>
      </c>
      <c r="I502" t="s">
        <v>1954</v>
      </c>
      <c r="J502" t="s">
        <v>1954</v>
      </c>
      <c r="K502">
        <v>4191477.9929999998</v>
      </c>
      <c r="L502">
        <v>45961533</v>
      </c>
      <c r="M502" s="32">
        <v>10.9655</v>
      </c>
      <c r="N502" t="s">
        <v>326</v>
      </c>
      <c r="O502" t="s">
        <v>119</v>
      </c>
      <c r="P502">
        <v>1411</v>
      </c>
      <c r="Q502" s="33" t="s">
        <v>1955</v>
      </c>
      <c r="R502" t="s">
        <v>21</v>
      </c>
      <c r="S502" t="s">
        <v>22</v>
      </c>
      <c r="T502">
        <f t="shared" si="7"/>
        <v>374349.24000000017</v>
      </c>
    </row>
    <row r="503" spans="1:20" x14ac:dyDescent="0.25">
      <c r="A503" t="s">
        <v>328</v>
      </c>
      <c r="B503" t="s">
        <v>189</v>
      </c>
      <c r="C503">
        <v>1</v>
      </c>
      <c r="D503">
        <v>3140</v>
      </c>
      <c r="E503" t="s">
        <v>325</v>
      </c>
      <c r="F503" t="s">
        <v>143</v>
      </c>
      <c r="G503" s="31">
        <v>1</v>
      </c>
      <c r="H503" s="31">
        <v>1</v>
      </c>
      <c r="I503" t="s">
        <v>1954</v>
      </c>
      <c r="J503" t="s">
        <v>1954</v>
      </c>
      <c r="K503">
        <v>4191477.9929999998</v>
      </c>
      <c r="L503">
        <v>45961533</v>
      </c>
      <c r="M503" s="32">
        <v>10.9655</v>
      </c>
      <c r="N503" t="s">
        <v>326</v>
      </c>
      <c r="O503" t="s">
        <v>119</v>
      </c>
      <c r="P503">
        <v>1411</v>
      </c>
      <c r="Q503" s="33" t="s">
        <v>1955</v>
      </c>
      <c r="R503" t="s">
        <v>21</v>
      </c>
      <c r="S503" t="s">
        <v>22</v>
      </c>
      <c r="T503">
        <f t="shared" si="7"/>
        <v>375760.24000000017</v>
      </c>
    </row>
    <row r="504" spans="1:20" x14ac:dyDescent="0.25">
      <c r="A504" t="s">
        <v>1578</v>
      </c>
      <c r="B504" t="s">
        <v>125</v>
      </c>
      <c r="C504">
        <v>2</v>
      </c>
      <c r="D504">
        <v>7805</v>
      </c>
      <c r="E504" t="s">
        <v>2164</v>
      </c>
      <c r="F504" t="s">
        <v>708</v>
      </c>
      <c r="G504" s="31">
        <v>0.72250000000000003</v>
      </c>
      <c r="H504" s="31">
        <v>0.76849999999999996</v>
      </c>
      <c r="I504" t="s">
        <v>1954</v>
      </c>
      <c r="J504" t="s">
        <v>1954</v>
      </c>
      <c r="K504">
        <v>2262372.0019999999</v>
      </c>
      <c r="L504">
        <v>24819022</v>
      </c>
      <c r="M504" s="32">
        <v>10.9704</v>
      </c>
      <c r="N504" t="s">
        <v>130</v>
      </c>
      <c r="O504" t="s">
        <v>2165</v>
      </c>
      <c r="P504">
        <v>800</v>
      </c>
      <c r="Q504" t="s">
        <v>1958</v>
      </c>
      <c r="R504" t="s">
        <v>21</v>
      </c>
      <c r="S504" t="s">
        <v>22</v>
      </c>
      <c r="T504">
        <f t="shared" si="7"/>
        <v>376560.24000000017</v>
      </c>
    </row>
    <row r="505" spans="1:20" x14ac:dyDescent="0.25">
      <c r="A505" t="s">
        <v>1582</v>
      </c>
      <c r="B505" t="s">
        <v>137</v>
      </c>
      <c r="C505">
        <v>2</v>
      </c>
      <c r="D505">
        <v>7805</v>
      </c>
      <c r="E505" t="s">
        <v>2164</v>
      </c>
      <c r="F505" t="s">
        <v>708</v>
      </c>
      <c r="G505" s="31">
        <v>0.72250000000000003</v>
      </c>
      <c r="H505" s="31">
        <v>0.76849999999999996</v>
      </c>
      <c r="I505" t="s">
        <v>1954</v>
      </c>
      <c r="J505" t="s">
        <v>1954</v>
      </c>
      <c r="K505">
        <v>2262372.0019999999</v>
      </c>
      <c r="L505">
        <v>24819022</v>
      </c>
      <c r="M505" s="32">
        <v>10.9704</v>
      </c>
      <c r="N505" t="s">
        <v>130</v>
      </c>
      <c r="O505" t="s">
        <v>2165</v>
      </c>
      <c r="P505">
        <v>800</v>
      </c>
      <c r="Q505" t="s">
        <v>1958</v>
      </c>
      <c r="R505" t="s">
        <v>21</v>
      </c>
      <c r="S505" t="s">
        <v>22</v>
      </c>
      <c r="T505">
        <f t="shared" si="7"/>
        <v>377360.24000000017</v>
      </c>
    </row>
    <row r="506" spans="1:20" x14ac:dyDescent="0.25">
      <c r="A506" t="s">
        <v>1583</v>
      </c>
      <c r="B506" t="s">
        <v>125</v>
      </c>
      <c r="C506">
        <v>2</v>
      </c>
      <c r="D506">
        <v>7805</v>
      </c>
      <c r="E506" t="s">
        <v>2164</v>
      </c>
      <c r="F506" t="s">
        <v>708</v>
      </c>
      <c r="G506" s="31">
        <v>0.72250000000000003</v>
      </c>
      <c r="H506" s="31">
        <v>0.76849999999999996</v>
      </c>
      <c r="I506" t="s">
        <v>1954</v>
      </c>
      <c r="J506" t="s">
        <v>1954</v>
      </c>
      <c r="K506">
        <v>2262372.0019999999</v>
      </c>
      <c r="L506">
        <v>24819022</v>
      </c>
      <c r="M506" s="32">
        <v>10.9704</v>
      </c>
      <c r="N506" t="s">
        <v>130</v>
      </c>
      <c r="O506" t="s">
        <v>2165</v>
      </c>
      <c r="P506">
        <v>800</v>
      </c>
      <c r="Q506" t="s">
        <v>1958</v>
      </c>
      <c r="R506" t="s">
        <v>21</v>
      </c>
      <c r="S506" t="s">
        <v>22</v>
      </c>
      <c r="T506">
        <f t="shared" si="7"/>
        <v>378160.24000000017</v>
      </c>
    </row>
    <row r="507" spans="1:20" x14ac:dyDescent="0.25">
      <c r="A507" t="s">
        <v>1584</v>
      </c>
      <c r="B507" t="s">
        <v>125</v>
      </c>
      <c r="C507">
        <v>2</v>
      </c>
      <c r="D507">
        <v>7805</v>
      </c>
      <c r="E507" t="s">
        <v>2164</v>
      </c>
      <c r="F507" t="s">
        <v>708</v>
      </c>
      <c r="G507" s="31">
        <v>0.72250000000000003</v>
      </c>
      <c r="H507" s="31">
        <v>0.76849999999999996</v>
      </c>
      <c r="I507" t="s">
        <v>1954</v>
      </c>
      <c r="J507" t="s">
        <v>1954</v>
      </c>
      <c r="K507">
        <v>2262372.0019999999</v>
      </c>
      <c r="L507">
        <v>24819022</v>
      </c>
      <c r="M507" s="32">
        <v>10.9704</v>
      </c>
      <c r="N507" t="s">
        <v>130</v>
      </c>
      <c r="O507" t="s">
        <v>2165</v>
      </c>
      <c r="P507">
        <v>800</v>
      </c>
      <c r="Q507" t="s">
        <v>1958</v>
      </c>
      <c r="R507" t="s">
        <v>21</v>
      </c>
      <c r="S507" t="s">
        <v>22</v>
      </c>
      <c r="T507">
        <f t="shared" si="7"/>
        <v>378960.24000000017</v>
      </c>
    </row>
    <row r="508" spans="1:20" x14ac:dyDescent="0.25">
      <c r="A508" t="s">
        <v>1585</v>
      </c>
      <c r="B508" t="s">
        <v>125</v>
      </c>
      <c r="C508">
        <v>2</v>
      </c>
      <c r="D508">
        <v>7805</v>
      </c>
      <c r="E508" t="s">
        <v>2164</v>
      </c>
      <c r="F508" t="s">
        <v>708</v>
      </c>
      <c r="G508" s="31">
        <v>0.72250000000000003</v>
      </c>
      <c r="H508" s="31">
        <v>0.76849999999999996</v>
      </c>
      <c r="I508" t="s">
        <v>1954</v>
      </c>
      <c r="J508" t="s">
        <v>1954</v>
      </c>
      <c r="K508">
        <v>2262372.0019999999</v>
      </c>
      <c r="L508">
        <v>24819022</v>
      </c>
      <c r="M508" s="32">
        <v>10.9704</v>
      </c>
      <c r="N508" t="s">
        <v>130</v>
      </c>
      <c r="O508" t="s">
        <v>2165</v>
      </c>
      <c r="P508">
        <v>800</v>
      </c>
      <c r="Q508" t="s">
        <v>1958</v>
      </c>
      <c r="R508" t="s">
        <v>21</v>
      </c>
      <c r="S508" t="s">
        <v>22</v>
      </c>
      <c r="T508">
        <f t="shared" si="7"/>
        <v>379760.24000000017</v>
      </c>
    </row>
    <row r="509" spans="1:20" x14ac:dyDescent="0.25">
      <c r="A509" t="s">
        <v>1586</v>
      </c>
      <c r="B509" t="s">
        <v>125</v>
      </c>
      <c r="C509">
        <v>2</v>
      </c>
      <c r="D509">
        <v>7805</v>
      </c>
      <c r="E509" t="s">
        <v>2164</v>
      </c>
      <c r="F509" t="s">
        <v>708</v>
      </c>
      <c r="G509" s="31">
        <v>0.72250000000000003</v>
      </c>
      <c r="H509" s="31">
        <v>0.76849999999999996</v>
      </c>
      <c r="I509" t="s">
        <v>1954</v>
      </c>
      <c r="J509" t="s">
        <v>1954</v>
      </c>
      <c r="K509">
        <v>2262372.0019999999</v>
      </c>
      <c r="L509">
        <v>24819022</v>
      </c>
      <c r="M509" s="32">
        <v>10.9704</v>
      </c>
      <c r="N509" t="s">
        <v>130</v>
      </c>
      <c r="O509" t="s">
        <v>2165</v>
      </c>
      <c r="P509">
        <v>800</v>
      </c>
      <c r="Q509" t="s">
        <v>1958</v>
      </c>
      <c r="R509" t="s">
        <v>21</v>
      </c>
      <c r="S509" t="s">
        <v>22</v>
      </c>
      <c r="T509">
        <f t="shared" si="7"/>
        <v>380560.24000000017</v>
      </c>
    </row>
    <row r="510" spans="1:20" x14ac:dyDescent="0.25">
      <c r="A510" t="s">
        <v>1587</v>
      </c>
      <c r="B510" t="s">
        <v>125</v>
      </c>
      <c r="C510">
        <v>2</v>
      </c>
      <c r="D510">
        <v>7805</v>
      </c>
      <c r="E510" t="s">
        <v>2164</v>
      </c>
      <c r="F510" t="s">
        <v>708</v>
      </c>
      <c r="G510" s="31">
        <v>0.72250000000000003</v>
      </c>
      <c r="H510" s="31">
        <v>0.76849999999999996</v>
      </c>
      <c r="I510" t="s">
        <v>1954</v>
      </c>
      <c r="J510" t="s">
        <v>1954</v>
      </c>
      <c r="K510">
        <v>2262372.0019999999</v>
      </c>
      <c r="L510">
        <v>24819022</v>
      </c>
      <c r="M510" s="32">
        <v>10.9704</v>
      </c>
      <c r="N510" t="s">
        <v>130</v>
      </c>
      <c r="O510" t="s">
        <v>2165</v>
      </c>
      <c r="P510">
        <v>800</v>
      </c>
      <c r="Q510" t="s">
        <v>1958</v>
      </c>
      <c r="R510" t="s">
        <v>21</v>
      </c>
      <c r="S510" t="s">
        <v>22</v>
      </c>
      <c r="T510">
        <f t="shared" si="7"/>
        <v>381360.24000000017</v>
      </c>
    </row>
    <row r="511" spans="1:20" x14ac:dyDescent="0.25">
      <c r="A511" t="s">
        <v>1588</v>
      </c>
      <c r="B511" t="s">
        <v>125</v>
      </c>
      <c r="C511">
        <v>2</v>
      </c>
      <c r="D511">
        <v>7805</v>
      </c>
      <c r="E511" t="s">
        <v>2164</v>
      </c>
      <c r="F511" t="s">
        <v>708</v>
      </c>
      <c r="G511" s="31">
        <v>0.72250000000000003</v>
      </c>
      <c r="H511" s="31">
        <v>0.76849999999999996</v>
      </c>
      <c r="I511" t="s">
        <v>1954</v>
      </c>
      <c r="J511" t="s">
        <v>1954</v>
      </c>
      <c r="K511">
        <v>2262372.0019999999</v>
      </c>
      <c r="L511">
        <v>24819022</v>
      </c>
      <c r="M511" s="32">
        <v>10.9704</v>
      </c>
      <c r="N511" t="s">
        <v>130</v>
      </c>
      <c r="O511" t="s">
        <v>2165</v>
      </c>
      <c r="P511">
        <v>800</v>
      </c>
      <c r="Q511" t="s">
        <v>1958</v>
      </c>
      <c r="R511" t="s">
        <v>21</v>
      </c>
      <c r="S511" t="s">
        <v>22</v>
      </c>
      <c r="T511">
        <f t="shared" si="7"/>
        <v>382160.24000000017</v>
      </c>
    </row>
    <row r="512" spans="1:20" x14ac:dyDescent="0.25">
      <c r="A512" t="s">
        <v>1589</v>
      </c>
      <c r="B512" t="s">
        <v>137</v>
      </c>
      <c r="C512">
        <v>2</v>
      </c>
      <c r="D512">
        <v>7805</v>
      </c>
      <c r="E512" t="s">
        <v>2164</v>
      </c>
      <c r="F512" t="s">
        <v>708</v>
      </c>
      <c r="G512" s="31">
        <v>0.72250000000000003</v>
      </c>
      <c r="H512" s="31">
        <v>0.76849999999999996</v>
      </c>
      <c r="I512" t="s">
        <v>1954</v>
      </c>
      <c r="J512" t="s">
        <v>1954</v>
      </c>
      <c r="K512">
        <v>2262372.0019999999</v>
      </c>
      <c r="L512">
        <v>24819022</v>
      </c>
      <c r="M512" s="32">
        <v>10.9704</v>
      </c>
      <c r="N512" t="s">
        <v>130</v>
      </c>
      <c r="O512" t="s">
        <v>2165</v>
      </c>
      <c r="P512">
        <v>800</v>
      </c>
      <c r="Q512" t="s">
        <v>1958</v>
      </c>
      <c r="R512" t="s">
        <v>21</v>
      </c>
      <c r="S512" t="s">
        <v>22</v>
      </c>
      <c r="T512">
        <f t="shared" si="7"/>
        <v>382960.24000000017</v>
      </c>
    </row>
    <row r="513" spans="1:20" x14ac:dyDescent="0.25">
      <c r="A513" t="s">
        <v>1013</v>
      </c>
      <c r="B513" t="s">
        <v>194</v>
      </c>
      <c r="C513">
        <v>1</v>
      </c>
      <c r="D513">
        <v>3136</v>
      </c>
      <c r="E513" t="s">
        <v>1011</v>
      </c>
      <c r="F513" t="s">
        <v>143</v>
      </c>
      <c r="G513" s="31">
        <v>0.64019999999999999</v>
      </c>
      <c r="H513" s="31">
        <v>0.68620000000000003</v>
      </c>
      <c r="I513" t="s">
        <v>1954</v>
      </c>
      <c r="J513" t="s">
        <v>1954</v>
      </c>
      <c r="K513">
        <v>519</v>
      </c>
      <c r="L513">
        <v>5695</v>
      </c>
      <c r="M513" s="32">
        <v>10.973000000000001</v>
      </c>
      <c r="N513" t="s">
        <v>199</v>
      </c>
      <c r="O513" t="s">
        <v>1014</v>
      </c>
      <c r="P513">
        <v>11.2</v>
      </c>
      <c r="Q513" s="33" t="s">
        <v>1956</v>
      </c>
      <c r="R513" t="s">
        <v>21</v>
      </c>
      <c r="S513" t="s">
        <v>22</v>
      </c>
      <c r="T513">
        <f t="shared" si="7"/>
        <v>382971.44000000018</v>
      </c>
    </row>
    <row r="514" spans="1:20" x14ac:dyDescent="0.25">
      <c r="A514" t="s">
        <v>1736</v>
      </c>
      <c r="B514" t="s">
        <v>109</v>
      </c>
      <c r="C514">
        <v>1</v>
      </c>
      <c r="D514">
        <v>56808</v>
      </c>
      <c r="E514" t="s">
        <v>1737</v>
      </c>
      <c r="F514" t="s">
        <v>201</v>
      </c>
      <c r="G514" s="31">
        <v>0.83199999999999996</v>
      </c>
      <c r="H514" s="31">
        <v>0.878</v>
      </c>
      <c r="I514" t="s">
        <v>1954</v>
      </c>
      <c r="J514" t="s">
        <v>1954</v>
      </c>
      <c r="K514">
        <v>1868730.797</v>
      </c>
      <c r="L514">
        <v>20517693</v>
      </c>
      <c r="M514" s="32">
        <v>10.9795</v>
      </c>
      <c r="N514" t="s">
        <v>116</v>
      </c>
      <c r="O514" t="s">
        <v>267</v>
      </c>
      <c r="P514">
        <v>610</v>
      </c>
      <c r="Q514" s="33" t="s">
        <v>1955</v>
      </c>
      <c r="R514" t="s">
        <v>21</v>
      </c>
      <c r="S514" t="s">
        <v>22</v>
      </c>
      <c r="T514">
        <f t="shared" si="7"/>
        <v>383581.44000000018</v>
      </c>
    </row>
    <row r="515" spans="1:20" x14ac:dyDescent="0.25">
      <c r="A515" t="s">
        <v>1751</v>
      </c>
      <c r="B515" t="s">
        <v>125</v>
      </c>
      <c r="C515">
        <v>2</v>
      </c>
      <c r="D515">
        <v>7962</v>
      </c>
      <c r="E515" t="s">
        <v>2188</v>
      </c>
      <c r="F515" t="s">
        <v>672</v>
      </c>
      <c r="G515" s="31">
        <v>0.77</v>
      </c>
      <c r="H515" s="31">
        <v>0.81599999999999995</v>
      </c>
      <c r="I515" t="s">
        <v>1954</v>
      </c>
      <c r="J515" t="s">
        <v>1954</v>
      </c>
      <c r="K515">
        <v>80041</v>
      </c>
      <c r="L515">
        <v>884192</v>
      </c>
      <c r="M515" s="32">
        <v>11.0467</v>
      </c>
      <c r="N515" t="s">
        <v>130</v>
      </c>
      <c r="O515" t="s">
        <v>2189</v>
      </c>
      <c r="P515">
        <v>98</v>
      </c>
      <c r="Q515" t="s">
        <v>1958</v>
      </c>
      <c r="R515" t="s">
        <v>21</v>
      </c>
      <c r="S515" t="s">
        <v>22</v>
      </c>
      <c r="T515">
        <f t="shared" si="7"/>
        <v>383679.44000000018</v>
      </c>
    </row>
    <row r="516" spans="1:20" x14ac:dyDescent="0.25">
      <c r="A516" t="s">
        <v>469</v>
      </c>
      <c r="B516" t="s">
        <v>109</v>
      </c>
      <c r="C516">
        <v>1</v>
      </c>
      <c r="D516">
        <v>7213</v>
      </c>
      <c r="E516" t="s">
        <v>470</v>
      </c>
      <c r="F516" t="s">
        <v>201</v>
      </c>
      <c r="G516" s="31">
        <v>1</v>
      </c>
      <c r="H516" s="31">
        <v>1</v>
      </c>
      <c r="I516" t="s">
        <v>1954</v>
      </c>
      <c r="J516" t="s">
        <v>1954</v>
      </c>
      <c r="K516">
        <v>1639426.48</v>
      </c>
      <c r="L516">
        <v>18115203</v>
      </c>
      <c r="M516" s="32">
        <v>11.0497</v>
      </c>
      <c r="N516" t="s">
        <v>116</v>
      </c>
      <c r="O516" t="s">
        <v>308</v>
      </c>
      <c r="P516">
        <v>877.1</v>
      </c>
      <c r="Q516" s="33" t="s">
        <v>1955</v>
      </c>
      <c r="R516" t="s">
        <v>21</v>
      </c>
      <c r="S516" t="s">
        <v>22</v>
      </c>
      <c r="T516">
        <f t="shared" ref="T516:T579" si="8">T515+P516</f>
        <v>384556.54000000015</v>
      </c>
    </row>
    <row r="517" spans="1:20" x14ac:dyDescent="0.25">
      <c r="A517" t="s">
        <v>471</v>
      </c>
      <c r="B517" t="s">
        <v>109</v>
      </c>
      <c r="C517">
        <v>1</v>
      </c>
      <c r="D517">
        <v>7213</v>
      </c>
      <c r="E517" t="s">
        <v>470</v>
      </c>
      <c r="F517" t="s">
        <v>201</v>
      </c>
      <c r="G517" s="31">
        <v>1</v>
      </c>
      <c r="H517" s="31">
        <v>1</v>
      </c>
      <c r="I517" t="s">
        <v>1954</v>
      </c>
      <c r="J517" t="s">
        <v>1954</v>
      </c>
      <c r="K517">
        <v>1639426.48</v>
      </c>
      <c r="L517">
        <v>18115203</v>
      </c>
      <c r="M517" s="32">
        <v>11.0497</v>
      </c>
      <c r="N517" t="s">
        <v>116</v>
      </c>
      <c r="O517" t="s">
        <v>308</v>
      </c>
      <c r="P517">
        <v>877.1</v>
      </c>
      <c r="Q517" s="33" t="s">
        <v>1955</v>
      </c>
      <c r="R517" t="s">
        <v>21</v>
      </c>
      <c r="S517" t="s">
        <v>22</v>
      </c>
      <c r="T517">
        <f t="shared" si="8"/>
        <v>385433.64000000013</v>
      </c>
    </row>
    <row r="518" spans="1:20" x14ac:dyDescent="0.25">
      <c r="A518" t="s">
        <v>1256</v>
      </c>
      <c r="B518" t="s">
        <v>125</v>
      </c>
      <c r="C518">
        <v>1</v>
      </c>
      <c r="D518">
        <v>60387</v>
      </c>
      <c r="E518" t="s">
        <v>1257</v>
      </c>
      <c r="F518" t="s">
        <v>166</v>
      </c>
      <c r="G518" s="31">
        <v>0.74750000000000005</v>
      </c>
      <c r="H518" s="31">
        <v>0.79349999999999998</v>
      </c>
      <c r="I518" t="s">
        <v>1954</v>
      </c>
      <c r="J518" t="s">
        <v>1954</v>
      </c>
      <c r="K518">
        <v>858092.005</v>
      </c>
      <c r="L518">
        <v>9482544</v>
      </c>
      <c r="M518" s="32">
        <v>11.050700000000001</v>
      </c>
      <c r="N518" t="s">
        <v>130</v>
      </c>
      <c r="O518" t="s">
        <v>478</v>
      </c>
      <c r="P518">
        <v>314</v>
      </c>
      <c r="Q518" s="33" t="s">
        <v>1956</v>
      </c>
      <c r="R518" t="s">
        <v>21</v>
      </c>
      <c r="S518" t="s">
        <v>22</v>
      </c>
      <c r="T518">
        <f t="shared" si="8"/>
        <v>385747.64000000013</v>
      </c>
    </row>
    <row r="519" spans="1:20" x14ac:dyDescent="0.25">
      <c r="A519" t="s">
        <v>1258</v>
      </c>
      <c r="B519" t="s">
        <v>125</v>
      </c>
      <c r="C519">
        <v>1</v>
      </c>
      <c r="D519">
        <v>60387</v>
      </c>
      <c r="E519" t="s">
        <v>1257</v>
      </c>
      <c r="F519" t="s">
        <v>166</v>
      </c>
      <c r="G519" s="31">
        <v>0.74750000000000005</v>
      </c>
      <c r="H519" s="31">
        <v>0.79349999999999998</v>
      </c>
      <c r="I519" t="s">
        <v>1954</v>
      </c>
      <c r="J519" t="s">
        <v>1954</v>
      </c>
      <c r="K519">
        <v>858092.005</v>
      </c>
      <c r="L519">
        <v>9482544</v>
      </c>
      <c r="M519" s="32">
        <v>11.050700000000001</v>
      </c>
      <c r="N519" t="s">
        <v>130</v>
      </c>
      <c r="O519" t="s">
        <v>478</v>
      </c>
      <c r="P519">
        <v>314</v>
      </c>
      <c r="Q519" s="33" t="s">
        <v>1956</v>
      </c>
      <c r="R519" t="s">
        <v>21</v>
      </c>
      <c r="S519" t="s">
        <v>22</v>
      </c>
      <c r="T519">
        <f t="shared" si="8"/>
        <v>386061.64000000013</v>
      </c>
    </row>
    <row r="520" spans="1:20" x14ac:dyDescent="0.25">
      <c r="A520" t="s">
        <v>889</v>
      </c>
      <c r="B520" t="s">
        <v>137</v>
      </c>
      <c r="C520">
        <v>1</v>
      </c>
      <c r="D520">
        <v>7763</v>
      </c>
      <c r="E520" t="s">
        <v>2066</v>
      </c>
      <c r="F520" t="s">
        <v>131</v>
      </c>
      <c r="G520" s="31">
        <v>0.54849999999999999</v>
      </c>
      <c r="H520" s="31">
        <v>0.59450000000000003</v>
      </c>
      <c r="I520" t="s">
        <v>1954</v>
      </c>
      <c r="J520" t="s">
        <v>1954</v>
      </c>
      <c r="K520">
        <v>274901</v>
      </c>
      <c r="L520">
        <v>3043117</v>
      </c>
      <c r="M520" s="32">
        <v>11.069900000000001</v>
      </c>
      <c r="N520" t="s">
        <v>141</v>
      </c>
      <c r="O520" t="s">
        <v>119</v>
      </c>
      <c r="P520">
        <v>126</v>
      </c>
      <c r="Q520" t="s">
        <v>1958</v>
      </c>
      <c r="R520" t="s">
        <v>21</v>
      </c>
      <c r="S520" t="s">
        <v>22</v>
      </c>
      <c r="T520">
        <f t="shared" si="8"/>
        <v>386187.64000000013</v>
      </c>
    </row>
    <row r="521" spans="1:20" x14ac:dyDescent="0.25">
      <c r="A521" t="s">
        <v>1554</v>
      </c>
      <c r="B521" t="s">
        <v>109</v>
      </c>
      <c r="C521">
        <v>1</v>
      </c>
      <c r="D521">
        <v>3130</v>
      </c>
      <c r="E521" t="s">
        <v>1555</v>
      </c>
      <c r="F521" t="s">
        <v>143</v>
      </c>
      <c r="G521" s="31">
        <v>0.85899999999999999</v>
      </c>
      <c r="H521" s="31">
        <v>0.90500000000000003</v>
      </c>
      <c r="I521" t="s">
        <v>1954</v>
      </c>
      <c r="J521" t="s">
        <v>1954</v>
      </c>
      <c r="K521">
        <v>3090530.9580000001</v>
      </c>
      <c r="L521">
        <v>34288680</v>
      </c>
      <c r="M521" s="32">
        <v>11.094799999999999</v>
      </c>
      <c r="N521" t="s">
        <v>662</v>
      </c>
      <c r="O521" t="s">
        <v>1556</v>
      </c>
      <c r="P521">
        <v>521</v>
      </c>
      <c r="Q521" s="33" t="s">
        <v>1955</v>
      </c>
      <c r="R521" t="s">
        <v>21</v>
      </c>
      <c r="S521" t="s">
        <v>22</v>
      </c>
      <c r="T521">
        <f t="shared" si="8"/>
        <v>386708.64000000013</v>
      </c>
    </row>
    <row r="522" spans="1:20" x14ac:dyDescent="0.25">
      <c r="A522" t="s">
        <v>889</v>
      </c>
      <c r="B522" t="s">
        <v>137</v>
      </c>
      <c r="C522">
        <v>2</v>
      </c>
      <c r="D522">
        <v>7948</v>
      </c>
      <c r="E522" t="s">
        <v>2067</v>
      </c>
      <c r="F522" t="s">
        <v>131</v>
      </c>
      <c r="G522" s="31">
        <v>0.53410000000000002</v>
      </c>
      <c r="H522" s="31">
        <v>0.58009999999999995</v>
      </c>
      <c r="I522" t="s">
        <v>1954</v>
      </c>
      <c r="J522" t="s">
        <v>1954</v>
      </c>
      <c r="K522">
        <v>163729</v>
      </c>
      <c r="L522">
        <v>1825474</v>
      </c>
      <c r="M522" s="32">
        <v>11.1494</v>
      </c>
      <c r="N522" t="s">
        <v>141</v>
      </c>
      <c r="O522" t="s">
        <v>459</v>
      </c>
      <c r="P522">
        <v>236.5</v>
      </c>
      <c r="Q522" t="s">
        <v>1958</v>
      </c>
      <c r="R522" t="s">
        <v>21</v>
      </c>
      <c r="S522" t="s">
        <v>22</v>
      </c>
      <c r="T522">
        <f t="shared" si="8"/>
        <v>386945.14000000013</v>
      </c>
    </row>
    <row r="523" spans="1:20" x14ac:dyDescent="0.25">
      <c r="A523" t="s">
        <v>1065</v>
      </c>
      <c r="B523" t="s">
        <v>137</v>
      </c>
      <c r="C523">
        <v>2</v>
      </c>
      <c r="D523">
        <v>7948</v>
      </c>
      <c r="E523" t="s">
        <v>2067</v>
      </c>
      <c r="F523" t="s">
        <v>131</v>
      </c>
      <c r="G523" s="31">
        <v>0.55400000000000005</v>
      </c>
      <c r="H523" s="31">
        <v>0.6</v>
      </c>
      <c r="I523" t="s">
        <v>1954</v>
      </c>
      <c r="J523" t="s">
        <v>1954</v>
      </c>
      <c r="K523">
        <v>163729</v>
      </c>
      <c r="L523">
        <v>1825474</v>
      </c>
      <c r="M523" s="32">
        <v>11.1494</v>
      </c>
      <c r="N523" t="s">
        <v>141</v>
      </c>
      <c r="O523" t="s">
        <v>459</v>
      </c>
      <c r="P523">
        <v>236.5</v>
      </c>
      <c r="Q523" t="s">
        <v>1958</v>
      </c>
      <c r="R523" t="s">
        <v>21</v>
      </c>
      <c r="S523" t="s">
        <v>22</v>
      </c>
      <c r="T523">
        <f t="shared" si="8"/>
        <v>387181.64000000013</v>
      </c>
    </row>
    <row r="524" spans="1:20" x14ac:dyDescent="0.25">
      <c r="A524" t="s">
        <v>1068</v>
      </c>
      <c r="B524" t="s">
        <v>137</v>
      </c>
      <c r="C524">
        <v>2</v>
      </c>
      <c r="D524">
        <v>7948</v>
      </c>
      <c r="E524" t="s">
        <v>2067</v>
      </c>
      <c r="F524" t="s">
        <v>131</v>
      </c>
      <c r="G524" s="31">
        <v>0.55400000000000005</v>
      </c>
      <c r="H524" s="31">
        <v>0.6</v>
      </c>
      <c r="I524" t="s">
        <v>1954</v>
      </c>
      <c r="J524" t="s">
        <v>1954</v>
      </c>
      <c r="K524">
        <v>163729</v>
      </c>
      <c r="L524">
        <v>1825474</v>
      </c>
      <c r="M524" s="32">
        <v>11.1494</v>
      </c>
      <c r="N524" t="s">
        <v>141</v>
      </c>
      <c r="O524" t="s">
        <v>459</v>
      </c>
      <c r="P524">
        <v>236.5</v>
      </c>
      <c r="Q524" t="s">
        <v>1958</v>
      </c>
      <c r="R524" t="s">
        <v>21</v>
      </c>
      <c r="S524" t="s">
        <v>22</v>
      </c>
      <c r="T524">
        <f t="shared" si="8"/>
        <v>387418.14000000013</v>
      </c>
    </row>
    <row r="525" spans="1:20" x14ac:dyDescent="0.25">
      <c r="A525" t="s">
        <v>1069</v>
      </c>
      <c r="B525" t="s">
        <v>137</v>
      </c>
      <c r="C525">
        <v>2</v>
      </c>
      <c r="D525">
        <v>7948</v>
      </c>
      <c r="E525" t="s">
        <v>2067</v>
      </c>
      <c r="F525" t="s">
        <v>131</v>
      </c>
      <c r="G525" s="31">
        <v>0.55400000000000005</v>
      </c>
      <c r="H525" s="31">
        <v>0.6</v>
      </c>
      <c r="I525" t="s">
        <v>1954</v>
      </c>
      <c r="J525" t="s">
        <v>1954</v>
      </c>
      <c r="K525">
        <v>163729</v>
      </c>
      <c r="L525">
        <v>1825474</v>
      </c>
      <c r="M525" s="32">
        <v>11.1494</v>
      </c>
      <c r="N525" t="s">
        <v>141</v>
      </c>
      <c r="O525" t="s">
        <v>459</v>
      </c>
      <c r="P525">
        <v>236.5</v>
      </c>
      <c r="Q525" t="s">
        <v>1958</v>
      </c>
      <c r="R525" t="s">
        <v>21</v>
      </c>
      <c r="S525" t="s">
        <v>22</v>
      </c>
      <c r="T525">
        <f t="shared" si="8"/>
        <v>387654.64000000013</v>
      </c>
    </row>
    <row r="526" spans="1:20" x14ac:dyDescent="0.25">
      <c r="A526" t="s">
        <v>1070</v>
      </c>
      <c r="B526" t="s">
        <v>137</v>
      </c>
      <c r="C526">
        <v>2</v>
      </c>
      <c r="D526">
        <v>7948</v>
      </c>
      <c r="E526" t="s">
        <v>2067</v>
      </c>
      <c r="F526" t="s">
        <v>131</v>
      </c>
      <c r="G526" s="31">
        <v>0.55400000000000005</v>
      </c>
      <c r="H526" s="31">
        <v>0.6</v>
      </c>
      <c r="I526" t="s">
        <v>1954</v>
      </c>
      <c r="J526" t="s">
        <v>1954</v>
      </c>
      <c r="K526">
        <v>163729</v>
      </c>
      <c r="L526">
        <v>1825474</v>
      </c>
      <c r="M526" s="32">
        <v>11.1494</v>
      </c>
      <c r="N526" t="s">
        <v>141</v>
      </c>
      <c r="O526" t="s">
        <v>459</v>
      </c>
      <c r="P526">
        <v>236.5</v>
      </c>
      <c r="Q526" t="s">
        <v>1958</v>
      </c>
      <c r="R526" t="s">
        <v>21</v>
      </c>
      <c r="S526" t="s">
        <v>22</v>
      </c>
      <c r="T526">
        <f t="shared" si="8"/>
        <v>387891.14000000013</v>
      </c>
    </row>
    <row r="527" spans="1:20" x14ac:dyDescent="0.25">
      <c r="A527" t="s">
        <v>1071</v>
      </c>
      <c r="B527" t="s">
        <v>137</v>
      </c>
      <c r="C527">
        <v>2</v>
      </c>
      <c r="D527">
        <v>7948</v>
      </c>
      <c r="E527" t="s">
        <v>2067</v>
      </c>
      <c r="F527" t="s">
        <v>131</v>
      </c>
      <c r="G527" s="31">
        <v>0.55400000000000005</v>
      </c>
      <c r="H527" s="31">
        <v>0.6</v>
      </c>
      <c r="I527" t="s">
        <v>1954</v>
      </c>
      <c r="J527" t="s">
        <v>1954</v>
      </c>
      <c r="K527">
        <v>163729</v>
      </c>
      <c r="L527">
        <v>1825474</v>
      </c>
      <c r="M527" s="32">
        <v>11.1494</v>
      </c>
      <c r="N527" t="s">
        <v>141</v>
      </c>
      <c r="O527" t="s">
        <v>459</v>
      </c>
      <c r="P527">
        <v>236.5</v>
      </c>
      <c r="Q527" t="s">
        <v>1958</v>
      </c>
      <c r="R527" t="s">
        <v>21</v>
      </c>
      <c r="S527" t="s">
        <v>22</v>
      </c>
      <c r="T527">
        <f t="shared" si="8"/>
        <v>388127.64000000013</v>
      </c>
    </row>
    <row r="528" spans="1:20" x14ac:dyDescent="0.25">
      <c r="A528" t="s">
        <v>1072</v>
      </c>
      <c r="B528" t="s">
        <v>137</v>
      </c>
      <c r="C528">
        <v>2</v>
      </c>
      <c r="D528">
        <v>7948</v>
      </c>
      <c r="E528" t="s">
        <v>2067</v>
      </c>
      <c r="F528" t="s">
        <v>131</v>
      </c>
      <c r="G528" s="31">
        <v>0.55400000000000005</v>
      </c>
      <c r="H528" s="31">
        <v>0.6</v>
      </c>
      <c r="I528" t="s">
        <v>1954</v>
      </c>
      <c r="J528" t="s">
        <v>1954</v>
      </c>
      <c r="K528">
        <v>163729</v>
      </c>
      <c r="L528">
        <v>1825474</v>
      </c>
      <c r="M528" s="32">
        <v>11.1494</v>
      </c>
      <c r="N528" t="s">
        <v>141</v>
      </c>
      <c r="O528" t="s">
        <v>459</v>
      </c>
      <c r="P528">
        <v>236.5</v>
      </c>
      <c r="Q528" t="s">
        <v>1958</v>
      </c>
      <c r="R528" t="s">
        <v>21</v>
      </c>
      <c r="S528" t="s">
        <v>22</v>
      </c>
      <c r="T528">
        <f t="shared" si="8"/>
        <v>388364.14000000013</v>
      </c>
    </row>
    <row r="529" spans="1:20" x14ac:dyDescent="0.25">
      <c r="A529" t="s">
        <v>1073</v>
      </c>
      <c r="B529" t="s">
        <v>137</v>
      </c>
      <c r="C529">
        <v>2</v>
      </c>
      <c r="D529">
        <v>7948</v>
      </c>
      <c r="E529" t="s">
        <v>2067</v>
      </c>
      <c r="F529" t="s">
        <v>131</v>
      </c>
      <c r="G529" s="31">
        <v>0.55400000000000005</v>
      </c>
      <c r="H529" s="31">
        <v>0.6</v>
      </c>
      <c r="I529" t="s">
        <v>1954</v>
      </c>
      <c r="J529" t="s">
        <v>1954</v>
      </c>
      <c r="K529">
        <v>163729</v>
      </c>
      <c r="L529">
        <v>1825474</v>
      </c>
      <c r="M529" s="32">
        <v>11.1494</v>
      </c>
      <c r="N529" t="s">
        <v>141</v>
      </c>
      <c r="O529" t="s">
        <v>459</v>
      </c>
      <c r="P529">
        <v>236.5</v>
      </c>
      <c r="Q529" t="s">
        <v>1958</v>
      </c>
      <c r="R529" t="s">
        <v>21</v>
      </c>
      <c r="S529" t="s">
        <v>22</v>
      </c>
      <c r="T529">
        <f t="shared" si="8"/>
        <v>388600.64000000013</v>
      </c>
    </row>
    <row r="530" spans="1:20" x14ac:dyDescent="0.25">
      <c r="A530" t="s">
        <v>1074</v>
      </c>
      <c r="B530" t="s">
        <v>137</v>
      </c>
      <c r="C530">
        <v>2</v>
      </c>
      <c r="D530">
        <v>7948</v>
      </c>
      <c r="E530" t="s">
        <v>2067</v>
      </c>
      <c r="F530" t="s">
        <v>131</v>
      </c>
      <c r="G530" s="31">
        <v>0.55400000000000005</v>
      </c>
      <c r="H530" s="31">
        <v>0.6</v>
      </c>
      <c r="I530" t="s">
        <v>1954</v>
      </c>
      <c r="J530" t="s">
        <v>1954</v>
      </c>
      <c r="K530">
        <v>163729</v>
      </c>
      <c r="L530">
        <v>1825474</v>
      </c>
      <c r="M530" s="32">
        <v>11.1494</v>
      </c>
      <c r="N530" t="s">
        <v>141</v>
      </c>
      <c r="O530" t="s">
        <v>459</v>
      </c>
      <c r="P530">
        <v>236.5</v>
      </c>
      <c r="Q530" t="s">
        <v>1958</v>
      </c>
      <c r="R530" t="s">
        <v>21</v>
      </c>
      <c r="S530" t="s">
        <v>22</v>
      </c>
      <c r="T530">
        <f t="shared" si="8"/>
        <v>388837.14000000013</v>
      </c>
    </row>
    <row r="531" spans="1:20" x14ac:dyDescent="0.25">
      <c r="A531" t="s">
        <v>635</v>
      </c>
      <c r="B531" t="s">
        <v>109</v>
      </c>
      <c r="C531">
        <v>1</v>
      </c>
      <c r="D531">
        <v>6018</v>
      </c>
      <c r="E531" t="s">
        <v>636</v>
      </c>
      <c r="F531" t="s">
        <v>266</v>
      </c>
      <c r="G531" s="31">
        <v>1</v>
      </c>
      <c r="H531" s="31">
        <v>1</v>
      </c>
      <c r="I531" t="s">
        <v>1954</v>
      </c>
      <c r="J531" t="s">
        <v>1954</v>
      </c>
      <c r="K531">
        <v>2579610.202</v>
      </c>
      <c r="L531">
        <v>28838429</v>
      </c>
      <c r="M531" s="32">
        <v>11.179399999999999</v>
      </c>
      <c r="N531" t="s">
        <v>116</v>
      </c>
      <c r="O531" t="s">
        <v>637</v>
      </c>
      <c r="P531">
        <v>600</v>
      </c>
      <c r="Q531" s="33" t="s">
        <v>1955</v>
      </c>
      <c r="R531" t="s">
        <v>21</v>
      </c>
      <c r="S531" t="s">
        <v>22</v>
      </c>
      <c r="T531">
        <f t="shared" si="8"/>
        <v>389437.14000000013</v>
      </c>
    </row>
    <row r="532" spans="1:20" x14ac:dyDescent="0.25">
      <c r="A532" t="s">
        <v>1512</v>
      </c>
      <c r="B532" t="s">
        <v>137</v>
      </c>
      <c r="C532">
        <v>3</v>
      </c>
      <c r="D532">
        <v>55141</v>
      </c>
      <c r="E532" t="s">
        <v>2160</v>
      </c>
      <c r="F532" t="s">
        <v>2161</v>
      </c>
      <c r="G532" s="31">
        <v>0.48580000000000001</v>
      </c>
      <c r="H532" s="31">
        <v>0.4138</v>
      </c>
      <c r="I532" t="s">
        <v>1954</v>
      </c>
      <c r="J532" t="s">
        <v>1954</v>
      </c>
      <c r="K532">
        <v>722240.99300000002</v>
      </c>
      <c r="L532">
        <v>8079606</v>
      </c>
      <c r="M532" s="32">
        <v>11.1869</v>
      </c>
      <c r="N532" t="s">
        <v>141</v>
      </c>
      <c r="O532" t="s">
        <v>297</v>
      </c>
      <c r="P532">
        <v>447.6</v>
      </c>
      <c r="Q532" t="s">
        <v>1958</v>
      </c>
      <c r="R532" t="s">
        <v>21</v>
      </c>
      <c r="S532" t="s">
        <v>22</v>
      </c>
      <c r="T532">
        <f t="shared" si="8"/>
        <v>389884.74000000011</v>
      </c>
    </row>
    <row r="533" spans="1:20" x14ac:dyDescent="0.25">
      <c r="A533" t="s">
        <v>1515</v>
      </c>
      <c r="B533" t="s">
        <v>137</v>
      </c>
      <c r="C533">
        <v>3</v>
      </c>
      <c r="D533">
        <v>55141</v>
      </c>
      <c r="E533" t="s">
        <v>2160</v>
      </c>
      <c r="F533" t="s">
        <v>2161</v>
      </c>
      <c r="G533" s="31">
        <v>0.48580000000000001</v>
      </c>
      <c r="H533" s="31">
        <v>0.4138</v>
      </c>
      <c r="I533" t="s">
        <v>1954</v>
      </c>
      <c r="J533" t="s">
        <v>1954</v>
      </c>
      <c r="K533">
        <v>722240.99300000002</v>
      </c>
      <c r="L533">
        <v>8079606</v>
      </c>
      <c r="M533" s="32">
        <v>11.1869</v>
      </c>
      <c r="N533" t="s">
        <v>141</v>
      </c>
      <c r="O533" t="s">
        <v>297</v>
      </c>
      <c r="P533">
        <v>447.6</v>
      </c>
      <c r="Q533" t="s">
        <v>1958</v>
      </c>
      <c r="R533" t="s">
        <v>21</v>
      </c>
      <c r="S533" t="s">
        <v>22</v>
      </c>
      <c r="T533">
        <f t="shared" si="8"/>
        <v>390332.34000000008</v>
      </c>
    </row>
    <row r="534" spans="1:20" x14ac:dyDescent="0.25">
      <c r="A534" t="s">
        <v>1516</v>
      </c>
      <c r="B534" t="s">
        <v>137</v>
      </c>
      <c r="C534">
        <v>3</v>
      </c>
      <c r="D534">
        <v>55141</v>
      </c>
      <c r="E534" t="s">
        <v>2160</v>
      </c>
      <c r="F534" t="s">
        <v>2161</v>
      </c>
      <c r="G534" s="31">
        <v>0.48580000000000001</v>
      </c>
      <c r="H534" s="31">
        <v>0.4138</v>
      </c>
      <c r="I534" t="s">
        <v>1954</v>
      </c>
      <c r="J534" t="s">
        <v>1954</v>
      </c>
      <c r="K534">
        <v>722240.99300000002</v>
      </c>
      <c r="L534">
        <v>8079606</v>
      </c>
      <c r="M534" s="32">
        <v>11.1869</v>
      </c>
      <c r="N534" t="s">
        <v>141</v>
      </c>
      <c r="O534" t="s">
        <v>297</v>
      </c>
      <c r="P534">
        <v>447.6</v>
      </c>
      <c r="Q534" t="s">
        <v>1958</v>
      </c>
      <c r="R534" t="s">
        <v>21</v>
      </c>
      <c r="S534" t="s">
        <v>22</v>
      </c>
      <c r="T534">
        <f t="shared" si="8"/>
        <v>390779.94000000006</v>
      </c>
    </row>
    <row r="535" spans="1:20" x14ac:dyDescent="0.25">
      <c r="A535" t="s">
        <v>1517</v>
      </c>
      <c r="B535" t="s">
        <v>137</v>
      </c>
      <c r="C535">
        <v>3</v>
      </c>
      <c r="D535">
        <v>55141</v>
      </c>
      <c r="E535" t="s">
        <v>2160</v>
      </c>
      <c r="F535" t="s">
        <v>2161</v>
      </c>
      <c r="G535" s="31">
        <v>0.48580000000000001</v>
      </c>
      <c r="H535" s="31">
        <v>0.4138</v>
      </c>
      <c r="I535" t="s">
        <v>1954</v>
      </c>
      <c r="J535" t="s">
        <v>1954</v>
      </c>
      <c r="K535">
        <v>722240.99300000002</v>
      </c>
      <c r="L535">
        <v>8079606</v>
      </c>
      <c r="M535" s="32">
        <v>11.1869</v>
      </c>
      <c r="N535" t="s">
        <v>141</v>
      </c>
      <c r="O535" t="s">
        <v>297</v>
      </c>
      <c r="P535">
        <v>447.6</v>
      </c>
      <c r="Q535" t="s">
        <v>1958</v>
      </c>
      <c r="R535" t="s">
        <v>21</v>
      </c>
      <c r="S535" t="s">
        <v>22</v>
      </c>
      <c r="T535">
        <f t="shared" si="8"/>
        <v>391227.54000000004</v>
      </c>
    </row>
    <row r="536" spans="1:20" x14ac:dyDescent="0.25">
      <c r="A536" t="s">
        <v>1347</v>
      </c>
      <c r="B536" t="s">
        <v>125</v>
      </c>
      <c r="C536">
        <v>1</v>
      </c>
      <c r="D536">
        <v>1556</v>
      </c>
      <c r="E536" t="s">
        <v>1348</v>
      </c>
      <c r="F536" t="s">
        <v>307</v>
      </c>
      <c r="G536" s="31">
        <v>1</v>
      </c>
      <c r="H536" s="31">
        <v>1</v>
      </c>
      <c r="I536" t="s">
        <v>1954</v>
      </c>
      <c r="J536" t="s">
        <v>1954</v>
      </c>
      <c r="K536">
        <v>250760</v>
      </c>
      <c r="L536">
        <v>2830233</v>
      </c>
      <c r="M536" s="32">
        <v>11.2866</v>
      </c>
      <c r="N536" t="s">
        <v>130</v>
      </c>
      <c r="O536" t="s">
        <v>1349</v>
      </c>
      <c r="P536">
        <v>403.8</v>
      </c>
      <c r="Q536" s="33" t="s">
        <v>1955</v>
      </c>
      <c r="R536" t="s">
        <v>21</v>
      </c>
      <c r="S536" t="s">
        <v>22</v>
      </c>
      <c r="T536">
        <f t="shared" si="8"/>
        <v>391631.34</v>
      </c>
    </row>
    <row r="537" spans="1:20" x14ac:dyDescent="0.25">
      <c r="A537" t="s">
        <v>1353</v>
      </c>
      <c r="B537" t="s">
        <v>125</v>
      </c>
      <c r="C537">
        <v>1</v>
      </c>
      <c r="D537">
        <v>1556</v>
      </c>
      <c r="E537" t="s">
        <v>1348</v>
      </c>
      <c r="F537" t="s">
        <v>307</v>
      </c>
      <c r="G537" s="31">
        <v>1</v>
      </c>
      <c r="H537" s="31">
        <v>1</v>
      </c>
      <c r="I537" t="s">
        <v>1954</v>
      </c>
      <c r="J537" t="s">
        <v>1954</v>
      </c>
      <c r="K537">
        <v>250760</v>
      </c>
      <c r="L537">
        <v>2830233</v>
      </c>
      <c r="M537" s="32">
        <v>11.2866</v>
      </c>
      <c r="N537" t="s">
        <v>130</v>
      </c>
      <c r="O537" t="s">
        <v>1349</v>
      </c>
      <c r="P537">
        <v>403.8</v>
      </c>
      <c r="Q537" s="33" t="s">
        <v>1955</v>
      </c>
      <c r="R537" t="s">
        <v>21</v>
      </c>
      <c r="S537" t="s">
        <v>22</v>
      </c>
      <c r="T537">
        <f t="shared" si="8"/>
        <v>392035.14</v>
      </c>
    </row>
    <row r="538" spans="1:20" x14ac:dyDescent="0.25">
      <c r="A538" t="s">
        <v>1376</v>
      </c>
      <c r="B538" t="s">
        <v>150</v>
      </c>
      <c r="C538">
        <v>1</v>
      </c>
      <c r="D538">
        <v>56957</v>
      </c>
      <c r="E538" t="s">
        <v>1377</v>
      </c>
      <c r="F538" t="s">
        <v>143</v>
      </c>
      <c r="G538" s="31">
        <v>0.8246</v>
      </c>
      <c r="H538" s="31">
        <v>0.87060000000000004</v>
      </c>
      <c r="I538" t="s">
        <v>1954</v>
      </c>
      <c r="J538" t="s">
        <v>1954</v>
      </c>
      <c r="K538">
        <v>38037</v>
      </c>
      <c r="L538">
        <v>429321</v>
      </c>
      <c r="M538" s="32">
        <v>11.286899999999999</v>
      </c>
      <c r="N538" t="s">
        <v>321</v>
      </c>
      <c r="O538" t="s">
        <v>1378</v>
      </c>
      <c r="P538">
        <v>8</v>
      </c>
      <c r="Q538" s="33" t="s">
        <v>1955</v>
      </c>
      <c r="R538" t="s">
        <v>21</v>
      </c>
      <c r="S538" t="s">
        <v>22</v>
      </c>
      <c r="T538">
        <f t="shared" si="8"/>
        <v>392043.14</v>
      </c>
    </row>
    <row r="539" spans="1:20" x14ac:dyDescent="0.25">
      <c r="A539" t="s">
        <v>1624</v>
      </c>
      <c r="B539" t="s">
        <v>125</v>
      </c>
      <c r="C539">
        <v>1</v>
      </c>
      <c r="D539">
        <v>55196</v>
      </c>
      <c r="E539" t="s">
        <v>1625</v>
      </c>
      <c r="F539" t="s">
        <v>143</v>
      </c>
      <c r="G539" s="31">
        <v>1</v>
      </c>
      <c r="H539" s="31">
        <v>1</v>
      </c>
      <c r="I539" t="s">
        <v>1954</v>
      </c>
      <c r="J539" t="s">
        <v>1954</v>
      </c>
      <c r="K539">
        <v>147318.00099999999</v>
      </c>
      <c r="L539">
        <v>1663306</v>
      </c>
      <c r="M539" s="32">
        <v>11.2906</v>
      </c>
      <c r="N539" t="s">
        <v>141</v>
      </c>
      <c r="O539" t="s">
        <v>1626</v>
      </c>
      <c r="P539">
        <v>96.8</v>
      </c>
      <c r="Q539" s="33" t="s">
        <v>1955</v>
      </c>
      <c r="R539" t="s">
        <v>21</v>
      </c>
      <c r="S539" t="s">
        <v>22</v>
      </c>
      <c r="T539">
        <f t="shared" si="8"/>
        <v>392139.94</v>
      </c>
    </row>
    <row r="540" spans="1:20" x14ac:dyDescent="0.25">
      <c r="A540" t="s">
        <v>1627</v>
      </c>
      <c r="B540" t="s">
        <v>125</v>
      </c>
      <c r="C540">
        <v>1</v>
      </c>
      <c r="D540">
        <v>55196</v>
      </c>
      <c r="E540" t="s">
        <v>1625</v>
      </c>
      <c r="F540" t="s">
        <v>143</v>
      </c>
      <c r="G540" s="31">
        <v>1</v>
      </c>
      <c r="H540" s="31">
        <v>1</v>
      </c>
      <c r="I540" t="s">
        <v>1954</v>
      </c>
      <c r="J540" t="s">
        <v>1954</v>
      </c>
      <c r="K540">
        <v>147318.00099999999</v>
      </c>
      <c r="L540">
        <v>1663306</v>
      </c>
      <c r="M540" s="32">
        <v>11.2906</v>
      </c>
      <c r="N540" t="s">
        <v>141</v>
      </c>
      <c r="O540" t="s">
        <v>1626</v>
      </c>
      <c r="P540">
        <v>96.8</v>
      </c>
      <c r="Q540" s="33" t="s">
        <v>1955</v>
      </c>
      <c r="R540" t="s">
        <v>21</v>
      </c>
      <c r="S540" t="s">
        <v>22</v>
      </c>
      <c r="T540">
        <f t="shared" si="8"/>
        <v>392236.74</v>
      </c>
    </row>
    <row r="541" spans="1:20" x14ac:dyDescent="0.25">
      <c r="A541" t="s">
        <v>1045</v>
      </c>
      <c r="B541" t="s">
        <v>150</v>
      </c>
      <c r="C541">
        <v>3</v>
      </c>
      <c r="D541">
        <v>56510</v>
      </c>
      <c r="E541" t="s">
        <v>2097</v>
      </c>
      <c r="F541" t="s">
        <v>143</v>
      </c>
      <c r="G541" s="31">
        <v>0.41420000000000001</v>
      </c>
      <c r="H541" s="31">
        <v>0.4602</v>
      </c>
      <c r="I541" t="s">
        <v>1954</v>
      </c>
      <c r="J541" t="s">
        <v>1954</v>
      </c>
      <c r="K541">
        <v>15300</v>
      </c>
      <c r="L541">
        <v>172816</v>
      </c>
      <c r="M541" s="32">
        <v>11.295199999999999</v>
      </c>
      <c r="N541" t="s">
        <v>321</v>
      </c>
      <c r="O541" t="s">
        <v>368</v>
      </c>
      <c r="P541">
        <v>3.2</v>
      </c>
      <c r="Q541" t="s">
        <v>1958</v>
      </c>
      <c r="R541" t="s">
        <v>21</v>
      </c>
      <c r="S541" t="s">
        <v>22</v>
      </c>
      <c r="T541">
        <f t="shared" si="8"/>
        <v>392239.94</v>
      </c>
    </row>
    <row r="542" spans="1:20" x14ac:dyDescent="0.25">
      <c r="A542" t="s">
        <v>1139</v>
      </c>
      <c r="B542" t="s">
        <v>125</v>
      </c>
      <c r="C542">
        <v>1</v>
      </c>
      <c r="D542">
        <v>7836</v>
      </c>
      <c r="E542" t="s">
        <v>1140</v>
      </c>
      <c r="F542" t="s">
        <v>201</v>
      </c>
      <c r="G542" s="31">
        <v>0.76390000000000002</v>
      </c>
      <c r="H542" s="31">
        <v>0.80989999999999995</v>
      </c>
      <c r="I542" t="s">
        <v>1954</v>
      </c>
      <c r="J542" t="s">
        <v>1954</v>
      </c>
      <c r="K542">
        <v>687397.00199999998</v>
      </c>
      <c r="L542">
        <v>7773398</v>
      </c>
      <c r="M542" s="32">
        <v>11.3085</v>
      </c>
      <c r="N542" t="s">
        <v>130</v>
      </c>
      <c r="O542" t="s">
        <v>119</v>
      </c>
      <c r="P542">
        <v>484</v>
      </c>
      <c r="Q542" s="33" t="s">
        <v>1956</v>
      </c>
      <c r="R542" t="s">
        <v>21</v>
      </c>
      <c r="S542" t="s">
        <v>22</v>
      </c>
      <c r="T542">
        <f t="shared" si="8"/>
        <v>392723.94</v>
      </c>
    </row>
    <row r="543" spans="1:20" x14ac:dyDescent="0.25">
      <c r="A543" t="s">
        <v>1141</v>
      </c>
      <c r="B543" t="s">
        <v>125</v>
      </c>
      <c r="C543">
        <v>1</v>
      </c>
      <c r="D543">
        <v>7836</v>
      </c>
      <c r="E543" t="s">
        <v>1140</v>
      </c>
      <c r="F543" t="s">
        <v>201</v>
      </c>
      <c r="G543" s="31">
        <v>0.76390000000000002</v>
      </c>
      <c r="H543" s="31">
        <v>0.80989999999999995</v>
      </c>
      <c r="I543" t="s">
        <v>1954</v>
      </c>
      <c r="J543" t="s">
        <v>1954</v>
      </c>
      <c r="K543">
        <v>687397.00199999998</v>
      </c>
      <c r="L543">
        <v>7773398</v>
      </c>
      <c r="M543" s="32">
        <v>11.3085</v>
      </c>
      <c r="N543" t="s">
        <v>130</v>
      </c>
      <c r="O543" t="s">
        <v>119</v>
      </c>
      <c r="P543">
        <v>484</v>
      </c>
      <c r="Q543" s="33" t="s">
        <v>1956</v>
      </c>
      <c r="R543" t="s">
        <v>21</v>
      </c>
      <c r="S543" t="s">
        <v>22</v>
      </c>
      <c r="T543">
        <f t="shared" si="8"/>
        <v>393207.94</v>
      </c>
    </row>
    <row r="544" spans="1:20" x14ac:dyDescent="0.25">
      <c r="A544" t="s">
        <v>1142</v>
      </c>
      <c r="B544" t="s">
        <v>125</v>
      </c>
      <c r="C544">
        <v>1</v>
      </c>
      <c r="D544">
        <v>7836</v>
      </c>
      <c r="E544" t="s">
        <v>1140</v>
      </c>
      <c r="F544" t="s">
        <v>201</v>
      </c>
      <c r="G544" s="31">
        <v>0.76390000000000002</v>
      </c>
      <c r="H544" s="31">
        <v>0.80989999999999995</v>
      </c>
      <c r="I544" t="s">
        <v>1954</v>
      </c>
      <c r="J544" t="s">
        <v>1954</v>
      </c>
      <c r="K544">
        <v>687397.00199999998</v>
      </c>
      <c r="L544">
        <v>7773398</v>
      </c>
      <c r="M544" s="32">
        <v>11.3085</v>
      </c>
      <c r="N544" t="s">
        <v>130</v>
      </c>
      <c r="O544" t="s">
        <v>119</v>
      </c>
      <c r="P544">
        <v>484</v>
      </c>
      <c r="Q544" s="33" t="s">
        <v>1956</v>
      </c>
      <c r="R544" t="s">
        <v>21</v>
      </c>
      <c r="S544" t="s">
        <v>22</v>
      </c>
      <c r="T544">
        <f t="shared" si="8"/>
        <v>393691.94</v>
      </c>
    </row>
    <row r="545" spans="1:20" x14ac:dyDescent="0.25">
      <c r="A545" t="s">
        <v>1144</v>
      </c>
      <c r="B545" t="s">
        <v>189</v>
      </c>
      <c r="C545">
        <v>1</v>
      </c>
      <c r="D545">
        <v>3148</v>
      </c>
      <c r="E545" t="s">
        <v>1145</v>
      </c>
      <c r="F545" t="s">
        <v>143</v>
      </c>
      <c r="G545" s="31">
        <v>0.87319999999999998</v>
      </c>
      <c r="H545" s="31">
        <v>0.91920000000000002</v>
      </c>
      <c r="I545" t="s">
        <v>1954</v>
      </c>
      <c r="J545" t="s">
        <v>1954</v>
      </c>
      <c r="K545">
        <v>2249590.0060000001</v>
      </c>
      <c r="L545">
        <v>25477267</v>
      </c>
      <c r="M545" s="32">
        <v>11.3253</v>
      </c>
      <c r="N545" t="s">
        <v>671</v>
      </c>
      <c r="O545" t="s">
        <v>407</v>
      </c>
      <c r="P545">
        <v>1700</v>
      </c>
      <c r="Q545" s="33" t="s">
        <v>1955</v>
      </c>
      <c r="R545" t="s">
        <v>21</v>
      </c>
      <c r="S545" t="s">
        <v>22</v>
      </c>
      <c r="T545">
        <f t="shared" si="8"/>
        <v>395391.94</v>
      </c>
    </row>
    <row r="546" spans="1:20" x14ac:dyDescent="0.25">
      <c r="A546" t="s">
        <v>1146</v>
      </c>
      <c r="B546" t="s">
        <v>189</v>
      </c>
      <c r="C546">
        <v>1</v>
      </c>
      <c r="D546">
        <v>3148</v>
      </c>
      <c r="E546" t="s">
        <v>1145</v>
      </c>
      <c r="F546" t="s">
        <v>143</v>
      </c>
      <c r="G546" s="31">
        <v>0.87319999999999998</v>
      </c>
      <c r="H546" s="31">
        <v>0.91920000000000002</v>
      </c>
      <c r="I546" t="s">
        <v>1954</v>
      </c>
      <c r="J546" t="s">
        <v>1954</v>
      </c>
      <c r="K546">
        <v>2249590.0060000001</v>
      </c>
      <c r="L546">
        <v>25477267</v>
      </c>
      <c r="M546" s="32">
        <v>11.3253</v>
      </c>
      <c r="N546" t="s">
        <v>671</v>
      </c>
      <c r="O546" t="s">
        <v>407</v>
      </c>
      <c r="P546">
        <v>1700</v>
      </c>
      <c r="Q546" s="33" t="s">
        <v>1955</v>
      </c>
      <c r="R546" t="s">
        <v>21</v>
      </c>
      <c r="S546" t="s">
        <v>22</v>
      </c>
      <c r="T546">
        <f t="shared" si="8"/>
        <v>397091.94</v>
      </c>
    </row>
    <row r="547" spans="1:20" x14ac:dyDescent="0.25">
      <c r="A547" t="s">
        <v>1563</v>
      </c>
      <c r="B547" t="s">
        <v>189</v>
      </c>
      <c r="C547">
        <v>1</v>
      </c>
      <c r="D547">
        <v>3131</v>
      </c>
      <c r="E547" t="s">
        <v>1564</v>
      </c>
      <c r="F547" t="s">
        <v>143</v>
      </c>
      <c r="G547" s="31">
        <v>1</v>
      </c>
      <c r="H547" s="31">
        <v>1</v>
      </c>
      <c r="I547" t="s">
        <v>1954</v>
      </c>
      <c r="J547" t="s">
        <v>1954</v>
      </c>
      <c r="K547">
        <v>1054049</v>
      </c>
      <c r="L547">
        <v>11946265</v>
      </c>
      <c r="M547" s="32">
        <v>11.3337</v>
      </c>
      <c r="N547" t="s">
        <v>265</v>
      </c>
      <c r="O547" t="s">
        <v>567</v>
      </c>
      <c r="P547">
        <v>596</v>
      </c>
      <c r="Q547" s="33" t="s">
        <v>1955</v>
      </c>
      <c r="R547" t="s">
        <v>21</v>
      </c>
      <c r="S547" t="s">
        <v>22</v>
      </c>
      <c r="T547">
        <f t="shared" si="8"/>
        <v>397687.94</v>
      </c>
    </row>
    <row r="548" spans="1:20" x14ac:dyDescent="0.25">
      <c r="A548" t="s">
        <v>1565</v>
      </c>
      <c r="B548" t="s">
        <v>189</v>
      </c>
      <c r="C548">
        <v>1</v>
      </c>
      <c r="D548">
        <v>3131</v>
      </c>
      <c r="E548" t="s">
        <v>1564</v>
      </c>
      <c r="F548" t="s">
        <v>143</v>
      </c>
      <c r="G548" s="31">
        <v>1</v>
      </c>
      <c r="H548" s="31">
        <v>1</v>
      </c>
      <c r="I548" t="s">
        <v>1954</v>
      </c>
      <c r="J548" t="s">
        <v>1954</v>
      </c>
      <c r="K548">
        <v>1054049</v>
      </c>
      <c r="L548">
        <v>11946265</v>
      </c>
      <c r="M548" s="32">
        <v>11.3337</v>
      </c>
      <c r="N548" t="s">
        <v>265</v>
      </c>
      <c r="O548" t="s">
        <v>567</v>
      </c>
      <c r="P548">
        <v>596</v>
      </c>
      <c r="Q548" s="33" t="s">
        <v>1955</v>
      </c>
      <c r="R548" t="s">
        <v>21</v>
      </c>
      <c r="S548" t="s">
        <v>22</v>
      </c>
      <c r="T548">
        <f t="shared" si="8"/>
        <v>398283.94</v>
      </c>
    </row>
    <row r="549" spans="1:20" x14ac:dyDescent="0.25">
      <c r="A549" t="s">
        <v>1566</v>
      </c>
      <c r="B549" t="s">
        <v>189</v>
      </c>
      <c r="C549">
        <v>1</v>
      </c>
      <c r="D549">
        <v>3131</v>
      </c>
      <c r="E549" t="s">
        <v>1564</v>
      </c>
      <c r="F549" t="s">
        <v>143</v>
      </c>
      <c r="G549" s="31">
        <v>1</v>
      </c>
      <c r="H549" s="31">
        <v>1</v>
      </c>
      <c r="I549" t="s">
        <v>1954</v>
      </c>
      <c r="J549" t="s">
        <v>1954</v>
      </c>
      <c r="K549">
        <v>1054049</v>
      </c>
      <c r="L549">
        <v>11946265</v>
      </c>
      <c r="M549" s="32">
        <v>11.3337</v>
      </c>
      <c r="N549" t="s">
        <v>265</v>
      </c>
      <c r="O549" t="s">
        <v>567</v>
      </c>
      <c r="P549">
        <v>596</v>
      </c>
      <c r="Q549" s="33" t="s">
        <v>1955</v>
      </c>
      <c r="R549" t="s">
        <v>21</v>
      </c>
      <c r="S549" t="s">
        <v>22</v>
      </c>
      <c r="T549">
        <f t="shared" si="8"/>
        <v>398879.94</v>
      </c>
    </row>
    <row r="550" spans="1:20" x14ac:dyDescent="0.25">
      <c r="A550" t="s">
        <v>1567</v>
      </c>
      <c r="B550" t="s">
        <v>189</v>
      </c>
      <c r="C550">
        <v>1</v>
      </c>
      <c r="D550">
        <v>3131</v>
      </c>
      <c r="E550" t="s">
        <v>1564</v>
      </c>
      <c r="F550" t="s">
        <v>143</v>
      </c>
      <c r="G550" s="31">
        <v>1</v>
      </c>
      <c r="H550" s="31">
        <v>1</v>
      </c>
      <c r="I550" t="s">
        <v>1954</v>
      </c>
      <c r="J550" t="s">
        <v>1954</v>
      </c>
      <c r="K550">
        <v>1054049</v>
      </c>
      <c r="L550">
        <v>11946265</v>
      </c>
      <c r="M550" s="32">
        <v>11.3337</v>
      </c>
      <c r="N550" t="s">
        <v>265</v>
      </c>
      <c r="O550" t="s">
        <v>567</v>
      </c>
      <c r="P550">
        <v>596</v>
      </c>
      <c r="Q550" s="33" t="s">
        <v>1955</v>
      </c>
      <c r="R550" t="s">
        <v>21</v>
      </c>
      <c r="S550" t="s">
        <v>22</v>
      </c>
      <c r="T550">
        <f t="shared" si="8"/>
        <v>399475.94</v>
      </c>
    </row>
    <row r="551" spans="1:20" x14ac:dyDescent="0.25">
      <c r="A551" t="s">
        <v>1857</v>
      </c>
      <c r="B551" t="s">
        <v>125</v>
      </c>
      <c r="C551">
        <v>1</v>
      </c>
      <c r="D551">
        <v>55392</v>
      </c>
      <c r="E551" t="s">
        <v>1858</v>
      </c>
      <c r="F551" t="s">
        <v>166</v>
      </c>
      <c r="G551" s="31">
        <v>0.81100000000000005</v>
      </c>
      <c r="H551" s="31">
        <v>0.85699999999999998</v>
      </c>
      <c r="I551" t="s">
        <v>1954</v>
      </c>
      <c r="J551" t="s">
        <v>1954</v>
      </c>
      <c r="K551">
        <v>468240.00300000003</v>
      </c>
      <c r="L551">
        <v>5315881</v>
      </c>
      <c r="M551" s="32">
        <v>11.3529</v>
      </c>
      <c r="N551" t="s">
        <v>130</v>
      </c>
      <c r="O551" t="s">
        <v>1859</v>
      </c>
      <c r="P551">
        <v>478</v>
      </c>
      <c r="Q551" s="33" t="s">
        <v>1955</v>
      </c>
      <c r="R551" t="s">
        <v>21</v>
      </c>
      <c r="S551" t="s">
        <v>22</v>
      </c>
      <c r="T551">
        <f t="shared" si="8"/>
        <v>399953.94</v>
      </c>
    </row>
    <row r="552" spans="1:20" x14ac:dyDescent="0.25">
      <c r="A552" t="s">
        <v>1860</v>
      </c>
      <c r="B552" t="s">
        <v>125</v>
      </c>
      <c r="C552">
        <v>1</v>
      </c>
      <c r="D552">
        <v>55392</v>
      </c>
      <c r="E552" t="s">
        <v>1858</v>
      </c>
      <c r="F552" t="s">
        <v>166</v>
      </c>
      <c r="G552" s="31">
        <v>0.81100000000000005</v>
      </c>
      <c r="H552" s="31">
        <v>0.85699999999999998</v>
      </c>
      <c r="I552" t="s">
        <v>1954</v>
      </c>
      <c r="J552" t="s">
        <v>1954</v>
      </c>
      <c r="K552">
        <v>468240.00300000003</v>
      </c>
      <c r="L552">
        <v>5315881</v>
      </c>
      <c r="M552" s="32">
        <v>11.3529</v>
      </c>
      <c r="N552" t="s">
        <v>130</v>
      </c>
      <c r="O552" t="s">
        <v>1859</v>
      </c>
      <c r="P552">
        <v>478</v>
      </c>
      <c r="Q552" s="33" t="s">
        <v>1955</v>
      </c>
      <c r="R552" t="s">
        <v>21</v>
      </c>
      <c r="S552" t="s">
        <v>22</v>
      </c>
      <c r="T552">
        <f t="shared" si="8"/>
        <v>400431.94</v>
      </c>
    </row>
    <row r="553" spans="1:20" x14ac:dyDescent="0.25">
      <c r="A553" t="s">
        <v>1861</v>
      </c>
      <c r="B553" t="s">
        <v>125</v>
      </c>
      <c r="C553">
        <v>1</v>
      </c>
      <c r="D553">
        <v>55392</v>
      </c>
      <c r="E553" t="s">
        <v>1858</v>
      </c>
      <c r="F553" t="s">
        <v>166</v>
      </c>
      <c r="G553" s="31">
        <v>0.81100000000000005</v>
      </c>
      <c r="H553" s="31">
        <v>0.85699999999999998</v>
      </c>
      <c r="I553" t="s">
        <v>1954</v>
      </c>
      <c r="J553" t="s">
        <v>1954</v>
      </c>
      <c r="K553">
        <v>468240.00300000003</v>
      </c>
      <c r="L553">
        <v>5315881</v>
      </c>
      <c r="M553" s="32">
        <v>11.3529</v>
      </c>
      <c r="N553" t="s">
        <v>130</v>
      </c>
      <c r="O553" t="s">
        <v>1859</v>
      </c>
      <c r="P553">
        <v>478</v>
      </c>
      <c r="Q553" s="33" t="s">
        <v>1955</v>
      </c>
      <c r="R553" t="s">
        <v>21</v>
      </c>
      <c r="S553" t="s">
        <v>22</v>
      </c>
      <c r="T553">
        <f t="shared" si="8"/>
        <v>400909.94</v>
      </c>
    </row>
    <row r="554" spans="1:20" x14ac:dyDescent="0.25">
      <c r="A554" t="s">
        <v>1173</v>
      </c>
      <c r="B554" t="s">
        <v>150</v>
      </c>
      <c r="C554">
        <v>1</v>
      </c>
      <c r="D554">
        <v>57018</v>
      </c>
      <c r="E554" t="s">
        <v>2110</v>
      </c>
      <c r="F554" t="s">
        <v>201</v>
      </c>
      <c r="G554" s="31">
        <v>0.60860000000000003</v>
      </c>
      <c r="H554" s="31">
        <v>0.65459999999999996</v>
      </c>
      <c r="I554" t="s">
        <v>1954</v>
      </c>
      <c r="J554" t="s">
        <v>1954</v>
      </c>
      <c r="K554">
        <v>48568</v>
      </c>
      <c r="L554">
        <v>551848</v>
      </c>
      <c r="M554" s="32">
        <v>11.362399999999999</v>
      </c>
      <c r="N554" t="s">
        <v>321</v>
      </c>
      <c r="O554" t="s">
        <v>1175</v>
      </c>
      <c r="P554">
        <v>6.4</v>
      </c>
      <c r="Q554" t="s">
        <v>1958</v>
      </c>
      <c r="R554" t="s">
        <v>21</v>
      </c>
      <c r="S554" t="s">
        <v>22</v>
      </c>
      <c r="T554">
        <f t="shared" si="8"/>
        <v>400916.34</v>
      </c>
    </row>
    <row r="555" spans="1:20" x14ac:dyDescent="0.25">
      <c r="A555" t="s">
        <v>1708</v>
      </c>
      <c r="B555" t="s">
        <v>137</v>
      </c>
      <c r="C555">
        <v>2</v>
      </c>
      <c r="D555">
        <v>58181</v>
      </c>
      <c r="E555" t="s">
        <v>2180</v>
      </c>
      <c r="F555" t="s">
        <v>166</v>
      </c>
      <c r="G555" s="31">
        <v>0.48580000000000001</v>
      </c>
      <c r="H555" s="31">
        <v>0.53180000000000005</v>
      </c>
      <c r="I555" t="s">
        <v>1954</v>
      </c>
      <c r="J555" t="s">
        <v>1954</v>
      </c>
      <c r="K555">
        <v>19450</v>
      </c>
      <c r="L555">
        <v>221212</v>
      </c>
      <c r="M555" s="32">
        <v>11.3734</v>
      </c>
      <c r="N555" t="s">
        <v>141</v>
      </c>
      <c r="O555" t="s">
        <v>2181</v>
      </c>
      <c r="P555">
        <v>7.8</v>
      </c>
      <c r="Q555" t="s">
        <v>1958</v>
      </c>
      <c r="R555" t="s">
        <v>21</v>
      </c>
      <c r="S555" t="s">
        <v>22</v>
      </c>
      <c r="T555">
        <f t="shared" si="8"/>
        <v>400924.14</v>
      </c>
    </row>
    <row r="556" spans="1:20" x14ac:dyDescent="0.25">
      <c r="A556" t="s">
        <v>1712</v>
      </c>
      <c r="B556" t="s">
        <v>137</v>
      </c>
      <c r="C556">
        <v>2</v>
      </c>
      <c r="D556">
        <v>58181</v>
      </c>
      <c r="E556" t="s">
        <v>2180</v>
      </c>
      <c r="F556" t="s">
        <v>166</v>
      </c>
      <c r="G556" s="31">
        <v>0.48580000000000001</v>
      </c>
      <c r="H556" s="31">
        <v>0.53180000000000005</v>
      </c>
      <c r="I556" t="s">
        <v>1954</v>
      </c>
      <c r="J556" t="s">
        <v>1954</v>
      </c>
      <c r="K556">
        <v>19450</v>
      </c>
      <c r="L556">
        <v>221212</v>
      </c>
      <c r="M556" s="32">
        <v>11.3734</v>
      </c>
      <c r="N556" t="s">
        <v>141</v>
      </c>
      <c r="O556" t="s">
        <v>2181</v>
      </c>
      <c r="P556">
        <v>7.8</v>
      </c>
      <c r="Q556" t="s">
        <v>1958</v>
      </c>
      <c r="R556" t="s">
        <v>21</v>
      </c>
      <c r="S556" t="s">
        <v>22</v>
      </c>
      <c r="T556">
        <f t="shared" si="8"/>
        <v>400931.94</v>
      </c>
    </row>
    <row r="557" spans="1:20" x14ac:dyDescent="0.25">
      <c r="A557" t="s">
        <v>1713</v>
      </c>
      <c r="B557" t="s">
        <v>137</v>
      </c>
      <c r="C557">
        <v>2</v>
      </c>
      <c r="D557">
        <v>58181</v>
      </c>
      <c r="E557" t="s">
        <v>2180</v>
      </c>
      <c r="F557" t="s">
        <v>166</v>
      </c>
      <c r="G557" s="31">
        <v>0.48580000000000001</v>
      </c>
      <c r="H557" s="31">
        <v>0.53180000000000005</v>
      </c>
      <c r="I557" t="s">
        <v>1954</v>
      </c>
      <c r="J557" t="s">
        <v>1954</v>
      </c>
      <c r="K557">
        <v>19450</v>
      </c>
      <c r="L557">
        <v>221212</v>
      </c>
      <c r="M557" s="32">
        <v>11.3734</v>
      </c>
      <c r="N557" t="s">
        <v>141</v>
      </c>
      <c r="O557" t="s">
        <v>2181</v>
      </c>
      <c r="P557">
        <v>7.8</v>
      </c>
      <c r="Q557" t="s">
        <v>1958</v>
      </c>
      <c r="R557" t="s">
        <v>21</v>
      </c>
      <c r="S557" t="s">
        <v>22</v>
      </c>
      <c r="T557">
        <f t="shared" si="8"/>
        <v>400939.74</v>
      </c>
    </row>
    <row r="558" spans="1:20" x14ac:dyDescent="0.25">
      <c r="A558" t="s">
        <v>1714</v>
      </c>
      <c r="B558" t="s">
        <v>137</v>
      </c>
      <c r="C558">
        <v>2</v>
      </c>
      <c r="D558">
        <v>58181</v>
      </c>
      <c r="E558" t="s">
        <v>2180</v>
      </c>
      <c r="F558" t="s">
        <v>166</v>
      </c>
      <c r="G558" s="31">
        <v>0.48580000000000001</v>
      </c>
      <c r="H558" s="31">
        <v>0.53180000000000005</v>
      </c>
      <c r="I558" t="s">
        <v>1954</v>
      </c>
      <c r="J558" t="s">
        <v>1954</v>
      </c>
      <c r="K558">
        <v>19450</v>
      </c>
      <c r="L558">
        <v>221212</v>
      </c>
      <c r="M558" s="32">
        <v>11.3734</v>
      </c>
      <c r="N558" t="s">
        <v>141</v>
      </c>
      <c r="O558" t="s">
        <v>2181</v>
      </c>
      <c r="P558">
        <v>7.8</v>
      </c>
      <c r="Q558" t="s">
        <v>1958</v>
      </c>
      <c r="R558" t="s">
        <v>21</v>
      </c>
      <c r="S558" t="s">
        <v>22</v>
      </c>
      <c r="T558">
        <f t="shared" si="8"/>
        <v>400947.54</v>
      </c>
    </row>
    <row r="559" spans="1:20" x14ac:dyDescent="0.25">
      <c r="A559" t="s">
        <v>1715</v>
      </c>
      <c r="B559" t="s">
        <v>137</v>
      </c>
      <c r="C559">
        <v>2</v>
      </c>
      <c r="D559">
        <v>58181</v>
      </c>
      <c r="E559" t="s">
        <v>2180</v>
      </c>
      <c r="F559" t="s">
        <v>166</v>
      </c>
      <c r="G559" s="31">
        <v>0.48580000000000001</v>
      </c>
      <c r="H559" s="31">
        <v>0.53180000000000005</v>
      </c>
      <c r="I559" t="s">
        <v>1954</v>
      </c>
      <c r="J559" t="s">
        <v>1954</v>
      </c>
      <c r="K559">
        <v>19450</v>
      </c>
      <c r="L559">
        <v>221212</v>
      </c>
      <c r="M559" s="32">
        <v>11.3734</v>
      </c>
      <c r="N559" t="s">
        <v>141</v>
      </c>
      <c r="O559" t="s">
        <v>2181</v>
      </c>
      <c r="P559">
        <v>7.8</v>
      </c>
      <c r="Q559" t="s">
        <v>1958</v>
      </c>
      <c r="R559" t="s">
        <v>21</v>
      </c>
      <c r="S559" t="s">
        <v>22</v>
      </c>
      <c r="T559">
        <f t="shared" si="8"/>
        <v>400955.33999999997</v>
      </c>
    </row>
    <row r="560" spans="1:20" x14ac:dyDescent="0.25">
      <c r="A560" t="s">
        <v>1716</v>
      </c>
      <c r="B560" t="s">
        <v>137</v>
      </c>
      <c r="C560">
        <v>2</v>
      </c>
      <c r="D560">
        <v>58181</v>
      </c>
      <c r="E560" t="s">
        <v>2180</v>
      </c>
      <c r="F560" t="s">
        <v>166</v>
      </c>
      <c r="G560" s="31">
        <v>0.48580000000000001</v>
      </c>
      <c r="H560" s="31">
        <v>0.53180000000000005</v>
      </c>
      <c r="I560" t="s">
        <v>1954</v>
      </c>
      <c r="J560" t="s">
        <v>1954</v>
      </c>
      <c r="K560">
        <v>19450</v>
      </c>
      <c r="L560">
        <v>221212</v>
      </c>
      <c r="M560" s="32">
        <v>11.3734</v>
      </c>
      <c r="N560" t="s">
        <v>141</v>
      </c>
      <c r="O560" t="s">
        <v>2181</v>
      </c>
      <c r="P560">
        <v>7.8</v>
      </c>
      <c r="Q560" t="s">
        <v>1958</v>
      </c>
      <c r="R560" t="s">
        <v>21</v>
      </c>
      <c r="S560" t="s">
        <v>22</v>
      </c>
      <c r="T560">
        <f t="shared" si="8"/>
        <v>400963.13999999996</v>
      </c>
    </row>
    <row r="561" spans="1:20" x14ac:dyDescent="0.25">
      <c r="A561" t="s">
        <v>1717</v>
      </c>
      <c r="B561" t="s">
        <v>137</v>
      </c>
      <c r="C561">
        <v>2</v>
      </c>
      <c r="D561">
        <v>58181</v>
      </c>
      <c r="E561" t="s">
        <v>2180</v>
      </c>
      <c r="F561" t="s">
        <v>166</v>
      </c>
      <c r="G561" s="31">
        <v>0.39329999999999998</v>
      </c>
      <c r="H561" s="31">
        <v>0.43930000000000002</v>
      </c>
      <c r="I561" t="s">
        <v>1954</v>
      </c>
      <c r="J561" t="s">
        <v>1954</v>
      </c>
      <c r="K561">
        <v>19450</v>
      </c>
      <c r="L561">
        <v>221212</v>
      </c>
      <c r="M561" s="32">
        <v>11.3734</v>
      </c>
      <c r="N561" t="s">
        <v>141</v>
      </c>
      <c r="O561" t="s">
        <v>2181</v>
      </c>
      <c r="P561">
        <v>7.8</v>
      </c>
      <c r="Q561" t="s">
        <v>1958</v>
      </c>
      <c r="R561" t="s">
        <v>21</v>
      </c>
      <c r="S561" t="s">
        <v>22</v>
      </c>
      <c r="T561">
        <f t="shared" si="8"/>
        <v>400970.93999999994</v>
      </c>
    </row>
    <row r="562" spans="1:20" x14ac:dyDescent="0.25">
      <c r="A562" t="s">
        <v>1718</v>
      </c>
      <c r="B562" t="s">
        <v>137</v>
      </c>
      <c r="C562">
        <v>2</v>
      </c>
      <c r="D562">
        <v>58181</v>
      </c>
      <c r="E562" t="s">
        <v>2180</v>
      </c>
      <c r="F562" t="s">
        <v>166</v>
      </c>
      <c r="G562" s="31">
        <v>0.39329999999999998</v>
      </c>
      <c r="H562" s="31">
        <v>0.43930000000000002</v>
      </c>
      <c r="I562" t="s">
        <v>1954</v>
      </c>
      <c r="J562" t="s">
        <v>1954</v>
      </c>
      <c r="K562">
        <v>19450</v>
      </c>
      <c r="L562">
        <v>221212</v>
      </c>
      <c r="M562" s="32">
        <v>11.3734</v>
      </c>
      <c r="N562" t="s">
        <v>141</v>
      </c>
      <c r="O562" t="s">
        <v>2181</v>
      </c>
      <c r="P562">
        <v>7.8</v>
      </c>
      <c r="Q562" t="s">
        <v>1958</v>
      </c>
      <c r="R562" t="s">
        <v>21</v>
      </c>
      <c r="S562" t="s">
        <v>22</v>
      </c>
      <c r="T562">
        <f t="shared" si="8"/>
        <v>400978.73999999993</v>
      </c>
    </row>
    <row r="563" spans="1:20" x14ac:dyDescent="0.25">
      <c r="A563" t="s">
        <v>1719</v>
      </c>
      <c r="B563" t="s">
        <v>137</v>
      </c>
      <c r="C563">
        <v>2</v>
      </c>
      <c r="D563">
        <v>58181</v>
      </c>
      <c r="E563" t="s">
        <v>2180</v>
      </c>
      <c r="F563" t="s">
        <v>166</v>
      </c>
      <c r="G563" s="31">
        <v>0.39329999999999998</v>
      </c>
      <c r="H563" s="31">
        <v>0.43930000000000002</v>
      </c>
      <c r="I563" t="s">
        <v>1954</v>
      </c>
      <c r="J563" t="s">
        <v>1954</v>
      </c>
      <c r="K563">
        <v>19450</v>
      </c>
      <c r="L563">
        <v>221212</v>
      </c>
      <c r="M563" s="32">
        <v>11.3734</v>
      </c>
      <c r="N563" t="s">
        <v>141</v>
      </c>
      <c r="O563" t="s">
        <v>2181</v>
      </c>
      <c r="P563">
        <v>7.8</v>
      </c>
      <c r="Q563" t="s">
        <v>1958</v>
      </c>
      <c r="R563" t="s">
        <v>21</v>
      </c>
      <c r="S563" t="s">
        <v>22</v>
      </c>
      <c r="T563">
        <f t="shared" si="8"/>
        <v>400986.53999999992</v>
      </c>
    </row>
    <row r="564" spans="1:20" x14ac:dyDescent="0.25">
      <c r="A564" t="s">
        <v>1720</v>
      </c>
      <c r="B564" t="s">
        <v>137</v>
      </c>
      <c r="C564">
        <v>2</v>
      </c>
      <c r="D564">
        <v>58181</v>
      </c>
      <c r="E564" t="s">
        <v>2180</v>
      </c>
      <c r="F564" t="s">
        <v>166</v>
      </c>
      <c r="G564" s="31">
        <v>0.39329999999999998</v>
      </c>
      <c r="H564" s="31">
        <v>0.43930000000000002</v>
      </c>
      <c r="I564" t="s">
        <v>1954</v>
      </c>
      <c r="J564" t="s">
        <v>1954</v>
      </c>
      <c r="K564">
        <v>19450</v>
      </c>
      <c r="L564">
        <v>221212</v>
      </c>
      <c r="M564" s="32">
        <v>11.3734</v>
      </c>
      <c r="N564" t="s">
        <v>141</v>
      </c>
      <c r="O564" t="s">
        <v>2181</v>
      </c>
      <c r="P564">
        <v>7.8</v>
      </c>
      <c r="Q564" t="s">
        <v>1958</v>
      </c>
      <c r="R564" t="s">
        <v>21</v>
      </c>
      <c r="S564" t="s">
        <v>22</v>
      </c>
      <c r="T564">
        <f t="shared" si="8"/>
        <v>400994.33999999991</v>
      </c>
    </row>
    <row r="565" spans="1:20" x14ac:dyDescent="0.25">
      <c r="A565" t="s">
        <v>1721</v>
      </c>
      <c r="B565" t="s">
        <v>137</v>
      </c>
      <c r="C565">
        <v>2</v>
      </c>
      <c r="D565">
        <v>58181</v>
      </c>
      <c r="E565" t="s">
        <v>2180</v>
      </c>
      <c r="F565" t="s">
        <v>166</v>
      </c>
      <c r="G565" s="31">
        <v>0.39329999999999998</v>
      </c>
      <c r="H565" s="31">
        <v>0.43930000000000002</v>
      </c>
      <c r="I565" t="s">
        <v>1954</v>
      </c>
      <c r="J565" t="s">
        <v>1954</v>
      </c>
      <c r="K565">
        <v>19450</v>
      </c>
      <c r="L565">
        <v>221212</v>
      </c>
      <c r="M565" s="32">
        <v>11.3734</v>
      </c>
      <c r="N565" t="s">
        <v>141</v>
      </c>
      <c r="O565" t="s">
        <v>2181</v>
      </c>
      <c r="P565">
        <v>7.8</v>
      </c>
      <c r="Q565" t="s">
        <v>1958</v>
      </c>
      <c r="R565" t="s">
        <v>21</v>
      </c>
      <c r="S565" t="s">
        <v>22</v>
      </c>
      <c r="T565">
        <f t="shared" si="8"/>
        <v>401002.1399999999</v>
      </c>
    </row>
    <row r="566" spans="1:20" x14ac:dyDescent="0.25">
      <c r="A566" t="s">
        <v>1722</v>
      </c>
      <c r="B566" t="s">
        <v>137</v>
      </c>
      <c r="C566">
        <v>2</v>
      </c>
      <c r="D566">
        <v>58181</v>
      </c>
      <c r="E566" t="s">
        <v>2180</v>
      </c>
      <c r="F566" t="s">
        <v>166</v>
      </c>
      <c r="G566" s="31">
        <v>0.39329999999999998</v>
      </c>
      <c r="H566" s="31">
        <v>0.43930000000000002</v>
      </c>
      <c r="I566" t="s">
        <v>1954</v>
      </c>
      <c r="J566" t="s">
        <v>1954</v>
      </c>
      <c r="K566">
        <v>19450</v>
      </c>
      <c r="L566">
        <v>221212</v>
      </c>
      <c r="M566" s="32">
        <v>11.3734</v>
      </c>
      <c r="N566" t="s">
        <v>141</v>
      </c>
      <c r="O566" t="s">
        <v>2181</v>
      </c>
      <c r="P566">
        <v>7.8</v>
      </c>
      <c r="Q566" t="s">
        <v>1958</v>
      </c>
      <c r="R566" t="s">
        <v>21</v>
      </c>
      <c r="S566" t="s">
        <v>22</v>
      </c>
      <c r="T566">
        <f t="shared" si="8"/>
        <v>401009.93999999989</v>
      </c>
    </row>
    <row r="567" spans="1:20" x14ac:dyDescent="0.25">
      <c r="A567" t="s">
        <v>1723</v>
      </c>
      <c r="B567" t="s">
        <v>137</v>
      </c>
      <c r="C567">
        <v>2</v>
      </c>
      <c r="D567">
        <v>58181</v>
      </c>
      <c r="E567" t="s">
        <v>2180</v>
      </c>
      <c r="F567" t="s">
        <v>166</v>
      </c>
      <c r="G567" s="31">
        <v>0.39329999999999998</v>
      </c>
      <c r="H567" s="31">
        <v>0.43930000000000002</v>
      </c>
      <c r="I567" t="s">
        <v>1954</v>
      </c>
      <c r="J567" t="s">
        <v>1954</v>
      </c>
      <c r="K567">
        <v>19450</v>
      </c>
      <c r="L567">
        <v>221212</v>
      </c>
      <c r="M567" s="32">
        <v>11.3734</v>
      </c>
      <c r="N567" t="s">
        <v>141</v>
      </c>
      <c r="O567" t="s">
        <v>2181</v>
      </c>
      <c r="P567">
        <v>7.8</v>
      </c>
      <c r="Q567" t="s">
        <v>1958</v>
      </c>
      <c r="R567" t="s">
        <v>21</v>
      </c>
      <c r="S567" t="s">
        <v>22</v>
      </c>
      <c r="T567">
        <f t="shared" si="8"/>
        <v>401017.73999999987</v>
      </c>
    </row>
    <row r="568" spans="1:20" x14ac:dyDescent="0.25">
      <c r="A568" t="s">
        <v>1724</v>
      </c>
      <c r="B568" t="s">
        <v>137</v>
      </c>
      <c r="C568">
        <v>2</v>
      </c>
      <c r="D568">
        <v>58181</v>
      </c>
      <c r="E568" t="s">
        <v>2180</v>
      </c>
      <c r="F568" t="s">
        <v>166</v>
      </c>
      <c r="G568" s="31">
        <v>0.39329999999999998</v>
      </c>
      <c r="H568" s="31">
        <v>0.43930000000000002</v>
      </c>
      <c r="I568" t="s">
        <v>1954</v>
      </c>
      <c r="J568" t="s">
        <v>1954</v>
      </c>
      <c r="K568">
        <v>19450</v>
      </c>
      <c r="L568">
        <v>221212</v>
      </c>
      <c r="M568" s="32">
        <v>11.3734</v>
      </c>
      <c r="N568" t="s">
        <v>141</v>
      </c>
      <c r="O568" t="s">
        <v>2181</v>
      </c>
      <c r="P568">
        <v>7.8</v>
      </c>
      <c r="Q568" t="s">
        <v>1958</v>
      </c>
      <c r="R568" t="s">
        <v>21</v>
      </c>
      <c r="S568" t="s">
        <v>22</v>
      </c>
      <c r="T568">
        <f t="shared" si="8"/>
        <v>401025.53999999986</v>
      </c>
    </row>
    <row r="569" spans="1:20" x14ac:dyDescent="0.25">
      <c r="A569" t="s">
        <v>1725</v>
      </c>
      <c r="B569" t="s">
        <v>137</v>
      </c>
      <c r="C569">
        <v>2</v>
      </c>
      <c r="D569">
        <v>58181</v>
      </c>
      <c r="E569" t="s">
        <v>2180</v>
      </c>
      <c r="F569" t="s">
        <v>166</v>
      </c>
      <c r="G569" s="31">
        <v>0.39329999999999998</v>
      </c>
      <c r="H569" s="31">
        <v>0.43930000000000002</v>
      </c>
      <c r="I569" t="s">
        <v>1954</v>
      </c>
      <c r="J569" t="s">
        <v>1954</v>
      </c>
      <c r="K569">
        <v>19450</v>
      </c>
      <c r="L569">
        <v>221212</v>
      </c>
      <c r="M569" s="32">
        <v>11.3734</v>
      </c>
      <c r="N569" t="s">
        <v>141</v>
      </c>
      <c r="O569" t="s">
        <v>2181</v>
      </c>
      <c r="P569">
        <v>7.8</v>
      </c>
      <c r="Q569" t="s">
        <v>1958</v>
      </c>
      <c r="R569" t="s">
        <v>21</v>
      </c>
      <c r="S569" t="s">
        <v>22</v>
      </c>
      <c r="T569">
        <f t="shared" si="8"/>
        <v>401033.33999999985</v>
      </c>
    </row>
    <row r="570" spans="1:20" x14ac:dyDescent="0.25">
      <c r="A570" t="s">
        <v>873</v>
      </c>
      <c r="B570" t="s">
        <v>137</v>
      </c>
      <c r="C570">
        <v>3</v>
      </c>
      <c r="D570">
        <v>8027</v>
      </c>
      <c r="E570" t="s">
        <v>2065</v>
      </c>
      <c r="F570" t="s">
        <v>2037</v>
      </c>
      <c r="G570" s="31">
        <v>0.50819999999999999</v>
      </c>
      <c r="H570" s="31">
        <v>0.43619999999999998</v>
      </c>
      <c r="I570" t="s">
        <v>1954</v>
      </c>
      <c r="J570" t="s">
        <v>1954</v>
      </c>
      <c r="K570">
        <v>434751.99699999997</v>
      </c>
      <c r="L570">
        <v>4944860</v>
      </c>
      <c r="M570" s="32">
        <v>11.374000000000001</v>
      </c>
      <c r="N570" t="s">
        <v>130</v>
      </c>
      <c r="O570" t="s">
        <v>1167</v>
      </c>
      <c r="P570">
        <v>300</v>
      </c>
      <c r="Q570" t="s">
        <v>1958</v>
      </c>
      <c r="R570" t="s">
        <v>21</v>
      </c>
      <c r="S570" t="s">
        <v>22</v>
      </c>
      <c r="T570">
        <f t="shared" si="8"/>
        <v>401333.33999999985</v>
      </c>
    </row>
    <row r="571" spans="1:20" x14ac:dyDescent="0.25">
      <c r="A571" t="s">
        <v>876</v>
      </c>
      <c r="B571" t="s">
        <v>137</v>
      </c>
      <c r="C571">
        <v>3</v>
      </c>
      <c r="D571">
        <v>8027</v>
      </c>
      <c r="E571" t="s">
        <v>2065</v>
      </c>
      <c r="F571" t="s">
        <v>2037</v>
      </c>
      <c r="G571" s="31">
        <v>0.50819999999999999</v>
      </c>
      <c r="H571" s="31">
        <v>0.43619999999999998</v>
      </c>
      <c r="I571" t="s">
        <v>1954</v>
      </c>
      <c r="J571" t="s">
        <v>1954</v>
      </c>
      <c r="K571">
        <v>434751.99699999997</v>
      </c>
      <c r="L571">
        <v>4944860</v>
      </c>
      <c r="M571" s="32">
        <v>11.374000000000001</v>
      </c>
      <c r="N571" t="s">
        <v>130</v>
      </c>
      <c r="O571" t="s">
        <v>1167</v>
      </c>
      <c r="P571">
        <v>300</v>
      </c>
      <c r="Q571" t="s">
        <v>1958</v>
      </c>
      <c r="R571" t="s">
        <v>21</v>
      </c>
      <c r="S571" t="s">
        <v>22</v>
      </c>
      <c r="T571">
        <f t="shared" si="8"/>
        <v>401633.33999999985</v>
      </c>
    </row>
    <row r="572" spans="1:20" x14ac:dyDescent="0.25">
      <c r="A572" t="s">
        <v>877</v>
      </c>
      <c r="B572" t="s">
        <v>137</v>
      </c>
      <c r="C572">
        <v>3</v>
      </c>
      <c r="D572">
        <v>8027</v>
      </c>
      <c r="E572" t="s">
        <v>2065</v>
      </c>
      <c r="F572" t="s">
        <v>2037</v>
      </c>
      <c r="G572" s="31">
        <v>0.50819999999999999</v>
      </c>
      <c r="H572" s="31">
        <v>0.43619999999999998</v>
      </c>
      <c r="I572" t="s">
        <v>1954</v>
      </c>
      <c r="J572" t="s">
        <v>1954</v>
      </c>
      <c r="K572">
        <v>434751.99699999997</v>
      </c>
      <c r="L572">
        <v>4944860</v>
      </c>
      <c r="M572" s="32">
        <v>11.374000000000001</v>
      </c>
      <c r="N572" t="s">
        <v>130</v>
      </c>
      <c r="O572" t="s">
        <v>1167</v>
      </c>
      <c r="P572">
        <v>300</v>
      </c>
      <c r="Q572" t="s">
        <v>1958</v>
      </c>
      <c r="R572" t="s">
        <v>21</v>
      </c>
      <c r="S572" t="s">
        <v>22</v>
      </c>
      <c r="T572">
        <f t="shared" si="8"/>
        <v>401933.33999999985</v>
      </c>
    </row>
    <row r="573" spans="1:20" x14ac:dyDescent="0.25">
      <c r="A573" t="s">
        <v>878</v>
      </c>
      <c r="B573" t="s">
        <v>137</v>
      </c>
      <c r="C573">
        <v>3</v>
      </c>
      <c r="D573">
        <v>8027</v>
      </c>
      <c r="E573" t="s">
        <v>2065</v>
      </c>
      <c r="F573" t="s">
        <v>2037</v>
      </c>
      <c r="G573" s="31">
        <v>0.50819999999999999</v>
      </c>
      <c r="H573" s="31">
        <v>0.43619999999999998</v>
      </c>
      <c r="I573" t="s">
        <v>1954</v>
      </c>
      <c r="J573" t="s">
        <v>1954</v>
      </c>
      <c r="K573">
        <v>434751.99699999997</v>
      </c>
      <c r="L573">
        <v>4944860</v>
      </c>
      <c r="M573" s="32">
        <v>11.374000000000001</v>
      </c>
      <c r="N573" t="s">
        <v>130</v>
      </c>
      <c r="O573" t="s">
        <v>1167</v>
      </c>
      <c r="P573">
        <v>300</v>
      </c>
      <c r="Q573" t="s">
        <v>1958</v>
      </c>
      <c r="R573" t="s">
        <v>21</v>
      </c>
      <c r="S573" t="s">
        <v>22</v>
      </c>
      <c r="T573">
        <f t="shared" si="8"/>
        <v>402233.33999999985</v>
      </c>
    </row>
    <row r="574" spans="1:20" x14ac:dyDescent="0.25">
      <c r="A574" t="s">
        <v>879</v>
      </c>
      <c r="B574" t="s">
        <v>137</v>
      </c>
      <c r="C574">
        <v>3</v>
      </c>
      <c r="D574">
        <v>8027</v>
      </c>
      <c r="E574" t="s">
        <v>2065</v>
      </c>
      <c r="F574" t="s">
        <v>2037</v>
      </c>
      <c r="G574" s="31">
        <v>0.50819999999999999</v>
      </c>
      <c r="H574" s="31">
        <v>0.43619999999999998</v>
      </c>
      <c r="I574" t="s">
        <v>1954</v>
      </c>
      <c r="J574" t="s">
        <v>1954</v>
      </c>
      <c r="K574">
        <v>434751.99699999997</v>
      </c>
      <c r="L574">
        <v>4944860</v>
      </c>
      <c r="M574" s="32">
        <v>11.374000000000001</v>
      </c>
      <c r="N574" t="s">
        <v>130</v>
      </c>
      <c r="O574" t="s">
        <v>1167</v>
      </c>
      <c r="P574">
        <v>300</v>
      </c>
      <c r="Q574" t="s">
        <v>1958</v>
      </c>
      <c r="R574" t="s">
        <v>21</v>
      </c>
      <c r="S574" t="s">
        <v>22</v>
      </c>
      <c r="T574">
        <f t="shared" si="8"/>
        <v>402533.33999999985</v>
      </c>
    </row>
    <row r="575" spans="1:20" x14ac:dyDescent="0.25">
      <c r="A575" t="s">
        <v>375</v>
      </c>
      <c r="B575" t="s">
        <v>194</v>
      </c>
      <c r="C575">
        <v>1</v>
      </c>
      <c r="D575">
        <v>56181</v>
      </c>
      <c r="E575" t="s">
        <v>1992</v>
      </c>
      <c r="F575" t="s">
        <v>322</v>
      </c>
      <c r="G575" s="31">
        <v>0.49640000000000001</v>
      </c>
      <c r="H575" s="31">
        <v>0.54239999999999999</v>
      </c>
      <c r="I575" t="s">
        <v>1954</v>
      </c>
      <c r="J575" t="s">
        <v>1954</v>
      </c>
      <c r="K575">
        <v>239</v>
      </c>
      <c r="L575">
        <v>2719</v>
      </c>
      <c r="M575" s="32">
        <v>11.3766</v>
      </c>
      <c r="N575" t="s">
        <v>199</v>
      </c>
      <c r="O575" t="s">
        <v>119</v>
      </c>
      <c r="P575">
        <v>6</v>
      </c>
      <c r="Q575" t="s">
        <v>1958</v>
      </c>
      <c r="R575" t="s">
        <v>21</v>
      </c>
      <c r="S575" t="s">
        <v>22</v>
      </c>
      <c r="T575">
        <f t="shared" si="8"/>
        <v>402539.33999999985</v>
      </c>
    </row>
    <row r="576" spans="1:20" x14ac:dyDescent="0.25">
      <c r="A576" t="s">
        <v>493</v>
      </c>
      <c r="B576" t="s">
        <v>194</v>
      </c>
      <c r="C576">
        <v>2</v>
      </c>
      <c r="D576">
        <v>56181</v>
      </c>
      <c r="E576" t="s">
        <v>1992</v>
      </c>
      <c r="F576" t="s">
        <v>322</v>
      </c>
      <c r="G576" s="31">
        <v>0.48709999999999998</v>
      </c>
      <c r="H576" s="31">
        <v>0.53310000000000002</v>
      </c>
      <c r="I576" t="s">
        <v>1954</v>
      </c>
      <c r="J576" t="s">
        <v>1954</v>
      </c>
      <c r="K576">
        <v>239</v>
      </c>
      <c r="L576">
        <v>2719</v>
      </c>
      <c r="M576" s="32">
        <v>11.3766</v>
      </c>
      <c r="N576" t="s">
        <v>199</v>
      </c>
      <c r="O576" t="s">
        <v>119</v>
      </c>
      <c r="P576">
        <v>6</v>
      </c>
      <c r="Q576" t="s">
        <v>1958</v>
      </c>
      <c r="R576" t="s">
        <v>21</v>
      </c>
      <c r="S576" t="s">
        <v>22</v>
      </c>
      <c r="T576">
        <f t="shared" si="8"/>
        <v>402545.33999999985</v>
      </c>
    </row>
    <row r="577" spans="1:20" x14ac:dyDescent="0.25">
      <c r="A577" t="s">
        <v>861</v>
      </c>
      <c r="B577" t="s">
        <v>194</v>
      </c>
      <c r="C577">
        <v>1</v>
      </c>
      <c r="D577">
        <v>56181</v>
      </c>
      <c r="E577" t="s">
        <v>1992</v>
      </c>
      <c r="F577" t="s">
        <v>322</v>
      </c>
      <c r="G577" s="31">
        <v>0.53959999999999997</v>
      </c>
      <c r="H577" s="31">
        <v>0.58560000000000001</v>
      </c>
      <c r="I577" t="s">
        <v>1954</v>
      </c>
      <c r="J577" t="s">
        <v>1954</v>
      </c>
      <c r="K577">
        <v>239</v>
      </c>
      <c r="L577">
        <v>2719</v>
      </c>
      <c r="M577" s="32">
        <v>11.3766</v>
      </c>
      <c r="N577" t="s">
        <v>199</v>
      </c>
      <c r="O577" t="s">
        <v>119</v>
      </c>
      <c r="P577">
        <v>6</v>
      </c>
      <c r="Q577" t="s">
        <v>1958</v>
      </c>
      <c r="R577" t="s">
        <v>21</v>
      </c>
      <c r="S577" t="s">
        <v>22</v>
      </c>
      <c r="T577">
        <f t="shared" si="8"/>
        <v>402551.33999999985</v>
      </c>
    </row>
    <row r="578" spans="1:20" x14ac:dyDescent="0.25">
      <c r="A578" t="s">
        <v>1013</v>
      </c>
      <c r="B578" t="s">
        <v>194</v>
      </c>
      <c r="C578">
        <v>3</v>
      </c>
      <c r="D578">
        <v>56181</v>
      </c>
      <c r="E578" t="s">
        <v>1992</v>
      </c>
      <c r="F578" t="s">
        <v>322</v>
      </c>
      <c r="G578" s="31">
        <v>0.53</v>
      </c>
      <c r="H578" s="31">
        <v>0.57599999999999996</v>
      </c>
      <c r="I578" t="s">
        <v>1954</v>
      </c>
      <c r="J578" t="s">
        <v>1954</v>
      </c>
      <c r="K578">
        <v>239</v>
      </c>
      <c r="L578">
        <v>2719</v>
      </c>
      <c r="M578" s="32">
        <v>11.3766</v>
      </c>
      <c r="N578" t="s">
        <v>199</v>
      </c>
      <c r="O578" t="s">
        <v>119</v>
      </c>
      <c r="P578">
        <v>6</v>
      </c>
      <c r="Q578" t="s">
        <v>1958</v>
      </c>
      <c r="R578" t="s">
        <v>21</v>
      </c>
      <c r="S578" t="s">
        <v>22</v>
      </c>
      <c r="T578">
        <f t="shared" si="8"/>
        <v>402557.33999999985</v>
      </c>
    </row>
    <row r="579" spans="1:20" x14ac:dyDescent="0.25">
      <c r="A579" t="s">
        <v>1181</v>
      </c>
      <c r="B579" t="s">
        <v>194</v>
      </c>
      <c r="C579">
        <v>3</v>
      </c>
      <c r="D579">
        <v>56181</v>
      </c>
      <c r="E579" t="s">
        <v>1992</v>
      </c>
      <c r="F579" t="s">
        <v>322</v>
      </c>
      <c r="G579" s="31">
        <v>0.53</v>
      </c>
      <c r="H579" s="31">
        <v>0.57599999999999996</v>
      </c>
      <c r="I579" t="s">
        <v>1954</v>
      </c>
      <c r="J579" t="s">
        <v>1954</v>
      </c>
      <c r="K579">
        <v>239</v>
      </c>
      <c r="L579">
        <v>2719</v>
      </c>
      <c r="M579" s="32">
        <v>11.3766</v>
      </c>
      <c r="N579" t="s">
        <v>199</v>
      </c>
      <c r="O579" t="s">
        <v>119</v>
      </c>
      <c r="P579">
        <v>6</v>
      </c>
      <c r="Q579" t="s">
        <v>1958</v>
      </c>
      <c r="R579" t="s">
        <v>21</v>
      </c>
      <c r="S579" t="s">
        <v>22</v>
      </c>
      <c r="T579">
        <f t="shared" si="8"/>
        <v>402563.33999999985</v>
      </c>
    </row>
    <row r="580" spans="1:20" x14ac:dyDescent="0.25">
      <c r="A580" t="s">
        <v>1287</v>
      </c>
      <c r="B580" t="s">
        <v>194</v>
      </c>
      <c r="C580">
        <v>2</v>
      </c>
      <c r="D580">
        <v>56181</v>
      </c>
      <c r="E580" t="s">
        <v>1992</v>
      </c>
      <c r="F580" t="s">
        <v>322</v>
      </c>
      <c r="G580" s="31">
        <v>0.41420000000000001</v>
      </c>
      <c r="H580" s="31">
        <v>0.4602</v>
      </c>
      <c r="I580" t="s">
        <v>1954</v>
      </c>
      <c r="J580" t="s">
        <v>1954</v>
      </c>
      <c r="K580">
        <v>239</v>
      </c>
      <c r="L580">
        <v>2719</v>
      </c>
      <c r="M580" s="32">
        <v>11.3766</v>
      </c>
      <c r="N580" t="s">
        <v>199</v>
      </c>
      <c r="O580" t="s">
        <v>119</v>
      </c>
      <c r="P580">
        <v>6</v>
      </c>
      <c r="Q580" t="s">
        <v>1958</v>
      </c>
      <c r="R580" t="s">
        <v>21</v>
      </c>
      <c r="S580" t="s">
        <v>22</v>
      </c>
      <c r="T580">
        <f t="shared" ref="T580:T643" si="9">T579+P580</f>
        <v>402569.33999999985</v>
      </c>
    </row>
    <row r="581" spans="1:20" x14ac:dyDescent="0.25">
      <c r="A581" t="s">
        <v>1568</v>
      </c>
      <c r="B581" t="s">
        <v>194</v>
      </c>
      <c r="C581">
        <v>2</v>
      </c>
      <c r="D581">
        <v>56181</v>
      </c>
      <c r="E581" t="s">
        <v>1992</v>
      </c>
      <c r="F581" t="s">
        <v>322</v>
      </c>
      <c r="G581" s="31">
        <v>0.51290000000000002</v>
      </c>
      <c r="H581" s="31">
        <v>0.55889999999999995</v>
      </c>
      <c r="I581" t="s">
        <v>1954</v>
      </c>
      <c r="J581" t="s">
        <v>1954</v>
      </c>
      <c r="K581">
        <v>239</v>
      </c>
      <c r="L581">
        <v>2719</v>
      </c>
      <c r="M581" s="32">
        <v>11.3766</v>
      </c>
      <c r="N581" t="s">
        <v>199</v>
      </c>
      <c r="O581" t="s">
        <v>119</v>
      </c>
      <c r="P581">
        <v>6</v>
      </c>
      <c r="Q581" t="s">
        <v>1958</v>
      </c>
      <c r="R581" t="s">
        <v>21</v>
      </c>
      <c r="S581" t="s">
        <v>22</v>
      </c>
      <c r="T581">
        <f t="shared" si="9"/>
        <v>402575.33999999985</v>
      </c>
    </row>
    <row r="582" spans="1:20" x14ac:dyDescent="0.25">
      <c r="A582" t="s">
        <v>1648</v>
      </c>
      <c r="B582" t="s">
        <v>194</v>
      </c>
      <c r="C582">
        <v>1</v>
      </c>
      <c r="D582">
        <v>56181</v>
      </c>
      <c r="E582" t="s">
        <v>1992</v>
      </c>
      <c r="F582" t="s">
        <v>322</v>
      </c>
      <c r="G582" s="31">
        <v>0.42399999999999999</v>
      </c>
      <c r="H582" s="31">
        <v>0.47</v>
      </c>
      <c r="I582" t="s">
        <v>1954</v>
      </c>
      <c r="J582" t="s">
        <v>1954</v>
      </c>
      <c r="K582">
        <v>239</v>
      </c>
      <c r="L582">
        <v>2719</v>
      </c>
      <c r="M582" s="32">
        <v>11.3766</v>
      </c>
      <c r="N582" t="s">
        <v>199</v>
      </c>
      <c r="O582" t="s">
        <v>119</v>
      </c>
      <c r="P582">
        <v>6</v>
      </c>
      <c r="Q582" t="s">
        <v>1958</v>
      </c>
      <c r="R582" t="s">
        <v>21</v>
      </c>
      <c r="S582" t="s">
        <v>22</v>
      </c>
      <c r="T582">
        <f t="shared" si="9"/>
        <v>402581.33999999985</v>
      </c>
    </row>
    <row r="583" spans="1:20" x14ac:dyDescent="0.25">
      <c r="A583" t="s">
        <v>635</v>
      </c>
      <c r="B583" t="s">
        <v>109</v>
      </c>
      <c r="C583">
        <v>2</v>
      </c>
      <c r="D583">
        <v>645</v>
      </c>
      <c r="E583" t="s">
        <v>2035</v>
      </c>
      <c r="F583" t="s">
        <v>1364</v>
      </c>
      <c r="G583" s="31">
        <v>0.51590000000000003</v>
      </c>
      <c r="H583" s="31">
        <v>0.41589999999999999</v>
      </c>
      <c r="I583" t="s">
        <v>1976</v>
      </c>
      <c r="J583" t="s">
        <v>1954</v>
      </c>
      <c r="K583">
        <v>34124.341</v>
      </c>
      <c r="L583">
        <v>390360</v>
      </c>
      <c r="M583" s="32">
        <v>11.439299999999999</v>
      </c>
      <c r="N583" t="s">
        <v>116</v>
      </c>
      <c r="P583">
        <v>0</v>
      </c>
      <c r="Q583" t="s">
        <v>1958</v>
      </c>
      <c r="R583" t="s">
        <v>21</v>
      </c>
      <c r="S583" t="s">
        <v>22</v>
      </c>
      <c r="T583">
        <f t="shared" si="9"/>
        <v>402581.33999999985</v>
      </c>
    </row>
    <row r="584" spans="1:20" x14ac:dyDescent="0.25">
      <c r="A584" t="s">
        <v>1568</v>
      </c>
      <c r="B584" t="s">
        <v>194</v>
      </c>
      <c r="C584">
        <v>1</v>
      </c>
      <c r="D584">
        <v>3131</v>
      </c>
      <c r="E584" t="s">
        <v>1564</v>
      </c>
      <c r="F584" t="s">
        <v>143</v>
      </c>
      <c r="G584" s="31">
        <v>0.64459999999999995</v>
      </c>
      <c r="H584" s="31">
        <v>0.69059999999999999</v>
      </c>
      <c r="I584" t="s">
        <v>1954</v>
      </c>
      <c r="J584" t="s">
        <v>1954</v>
      </c>
      <c r="K584">
        <v>322</v>
      </c>
      <c r="L584">
        <v>3689</v>
      </c>
      <c r="M584" s="32">
        <v>11.4565</v>
      </c>
      <c r="N584" t="s">
        <v>199</v>
      </c>
      <c r="O584" t="s">
        <v>1569</v>
      </c>
      <c r="P584">
        <v>6</v>
      </c>
      <c r="Q584" s="33" t="s">
        <v>1956</v>
      </c>
      <c r="R584" t="s">
        <v>21</v>
      </c>
      <c r="S584" t="s">
        <v>22</v>
      </c>
      <c r="T584">
        <f t="shared" si="9"/>
        <v>402587.33999999985</v>
      </c>
    </row>
    <row r="585" spans="1:20" x14ac:dyDescent="0.25">
      <c r="A585" t="s">
        <v>1305</v>
      </c>
      <c r="B585" t="s">
        <v>189</v>
      </c>
      <c r="C585">
        <v>2</v>
      </c>
      <c r="D585">
        <v>6146</v>
      </c>
      <c r="E585" t="s">
        <v>2049</v>
      </c>
      <c r="F585" t="s">
        <v>1805</v>
      </c>
      <c r="G585" s="31">
        <v>0.50390000000000001</v>
      </c>
      <c r="H585" s="31">
        <v>0.43190000000000001</v>
      </c>
      <c r="I585" t="s">
        <v>1954</v>
      </c>
      <c r="J585" t="s">
        <v>1954</v>
      </c>
      <c r="K585">
        <v>8534307</v>
      </c>
      <c r="L585">
        <v>97902810</v>
      </c>
      <c r="M585" s="32">
        <v>11.4717</v>
      </c>
      <c r="N585" t="s">
        <v>2002</v>
      </c>
      <c r="O585" t="s">
        <v>119</v>
      </c>
      <c r="P585">
        <v>2455</v>
      </c>
      <c r="Q585" t="s">
        <v>1958</v>
      </c>
      <c r="R585" t="s">
        <v>21</v>
      </c>
      <c r="S585" t="s">
        <v>22</v>
      </c>
      <c r="T585">
        <f t="shared" si="9"/>
        <v>405042.33999999985</v>
      </c>
    </row>
    <row r="586" spans="1:20" x14ac:dyDescent="0.25">
      <c r="A586" t="s">
        <v>750</v>
      </c>
      <c r="B586" t="s">
        <v>109</v>
      </c>
      <c r="C586">
        <v>3</v>
      </c>
      <c r="D586">
        <v>6146</v>
      </c>
      <c r="E586" t="s">
        <v>2049</v>
      </c>
      <c r="F586" t="s">
        <v>1805</v>
      </c>
      <c r="G586" s="31">
        <v>0.52449999999999997</v>
      </c>
      <c r="H586" s="31">
        <v>0.45250000000000001</v>
      </c>
      <c r="I586" t="s">
        <v>1954</v>
      </c>
      <c r="J586" t="s">
        <v>1954</v>
      </c>
      <c r="K586">
        <v>8506391.7799999993</v>
      </c>
      <c r="L586">
        <v>97584698</v>
      </c>
      <c r="M586" s="32">
        <v>11.4719</v>
      </c>
      <c r="N586" t="s">
        <v>1018</v>
      </c>
      <c r="O586" t="s">
        <v>119</v>
      </c>
      <c r="P586">
        <v>2455</v>
      </c>
      <c r="Q586" t="s">
        <v>1958</v>
      </c>
      <c r="R586" t="s">
        <v>21</v>
      </c>
      <c r="S586" t="s">
        <v>22</v>
      </c>
      <c r="T586">
        <f t="shared" si="9"/>
        <v>407497.33999999985</v>
      </c>
    </row>
    <row r="587" spans="1:20" x14ac:dyDescent="0.25">
      <c r="A587" t="s">
        <v>752</v>
      </c>
      <c r="B587" t="s">
        <v>109</v>
      </c>
      <c r="C587">
        <v>3</v>
      </c>
      <c r="D587">
        <v>6146</v>
      </c>
      <c r="E587" t="s">
        <v>2049</v>
      </c>
      <c r="F587" t="s">
        <v>1805</v>
      </c>
      <c r="G587" s="31">
        <v>0.52449999999999997</v>
      </c>
      <c r="H587" s="31">
        <v>0.45250000000000001</v>
      </c>
      <c r="I587" t="s">
        <v>1954</v>
      </c>
      <c r="J587" t="s">
        <v>1954</v>
      </c>
      <c r="K587">
        <v>8506391.7799999993</v>
      </c>
      <c r="L587">
        <v>97584698</v>
      </c>
      <c r="M587" s="32">
        <v>11.4719</v>
      </c>
      <c r="N587" t="s">
        <v>1018</v>
      </c>
      <c r="O587" t="s">
        <v>119</v>
      </c>
      <c r="P587">
        <v>2455</v>
      </c>
      <c r="Q587" t="s">
        <v>1958</v>
      </c>
      <c r="R587" t="s">
        <v>21</v>
      </c>
      <c r="S587" t="s">
        <v>22</v>
      </c>
      <c r="T587">
        <f t="shared" si="9"/>
        <v>409952.33999999985</v>
      </c>
    </row>
    <row r="588" spans="1:20" x14ac:dyDescent="0.25">
      <c r="A588" t="s">
        <v>1284</v>
      </c>
      <c r="B588" t="s">
        <v>109</v>
      </c>
      <c r="C588">
        <v>3</v>
      </c>
      <c r="D588">
        <v>2291</v>
      </c>
      <c r="E588" t="s">
        <v>2125</v>
      </c>
      <c r="F588" t="s">
        <v>2126</v>
      </c>
      <c r="G588" s="31">
        <v>0.48199999999999998</v>
      </c>
      <c r="H588" s="31">
        <v>0.41</v>
      </c>
      <c r="I588" t="s">
        <v>1954</v>
      </c>
      <c r="J588" t="s">
        <v>1954</v>
      </c>
      <c r="K588">
        <v>1400204.7949999999</v>
      </c>
      <c r="L588">
        <v>16085456</v>
      </c>
      <c r="M588" s="32">
        <v>11.4879</v>
      </c>
      <c r="N588" t="s">
        <v>1018</v>
      </c>
      <c r="O588" t="s">
        <v>2127</v>
      </c>
      <c r="P588">
        <v>323.89999999999998</v>
      </c>
      <c r="Q588" t="s">
        <v>1958</v>
      </c>
      <c r="R588" t="s">
        <v>21</v>
      </c>
      <c r="S588" t="s">
        <v>22</v>
      </c>
      <c r="T588">
        <f t="shared" si="9"/>
        <v>410276.23999999987</v>
      </c>
    </row>
    <row r="589" spans="1:20" x14ac:dyDescent="0.25">
      <c r="A589" t="s">
        <v>582</v>
      </c>
      <c r="B589" t="s">
        <v>137</v>
      </c>
      <c r="C589">
        <v>3</v>
      </c>
      <c r="D589">
        <v>55201</v>
      </c>
      <c r="E589" t="s">
        <v>2024</v>
      </c>
      <c r="F589" t="s">
        <v>166</v>
      </c>
      <c r="G589" s="31">
        <v>0.43309999999999998</v>
      </c>
      <c r="H589" s="31">
        <v>0.47910000000000003</v>
      </c>
      <c r="I589" t="s">
        <v>1954</v>
      </c>
      <c r="J589" t="s">
        <v>1954</v>
      </c>
      <c r="K589">
        <v>77332.001000000004</v>
      </c>
      <c r="L589">
        <v>893501</v>
      </c>
      <c r="M589" s="32">
        <v>11.5541</v>
      </c>
      <c r="N589" t="s">
        <v>141</v>
      </c>
      <c r="O589" t="s">
        <v>308</v>
      </c>
      <c r="P589">
        <v>232</v>
      </c>
      <c r="Q589" t="s">
        <v>1958</v>
      </c>
      <c r="R589" t="s">
        <v>21</v>
      </c>
      <c r="S589" t="s">
        <v>22</v>
      </c>
      <c r="T589">
        <f t="shared" si="9"/>
        <v>410508.23999999987</v>
      </c>
    </row>
    <row r="590" spans="1:20" x14ac:dyDescent="0.25">
      <c r="A590" t="s">
        <v>587</v>
      </c>
      <c r="B590" t="s">
        <v>137</v>
      </c>
      <c r="C590">
        <v>3</v>
      </c>
      <c r="D590">
        <v>55201</v>
      </c>
      <c r="E590" t="s">
        <v>2024</v>
      </c>
      <c r="F590" t="s">
        <v>166</v>
      </c>
      <c r="G590" s="31">
        <v>0.43309999999999998</v>
      </c>
      <c r="H590" s="31">
        <v>0.47910000000000003</v>
      </c>
      <c r="I590" t="s">
        <v>1954</v>
      </c>
      <c r="J590" t="s">
        <v>1954</v>
      </c>
      <c r="K590">
        <v>77332.001000000004</v>
      </c>
      <c r="L590">
        <v>893501</v>
      </c>
      <c r="M590" s="32">
        <v>11.5541</v>
      </c>
      <c r="N590" t="s">
        <v>141</v>
      </c>
      <c r="O590" t="s">
        <v>308</v>
      </c>
      <c r="P590">
        <v>232</v>
      </c>
      <c r="Q590" t="s">
        <v>1958</v>
      </c>
      <c r="R590" t="s">
        <v>21</v>
      </c>
      <c r="S590" t="s">
        <v>22</v>
      </c>
      <c r="T590">
        <f t="shared" si="9"/>
        <v>410740.23999999987</v>
      </c>
    </row>
    <row r="591" spans="1:20" x14ac:dyDescent="0.25">
      <c r="A591" t="s">
        <v>1205</v>
      </c>
      <c r="B591" t="s">
        <v>125</v>
      </c>
      <c r="C591">
        <v>1</v>
      </c>
      <c r="D591">
        <v>55229</v>
      </c>
      <c r="E591" t="s">
        <v>1206</v>
      </c>
      <c r="F591" t="s">
        <v>131</v>
      </c>
      <c r="G591" s="31">
        <v>1</v>
      </c>
      <c r="H591" s="31">
        <v>1</v>
      </c>
      <c r="I591" t="s">
        <v>1954</v>
      </c>
      <c r="J591" t="s">
        <v>1954</v>
      </c>
      <c r="K591">
        <v>141926</v>
      </c>
      <c r="L591">
        <v>1639993</v>
      </c>
      <c r="M591" s="32">
        <v>11.555300000000001</v>
      </c>
      <c r="N591" t="s">
        <v>141</v>
      </c>
      <c r="O591" t="s">
        <v>529</v>
      </c>
      <c r="P591">
        <v>233.1</v>
      </c>
      <c r="Q591" s="33" t="s">
        <v>1955</v>
      </c>
      <c r="R591" t="s">
        <v>21</v>
      </c>
      <c r="S591" t="s">
        <v>22</v>
      </c>
      <c r="T591">
        <f t="shared" si="9"/>
        <v>410973.33999999985</v>
      </c>
    </row>
    <row r="592" spans="1:20" x14ac:dyDescent="0.25">
      <c r="A592" t="s">
        <v>1207</v>
      </c>
      <c r="B592" t="s">
        <v>125</v>
      </c>
      <c r="C592">
        <v>1</v>
      </c>
      <c r="D592">
        <v>55229</v>
      </c>
      <c r="E592" t="s">
        <v>1206</v>
      </c>
      <c r="F592" t="s">
        <v>131</v>
      </c>
      <c r="G592" s="31">
        <v>1</v>
      </c>
      <c r="H592" s="31">
        <v>1</v>
      </c>
      <c r="I592" t="s">
        <v>1954</v>
      </c>
      <c r="J592" t="s">
        <v>1954</v>
      </c>
      <c r="K592">
        <v>141926</v>
      </c>
      <c r="L592">
        <v>1639993</v>
      </c>
      <c r="M592" s="32">
        <v>11.555300000000001</v>
      </c>
      <c r="N592" t="s">
        <v>141</v>
      </c>
      <c r="O592" t="s">
        <v>529</v>
      </c>
      <c r="P592">
        <v>233.1</v>
      </c>
      <c r="Q592" s="33" t="s">
        <v>1955</v>
      </c>
      <c r="R592" t="s">
        <v>21</v>
      </c>
      <c r="S592" t="s">
        <v>22</v>
      </c>
      <c r="T592">
        <f t="shared" si="9"/>
        <v>411206.43999999983</v>
      </c>
    </row>
    <row r="593" spans="1:20" x14ac:dyDescent="0.25">
      <c r="A593" t="s">
        <v>1208</v>
      </c>
      <c r="B593" t="s">
        <v>125</v>
      </c>
      <c r="C593">
        <v>1</v>
      </c>
      <c r="D593">
        <v>55229</v>
      </c>
      <c r="E593" t="s">
        <v>1206</v>
      </c>
      <c r="F593" t="s">
        <v>131</v>
      </c>
      <c r="G593" s="31">
        <v>1</v>
      </c>
      <c r="H593" s="31">
        <v>1</v>
      </c>
      <c r="I593" t="s">
        <v>1954</v>
      </c>
      <c r="J593" t="s">
        <v>1954</v>
      </c>
      <c r="K593">
        <v>141926</v>
      </c>
      <c r="L593">
        <v>1639993</v>
      </c>
      <c r="M593" s="32">
        <v>11.555300000000001</v>
      </c>
      <c r="N593" t="s">
        <v>141</v>
      </c>
      <c r="O593" t="s">
        <v>529</v>
      </c>
      <c r="P593">
        <v>233.1</v>
      </c>
      <c r="Q593" s="33" t="s">
        <v>1955</v>
      </c>
      <c r="R593" t="s">
        <v>21</v>
      </c>
      <c r="S593" t="s">
        <v>22</v>
      </c>
      <c r="T593">
        <f t="shared" si="9"/>
        <v>411439.5399999998</v>
      </c>
    </row>
    <row r="594" spans="1:20" x14ac:dyDescent="0.25">
      <c r="A594" t="s">
        <v>1209</v>
      </c>
      <c r="B594" t="s">
        <v>125</v>
      </c>
      <c r="C594">
        <v>1</v>
      </c>
      <c r="D594">
        <v>55229</v>
      </c>
      <c r="E594" t="s">
        <v>1206</v>
      </c>
      <c r="F594" t="s">
        <v>131</v>
      </c>
      <c r="G594" s="31">
        <v>1</v>
      </c>
      <c r="H594" s="31">
        <v>1</v>
      </c>
      <c r="I594" t="s">
        <v>1954</v>
      </c>
      <c r="J594" t="s">
        <v>1954</v>
      </c>
      <c r="K594">
        <v>141926</v>
      </c>
      <c r="L594">
        <v>1639993</v>
      </c>
      <c r="M594" s="32">
        <v>11.555300000000001</v>
      </c>
      <c r="N594" t="s">
        <v>141</v>
      </c>
      <c r="O594" t="s">
        <v>529</v>
      </c>
      <c r="P594">
        <v>233.1</v>
      </c>
      <c r="Q594" s="33" t="s">
        <v>1955</v>
      </c>
      <c r="R594" t="s">
        <v>21</v>
      </c>
      <c r="S594" t="s">
        <v>22</v>
      </c>
      <c r="T594">
        <f t="shared" si="9"/>
        <v>411672.63999999978</v>
      </c>
    </row>
    <row r="595" spans="1:20" x14ac:dyDescent="0.25">
      <c r="A595" t="s">
        <v>263</v>
      </c>
      <c r="B595" t="s">
        <v>189</v>
      </c>
      <c r="C595">
        <v>2</v>
      </c>
      <c r="D595">
        <v>6055</v>
      </c>
      <c r="E595" t="s">
        <v>1961</v>
      </c>
      <c r="F595" t="s">
        <v>1962</v>
      </c>
      <c r="G595" s="31">
        <v>0.53</v>
      </c>
      <c r="H595" s="31">
        <v>0.45800000000000002</v>
      </c>
      <c r="I595" t="s">
        <v>1954</v>
      </c>
      <c r="J595" t="s">
        <v>1954</v>
      </c>
      <c r="K595">
        <v>2627281.0049999999</v>
      </c>
      <c r="L595">
        <v>30383356</v>
      </c>
      <c r="M595" s="32">
        <v>11.5646</v>
      </c>
      <c r="N595" t="s">
        <v>1963</v>
      </c>
      <c r="O595" t="s">
        <v>119</v>
      </c>
      <c r="P595">
        <v>1614.7</v>
      </c>
      <c r="Q595" t="s">
        <v>1958</v>
      </c>
      <c r="R595" t="s">
        <v>21</v>
      </c>
      <c r="S595" t="s">
        <v>22</v>
      </c>
      <c r="T595">
        <f t="shared" si="9"/>
        <v>413287.33999999979</v>
      </c>
    </row>
    <row r="596" spans="1:20" x14ac:dyDescent="0.25">
      <c r="A596" t="s">
        <v>1335</v>
      </c>
      <c r="B596" t="s">
        <v>194</v>
      </c>
      <c r="C596">
        <v>3</v>
      </c>
      <c r="D596">
        <v>57630</v>
      </c>
      <c r="E596" t="s">
        <v>2136</v>
      </c>
      <c r="F596" t="s">
        <v>708</v>
      </c>
      <c r="G596" s="31">
        <v>0.44219999999999998</v>
      </c>
      <c r="H596" s="31">
        <v>0.48820000000000002</v>
      </c>
      <c r="I596" t="s">
        <v>1954</v>
      </c>
      <c r="J596" t="s">
        <v>1954</v>
      </c>
      <c r="K596">
        <v>408</v>
      </c>
      <c r="L596">
        <v>4721</v>
      </c>
      <c r="M596" s="32">
        <v>11.571099999999999</v>
      </c>
      <c r="N596" t="s">
        <v>199</v>
      </c>
      <c r="O596" t="s">
        <v>2137</v>
      </c>
      <c r="P596">
        <v>5.0999999999999996</v>
      </c>
      <c r="Q596" t="s">
        <v>1958</v>
      </c>
      <c r="R596" t="s">
        <v>21</v>
      </c>
      <c r="S596" t="s">
        <v>22</v>
      </c>
      <c r="T596">
        <f t="shared" si="9"/>
        <v>413292.43999999977</v>
      </c>
    </row>
    <row r="597" spans="1:20" x14ac:dyDescent="0.25">
      <c r="A597" t="s">
        <v>684</v>
      </c>
      <c r="B597" t="s">
        <v>125</v>
      </c>
      <c r="C597">
        <v>1</v>
      </c>
      <c r="D597">
        <v>52087</v>
      </c>
      <c r="E597" t="s">
        <v>685</v>
      </c>
      <c r="F597" t="s">
        <v>201</v>
      </c>
      <c r="G597" s="31">
        <v>1</v>
      </c>
      <c r="H597" s="31">
        <v>1</v>
      </c>
      <c r="I597" t="s">
        <v>1954</v>
      </c>
      <c r="J597" t="s">
        <v>1954</v>
      </c>
      <c r="K597">
        <v>173986.997</v>
      </c>
      <c r="L597">
        <v>2016581</v>
      </c>
      <c r="M597" s="32">
        <v>11.590400000000001</v>
      </c>
      <c r="N597" t="s">
        <v>130</v>
      </c>
      <c r="O597" t="s">
        <v>686</v>
      </c>
      <c r="P597">
        <v>325</v>
      </c>
      <c r="Q597" s="33" t="s">
        <v>1955</v>
      </c>
      <c r="R597" t="s">
        <v>21</v>
      </c>
      <c r="S597" t="s">
        <v>22</v>
      </c>
      <c r="T597">
        <f t="shared" si="9"/>
        <v>413617.43999999977</v>
      </c>
    </row>
    <row r="598" spans="1:20" x14ac:dyDescent="0.25">
      <c r="A598" t="s">
        <v>687</v>
      </c>
      <c r="B598" t="s">
        <v>125</v>
      </c>
      <c r="C598">
        <v>1</v>
      </c>
      <c r="D598">
        <v>52087</v>
      </c>
      <c r="E598" t="s">
        <v>685</v>
      </c>
      <c r="F598" t="s">
        <v>201</v>
      </c>
      <c r="G598" s="31">
        <v>1</v>
      </c>
      <c r="H598" s="31">
        <v>1</v>
      </c>
      <c r="I598" t="s">
        <v>1954</v>
      </c>
      <c r="J598" t="s">
        <v>1954</v>
      </c>
      <c r="K598">
        <v>173986.997</v>
      </c>
      <c r="L598">
        <v>2016581</v>
      </c>
      <c r="M598" s="32">
        <v>11.590400000000001</v>
      </c>
      <c r="N598" t="s">
        <v>130</v>
      </c>
      <c r="O598" t="s">
        <v>686</v>
      </c>
      <c r="P598">
        <v>325</v>
      </c>
      <c r="Q598" s="33" t="s">
        <v>1955</v>
      </c>
      <c r="R598" t="s">
        <v>21</v>
      </c>
      <c r="S598" t="s">
        <v>22</v>
      </c>
      <c r="T598">
        <f t="shared" si="9"/>
        <v>413942.43999999977</v>
      </c>
    </row>
    <row r="599" spans="1:20" x14ac:dyDescent="0.25">
      <c r="A599" t="s">
        <v>688</v>
      </c>
      <c r="B599" t="s">
        <v>125</v>
      </c>
      <c r="C599">
        <v>1</v>
      </c>
      <c r="D599">
        <v>52087</v>
      </c>
      <c r="E599" t="s">
        <v>685</v>
      </c>
      <c r="F599" t="s">
        <v>201</v>
      </c>
      <c r="G599" s="31">
        <v>1</v>
      </c>
      <c r="H599" s="31">
        <v>1</v>
      </c>
      <c r="I599" t="s">
        <v>1954</v>
      </c>
      <c r="J599" t="s">
        <v>1954</v>
      </c>
      <c r="K599">
        <v>173986.997</v>
      </c>
      <c r="L599">
        <v>2016581</v>
      </c>
      <c r="M599" s="32">
        <v>11.590400000000001</v>
      </c>
      <c r="N599" t="s">
        <v>130</v>
      </c>
      <c r="O599" t="s">
        <v>686</v>
      </c>
      <c r="P599">
        <v>325</v>
      </c>
      <c r="Q599" s="33" t="s">
        <v>1955</v>
      </c>
      <c r="R599" t="s">
        <v>21</v>
      </c>
      <c r="S599" t="s">
        <v>22</v>
      </c>
      <c r="T599">
        <f t="shared" si="9"/>
        <v>414267.43999999977</v>
      </c>
    </row>
    <row r="600" spans="1:20" x14ac:dyDescent="0.25">
      <c r="A600" t="s">
        <v>393</v>
      </c>
      <c r="B600" t="s">
        <v>150</v>
      </c>
      <c r="C600">
        <v>2</v>
      </c>
      <c r="D600">
        <v>56430</v>
      </c>
      <c r="E600" t="s">
        <v>1996</v>
      </c>
      <c r="F600" t="s">
        <v>672</v>
      </c>
      <c r="G600" s="31">
        <v>0.46760000000000002</v>
      </c>
      <c r="H600" s="31">
        <v>0.51359999999999995</v>
      </c>
      <c r="I600" t="s">
        <v>1954</v>
      </c>
      <c r="J600" t="s">
        <v>1954</v>
      </c>
      <c r="K600">
        <v>26592</v>
      </c>
      <c r="L600">
        <v>308351</v>
      </c>
      <c r="M600" s="32">
        <v>11.595599999999999</v>
      </c>
      <c r="N600" t="s">
        <v>321</v>
      </c>
      <c r="O600" t="s">
        <v>1997</v>
      </c>
      <c r="P600">
        <v>5</v>
      </c>
      <c r="Q600" t="s">
        <v>1958</v>
      </c>
      <c r="R600" t="s">
        <v>21</v>
      </c>
      <c r="S600" t="s">
        <v>22</v>
      </c>
      <c r="T600">
        <f t="shared" si="9"/>
        <v>414272.43999999977</v>
      </c>
    </row>
    <row r="601" spans="1:20" x14ac:dyDescent="0.25">
      <c r="A601" t="s">
        <v>1602</v>
      </c>
      <c r="B601" t="s">
        <v>125</v>
      </c>
      <c r="C601">
        <v>2</v>
      </c>
      <c r="D601">
        <v>56151</v>
      </c>
      <c r="E601" t="s">
        <v>2171</v>
      </c>
      <c r="F601" t="s">
        <v>2120</v>
      </c>
      <c r="G601" s="31">
        <v>0.40529999999999999</v>
      </c>
      <c r="H601" s="31">
        <v>0.33329999999999999</v>
      </c>
      <c r="I601" t="s">
        <v>1954</v>
      </c>
      <c r="J601" t="s">
        <v>1954</v>
      </c>
      <c r="K601">
        <v>218448</v>
      </c>
      <c r="L601">
        <v>2536132</v>
      </c>
      <c r="M601" s="32">
        <v>11.6098</v>
      </c>
      <c r="N601" t="s">
        <v>141</v>
      </c>
      <c r="O601" t="s">
        <v>2172</v>
      </c>
      <c r="P601">
        <v>321.2</v>
      </c>
      <c r="Q601" t="s">
        <v>1958</v>
      </c>
      <c r="R601" t="s">
        <v>21</v>
      </c>
      <c r="S601" t="s">
        <v>22</v>
      </c>
      <c r="T601">
        <f t="shared" si="9"/>
        <v>414593.63999999978</v>
      </c>
    </row>
    <row r="602" spans="1:20" x14ac:dyDescent="0.25">
      <c r="A602" t="s">
        <v>1605</v>
      </c>
      <c r="B602" t="s">
        <v>125</v>
      </c>
      <c r="C602">
        <v>2</v>
      </c>
      <c r="D602">
        <v>56151</v>
      </c>
      <c r="E602" t="s">
        <v>2171</v>
      </c>
      <c r="F602" t="s">
        <v>2120</v>
      </c>
      <c r="G602" s="31">
        <v>0.40529999999999999</v>
      </c>
      <c r="H602" s="31">
        <v>0.33329999999999999</v>
      </c>
      <c r="I602" t="s">
        <v>1954</v>
      </c>
      <c r="J602" t="s">
        <v>1954</v>
      </c>
      <c r="K602">
        <v>218448</v>
      </c>
      <c r="L602">
        <v>2536132</v>
      </c>
      <c r="M602" s="32">
        <v>11.6098</v>
      </c>
      <c r="N602" t="s">
        <v>141</v>
      </c>
      <c r="O602" t="s">
        <v>2172</v>
      </c>
      <c r="P602">
        <v>321.2</v>
      </c>
      <c r="Q602" t="s">
        <v>1958</v>
      </c>
      <c r="R602" t="s">
        <v>21</v>
      </c>
      <c r="S602" t="s">
        <v>22</v>
      </c>
      <c r="T602">
        <f t="shared" si="9"/>
        <v>414914.83999999979</v>
      </c>
    </row>
    <row r="603" spans="1:20" x14ac:dyDescent="0.25">
      <c r="A603" t="s">
        <v>1606</v>
      </c>
      <c r="B603" t="s">
        <v>125</v>
      </c>
      <c r="C603">
        <v>2</v>
      </c>
      <c r="D603">
        <v>56151</v>
      </c>
      <c r="E603" t="s">
        <v>2171</v>
      </c>
      <c r="F603" t="s">
        <v>2120</v>
      </c>
      <c r="G603" s="31">
        <v>0.40529999999999999</v>
      </c>
      <c r="H603" s="31">
        <v>0.33329999999999999</v>
      </c>
      <c r="I603" t="s">
        <v>1954</v>
      </c>
      <c r="J603" t="s">
        <v>1954</v>
      </c>
      <c r="K603">
        <v>218448</v>
      </c>
      <c r="L603">
        <v>2536132</v>
      </c>
      <c r="M603" s="32">
        <v>11.6098</v>
      </c>
      <c r="N603" t="s">
        <v>141</v>
      </c>
      <c r="O603" t="s">
        <v>2172</v>
      </c>
      <c r="P603">
        <v>321.2</v>
      </c>
      <c r="Q603" t="s">
        <v>1958</v>
      </c>
      <c r="R603" t="s">
        <v>21</v>
      </c>
      <c r="S603" t="s">
        <v>22</v>
      </c>
      <c r="T603">
        <f t="shared" si="9"/>
        <v>415236.0399999998</v>
      </c>
    </row>
    <row r="604" spans="1:20" x14ac:dyDescent="0.25">
      <c r="A604" t="s">
        <v>1607</v>
      </c>
      <c r="B604" t="s">
        <v>125</v>
      </c>
      <c r="C604">
        <v>2</v>
      </c>
      <c r="D604">
        <v>56151</v>
      </c>
      <c r="E604" t="s">
        <v>2171</v>
      </c>
      <c r="F604" t="s">
        <v>2120</v>
      </c>
      <c r="G604" s="31">
        <v>0.40529999999999999</v>
      </c>
      <c r="H604" s="31">
        <v>0.33329999999999999</v>
      </c>
      <c r="I604" t="s">
        <v>1954</v>
      </c>
      <c r="J604" t="s">
        <v>1954</v>
      </c>
      <c r="K604">
        <v>218448</v>
      </c>
      <c r="L604">
        <v>2536132</v>
      </c>
      <c r="M604" s="32">
        <v>11.6098</v>
      </c>
      <c r="N604" t="s">
        <v>141</v>
      </c>
      <c r="O604" t="s">
        <v>2172</v>
      </c>
      <c r="P604">
        <v>321.2</v>
      </c>
      <c r="Q604" t="s">
        <v>1958</v>
      </c>
      <c r="R604" t="s">
        <v>21</v>
      </c>
      <c r="S604" t="s">
        <v>22</v>
      </c>
      <c r="T604">
        <f t="shared" si="9"/>
        <v>415557.23999999982</v>
      </c>
    </row>
    <row r="605" spans="1:20" x14ac:dyDescent="0.25">
      <c r="A605" t="s">
        <v>987</v>
      </c>
      <c r="B605" t="s">
        <v>125</v>
      </c>
      <c r="C605">
        <v>1</v>
      </c>
      <c r="D605">
        <v>2404</v>
      </c>
      <c r="E605" t="s">
        <v>988</v>
      </c>
      <c r="F605" t="s">
        <v>241</v>
      </c>
      <c r="G605" s="31">
        <v>1</v>
      </c>
      <c r="H605" s="31">
        <v>1</v>
      </c>
      <c r="I605" t="s">
        <v>1954</v>
      </c>
      <c r="J605" t="s">
        <v>1954</v>
      </c>
      <c r="K605">
        <v>270062</v>
      </c>
      <c r="L605">
        <v>3139010</v>
      </c>
      <c r="M605" s="32">
        <v>11.6233</v>
      </c>
      <c r="N605" t="s">
        <v>352</v>
      </c>
      <c r="O605" t="s">
        <v>989</v>
      </c>
      <c r="P605">
        <v>457.9</v>
      </c>
      <c r="Q605" s="33" t="s">
        <v>1955</v>
      </c>
      <c r="R605" t="s">
        <v>21</v>
      </c>
      <c r="S605" t="s">
        <v>22</v>
      </c>
      <c r="T605">
        <f t="shared" si="9"/>
        <v>416015.13999999984</v>
      </c>
    </row>
    <row r="606" spans="1:20" x14ac:dyDescent="0.25">
      <c r="A606" t="s">
        <v>990</v>
      </c>
      <c r="B606" t="s">
        <v>125</v>
      </c>
      <c r="C606">
        <v>1</v>
      </c>
      <c r="D606">
        <v>2404</v>
      </c>
      <c r="E606" t="s">
        <v>988</v>
      </c>
      <c r="F606" t="s">
        <v>241</v>
      </c>
      <c r="G606" s="31">
        <v>1</v>
      </c>
      <c r="H606" s="31">
        <v>1</v>
      </c>
      <c r="I606" t="s">
        <v>1954</v>
      </c>
      <c r="J606" t="s">
        <v>1954</v>
      </c>
      <c r="K606">
        <v>270062</v>
      </c>
      <c r="L606">
        <v>3139010</v>
      </c>
      <c r="M606" s="32">
        <v>11.6233</v>
      </c>
      <c r="N606" t="s">
        <v>352</v>
      </c>
      <c r="O606" t="s">
        <v>989</v>
      </c>
      <c r="P606">
        <v>457.9</v>
      </c>
      <c r="Q606" s="33" t="s">
        <v>1955</v>
      </c>
      <c r="R606" t="s">
        <v>21</v>
      </c>
      <c r="S606" t="s">
        <v>22</v>
      </c>
      <c r="T606">
        <f t="shared" si="9"/>
        <v>416473.03999999986</v>
      </c>
    </row>
    <row r="607" spans="1:20" x14ac:dyDescent="0.25">
      <c r="A607" t="s">
        <v>991</v>
      </c>
      <c r="B607" t="s">
        <v>125</v>
      </c>
      <c r="C607">
        <v>1</v>
      </c>
      <c r="D607">
        <v>2404</v>
      </c>
      <c r="E607" t="s">
        <v>988</v>
      </c>
      <c r="F607" t="s">
        <v>241</v>
      </c>
      <c r="G607" s="31">
        <v>1</v>
      </c>
      <c r="H607" s="31">
        <v>1</v>
      </c>
      <c r="I607" t="s">
        <v>1954</v>
      </c>
      <c r="J607" t="s">
        <v>1954</v>
      </c>
      <c r="K607">
        <v>270062</v>
      </c>
      <c r="L607">
        <v>3139010</v>
      </c>
      <c r="M607" s="32">
        <v>11.6233</v>
      </c>
      <c r="N607" t="s">
        <v>352</v>
      </c>
      <c r="O607" t="s">
        <v>989</v>
      </c>
      <c r="P607">
        <v>457.9</v>
      </c>
      <c r="Q607" s="33" t="s">
        <v>1955</v>
      </c>
      <c r="R607" t="s">
        <v>21</v>
      </c>
      <c r="S607" t="s">
        <v>22</v>
      </c>
      <c r="T607">
        <f t="shared" si="9"/>
        <v>416930.93999999989</v>
      </c>
    </row>
    <row r="608" spans="1:20" x14ac:dyDescent="0.25">
      <c r="A608" t="s">
        <v>992</v>
      </c>
      <c r="B608" t="s">
        <v>125</v>
      </c>
      <c r="C608">
        <v>1</v>
      </c>
      <c r="D608">
        <v>2404</v>
      </c>
      <c r="E608" t="s">
        <v>988</v>
      </c>
      <c r="F608" t="s">
        <v>241</v>
      </c>
      <c r="G608" s="31">
        <v>1</v>
      </c>
      <c r="H608" s="31">
        <v>1</v>
      </c>
      <c r="I608" t="s">
        <v>1954</v>
      </c>
      <c r="J608" t="s">
        <v>1954</v>
      </c>
      <c r="K608">
        <v>270062</v>
      </c>
      <c r="L608">
        <v>3139010</v>
      </c>
      <c r="M608" s="32">
        <v>11.6233</v>
      </c>
      <c r="N608" t="s">
        <v>352</v>
      </c>
      <c r="O608" t="s">
        <v>989</v>
      </c>
      <c r="P608">
        <v>457.9</v>
      </c>
      <c r="Q608" s="33" t="s">
        <v>1955</v>
      </c>
      <c r="R608" t="s">
        <v>21</v>
      </c>
      <c r="S608" t="s">
        <v>22</v>
      </c>
      <c r="T608">
        <f t="shared" si="9"/>
        <v>417388.83999999991</v>
      </c>
    </row>
    <row r="609" spans="1:20" x14ac:dyDescent="0.25">
      <c r="A609" t="s">
        <v>993</v>
      </c>
      <c r="B609" t="s">
        <v>137</v>
      </c>
      <c r="C609">
        <v>1</v>
      </c>
      <c r="D609">
        <v>2404</v>
      </c>
      <c r="E609" t="s">
        <v>988</v>
      </c>
      <c r="F609" t="s">
        <v>241</v>
      </c>
      <c r="G609" s="31">
        <v>1</v>
      </c>
      <c r="H609" s="31">
        <v>1</v>
      </c>
      <c r="I609" t="s">
        <v>1954</v>
      </c>
      <c r="J609" t="s">
        <v>1954</v>
      </c>
      <c r="K609">
        <v>270062</v>
      </c>
      <c r="L609">
        <v>3139010</v>
      </c>
      <c r="M609" s="32">
        <v>11.6233</v>
      </c>
      <c r="N609" t="s">
        <v>352</v>
      </c>
      <c r="O609" t="s">
        <v>989</v>
      </c>
      <c r="P609">
        <v>457.9</v>
      </c>
      <c r="Q609" s="33" t="s">
        <v>1955</v>
      </c>
      <c r="R609" t="s">
        <v>21</v>
      </c>
      <c r="S609" t="s">
        <v>22</v>
      </c>
      <c r="T609">
        <f t="shared" si="9"/>
        <v>417846.73999999993</v>
      </c>
    </row>
    <row r="610" spans="1:20" x14ac:dyDescent="0.25">
      <c r="A610" t="s">
        <v>994</v>
      </c>
      <c r="B610" t="s">
        <v>137</v>
      </c>
      <c r="C610">
        <v>1</v>
      </c>
      <c r="D610">
        <v>2404</v>
      </c>
      <c r="E610" t="s">
        <v>988</v>
      </c>
      <c r="F610" t="s">
        <v>241</v>
      </c>
      <c r="G610" s="31">
        <v>1</v>
      </c>
      <c r="H610" s="31">
        <v>1</v>
      </c>
      <c r="I610" t="s">
        <v>1954</v>
      </c>
      <c r="J610" t="s">
        <v>1954</v>
      </c>
      <c r="K610">
        <v>270062</v>
      </c>
      <c r="L610">
        <v>3139010</v>
      </c>
      <c r="M610" s="32">
        <v>11.6233</v>
      </c>
      <c r="N610" t="s">
        <v>352</v>
      </c>
      <c r="O610" t="s">
        <v>989</v>
      </c>
      <c r="P610">
        <v>457.9</v>
      </c>
      <c r="Q610" s="33" t="s">
        <v>1955</v>
      </c>
      <c r="R610" t="s">
        <v>21</v>
      </c>
      <c r="S610" t="s">
        <v>22</v>
      </c>
      <c r="T610">
        <f t="shared" si="9"/>
        <v>418304.63999999996</v>
      </c>
    </row>
    <row r="611" spans="1:20" x14ac:dyDescent="0.25">
      <c r="A611" t="s">
        <v>1442</v>
      </c>
      <c r="B611" t="s">
        <v>125</v>
      </c>
      <c r="C611">
        <v>1</v>
      </c>
      <c r="D611">
        <v>7872</v>
      </c>
      <c r="E611" t="s">
        <v>1443</v>
      </c>
      <c r="F611" t="s">
        <v>322</v>
      </c>
      <c r="G611" s="31">
        <v>0.81100000000000005</v>
      </c>
      <c r="H611" s="31">
        <v>0.85699999999999998</v>
      </c>
      <c r="I611" t="s">
        <v>1954</v>
      </c>
      <c r="J611" t="s">
        <v>1954</v>
      </c>
      <c r="K611">
        <v>327867.99800000002</v>
      </c>
      <c r="L611">
        <v>3811569</v>
      </c>
      <c r="M611" s="32">
        <v>11.625299999999999</v>
      </c>
      <c r="N611" t="s">
        <v>130</v>
      </c>
      <c r="O611" t="s">
        <v>119</v>
      </c>
      <c r="P611">
        <v>441</v>
      </c>
      <c r="Q611" s="33" t="s">
        <v>1955</v>
      </c>
      <c r="R611" t="s">
        <v>21</v>
      </c>
      <c r="S611" t="s">
        <v>22</v>
      </c>
      <c r="T611">
        <f t="shared" si="9"/>
        <v>418745.63999999996</v>
      </c>
    </row>
    <row r="612" spans="1:20" x14ac:dyDescent="0.25">
      <c r="A612" t="s">
        <v>1444</v>
      </c>
      <c r="B612" t="s">
        <v>125</v>
      </c>
      <c r="C612">
        <v>1</v>
      </c>
      <c r="D612">
        <v>7872</v>
      </c>
      <c r="E612" t="s">
        <v>1443</v>
      </c>
      <c r="F612" t="s">
        <v>322</v>
      </c>
      <c r="G612" s="31">
        <v>0.81100000000000005</v>
      </c>
      <c r="H612" s="31">
        <v>0.85699999999999998</v>
      </c>
      <c r="I612" t="s">
        <v>1954</v>
      </c>
      <c r="J612" t="s">
        <v>1954</v>
      </c>
      <c r="K612">
        <v>327867.99800000002</v>
      </c>
      <c r="L612">
        <v>3811569</v>
      </c>
      <c r="M612" s="32">
        <v>11.625299999999999</v>
      </c>
      <c r="N612" t="s">
        <v>130</v>
      </c>
      <c r="O612" t="s">
        <v>119</v>
      </c>
      <c r="P612">
        <v>441</v>
      </c>
      <c r="Q612" s="33" t="s">
        <v>1955</v>
      </c>
      <c r="R612" t="s">
        <v>21</v>
      </c>
      <c r="S612" t="s">
        <v>22</v>
      </c>
      <c r="T612">
        <f t="shared" si="9"/>
        <v>419186.63999999996</v>
      </c>
    </row>
    <row r="613" spans="1:20" x14ac:dyDescent="0.25">
      <c r="A613" t="s">
        <v>1445</v>
      </c>
      <c r="B613" t="s">
        <v>125</v>
      </c>
      <c r="C613">
        <v>1</v>
      </c>
      <c r="D613">
        <v>7872</v>
      </c>
      <c r="E613" t="s">
        <v>1443</v>
      </c>
      <c r="F613" t="s">
        <v>322</v>
      </c>
      <c r="G613" s="31">
        <v>0.81100000000000005</v>
      </c>
      <c r="H613" s="31">
        <v>0.85699999999999998</v>
      </c>
      <c r="I613" t="s">
        <v>1954</v>
      </c>
      <c r="J613" t="s">
        <v>1954</v>
      </c>
      <c r="K613">
        <v>327867.99800000002</v>
      </c>
      <c r="L613">
        <v>3811569</v>
      </c>
      <c r="M613" s="32">
        <v>11.625299999999999</v>
      </c>
      <c r="N613" t="s">
        <v>130</v>
      </c>
      <c r="O613" t="s">
        <v>119</v>
      </c>
      <c r="P613">
        <v>441</v>
      </c>
      <c r="Q613" s="33" t="s">
        <v>1955</v>
      </c>
      <c r="R613" t="s">
        <v>21</v>
      </c>
      <c r="S613" t="s">
        <v>22</v>
      </c>
      <c r="T613">
        <f t="shared" si="9"/>
        <v>419627.63999999996</v>
      </c>
    </row>
    <row r="614" spans="1:20" x14ac:dyDescent="0.25">
      <c r="A614" t="s">
        <v>295</v>
      </c>
      <c r="B614" t="s">
        <v>125</v>
      </c>
      <c r="C614">
        <v>1</v>
      </c>
      <c r="D614">
        <v>55164</v>
      </c>
      <c r="E614" t="s">
        <v>296</v>
      </c>
      <c r="F614" t="s">
        <v>266</v>
      </c>
      <c r="G614" s="31">
        <v>1</v>
      </c>
      <c r="H614" s="31">
        <v>1</v>
      </c>
      <c r="I614" t="s">
        <v>1954</v>
      </c>
      <c r="J614" t="s">
        <v>1954</v>
      </c>
      <c r="K614">
        <v>207288.00099999999</v>
      </c>
      <c r="L614">
        <v>2415104</v>
      </c>
      <c r="M614" s="32">
        <v>11.651</v>
      </c>
      <c r="N614" t="s">
        <v>130</v>
      </c>
      <c r="O614" t="s">
        <v>297</v>
      </c>
      <c r="P614">
        <v>495</v>
      </c>
      <c r="Q614" s="33" t="s">
        <v>1955</v>
      </c>
      <c r="R614" t="s">
        <v>21</v>
      </c>
      <c r="S614" t="s">
        <v>22</v>
      </c>
      <c r="T614">
        <f t="shared" si="9"/>
        <v>420122.63999999996</v>
      </c>
    </row>
    <row r="615" spans="1:20" x14ac:dyDescent="0.25">
      <c r="A615" t="s">
        <v>298</v>
      </c>
      <c r="B615" t="s">
        <v>125</v>
      </c>
      <c r="C615">
        <v>1</v>
      </c>
      <c r="D615">
        <v>55164</v>
      </c>
      <c r="E615" t="s">
        <v>296</v>
      </c>
      <c r="F615" t="s">
        <v>266</v>
      </c>
      <c r="G615" s="31">
        <v>1</v>
      </c>
      <c r="H615" s="31">
        <v>1</v>
      </c>
      <c r="I615" t="s">
        <v>1954</v>
      </c>
      <c r="J615" t="s">
        <v>1954</v>
      </c>
      <c r="K615">
        <v>207288.00099999999</v>
      </c>
      <c r="L615">
        <v>2415104</v>
      </c>
      <c r="M615" s="32">
        <v>11.651</v>
      </c>
      <c r="N615" t="s">
        <v>130</v>
      </c>
      <c r="O615" t="s">
        <v>297</v>
      </c>
      <c r="P615">
        <v>495</v>
      </c>
      <c r="Q615" s="33" t="s">
        <v>1955</v>
      </c>
      <c r="R615" t="s">
        <v>21</v>
      </c>
      <c r="S615" t="s">
        <v>22</v>
      </c>
      <c r="T615">
        <f t="shared" si="9"/>
        <v>420617.63999999996</v>
      </c>
    </row>
    <row r="616" spans="1:20" x14ac:dyDescent="0.25">
      <c r="A616" t="s">
        <v>299</v>
      </c>
      <c r="B616" t="s">
        <v>125</v>
      </c>
      <c r="C616">
        <v>1</v>
      </c>
      <c r="D616">
        <v>55164</v>
      </c>
      <c r="E616" t="s">
        <v>296</v>
      </c>
      <c r="F616" t="s">
        <v>266</v>
      </c>
      <c r="G616" s="31">
        <v>1</v>
      </c>
      <c r="H616" s="31">
        <v>1</v>
      </c>
      <c r="I616" t="s">
        <v>1954</v>
      </c>
      <c r="J616" t="s">
        <v>1954</v>
      </c>
      <c r="K616">
        <v>207288.00099999999</v>
      </c>
      <c r="L616">
        <v>2415104</v>
      </c>
      <c r="M616" s="32">
        <v>11.651</v>
      </c>
      <c r="N616" t="s">
        <v>130</v>
      </c>
      <c r="O616" t="s">
        <v>297</v>
      </c>
      <c r="P616">
        <v>495</v>
      </c>
      <c r="Q616" s="33" t="s">
        <v>1955</v>
      </c>
      <c r="R616" t="s">
        <v>21</v>
      </c>
      <c r="S616" t="s">
        <v>22</v>
      </c>
      <c r="T616">
        <f t="shared" si="9"/>
        <v>421112.63999999996</v>
      </c>
    </row>
    <row r="617" spans="1:20" x14ac:dyDescent="0.25">
      <c r="A617" t="s">
        <v>1850</v>
      </c>
      <c r="B617" t="s">
        <v>137</v>
      </c>
      <c r="C617">
        <v>2</v>
      </c>
      <c r="D617">
        <v>4940</v>
      </c>
      <c r="E617" t="s">
        <v>2206</v>
      </c>
      <c r="F617" t="s">
        <v>2063</v>
      </c>
      <c r="G617" s="31">
        <v>0.53</v>
      </c>
      <c r="H617" s="31">
        <v>0.45800000000000002</v>
      </c>
      <c r="I617" t="s">
        <v>1954</v>
      </c>
      <c r="J617" t="s">
        <v>1954</v>
      </c>
      <c r="K617">
        <v>68882</v>
      </c>
      <c r="L617">
        <v>803234</v>
      </c>
      <c r="M617" s="32">
        <v>11.661</v>
      </c>
      <c r="N617" t="s">
        <v>141</v>
      </c>
      <c r="O617" t="s">
        <v>407</v>
      </c>
      <c r="P617">
        <v>158</v>
      </c>
      <c r="Q617" t="s">
        <v>1958</v>
      </c>
      <c r="R617" t="s">
        <v>21</v>
      </c>
      <c r="S617" t="s">
        <v>22</v>
      </c>
      <c r="T617">
        <f t="shared" si="9"/>
        <v>421270.63999999996</v>
      </c>
    </row>
    <row r="618" spans="1:20" x14ac:dyDescent="0.25">
      <c r="A618" t="s">
        <v>1853</v>
      </c>
      <c r="B618" t="s">
        <v>137</v>
      </c>
      <c r="C618">
        <v>2</v>
      </c>
      <c r="D618">
        <v>4940</v>
      </c>
      <c r="E618" t="s">
        <v>2206</v>
      </c>
      <c r="F618" t="s">
        <v>2063</v>
      </c>
      <c r="G618" s="31">
        <v>0.53</v>
      </c>
      <c r="H618" s="31">
        <v>0.45800000000000002</v>
      </c>
      <c r="I618" t="s">
        <v>1954</v>
      </c>
      <c r="J618" t="s">
        <v>1954</v>
      </c>
      <c r="K618">
        <v>68882</v>
      </c>
      <c r="L618">
        <v>803234</v>
      </c>
      <c r="M618" s="32">
        <v>11.661</v>
      </c>
      <c r="N618" t="s">
        <v>141</v>
      </c>
      <c r="O618" t="s">
        <v>407</v>
      </c>
      <c r="P618">
        <v>158</v>
      </c>
      <c r="Q618" t="s">
        <v>1958</v>
      </c>
      <c r="R618" t="s">
        <v>21</v>
      </c>
      <c r="S618" t="s">
        <v>22</v>
      </c>
      <c r="T618">
        <f t="shared" si="9"/>
        <v>421428.63999999996</v>
      </c>
    </row>
    <row r="619" spans="1:20" x14ac:dyDescent="0.25">
      <c r="A619" t="s">
        <v>1854</v>
      </c>
      <c r="B619" t="s">
        <v>137</v>
      </c>
      <c r="C619">
        <v>2</v>
      </c>
      <c r="D619">
        <v>4940</v>
      </c>
      <c r="E619" t="s">
        <v>2206</v>
      </c>
      <c r="F619" t="s">
        <v>2063</v>
      </c>
      <c r="G619" s="31">
        <v>0.53</v>
      </c>
      <c r="H619" s="31">
        <v>0.45800000000000002</v>
      </c>
      <c r="I619" t="s">
        <v>1954</v>
      </c>
      <c r="J619" t="s">
        <v>1954</v>
      </c>
      <c r="K619">
        <v>68882</v>
      </c>
      <c r="L619">
        <v>803234</v>
      </c>
      <c r="M619" s="32">
        <v>11.661</v>
      </c>
      <c r="N619" t="s">
        <v>141</v>
      </c>
      <c r="O619" t="s">
        <v>407</v>
      </c>
      <c r="P619">
        <v>158</v>
      </c>
      <c r="Q619" t="s">
        <v>1958</v>
      </c>
      <c r="R619" t="s">
        <v>21</v>
      </c>
      <c r="S619" t="s">
        <v>22</v>
      </c>
      <c r="T619">
        <f t="shared" si="9"/>
        <v>421586.63999999996</v>
      </c>
    </row>
    <row r="620" spans="1:20" x14ac:dyDescent="0.25">
      <c r="A620" t="s">
        <v>260</v>
      </c>
      <c r="B620" t="s">
        <v>150</v>
      </c>
      <c r="C620">
        <v>1</v>
      </c>
      <c r="D620">
        <v>56531</v>
      </c>
      <c r="E620" t="s">
        <v>1960</v>
      </c>
      <c r="F620" t="s">
        <v>201</v>
      </c>
      <c r="G620" s="31">
        <v>0.44280000000000003</v>
      </c>
      <c r="H620" s="31">
        <v>0.48880000000000001</v>
      </c>
      <c r="I620" t="s">
        <v>1954</v>
      </c>
      <c r="J620" t="s">
        <v>1954</v>
      </c>
      <c r="K620">
        <v>37317</v>
      </c>
      <c r="L620">
        <v>436339</v>
      </c>
      <c r="M620" s="32">
        <v>11.6928</v>
      </c>
      <c r="N620" t="s">
        <v>321</v>
      </c>
      <c r="O620" t="s">
        <v>156</v>
      </c>
      <c r="P620">
        <v>4.8</v>
      </c>
      <c r="Q620" t="s">
        <v>1958</v>
      </c>
      <c r="R620" t="s">
        <v>21</v>
      </c>
      <c r="S620" t="s">
        <v>22</v>
      </c>
      <c r="T620">
        <f t="shared" si="9"/>
        <v>421591.43999999994</v>
      </c>
    </row>
    <row r="621" spans="1:20" x14ac:dyDescent="0.25">
      <c r="A621" t="s">
        <v>318</v>
      </c>
      <c r="B621" t="s">
        <v>150</v>
      </c>
      <c r="C621">
        <v>1</v>
      </c>
      <c r="D621">
        <v>61145</v>
      </c>
      <c r="E621" t="s">
        <v>320</v>
      </c>
      <c r="F621" t="s">
        <v>322</v>
      </c>
      <c r="G621" s="31">
        <v>0.71030000000000004</v>
      </c>
      <c r="H621" s="31">
        <v>0.75629999999999997</v>
      </c>
      <c r="I621" t="s">
        <v>1954</v>
      </c>
      <c r="J621" t="s">
        <v>1954</v>
      </c>
      <c r="K621">
        <v>26363</v>
      </c>
      <c r="L621">
        <v>309357</v>
      </c>
      <c r="M621" s="32">
        <v>11.734500000000001</v>
      </c>
      <c r="N621" t="s">
        <v>321</v>
      </c>
      <c r="O621" t="s">
        <v>323</v>
      </c>
      <c r="P621">
        <v>4.5</v>
      </c>
      <c r="Q621" s="33" t="s">
        <v>1956</v>
      </c>
      <c r="R621" t="s">
        <v>21</v>
      </c>
      <c r="S621" t="s">
        <v>22</v>
      </c>
      <c r="T621">
        <f t="shared" si="9"/>
        <v>421595.93999999994</v>
      </c>
    </row>
    <row r="622" spans="1:20" x14ac:dyDescent="0.25">
      <c r="A622" t="s">
        <v>1045</v>
      </c>
      <c r="B622" t="s">
        <v>150</v>
      </c>
      <c r="C622">
        <v>1</v>
      </c>
      <c r="D622">
        <v>56512</v>
      </c>
      <c r="E622" t="s">
        <v>2095</v>
      </c>
      <c r="F622" t="s">
        <v>143</v>
      </c>
      <c r="G622" s="31">
        <v>0.42480000000000001</v>
      </c>
      <c r="H622" s="31">
        <v>0.4708</v>
      </c>
      <c r="I622" t="s">
        <v>1954</v>
      </c>
      <c r="J622" t="s">
        <v>1954</v>
      </c>
      <c r="K622">
        <v>10418</v>
      </c>
      <c r="L622">
        <v>122333</v>
      </c>
      <c r="M622" s="32">
        <v>11.7425</v>
      </c>
      <c r="N622" t="s">
        <v>321</v>
      </c>
      <c r="O622" t="s">
        <v>368</v>
      </c>
      <c r="P622">
        <v>3.2</v>
      </c>
      <c r="Q622" t="s">
        <v>1958</v>
      </c>
      <c r="R622" t="s">
        <v>21</v>
      </c>
      <c r="S622" t="s">
        <v>22</v>
      </c>
      <c r="T622">
        <f t="shared" si="9"/>
        <v>421599.13999999996</v>
      </c>
    </row>
    <row r="623" spans="1:20" x14ac:dyDescent="0.25">
      <c r="A623" t="s">
        <v>607</v>
      </c>
      <c r="B623" t="s">
        <v>137</v>
      </c>
      <c r="C623">
        <v>2</v>
      </c>
      <c r="D623">
        <v>7845</v>
      </c>
      <c r="E623" t="s">
        <v>2028</v>
      </c>
      <c r="F623" t="s">
        <v>2029</v>
      </c>
      <c r="G623" s="31">
        <v>0.50390000000000001</v>
      </c>
      <c r="H623" s="31">
        <v>0.54990000000000006</v>
      </c>
      <c r="I623" t="s">
        <v>1954</v>
      </c>
      <c r="J623" t="s">
        <v>1954</v>
      </c>
      <c r="K623">
        <v>59284</v>
      </c>
      <c r="L623">
        <v>696374</v>
      </c>
      <c r="M623" s="32">
        <v>11.7464</v>
      </c>
      <c r="N623" t="s">
        <v>130</v>
      </c>
      <c r="O623" t="s">
        <v>2030</v>
      </c>
      <c r="P623">
        <v>882</v>
      </c>
      <c r="Q623" t="s">
        <v>1958</v>
      </c>
      <c r="R623" t="s">
        <v>21</v>
      </c>
      <c r="S623" t="s">
        <v>22</v>
      </c>
      <c r="T623">
        <f t="shared" si="9"/>
        <v>422481.13999999996</v>
      </c>
    </row>
    <row r="624" spans="1:20" x14ac:dyDescent="0.25">
      <c r="A624" t="s">
        <v>610</v>
      </c>
      <c r="B624" t="s">
        <v>137</v>
      </c>
      <c r="C624">
        <v>2</v>
      </c>
      <c r="D624">
        <v>7845</v>
      </c>
      <c r="E624" t="s">
        <v>2028</v>
      </c>
      <c r="F624" t="s">
        <v>2029</v>
      </c>
      <c r="G624" s="31">
        <v>0.50390000000000001</v>
      </c>
      <c r="H624" s="31">
        <v>0.54990000000000006</v>
      </c>
      <c r="I624" t="s">
        <v>1954</v>
      </c>
      <c r="J624" t="s">
        <v>1954</v>
      </c>
      <c r="K624">
        <v>59284</v>
      </c>
      <c r="L624">
        <v>696374</v>
      </c>
      <c r="M624" s="32">
        <v>11.7464</v>
      </c>
      <c r="N624" t="s">
        <v>130</v>
      </c>
      <c r="O624" t="s">
        <v>2030</v>
      </c>
      <c r="P624">
        <v>882</v>
      </c>
      <c r="Q624" t="s">
        <v>1958</v>
      </c>
      <c r="R624" t="s">
        <v>21</v>
      </c>
      <c r="S624" t="s">
        <v>22</v>
      </c>
      <c r="T624">
        <f t="shared" si="9"/>
        <v>423363.13999999996</v>
      </c>
    </row>
    <row r="625" spans="1:20" x14ac:dyDescent="0.25">
      <c r="A625" t="s">
        <v>611</v>
      </c>
      <c r="B625" t="s">
        <v>137</v>
      </c>
      <c r="C625">
        <v>2</v>
      </c>
      <c r="D625">
        <v>7845</v>
      </c>
      <c r="E625" t="s">
        <v>2028</v>
      </c>
      <c r="F625" t="s">
        <v>2029</v>
      </c>
      <c r="G625" s="31">
        <v>0.50390000000000001</v>
      </c>
      <c r="H625" s="31">
        <v>0.54990000000000006</v>
      </c>
      <c r="I625" t="s">
        <v>1954</v>
      </c>
      <c r="J625" t="s">
        <v>1954</v>
      </c>
      <c r="K625">
        <v>59284</v>
      </c>
      <c r="L625">
        <v>696374</v>
      </c>
      <c r="M625" s="32">
        <v>11.7464</v>
      </c>
      <c r="N625" t="s">
        <v>130</v>
      </c>
      <c r="O625" t="s">
        <v>2030</v>
      </c>
      <c r="P625">
        <v>882</v>
      </c>
      <c r="Q625" t="s">
        <v>1958</v>
      </c>
      <c r="R625" t="s">
        <v>21</v>
      </c>
      <c r="S625" t="s">
        <v>22</v>
      </c>
      <c r="T625">
        <f t="shared" si="9"/>
        <v>424245.13999999996</v>
      </c>
    </row>
    <row r="626" spans="1:20" x14ac:dyDescent="0.25">
      <c r="A626" t="s">
        <v>612</v>
      </c>
      <c r="B626" t="s">
        <v>137</v>
      </c>
      <c r="C626">
        <v>2</v>
      </c>
      <c r="D626">
        <v>7845</v>
      </c>
      <c r="E626" t="s">
        <v>2028</v>
      </c>
      <c r="F626" t="s">
        <v>2029</v>
      </c>
      <c r="G626" s="31">
        <v>0.50390000000000001</v>
      </c>
      <c r="H626" s="31">
        <v>0.54990000000000006</v>
      </c>
      <c r="I626" t="s">
        <v>1954</v>
      </c>
      <c r="J626" t="s">
        <v>1954</v>
      </c>
      <c r="K626">
        <v>59284</v>
      </c>
      <c r="L626">
        <v>696374</v>
      </c>
      <c r="M626" s="32">
        <v>11.7464</v>
      </c>
      <c r="N626" t="s">
        <v>130</v>
      </c>
      <c r="O626" t="s">
        <v>2030</v>
      </c>
      <c r="P626">
        <v>882</v>
      </c>
      <c r="Q626" t="s">
        <v>1958</v>
      </c>
      <c r="R626" t="s">
        <v>21</v>
      </c>
      <c r="S626" t="s">
        <v>22</v>
      </c>
      <c r="T626">
        <f t="shared" si="9"/>
        <v>425127.13999999996</v>
      </c>
    </row>
    <row r="627" spans="1:20" x14ac:dyDescent="0.25">
      <c r="A627" t="s">
        <v>318</v>
      </c>
      <c r="B627" t="s">
        <v>150</v>
      </c>
      <c r="C627">
        <v>2</v>
      </c>
      <c r="D627">
        <v>57582</v>
      </c>
      <c r="E627" t="s">
        <v>1970</v>
      </c>
      <c r="F627" t="s">
        <v>143</v>
      </c>
      <c r="G627" s="31">
        <v>0.40429999999999999</v>
      </c>
      <c r="H627" s="31">
        <v>0.45029999999999998</v>
      </c>
      <c r="I627" t="s">
        <v>1954</v>
      </c>
      <c r="J627" t="s">
        <v>1954</v>
      </c>
      <c r="K627">
        <v>22701</v>
      </c>
      <c r="L627">
        <v>266943</v>
      </c>
      <c r="M627" s="32">
        <v>11.7591</v>
      </c>
      <c r="N627" t="s">
        <v>321</v>
      </c>
      <c r="O627" t="s">
        <v>308</v>
      </c>
      <c r="P627">
        <v>3</v>
      </c>
      <c r="Q627" t="s">
        <v>1958</v>
      </c>
      <c r="R627" t="s">
        <v>21</v>
      </c>
      <c r="S627" t="s">
        <v>22</v>
      </c>
      <c r="T627">
        <f t="shared" si="9"/>
        <v>425130.13999999996</v>
      </c>
    </row>
    <row r="628" spans="1:20" x14ac:dyDescent="0.25">
      <c r="A628" t="s">
        <v>706</v>
      </c>
      <c r="B628" t="s">
        <v>150</v>
      </c>
      <c r="C628">
        <v>2</v>
      </c>
      <c r="D628">
        <v>57582</v>
      </c>
      <c r="E628" t="s">
        <v>1970</v>
      </c>
      <c r="F628" t="s">
        <v>143</v>
      </c>
      <c r="G628" s="31">
        <v>0.40760000000000002</v>
      </c>
      <c r="H628" s="31">
        <v>0.4536</v>
      </c>
      <c r="I628" t="s">
        <v>1954</v>
      </c>
      <c r="J628" t="s">
        <v>1954</v>
      </c>
      <c r="K628">
        <v>22701</v>
      </c>
      <c r="L628">
        <v>266943</v>
      </c>
      <c r="M628" s="32">
        <v>11.7591</v>
      </c>
      <c r="N628" t="s">
        <v>321</v>
      </c>
      <c r="O628" t="s">
        <v>308</v>
      </c>
      <c r="P628">
        <v>3</v>
      </c>
      <c r="Q628" t="s">
        <v>1958</v>
      </c>
      <c r="R628" t="s">
        <v>21</v>
      </c>
      <c r="S628" t="s">
        <v>22</v>
      </c>
      <c r="T628">
        <f t="shared" si="9"/>
        <v>425133.13999999996</v>
      </c>
    </row>
    <row r="629" spans="1:20" x14ac:dyDescent="0.25">
      <c r="A629" t="s">
        <v>982</v>
      </c>
      <c r="B629" t="s">
        <v>150</v>
      </c>
      <c r="C629">
        <v>2</v>
      </c>
      <c r="D629">
        <v>57582</v>
      </c>
      <c r="E629" t="s">
        <v>1970</v>
      </c>
      <c r="F629" t="s">
        <v>143</v>
      </c>
      <c r="G629" s="31">
        <v>0.41120000000000001</v>
      </c>
      <c r="H629" s="31">
        <v>0.4572</v>
      </c>
      <c r="I629" t="s">
        <v>1954</v>
      </c>
      <c r="J629" t="s">
        <v>1954</v>
      </c>
      <c r="K629">
        <v>22701</v>
      </c>
      <c r="L629">
        <v>266943</v>
      </c>
      <c r="M629" s="32">
        <v>11.7591</v>
      </c>
      <c r="N629" t="s">
        <v>321</v>
      </c>
      <c r="O629" t="s">
        <v>308</v>
      </c>
      <c r="P629">
        <v>3</v>
      </c>
      <c r="Q629" t="s">
        <v>1958</v>
      </c>
      <c r="R629" t="s">
        <v>21</v>
      </c>
      <c r="S629" t="s">
        <v>22</v>
      </c>
      <c r="T629">
        <f t="shared" si="9"/>
        <v>425136.13999999996</v>
      </c>
    </row>
    <row r="630" spans="1:20" x14ac:dyDescent="0.25">
      <c r="A630" t="s">
        <v>1448</v>
      </c>
      <c r="B630" t="s">
        <v>150</v>
      </c>
      <c r="C630">
        <v>1</v>
      </c>
      <c r="D630">
        <v>57582</v>
      </c>
      <c r="E630" t="s">
        <v>1970</v>
      </c>
      <c r="F630" t="s">
        <v>143</v>
      </c>
      <c r="G630" s="31">
        <v>0.42080000000000001</v>
      </c>
      <c r="H630" s="31">
        <v>0.46679999999999999</v>
      </c>
      <c r="I630" t="s">
        <v>1954</v>
      </c>
      <c r="J630" t="s">
        <v>1954</v>
      </c>
      <c r="K630">
        <v>22701</v>
      </c>
      <c r="L630">
        <v>266943</v>
      </c>
      <c r="M630" s="32">
        <v>11.7591</v>
      </c>
      <c r="N630" t="s">
        <v>321</v>
      </c>
      <c r="O630" t="s">
        <v>308</v>
      </c>
      <c r="P630">
        <v>3</v>
      </c>
      <c r="Q630" t="s">
        <v>1958</v>
      </c>
      <c r="R630" t="s">
        <v>21</v>
      </c>
      <c r="S630" t="s">
        <v>22</v>
      </c>
      <c r="T630">
        <f t="shared" si="9"/>
        <v>425139.13999999996</v>
      </c>
    </row>
    <row r="631" spans="1:20" x14ac:dyDescent="0.25">
      <c r="A631" t="s">
        <v>1265</v>
      </c>
      <c r="B631" t="s">
        <v>194</v>
      </c>
      <c r="C631">
        <v>1</v>
      </c>
      <c r="D631">
        <v>3138</v>
      </c>
      <c r="E631" t="s">
        <v>1262</v>
      </c>
      <c r="F631" t="s">
        <v>143</v>
      </c>
      <c r="G631" s="31">
        <v>0.75</v>
      </c>
      <c r="H631" s="31">
        <v>0.79600000000000004</v>
      </c>
      <c r="I631" t="s">
        <v>1954</v>
      </c>
      <c r="J631" t="s">
        <v>1954</v>
      </c>
      <c r="K631">
        <v>62</v>
      </c>
      <c r="L631">
        <v>732</v>
      </c>
      <c r="M631" s="32">
        <v>11.8065</v>
      </c>
      <c r="N631" t="s">
        <v>199</v>
      </c>
      <c r="O631" t="s">
        <v>1266</v>
      </c>
      <c r="P631">
        <v>5</v>
      </c>
      <c r="Q631" s="33" t="s">
        <v>1956</v>
      </c>
      <c r="R631" t="s">
        <v>21</v>
      </c>
      <c r="S631" t="s">
        <v>22</v>
      </c>
      <c r="T631">
        <f t="shared" si="9"/>
        <v>425144.13999999996</v>
      </c>
    </row>
    <row r="632" spans="1:20" x14ac:dyDescent="0.25">
      <c r="A632" t="s">
        <v>1065</v>
      </c>
      <c r="B632" t="s">
        <v>137</v>
      </c>
      <c r="C632">
        <v>3</v>
      </c>
      <c r="D632">
        <v>6071</v>
      </c>
      <c r="E632" t="s">
        <v>1989</v>
      </c>
      <c r="F632" t="s">
        <v>266</v>
      </c>
      <c r="G632" s="31">
        <v>0.54500000000000004</v>
      </c>
      <c r="H632" s="31">
        <v>0.59099999999999997</v>
      </c>
      <c r="I632" t="s">
        <v>1954</v>
      </c>
      <c r="J632" t="s">
        <v>1954</v>
      </c>
      <c r="K632">
        <v>1034434</v>
      </c>
      <c r="L632">
        <v>12254344</v>
      </c>
      <c r="M632" s="32">
        <v>11.846399999999999</v>
      </c>
      <c r="N632" t="s">
        <v>141</v>
      </c>
      <c r="O632" t="s">
        <v>2100</v>
      </c>
      <c r="P632">
        <v>954</v>
      </c>
      <c r="Q632" t="s">
        <v>1958</v>
      </c>
      <c r="R632" t="s">
        <v>21</v>
      </c>
      <c r="S632" t="s">
        <v>22</v>
      </c>
      <c r="T632">
        <f t="shared" si="9"/>
        <v>426098.13999999996</v>
      </c>
    </row>
    <row r="633" spans="1:20" x14ac:dyDescent="0.25">
      <c r="A633" t="s">
        <v>1068</v>
      </c>
      <c r="B633" t="s">
        <v>137</v>
      </c>
      <c r="C633">
        <v>3</v>
      </c>
      <c r="D633">
        <v>6071</v>
      </c>
      <c r="E633" t="s">
        <v>1989</v>
      </c>
      <c r="F633" t="s">
        <v>266</v>
      </c>
      <c r="G633" s="31">
        <v>0.54500000000000004</v>
      </c>
      <c r="H633" s="31">
        <v>0.59099999999999997</v>
      </c>
      <c r="I633" t="s">
        <v>1954</v>
      </c>
      <c r="J633" t="s">
        <v>1954</v>
      </c>
      <c r="K633">
        <v>1034434</v>
      </c>
      <c r="L633">
        <v>12254344</v>
      </c>
      <c r="M633" s="32">
        <v>11.846399999999999</v>
      </c>
      <c r="N633" t="s">
        <v>141</v>
      </c>
      <c r="O633" t="s">
        <v>2100</v>
      </c>
      <c r="P633">
        <v>954</v>
      </c>
      <c r="Q633" t="s">
        <v>1958</v>
      </c>
      <c r="R633" t="s">
        <v>21</v>
      </c>
      <c r="S633" t="s">
        <v>22</v>
      </c>
      <c r="T633">
        <f t="shared" si="9"/>
        <v>427052.13999999996</v>
      </c>
    </row>
    <row r="634" spans="1:20" x14ac:dyDescent="0.25">
      <c r="A634" t="s">
        <v>1069</v>
      </c>
      <c r="B634" t="s">
        <v>137</v>
      </c>
      <c r="C634">
        <v>3</v>
      </c>
      <c r="D634">
        <v>6071</v>
      </c>
      <c r="E634" t="s">
        <v>1989</v>
      </c>
      <c r="F634" t="s">
        <v>266</v>
      </c>
      <c r="G634" s="31">
        <v>0.54500000000000004</v>
      </c>
      <c r="H634" s="31">
        <v>0.59099999999999997</v>
      </c>
      <c r="I634" t="s">
        <v>1954</v>
      </c>
      <c r="J634" t="s">
        <v>1954</v>
      </c>
      <c r="K634">
        <v>1034434</v>
      </c>
      <c r="L634">
        <v>12254344</v>
      </c>
      <c r="M634" s="32">
        <v>11.846399999999999</v>
      </c>
      <c r="N634" t="s">
        <v>141</v>
      </c>
      <c r="O634" t="s">
        <v>2100</v>
      </c>
      <c r="P634">
        <v>954</v>
      </c>
      <c r="Q634" t="s">
        <v>1958</v>
      </c>
      <c r="R634" t="s">
        <v>21</v>
      </c>
      <c r="S634" t="s">
        <v>22</v>
      </c>
      <c r="T634">
        <f t="shared" si="9"/>
        <v>428006.13999999996</v>
      </c>
    </row>
    <row r="635" spans="1:20" x14ac:dyDescent="0.25">
      <c r="A635" t="s">
        <v>1070</v>
      </c>
      <c r="B635" t="s">
        <v>137</v>
      </c>
      <c r="C635">
        <v>3</v>
      </c>
      <c r="D635">
        <v>6071</v>
      </c>
      <c r="E635" t="s">
        <v>1989</v>
      </c>
      <c r="F635" t="s">
        <v>266</v>
      </c>
      <c r="G635" s="31">
        <v>0.54500000000000004</v>
      </c>
      <c r="H635" s="31">
        <v>0.59099999999999997</v>
      </c>
      <c r="I635" t="s">
        <v>1954</v>
      </c>
      <c r="J635" t="s">
        <v>1954</v>
      </c>
      <c r="K635">
        <v>1034434</v>
      </c>
      <c r="L635">
        <v>12254344</v>
      </c>
      <c r="M635" s="32">
        <v>11.846399999999999</v>
      </c>
      <c r="N635" t="s">
        <v>141</v>
      </c>
      <c r="O635" t="s">
        <v>2100</v>
      </c>
      <c r="P635">
        <v>954</v>
      </c>
      <c r="Q635" t="s">
        <v>1958</v>
      </c>
      <c r="R635" t="s">
        <v>21</v>
      </c>
      <c r="S635" t="s">
        <v>22</v>
      </c>
      <c r="T635">
        <f t="shared" si="9"/>
        <v>428960.13999999996</v>
      </c>
    </row>
    <row r="636" spans="1:20" x14ac:dyDescent="0.25">
      <c r="A636" t="s">
        <v>1071</v>
      </c>
      <c r="B636" t="s">
        <v>137</v>
      </c>
      <c r="C636">
        <v>3</v>
      </c>
      <c r="D636">
        <v>6071</v>
      </c>
      <c r="E636" t="s">
        <v>1989</v>
      </c>
      <c r="F636" t="s">
        <v>266</v>
      </c>
      <c r="G636" s="31">
        <v>0.54500000000000004</v>
      </c>
      <c r="H636" s="31">
        <v>0.59099999999999997</v>
      </c>
      <c r="I636" t="s">
        <v>1954</v>
      </c>
      <c r="J636" t="s">
        <v>1954</v>
      </c>
      <c r="K636">
        <v>1034434</v>
      </c>
      <c r="L636">
        <v>12254344</v>
      </c>
      <c r="M636" s="32">
        <v>11.846399999999999</v>
      </c>
      <c r="N636" t="s">
        <v>141</v>
      </c>
      <c r="O636" t="s">
        <v>2100</v>
      </c>
      <c r="P636">
        <v>954</v>
      </c>
      <c r="Q636" t="s">
        <v>1958</v>
      </c>
      <c r="R636" t="s">
        <v>21</v>
      </c>
      <c r="S636" t="s">
        <v>22</v>
      </c>
      <c r="T636">
        <f t="shared" si="9"/>
        <v>429914.13999999996</v>
      </c>
    </row>
    <row r="637" spans="1:20" x14ac:dyDescent="0.25">
      <c r="A637" t="s">
        <v>1072</v>
      </c>
      <c r="B637" t="s">
        <v>137</v>
      </c>
      <c r="C637">
        <v>3</v>
      </c>
      <c r="D637">
        <v>6071</v>
      </c>
      <c r="E637" t="s">
        <v>1989</v>
      </c>
      <c r="F637" t="s">
        <v>266</v>
      </c>
      <c r="G637" s="31">
        <v>0.54500000000000004</v>
      </c>
      <c r="H637" s="31">
        <v>0.59099999999999997</v>
      </c>
      <c r="I637" t="s">
        <v>1954</v>
      </c>
      <c r="J637" t="s">
        <v>1954</v>
      </c>
      <c r="K637">
        <v>1034434</v>
      </c>
      <c r="L637">
        <v>12254344</v>
      </c>
      <c r="M637" s="32">
        <v>11.846399999999999</v>
      </c>
      <c r="N637" t="s">
        <v>141</v>
      </c>
      <c r="O637" t="s">
        <v>2100</v>
      </c>
      <c r="P637">
        <v>954</v>
      </c>
      <c r="Q637" t="s">
        <v>1958</v>
      </c>
      <c r="R637" t="s">
        <v>21</v>
      </c>
      <c r="S637" t="s">
        <v>22</v>
      </c>
      <c r="T637">
        <f t="shared" si="9"/>
        <v>430868.13999999996</v>
      </c>
    </row>
    <row r="638" spans="1:20" x14ac:dyDescent="0.25">
      <c r="A638" t="s">
        <v>1073</v>
      </c>
      <c r="B638" t="s">
        <v>137</v>
      </c>
      <c r="C638">
        <v>3</v>
      </c>
      <c r="D638">
        <v>6071</v>
      </c>
      <c r="E638" t="s">
        <v>1989</v>
      </c>
      <c r="F638" t="s">
        <v>266</v>
      </c>
      <c r="G638" s="31">
        <v>0.54500000000000004</v>
      </c>
      <c r="H638" s="31">
        <v>0.59099999999999997</v>
      </c>
      <c r="I638" t="s">
        <v>1954</v>
      </c>
      <c r="J638" t="s">
        <v>1954</v>
      </c>
      <c r="K638">
        <v>1034434</v>
      </c>
      <c r="L638">
        <v>12254344</v>
      </c>
      <c r="M638" s="32">
        <v>11.846399999999999</v>
      </c>
      <c r="N638" t="s">
        <v>141</v>
      </c>
      <c r="O638" t="s">
        <v>2100</v>
      </c>
      <c r="P638">
        <v>954</v>
      </c>
      <c r="Q638" t="s">
        <v>1958</v>
      </c>
      <c r="R638" t="s">
        <v>21</v>
      </c>
      <c r="S638" t="s">
        <v>22</v>
      </c>
      <c r="T638">
        <f t="shared" si="9"/>
        <v>431822.13999999996</v>
      </c>
    </row>
    <row r="639" spans="1:20" x14ac:dyDescent="0.25">
      <c r="A639" t="s">
        <v>1074</v>
      </c>
      <c r="B639" t="s">
        <v>137</v>
      </c>
      <c r="C639">
        <v>3</v>
      </c>
      <c r="D639">
        <v>6071</v>
      </c>
      <c r="E639" t="s">
        <v>1989</v>
      </c>
      <c r="F639" t="s">
        <v>266</v>
      </c>
      <c r="G639" s="31">
        <v>0.54500000000000004</v>
      </c>
      <c r="H639" s="31">
        <v>0.59099999999999997</v>
      </c>
      <c r="I639" t="s">
        <v>1954</v>
      </c>
      <c r="J639" t="s">
        <v>1954</v>
      </c>
      <c r="K639">
        <v>1034434</v>
      </c>
      <c r="L639">
        <v>12254344</v>
      </c>
      <c r="M639" s="32">
        <v>11.846399999999999</v>
      </c>
      <c r="N639" t="s">
        <v>141</v>
      </c>
      <c r="O639" t="s">
        <v>2100</v>
      </c>
      <c r="P639">
        <v>954</v>
      </c>
      <c r="Q639" t="s">
        <v>1958</v>
      </c>
      <c r="R639" t="s">
        <v>21</v>
      </c>
      <c r="S639" t="s">
        <v>22</v>
      </c>
      <c r="T639">
        <f t="shared" si="9"/>
        <v>432776.13999999996</v>
      </c>
    </row>
    <row r="640" spans="1:20" x14ac:dyDescent="0.25">
      <c r="A640" t="s">
        <v>304</v>
      </c>
      <c r="B640" t="s">
        <v>109</v>
      </c>
      <c r="C640">
        <v>1</v>
      </c>
      <c r="D640">
        <v>602</v>
      </c>
      <c r="E640" t="s">
        <v>306</v>
      </c>
      <c r="F640" t="s">
        <v>307</v>
      </c>
      <c r="G640" s="31">
        <v>1</v>
      </c>
      <c r="H640" s="31">
        <v>1</v>
      </c>
      <c r="I640" t="s">
        <v>1954</v>
      </c>
      <c r="J640" t="s">
        <v>1954</v>
      </c>
      <c r="K640">
        <v>2293558.0410000002</v>
      </c>
      <c r="L640">
        <v>27255313</v>
      </c>
      <c r="M640" s="32">
        <v>11.8834</v>
      </c>
      <c r="N640" t="s">
        <v>116</v>
      </c>
      <c r="O640" t="s">
        <v>308</v>
      </c>
      <c r="P640">
        <v>1273</v>
      </c>
      <c r="Q640" s="33" t="s">
        <v>1955</v>
      </c>
      <c r="R640" t="s">
        <v>21</v>
      </c>
      <c r="S640" t="s">
        <v>22</v>
      </c>
      <c r="T640">
        <f t="shared" si="9"/>
        <v>434049.13999999996</v>
      </c>
    </row>
    <row r="641" spans="1:20" x14ac:dyDescent="0.25">
      <c r="A641" t="s">
        <v>309</v>
      </c>
      <c r="B641" t="s">
        <v>109</v>
      </c>
      <c r="C641">
        <v>1</v>
      </c>
      <c r="D641">
        <v>602</v>
      </c>
      <c r="E641" t="s">
        <v>306</v>
      </c>
      <c r="F641" t="s">
        <v>307</v>
      </c>
      <c r="G641" s="31">
        <v>1</v>
      </c>
      <c r="H641" s="31">
        <v>1</v>
      </c>
      <c r="I641" t="s">
        <v>1954</v>
      </c>
      <c r="J641" t="s">
        <v>1954</v>
      </c>
      <c r="K641">
        <v>2293558.0410000002</v>
      </c>
      <c r="L641">
        <v>27255313</v>
      </c>
      <c r="M641" s="32">
        <v>11.8834</v>
      </c>
      <c r="N641" t="s">
        <v>116</v>
      </c>
      <c r="O641" t="s">
        <v>308</v>
      </c>
      <c r="P641">
        <v>1273</v>
      </c>
      <c r="Q641" s="33" t="s">
        <v>1955</v>
      </c>
      <c r="R641" t="s">
        <v>21</v>
      </c>
      <c r="S641" t="s">
        <v>22</v>
      </c>
      <c r="T641">
        <f t="shared" si="9"/>
        <v>435322.13999999996</v>
      </c>
    </row>
    <row r="642" spans="1:20" x14ac:dyDescent="0.25">
      <c r="A642" t="s">
        <v>1335</v>
      </c>
      <c r="B642" t="s">
        <v>194</v>
      </c>
      <c r="C642">
        <v>2</v>
      </c>
      <c r="D642">
        <v>7845</v>
      </c>
      <c r="E642" t="s">
        <v>2028</v>
      </c>
      <c r="F642" t="s">
        <v>2029</v>
      </c>
      <c r="G642" s="31">
        <v>0.54500000000000004</v>
      </c>
      <c r="H642" s="31">
        <v>0.56299999999999994</v>
      </c>
      <c r="I642" t="s">
        <v>1976</v>
      </c>
      <c r="J642" t="s">
        <v>1954</v>
      </c>
      <c r="K642">
        <v>31.936</v>
      </c>
      <c r="L642">
        <v>380</v>
      </c>
      <c r="M642" s="32">
        <v>11.8988</v>
      </c>
      <c r="N642" t="s">
        <v>584</v>
      </c>
      <c r="P642">
        <v>0</v>
      </c>
      <c r="Q642" t="s">
        <v>1958</v>
      </c>
      <c r="R642" t="s">
        <v>21</v>
      </c>
      <c r="S642" t="s">
        <v>22</v>
      </c>
      <c r="T642">
        <f t="shared" si="9"/>
        <v>435322.13999999996</v>
      </c>
    </row>
    <row r="643" spans="1:20" x14ac:dyDescent="0.25">
      <c r="A643" t="s">
        <v>483</v>
      </c>
      <c r="B643" t="s">
        <v>109</v>
      </c>
      <c r="C643">
        <v>1</v>
      </c>
      <c r="D643">
        <v>10143</v>
      </c>
      <c r="E643" t="s">
        <v>2013</v>
      </c>
      <c r="F643" t="s">
        <v>143</v>
      </c>
      <c r="G643" s="31">
        <v>0.54090000000000005</v>
      </c>
      <c r="H643" s="31">
        <v>0.58689999999999998</v>
      </c>
      <c r="I643" t="s">
        <v>1954</v>
      </c>
      <c r="J643" t="s">
        <v>1954</v>
      </c>
      <c r="K643">
        <v>724370.94099999999</v>
      </c>
      <c r="L643">
        <v>8627061</v>
      </c>
      <c r="M643" s="32">
        <v>11.909700000000001</v>
      </c>
      <c r="N643" t="s">
        <v>662</v>
      </c>
      <c r="O643" t="s">
        <v>485</v>
      </c>
      <c r="P643">
        <v>110</v>
      </c>
      <c r="Q643" t="s">
        <v>1958</v>
      </c>
      <c r="R643" t="s">
        <v>21</v>
      </c>
      <c r="S643" t="s">
        <v>22</v>
      </c>
      <c r="T643">
        <f t="shared" si="9"/>
        <v>435432.13999999996</v>
      </c>
    </row>
    <row r="644" spans="1:20" x14ac:dyDescent="0.25">
      <c r="A644" t="s">
        <v>1133</v>
      </c>
      <c r="B644" t="s">
        <v>150</v>
      </c>
      <c r="C644">
        <v>1</v>
      </c>
      <c r="D644">
        <v>57411</v>
      </c>
      <c r="E644" t="s">
        <v>1134</v>
      </c>
      <c r="F644" t="s">
        <v>322</v>
      </c>
      <c r="G644" s="31">
        <v>0.66659999999999997</v>
      </c>
      <c r="H644" s="31">
        <v>0.71260000000000001</v>
      </c>
      <c r="I644" t="s">
        <v>1954</v>
      </c>
      <c r="J644" t="s">
        <v>1954</v>
      </c>
      <c r="K644">
        <v>27413</v>
      </c>
      <c r="L644">
        <v>327802</v>
      </c>
      <c r="M644" s="32">
        <v>11.9579</v>
      </c>
      <c r="N644" t="s">
        <v>321</v>
      </c>
      <c r="O644" t="s">
        <v>805</v>
      </c>
      <c r="P644">
        <v>4</v>
      </c>
      <c r="Q644" s="33" t="s">
        <v>1956</v>
      </c>
      <c r="R644" t="s">
        <v>21</v>
      </c>
      <c r="S644" t="s">
        <v>22</v>
      </c>
      <c r="T644">
        <f t="shared" ref="T644:T707" si="10">T643+P644</f>
        <v>435436.13999999996</v>
      </c>
    </row>
    <row r="645" spans="1:20" x14ac:dyDescent="0.25">
      <c r="A645" t="s">
        <v>149</v>
      </c>
      <c r="B645" t="s">
        <v>150</v>
      </c>
      <c r="C645">
        <v>1</v>
      </c>
      <c r="D645">
        <v>57014</v>
      </c>
      <c r="E645" t="s">
        <v>1957</v>
      </c>
      <c r="F645" t="s">
        <v>143</v>
      </c>
      <c r="G645" s="31">
        <v>0.4375</v>
      </c>
      <c r="H645" s="31">
        <v>0.48349999999999999</v>
      </c>
      <c r="I645" t="s">
        <v>1954</v>
      </c>
      <c r="J645" t="s">
        <v>1954</v>
      </c>
      <c r="K645">
        <v>36439</v>
      </c>
      <c r="L645">
        <v>436339</v>
      </c>
      <c r="M645" s="32">
        <v>11.974500000000001</v>
      </c>
      <c r="N645" t="s">
        <v>321</v>
      </c>
      <c r="O645" t="s">
        <v>156</v>
      </c>
      <c r="P645">
        <v>4.8</v>
      </c>
      <c r="Q645" t="s">
        <v>1958</v>
      </c>
      <c r="R645" t="s">
        <v>21</v>
      </c>
      <c r="S645" t="s">
        <v>22</v>
      </c>
      <c r="T645">
        <f t="shared" si="10"/>
        <v>435440.93999999994</v>
      </c>
    </row>
    <row r="646" spans="1:20" x14ac:dyDescent="0.25">
      <c r="A646" t="s">
        <v>1261</v>
      </c>
      <c r="B646" t="s">
        <v>189</v>
      </c>
      <c r="C646">
        <v>1</v>
      </c>
      <c r="D646">
        <v>3138</v>
      </c>
      <c r="E646" t="s">
        <v>1262</v>
      </c>
      <c r="F646" t="s">
        <v>143</v>
      </c>
      <c r="G646" s="31">
        <v>1</v>
      </c>
      <c r="H646" s="31">
        <v>1</v>
      </c>
      <c r="I646" t="s">
        <v>1954</v>
      </c>
      <c r="J646" t="s">
        <v>1954</v>
      </c>
      <c r="K646">
        <v>695342</v>
      </c>
      <c r="L646">
        <v>8352664</v>
      </c>
      <c r="M646" s="32">
        <v>12.0123</v>
      </c>
      <c r="N646" t="s">
        <v>265</v>
      </c>
      <c r="O646" t="s">
        <v>673</v>
      </c>
      <c r="P646">
        <v>326.3</v>
      </c>
      <c r="Q646" s="33" t="s">
        <v>1955</v>
      </c>
      <c r="R646" t="s">
        <v>21</v>
      </c>
      <c r="S646" t="s">
        <v>22</v>
      </c>
      <c r="T646">
        <f t="shared" si="10"/>
        <v>435767.23999999993</v>
      </c>
    </row>
    <row r="647" spans="1:20" x14ac:dyDescent="0.25">
      <c r="A647" t="s">
        <v>1263</v>
      </c>
      <c r="B647" t="s">
        <v>189</v>
      </c>
      <c r="C647">
        <v>1</v>
      </c>
      <c r="D647">
        <v>3138</v>
      </c>
      <c r="E647" t="s">
        <v>1262</v>
      </c>
      <c r="F647" t="s">
        <v>143</v>
      </c>
      <c r="G647" s="31">
        <v>1</v>
      </c>
      <c r="H647" s="31">
        <v>1</v>
      </c>
      <c r="I647" t="s">
        <v>1954</v>
      </c>
      <c r="J647" t="s">
        <v>1954</v>
      </c>
      <c r="K647">
        <v>695342</v>
      </c>
      <c r="L647">
        <v>8352664</v>
      </c>
      <c r="M647" s="32">
        <v>12.0123</v>
      </c>
      <c r="N647" t="s">
        <v>265</v>
      </c>
      <c r="O647" t="s">
        <v>673</v>
      </c>
      <c r="P647">
        <v>326.3</v>
      </c>
      <c r="Q647" s="33" t="s">
        <v>1955</v>
      </c>
      <c r="R647" t="s">
        <v>21</v>
      </c>
      <c r="S647" t="s">
        <v>22</v>
      </c>
      <c r="T647">
        <f t="shared" si="10"/>
        <v>436093.53999999992</v>
      </c>
    </row>
    <row r="648" spans="1:20" x14ac:dyDescent="0.25">
      <c r="A648" t="s">
        <v>1264</v>
      </c>
      <c r="B648" t="s">
        <v>189</v>
      </c>
      <c r="C648">
        <v>1</v>
      </c>
      <c r="D648">
        <v>3138</v>
      </c>
      <c r="E648" t="s">
        <v>1262</v>
      </c>
      <c r="F648" t="s">
        <v>143</v>
      </c>
      <c r="G648" s="31">
        <v>1</v>
      </c>
      <c r="H648" s="31">
        <v>1</v>
      </c>
      <c r="I648" t="s">
        <v>1954</v>
      </c>
      <c r="J648" t="s">
        <v>1954</v>
      </c>
      <c r="K648">
        <v>695342</v>
      </c>
      <c r="L648">
        <v>8352664</v>
      </c>
      <c r="M648" s="32">
        <v>12.0123</v>
      </c>
      <c r="N648" t="s">
        <v>265</v>
      </c>
      <c r="O648" t="s">
        <v>673</v>
      </c>
      <c r="P648">
        <v>326.3</v>
      </c>
      <c r="Q648" s="33" t="s">
        <v>1955</v>
      </c>
      <c r="R648" t="s">
        <v>21</v>
      </c>
      <c r="S648" t="s">
        <v>22</v>
      </c>
      <c r="T648">
        <f t="shared" si="10"/>
        <v>436419.83999999991</v>
      </c>
    </row>
    <row r="649" spans="1:20" x14ac:dyDescent="0.25">
      <c r="A649" t="s">
        <v>1261</v>
      </c>
      <c r="B649" t="s">
        <v>189</v>
      </c>
      <c r="C649">
        <v>2</v>
      </c>
      <c r="D649">
        <v>6156</v>
      </c>
      <c r="E649" t="s">
        <v>2118</v>
      </c>
      <c r="F649" t="s">
        <v>2071</v>
      </c>
      <c r="G649" s="31">
        <v>0.52370000000000005</v>
      </c>
      <c r="H649" s="31">
        <v>0.45169999999999999</v>
      </c>
      <c r="I649" t="s">
        <v>1954</v>
      </c>
      <c r="J649" t="s">
        <v>1954</v>
      </c>
      <c r="K649">
        <v>102832</v>
      </c>
      <c r="L649">
        <v>1235378</v>
      </c>
      <c r="M649" s="32">
        <v>12.0136</v>
      </c>
      <c r="N649" t="s">
        <v>671</v>
      </c>
      <c r="O649" t="s">
        <v>267</v>
      </c>
      <c r="P649">
        <v>432.6</v>
      </c>
      <c r="Q649" t="s">
        <v>1958</v>
      </c>
      <c r="R649" t="s">
        <v>21</v>
      </c>
      <c r="S649" t="s">
        <v>22</v>
      </c>
      <c r="T649">
        <f t="shared" si="10"/>
        <v>436852.43999999989</v>
      </c>
    </row>
    <row r="650" spans="1:20" x14ac:dyDescent="0.25">
      <c r="A650" t="s">
        <v>1263</v>
      </c>
      <c r="B650" t="s">
        <v>189</v>
      </c>
      <c r="C650">
        <v>2</v>
      </c>
      <c r="D650">
        <v>6156</v>
      </c>
      <c r="E650" t="s">
        <v>2118</v>
      </c>
      <c r="F650" t="s">
        <v>2071</v>
      </c>
      <c r="G650" s="31">
        <v>0.52370000000000005</v>
      </c>
      <c r="H650" s="31">
        <v>0.45169999999999999</v>
      </c>
      <c r="I650" t="s">
        <v>1954</v>
      </c>
      <c r="J650" t="s">
        <v>1954</v>
      </c>
      <c r="K650">
        <v>102832</v>
      </c>
      <c r="L650">
        <v>1235378</v>
      </c>
      <c r="M650" s="32">
        <v>12.0136</v>
      </c>
      <c r="N650" t="s">
        <v>671</v>
      </c>
      <c r="O650" t="s">
        <v>267</v>
      </c>
      <c r="P650">
        <v>432.6</v>
      </c>
      <c r="Q650" t="s">
        <v>1958</v>
      </c>
      <c r="R650" t="s">
        <v>21</v>
      </c>
      <c r="S650" t="s">
        <v>22</v>
      </c>
      <c r="T650">
        <f t="shared" si="10"/>
        <v>437285.03999999986</v>
      </c>
    </row>
    <row r="651" spans="1:20" x14ac:dyDescent="0.25">
      <c r="A651" t="s">
        <v>1264</v>
      </c>
      <c r="B651" t="s">
        <v>189</v>
      </c>
      <c r="C651">
        <v>2</v>
      </c>
      <c r="D651">
        <v>6156</v>
      </c>
      <c r="E651" t="s">
        <v>2118</v>
      </c>
      <c r="F651" t="s">
        <v>2071</v>
      </c>
      <c r="G651" s="31">
        <v>0.52370000000000005</v>
      </c>
      <c r="H651" s="31">
        <v>0.45169999999999999</v>
      </c>
      <c r="I651" t="s">
        <v>1954</v>
      </c>
      <c r="J651" t="s">
        <v>1954</v>
      </c>
      <c r="K651">
        <v>102832</v>
      </c>
      <c r="L651">
        <v>1235378</v>
      </c>
      <c r="M651" s="32">
        <v>12.0136</v>
      </c>
      <c r="N651" t="s">
        <v>671</v>
      </c>
      <c r="O651" t="s">
        <v>267</v>
      </c>
      <c r="P651">
        <v>432.6</v>
      </c>
      <c r="Q651" t="s">
        <v>1958</v>
      </c>
      <c r="R651" t="s">
        <v>21</v>
      </c>
      <c r="S651" t="s">
        <v>22</v>
      </c>
      <c r="T651">
        <f t="shared" si="10"/>
        <v>437717.63999999984</v>
      </c>
    </row>
    <row r="652" spans="1:20" x14ac:dyDescent="0.25">
      <c r="A652" t="s">
        <v>914</v>
      </c>
      <c r="B652" t="s">
        <v>125</v>
      </c>
      <c r="C652">
        <v>1</v>
      </c>
      <c r="D652">
        <v>10870</v>
      </c>
      <c r="E652" t="s">
        <v>915</v>
      </c>
      <c r="F652" t="s">
        <v>143</v>
      </c>
      <c r="G652" s="31">
        <v>1</v>
      </c>
      <c r="H652" s="31">
        <v>1</v>
      </c>
      <c r="I652" t="s">
        <v>1954</v>
      </c>
      <c r="J652" t="s">
        <v>1954</v>
      </c>
      <c r="K652">
        <v>8095.9979999999996</v>
      </c>
      <c r="L652">
        <v>97273</v>
      </c>
      <c r="M652" s="32">
        <v>12.014900000000001</v>
      </c>
      <c r="N652" t="s">
        <v>130</v>
      </c>
      <c r="O652" t="s">
        <v>916</v>
      </c>
      <c r="P652">
        <v>145.6</v>
      </c>
      <c r="Q652" s="33" t="s">
        <v>1955</v>
      </c>
      <c r="R652" t="s">
        <v>21</v>
      </c>
      <c r="S652" t="s">
        <v>22</v>
      </c>
      <c r="T652">
        <f t="shared" si="10"/>
        <v>437863.23999999982</v>
      </c>
    </row>
    <row r="653" spans="1:20" x14ac:dyDescent="0.25">
      <c r="A653" t="s">
        <v>917</v>
      </c>
      <c r="B653" t="s">
        <v>125</v>
      </c>
      <c r="C653">
        <v>1</v>
      </c>
      <c r="D653">
        <v>10870</v>
      </c>
      <c r="E653" t="s">
        <v>915</v>
      </c>
      <c r="F653" t="s">
        <v>143</v>
      </c>
      <c r="G653" s="31">
        <v>1</v>
      </c>
      <c r="H653" s="31">
        <v>1</v>
      </c>
      <c r="I653" t="s">
        <v>1954</v>
      </c>
      <c r="J653" t="s">
        <v>1954</v>
      </c>
      <c r="K653">
        <v>8095.9979999999996</v>
      </c>
      <c r="L653">
        <v>97273</v>
      </c>
      <c r="M653" s="32">
        <v>12.014900000000001</v>
      </c>
      <c r="N653" t="s">
        <v>130</v>
      </c>
      <c r="O653" t="s">
        <v>916</v>
      </c>
      <c r="P653">
        <v>145.6</v>
      </c>
      <c r="Q653" s="33" t="s">
        <v>1955</v>
      </c>
      <c r="R653" t="s">
        <v>21</v>
      </c>
      <c r="S653" t="s">
        <v>22</v>
      </c>
      <c r="T653">
        <f t="shared" si="10"/>
        <v>438008.83999999979</v>
      </c>
    </row>
    <row r="654" spans="1:20" x14ac:dyDescent="0.25">
      <c r="A654" t="s">
        <v>918</v>
      </c>
      <c r="B654" t="s">
        <v>125</v>
      </c>
      <c r="C654">
        <v>1</v>
      </c>
      <c r="D654">
        <v>10870</v>
      </c>
      <c r="E654" t="s">
        <v>915</v>
      </c>
      <c r="F654" t="s">
        <v>143</v>
      </c>
      <c r="G654" s="31">
        <v>1</v>
      </c>
      <c r="H654" s="31">
        <v>1</v>
      </c>
      <c r="I654" t="s">
        <v>1954</v>
      </c>
      <c r="J654" t="s">
        <v>1954</v>
      </c>
      <c r="K654">
        <v>8095.9979999999996</v>
      </c>
      <c r="L654">
        <v>97273</v>
      </c>
      <c r="M654" s="32">
        <v>12.014900000000001</v>
      </c>
      <c r="N654" t="s">
        <v>130</v>
      </c>
      <c r="O654" t="s">
        <v>916</v>
      </c>
      <c r="P654">
        <v>145.6</v>
      </c>
      <c r="Q654" s="33" t="s">
        <v>1955</v>
      </c>
      <c r="R654" t="s">
        <v>21</v>
      </c>
      <c r="S654" t="s">
        <v>22</v>
      </c>
      <c r="T654">
        <f t="shared" si="10"/>
        <v>438154.43999999977</v>
      </c>
    </row>
    <row r="655" spans="1:20" x14ac:dyDescent="0.25">
      <c r="A655" t="s">
        <v>919</v>
      </c>
      <c r="B655" t="s">
        <v>125</v>
      </c>
      <c r="C655">
        <v>1</v>
      </c>
      <c r="D655">
        <v>10870</v>
      </c>
      <c r="E655" t="s">
        <v>915</v>
      </c>
      <c r="F655" t="s">
        <v>143</v>
      </c>
      <c r="G655" s="31">
        <v>0.65900000000000003</v>
      </c>
      <c r="H655" s="31">
        <v>0.70499999999999996</v>
      </c>
      <c r="I655" t="s">
        <v>1954</v>
      </c>
      <c r="J655" t="s">
        <v>1954</v>
      </c>
      <c r="K655">
        <v>8095.9979999999996</v>
      </c>
      <c r="L655">
        <v>97273</v>
      </c>
      <c r="M655" s="32">
        <v>12.014900000000001</v>
      </c>
      <c r="N655" t="s">
        <v>130</v>
      </c>
      <c r="O655" t="s">
        <v>916</v>
      </c>
      <c r="P655">
        <v>145.6</v>
      </c>
      <c r="Q655" s="33" t="s">
        <v>1956</v>
      </c>
      <c r="R655" t="s">
        <v>21</v>
      </c>
      <c r="S655" t="s">
        <v>22</v>
      </c>
      <c r="T655">
        <f t="shared" si="10"/>
        <v>438300.03999999975</v>
      </c>
    </row>
    <row r="656" spans="1:20" x14ac:dyDescent="0.25">
      <c r="A656" t="s">
        <v>603</v>
      </c>
      <c r="B656" t="s">
        <v>125</v>
      </c>
      <c r="C656">
        <v>1</v>
      </c>
      <c r="D656">
        <v>1572</v>
      </c>
      <c r="E656" t="s">
        <v>604</v>
      </c>
      <c r="F656" t="s">
        <v>307</v>
      </c>
      <c r="G656" s="31">
        <v>0.65590000000000004</v>
      </c>
      <c r="H656" s="31">
        <v>0.70189999999999997</v>
      </c>
      <c r="I656" t="s">
        <v>1954</v>
      </c>
      <c r="J656" t="s">
        <v>1954</v>
      </c>
      <c r="K656">
        <v>237150</v>
      </c>
      <c r="L656">
        <v>2850692</v>
      </c>
      <c r="M656" s="32">
        <v>12.0206</v>
      </c>
      <c r="N656" t="s">
        <v>130</v>
      </c>
      <c r="O656" t="s">
        <v>605</v>
      </c>
      <c r="P656">
        <v>299</v>
      </c>
      <c r="Q656" s="33" t="s">
        <v>1956</v>
      </c>
      <c r="R656" t="s">
        <v>21</v>
      </c>
      <c r="S656" t="s">
        <v>22</v>
      </c>
      <c r="T656">
        <f t="shared" si="10"/>
        <v>438599.03999999975</v>
      </c>
    </row>
    <row r="657" spans="1:20" x14ac:dyDescent="0.25">
      <c r="A657" t="s">
        <v>606</v>
      </c>
      <c r="B657" t="s">
        <v>125</v>
      </c>
      <c r="C657">
        <v>1</v>
      </c>
      <c r="D657">
        <v>1572</v>
      </c>
      <c r="E657" t="s">
        <v>604</v>
      </c>
      <c r="F657" t="s">
        <v>307</v>
      </c>
      <c r="G657" s="31">
        <v>0.65590000000000004</v>
      </c>
      <c r="H657" s="31">
        <v>0.70189999999999997</v>
      </c>
      <c r="I657" t="s">
        <v>1954</v>
      </c>
      <c r="J657" t="s">
        <v>1954</v>
      </c>
      <c r="K657">
        <v>237150</v>
      </c>
      <c r="L657">
        <v>2850692</v>
      </c>
      <c r="M657" s="32">
        <v>12.0206</v>
      </c>
      <c r="N657" t="s">
        <v>130</v>
      </c>
      <c r="O657" t="s">
        <v>605</v>
      </c>
      <c r="P657">
        <v>299</v>
      </c>
      <c r="Q657" s="33" t="s">
        <v>1956</v>
      </c>
      <c r="R657" t="s">
        <v>21</v>
      </c>
      <c r="S657" t="s">
        <v>22</v>
      </c>
      <c r="T657">
        <f t="shared" si="10"/>
        <v>438898.03999999975</v>
      </c>
    </row>
    <row r="658" spans="1:20" x14ac:dyDescent="0.25">
      <c r="A658" t="s">
        <v>807</v>
      </c>
      <c r="B658" t="s">
        <v>244</v>
      </c>
      <c r="C658">
        <v>1</v>
      </c>
      <c r="D658">
        <v>2393</v>
      </c>
      <c r="E658" t="s">
        <v>808</v>
      </c>
      <c r="F658" t="s">
        <v>241</v>
      </c>
      <c r="G658" s="31">
        <v>1</v>
      </c>
      <c r="H658" s="31">
        <v>1</v>
      </c>
      <c r="I658" t="s">
        <v>1954</v>
      </c>
      <c r="J658" t="s">
        <v>1954</v>
      </c>
      <c r="K658">
        <v>62284</v>
      </c>
      <c r="L658">
        <v>749295</v>
      </c>
      <c r="M658" s="32">
        <v>12.0303</v>
      </c>
      <c r="N658" t="s">
        <v>331</v>
      </c>
      <c r="O658" t="s">
        <v>810</v>
      </c>
      <c r="P658">
        <v>302.5</v>
      </c>
      <c r="Q658" s="33" t="s">
        <v>1955</v>
      </c>
      <c r="R658" t="s">
        <v>21</v>
      </c>
      <c r="S658" t="s">
        <v>22</v>
      </c>
      <c r="T658">
        <f t="shared" si="10"/>
        <v>439200.53999999975</v>
      </c>
    </row>
    <row r="659" spans="1:20" x14ac:dyDescent="0.25">
      <c r="A659" t="s">
        <v>811</v>
      </c>
      <c r="B659" t="s">
        <v>244</v>
      </c>
      <c r="C659">
        <v>1</v>
      </c>
      <c r="D659">
        <v>2393</v>
      </c>
      <c r="E659" t="s">
        <v>808</v>
      </c>
      <c r="F659" t="s">
        <v>241</v>
      </c>
      <c r="G659" s="31">
        <v>1</v>
      </c>
      <c r="H659" s="31">
        <v>1</v>
      </c>
      <c r="I659" t="s">
        <v>1954</v>
      </c>
      <c r="J659" t="s">
        <v>1954</v>
      </c>
      <c r="K659">
        <v>62284</v>
      </c>
      <c r="L659">
        <v>749295</v>
      </c>
      <c r="M659" s="32">
        <v>12.0303</v>
      </c>
      <c r="N659" t="s">
        <v>331</v>
      </c>
      <c r="O659" t="s">
        <v>810</v>
      </c>
      <c r="P659">
        <v>302.5</v>
      </c>
      <c r="Q659" s="33" t="s">
        <v>1955</v>
      </c>
      <c r="R659" t="s">
        <v>21</v>
      </c>
      <c r="S659" t="s">
        <v>22</v>
      </c>
      <c r="T659">
        <f t="shared" si="10"/>
        <v>439503.03999999975</v>
      </c>
    </row>
    <row r="660" spans="1:20" x14ac:dyDescent="0.25">
      <c r="A660" t="s">
        <v>812</v>
      </c>
      <c r="B660" t="s">
        <v>244</v>
      </c>
      <c r="C660">
        <v>1</v>
      </c>
      <c r="D660">
        <v>2393</v>
      </c>
      <c r="E660" t="s">
        <v>808</v>
      </c>
      <c r="F660" t="s">
        <v>241</v>
      </c>
      <c r="G660" s="31">
        <v>1</v>
      </c>
      <c r="H660" s="31">
        <v>1</v>
      </c>
      <c r="I660" t="s">
        <v>1954</v>
      </c>
      <c r="J660" t="s">
        <v>1954</v>
      </c>
      <c r="K660">
        <v>62284</v>
      </c>
      <c r="L660">
        <v>749295</v>
      </c>
      <c r="M660" s="32">
        <v>12.0303</v>
      </c>
      <c r="N660" t="s">
        <v>331</v>
      </c>
      <c r="O660" t="s">
        <v>810</v>
      </c>
      <c r="P660">
        <v>302.5</v>
      </c>
      <c r="Q660" s="33" t="s">
        <v>1955</v>
      </c>
      <c r="R660" t="s">
        <v>21</v>
      </c>
      <c r="S660" t="s">
        <v>22</v>
      </c>
      <c r="T660">
        <f t="shared" si="10"/>
        <v>439805.53999999975</v>
      </c>
    </row>
    <row r="661" spans="1:20" x14ac:dyDescent="0.25">
      <c r="A661" t="s">
        <v>813</v>
      </c>
      <c r="B661" t="s">
        <v>244</v>
      </c>
      <c r="C661">
        <v>1</v>
      </c>
      <c r="D661">
        <v>2393</v>
      </c>
      <c r="E661" t="s">
        <v>808</v>
      </c>
      <c r="F661" t="s">
        <v>241</v>
      </c>
      <c r="G661" s="31">
        <v>1</v>
      </c>
      <c r="H661" s="31">
        <v>1</v>
      </c>
      <c r="I661" t="s">
        <v>1954</v>
      </c>
      <c r="J661" t="s">
        <v>1954</v>
      </c>
      <c r="K661">
        <v>62284</v>
      </c>
      <c r="L661">
        <v>749295</v>
      </c>
      <c r="M661" s="32">
        <v>12.0303</v>
      </c>
      <c r="N661" t="s">
        <v>331</v>
      </c>
      <c r="O661" t="s">
        <v>810</v>
      </c>
      <c r="P661">
        <v>302.5</v>
      </c>
      <c r="Q661" s="33" t="s">
        <v>1955</v>
      </c>
      <c r="R661" t="s">
        <v>21</v>
      </c>
      <c r="S661" t="s">
        <v>22</v>
      </c>
      <c r="T661">
        <f t="shared" si="10"/>
        <v>440108.03999999975</v>
      </c>
    </row>
    <row r="662" spans="1:20" x14ac:dyDescent="0.25">
      <c r="A662" t="s">
        <v>814</v>
      </c>
      <c r="B662" t="s">
        <v>244</v>
      </c>
      <c r="C662">
        <v>1</v>
      </c>
      <c r="D662">
        <v>2393</v>
      </c>
      <c r="E662" t="s">
        <v>808</v>
      </c>
      <c r="F662" t="s">
        <v>241</v>
      </c>
      <c r="G662" s="31">
        <v>1</v>
      </c>
      <c r="H662" s="31">
        <v>1</v>
      </c>
      <c r="I662" t="s">
        <v>1954</v>
      </c>
      <c r="J662" t="s">
        <v>1954</v>
      </c>
      <c r="K662">
        <v>62284</v>
      </c>
      <c r="L662">
        <v>749295</v>
      </c>
      <c r="M662" s="32">
        <v>12.0303</v>
      </c>
      <c r="N662" t="s">
        <v>331</v>
      </c>
      <c r="O662" t="s">
        <v>810</v>
      </c>
      <c r="P662">
        <v>302.5</v>
      </c>
      <c r="Q662" s="33" t="s">
        <v>1955</v>
      </c>
      <c r="R662" t="s">
        <v>21</v>
      </c>
      <c r="S662" t="s">
        <v>22</v>
      </c>
      <c r="T662">
        <f t="shared" si="10"/>
        <v>440410.53999999975</v>
      </c>
    </row>
    <row r="663" spans="1:20" x14ac:dyDescent="0.25">
      <c r="A663" t="s">
        <v>329</v>
      </c>
      <c r="B663" t="s">
        <v>244</v>
      </c>
      <c r="C663">
        <v>1</v>
      </c>
      <c r="D663">
        <v>3096</v>
      </c>
      <c r="E663" t="s">
        <v>330</v>
      </c>
      <c r="F663" t="s">
        <v>143</v>
      </c>
      <c r="G663" s="31">
        <v>0.77270000000000005</v>
      </c>
      <c r="H663" s="31">
        <v>0.81869999999999998</v>
      </c>
      <c r="I663" t="s">
        <v>1954</v>
      </c>
      <c r="J663" t="s">
        <v>1954</v>
      </c>
      <c r="K663">
        <v>44516</v>
      </c>
      <c r="L663">
        <v>537040</v>
      </c>
      <c r="M663" s="32">
        <v>12.064</v>
      </c>
      <c r="N663" t="s">
        <v>331</v>
      </c>
      <c r="O663" t="s">
        <v>333</v>
      </c>
      <c r="P663">
        <v>243.5</v>
      </c>
      <c r="Q663" s="33" t="s">
        <v>1956</v>
      </c>
      <c r="R663" t="s">
        <v>21</v>
      </c>
      <c r="S663" t="s">
        <v>22</v>
      </c>
      <c r="T663">
        <f t="shared" si="10"/>
        <v>440654.03999999975</v>
      </c>
    </row>
    <row r="664" spans="1:20" x14ac:dyDescent="0.25">
      <c r="A664" t="s">
        <v>335</v>
      </c>
      <c r="B664" t="s">
        <v>244</v>
      </c>
      <c r="C664">
        <v>1</v>
      </c>
      <c r="D664">
        <v>3096</v>
      </c>
      <c r="E664" t="s">
        <v>330</v>
      </c>
      <c r="F664" t="s">
        <v>143</v>
      </c>
      <c r="G664" s="31">
        <v>0.76759999999999995</v>
      </c>
      <c r="H664" s="31">
        <v>0.81359999999999999</v>
      </c>
      <c r="I664" t="s">
        <v>1954</v>
      </c>
      <c r="J664" t="s">
        <v>1954</v>
      </c>
      <c r="K664">
        <v>44516</v>
      </c>
      <c r="L664">
        <v>537040</v>
      </c>
      <c r="M664" s="32">
        <v>12.064</v>
      </c>
      <c r="N664" t="s">
        <v>331</v>
      </c>
      <c r="O664" t="s">
        <v>333</v>
      </c>
      <c r="P664">
        <v>243.5</v>
      </c>
      <c r="Q664" s="33" t="s">
        <v>1956</v>
      </c>
      <c r="R664" t="s">
        <v>21</v>
      </c>
      <c r="S664" t="s">
        <v>22</v>
      </c>
      <c r="T664">
        <f t="shared" si="10"/>
        <v>440897.53999999975</v>
      </c>
    </row>
    <row r="665" spans="1:20" x14ac:dyDescent="0.25">
      <c r="A665" t="s">
        <v>336</v>
      </c>
      <c r="B665" t="s">
        <v>244</v>
      </c>
      <c r="C665">
        <v>1</v>
      </c>
      <c r="D665">
        <v>3096</v>
      </c>
      <c r="E665" t="s">
        <v>330</v>
      </c>
      <c r="F665" t="s">
        <v>143</v>
      </c>
      <c r="G665" s="31">
        <v>0.76759999999999995</v>
      </c>
      <c r="H665" s="31">
        <v>0.81359999999999999</v>
      </c>
      <c r="I665" t="s">
        <v>1954</v>
      </c>
      <c r="J665" t="s">
        <v>1954</v>
      </c>
      <c r="K665">
        <v>44516</v>
      </c>
      <c r="L665">
        <v>537040</v>
      </c>
      <c r="M665" s="32">
        <v>12.064</v>
      </c>
      <c r="N665" t="s">
        <v>331</v>
      </c>
      <c r="O665" t="s">
        <v>333</v>
      </c>
      <c r="P665">
        <v>243.5</v>
      </c>
      <c r="Q665" s="33" t="s">
        <v>1956</v>
      </c>
      <c r="R665" t="s">
        <v>21</v>
      </c>
      <c r="S665" t="s">
        <v>22</v>
      </c>
      <c r="T665">
        <f t="shared" si="10"/>
        <v>441141.03999999975</v>
      </c>
    </row>
    <row r="666" spans="1:20" x14ac:dyDescent="0.25">
      <c r="A666" t="s">
        <v>337</v>
      </c>
      <c r="B666" t="s">
        <v>244</v>
      </c>
      <c r="C666">
        <v>1</v>
      </c>
      <c r="D666">
        <v>3096</v>
      </c>
      <c r="E666" t="s">
        <v>330</v>
      </c>
      <c r="F666" t="s">
        <v>143</v>
      </c>
      <c r="G666" s="31">
        <v>0.77270000000000005</v>
      </c>
      <c r="H666" s="31">
        <v>0.81869999999999998</v>
      </c>
      <c r="I666" t="s">
        <v>1954</v>
      </c>
      <c r="J666" t="s">
        <v>1954</v>
      </c>
      <c r="K666">
        <v>44516</v>
      </c>
      <c r="L666">
        <v>537040</v>
      </c>
      <c r="M666" s="32">
        <v>12.064</v>
      </c>
      <c r="N666" t="s">
        <v>331</v>
      </c>
      <c r="O666" t="s">
        <v>333</v>
      </c>
      <c r="P666">
        <v>243.5</v>
      </c>
      <c r="Q666" s="33" t="s">
        <v>1956</v>
      </c>
      <c r="R666" t="s">
        <v>21</v>
      </c>
      <c r="S666" t="s">
        <v>22</v>
      </c>
      <c r="T666">
        <f t="shared" si="10"/>
        <v>441384.53999999975</v>
      </c>
    </row>
    <row r="667" spans="1:20" x14ac:dyDescent="0.25">
      <c r="A667" t="s">
        <v>1358</v>
      </c>
      <c r="B667" t="s">
        <v>244</v>
      </c>
      <c r="C667">
        <v>1</v>
      </c>
      <c r="D667">
        <v>3096</v>
      </c>
      <c r="E667" t="s">
        <v>330</v>
      </c>
      <c r="F667" t="s">
        <v>143</v>
      </c>
      <c r="G667" s="31">
        <v>0.39829999999999999</v>
      </c>
      <c r="H667" s="31">
        <v>0.44429999999999997</v>
      </c>
      <c r="I667" t="s">
        <v>1954</v>
      </c>
      <c r="J667" t="s">
        <v>1954</v>
      </c>
      <c r="K667">
        <v>44516</v>
      </c>
      <c r="L667">
        <v>537040</v>
      </c>
      <c r="M667" s="32">
        <v>12.064</v>
      </c>
      <c r="N667" t="s">
        <v>331</v>
      </c>
      <c r="O667" t="s">
        <v>333</v>
      </c>
      <c r="P667">
        <v>243.5</v>
      </c>
      <c r="Q667" t="s">
        <v>1958</v>
      </c>
      <c r="R667" t="s">
        <v>21</v>
      </c>
      <c r="S667" t="s">
        <v>22</v>
      </c>
      <c r="T667">
        <f t="shared" si="10"/>
        <v>441628.03999999975</v>
      </c>
    </row>
    <row r="668" spans="1:20" x14ac:dyDescent="0.25">
      <c r="A668" t="s">
        <v>1360</v>
      </c>
      <c r="B668" t="s">
        <v>244</v>
      </c>
      <c r="C668">
        <v>1</v>
      </c>
      <c r="D668">
        <v>3096</v>
      </c>
      <c r="E668" t="s">
        <v>330</v>
      </c>
      <c r="F668" t="s">
        <v>143</v>
      </c>
      <c r="G668" s="31">
        <v>0.39829999999999999</v>
      </c>
      <c r="H668" s="31">
        <v>0.44429999999999997</v>
      </c>
      <c r="I668" t="s">
        <v>1954</v>
      </c>
      <c r="J668" t="s">
        <v>1954</v>
      </c>
      <c r="K668">
        <v>44516</v>
      </c>
      <c r="L668">
        <v>537040</v>
      </c>
      <c r="M668" s="32">
        <v>12.064</v>
      </c>
      <c r="N668" t="s">
        <v>331</v>
      </c>
      <c r="O668" t="s">
        <v>333</v>
      </c>
      <c r="P668">
        <v>243.5</v>
      </c>
      <c r="Q668" t="s">
        <v>1958</v>
      </c>
      <c r="R668" t="s">
        <v>21</v>
      </c>
      <c r="S668" t="s">
        <v>22</v>
      </c>
      <c r="T668">
        <f t="shared" si="10"/>
        <v>441871.53999999975</v>
      </c>
    </row>
    <row r="669" spans="1:20" x14ac:dyDescent="0.25">
      <c r="A669" t="s">
        <v>1361</v>
      </c>
      <c r="B669" t="s">
        <v>244</v>
      </c>
      <c r="C669">
        <v>1</v>
      </c>
      <c r="D669">
        <v>3096</v>
      </c>
      <c r="E669" t="s">
        <v>330</v>
      </c>
      <c r="F669" t="s">
        <v>143</v>
      </c>
      <c r="G669" s="31">
        <v>0.39829999999999999</v>
      </c>
      <c r="H669" s="31">
        <v>0.44429999999999997</v>
      </c>
      <c r="I669" t="s">
        <v>1954</v>
      </c>
      <c r="J669" t="s">
        <v>1954</v>
      </c>
      <c r="K669">
        <v>44516</v>
      </c>
      <c r="L669">
        <v>537040</v>
      </c>
      <c r="M669" s="32">
        <v>12.064</v>
      </c>
      <c r="N669" t="s">
        <v>331</v>
      </c>
      <c r="O669" t="s">
        <v>333</v>
      </c>
      <c r="P669">
        <v>243.5</v>
      </c>
      <c r="Q669" t="s">
        <v>1958</v>
      </c>
      <c r="R669" t="s">
        <v>21</v>
      </c>
      <c r="S669" t="s">
        <v>22</v>
      </c>
      <c r="T669">
        <f t="shared" si="10"/>
        <v>442115.03999999975</v>
      </c>
    </row>
    <row r="670" spans="1:20" x14ac:dyDescent="0.25">
      <c r="A670" t="s">
        <v>1016</v>
      </c>
      <c r="B670" t="s">
        <v>109</v>
      </c>
      <c r="C670">
        <v>1</v>
      </c>
      <c r="D670">
        <v>876</v>
      </c>
      <c r="E670" t="s">
        <v>1017</v>
      </c>
      <c r="F670" t="s">
        <v>166</v>
      </c>
      <c r="G670" s="31">
        <v>0.64759999999999995</v>
      </c>
      <c r="H670" s="31">
        <v>0.69359999999999999</v>
      </c>
      <c r="I670" t="s">
        <v>1954</v>
      </c>
      <c r="J670" t="s">
        <v>1954</v>
      </c>
      <c r="K670">
        <v>2677545.9410000001</v>
      </c>
      <c r="L670">
        <v>32439159</v>
      </c>
      <c r="M670" s="32">
        <v>12.1153</v>
      </c>
      <c r="N670" t="s">
        <v>1018</v>
      </c>
      <c r="O670" t="s">
        <v>308</v>
      </c>
      <c r="P670">
        <v>1112</v>
      </c>
      <c r="Q670" s="33" t="s">
        <v>1956</v>
      </c>
      <c r="R670" t="s">
        <v>21</v>
      </c>
      <c r="S670" t="s">
        <v>22</v>
      </c>
      <c r="T670">
        <f t="shared" si="10"/>
        <v>443227.03999999975</v>
      </c>
    </row>
    <row r="671" spans="1:20" x14ac:dyDescent="0.25">
      <c r="A671" t="s">
        <v>1019</v>
      </c>
      <c r="B671" t="s">
        <v>109</v>
      </c>
      <c r="C671">
        <v>1</v>
      </c>
      <c r="D671">
        <v>876</v>
      </c>
      <c r="E671" t="s">
        <v>1017</v>
      </c>
      <c r="F671" t="s">
        <v>166</v>
      </c>
      <c r="G671" s="31">
        <v>0.64759999999999995</v>
      </c>
      <c r="H671" s="31">
        <v>0.69359999999999999</v>
      </c>
      <c r="I671" t="s">
        <v>1954</v>
      </c>
      <c r="J671" t="s">
        <v>1954</v>
      </c>
      <c r="K671">
        <v>2677545.9410000001</v>
      </c>
      <c r="L671">
        <v>32439159</v>
      </c>
      <c r="M671" s="32">
        <v>12.1153</v>
      </c>
      <c r="N671" t="s">
        <v>1018</v>
      </c>
      <c r="O671" t="s">
        <v>308</v>
      </c>
      <c r="P671">
        <v>1112</v>
      </c>
      <c r="Q671" s="33" t="s">
        <v>1956</v>
      </c>
      <c r="R671" t="s">
        <v>21</v>
      </c>
      <c r="S671" t="s">
        <v>22</v>
      </c>
      <c r="T671">
        <f t="shared" si="10"/>
        <v>444339.03999999975</v>
      </c>
    </row>
    <row r="672" spans="1:20" x14ac:dyDescent="0.25">
      <c r="A672" t="s">
        <v>1457</v>
      </c>
      <c r="B672" t="s">
        <v>244</v>
      </c>
      <c r="C672">
        <v>2</v>
      </c>
      <c r="D672">
        <v>58207</v>
      </c>
      <c r="E672" t="s">
        <v>2146</v>
      </c>
      <c r="F672" t="s">
        <v>307</v>
      </c>
      <c r="G672" s="31">
        <v>0.45</v>
      </c>
      <c r="H672" s="31">
        <v>0.496</v>
      </c>
      <c r="I672" t="s">
        <v>1954</v>
      </c>
      <c r="J672" t="s">
        <v>1954</v>
      </c>
      <c r="K672">
        <v>38388.720000000001</v>
      </c>
      <c r="L672">
        <v>465633</v>
      </c>
      <c r="M672" s="32">
        <v>12.1294</v>
      </c>
      <c r="N672" t="s">
        <v>216</v>
      </c>
      <c r="O672" t="s">
        <v>2147</v>
      </c>
      <c r="P672">
        <v>24.5</v>
      </c>
      <c r="Q672" t="s">
        <v>1958</v>
      </c>
      <c r="R672" t="s">
        <v>21</v>
      </c>
      <c r="S672" t="s">
        <v>22</v>
      </c>
      <c r="T672">
        <f t="shared" si="10"/>
        <v>444363.53999999975</v>
      </c>
    </row>
    <row r="673" spans="1:20" x14ac:dyDescent="0.25">
      <c r="A673" t="s">
        <v>1460</v>
      </c>
      <c r="B673" t="s">
        <v>244</v>
      </c>
      <c r="C673">
        <v>2</v>
      </c>
      <c r="D673">
        <v>58207</v>
      </c>
      <c r="E673" t="s">
        <v>2146</v>
      </c>
      <c r="F673" t="s">
        <v>307</v>
      </c>
      <c r="G673" s="31">
        <v>0.45</v>
      </c>
      <c r="H673" s="31">
        <v>0.496</v>
      </c>
      <c r="I673" t="s">
        <v>1954</v>
      </c>
      <c r="J673" t="s">
        <v>1954</v>
      </c>
      <c r="K673">
        <v>38388.720000000001</v>
      </c>
      <c r="L673">
        <v>465633</v>
      </c>
      <c r="M673" s="32">
        <v>12.1294</v>
      </c>
      <c r="N673" t="s">
        <v>216</v>
      </c>
      <c r="O673" t="s">
        <v>2147</v>
      </c>
      <c r="P673">
        <v>24.5</v>
      </c>
      <c r="Q673" t="s">
        <v>1958</v>
      </c>
      <c r="R673" t="s">
        <v>21</v>
      </c>
      <c r="S673" t="s">
        <v>22</v>
      </c>
      <c r="T673">
        <f t="shared" si="10"/>
        <v>444388.03999999975</v>
      </c>
    </row>
    <row r="674" spans="1:20" x14ac:dyDescent="0.25">
      <c r="A674" t="s">
        <v>1461</v>
      </c>
      <c r="B674" t="s">
        <v>244</v>
      </c>
      <c r="C674">
        <v>2</v>
      </c>
      <c r="D674">
        <v>58207</v>
      </c>
      <c r="E674" t="s">
        <v>2146</v>
      </c>
      <c r="F674" t="s">
        <v>307</v>
      </c>
      <c r="G674" s="31">
        <v>0.45</v>
      </c>
      <c r="H674" s="31">
        <v>0.496</v>
      </c>
      <c r="I674" t="s">
        <v>1954</v>
      </c>
      <c r="J674" t="s">
        <v>1954</v>
      </c>
      <c r="K674">
        <v>38388.720000000001</v>
      </c>
      <c r="L674">
        <v>465633</v>
      </c>
      <c r="M674" s="32">
        <v>12.1294</v>
      </c>
      <c r="N674" t="s">
        <v>216</v>
      </c>
      <c r="O674" t="s">
        <v>2147</v>
      </c>
      <c r="P674">
        <v>24.5</v>
      </c>
      <c r="Q674" t="s">
        <v>1958</v>
      </c>
      <c r="R674" t="s">
        <v>21</v>
      </c>
      <c r="S674" t="s">
        <v>22</v>
      </c>
      <c r="T674">
        <f t="shared" si="10"/>
        <v>444412.53999999975</v>
      </c>
    </row>
    <row r="675" spans="1:20" x14ac:dyDescent="0.25">
      <c r="A675" t="s">
        <v>1462</v>
      </c>
      <c r="B675" t="s">
        <v>244</v>
      </c>
      <c r="C675">
        <v>2</v>
      </c>
      <c r="D675">
        <v>58207</v>
      </c>
      <c r="E675" t="s">
        <v>2146</v>
      </c>
      <c r="F675" t="s">
        <v>307</v>
      </c>
      <c r="G675" s="31">
        <v>0.45</v>
      </c>
      <c r="H675" s="31">
        <v>0.496</v>
      </c>
      <c r="I675" t="s">
        <v>1954</v>
      </c>
      <c r="J675" t="s">
        <v>1954</v>
      </c>
      <c r="K675">
        <v>38388.720000000001</v>
      </c>
      <c r="L675">
        <v>465633</v>
      </c>
      <c r="M675" s="32">
        <v>12.1294</v>
      </c>
      <c r="N675" t="s">
        <v>216</v>
      </c>
      <c r="O675" t="s">
        <v>2147</v>
      </c>
      <c r="P675">
        <v>24.5</v>
      </c>
      <c r="Q675" t="s">
        <v>1958</v>
      </c>
      <c r="R675" t="s">
        <v>21</v>
      </c>
      <c r="S675" t="s">
        <v>22</v>
      </c>
      <c r="T675">
        <f t="shared" si="10"/>
        <v>444437.03999999975</v>
      </c>
    </row>
    <row r="676" spans="1:20" x14ac:dyDescent="0.25">
      <c r="A676" t="s">
        <v>677</v>
      </c>
      <c r="B676" t="s">
        <v>137</v>
      </c>
      <c r="C676">
        <v>1</v>
      </c>
      <c r="D676">
        <v>55438</v>
      </c>
      <c r="E676" t="s">
        <v>678</v>
      </c>
      <c r="F676" t="s">
        <v>166</v>
      </c>
      <c r="G676" s="31">
        <v>0.84360000000000002</v>
      </c>
      <c r="H676" s="31">
        <v>0.88959999999999995</v>
      </c>
      <c r="I676" t="s">
        <v>1954</v>
      </c>
      <c r="J676" t="s">
        <v>1954</v>
      </c>
      <c r="K676">
        <v>197855.99900000001</v>
      </c>
      <c r="L676">
        <v>2401675</v>
      </c>
      <c r="M676" s="32">
        <v>12.138500000000001</v>
      </c>
      <c r="N676" t="s">
        <v>141</v>
      </c>
      <c r="O676" t="s">
        <v>679</v>
      </c>
      <c r="P676">
        <v>487.9</v>
      </c>
      <c r="Q676" s="33" t="s">
        <v>1955</v>
      </c>
      <c r="R676" t="s">
        <v>21</v>
      </c>
      <c r="S676" t="s">
        <v>22</v>
      </c>
      <c r="T676">
        <f t="shared" si="10"/>
        <v>444924.93999999977</v>
      </c>
    </row>
    <row r="677" spans="1:20" x14ac:dyDescent="0.25">
      <c r="A677" t="s">
        <v>680</v>
      </c>
      <c r="B677" t="s">
        <v>137</v>
      </c>
      <c r="C677">
        <v>1</v>
      </c>
      <c r="D677">
        <v>55438</v>
      </c>
      <c r="E677" t="s">
        <v>678</v>
      </c>
      <c r="F677" t="s">
        <v>166</v>
      </c>
      <c r="G677" s="31">
        <v>0.84360000000000002</v>
      </c>
      <c r="H677" s="31">
        <v>0.88959999999999995</v>
      </c>
      <c r="I677" t="s">
        <v>1954</v>
      </c>
      <c r="J677" t="s">
        <v>1954</v>
      </c>
      <c r="K677">
        <v>197855.99900000001</v>
      </c>
      <c r="L677">
        <v>2401675</v>
      </c>
      <c r="M677" s="32">
        <v>12.138500000000001</v>
      </c>
      <c r="N677" t="s">
        <v>141</v>
      </c>
      <c r="O677" t="s">
        <v>679</v>
      </c>
      <c r="P677">
        <v>487.9</v>
      </c>
      <c r="Q677" s="33" t="s">
        <v>1955</v>
      </c>
      <c r="R677" t="s">
        <v>21</v>
      </c>
      <c r="S677" t="s">
        <v>22</v>
      </c>
      <c r="T677">
        <f t="shared" si="10"/>
        <v>445412.83999999979</v>
      </c>
    </row>
    <row r="678" spans="1:20" x14ac:dyDescent="0.25">
      <c r="A678" t="s">
        <v>681</v>
      </c>
      <c r="B678" t="s">
        <v>137</v>
      </c>
      <c r="C678">
        <v>1</v>
      </c>
      <c r="D678">
        <v>55438</v>
      </c>
      <c r="E678" t="s">
        <v>678</v>
      </c>
      <c r="F678" t="s">
        <v>166</v>
      </c>
      <c r="G678" s="31">
        <v>0.84360000000000002</v>
      </c>
      <c r="H678" s="31">
        <v>0.88959999999999995</v>
      </c>
      <c r="I678" t="s">
        <v>1954</v>
      </c>
      <c r="J678" t="s">
        <v>1954</v>
      </c>
      <c r="K678">
        <v>197855.99900000001</v>
      </c>
      <c r="L678">
        <v>2401675</v>
      </c>
      <c r="M678" s="32">
        <v>12.138500000000001</v>
      </c>
      <c r="N678" t="s">
        <v>141</v>
      </c>
      <c r="O678" t="s">
        <v>679</v>
      </c>
      <c r="P678">
        <v>487.9</v>
      </c>
      <c r="Q678" s="33" t="s">
        <v>1955</v>
      </c>
      <c r="R678" t="s">
        <v>21</v>
      </c>
      <c r="S678" t="s">
        <v>22</v>
      </c>
      <c r="T678">
        <f t="shared" si="10"/>
        <v>445900.73999999982</v>
      </c>
    </row>
    <row r="679" spans="1:20" x14ac:dyDescent="0.25">
      <c r="A679" t="s">
        <v>682</v>
      </c>
      <c r="B679" t="s">
        <v>137</v>
      </c>
      <c r="C679">
        <v>1</v>
      </c>
      <c r="D679">
        <v>55438</v>
      </c>
      <c r="E679" t="s">
        <v>678</v>
      </c>
      <c r="F679" t="s">
        <v>166</v>
      </c>
      <c r="G679" s="31">
        <v>0.84360000000000002</v>
      </c>
      <c r="H679" s="31">
        <v>0.88959999999999995</v>
      </c>
      <c r="I679" t="s">
        <v>1954</v>
      </c>
      <c r="J679" t="s">
        <v>1954</v>
      </c>
      <c r="K679">
        <v>197855.99900000001</v>
      </c>
      <c r="L679">
        <v>2401675</v>
      </c>
      <c r="M679" s="32">
        <v>12.138500000000001</v>
      </c>
      <c r="N679" t="s">
        <v>141</v>
      </c>
      <c r="O679" t="s">
        <v>679</v>
      </c>
      <c r="P679">
        <v>487.9</v>
      </c>
      <c r="Q679" s="33" t="s">
        <v>1955</v>
      </c>
      <c r="R679" t="s">
        <v>21</v>
      </c>
      <c r="S679" t="s">
        <v>22</v>
      </c>
      <c r="T679">
        <f t="shared" si="10"/>
        <v>446388.63999999984</v>
      </c>
    </row>
    <row r="680" spans="1:20" x14ac:dyDescent="0.25">
      <c r="A680" t="s">
        <v>396</v>
      </c>
      <c r="B680" t="s">
        <v>137</v>
      </c>
      <c r="C680">
        <v>1</v>
      </c>
      <c r="D680">
        <v>55276</v>
      </c>
      <c r="E680" t="s">
        <v>397</v>
      </c>
      <c r="F680" t="s">
        <v>118</v>
      </c>
      <c r="G680" s="31">
        <v>1</v>
      </c>
      <c r="H680" s="31">
        <v>1</v>
      </c>
      <c r="I680" t="s">
        <v>1954</v>
      </c>
      <c r="J680" t="s">
        <v>1954</v>
      </c>
      <c r="K680">
        <v>702143</v>
      </c>
      <c r="L680">
        <v>8546211</v>
      </c>
      <c r="M680" s="32">
        <v>12.1716</v>
      </c>
      <c r="N680" t="s">
        <v>141</v>
      </c>
      <c r="O680" t="s">
        <v>398</v>
      </c>
      <c r="P680">
        <v>450</v>
      </c>
      <c r="Q680" s="33" t="s">
        <v>1955</v>
      </c>
      <c r="R680" t="s">
        <v>21</v>
      </c>
      <c r="S680" t="s">
        <v>22</v>
      </c>
      <c r="T680">
        <f t="shared" si="10"/>
        <v>446838.63999999984</v>
      </c>
    </row>
    <row r="681" spans="1:20" x14ac:dyDescent="0.25">
      <c r="A681" t="s">
        <v>399</v>
      </c>
      <c r="B681" t="s">
        <v>137</v>
      </c>
      <c r="C681">
        <v>1</v>
      </c>
      <c r="D681">
        <v>55276</v>
      </c>
      <c r="E681" t="s">
        <v>397</v>
      </c>
      <c r="F681" t="s">
        <v>118</v>
      </c>
      <c r="G681" s="31">
        <v>1</v>
      </c>
      <c r="H681" s="31">
        <v>1</v>
      </c>
      <c r="I681" t="s">
        <v>1954</v>
      </c>
      <c r="J681" t="s">
        <v>1954</v>
      </c>
      <c r="K681">
        <v>702143</v>
      </c>
      <c r="L681">
        <v>8546211</v>
      </c>
      <c r="M681" s="32">
        <v>12.1716</v>
      </c>
      <c r="N681" t="s">
        <v>141</v>
      </c>
      <c r="O681" t="s">
        <v>398</v>
      </c>
      <c r="P681">
        <v>450</v>
      </c>
      <c r="Q681" s="33" t="s">
        <v>1955</v>
      </c>
      <c r="R681" t="s">
        <v>21</v>
      </c>
      <c r="S681" t="s">
        <v>22</v>
      </c>
      <c r="T681">
        <f t="shared" si="10"/>
        <v>447288.63999999984</v>
      </c>
    </row>
    <row r="682" spans="1:20" x14ac:dyDescent="0.25">
      <c r="A682" t="s">
        <v>400</v>
      </c>
      <c r="B682" t="s">
        <v>137</v>
      </c>
      <c r="C682">
        <v>1</v>
      </c>
      <c r="D682">
        <v>55276</v>
      </c>
      <c r="E682" t="s">
        <v>397</v>
      </c>
      <c r="F682" t="s">
        <v>118</v>
      </c>
      <c r="G682" s="31">
        <v>1</v>
      </c>
      <c r="H682" s="31">
        <v>1</v>
      </c>
      <c r="I682" t="s">
        <v>1954</v>
      </c>
      <c r="J682" t="s">
        <v>1954</v>
      </c>
      <c r="K682">
        <v>702143</v>
      </c>
      <c r="L682">
        <v>8546211</v>
      </c>
      <c r="M682" s="32">
        <v>12.1716</v>
      </c>
      <c r="N682" t="s">
        <v>141</v>
      </c>
      <c r="O682" t="s">
        <v>398</v>
      </c>
      <c r="P682">
        <v>450</v>
      </c>
      <c r="Q682" s="33" t="s">
        <v>1955</v>
      </c>
      <c r="R682" t="s">
        <v>21</v>
      </c>
      <c r="S682" t="s">
        <v>22</v>
      </c>
      <c r="T682">
        <f t="shared" si="10"/>
        <v>447738.63999999984</v>
      </c>
    </row>
    <row r="683" spans="1:20" x14ac:dyDescent="0.25">
      <c r="A683" t="s">
        <v>401</v>
      </c>
      <c r="B683" t="s">
        <v>137</v>
      </c>
      <c r="C683">
        <v>1</v>
      </c>
      <c r="D683">
        <v>55276</v>
      </c>
      <c r="E683" t="s">
        <v>397</v>
      </c>
      <c r="F683" t="s">
        <v>118</v>
      </c>
      <c r="G683" s="31">
        <v>1</v>
      </c>
      <c r="H683" s="31">
        <v>1</v>
      </c>
      <c r="I683" t="s">
        <v>1954</v>
      </c>
      <c r="J683" t="s">
        <v>1954</v>
      </c>
      <c r="K683">
        <v>702143</v>
      </c>
      <c r="L683">
        <v>8546211</v>
      </c>
      <c r="M683" s="32">
        <v>12.1716</v>
      </c>
      <c r="N683" t="s">
        <v>141</v>
      </c>
      <c r="O683" t="s">
        <v>398</v>
      </c>
      <c r="P683">
        <v>450</v>
      </c>
      <c r="Q683" s="33" t="s">
        <v>1955</v>
      </c>
      <c r="R683" t="s">
        <v>21</v>
      </c>
      <c r="S683" t="s">
        <v>22</v>
      </c>
      <c r="T683">
        <f t="shared" si="10"/>
        <v>448188.63999999984</v>
      </c>
    </row>
    <row r="684" spans="1:20" x14ac:dyDescent="0.25">
      <c r="A684" t="s">
        <v>402</v>
      </c>
      <c r="B684" t="s">
        <v>137</v>
      </c>
      <c r="C684">
        <v>1</v>
      </c>
      <c r="D684">
        <v>55276</v>
      </c>
      <c r="E684" t="s">
        <v>397</v>
      </c>
      <c r="F684" t="s">
        <v>118</v>
      </c>
      <c r="G684" s="31">
        <v>1</v>
      </c>
      <c r="H684" s="31">
        <v>1</v>
      </c>
      <c r="I684" t="s">
        <v>1954</v>
      </c>
      <c r="J684" t="s">
        <v>1954</v>
      </c>
      <c r="K684">
        <v>702143</v>
      </c>
      <c r="L684">
        <v>8546211</v>
      </c>
      <c r="M684" s="32">
        <v>12.1716</v>
      </c>
      <c r="N684" t="s">
        <v>141</v>
      </c>
      <c r="O684" t="s">
        <v>398</v>
      </c>
      <c r="P684">
        <v>450</v>
      </c>
      <c r="Q684" s="33" t="s">
        <v>1955</v>
      </c>
      <c r="R684" t="s">
        <v>21</v>
      </c>
      <c r="S684" t="s">
        <v>22</v>
      </c>
      <c r="T684">
        <f t="shared" si="10"/>
        <v>448638.63999999984</v>
      </c>
    </row>
    <row r="685" spans="1:20" x14ac:dyDescent="0.25">
      <c r="A685" t="s">
        <v>403</v>
      </c>
      <c r="B685" t="s">
        <v>137</v>
      </c>
      <c r="C685">
        <v>1</v>
      </c>
      <c r="D685">
        <v>55276</v>
      </c>
      <c r="E685" t="s">
        <v>397</v>
      </c>
      <c r="F685" t="s">
        <v>118</v>
      </c>
      <c r="G685" s="31">
        <v>1</v>
      </c>
      <c r="H685" s="31">
        <v>1</v>
      </c>
      <c r="I685" t="s">
        <v>1954</v>
      </c>
      <c r="J685" t="s">
        <v>1954</v>
      </c>
      <c r="K685">
        <v>702143</v>
      </c>
      <c r="L685">
        <v>8546211</v>
      </c>
      <c r="M685" s="32">
        <v>12.1716</v>
      </c>
      <c r="N685" t="s">
        <v>141</v>
      </c>
      <c r="O685" t="s">
        <v>398</v>
      </c>
      <c r="P685">
        <v>450</v>
      </c>
      <c r="Q685" s="33" t="s">
        <v>1955</v>
      </c>
      <c r="R685" t="s">
        <v>21</v>
      </c>
      <c r="S685" t="s">
        <v>22</v>
      </c>
      <c r="T685">
        <f t="shared" si="10"/>
        <v>449088.63999999984</v>
      </c>
    </row>
    <row r="686" spans="1:20" x14ac:dyDescent="0.25">
      <c r="A686" t="s">
        <v>465</v>
      </c>
      <c r="B686" t="s">
        <v>189</v>
      </c>
      <c r="C686">
        <v>3</v>
      </c>
      <c r="D686">
        <v>594</v>
      </c>
      <c r="E686" t="s">
        <v>2010</v>
      </c>
      <c r="F686" t="s">
        <v>672</v>
      </c>
      <c r="G686" s="31">
        <v>0.53</v>
      </c>
      <c r="H686" s="31">
        <v>0.54800000000000004</v>
      </c>
      <c r="I686" t="s">
        <v>1976</v>
      </c>
      <c r="J686" t="s">
        <v>1954</v>
      </c>
      <c r="K686">
        <v>254312</v>
      </c>
      <c r="L686">
        <v>3095419</v>
      </c>
      <c r="M686" s="32">
        <v>12.1717</v>
      </c>
      <c r="N686" t="s">
        <v>2011</v>
      </c>
      <c r="P686">
        <v>0</v>
      </c>
      <c r="Q686" t="s">
        <v>1958</v>
      </c>
      <c r="R686" t="s">
        <v>21</v>
      </c>
      <c r="S686" t="s">
        <v>22</v>
      </c>
      <c r="T686">
        <f t="shared" si="10"/>
        <v>449088.63999999984</v>
      </c>
    </row>
    <row r="687" spans="1:20" x14ac:dyDescent="0.25">
      <c r="A687" t="s">
        <v>467</v>
      </c>
      <c r="B687" t="s">
        <v>189</v>
      </c>
      <c r="C687">
        <v>3</v>
      </c>
      <c r="D687">
        <v>594</v>
      </c>
      <c r="E687" t="s">
        <v>2010</v>
      </c>
      <c r="F687" t="s">
        <v>672</v>
      </c>
      <c r="G687" s="31">
        <v>0.53</v>
      </c>
      <c r="H687" s="31">
        <v>0.54800000000000004</v>
      </c>
      <c r="I687" t="s">
        <v>1976</v>
      </c>
      <c r="J687" t="s">
        <v>1954</v>
      </c>
      <c r="K687">
        <v>254312</v>
      </c>
      <c r="L687">
        <v>3095419</v>
      </c>
      <c r="M687" s="32">
        <v>12.1717</v>
      </c>
      <c r="N687" t="s">
        <v>2011</v>
      </c>
      <c r="P687">
        <v>0</v>
      </c>
      <c r="Q687" t="s">
        <v>1958</v>
      </c>
      <c r="R687" t="s">
        <v>21</v>
      </c>
      <c r="S687" t="s">
        <v>22</v>
      </c>
      <c r="T687">
        <f t="shared" si="10"/>
        <v>449088.63999999984</v>
      </c>
    </row>
    <row r="688" spans="1:20" x14ac:dyDescent="0.25">
      <c r="A688" t="s">
        <v>1771</v>
      </c>
      <c r="B688" t="s">
        <v>125</v>
      </c>
      <c r="C688">
        <v>1</v>
      </c>
      <c r="D688">
        <v>2869</v>
      </c>
      <c r="E688" t="s">
        <v>1772</v>
      </c>
      <c r="F688" t="s">
        <v>322</v>
      </c>
      <c r="G688" s="31">
        <v>1</v>
      </c>
      <c r="H688" s="31">
        <v>1</v>
      </c>
      <c r="I688" t="s">
        <v>1954</v>
      </c>
      <c r="J688" t="s">
        <v>1954</v>
      </c>
      <c r="K688">
        <v>1305712.0020000001</v>
      </c>
      <c r="L688">
        <v>15943499</v>
      </c>
      <c r="M688" s="32">
        <v>12.210599999999999</v>
      </c>
      <c r="N688" t="s">
        <v>130</v>
      </c>
      <c r="O688" t="s">
        <v>1773</v>
      </c>
      <c r="P688">
        <v>500.5</v>
      </c>
      <c r="Q688" s="33" t="s">
        <v>1955</v>
      </c>
      <c r="R688" t="s">
        <v>21</v>
      </c>
      <c r="S688" t="s">
        <v>22</v>
      </c>
      <c r="T688">
        <f t="shared" si="10"/>
        <v>449589.13999999984</v>
      </c>
    </row>
    <row r="689" spans="1:20" x14ac:dyDescent="0.25">
      <c r="A689" t="s">
        <v>1774</v>
      </c>
      <c r="B689" t="s">
        <v>125</v>
      </c>
      <c r="C689">
        <v>1</v>
      </c>
      <c r="D689">
        <v>2869</v>
      </c>
      <c r="E689" t="s">
        <v>1772</v>
      </c>
      <c r="F689" t="s">
        <v>322</v>
      </c>
      <c r="G689" s="31">
        <v>1</v>
      </c>
      <c r="H689" s="31">
        <v>1</v>
      </c>
      <c r="I689" t="s">
        <v>1954</v>
      </c>
      <c r="J689" t="s">
        <v>1954</v>
      </c>
      <c r="K689">
        <v>1305712.0020000001</v>
      </c>
      <c r="L689">
        <v>15943499</v>
      </c>
      <c r="M689" s="32">
        <v>12.210599999999999</v>
      </c>
      <c r="N689" t="s">
        <v>130</v>
      </c>
      <c r="O689" t="s">
        <v>1773</v>
      </c>
      <c r="P689">
        <v>500.5</v>
      </c>
      <c r="Q689" s="33" t="s">
        <v>1955</v>
      </c>
      <c r="R689" t="s">
        <v>21</v>
      </c>
      <c r="S689" t="s">
        <v>22</v>
      </c>
      <c r="T689">
        <f t="shared" si="10"/>
        <v>450089.63999999984</v>
      </c>
    </row>
    <row r="690" spans="1:20" x14ac:dyDescent="0.25">
      <c r="A690" t="s">
        <v>1775</v>
      </c>
      <c r="B690" t="s">
        <v>125</v>
      </c>
      <c r="C690">
        <v>1</v>
      </c>
      <c r="D690">
        <v>2869</v>
      </c>
      <c r="E690" t="s">
        <v>1772</v>
      </c>
      <c r="F690" t="s">
        <v>322</v>
      </c>
      <c r="G690" s="31">
        <v>1</v>
      </c>
      <c r="H690" s="31">
        <v>1</v>
      </c>
      <c r="I690" t="s">
        <v>1954</v>
      </c>
      <c r="J690" t="s">
        <v>1954</v>
      </c>
      <c r="K690">
        <v>1305712.0020000001</v>
      </c>
      <c r="L690">
        <v>15943499</v>
      </c>
      <c r="M690" s="32">
        <v>12.210599999999999</v>
      </c>
      <c r="N690" t="s">
        <v>130</v>
      </c>
      <c r="O690" t="s">
        <v>1773</v>
      </c>
      <c r="P690">
        <v>500.5</v>
      </c>
      <c r="Q690" s="33" t="s">
        <v>1955</v>
      </c>
      <c r="R690" t="s">
        <v>21</v>
      </c>
      <c r="S690" t="s">
        <v>22</v>
      </c>
      <c r="T690">
        <f t="shared" si="10"/>
        <v>450590.13999999984</v>
      </c>
    </row>
    <row r="691" spans="1:20" x14ac:dyDescent="0.25">
      <c r="A691" t="s">
        <v>1776</v>
      </c>
      <c r="B691" t="s">
        <v>125</v>
      </c>
      <c r="C691">
        <v>1</v>
      </c>
      <c r="D691">
        <v>2869</v>
      </c>
      <c r="E691" t="s">
        <v>1772</v>
      </c>
      <c r="F691" t="s">
        <v>322</v>
      </c>
      <c r="G691" s="31">
        <v>1</v>
      </c>
      <c r="H691" s="31">
        <v>1</v>
      </c>
      <c r="I691" t="s">
        <v>1954</v>
      </c>
      <c r="J691" t="s">
        <v>1954</v>
      </c>
      <c r="K691">
        <v>1305712.0020000001</v>
      </c>
      <c r="L691">
        <v>15943499</v>
      </c>
      <c r="M691" s="32">
        <v>12.210599999999999</v>
      </c>
      <c r="N691" t="s">
        <v>130</v>
      </c>
      <c r="O691" t="s">
        <v>1773</v>
      </c>
      <c r="P691">
        <v>500.5</v>
      </c>
      <c r="Q691" s="33" t="s">
        <v>1955</v>
      </c>
      <c r="R691" t="s">
        <v>21</v>
      </c>
      <c r="S691" t="s">
        <v>22</v>
      </c>
      <c r="T691">
        <f t="shared" si="10"/>
        <v>451090.63999999984</v>
      </c>
    </row>
    <row r="692" spans="1:20" x14ac:dyDescent="0.25">
      <c r="A692" t="s">
        <v>1777</v>
      </c>
      <c r="B692" t="s">
        <v>125</v>
      </c>
      <c r="C692">
        <v>1</v>
      </c>
      <c r="D692">
        <v>2869</v>
      </c>
      <c r="E692" t="s">
        <v>1772</v>
      </c>
      <c r="F692" t="s">
        <v>322</v>
      </c>
      <c r="G692" s="31">
        <v>1</v>
      </c>
      <c r="H692" s="31">
        <v>1</v>
      </c>
      <c r="I692" t="s">
        <v>1954</v>
      </c>
      <c r="J692" t="s">
        <v>1954</v>
      </c>
      <c r="K692">
        <v>1305712.0020000001</v>
      </c>
      <c r="L692">
        <v>15943499</v>
      </c>
      <c r="M692" s="32">
        <v>12.210599999999999</v>
      </c>
      <c r="N692" t="s">
        <v>130</v>
      </c>
      <c r="O692" t="s">
        <v>1773</v>
      </c>
      <c r="P692">
        <v>500.5</v>
      </c>
      <c r="Q692" s="33" t="s">
        <v>1955</v>
      </c>
      <c r="R692" t="s">
        <v>21</v>
      </c>
      <c r="S692" t="s">
        <v>22</v>
      </c>
      <c r="T692">
        <f t="shared" si="10"/>
        <v>451591.13999999984</v>
      </c>
    </row>
    <row r="693" spans="1:20" x14ac:dyDescent="0.25">
      <c r="A693" t="s">
        <v>824</v>
      </c>
      <c r="B693" t="s">
        <v>150</v>
      </c>
      <c r="C693">
        <v>2</v>
      </c>
      <c r="D693">
        <v>54757</v>
      </c>
      <c r="E693" t="s">
        <v>2055</v>
      </c>
      <c r="F693" t="s">
        <v>250</v>
      </c>
      <c r="G693" s="31">
        <v>0.4017</v>
      </c>
      <c r="H693" s="31">
        <v>0.44769999999999999</v>
      </c>
      <c r="I693" t="s">
        <v>1954</v>
      </c>
      <c r="J693" t="s">
        <v>1954</v>
      </c>
      <c r="K693">
        <v>50178</v>
      </c>
      <c r="L693">
        <v>612925</v>
      </c>
      <c r="M693" s="32">
        <v>12.215</v>
      </c>
      <c r="N693" t="s">
        <v>321</v>
      </c>
      <c r="O693" t="s">
        <v>2056</v>
      </c>
      <c r="P693">
        <v>7.2</v>
      </c>
      <c r="Q693" t="s">
        <v>1958</v>
      </c>
      <c r="R693" t="s">
        <v>21</v>
      </c>
      <c r="S693" t="s">
        <v>22</v>
      </c>
      <c r="T693">
        <f t="shared" si="10"/>
        <v>451598.33999999985</v>
      </c>
    </row>
    <row r="694" spans="1:20" x14ac:dyDescent="0.25">
      <c r="A694" t="s">
        <v>873</v>
      </c>
      <c r="B694" t="s">
        <v>137</v>
      </c>
      <c r="C694">
        <v>1</v>
      </c>
      <c r="D694">
        <v>55233</v>
      </c>
      <c r="E694" t="s">
        <v>874</v>
      </c>
      <c r="F694" t="s">
        <v>143</v>
      </c>
      <c r="G694" s="31">
        <v>1</v>
      </c>
      <c r="H694" s="31">
        <v>1</v>
      </c>
      <c r="I694" t="s">
        <v>1954</v>
      </c>
      <c r="J694" t="s">
        <v>1954</v>
      </c>
      <c r="K694">
        <v>163619.00099999999</v>
      </c>
      <c r="L694">
        <v>2013990</v>
      </c>
      <c r="M694" s="32">
        <v>12.308999999999999</v>
      </c>
      <c r="N694" t="s">
        <v>141</v>
      </c>
      <c r="O694" t="s">
        <v>875</v>
      </c>
      <c r="P694">
        <v>267.5</v>
      </c>
      <c r="Q694" s="33" t="s">
        <v>1955</v>
      </c>
      <c r="R694" t="s">
        <v>21</v>
      </c>
      <c r="S694" t="s">
        <v>22</v>
      </c>
      <c r="T694">
        <f t="shared" si="10"/>
        <v>451865.83999999985</v>
      </c>
    </row>
    <row r="695" spans="1:20" x14ac:dyDescent="0.25">
      <c r="A695" t="s">
        <v>876</v>
      </c>
      <c r="B695" t="s">
        <v>137</v>
      </c>
      <c r="C695">
        <v>1</v>
      </c>
      <c r="D695">
        <v>55233</v>
      </c>
      <c r="E695" t="s">
        <v>874</v>
      </c>
      <c r="F695" t="s">
        <v>143</v>
      </c>
      <c r="G695" s="31">
        <v>1</v>
      </c>
      <c r="H695" s="31">
        <v>1</v>
      </c>
      <c r="I695" t="s">
        <v>1954</v>
      </c>
      <c r="J695" t="s">
        <v>1954</v>
      </c>
      <c r="K695">
        <v>163619.00099999999</v>
      </c>
      <c r="L695">
        <v>2013990</v>
      </c>
      <c r="M695" s="32">
        <v>12.308999999999999</v>
      </c>
      <c r="N695" t="s">
        <v>141</v>
      </c>
      <c r="O695" t="s">
        <v>875</v>
      </c>
      <c r="P695">
        <v>267.5</v>
      </c>
      <c r="Q695" s="33" t="s">
        <v>1955</v>
      </c>
      <c r="R695" t="s">
        <v>21</v>
      </c>
      <c r="S695" t="s">
        <v>22</v>
      </c>
      <c r="T695">
        <f t="shared" si="10"/>
        <v>452133.33999999985</v>
      </c>
    </row>
    <row r="696" spans="1:20" x14ac:dyDescent="0.25">
      <c r="A696" t="s">
        <v>877</v>
      </c>
      <c r="B696" t="s">
        <v>137</v>
      </c>
      <c r="C696">
        <v>1</v>
      </c>
      <c r="D696">
        <v>55233</v>
      </c>
      <c r="E696" t="s">
        <v>874</v>
      </c>
      <c r="F696" t="s">
        <v>143</v>
      </c>
      <c r="G696" s="31">
        <v>1</v>
      </c>
      <c r="H696" s="31">
        <v>1</v>
      </c>
      <c r="I696" t="s">
        <v>1954</v>
      </c>
      <c r="J696" t="s">
        <v>1954</v>
      </c>
      <c r="K696">
        <v>163619.00099999999</v>
      </c>
      <c r="L696">
        <v>2013990</v>
      </c>
      <c r="M696" s="32">
        <v>12.308999999999999</v>
      </c>
      <c r="N696" t="s">
        <v>141</v>
      </c>
      <c r="O696" t="s">
        <v>875</v>
      </c>
      <c r="P696">
        <v>267.5</v>
      </c>
      <c r="Q696" s="33" t="s">
        <v>1955</v>
      </c>
      <c r="R696" t="s">
        <v>21</v>
      </c>
      <c r="S696" t="s">
        <v>22</v>
      </c>
      <c r="T696">
        <f t="shared" si="10"/>
        <v>452400.83999999985</v>
      </c>
    </row>
    <row r="697" spans="1:20" x14ac:dyDescent="0.25">
      <c r="A697" t="s">
        <v>878</v>
      </c>
      <c r="B697" t="s">
        <v>137</v>
      </c>
      <c r="C697">
        <v>1</v>
      </c>
      <c r="D697">
        <v>55233</v>
      </c>
      <c r="E697" t="s">
        <v>874</v>
      </c>
      <c r="F697" t="s">
        <v>143</v>
      </c>
      <c r="G697" s="31">
        <v>1</v>
      </c>
      <c r="H697" s="31">
        <v>1</v>
      </c>
      <c r="I697" t="s">
        <v>1954</v>
      </c>
      <c r="J697" t="s">
        <v>1954</v>
      </c>
      <c r="K697">
        <v>163619.00099999999</v>
      </c>
      <c r="L697">
        <v>2013990</v>
      </c>
      <c r="M697" s="32">
        <v>12.308999999999999</v>
      </c>
      <c r="N697" t="s">
        <v>141</v>
      </c>
      <c r="O697" t="s">
        <v>875</v>
      </c>
      <c r="P697">
        <v>267.5</v>
      </c>
      <c r="Q697" s="33" t="s">
        <v>1955</v>
      </c>
      <c r="R697" t="s">
        <v>21</v>
      </c>
      <c r="S697" t="s">
        <v>22</v>
      </c>
      <c r="T697">
        <f t="shared" si="10"/>
        <v>452668.33999999985</v>
      </c>
    </row>
    <row r="698" spans="1:20" x14ac:dyDescent="0.25">
      <c r="A698" t="s">
        <v>879</v>
      </c>
      <c r="B698" t="s">
        <v>137</v>
      </c>
      <c r="C698">
        <v>1</v>
      </c>
      <c r="D698">
        <v>55233</v>
      </c>
      <c r="E698" t="s">
        <v>874</v>
      </c>
      <c r="F698" t="s">
        <v>143</v>
      </c>
      <c r="G698" s="31">
        <v>1</v>
      </c>
      <c r="H698" s="31">
        <v>1</v>
      </c>
      <c r="I698" t="s">
        <v>1954</v>
      </c>
      <c r="J698" t="s">
        <v>1954</v>
      </c>
      <c r="K698">
        <v>163619.00099999999</v>
      </c>
      <c r="L698">
        <v>2013990</v>
      </c>
      <c r="M698" s="32">
        <v>12.308999999999999</v>
      </c>
      <c r="N698" t="s">
        <v>141</v>
      </c>
      <c r="O698" t="s">
        <v>875</v>
      </c>
      <c r="P698">
        <v>267.5</v>
      </c>
      <c r="Q698" s="33" t="s">
        <v>1955</v>
      </c>
      <c r="R698" t="s">
        <v>21</v>
      </c>
      <c r="S698" t="s">
        <v>22</v>
      </c>
      <c r="T698">
        <f t="shared" si="10"/>
        <v>452935.83999999985</v>
      </c>
    </row>
    <row r="699" spans="1:20" x14ac:dyDescent="0.25">
      <c r="A699" t="s">
        <v>1291</v>
      </c>
      <c r="B699" t="s">
        <v>109</v>
      </c>
      <c r="C699">
        <v>1</v>
      </c>
      <c r="D699">
        <v>50888</v>
      </c>
      <c r="E699" t="s">
        <v>2128</v>
      </c>
      <c r="F699" t="s">
        <v>143</v>
      </c>
      <c r="G699" s="31">
        <v>0.54659999999999997</v>
      </c>
      <c r="H699" s="31">
        <v>0.59260000000000002</v>
      </c>
      <c r="I699" t="s">
        <v>1954</v>
      </c>
      <c r="J699" t="s">
        <v>1954</v>
      </c>
      <c r="K699">
        <v>555258.15700000001</v>
      </c>
      <c r="L699">
        <v>6841393</v>
      </c>
      <c r="M699" s="32">
        <v>12.321099999999999</v>
      </c>
      <c r="N699" t="s">
        <v>662</v>
      </c>
      <c r="O699" t="s">
        <v>282</v>
      </c>
      <c r="P699">
        <v>112</v>
      </c>
      <c r="Q699" t="s">
        <v>1958</v>
      </c>
      <c r="R699" t="s">
        <v>21</v>
      </c>
      <c r="S699" t="s">
        <v>22</v>
      </c>
      <c r="T699">
        <f t="shared" si="10"/>
        <v>453047.83999999985</v>
      </c>
    </row>
    <row r="700" spans="1:20" x14ac:dyDescent="0.25">
      <c r="A700" t="s">
        <v>314</v>
      </c>
      <c r="B700" t="s">
        <v>150</v>
      </c>
      <c r="C700">
        <v>1</v>
      </c>
      <c r="D700">
        <v>56687</v>
      </c>
      <c r="E700" t="s">
        <v>1965</v>
      </c>
      <c r="F700" t="s">
        <v>143</v>
      </c>
      <c r="G700" s="31">
        <v>0.40429999999999999</v>
      </c>
      <c r="H700" s="31">
        <v>0.45029999999999998</v>
      </c>
      <c r="I700" t="s">
        <v>1954</v>
      </c>
      <c r="J700" t="s">
        <v>1954</v>
      </c>
      <c r="K700">
        <v>25122.39</v>
      </c>
      <c r="L700">
        <v>309587</v>
      </c>
      <c r="M700" s="32">
        <v>12.3232</v>
      </c>
      <c r="N700" t="s">
        <v>321</v>
      </c>
      <c r="O700" t="s">
        <v>316</v>
      </c>
      <c r="P700">
        <v>14.4</v>
      </c>
      <c r="Q700" t="s">
        <v>1958</v>
      </c>
      <c r="R700" t="s">
        <v>21</v>
      </c>
      <c r="S700" t="s">
        <v>22</v>
      </c>
      <c r="T700">
        <f t="shared" si="10"/>
        <v>453062.23999999987</v>
      </c>
    </row>
    <row r="701" spans="1:20" x14ac:dyDescent="0.25">
      <c r="A701" t="s">
        <v>248</v>
      </c>
      <c r="B701" t="s">
        <v>150</v>
      </c>
      <c r="C701">
        <v>1</v>
      </c>
      <c r="D701">
        <v>59574</v>
      </c>
      <c r="E701" t="s">
        <v>1959</v>
      </c>
      <c r="F701" t="s">
        <v>250</v>
      </c>
      <c r="G701" s="31">
        <v>0.41120000000000001</v>
      </c>
      <c r="H701" s="31">
        <v>0.4572</v>
      </c>
      <c r="I701" t="s">
        <v>1954</v>
      </c>
      <c r="J701" t="s">
        <v>1954</v>
      </c>
      <c r="K701">
        <v>20457</v>
      </c>
      <c r="L701">
        <v>253537</v>
      </c>
      <c r="M701" s="32">
        <v>12.393700000000001</v>
      </c>
      <c r="N701" t="s">
        <v>321</v>
      </c>
      <c r="O701" t="s">
        <v>251</v>
      </c>
      <c r="P701">
        <v>4.5999999999999996</v>
      </c>
      <c r="Q701" t="s">
        <v>1958</v>
      </c>
      <c r="R701" t="s">
        <v>21</v>
      </c>
      <c r="S701" t="s">
        <v>22</v>
      </c>
      <c r="T701">
        <f t="shared" si="10"/>
        <v>453066.83999999985</v>
      </c>
    </row>
    <row r="702" spans="1:20" x14ac:dyDescent="0.25">
      <c r="A702" t="s">
        <v>1664</v>
      </c>
      <c r="B702" t="s">
        <v>194</v>
      </c>
      <c r="C702">
        <v>1</v>
      </c>
      <c r="D702">
        <v>2847</v>
      </c>
      <c r="E702" t="s">
        <v>1668</v>
      </c>
      <c r="F702" t="s">
        <v>322</v>
      </c>
      <c r="G702" s="31">
        <v>0.60499999999999998</v>
      </c>
      <c r="H702" s="31">
        <v>0.65100000000000002</v>
      </c>
      <c r="I702" t="s">
        <v>1954</v>
      </c>
      <c r="J702" t="s">
        <v>1954</v>
      </c>
      <c r="K702">
        <v>3330.328</v>
      </c>
      <c r="L702">
        <v>41518</v>
      </c>
      <c r="M702" s="32">
        <v>12.4666</v>
      </c>
      <c r="N702" t="s">
        <v>2040</v>
      </c>
      <c r="O702" t="s">
        <v>1666</v>
      </c>
      <c r="P702">
        <v>10</v>
      </c>
      <c r="Q702" t="s">
        <v>1958</v>
      </c>
      <c r="R702" t="s">
        <v>21</v>
      </c>
      <c r="S702" t="s">
        <v>22</v>
      </c>
      <c r="T702">
        <f t="shared" si="10"/>
        <v>453076.83999999985</v>
      </c>
    </row>
    <row r="703" spans="1:20" x14ac:dyDescent="0.25">
      <c r="A703" t="s">
        <v>1578</v>
      </c>
      <c r="B703" t="s">
        <v>125</v>
      </c>
      <c r="C703">
        <v>1</v>
      </c>
      <c r="D703">
        <v>54</v>
      </c>
      <c r="E703" t="s">
        <v>1579</v>
      </c>
      <c r="F703" t="s">
        <v>266</v>
      </c>
      <c r="G703" s="31">
        <v>1</v>
      </c>
      <c r="H703" s="31">
        <v>1</v>
      </c>
      <c r="I703" t="s">
        <v>1954</v>
      </c>
      <c r="J703" t="s">
        <v>1954</v>
      </c>
      <c r="K703">
        <v>954114</v>
      </c>
      <c r="L703">
        <v>11916684</v>
      </c>
      <c r="M703" s="32">
        <v>12.489800000000001</v>
      </c>
      <c r="N703" t="s">
        <v>130</v>
      </c>
      <c r="O703" t="s">
        <v>1581</v>
      </c>
      <c r="P703">
        <v>755.6</v>
      </c>
      <c r="Q703" s="33" t="s">
        <v>1955</v>
      </c>
      <c r="R703" t="s">
        <v>21</v>
      </c>
      <c r="S703" t="s">
        <v>22</v>
      </c>
      <c r="T703">
        <f t="shared" si="10"/>
        <v>453832.43999999983</v>
      </c>
    </row>
    <row r="704" spans="1:20" x14ac:dyDescent="0.25">
      <c r="A704" t="s">
        <v>1582</v>
      </c>
      <c r="B704" t="s">
        <v>137</v>
      </c>
      <c r="C704">
        <v>1</v>
      </c>
      <c r="D704">
        <v>54</v>
      </c>
      <c r="E704" t="s">
        <v>1579</v>
      </c>
      <c r="F704" t="s">
        <v>266</v>
      </c>
      <c r="G704" s="31">
        <v>1</v>
      </c>
      <c r="H704" s="31">
        <v>1</v>
      </c>
      <c r="I704" t="s">
        <v>1954</v>
      </c>
      <c r="J704" t="s">
        <v>1954</v>
      </c>
      <c r="K704">
        <v>954114</v>
      </c>
      <c r="L704">
        <v>11916684</v>
      </c>
      <c r="M704" s="32">
        <v>12.489800000000001</v>
      </c>
      <c r="N704" t="s">
        <v>130</v>
      </c>
      <c r="O704" t="s">
        <v>1581</v>
      </c>
      <c r="P704">
        <v>755.6</v>
      </c>
      <c r="Q704" s="33" t="s">
        <v>1955</v>
      </c>
      <c r="R704" t="s">
        <v>21</v>
      </c>
      <c r="S704" t="s">
        <v>22</v>
      </c>
      <c r="T704">
        <f t="shared" si="10"/>
        <v>454588.0399999998</v>
      </c>
    </row>
    <row r="705" spans="1:20" x14ac:dyDescent="0.25">
      <c r="A705" t="s">
        <v>1583</v>
      </c>
      <c r="B705" t="s">
        <v>125</v>
      </c>
      <c r="C705">
        <v>1</v>
      </c>
      <c r="D705">
        <v>54</v>
      </c>
      <c r="E705" t="s">
        <v>1579</v>
      </c>
      <c r="F705" t="s">
        <v>266</v>
      </c>
      <c r="G705" s="31">
        <v>1</v>
      </c>
      <c r="H705" s="31">
        <v>1</v>
      </c>
      <c r="I705" t="s">
        <v>1954</v>
      </c>
      <c r="J705" t="s">
        <v>1954</v>
      </c>
      <c r="K705">
        <v>954114</v>
      </c>
      <c r="L705">
        <v>11916684</v>
      </c>
      <c r="M705" s="32">
        <v>12.489800000000001</v>
      </c>
      <c r="N705" t="s">
        <v>130</v>
      </c>
      <c r="O705" t="s">
        <v>1581</v>
      </c>
      <c r="P705">
        <v>755.6</v>
      </c>
      <c r="Q705" s="33" t="s">
        <v>1955</v>
      </c>
      <c r="R705" t="s">
        <v>21</v>
      </c>
      <c r="S705" t="s">
        <v>22</v>
      </c>
      <c r="T705">
        <f t="shared" si="10"/>
        <v>455343.63999999978</v>
      </c>
    </row>
    <row r="706" spans="1:20" x14ac:dyDescent="0.25">
      <c r="A706" t="s">
        <v>1584</v>
      </c>
      <c r="B706" t="s">
        <v>125</v>
      </c>
      <c r="C706">
        <v>1</v>
      </c>
      <c r="D706">
        <v>54</v>
      </c>
      <c r="E706" t="s">
        <v>1579</v>
      </c>
      <c r="F706" t="s">
        <v>266</v>
      </c>
      <c r="G706" s="31">
        <v>1</v>
      </c>
      <c r="H706" s="31">
        <v>1</v>
      </c>
      <c r="I706" t="s">
        <v>1954</v>
      </c>
      <c r="J706" t="s">
        <v>1954</v>
      </c>
      <c r="K706">
        <v>954114</v>
      </c>
      <c r="L706">
        <v>11916684</v>
      </c>
      <c r="M706" s="32">
        <v>12.489800000000001</v>
      </c>
      <c r="N706" t="s">
        <v>130</v>
      </c>
      <c r="O706" t="s">
        <v>1581</v>
      </c>
      <c r="P706">
        <v>755.6</v>
      </c>
      <c r="Q706" s="33" t="s">
        <v>1955</v>
      </c>
      <c r="R706" t="s">
        <v>21</v>
      </c>
      <c r="S706" t="s">
        <v>22</v>
      </c>
      <c r="T706">
        <f t="shared" si="10"/>
        <v>456099.23999999976</v>
      </c>
    </row>
    <row r="707" spans="1:20" x14ac:dyDescent="0.25">
      <c r="A707" t="s">
        <v>1585</v>
      </c>
      <c r="B707" t="s">
        <v>125</v>
      </c>
      <c r="C707">
        <v>1</v>
      </c>
      <c r="D707">
        <v>54</v>
      </c>
      <c r="E707" t="s">
        <v>1579</v>
      </c>
      <c r="F707" t="s">
        <v>266</v>
      </c>
      <c r="G707" s="31">
        <v>1</v>
      </c>
      <c r="H707" s="31">
        <v>1</v>
      </c>
      <c r="I707" t="s">
        <v>1954</v>
      </c>
      <c r="J707" t="s">
        <v>1954</v>
      </c>
      <c r="K707">
        <v>954114</v>
      </c>
      <c r="L707">
        <v>11916684</v>
      </c>
      <c r="M707" s="32">
        <v>12.489800000000001</v>
      </c>
      <c r="N707" t="s">
        <v>130</v>
      </c>
      <c r="O707" t="s">
        <v>1581</v>
      </c>
      <c r="P707">
        <v>755.6</v>
      </c>
      <c r="Q707" s="33" t="s">
        <v>1955</v>
      </c>
      <c r="R707" t="s">
        <v>21</v>
      </c>
      <c r="S707" t="s">
        <v>22</v>
      </c>
      <c r="T707">
        <f t="shared" si="10"/>
        <v>456854.83999999973</v>
      </c>
    </row>
    <row r="708" spans="1:20" x14ac:dyDescent="0.25">
      <c r="A708" t="s">
        <v>1586</v>
      </c>
      <c r="B708" t="s">
        <v>125</v>
      </c>
      <c r="C708">
        <v>1</v>
      </c>
      <c r="D708">
        <v>54</v>
      </c>
      <c r="E708" t="s">
        <v>1579</v>
      </c>
      <c r="F708" t="s">
        <v>266</v>
      </c>
      <c r="G708" s="31">
        <v>1</v>
      </c>
      <c r="H708" s="31">
        <v>1</v>
      </c>
      <c r="I708" t="s">
        <v>1954</v>
      </c>
      <c r="J708" t="s">
        <v>1954</v>
      </c>
      <c r="K708">
        <v>954114</v>
      </c>
      <c r="L708">
        <v>11916684</v>
      </c>
      <c r="M708" s="32">
        <v>12.489800000000001</v>
      </c>
      <c r="N708" t="s">
        <v>130</v>
      </c>
      <c r="O708" t="s">
        <v>1581</v>
      </c>
      <c r="P708">
        <v>755.6</v>
      </c>
      <c r="Q708" s="33" t="s">
        <v>1955</v>
      </c>
      <c r="R708" t="s">
        <v>21</v>
      </c>
      <c r="S708" t="s">
        <v>22</v>
      </c>
      <c r="T708">
        <f t="shared" ref="T708:T771" si="11">T707+P708</f>
        <v>457610.43999999971</v>
      </c>
    </row>
    <row r="709" spans="1:20" x14ac:dyDescent="0.25">
      <c r="A709" t="s">
        <v>1587</v>
      </c>
      <c r="B709" t="s">
        <v>125</v>
      </c>
      <c r="C709">
        <v>1</v>
      </c>
      <c r="D709">
        <v>54</v>
      </c>
      <c r="E709" t="s">
        <v>1579</v>
      </c>
      <c r="F709" t="s">
        <v>266</v>
      </c>
      <c r="G709" s="31">
        <v>1</v>
      </c>
      <c r="H709" s="31">
        <v>1</v>
      </c>
      <c r="I709" t="s">
        <v>1954</v>
      </c>
      <c r="J709" t="s">
        <v>1954</v>
      </c>
      <c r="K709">
        <v>954114</v>
      </c>
      <c r="L709">
        <v>11916684</v>
      </c>
      <c r="M709" s="32">
        <v>12.489800000000001</v>
      </c>
      <c r="N709" t="s">
        <v>130</v>
      </c>
      <c r="O709" t="s">
        <v>1581</v>
      </c>
      <c r="P709">
        <v>755.6</v>
      </c>
      <c r="Q709" s="33" t="s">
        <v>1955</v>
      </c>
      <c r="R709" t="s">
        <v>21</v>
      </c>
      <c r="S709" t="s">
        <v>22</v>
      </c>
      <c r="T709">
        <f t="shared" si="11"/>
        <v>458366.03999999969</v>
      </c>
    </row>
    <row r="710" spans="1:20" x14ac:dyDescent="0.25">
      <c r="A710" t="s">
        <v>1588</v>
      </c>
      <c r="B710" t="s">
        <v>125</v>
      </c>
      <c r="C710">
        <v>1</v>
      </c>
      <c r="D710">
        <v>54</v>
      </c>
      <c r="E710" t="s">
        <v>1579</v>
      </c>
      <c r="F710" t="s">
        <v>266</v>
      </c>
      <c r="G710" s="31">
        <v>1</v>
      </c>
      <c r="H710" s="31">
        <v>1</v>
      </c>
      <c r="I710" t="s">
        <v>1954</v>
      </c>
      <c r="J710" t="s">
        <v>1954</v>
      </c>
      <c r="K710">
        <v>954114</v>
      </c>
      <c r="L710">
        <v>11916684</v>
      </c>
      <c r="M710" s="32">
        <v>12.489800000000001</v>
      </c>
      <c r="N710" t="s">
        <v>130</v>
      </c>
      <c r="O710" t="s">
        <v>1581</v>
      </c>
      <c r="P710">
        <v>755.6</v>
      </c>
      <c r="Q710" s="33" t="s">
        <v>1955</v>
      </c>
      <c r="R710" t="s">
        <v>21</v>
      </c>
      <c r="S710" t="s">
        <v>22</v>
      </c>
      <c r="T710">
        <f t="shared" si="11"/>
        <v>459121.63999999966</v>
      </c>
    </row>
    <row r="711" spans="1:20" x14ac:dyDescent="0.25">
      <c r="A711" t="s">
        <v>1589</v>
      </c>
      <c r="B711" t="s">
        <v>137</v>
      </c>
      <c r="C711">
        <v>1</v>
      </c>
      <c r="D711">
        <v>54</v>
      </c>
      <c r="E711" t="s">
        <v>1579</v>
      </c>
      <c r="F711" t="s">
        <v>266</v>
      </c>
      <c r="G711" s="31">
        <v>1</v>
      </c>
      <c r="H711" s="31">
        <v>1</v>
      </c>
      <c r="I711" t="s">
        <v>1954</v>
      </c>
      <c r="J711" t="s">
        <v>1954</v>
      </c>
      <c r="K711">
        <v>954114</v>
      </c>
      <c r="L711">
        <v>11916684</v>
      </c>
      <c r="M711" s="32">
        <v>12.489800000000001</v>
      </c>
      <c r="N711" t="s">
        <v>130</v>
      </c>
      <c r="O711" t="s">
        <v>1581</v>
      </c>
      <c r="P711">
        <v>755.6</v>
      </c>
      <c r="Q711" s="33" t="s">
        <v>1955</v>
      </c>
      <c r="R711" t="s">
        <v>21</v>
      </c>
      <c r="S711" t="s">
        <v>22</v>
      </c>
      <c r="T711">
        <f t="shared" si="11"/>
        <v>459877.23999999964</v>
      </c>
    </row>
    <row r="712" spans="1:20" x14ac:dyDescent="0.25">
      <c r="A712" t="s">
        <v>1114</v>
      </c>
      <c r="B712" t="s">
        <v>125</v>
      </c>
      <c r="C712">
        <v>1</v>
      </c>
      <c r="D712">
        <v>7837</v>
      </c>
      <c r="E712" t="s">
        <v>1115</v>
      </c>
      <c r="F712" t="s">
        <v>201</v>
      </c>
      <c r="G712" s="31">
        <v>0.65900000000000003</v>
      </c>
      <c r="H712" s="31">
        <v>0.70499999999999996</v>
      </c>
      <c r="I712" t="s">
        <v>1954</v>
      </c>
      <c r="J712" t="s">
        <v>1954</v>
      </c>
      <c r="K712">
        <v>646052.99800000002</v>
      </c>
      <c r="L712">
        <v>8070431</v>
      </c>
      <c r="M712" s="32">
        <v>12.491899999999999</v>
      </c>
      <c r="N712" t="s">
        <v>130</v>
      </c>
      <c r="O712" t="s">
        <v>1028</v>
      </c>
      <c r="P712">
        <v>466</v>
      </c>
      <c r="Q712" s="33" t="s">
        <v>1956</v>
      </c>
      <c r="R712" t="s">
        <v>21</v>
      </c>
      <c r="S712" t="s">
        <v>22</v>
      </c>
      <c r="T712">
        <f t="shared" si="11"/>
        <v>460343.23999999964</v>
      </c>
    </row>
    <row r="713" spans="1:20" x14ac:dyDescent="0.25">
      <c r="A713" t="s">
        <v>1116</v>
      </c>
      <c r="B713" t="s">
        <v>125</v>
      </c>
      <c r="C713">
        <v>1</v>
      </c>
      <c r="D713">
        <v>7837</v>
      </c>
      <c r="E713" t="s">
        <v>1115</v>
      </c>
      <c r="F713" t="s">
        <v>201</v>
      </c>
      <c r="G713" s="31">
        <v>0.65900000000000003</v>
      </c>
      <c r="H713" s="31">
        <v>0.70499999999999996</v>
      </c>
      <c r="I713" t="s">
        <v>1954</v>
      </c>
      <c r="J713" t="s">
        <v>1954</v>
      </c>
      <c r="K713">
        <v>646052.99800000002</v>
      </c>
      <c r="L713">
        <v>8070431</v>
      </c>
      <c r="M713" s="32">
        <v>12.491899999999999</v>
      </c>
      <c r="N713" t="s">
        <v>130</v>
      </c>
      <c r="O713" t="s">
        <v>1028</v>
      </c>
      <c r="P713">
        <v>466</v>
      </c>
      <c r="Q713" s="33" t="s">
        <v>1956</v>
      </c>
      <c r="R713" t="s">
        <v>21</v>
      </c>
      <c r="S713" t="s">
        <v>22</v>
      </c>
      <c r="T713">
        <f t="shared" si="11"/>
        <v>460809.23999999964</v>
      </c>
    </row>
    <row r="714" spans="1:20" x14ac:dyDescent="0.25">
      <c r="A714" t="s">
        <v>1117</v>
      </c>
      <c r="B714" t="s">
        <v>125</v>
      </c>
      <c r="C714">
        <v>1</v>
      </c>
      <c r="D714">
        <v>7837</v>
      </c>
      <c r="E714" t="s">
        <v>1115</v>
      </c>
      <c r="F714" t="s">
        <v>201</v>
      </c>
      <c r="G714" s="31">
        <v>0.65900000000000003</v>
      </c>
      <c r="H714" s="31">
        <v>0.70499999999999996</v>
      </c>
      <c r="I714" t="s">
        <v>1954</v>
      </c>
      <c r="J714" t="s">
        <v>1954</v>
      </c>
      <c r="K714">
        <v>646052.99800000002</v>
      </c>
      <c r="L714">
        <v>8070431</v>
      </c>
      <c r="M714" s="32">
        <v>12.491899999999999</v>
      </c>
      <c r="N714" t="s">
        <v>130</v>
      </c>
      <c r="O714" t="s">
        <v>1028</v>
      </c>
      <c r="P714">
        <v>466</v>
      </c>
      <c r="Q714" s="33" t="s">
        <v>1956</v>
      </c>
      <c r="R714" t="s">
        <v>21</v>
      </c>
      <c r="S714" t="s">
        <v>22</v>
      </c>
      <c r="T714">
        <f t="shared" si="11"/>
        <v>461275.23999999964</v>
      </c>
    </row>
    <row r="715" spans="1:20" x14ac:dyDescent="0.25">
      <c r="A715" t="s">
        <v>1118</v>
      </c>
      <c r="B715" t="s">
        <v>125</v>
      </c>
      <c r="C715">
        <v>1</v>
      </c>
      <c r="D715">
        <v>7837</v>
      </c>
      <c r="E715" t="s">
        <v>1115</v>
      </c>
      <c r="F715" t="s">
        <v>201</v>
      </c>
      <c r="G715" s="31">
        <v>0.65900000000000003</v>
      </c>
      <c r="H715" s="31">
        <v>0.70499999999999996</v>
      </c>
      <c r="I715" t="s">
        <v>1954</v>
      </c>
      <c r="J715" t="s">
        <v>1954</v>
      </c>
      <c r="K715">
        <v>646052.99800000002</v>
      </c>
      <c r="L715">
        <v>8070431</v>
      </c>
      <c r="M715" s="32">
        <v>12.491899999999999</v>
      </c>
      <c r="N715" t="s">
        <v>130</v>
      </c>
      <c r="O715" t="s">
        <v>1028</v>
      </c>
      <c r="P715">
        <v>466</v>
      </c>
      <c r="Q715" s="33" t="s">
        <v>1956</v>
      </c>
      <c r="R715" t="s">
        <v>21</v>
      </c>
      <c r="S715" t="s">
        <v>22</v>
      </c>
      <c r="T715">
        <f t="shared" si="11"/>
        <v>461741.23999999964</v>
      </c>
    </row>
    <row r="716" spans="1:20" x14ac:dyDescent="0.25">
      <c r="A716" t="s">
        <v>1119</v>
      </c>
      <c r="B716" t="s">
        <v>125</v>
      </c>
      <c r="C716">
        <v>1</v>
      </c>
      <c r="D716">
        <v>7837</v>
      </c>
      <c r="E716" t="s">
        <v>1115</v>
      </c>
      <c r="F716" t="s">
        <v>201</v>
      </c>
      <c r="G716" s="31">
        <v>0.65900000000000003</v>
      </c>
      <c r="H716" s="31">
        <v>0.70499999999999996</v>
      </c>
      <c r="I716" t="s">
        <v>1954</v>
      </c>
      <c r="J716" t="s">
        <v>1954</v>
      </c>
      <c r="K716">
        <v>646052.99800000002</v>
      </c>
      <c r="L716">
        <v>8070431</v>
      </c>
      <c r="M716" s="32">
        <v>12.491899999999999</v>
      </c>
      <c r="N716" t="s">
        <v>130</v>
      </c>
      <c r="O716" t="s">
        <v>1028</v>
      </c>
      <c r="P716">
        <v>466</v>
      </c>
      <c r="Q716" s="33" t="s">
        <v>1956</v>
      </c>
      <c r="R716" t="s">
        <v>21</v>
      </c>
      <c r="S716" t="s">
        <v>22</v>
      </c>
      <c r="T716">
        <f t="shared" si="11"/>
        <v>462207.23999999964</v>
      </c>
    </row>
    <row r="717" spans="1:20" x14ac:dyDescent="0.25">
      <c r="A717" t="s">
        <v>393</v>
      </c>
      <c r="B717" t="s">
        <v>150</v>
      </c>
      <c r="C717">
        <v>1</v>
      </c>
      <c r="D717">
        <v>63977</v>
      </c>
      <c r="E717" t="s">
        <v>394</v>
      </c>
      <c r="F717" t="s">
        <v>250</v>
      </c>
      <c r="G717" s="31">
        <v>0.66320000000000001</v>
      </c>
      <c r="H717" s="31">
        <v>0.70920000000000005</v>
      </c>
      <c r="I717" t="s">
        <v>1954</v>
      </c>
      <c r="J717" t="s">
        <v>1954</v>
      </c>
      <c r="K717">
        <v>12864</v>
      </c>
      <c r="L717">
        <v>160777</v>
      </c>
      <c r="M717" s="32">
        <v>12.498200000000001</v>
      </c>
      <c r="N717" t="s">
        <v>321</v>
      </c>
      <c r="O717" t="s">
        <v>119</v>
      </c>
      <c r="P717">
        <v>4</v>
      </c>
      <c r="Q717" s="33" t="s">
        <v>1956</v>
      </c>
      <c r="R717" t="s">
        <v>21</v>
      </c>
      <c r="S717" t="s">
        <v>22</v>
      </c>
      <c r="T717">
        <f t="shared" si="11"/>
        <v>462211.23999999964</v>
      </c>
    </row>
    <row r="718" spans="1:20" x14ac:dyDescent="0.25">
      <c r="A718" t="s">
        <v>824</v>
      </c>
      <c r="B718" t="s">
        <v>150</v>
      </c>
      <c r="C718">
        <v>1</v>
      </c>
      <c r="D718">
        <v>63977</v>
      </c>
      <c r="E718" t="s">
        <v>394</v>
      </c>
      <c r="F718" t="s">
        <v>250</v>
      </c>
      <c r="G718" s="31">
        <v>0.52290000000000003</v>
      </c>
      <c r="H718" s="31">
        <v>0.56889999999999996</v>
      </c>
      <c r="I718" t="s">
        <v>1954</v>
      </c>
      <c r="J718" t="s">
        <v>1954</v>
      </c>
      <c r="K718">
        <v>12864</v>
      </c>
      <c r="L718">
        <v>160777</v>
      </c>
      <c r="M718" s="32">
        <v>12.498200000000001</v>
      </c>
      <c r="N718" t="s">
        <v>321</v>
      </c>
      <c r="O718" t="s">
        <v>119</v>
      </c>
      <c r="P718">
        <v>4</v>
      </c>
      <c r="Q718" t="s">
        <v>1958</v>
      </c>
      <c r="R718" t="s">
        <v>21</v>
      </c>
      <c r="S718" t="s">
        <v>22</v>
      </c>
      <c r="T718">
        <f t="shared" si="11"/>
        <v>462215.23999999964</v>
      </c>
    </row>
    <row r="719" spans="1:20" x14ac:dyDescent="0.25">
      <c r="A719" t="s">
        <v>1139</v>
      </c>
      <c r="B719" t="s">
        <v>125</v>
      </c>
      <c r="C719">
        <v>2</v>
      </c>
      <c r="D719">
        <v>1366</v>
      </c>
      <c r="E719" t="s">
        <v>2105</v>
      </c>
      <c r="F719" t="s">
        <v>266</v>
      </c>
      <c r="G719" s="31">
        <v>0.4022</v>
      </c>
      <c r="H719" s="31">
        <v>0.44819999999999999</v>
      </c>
      <c r="I719" t="s">
        <v>1954</v>
      </c>
      <c r="J719" t="s">
        <v>1954</v>
      </c>
      <c r="K719">
        <v>66972</v>
      </c>
      <c r="L719">
        <v>837036</v>
      </c>
      <c r="M719" s="32">
        <v>12.4983</v>
      </c>
      <c r="N719" t="s">
        <v>141</v>
      </c>
      <c r="O719" t="s">
        <v>2106</v>
      </c>
      <c r="P719">
        <v>170</v>
      </c>
      <c r="Q719" t="s">
        <v>1958</v>
      </c>
      <c r="R719" t="s">
        <v>21</v>
      </c>
      <c r="S719" t="s">
        <v>22</v>
      </c>
      <c r="T719">
        <f t="shared" si="11"/>
        <v>462385.23999999964</v>
      </c>
    </row>
    <row r="720" spans="1:20" x14ac:dyDescent="0.25">
      <c r="A720" t="s">
        <v>1141</v>
      </c>
      <c r="B720" t="s">
        <v>125</v>
      </c>
      <c r="C720">
        <v>2</v>
      </c>
      <c r="D720">
        <v>1366</v>
      </c>
      <c r="E720" t="s">
        <v>2105</v>
      </c>
      <c r="F720" t="s">
        <v>266</v>
      </c>
      <c r="G720" s="31">
        <v>0.4022</v>
      </c>
      <c r="H720" s="31">
        <v>0.44819999999999999</v>
      </c>
      <c r="I720" t="s">
        <v>1954</v>
      </c>
      <c r="J720" t="s">
        <v>1954</v>
      </c>
      <c r="K720">
        <v>66972</v>
      </c>
      <c r="L720">
        <v>837036</v>
      </c>
      <c r="M720" s="32">
        <v>12.4983</v>
      </c>
      <c r="N720" t="s">
        <v>141</v>
      </c>
      <c r="O720" t="s">
        <v>2106</v>
      </c>
      <c r="P720">
        <v>170</v>
      </c>
      <c r="Q720" t="s">
        <v>1958</v>
      </c>
      <c r="R720" t="s">
        <v>21</v>
      </c>
      <c r="S720" t="s">
        <v>22</v>
      </c>
      <c r="T720">
        <f t="shared" si="11"/>
        <v>462555.23999999964</v>
      </c>
    </row>
    <row r="721" spans="1:20" x14ac:dyDescent="0.25">
      <c r="A721" t="s">
        <v>1142</v>
      </c>
      <c r="B721" t="s">
        <v>125</v>
      </c>
      <c r="C721">
        <v>2</v>
      </c>
      <c r="D721">
        <v>1366</v>
      </c>
      <c r="E721" t="s">
        <v>2105</v>
      </c>
      <c r="F721" t="s">
        <v>266</v>
      </c>
      <c r="G721" s="31">
        <v>0.4022</v>
      </c>
      <c r="H721" s="31">
        <v>0.44819999999999999</v>
      </c>
      <c r="I721" t="s">
        <v>1954</v>
      </c>
      <c r="J721" t="s">
        <v>1954</v>
      </c>
      <c r="K721">
        <v>66972</v>
      </c>
      <c r="L721">
        <v>837036</v>
      </c>
      <c r="M721" s="32">
        <v>12.4983</v>
      </c>
      <c r="N721" t="s">
        <v>141</v>
      </c>
      <c r="O721" t="s">
        <v>2106</v>
      </c>
      <c r="P721">
        <v>170</v>
      </c>
      <c r="Q721" t="s">
        <v>1958</v>
      </c>
      <c r="R721" t="s">
        <v>21</v>
      </c>
      <c r="S721" t="s">
        <v>22</v>
      </c>
      <c r="T721">
        <f t="shared" si="11"/>
        <v>462725.23999999964</v>
      </c>
    </row>
    <row r="722" spans="1:20" x14ac:dyDescent="0.25">
      <c r="A722" t="s">
        <v>815</v>
      </c>
      <c r="B722" t="s">
        <v>125</v>
      </c>
      <c r="C722">
        <v>1</v>
      </c>
      <c r="D722">
        <v>2393</v>
      </c>
      <c r="E722" t="s">
        <v>808</v>
      </c>
      <c r="F722" t="s">
        <v>241</v>
      </c>
      <c r="G722" s="31">
        <v>1</v>
      </c>
      <c r="H722" s="31">
        <v>1</v>
      </c>
      <c r="I722" t="s">
        <v>1954</v>
      </c>
      <c r="J722" t="s">
        <v>1954</v>
      </c>
      <c r="K722">
        <v>26037</v>
      </c>
      <c r="L722">
        <v>326444</v>
      </c>
      <c r="M722" s="32">
        <v>12.537699999999999</v>
      </c>
      <c r="N722" t="s">
        <v>141</v>
      </c>
      <c r="O722" t="s">
        <v>816</v>
      </c>
      <c r="P722">
        <v>152.69999999999999</v>
      </c>
      <c r="Q722" s="33" t="s">
        <v>1955</v>
      </c>
      <c r="R722" t="s">
        <v>21</v>
      </c>
      <c r="S722" t="s">
        <v>22</v>
      </c>
      <c r="T722">
        <f t="shared" si="11"/>
        <v>462877.93999999965</v>
      </c>
    </row>
    <row r="723" spans="1:20" x14ac:dyDescent="0.25">
      <c r="A723" t="s">
        <v>802</v>
      </c>
      <c r="B723" t="s">
        <v>150</v>
      </c>
      <c r="C723">
        <v>1</v>
      </c>
      <c r="D723">
        <v>57410</v>
      </c>
      <c r="E723" t="s">
        <v>804</v>
      </c>
      <c r="F723" t="s">
        <v>322</v>
      </c>
      <c r="G723" s="31">
        <v>0.65900000000000003</v>
      </c>
      <c r="H723" s="31">
        <v>0.70499999999999996</v>
      </c>
      <c r="I723" t="s">
        <v>1954</v>
      </c>
      <c r="J723" t="s">
        <v>1954</v>
      </c>
      <c r="K723">
        <v>16382</v>
      </c>
      <c r="L723">
        <v>205785</v>
      </c>
      <c r="M723" s="32">
        <v>12.5617</v>
      </c>
      <c r="N723" t="s">
        <v>321</v>
      </c>
      <c r="O723" t="s">
        <v>805</v>
      </c>
      <c r="P723">
        <v>4</v>
      </c>
      <c r="Q723" s="33" t="s">
        <v>1956</v>
      </c>
      <c r="R723" t="s">
        <v>21</v>
      </c>
      <c r="S723" t="s">
        <v>22</v>
      </c>
      <c r="T723">
        <f t="shared" si="11"/>
        <v>462881.93999999965</v>
      </c>
    </row>
    <row r="724" spans="1:20" x14ac:dyDescent="0.25">
      <c r="A724" t="s">
        <v>486</v>
      </c>
      <c r="B724" t="s">
        <v>150</v>
      </c>
      <c r="C724">
        <v>1</v>
      </c>
      <c r="D724">
        <v>56873</v>
      </c>
      <c r="E724" t="s">
        <v>2014</v>
      </c>
      <c r="F724" t="s">
        <v>143</v>
      </c>
      <c r="G724" s="31">
        <v>0.39610000000000001</v>
      </c>
      <c r="H724" s="31">
        <v>0.44209999999999999</v>
      </c>
      <c r="I724" t="s">
        <v>1954</v>
      </c>
      <c r="J724" t="s">
        <v>1954</v>
      </c>
      <c r="K724">
        <v>2028</v>
      </c>
      <c r="L724">
        <v>25477</v>
      </c>
      <c r="M724" s="32">
        <v>12.5626</v>
      </c>
      <c r="N724" t="s">
        <v>321</v>
      </c>
      <c r="O724" t="s">
        <v>488</v>
      </c>
      <c r="P724">
        <v>2.5</v>
      </c>
      <c r="Q724" t="s">
        <v>1958</v>
      </c>
      <c r="R724" t="s">
        <v>21</v>
      </c>
      <c r="S724" t="s">
        <v>22</v>
      </c>
      <c r="T724">
        <f t="shared" si="11"/>
        <v>462884.43999999965</v>
      </c>
    </row>
    <row r="725" spans="1:20" x14ac:dyDescent="0.25">
      <c r="A725" t="s">
        <v>1284</v>
      </c>
      <c r="B725" t="s">
        <v>109</v>
      </c>
      <c r="C725">
        <v>2</v>
      </c>
      <c r="D725">
        <v>8224</v>
      </c>
      <c r="E725" t="s">
        <v>2123</v>
      </c>
      <c r="F725" t="s">
        <v>2124</v>
      </c>
      <c r="G725" s="31">
        <v>0.48199999999999998</v>
      </c>
      <c r="H725" s="31">
        <v>0.41</v>
      </c>
      <c r="I725" t="s">
        <v>1954</v>
      </c>
      <c r="J725" t="s">
        <v>1954</v>
      </c>
      <c r="K725">
        <v>1287217.1029999999</v>
      </c>
      <c r="L725">
        <v>16196289</v>
      </c>
      <c r="M725" s="32">
        <v>12.5824</v>
      </c>
      <c r="N725" t="s">
        <v>458</v>
      </c>
      <c r="O725" t="s">
        <v>637</v>
      </c>
      <c r="P725">
        <v>268</v>
      </c>
      <c r="Q725" t="s">
        <v>1958</v>
      </c>
      <c r="R725" t="s">
        <v>21</v>
      </c>
      <c r="S725" t="s">
        <v>22</v>
      </c>
      <c r="T725">
        <f t="shared" si="11"/>
        <v>463152.43999999965</v>
      </c>
    </row>
    <row r="726" spans="1:20" x14ac:dyDescent="0.25">
      <c r="A726" t="s">
        <v>350</v>
      </c>
      <c r="B726" t="s">
        <v>125</v>
      </c>
      <c r="C726">
        <v>3</v>
      </c>
      <c r="D726">
        <v>6619</v>
      </c>
      <c r="E726" t="s">
        <v>1982</v>
      </c>
      <c r="F726" t="s">
        <v>1381</v>
      </c>
      <c r="G726" s="31">
        <v>1</v>
      </c>
      <c r="H726" s="31">
        <v>0.92800000000000005</v>
      </c>
      <c r="I726" t="s">
        <v>1954</v>
      </c>
      <c r="J726" t="s">
        <v>1954</v>
      </c>
      <c r="K726">
        <v>3433</v>
      </c>
      <c r="L726">
        <v>43287</v>
      </c>
      <c r="M726" s="32">
        <v>12.6091</v>
      </c>
      <c r="N726" t="s">
        <v>584</v>
      </c>
      <c r="O726" t="s">
        <v>308</v>
      </c>
      <c r="P726">
        <v>100</v>
      </c>
      <c r="Q726" t="s">
        <v>1958</v>
      </c>
      <c r="R726" t="s">
        <v>21</v>
      </c>
      <c r="S726" t="s">
        <v>22</v>
      </c>
      <c r="T726">
        <f t="shared" si="11"/>
        <v>463252.43999999965</v>
      </c>
    </row>
    <row r="727" spans="1:20" x14ac:dyDescent="0.25">
      <c r="A727" t="s">
        <v>354</v>
      </c>
      <c r="B727" t="s">
        <v>125</v>
      </c>
      <c r="C727">
        <v>3</v>
      </c>
      <c r="D727">
        <v>6619</v>
      </c>
      <c r="E727" t="s">
        <v>1982</v>
      </c>
      <c r="F727" t="s">
        <v>1381</v>
      </c>
      <c r="G727" s="31">
        <v>1</v>
      </c>
      <c r="H727" s="31">
        <v>0.92800000000000005</v>
      </c>
      <c r="I727" t="s">
        <v>1954</v>
      </c>
      <c r="J727" t="s">
        <v>1954</v>
      </c>
      <c r="K727">
        <v>3433</v>
      </c>
      <c r="L727">
        <v>43287</v>
      </c>
      <c r="M727" s="32">
        <v>12.6091</v>
      </c>
      <c r="N727" t="s">
        <v>584</v>
      </c>
      <c r="O727" t="s">
        <v>308</v>
      </c>
      <c r="P727">
        <v>100</v>
      </c>
      <c r="Q727" t="s">
        <v>1958</v>
      </c>
      <c r="R727" t="s">
        <v>21</v>
      </c>
      <c r="S727" t="s">
        <v>22</v>
      </c>
      <c r="T727">
        <f t="shared" si="11"/>
        <v>463352.43999999965</v>
      </c>
    </row>
    <row r="728" spans="1:20" x14ac:dyDescent="0.25">
      <c r="A728" t="s">
        <v>355</v>
      </c>
      <c r="B728" t="s">
        <v>125</v>
      </c>
      <c r="C728">
        <v>3</v>
      </c>
      <c r="D728">
        <v>6619</v>
      </c>
      <c r="E728" t="s">
        <v>1982</v>
      </c>
      <c r="F728" t="s">
        <v>1381</v>
      </c>
      <c r="G728" s="31">
        <v>1</v>
      </c>
      <c r="H728" s="31">
        <v>0.92800000000000005</v>
      </c>
      <c r="I728" t="s">
        <v>1954</v>
      </c>
      <c r="J728" t="s">
        <v>1954</v>
      </c>
      <c r="K728">
        <v>3433</v>
      </c>
      <c r="L728">
        <v>43287</v>
      </c>
      <c r="M728" s="32">
        <v>12.6091</v>
      </c>
      <c r="N728" t="s">
        <v>584</v>
      </c>
      <c r="O728" t="s">
        <v>308</v>
      </c>
      <c r="P728">
        <v>100</v>
      </c>
      <c r="Q728" t="s">
        <v>1958</v>
      </c>
      <c r="R728" t="s">
        <v>21</v>
      </c>
      <c r="S728" t="s">
        <v>22</v>
      </c>
      <c r="T728">
        <f t="shared" si="11"/>
        <v>463452.43999999965</v>
      </c>
    </row>
    <row r="729" spans="1:20" x14ac:dyDescent="0.25">
      <c r="A729" t="s">
        <v>356</v>
      </c>
      <c r="B729" t="s">
        <v>125</v>
      </c>
      <c r="C729">
        <v>3</v>
      </c>
      <c r="D729">
        <v>6619</v>
      </c>
      <c r="E729" t="s">
        <v>1982</v>
      </c>
      <c r="F729" t="s">
        <v>1381</v>
      </c>
      <c r="G729" s="31">
        <v>1</v>
      </c>
      <c r="H729" s="31">
        <v>0.92800000000000005</v>
      </c>
      <c r="I729" t="s">
        <v>1954</v>
      </c>
      <c r="J729" t="s">
        <v>1954</v>
      </c>
      <c r="K729">
        <v>3433</v>
      </c>
      <c r="L729">
        <v>43287</v>
      </c>
      <c r="M729" s="32">
        <v>12.6091</v>
      </c>
      <c r="N729" t="s">
        <v>584</v>
      </c>
      <c r="O729" t="s">
        <v>308</v>
      </c>
      <c r="P729">
        <v>100</v>
      </c>
      <c r="Q729" t="s">
        <v>1958</v>
      </c>
      <c r="R729" t="s">
        <v>21</v>
      </c>
      <c r="S729" t="s">
        <v>22</v>
      </c>
      <c r="T729">
        <f t="shared" si="11"/>
        <v>463552.43999999965</v>
      </c>
    </row>
    <row r="730" spans="1:20" x14ac:dyDescent="0.25">
      <c r="A730" t="s">
        <v>1653</v>
      </c>
      <c r="B730" t="s">
        <v>194</v>
      </c>
      <c r="C730">
        <v>1</v>
      </c>
      <c r="D730">
        <v>3152</v>
      </c>
      <c r="E730" t="s">
        <v>2179</v>
      </c>
      <c r="F730" t="s">
        <v>143</v>
      </c>
      <c r="G730" s="31">
        <v>0.53959999999999997</v>
      </c>
      <c r="H730" s="31">
        <v>0.58560000000000001</v>
      </c>
      <c r="I730" t="s">
        <v>1954</v>
      </c>
      <c r="J730" t="s">
        <v>1954</v>
      </c>
      <c r="K730">
        <v>1426</v>
      </c>
      <c r="L730">
        <v>17986</v>
      </c>
      <c r="M730" s="32">
        <v>12.6129</v>
      </c>
      <c r="N730" t="s">
        <v>2040</v>
      </c>
      <c r="O730" t="s">
        <v>1655</v>
      </c>
      <c r="P730">
        <v>41</v>
      </c>
      <c r="Q730" t="s">
        <v>1958</v>
      </c>
      <c r="R730" t="s">
        <v>21</v>
      </c>
      <c r="S730" t="s">
        <v>22</v>
      </c>
      <c r="T730">
        <f t="shared" si="11"/>
        <v>463593.43999999965</v>
      </c>
    </row>
    <row r="731" spans="1:20" x14ac:dyDescent="0.25">
      <c r="A731" t="s">
        <v>1448</v>
      </c>
      <c r="B731" t="s">
        <v>150</v>
      </c>
      <c r="C731">
        <v>2</v>
      </c>
      <c r="D731">
        <v>56327</v>
      </c>
      <c r="E731" t="s">
        <v>2140</v>
      </c>
      <c r="F731" t="s">
        <v>266</v>
      </c>
      <c r="G731" s="31">
        <v>0.3841</v>
      </c>
      <c r="H731" s="31">
        <v>0.43009999999999998</v>
      </c>
      <c r="I731" t="s">
        <v>1954</v>
      </c>
      <c r="J731" t="s">
        <v>1954</v>
      </c>
      <c r="K731">
        <v>24018</v>
      </c>
      <c r="L731">
        <v>304004</v>
      </c>
      <c r="M731" s="32">
        <v>12.657299999999999</v>
      </c>
      <c r="N731" t="s">
        <v>321</v>
      </c>
      <c r="O731" t="s">
        <v>567</v>
      </c>
      <c r="P731">
        <v>3.2</v>
      </c>
      <c r="Q731" t="s">
        <v>1958</v>
      </c>
      <c r="R731" t="s">
        <v>21</v>
      </c>
      <c r="S731" t="s">
        <v>22</v>
      </c>
      <c r="T731">
        <f t="shared" si="11"/>
        <v>463596.63999999966</v>
      </c>
    </row>
    <row r="732" spans="1:20" x14ac:dyDescent="0.25">
      <c r="A732" t="s">
        <v>565</v>
      </c>
      <c r="B732" t="s">
        <v>125</v>
      </c>
      <c r="C732">
        <v>1</v>
      </c>
      <c r="D732">
        <v>7212</v>
      </c>
      <c r="E732" t="s">
        <v>566</v>
      </c>
      <c r="F732" t="s">
        <v>201</v>
      </c>
      <c r="G732" s="31">
        <v>0.6623</v>
      </c>
      <c r="H732" s="31">
        <v>0.70830000000000004</v>
      </c>
      <c r="I732" t="s">
        <v>1954</v>
      </c>
      <c r="J732" t="s">
        <v>1954</v>
      </c>
      <c r="K732">
        <v>166106.99900000001</v>
      </c>
      <c r="L732">
        <v>2122342</v>
      </c>
      <c r="M732" s="32">
        <v>12.776999999999999</v>
      </c>
      <c r="N732" t="s">
        <v>130</v>
      </c>
      <c r="O732" t="s">
        <v>567</v>
      </c>
      <c r="P732">
        <v>340</v>
      </c>
      <c r="Q732" s="33" t="s">
        <v>1956</v>
      </c>
      <c r="R732" t="s">
        <v>21</v>
      </c>
      <c r="S732" t="s">
        <v>22</v>
      </c>
      <c r="T732">
        <f t="shared" si="11"/>
        <v>463936.63999999966</v>
      </c>
    </row>
    <row r="733" spans="1:20" x14ac:dyDescent="0.25">
      <c r="A733" t="s">
        <v>568</v>
      </c>
      <c r="B733" t="s">
        <v>125</v>
      </c>
      <c r="C733">
        <v>1</v>
      </c>
      <c r="D733">
        <v>7212</v>
      </c>
      <c r="E733" t="s">
        <v>566</v>
      </c>
      <c r="F733" t="s">
        <v>201</v>
      </c>
      <c r="G733" s="31">
        <v>0.6623</v>
      </c>
      <c r="H733" s="31">
        <v>0.70830000000000004</v>
      </c>
      <c r="I733" t="s">
        <v>1954</v>
      </c>
      <c r="J733" t="s">
        <v>1954</v>
      </c>
      <c r="K733">
        <v>166106.99900000001</v>
      </c>
      <c r="L733">
        <v>2122342</v>
      </c>
      <c r="M733" s="32">
        <v>12.776999999999999</v>
      </c>
      <c r="N733" t="s">
        <v>130</v>
      </c>
      <c r="O733" t="s">
        <v>567</v>
      </c>
      <c r="P733">
        <v>340</v>
      </c>
      <c r="Q733" s="33" t="s">
        <v>1956</v>
      </c>
      <c r="R733" t="s">
        <v>21</v>
      </c>
      <c r="S733" t="s">
        <v>22</v>
      </c>
      <c r="T733">
        <f t="shared" si="11"/>
        <v>464276.63999999966</v>
      </c>
    </row>
    <row r="734" spans="1:20" x14ac:dyDescent="0.25">
      <c r="A734" t="s">
        <v>569</v>
      </c>
      <c r="B734" t="s">
        <v>125</v>
      </c>
      <c r="C734">
        <v>1</v>
      </c>
      <c r="D734">
        <v>7212</v>
      </c>
      <c r="E734" t="s">
        <v>566</v>
      </c>
      <c r="F734" t="s">
        <v>201</v>
      </c>
      <c r="G734" s="31">
        <v>0.6623</v>
      </c>
      <c r="H734" s="31">
        <v>0.70830000000000004</v>
      </c>
      <c r="I734" t="s">
        <v>1954</v>
      </c>
      <c r="J734" t="s">
        <v>1954</v>
      </c>
      <c r="K734">
        <v>166106.99900000001</v>
      </c>
      <c r="L734">
        <v>2122342</v>
      </c>
      <c r="M734" s="32">
        <v>12.776999999999999</v>
      </c>
      <c r="N734" t="s">
        <v>130</v>
      </c>
      <c r="O734" t="s">
        <v>567</v>
      </c>
      <c r="P734">
        <v>340</v>
      </c>
      <c r="Q734" s="33" t="s">
        <v>1956</v>
      </c>
      <c r="R734" t="s">
        <v>21</v>
      </c>
      <c r="S734" t="s">
        <v>22</v>
      </c>
      <c r="T734">
        <f t="shared" si="11"/>
        <v>464616.63999999966</v>
      </c>
    </row>
    <row r="735" spans="1:20" x14ac:dyDescent="0.25">
      <c r="A735" t="s">
        <v>570</v>
      </c>
      <c r="B735" t="s">
        <v>125</v>
      </c>
      <c r="C735">
        <v>1</v>
      </c>
      <c r="D735">
        <v>7212</v>
      </c>
      <c r="E735" t="s">
        <v>566</v>
      </c>
      <c r="F735" t="s">
        <v>201</v>
      </c>
      <c r="G735" s="31">
        <v>0.6623</v>
      </c>
      <c r="H735" s="31">
        <v>0.70830000000000004</v>
      </c>
      <c r="I735" t="s">
        <v>1954</v>
      </c>
      <c r="J735" t="s">
        <v>1954</v>
      </c>
      <c r="K735">
        <v>166106.99900000001</v>
      </c>
      <c r="L735">
        <v>2122342</v>
      </c>
      <c r="M735" s="32">
        <v>12.776999999999999</v>
      </c>
      <c r="N735" t="s">
        <v>130</v>
      </c>
      <c r="O735" t="s">
        <v>567</v>
      </c>
      <c r="P735">
        <v>340</v>
      </c>
      <c r="Q735" s="33" t="s">
        <v>1956</v>
      </c>
      <c r="R735" t="s">
        <v>21</v>
      </c>
      <c r="S735" t="s">
        <v>22</v>
      </c>
      <c r="T735">
        <f t="shared" si="11"/>
        <v>464956.63999999966</v>
      </c>
    </row>
    <row r="736" spans="1:20" x14ac:dyDescent="0.25">
      <c r="A736" t="s">
        <v>465</v>
      </c>
      <c r="B736" t="s">
        <v>189</v>
      </c>
      <c r="C736">
        <v>1</v>
      </c>
      <c r="D736">
        <v>3775</v>
      </c>
      <c r="E736" t="s">
        <v>466</v>
      </c>
      <c r="F736" t="s">
        <v>201</v>
      </c>
      <c r="G736" s="31">
        <v>1</v>
      </c>
      <c r="H736" s="31">
        <v>1</v>
      </c>
      <c r="I736" t="s">
        <v>1954</v>
      </c>
      <c r="J736" t="s">
        <v>1954</v>
      </c>
      <c r="K736">
        <v>277194</v>
      </c>
      <c r="L736">
        <v>3549198</v>
      </c>
      <c r="M736" s="32">
        <v>12.804</v>
      </c>
      <c r="N736" t="s">
        <v>265</v>
      </c>
      <c r="O736" t="s">
        <v>308</v>
      </c>
      <c r="P736">
        <v>460</v>
      </c>
      <c r="Q736" s="33" t="s">
        <v>1955</v>
      </c>
      <c r="R736" t="s">
        <v>21</v>
      </c>
      <c r="S736" t="s">
        <v>22</v>
      </c>
      <c r="T736">
        <f t="shared" si="11"/>
        <v>465416.63999999966</v>
      </c>
    </row>
    <row r="737" spans="1:20" x14ac:dyDescent="0.25">
      <c r="A737" t="s">
        <v>467</v>
      </c>
      <c r="B737" t="s">
        <v>189</v>
      </c>
      <c r="C737">
        <v>1</v>
      </c>
      <c r="D737">
        <v>3775</v>
      </c>
      <c r="E737" t="s">
        <v>466</v>
      </c>
      <c r="F737" t="s">
        <v>201</v>
      </c>
      <c r="G737" s="31">
        <v>1</v>
      </c>
      <c r="H737" s="31">
        <v>1</v>
      </c>
      <c r="I737" t="s">
        <v>1954</v>
      </c>
      <c r="J737" t="s">
        <v>1954</v>
      </c>
      <c r="K737">
        <v>277194</v>
      </c>
      <c r="L737">
        <v>3549198</v>
      </c>
      <c r="M737" s="32">
        <v>12.804</v>
      </c>
      <c r="N737" t="s">
        <v>265</v>
      </c>
      <c r="O737" t="s">
        <v>308</v>
      </c>
      <c r="P737">
        <v>460</v>
      </c>
      <c r="Q737" s="33" t="s">
        <v>1955</v>
      </c>
      <c r="R737" t="s">
        <v>21</v>
      </c>
      <c r="S737" t="s">
        <v>22</v>
      </c>
      <c r="T737">
        <f t="shared" si="11"/>
        <v>465876.63999999966</v>
      </c>
    </row>
    <row r="738" spans="1:20" x14ac:dyDescent="0.25">
      <c r="A738" t="s">
        <v>1667</v>
      </c>
      <c r="B738" t="s">
        <v>125</v>
      </c>
      <c r="C738">
        <v>1</v>
      </c>
      <c r="D738">
        <v>2847</v>
      </c>
      <c r="E738" t="s">
        <v>1668</v>
      </c>
      <c r="F738" t="s">
        <v>322</v>
      </c>
      <c r="G738" s="31">
        <v>1</v>
      </c>
      <c r="H738" s="31">
        <v>1</v>
      </c>
      <c r="I738" t="s">
        <v>1954</v>
      </c>
      <c r="J738" t="s">
        <v>1954</v>
      </c>
      <c r="K738">
        <v>957034</v>
      </c>
      <c r="L738">
        <v>12280888</v>
      </c>
      <c r="M738" s="32">
        <v>12.8322</v>
      </c>
      <c r="N738" t="s">
        <v>130</v>
      </c>
      <c r="O738" t="s">
        <v>1669</v>
      </c>
      <c r="P738">
        <v>597.1</v>
      </c>
      <c r="Q738" s="33" t="s">
        <v>1955</v>
      </c>
      <c r="R738" t="s">
        <v>21</v>
      </c>
      <c r="S738" t="s">
        <v>22</v>
      </c>
      <c r="T738">
        <f t="shared" si="11"/>
        <v>466473.73999999964</v>
      </c>
    </row>
    <row r="739" spans="1:20" x14ac:dyDescent="0.25">
      <c r="A739" t="s">
        <v>1670</v>
      </c>
      <c r="B739" t="s">
        <v>125</v>
      </c>
      <c r="C739">
        <v>1</v>
      </c>
      <c r="D739">
        <v>2847</v>
      </c>
      <c r="E739" t="s">
        <v>1668</v>
      </c>
      <c r="F739" t="s">
        <v>322</v>
      </c>
      <c r="G739" s="31">
        <v>1</v>
      </c>
      <c r="H739" s="31">
        <v>1</v>
      </c>
      <c r="I739" t="s">
        <v>1954</v>
      </c>
      <c r="J739" t="s">
        <v>1954</v>
      </c>
      <c r="K739">
        <v>957034</v>
      </c>
      <c r="L739">
        <v>12280888</v>
      </c>
      <c r="M739" s="32">
        <v>12.8322</v>
      </c>
      <c r="N739" t="s">
        <v>130</v>
      </c>
      <c r="O739" t="s">
        <v>1669</v>
      </c>
      <c r="P739">
        <v>597.1</v>
      </c>
      <c r="Q739" s="33" t="s">
        <v>1955</v>
      </c>
      <c r="R739" t="s">
        <v>21</v>
      </c>
      <c r="S739" t="s">
        <v>22</v>
      </c>
      <c r="T739">
        <f t="shared" si="11"/>
        <v>467070.83999999962</v>
      </c>
    </row>
    <row r="740" spans="1:20" x14ac:dyDescent="0.25">
      <c r="A740" t="s">
        <v>1671</v>
      </c>
      <c r="B740" t="s">
        <v>125</v>
      </c>
      <c r="C740">
        <v>1</v>
      </c>
      <c r="D740">
        <v>2847</v>
      </c>
      <c r="E740" t="s">
        <v>1668</v>
      </c>
      <c r="F740" t="s">
        <v>322</v>
      </c>
      <c r="G740" s="31">
        <v>1</v>
      </c>
      <c r="H740" s="31">
        <v>1</v>
      </c>
      <c r="I740" t="s">
        <v>1954</v>
      </c>
      <c r="J740" t="s">
        <v>1954</v>
      </c>
      <c r="K740">
        <v>957034</v>
      </c>
      <c r="L740">
        <v>12280888</v>
      </c>
      <c r="M740" s="32">
        <v>12.8322</v>
      </c>
      <c r="N740" t="s">
        <v>130</v>
      </c>
      <c r="O740" t="s">
        <v>1669</v>
      </c>
      <c r="P740">
        <v>597.1</v>
      </c>
      <c r="Q740" s="33" t="s">
        <v>1955</v>
      </c>
      <c r="R740" t="s">
        <v>21</v>
      </c>
      <c r="S740" t="s">
        <v>22</v>
      </c>
      <c r="T740">
        <f t="shared" si="11"/>
        <v>467667.93999999959</v>
      </c>
    </row>
    <row r="741" spans="1:20" x14ac:dyDescent="0.25">
      <c r="A741" t="s">
        <v>1672</v>
      </c>
      <c r="B741" t="s">
        <v>125</v>
      </c>
      <c r="C741">
        <v>1</v>
      </c>
      <c r="D741">
        <v>2847</v>
      </c>
      <c r="E741" t="s">
        <v>1668</v>
      </c>
      <c r="F741" t="s">
        <v>322</v>
      </c>
      <c r="G741" s="31">
        <v>1</v>
      </c>
      <c r="H741" s="31">
        <v>1</v>
      </c>
      <c r="I741" t="s">
        <v>1954</v>
      </c>
      <c r="J741" t="s">
        <v>1954</v>
      </c>
      <c r="K741">
        <v>957034</v>
      </c>
      <c r="L741">
        <v>12280888</v>
      </c>
      <c r="M741" s="32">
        <v>12.8322</v>
      </c>
      <c r="N741" t="s">
        <v>130</v>
      </c>
      <c r="O741" t="s">
        <v>1669</v>
      </c>
      <c r="P741">
        <v>597.1</v>
      </c>
      <c r="Q741" s="33" t="s">
        <v>1955</v>
      </c>
      <c r="R741" t="s">
        <v>21</v>
      </c>
      <c r="S741" t="s">
        <v>22</v>
      </c>
      <c r="T741">
        <f t="shared" si="11"/>
        <v>468265.03999999957</v>
      </c>
    </row>
    <row r="742" spans="1:20" x14ac:dyDescent="0.25">
      <c r="A742" t="s">
        <v>1673</v>
      </c>
      <c r="B742" t="s">
        <v>125</v>
      </c>
      <c r="C742">
        <v>1</v>
      </c>
      <c r="D742">
        <v>2847</v>
      </c>
      <c r="E742" t="s">
        <v>1668</v>
      </c>
      <c r="F742" t="s">
        <v>322</v>
      </c>
      <c r="G742" s="31">
        <v>1</v>
      </c>
      <c r="H742" s="31">
        <v>1</v>
      </c>
      <c r="I742" t="s">
        <v>1954</v>
      </c>
      <c r="J742" t="s">
        <v>1954</v>
      </c>
      <c r="K742">
        <v>957034</v>
      </c>
      <c r="L742">
        <v>12280888</v>
      </c>
      <c r="M742" s="32">
        <v>12.8322</v>
      </c>
      <c r="N742" t="s">
        <v>130</v>
      </c>
      <c r="O742" t="s">
        <v>1669</v>
      </c>
      <c r="P742">
        <v>597.1</v>
      </c>
      <c r="Q742" s="33" t="s">
        <v>1955</v>
      </c>
      <c r="R742" t="s">
        <v>21</v>
      </c>
      <c r="S742" t="s">
        <v>22</v>
      </c>
      <c r="T742">
        <f t="shared" si="11"/>
        <v>468862.13999999955</v>
      </c>
    </row>
    <row r="743" spans="1:20" x14ac:dyDescent="0.25">
      <c r="A743" t="s">
        <v>1674</v>
      </c>
      <c r="B743" t="s">
        <v>125</v>
      </c>
      <c r="C743">
        <v>1</v>
      </c>
      <c r="D743">
        <v>2847</v>
      </c>
      <c r="E743" t="s">
        <v>1668</v>
      </c>
      <c r="F743" t="s">
        <v>322</v>
      </c>
      <c r="G743" s="31">
        <v>1</v>
      </c>
      <c r="H743" s="31">
        <v>1</v>
      </c>
      <c r="I743" t="s">
        <v>1954</v>
      </c>
      <c r="J743" t="s">
        <v>1954</v>
      </c>
      <c r="K743">
        <v>957034</v>
      </c>
      <c r="L743">
        <v>12280888</v>
      </c>
      <c r="M743" s="32">
        <v>12.8322</v>
      </c>
      <c r="N743" t="s">
        <v>130</v>
      </c>
      <c r="O743" t="s">
        <v>1669</v>
      </c>
      <c r="P743">
        <v>597.1</v>
      </c>
      <c r="Q743" s="33" t="s">
        <v>1955</v>
      </c>
      <c r="R743" t="s">
        <v>21</v>
      </c>
      <c r="S743" t="s">
        <v>22</v>
      </c>
      <c r="T743">
        <f t="shared" si="11"/>
        <v>469459.23999999953</v>
      </c>
    </row>
    <row r="744" spans="1:20" x14ac:dyDescent="0.25">
      <c r="A744" t="s">
        <v>1675</v>
      </c>
      <c r="B744" t="s">
        <v>125</v>
      </c>
      <c r="C744">
        <v>1</v>
      </c>
      <c r="D744">
        <v>2847</v>
      </c>
      <c r="E744" t="s">
        <v>1668</v>
      </c>
      <c r="F744" t="s">
        <v>322</v>
      </c>
      <c r="G744" s="31">
        <v>1</v>
      </c>
      <c r="H744" s="31">
        <v>1</v>
      </c>
      <c r="I744" t="s">
        <v>1954</v>
      </c>
      <c r="J744" t="s">
        <v>1954</v>
      </c>
      <c r="K744">
        <v>957034</v>
      </c>
      <c r="L744">
        <v>12280888</v>
      </c>
      <c r="M744" s="32">
        <v>12.8322</v>
      </c>
      <c r="N744" t="s">
        <v>130</v>
      </c>
      <c r="O744" t="s">
        <v>1669</v>
      </c>
      <c r="P744">
        <v>597.1</v>
      </c>
      <c r="Q744" s="33" t="s">
        <v>1955</v>
      </c>
      <c r="R744" t="s">
        <v>21</v>
      </c>
      <c r="S744" t="s">
        <v>22</v>
      </c>
      <c r="T744">
        <f t="shared" si="11"/>
        <v>470056.3399999995</v>
      </c>
    </row>
    <row r="745" spans="1:20" x14ac:dyDescent="0.25">
      <c r="A745" t="s">
        <v>684</v>
      </c>
      <c r="B745" t="s">
        <v>125</v>
      </c>
      <c r="C745">
        <v>2</v>
      </c>
      <c r="D745">
        <v>6034</v>
      </c>
      <c r="E745" t="s">
        <v>2008</v>
      </c>
      <c r="F745" t="s">
        <v>250</v>
      </c>
      <c r="G745" s="31">
        <v>0.53459999999999996</v>
      </c>
      <c r="H745" s="31">
        <v>0.5806</v>
      </c>
      <c r="I745" t="s">
        <v>1954</v>
      </c>
      <c r="J745" t="s">
        <v>1954</v>
      </c>
      <c r="K745">
        <v>418576</v>
      </c>
      <c r="L745">
        <v>5385579</v>
      </c>
      <c r="M745" s="32">
        <v>12.866400000000001</v>
      </c>
      <c r="N745" t="s">
        <v>141</v>
      </c>
      <c r="O745" t="s">
        <v>1493</v>
      </c>
      <c r="P745">
        <v>224</v>
      </c>
      <c r="Q745" t="s">
        <v>1958</v>
      </c>
      <c r="R745" t="s">
        <v>21</v>
      </c>
      <c r="S745" t="s">
        <v>22</v>
      </c>
      <c r="T745">
        <f t="shared" si="11"/>
        <v>470280.3399999995</v>
      </c>
    </row>
    <row r="746" spans="1:20" x14ac:dyDescent="0.25">
      <c r="A746" t="s">
        <v>687</v>
      </c>
      <c r="B746" t="s">
        <v>125</v>
      </c>
      <c r="C746">
        <v>2</v>
      </c>
      <c r="D746">
        <v>6034</v>
      </c>
      <c r="E746" t="s">
        <v>2008</v>
      </c>
      <c r="F746" t="s">
        <v>250</v>
      </c>
      <c r="G746" s="31">
        <v>0.53459999999999996</v>
      </c>
      <c r="H746" s="31">
        <v>0.5806</v>
      </c>
      <c r="I746" t="s">
        <v>1954</v>
      </c>
      <c r="J746" t="s">
        <v>1954</v>
      </c>
      <c r="K746">
        <v>418576</v>
      </c>
      <c r="L746">
        <v>5385579</v>
      </c>
      <c r="M746" s="32">
        <v>12.866400000000001</v>
      </c>
      <c r="N746" t="s">
        <v>141</v>
      </c>
      <c r="O746" t="s">
        <v>1493</v>
      </c>
      <c r="P746">
        <v>224</v>
      </c>
      <c r="Q746" t="s">
        <v>1958</v>
      </c>
      <c r="R746" t="s">
        <v>21</v>
      </c>
      <c r="S746" t="s">
        <v>22</v>
      </c>
      <c r="T746">
        <f t="shared" si="11"/>
        <v>470504.3399999995</v>
      </c>
    </row>
    <row r="747" spans="1:20" x14ac:dyDescent="0.25">
      <c r="A747" t="s">
        <v>688</v>
      </c>
      <c r="B747" t="s">
        <v>125</v>
      </c>
      <c r="C747">
        <v>2</v>
      </c>
      <c r="D747">
        <v>6034</v>
      </c>
      <c r="E747" t="s">
        <v>2008</v>
      </c>
      <c r="F747" t="s">
        <v>250</v>
      </c>
      <c r="G747" s="31">
        <v>0.53459999999999996</v>
      </c>
      <c r="H747" s="31">
        <v>0.5806</v>
      </c>
      <c r="I747" t="s">
        <v>1954</v>
      </c>
      <c r="J747" t="s">
        <v>1954</v>
      </c>
      <c r="K747">
        <v>418576</v>
      </c>
      <c r="L747">
        <v>5385579</v>
      </c>
      <c r="M747" s="32">
        <v>12.866400000000001</v>
      </c>
      <c r="N747" t="s">
        <v>141</v>
      </c>
      <c r="O747" t="s">
        <v>1493</v>
      </c>
      <c r="P747">
        <v>224</v>
      </c>
      <c r="Q747" t="s">
        <v>1958</v>
      </c>
      <c r="R747" t="s">
        <v>21</v>
      </c>
      <c r="S747" t="s">
        <v>22</v>
      </c>
      <c r="T747">
        <f t="shared" si="11"/>
        <v>470728.3399999995</v>
      </c>
    </row>
    <row r="748" spans="1:20" x14ac:dyDescent="0.25">
      <c r="A748" t="s">
        <v>747</v>
      </c>
      <c r="B748" t="s">
        <v>125</v>
      </c>
      <c r="C748">
        <v>2</v>
      </c>
      <c r="D748">
        <v>6034</v>
      </c>
      <c r="E748" t="s">
        <v>2008</v>
      </c>
      <c r="F748" t="s">
        <v>250</v>
      </c>
      <c r="G748" s="31">
        <v>0.51959999999999995</v>
      </c>
      <c r="H748" s="31">
        <v>0.56559999999999999</v>
      </c>
      <c r="I748" t="s">
        <v>1954</v>
      </c>
      <c r="J748" t="s">
        <v>1954</v>
      </c>
      <c r="K748">
        <v>418576</v>
      </c>
      <c r="L748">
        <v>5385579</v>
      </c>
      <c r="M748" s="32">
        <v>12.866400000000001</v>
      </c>
      <c r="N748" t="s">
        <v>141</v>
      </c>
      <c r="O748" t="s">
        <v>1493</v>
      </c>
      <c r="P748">
        <v>224</v>
      </c>
      <c r="Q748" t="s">
        <v>1958</v>
      </c>
      <c r="R748" t="s">
        <v>21</v>
      </c>
      <c r="S748" t="s">
        <v>22</v>
      </c>
      <c r="T748">
        <f t="shared" si="11"/>
        <v>470952.3399999995</v>
      </c>
    </row>
    <row r="749" spans="1:20" x14ac:dyDescent="0.25">
      <c r="A749" t="s">
        <v>749</v>
      </c>
      <c r="B749" t="s">
        <v>137</v>
      </c>
      <c r="C749">
        <v>2</v>
      </c>
      <c r="D749">
        <v>6034</v>
      </c>
      <c r="E749" t="s">
        <v>2008</v>
      </c>
      <c r="F749" t="s">
        <v>250</v>
      </c>
      <c r="G749" s="31">
        <v>0.51959999999999995</v>
      </c>
      <c r="H749" s="31">
        <v>0.56559999999999999</v>
      </c>
      <c r="I749" t="s">
        <v>1954</v>
      </c>
      <c r="J749" t="s">
        <v>1954</v>
      </c>
      <c r="K749">
        <v>418576</v>
      </c>
      <c r="L749">
        <v>5385579</v>
      </c>
      <c r="M749" s="32">
        <v>12.866400000000001</v>
      </c>
      <c r="N749" t="s">
        <v>141</v>
      </c>
      <c r="O749" t="s">
        <v>1493</v>
      </c>
      <c r="P749">
        <v>224</v>
      </c>
      <c r="Q749" t="s">
        <v>1958</v>
      </c>
      <c r="R749" t="s">
        <v>21</v>
      </c>
      <c r="S749" t="s">
        <v>22</v>
      </c>
      <c r="T749">
        <f t="shared" si="11"/>
        <v>471176.3399999995</v>
      </c>
    </row>
    <row r="750" spans="1:20" x14ac:dyDescent="0.25">
      <c r="A750" t="s">
        <v>1491</v>
      </c>
      <c r="B750" t="s">
        <v>137</v>
      </c>
      <c r="C750">
        <v>1</v>
      </c>
      <c r="D750">
        <v>6034</v>
      </c>
      <c r="E750" t="s">
        <v>2008</v>
      </c>
      <c r="F750" t="s">
        <v>250</v>
      </c>
      <c r="G750" s="31">
        <v>0.82750000000000001</v>
      </c>
      <c r="H750" s="31">
        <v>0.87350000000000005</v>
      </c>
      <c r="I750" t="s">
        <v>1954</v>
      </c>
      <c r="J750" t="s">
        <v>1954</v>
      </c>
      <c r="K750">
        <v>418576</v>
      </c>
      <c r="L750">
        <v>5385579</v>
      </c>
      <c r="M750" s="32">
        <v>12.866400000000001</v>
      </c>
      <c r="N750" t="s">
        <v>141</v>
      </c>
      <c r="O750" t="s">
        <v>1493</v>
      </c>
      <c r="P750">
        <v>224</v>
      </c>
      <c r="Q750" t="s">
        <v>1958</v>
      </c>
      <c r="R750" t="s">
        <v>21</v>
      </c>
      <c r="S750" t="s">
        <v>22</v>
      </c>
      <c r="T750">
        <f t="shared" si="11"/>
        <v>471400.3399999995</v>
      </c>
    </row>
    <row r="751" spans="1:20" x14ac:dyDescent="0.25">
      <c r="A751" t="s">
        <v>1494</v>
      </c>
      <c r="B751" t="s">
        <v>137</v>
      </c>
      <c r="C751">
        <v>1</v>
      </c>
      <c r="D751">
        <v>6034</v>
      </c>
      <c r="E751" t="s">
        <v>2008</v>
      </c>
      <c r="F751" t="s">
        <v>250</v>
      </c>
      <c r="G751" s="31">
        <v>0.82750000000000001</v>
      </c>
      <c r="H751" s="31">
        <v>0.87350000000000005</v>
      </c>
      <c r="I751" t="s">
        <v>1954</v>
      </c>
      <c r="J751" t="s">
        <v>1954</v>
      </c>
      <c r="K751">
        <v>418576</v>
      </c>
      <c r="L751">
        <v>5385579</v>
      </c>
      <c r="M751" s="32">
        <v>12.866400000000001</v>
      </c>
      <c r="N751" t="s">
        <v>141</v>
      </c>
      <c r="O751" t="s">
        <v>1493</v>
      </c>
      <c r="P751">
        <v>224</v>
      </c>
      <c r="Q751" t="s">
        <v>1958</v>
      </c>
      <c r="R751" t="s">
        <v>21</v>
      </c>
      <c r="S751" t="s">
        <v>22</v>
      </c>
      <c r="T751">
        <f t="shared" si="11"/>
        <v>471624.3399999995</v>
      </c>
    </row>
    <row r="752" spans="1:20" x14ac:dyDescent="0.25">
      <c r="A752" t="s">
        <v>558</v>
      </c>
      <c r="B752" t="s">
        <v>125</v>
      </c>
      <c r="C752">
        <v>1</v>
      </c>
      <c r="D752">
        <v>55247</v>
      </c>
      <c r="E752" t="s">
        <v>559</v>
      </c>
      <c r="F752" t="s">
        <v>322</v>
      </c>
      <c r="G752" s="31">
        <v>1</v>
      </c>
      <c r="H752" s="31">
        <v>1</v>
      </c>
      <c r="I752" t="s">
        <v>1954</v>
      </c>
      <c r="J752" t="s">
        <v>1954</v>
      </c>
      <c r="K752">
        <v>543925</v>
      </c>
      <c r="L752">
        <v>7002973</v>
      </c>
      <c r="M752" s="32">
        <v>12.8749</v>
      </c>
      <c r="N752" t="s">
        <v>130</v>
      </c>
      <c r="O752" t="s">
        <v>413</v>
      </c>
      <c r="P752">
        <v>480</v>
      </c>
      <c r="Q752" s="33" t="s">
        <v>1955</v>
      </c>
      <c r="R752" t="s">
        <v>21</v>
      </c>
      <c r="S752" t="s">
        <v>22</v>
      </c>
      <c r="T752">
        <f t="shared" si="11"/>
        <v>472104.3399999995</v>
      </c>
    </row>
    <row r="753" spans="1:20" x14ac:dyDescent="0.25">
      <c r="A753" t="s">
        <v>560</v>
      </c>
      <c r="B753" t="s">
        <v>125</v>
      </c>
      <c r="C753">
        <v>1</v>
      </c>
      <c r="D753">
        <v>55247</v>
      </c>
      <c r="E753" t="s">
        <v>559</v>
      </c>
      <c r="F753" t="s">
        <v>322</v>
      </c>
      <c r="G753" s="31">
        <v>1</v>
      </c>
      <c r="H753" s="31">
        <v>1</v>
      </c>
      <c r="I753" t="s">
        <v>1954</v>
      </c>
      <c r="J753" t="s">
        <v>1954</v>
      </c>
      <c r="K753">
        <v>543925</v>
      </c>
      <c r="L753">
        <v>7002973</v>
      </c>
      <c r="M753" s="32">
        <v>12.8749</v>
      </c>
      <c r="N753" t="s">
        <v>130</v>
      </c>
      <c r="O753" t="s">
        <v>413</v>
      </c>
      <c r="P753">
        <v>480</v>
      </c>
      <c r="Q753" s="33" t="s">
        <v>1955</v>
      </c>
      <c r="R753" t="s">
        <v>21</v>
      </c>
      <c r="S753" t="s">
        <v>22</v>
      </c>
      <c r="T753">
        <f t="shared" si="11"/>
        <v>472584.3399999995</v>
      </c>
    </row>
    <row r="754" spans="1:20" x14ac:dyDescent="0.25">
      <c r="A754" t="s">
        <v>561</v>
      </c>
      <c r="B754" t="s">
        <v>125</v>
      </c>
      <c r="C754">
        <v>1</v>
      </c>
      <c r="D754">
        <v>55247</v>
      </c>
      <c r="E754" t="s">
        <v>559</v>
      </c>
      <c r="F754" t="s">
        <v>322</v>
      </c>
      <c r="G754" s="31">
        <v>1</v>
      </c>
      <c r="H754" s="31">
        <v>1</v>
      </c>
      <c r="I754" t="s">
        <v>1954</v>
      </c>
      <c r="J754" t="s">
        <v>1954</v>
      </c>
      <c r="K754">
        <v>543925</v>
      </c>
      <c r="L754">
        <v>7002973</v>
      </c>
      <c r="M754" s="32">
        <v>12.8749</v>
      </c>
      <c r="N754" t="s">
        <v>130</v>
      </c>
      <c r="O754" t="s">
        <v>413</v>
      </c>
      <c r="P754">
        <v>480</v>
      </c>
      <c r="Q754" s="33" t="s">
        <v>1955</v>
      </c>
      <c r="R754" t="s">
        <v>21</v>
      </c>
      <c r="S754" t="s">
        <v>22</v>
      </c>
      <c r="T754">
        <f t="shared" si="11"/>
        <v>473064.3399999995</v>
      </c>
    </row>
    <row r="755" spans="1:20" x14ac:dyDescent="0.25">
      <c r="A755" t="s">
        <v>562</v>
      </c>
      <c r="B755" t="s">
        <v>125</v>
      </c>
      <c r="C755">
        <v>1</v>
      </c>
      <c r="D755">
        <v>55247</v>
      </c>
      <c r="E755" t="s">
        <v>559</v>
      </c>
      <c r="F755" t="s">
        <v>322</v>
      </c>
      <c r="G755" s="31">
        <v>1</v>
      </c>
      <c r="H755" s="31">
        <v>1</v>
      </c>
      <c r="I755" t="s">
        <v>1954</v>
      </c>
      <c r="J755" t="s">
        <v>1954</v>
      </c>
      <c r="K755">
        <v>543925</v>
      </c>
      <c r="L755">
        <v>7002973</v>
      </c>
      <c r="M755" s="32">
        <v>12.8749</v>
      </c>
      <c r="N755" t="s">
        <v>130</v>
      </c>
      <c r="O755" t="s">
        <v>413</v>
      </c>
      <c r="P755">
        <v>480</v>
      </c>
      <c r="Q755" s="33" t="s">
        <v>1955</v>
      </c>
      <c r="R755" t="s">
        <v>21</v>
      </c>
      <c r="S755" t="s">
        <v>22</v>
      </c>
      <c r="T755">
        <f t="shared" si="11"/>
        <v>473544.3399999995</v>
      </c>
    </row>
    <row r="756" spans="1:20" x14ac:dyDescent="0.25">
      <c r="A756" t="s">
        <v>563</v>
      </c>
      <c r="B756" t="s">
        <v>125</v>
      </c>
      <c r="C756">
        <v>1</v>
      </c>
      <c r="D756">
        <v>55247</v>
      </c>
      <c r="E756" t="s">
        <v>559</v>
      </c>
      <c r="F756" t="s">
        <v>322</v>
      </c>
      <c r="G756" s="31">
        <v>1</v>
      </c>
      <c r="H756" s="31">
        <v>1</v>
      </c>
      <c r="I756" t="s">
        <v>1954</v>
      </c>
      <c r="J756" t="s">
        <v>1954</v>
      </c>
      <c r="K756">
        <v>543925</v>
      </c>
      <c r="L756">
        <v>7002973</v>
      </c>
      <c r="M756" s="32">
        <v>12.8749</v>
      </c>
      <c r="N756" t="s">
        <v>130</v>
      </c>
      <c r="O756" t="s">
        <v>413</v>
      </c>
      <c r="P756">
        <v>480</v>
      </c>
      <c r="Q756" s="33" t="s">
        <v>1955</v>
      </c>
      <c r="R756" t="s">
        <v>21</v>
      </c>
      <c r="S756" t="s">
        <v>22</v>
      </c>
      <c r="T756">
        <f t="shared" si="11"/>
        <v>474024.3399999995</v>
      </c>
    </row>
    <row r="757" spans="1:20" x14ac:dyDescent="0.25">
      <c r="A757" t="s">
        <v>564</v>
      </c>
      <c r="B757" t="s">
        <v>125</v>
      </c>
      <c r="C757">
        <v>1</v>
      </c>
      <c r="D757">
        <v>55247</v>
      </c>
      <c r="E757" t="s">
        <v>559</v>
      </c>
      <c r="F757" t="s">
        <v>322</v>
      </c>
      <c r="G757" s="31">
        <v>1</v>
      </c>
      <c r="H757" s="31">
        <v>1</v>
      </c>
      <c r="I757" t="s">
        <v>1954</v>
      </c>
      <c r="J757" t="s">
        <v>1954</v>
      </c>
      <c r="K757">
        <v>543925</v>
      </c>
      <c r="L757">
        <v>7002973</v>
      </c>
      <c r="M757" s="32">
        <v>12.8749</v>
      </c>
      <c r="N757" t="s">
        <v>130</v>
      </c>
      <c r="O757" t="s">
        <v>413</v>
      </c>
      <c r="P757">
        <v>480</v>
      </c>
      <c r="Q757" s="33" t="s">
        <v>1955</v>
      </c>
      <c r="R757" t="s">
        <v>21</v>
      </c>
      <c r="S757" t="s">
        <v>22</v>
      </c>
      <c r="T757">
        <f t="shared" si="11"/>
        <v>474504.3399999995</v>
      </c>
    </row>
    <row r="758" spans="1:20" x14ac:dyDescent="0.25">
      <c r="A758" t="s">
        <v>641</v>
      </c>
      <c r="B758" t="s">
        <v>194</v>
      </c>
      <c r="C758">
        <v>1</v>
      </c>
      <c r="D758">
        <v>4257</v>
      </c>
      <c r="E758" t="s">
        <v>2039</v>
      </c>
      <c r="F758" t="s">
        <v>307</v>
      </c>
      <c r="G758" s="31">
        <v>1</v>
      </c>
      <c r="H758" s="31">
        <v>1</v>
      </c>
      <c r="I758" t="s">
        <v>1954</v>
      </c>
      <c r="J758" t="s">
        <v>1954</v>
      </c>
      <c r="K758">
        <v>4367</v>
      </c>
      <c r="L758">
        <v>56236</v>
      </c>
      <c r="M758" s="32">
        <v>12.8775</v>
      </c>
      <c r="N758" t="s">
        <v>2040</v>
      </c>
      <c r="O758" t="s">
        <v>643</v>
      </c>
      <c r="P758">
        <v>37</v>
      </c>
      <c r="Q758" t="s">
        <v>1958</v>
      </c>
      <c r="R758" t="s">
        <v>21</v>
      </c>
      <c r="S758" t="s">
        <v>22</v>
      </c>
      <c r="T758">
        <f t="shared" si="11"/>
        <v>474541.3399999995</v>
      </c>
    </row>
    <row r="759" spans="1:20" x14ac:dyDescent="0.25">
      <c r="A759" t="s">
        <v>644</v>
      </c>
      <c r="B759" t="s">
        <v>194</v>
      </c>
      <c r="C759">
        <v>1</v>
      </c>
      <c r="D759">
        <v>4257</v>
      </c>
      <c r="E759" t="s">
        <v>2039</v>
      </c>
      <c r="F759" t="s">
        <v>307</v>
      </c>
      <c r="G759" s="31">
        <v>1</v>
      </c>
      <c r="H759" s="31">
        <v>1</v>
      </c>
      <c r="I759" t="s">
        <v>1954</v>
      </c>
      <c r="J759" t="s">
        <v>1954</v>
      </c>
      <c r="K759">
        <v>4367</v>
      </c>
      <c r="L759">
        <v>56236</v>
      </c>
      <c r="M759" s="32">
        <v>12.8775</v>
      </c>
      <c r="N759" t="s">
        <v>2040</v>
      </c>
      <c r="O759" t="s">
        <v>643</v>
      </c>
      <c r="P759">
        <v>37</v>
      </c>
      <c r="Q759" t="s">
        <v>1958</v>
      </c>
      <c r="R759" t="s">
        <v>21</v>
      </c>
      <c r="S759" t="s">
        <v>22</v>
      </c>
      <c r="T759">
        <f t="shared" si="11"/>
        <v>474578.3399999995</v>
      </c>
    </row>
    <row r="760" spans="1:20" x14ac:dyDescent="0.25">
      <c r="A760" t="s">
        <v>645</v>
      </c>
      <c r="B760" t="s">
        <v>194</v>
      </c>
      <c r="C760">
        <v>1</v>
      </c>
      <c r="D760">
        <v>4257</v>
      </c>
      <c r="E760" t="s">
        <v>2039</v>
      </c>
      <c r="F760" t="s">
        <v>307</v>
      </c>
      <c r="G760" s="31">
        <v>1</v>
      </c>
      <c r="H760" s="31">
        <v>1</v>
      </c>
      <c r="I760" t="s">
        <v>1954</v>
      </c>
      <c r="J760" t="s">
        <v>1954</v>
      </c>
      <c r="K760">
        <v>4367</v>
      </c>
      <c r="L760">
        <v>56236</v>
      </c>
      <c r="M760" s="32">
        <v>12.8775</v>
      </c>
      <c r="N760" t="s">
        <v>2040</v>
      </c>
      <c r="O760" t="s">
        <v>643</v>
      </c>
      <c r="P760">
        <v>37</v>
      </c>
      <c r="Q760" t="s">
        <v>1958</v>
      </c>
      <c r="R760" t="s">
        <v>21</v>
      </c>
      <c r="S760" t="s">
        <v>22</v>
      </c>
      <c r="T760">
        <f t="shared" si="11"/>
        <v>474615.3399999995</v>
      </c>
    </row>
    <row r="761" spans="1:20" x14ac:dyDescent="0.25">
      <c r="A761" t="s">
        <v>646</v>
      </c>
      <c r="B761" t="s">
        <v>194</v>
      </c>
      <c r="C761">
        <v>1</v>
      </c>
      <c r="D761">
        <v>4257</v>
      </c>
      <c r="E761" t="s">
        <v>2039</v>
      </c>
      <c r="F761" t="s">
        <v>307</v>
      </c>
      <c r="G761" s="31">
        <v>1</v>
      </c>
      <c r="H761" s="31">
        <v>1</v>
      </c>
      <c r="I761" t="s">
        <v>1954</v>
      </c>
      <c r="J761" t="s">
        <v>1954</v>
      </c>
      <c r="K761">
        <v>4367</v>
      </c>
      <c r="L761">
        <v>56236</v>
      </c>
      <c r="M761" s="32">
        <v>12.8775</v>
      </c>
      <c r="N761" t="s">
        <v>2040</v>
      </c>
      <c r="O761" t="s">
        <v>643</v>
      </c>
      <c r="P761">
        <v>37</v>
      </c>
      <c r="Q761" t="s">
        <v>1958</v>
      </c>
      <c r="R761" t="s">
        <v>21</v>
      </c>
      <c r="S761" t="s">
        <v>22</v>
      </c>
      <c r="T761">
        <f t="shared" si="11"/>
        <v>474652.3399999995</v>
      </c>
    </row>
    <row r="762" spans="1:20" x14ac:dyDescent="0.25">
      <c r="A762" t="s">
        <v>647</v>
      </c>
      <c r="B762" t="s">
        <v>194</v>
      </c>
      <c r="C762">
        <v>1</v>
      </c>
      <c r="D762">
        <v>4257</v>
      </c>
      <c r="E762" t="s">
        <v>2039</v>
      </c>
      <c r="F762" t="s">
        <v>307</v>
      </c>
      <c r="G762" s="31">
        <v>1</v>
      </c>
      <c r="H762" s="31">
        <v>1</v>
      </c>
      <c r="I762" t="s">
        <v>1954</v>
      </c>
      <c r="J762" t="s">
        <v>1954</v>
      </c>
      <c r="K762">
        <v>4367</v>
      </c>
      <c r="L762">
        <v>56236</v>
      </c>
      <c r="M762" s="32">
        <v>12.8775</v>
      </c>
      <c r="N762" t="s">
        <v>2040</v>
      </c>
      <c r="O762" t="s">
        <v>643</v>
      </c>
      <c r="P762">
        <v>37</v>
      </c>
      <c r="Q762" t="s">
        <v>1958</v>
      </c>
      <c r="R762" t="s">
        <v>21</v>
      </c>
      <c r="S762" t="s">
        <v>22</v>
      </c>
      <c r="T762">
        <f t="shared" si="11"/>
        <v>474689.3399999995</v>
      </c>
    </row>
    <row r="763" spans="1:20" x14ac:dyDescent="0.25">
      <c r="A763" t="s">
        <v>648</v>
      </c>
      <c r="B763" t="s">
        <v>194</v>
      </c>
      <c r="C763">
        <v>1</v>
      </c>
      <c r="D763">
        <v>4257</v>
      </c>
      <c r="E763" t="s">
        <v>2039</v>
      </c>
      <c r="F763" t="s">
        <v>307</v>
      </c>
      <c r="G763" s="31">
        <v>1</v>
      </c>
      <c r="H763" s="31">
        <v>1</v>
      </c>
      <c r="I763" t="s">
        <v>1954</v>
      </c>
      <c r="J763" t="s">
        <v>1954</v>
      </c>
      <c r="K763">
        <v>4367</v>
      </c>
      <c r="L763">
        <v>56236</v>
      </c>
      <c r="M763" s="32">
        <v>12.8775</v>
      </c>
      <c r="N763" t="s">
        <v>2040</v>
      </c>
      <c r="O763" t="s">
        <v>643</v>
      </c>
      <c r="P763">
        <v>37</v>
      </c>
      <c r="Q763" t="s">
        <v>1958</v>
      </c>
      <c r="R763" t="s">
        <v>21</v>
      </c>
      <c r="S763" t="s">
        <v>22</v>
      </c>
      <c r="T763">
        <f t="shared" si="11"/>
        <v>474726.3399999995</v>
      </c>
    </row>
    <row r="764" spans="1:20" x14ac:dyDescent="0.25">
      <c r="A764" t="s">
        <v>649</v>
      </c>
      <c r="B764" t="s">
        <v>194</v>
      </c>
      <c r="C764">
        <v>1</v>
      </c>
      <c r="D764">
        <v>4257</v>
      </c>
      <c r="E764" t="s">
        <v>2039</v>
      </c>
      <c r="F764" t="s">
        <v>307</v>
      </c>
      <c r="G764" s="31">
        <v>1</v>
      </c>
      <c r="H764" s="31">
        <v>1</v>
      </c>
      <c r="I764" t="s">
        <v>1954</v>
      </c>
      <c r="J764" t="s">
        <v>1954</v>
      </c>
      <c r="K764">
        <v>4367</v>
      </c>
      <c r="L764">
        <v>56236</v>
      </c>
      <c r="M764" s="32">
        <v>12.8775</v>
      </c>
      <c r="N764" t="s">
        <v>2040</v>
      </c>
      <c r="O764" t="s">
        <v>643</v>
      </c>
      <c r="P764">
        <v>37</v>
      </c>
      <c r="Q764" t="s">
        <v>1958</v>
      </c>
      <c r="R764" t="s">
        <v>21</v>
      </c>
      <c r="S764" t="s">
        <v>22</v>
      </c>
      <c r="T764">
        <f t="shared" si="11"/>
        <v>474763.3399999995</v>
      </c>
    </row>
    <row r="765" spans="1:20" x14ac:dyDescent="0.25">
      <c r="A765" t="s">
        <v>650</v>
      </c>
      <c r="B765" t="s">
        <v>194</v>
      </c>
      <c r="C765">
        <v>1</v>
      </c>
      <c r="D765">
        <v>4257</v>
      </c>
      <c r="E765" t="s">
        <v>2039</v>
      </c>
      <c r="F765" t="s">
        <v>307</v>
      </c>
      <c r="G765" s="31">
        <v>1</v>
      </c>
      <c r="H765" s="31">
        <v>1</v>
      </c>
      <c r="I765" t="s">
        <v>1954</v>
      </c>
      <c r="J765" t="s">
        <v>1954</v>
      </c>
      <c r="K765">
        <v>4367</v>
      </c>
      <c r="L765">
        <v>56236</v>
      </c>
      <c r="M765" s="32">
        <v>12.8775</v>
      </c>
      <c r="N765" t="s">
        <v>2040</v>
      </c>
      <c r="O765" t="s">
        <v>643</v>
      </c>
      <c r="P765">
        <v>37</v>
      </c>
      <c r="Q765" t="s">
        <v>1958</v>
      </c>
      <c r="R765" t="s">
        <v>21</v>
      </c>
      <c r="S765" t="s">
        <v>22</v>
      </c>
      <c r="T765">
        <f t="shared" si="11"/>
        <v>474800.3399999995</v>
      </c>
    </row>
    <row r="766" spans="1:20" x14ac:dyDescent="0.25">
      <c r="A766" t="s">
        <v>651</v>
      </c>
      <c r="B766" t="s">
        <v>194</v>
      </c>
      <c r="C766">
        <v>1</v>
      </c>
      <c r="D766">
        <v>4257</v>
      </c>
      <c r="E766" t="s">
        <v>2039</v>
      </c>
      <c r="F766" t="s">
        <v>307</v>
      </c>
      <c r="G766" s="31">
        <v>1</v>
      </c>
      <c r="H766" s="31">
        <v>1</v>
      </c>
      <c r="I766" t="s">
        <v>1954</v>
      </c>
      <c r="J766" t="s">
        <v>1954</v>
      </c>
      <c r="K766">
        <v>4367</v>
      </c>
      <c r="L766">
        <v>56236</v>
      </c>
      <c r="M766" s="32">
        <v>12.8775</v>
      </c>
      <c r="N766" t="s">
        <v>2040</v>
      </c>
      <c r="O766" t="s">
        <v>643</v>
      </c>
      <c r="P766">
        <v>37</v>
      </c>
      <c r="Q766" t="s">
        <v>1958</v>
      </c>
      <c r="R766" t="s">
        <v>21</v>
      </c>
      <c r="S766" t="s">
        <v>22</v>
      </c>
      <c r="T766">
        <f t="shared" si="11"/>
        <v>474837.3399999995</v>
      </c>
    </row>
    <row r="767" spans="1:20" x14ac:dyDescent="0.25">
      <c r="A767" t="s">
        <v>654</v>
      </c>
      <c r="B767" t="s">
        <v>194</v>
      </c>
      <c r="C767">
        <v>1</v>
      </c>
      <c r="D767">
        <v>4257</v>
      </c>
      <c r="E767" t="s">
        <v>2039</v>
      </c>
      <c r="F767" t="s">
        <v>307</v>
      </c>
      <c r="G767" s="31">
        <v>1</v>
      </c>
      <c r="H767" s="31">
        <v>1</v>
      </c>
      <c r="I767" t="s">
        <v>1954</v>
      </c>
      <c r="J767" t="s">
        <v>1954</v>
      </c>
      <c r="K767">
        <v>4367</v>
      </c>
      <c r="L767">
        <v>56236</v>
      </c>
      <c r="M767" s="32">
        <v>12.8775</v>
      </c>
      <c r="N767" t="s">
        <v>2040</v>
      </c>
      <c r="O767" t="s">
        <v>643</v>
      </c>
      <c r="P767">
        <v>37</v>
      </c>
      <c r="Q767" t="s">
        <v>1958</v>
      </c>
      <c r="R767" t="s">
        <v>21</v>
      </c>
      <c r="S767" t="s">
        <v>22</v>
      </c>
      <c r="T767">
        <f t="shared" si="11"/>
        <v>474874.3399999995</v>
      </c>
    </row>
    <row r="768" spans="1:20" x14ac:dyDescent="0.25">
      <c r="A768" t="s">
        <v>655</v>
      </c>
      <c r="B768" t="s">
        <v>194</v>
      </c>
      <c r="C768">
        <v>1</v>
      </c>
      <c r="D768">
        <v>4257</v>
      </c>
      <c r="E768" t="s">
        <v>2039</v>
      </c>
      <c r="F768" t="s">
        <v>307</v>
      </c>
      <c r="G768" s="31">
        <v>1</v>
      </c>
      <c r="H768" s="31">
        <v>1</v>
      </c>
      <c r="I768" t="s">
        <v>1954</v>
      </c>
      <c r="J768" t="s">
        <v>1954</v>
      </c>
      <c r="K768">
        <v>4367</v>
      </c>
      <c r="L768">
        <v>56236</v>
      </c>
      <c r="M768" s="32">
        <v>12.8775</v>
      </c>
      <c r="N768" t="s">
        <v>2040</v>
      </c>
      <c r="O768" t="s">
        <v>643</v>
      </c>
      <c r="P768">
        <v>37</v>
      </c>
      <c r="Q768" t="s">
        <v>1958</v>
      </c>
      <c r="R768" t="s">
        <v>21</v>
      </c>
      <c r="S768" t="s">
        <v>22</v>
      </c>
      <c r="T768">
        <f t="shared" si="11"/>
        <v>474911.3399999995</v>
      </c>
    </row>
    <row r="769" spans="1:20" x14ac:dyDescent="0.25">
      <c r="A769" t="s">
        <v>656</v>
      </c>
      <c r="B769" t="s">
        <v>194</v>
      </c>
      <c r="C769">
        <v>1</v>
      </c>
      <c r="D769">
        <v>4257</v>
      </c>
      <c r="E769" t="s">
        <v>2039</v>
      </c>
      <c r="F769" t="s">
        <v>307</v>
      </c>
      <c r="G769" s="31">
        <v>1</v>
      </c>
      <c r="H769" s="31">
        <v>1</v>
      </c>
      <c r="I769" t="s">
        <v>1954</v>
      </c>
      <c r="J769" t="s">
        <v>1954</v>
      </c>
      <c r="K769">
        <v>4367</v>
      </c>
      <c r="L769">
        <v>56236</v>
      </c>
      <c r="M769" s="32">
        <v>12.8775</v>
      </c>
      <c r="N769" t="s">
        <v>2040</v>
      </c>
      <c r="O769" t="s">
        <v>643</v>
      </c>
      <c r="P769">
        <v>37</v>
      </c>
      <c r="Q769" t="s">
        <v>1958</v>
      </c>
      <c r="R769" t="s">
        <v>21</v>
      </c>
      <c r="S769" t="s">
        <v>22</v>
      </c>
      <c r="T769">
        <f t="shared" si="11"/>
        <v>474948.3399999995</v>
      </c>
    </row>
    <row r="770" spans="1:20" x14ac:dyDescent="0.25">
      <c r="A770" t="s">
        <v>657</v>
      </c>
      <c r="B770" t="s">
        <v>194</v>
      </c>
      <c r="C770">
        <v>1</v>
      </c>
      <c r="D770">
        <v>4257</v>
      </c>
      <c r="E770" t="s">
        <v>2039</v>
      </c>
      <c r="F770" t="s">
        <v>307</v>
      </c>
      <c r="G770" s="31">
        <v>1</v>
      </c>
      <c r="H770" s="31">
        <v>1</v>
      </c>
      <c r="I770" t="s">
        <v>1954</v>
      </c>
      <c r="J770" t="s">
        <v>1954</v>
      </c>
      <c r="K770">
        <v>4367</v>
      </c>
      <c r="L770">
        <v>56236</v>
      </c>
      <c r="M770" s="32">
        <v>12.8775</v>
      </c>
      <c r="N770" t="s">
        <v>2040</v>
      </c>
      <c r="O770" t="s">
        <v>643</v>
      </c>
      <c r="P770">
        <v>37</v>
      </c>
      <c r="Q770" t="s">
        <v>1958</v>
      </c>
      <c r="R770" t="s">
        <v>21</v>
      </c>
      <c r="S770" t="s">
        <v>22</v>
      </c>
      <c r="T770">
        <f t="shared" si="11"/>
        <v>474985.3399999995</v>
      </c>
    </row>
    <row r="771" spans="1:20" x14ac:dyDescent="0.25">
      <c r="A771" t="s">
        <v>658</v>
      </c>
      <c r="B771" t="s">
        <v>194</v>
      </c>
      <c r="C771">
        <v>1</v>
      </c>
      <c r="D771">
        <v>4257</v>
      </c>
      <c r="E771" t="s">
        <v>2039</v>
      </c>
      <c r="F771" t="s">
        <v>307</v>
      </c>
      <c r="G771" s="31">
        <v>1</v>
      </c>
      <c r="H771" s="31">
        <v>1</v>
      </c>
      <c r="I771" t="s">
        <v>1954</v>
      </c>
      <c r="J771" t="s">
        <v>1954</v>
      </c>
      <c r="K771">
        <v>4367</v>
      </c>
      <c r="L771">
        <v>56236</v>
      </c>
      <c r="M771" s="32">
        <v>12.8775</v>
      </c>
      <c r="N771" t="s">
        <v>2040</v>
      </c>
      <c r="O771" t="s">
        <v>643</v>
      </c>
      <c r="P771">
        <v>37</v>
      </c>
      <c r="Q771" t="s">
        <v>1958</v>
      </c>
      <c r="R771" t="s">
        <v>21</v>
      </c>
      <c r="S771" t="s">
        <v>22</v>
      </c>
      <c r="T771">
        <f t="shared" si="11"/>
        <v>475022.3399999995</v>
      </c>
    </row>
    <row r="772" spans="1:20" x14ac:dyDescent="0.25">
      <c r="A772" t="s">
        <v>659</v>
      </c>
      <c r="B772" t="s">
        <v>194</v>
      </c>
      <c r="C772">
        <v>1</v>
      </c>
      <c r="D772">
        <v>4257</v>
      </c>
      <c r="E772" t="s">
        <v>2039</v>
      </c>
      <c r="F772" t="s">
        <v>307</v>
      </c>
      <c r="G772" s="31">
        <v>1</v>
      </c>
      <c r="H772" s="31">
        <v>1</v>
      </c>
      <c r="I772" t="s">
        <v>1954</v>
      </c>
      <c r="J772" t="s">
        <v>1954</v>
      </c>
      <c r="K772">
        <v>4367</v>
      </c>
      <c r="L772">
        <v>56236</v>
      </c>
      <c r="M772" s="32">
        <v>12.8775</v>
      </c>
      <c r="N772" t="s">
        <v>2040</v>
      </c>
      <c r="O772" t="s">
        <v>643</v>
      </c>
      <c r="P772">
        <v>37</v>
      </c>
      <c r="Q772" t="s">
        <v>1958</v>
      </c>
      <c r="R772" t="s">
        <v>21</v>
      </c>
      <c r="S772" t="s">
        <v>22</v>
      </c>
      <c r="T772">
        <f t="shared" ref="T772:T835" si="12">T771+P772</f>
        <v>475059.3399999995</v>
      </c>
    </row>
    <row r="773" spans="1:20" x14ac:dyDescent="0.25">
      <c r="A773" t="s">
        <v>669</v>
      </c>
      <c r="B773" t="s">
        <v>189</v>
      </c>
      <c r="C773">
        <v>1</v>
      </c>
      <c r="D773">
        <v>593</v>
      </c>
      <c r="E773" t="s">
        <v>670</v>
      </c>
      <c r="F773" t="s">
        <v>672</v>
      </c>
      <c r="G773" s="31">
        <v>1</v>
      </c>
      <c r="H773" s="31">
        <v>1</v>
      </c>
      <c r="I773" t="s">
        <v>1954</v>
      </c>
      <c r="J773" t="s">
        <v>1954</v>
      </c>
      <c r="K773">
        <v>395846</v>
      </c>
      <c r="L773">
        <v>5105548</v>
      </c>
      <c r="M773" s="32">
        <v>12.8978</v>
      </c>
      <c r="N773" t="s">
        <v>671</v>
      </c>
      <c r="O773" t="s">
        <v>673</v>
      </c>
      <c r="P773">
        <v>695</v>
      </c>
      <c r="Q773" s="33" t="s">
        <v>1955</v>
      </c>
      <c r="R773" t="s">
        <v>21</v>
      </c>
      <c r="S773" t="s">
        <v>22</v>
      </c>
      <c r="T773">
        <f t="shared" si="12"/>
        <v>475754.3399999995</v>
      </c>
    </row>
    <row r="774" spans="1:20" x14ac:dyDescent="0.25">
      <c r="A774" t="s">
        <v>674</v>
      </c>
      <c r="B774" t="s">
        <v>189</v>
      </c>
      <c r="C774">
        <v>1</v>
      </c>
      <c r="D774">
        <v>593</v>
      </c>
      <c r="E774" t="s">
        <v>670</v>
      </c>
      <c r="F774" t="s">
        <v>672</v>
      </c>
      <c r="G774" s="31">
        <v>1</v>
      </c>
      <c r="H774" s="31">
        <v>1</v>
      </c>
      <c r="I774" t="s">
        <v>1954</v>
      </c>
      <c r="J774" t="s">
        <v>1954</v>
      </c>
      <c r="K774">
        <v>395846</v>
      </c>
      <c r="L774">
        <v>5105548</v>
      </c>
      <c r="M774" s="32">
        <v>12.8978</v>
      </c>
      <c r="N774" t="s">
        <v>671</v>
      </c>
      <c r="O774" t="s">
        <v>673</v>
      </c>
      <c r="P774">
        <v>695</v>
      </c>
      <c r="Q774" s="33" t="s">
        <v>1955</v>
      </c>
      <c r="R774" t="s">
        <v>21</v>
      </c>
      <c r="S774" t="s">
        <v>22</v>
      </c>
      <c r="T774">
        <f t="shared" si="12"/>
        <v>476449.3399999995</v>
      </c>
    </row>
    <row r="775" spans="1:20" x14ac:dyDescent="0.25">
      <c r="A775" t="s">
        <v>675</v>
      </c>
      <c r="B775" t="s">
        <v>189</v>
      </c>
      <c r="C775">
        <v>1</v>
      </c>
      <c r="D775">
        <v>593</v>
      </c>
      <c r="E775" t="s">
        <v>670</v>
      </c>
      <c r="F775" t="s">
        <v>672</v>
      </c>
      <c r="G775" s="31">
        <v>1</v>
      </c>
      <c r="H775" s="31">
        <v>1</v>
      </c>
      <c r="I775" t="s">
        <v>1954</v>
      </c>
      <c r="J775" t="s">
        <v>1954</v>
      </c>
      <c r="K775">
        <v>395846</v>
      </c>
      <c r="L775">
        <v>5105548</v>
      </c>
      <c r="M775" s="32">
        <v>12.8978</v>
      </c>
      <c r="N775" t="s">
        <v>671</v>
      </c>
      <c r="O775" t="s">
        <v>673</v>
      </c>
      <c r="P775">
        <v>695</v>
      </c>
      <c r="Q775" s="33" t="s">
        <v>1955</v>
      </c>
      <c r="R775" t="s">
        <v>21</v>
      </c>
      <c r="S775" t="s">
        <v>22</v>
      </c>
      <c r="T775">
        <f t="shared" si="12"/>
        <v>477144.3399999995</v>
      </c>
    </row>
    <row r="776" spans="1:20" x14ac:dyDescent="0.25">
      <c r="A776" t="s">
        <v>1483</v>
      </c>
      <c r="B776" t="s">
        <v>125</v>
      </c>
      <c r="C776">
        <v>1</v>
      </c>
      <c r="D776">
        <v>3168</v>
      </c>
      <c r="E776" t="s">
        <v>2152</v>
      </c>
      <c r="F776" t="s">
        <v>143</v>
      </c>
      <c r="G776" s="31">
        <v>1</v>
      </c>
      <c r="H776" s="31">
        <v>1</v>
      </c>
      <c r="I776" t="s">
        <v>1954</v>
      </c>
      <c r="J776" t="s">
        <v>1954</v>
      </c>
      <c r="K776">
        <v>5753</v>
      </c>
      <c r="L776">
        <v>74681</v>
      </c>
      <c r="M776" s="32">
        <v>12.981199999999999</v>
      </c>
      <c r="N776" t="s">
        <v>584</v>
      </c>
      <c r="O776" t="s">
        <v>1485</v>
      </c>
      <c r="P776">
        <v>98</v>
      </c>
      <c r="Q776" t="s">
        <v>1958</v>
      </c>
      <c r="R776" t="s">
        <v>21</v>
      </c>
      <c r="S776" t="s">
        <v>22</v>
      </c>
      <c r="T776">
        <f t="shared" si="12"/>
        <v>477242.3399999995</v>
      </c>
    </row>
    <row r="777" spans="1:20" x14ac:dyDescent="0.25">
      <c r="A777" t="s">
        <v>1486</v>
      </c>
      <c r="B777" t="s">
        <v>125</v>
      </c>
      <c r="C777">
        <v>1</v>
      </c>
      <c r="D777">
        <v>3168</v>
      </c>
      <c r="E777" t="s">
        <v>2152</v>
      </c>
      <c r="F777" t="s">
        <v>143</v>
      </c>
      <c r="G777" s="31">
        <v>1</v>
      </c>
      <c r="H777" s="31">
        <v>1</v>
      </c>
      <c r="I777" t="s">
        <v>1954</v>
      </c>
      <c r="J777" t="s">
        <v>1954</v>
      </c>
      <c r="K777">
        <v>5753</v>
      </c>
      <c r="L777">
        <v>74681</v>
      </c>
      <c r="M777" s="32">
        <v>12.981199999999999</v>
      </c>
      <c r="N777" t="s">
        <v>584</v>
      </c>
      <c r="O777" t="s">
        <v>1485</v>
      </c>
      <c r="P777">
        <v>98</v>
      </c>
      <c r="Q777" t="s">
        <v>1958</v>
      </c>
      <c r="R777" t="s">
        <v>21</v>
      </c>
      <c r="S777" t="s">
        <v>22</v>
      </c>
      <c r="T777">
        <f t="shared" si="12"/>
        <v>477340.3399999995</v>
      </c>
    </row>
    <row r="778" spans="1:20" x14ac:dyDescent="0.25">
      <c r="A778" t="s">
        <v>1101</v>
      </c>
      <c r="B778" t="s">
        <v>125</v>
      </c>
      <c r="C778">
        <v>1</v>
      </c>
      <c r="D778">
        <v>2406</v>
      </c>
      <c r="E778" t="s">
        <v>1097</v>
      </c>
      <c r="F778" t="s">
        <v>241</v>
      </c>
      <c r="G778" s="31">
        <v>1</v>
      </c>
      <c r="H778" s="31">
        <v>1</v>
      </c>
      <c r="I778" t="s">
        <v>1954</v>
      </c>
      <c r="J778" t="s">
        <v>1954</v>
      </c>
      <c r="K778">
        <v>102614</v>
      </c>
      <c r="L778">
        <v>1334746</v>
      </c>
      <c r="M778" s="32">
        <v>13.007400000000001</v>
      </c>
      <c r="N778" t="s">
        <v>130</v>
      </c>
      <c r="O778" t="s">
        <v>1102</v>
      </c>
      <c r="P778">
        <v>336.2</v>
      </c>
      <c r="Q778" s="33" t="s">
        <v>1955</v>
      </c>
      <c r="R778" t="s">
        <v>21</v>
      </c>
      <c r="S778" t="s">
        <v>22</v>
      </c>
      <c r="T778">
        <f t="shared" si="12"/>
        <v>477676.53999999951</v>
      </c>
    </row>
    <row r="779" spans="1:20" x14ac:dyDescent="0.25">
      <c r="A779" t="s">
        <v>1103</v>
      </c>
      <c r="B779" t="s">
        <v>125</v>
      </c>
      <c r="C779">
        <v>1</v>
      </c>
      <c r="D779">
        <v>2406</v>
      </c>
      <c r="E779" t="s">
        <v>1097</v>
      </c>
      <c r="F779" t="s">
        <v>241</v>
      </c>
      <c r="G779" s="31">
        <v>1</v>
      </c>
      <c r="H779" s="31">
        <v>1</v>
      </c>
      <c r="I779" t="s">
        <v>1954</v>
      </c>
      <c r="J779" t="s">
        <v>1954</v>
      </c>
      <c r="K779">
        <v>102614</v>
      </c>
      <c r="L779">
        <v>1334746</v>
      </c>
      <c r="M779" s="32">
        <v>13.007400000000001</v>
      </c>
      <c r="N779" t="s">
        <v>130</v>
      </c>
      <c r="O779" t="s">
        <v>1102</v>
      </c>
      <c r="P779">
        <v>336.2</v>
      </c>
      <c r="Q779" s="33" t="s">
        <v>1955</v>
      </c>
      <c r="R779" t="s">
        <v>21</v>
      </c>
      <c r="S779" t="s">
        <v>22</v>
      </c>
      <c r="T779">
        <f t="shared" si="12"/>
        <v>478012.73999999953</v>
      </c>
    </row>
    <row r="780" spans="1:20" x14ac:dyDescent="0.25">
      <c r="A780" t="s">
        <v>1104</v>
      </c>
      <c r="B780" t="s">
        <v>125</v>
      </c>
      <c r="C780">
        <v>1</v>
      </c>
      <c r="D780">
        <v>2406</v>
      </c>
      <c r="E780" t="s">
        <v>1097</v>
      </c>
      <c r="F780" t="s">
        <v>241</v>
      </c>
      <c r="G780" s="31">
        <v>1</v>
      </c>
      <c r="H780" s="31">
        <v>1</v>
      </c>
      <c r="I780" t="s">
        <v>1954</v>
      </c>
      <c r="J780" t="s">
        <v>1954</v>
      </c>
      <c r="K780">
        <v>102614</v>
      </c>
      <c r="L780">
        <v>1334746</v>
      </c>
      <c r="M780" s="32">
        <v>13.007400000000001</v>
      </c>
      <c r="N780" t="s">
        <v>130</v>
      </c>
      <c r="O780" t="s">
        <v>1102</v>
      </c>
      <c r="P780">
        <v>336.2</v>
      </c>
      <c r="Q780" s="33" t="s">
        <v>1955</v>
      </c>
      <c r="R780" t="s">
        <v>21</v>
      </c>
      <c r="S780" t="s">
        <v>22</v>
      </c>
      <c r="T780">
        <f t="shared" si="12"/>
        <v>478348.93999999954</v>
      </c>
    </row>
    <row r="781" spans="1:20" x14ac:dyDescent="0.25">
      <c r="A781" t="s">
        <v>1105</v>
      </c>
      <c r="B781" t="s">
        <v>125</v>
      </c>
      <c r="C781">
        <v>1</v>
      </c>
      <c r="D781">
        <v>2406</v>
      </c>
      <c r="E781" t="s">
        <v>1097</v>
      </c>
      <c r="F781" t="s">
        <v>241</v>
      </c>
      <c r="G781" s="31">
        <v>1</v>
      </c>
      <c r="H781" s="31">
        <v>1</v>
      </c>
      <c r="I781" t="s">
        <v>1954</v>
      </c>
      <c r="J781" t="s">
        <v>1954</v>
      </c>
      <c r="K781">
        <v>102614</v>
      </c>
      <c r="L781">
        <v>1334746</v>
      </c>
      <c r="M781" s="32">
        <v>13.007400000000001</v>
      </c>
      <c r="N781" t="s">
        <v>130</v>
      </c>
      <c r="O781" t="s">
        <v>1102</v>
      </c>
      <c r="P781">
        <v>336.2</v>
      </c>
      <c r="Q781" s="33" t="s">
        <v>1955</v>
      </c>
      <c r="R781" t="s">
        <v>21</v>
      </c>
      <c r="S781" t="s">
        <v>22</v>
      </c>
      <c r="T781">
        <f t="shared" si="12"/>
        <v>478685.13999999955</v>
      </c>
    </row>
    <row r="782" spans="1:20" x14ac:dyDescent="0.25">
      <c r="A782" t="s">
        <v>263</v>
      </c>
      <c r="B782" t="s">
        <v>189</v>
      </c>
      <c r="C782">
        <v>3</v>
      </c>
      <c r="D782">
        <v>1464</v>
      </c>
      <c r="E782" t="s">
        <v>1964</v>
      </c>
      <c r="F782" t="s">
        <v>1962</v>
      </c>
      <c r="G782" s="31">
        <v>0.53</v>
      </c>
      <c r="H782" s="31">
        <v>0.45800000000000002</v>
      </c>
      <c r="I782" t="s">
        <v>1954</v>
      </c>
      <c r="J782" t="s">
        <v>1954</v>
      </c>
      <c r="K782">
        <v>62546</v>
      </c>
      <c r="L782">
        <v>818628</v>
      </c>
      <c r="M782" s="32">
        <v>13.0884</v>
      </c>
      <c r="N782" t="s">
        <v>265</v>
      </c>
      <c r="O782" t="s">
        <v>308</v>
      </c>
      <c r="P782">
        <v>174.5</v>
      </c>
      <c r="Q782" t="s">
        <v>1958</v>
      </c>
      <c r="R782" t="s">
        <v>21</v>
      </c>
      <c r="S782" t="s">
        <v>22</v>
      </c>
      <c r="T782">
        <f t="shared" si="12"/>
        <v>478859.63999999955</v>
      </c>
    </row>
    <row r="783" spans="1:20" x14ac:dyDescent="0.25">
      <c r="A783" t="s">
        <v>1850</v>
      </c>
      <c r="B783" t="s">
        <v>137</v>
      </c>
      <c r="C783">
        <v>1</v>
      </c>
      <c r="D783">
        <v>55198</v>
      </c>
      <c r="E783" t="s">
        <v>1851</v>
      </c>
      <c r="F783" t="s">
        <v>266</v>
      </c>
      <c r="G783" s="31">
        <v>0.65</v>
      </c>
      <c r="H783" s="31">
        <v>0.69599999999999995</v>
      </c>
      <c r="I783" t="s">
        <v>1954</v>
      </c>
      <c r="J783" t="s">
        <v>1954</v>
      </c>
      <c r="K783">
        <v>774692</v>
      </c>
      <c r="L783">
        <v>10167653</v>
      </c>
      <c r="M783" s="32">
        <v>13.1248</v>
      </c>
      <c r="N783" t="s">
        <v>141</v>
      </c>
      <c r="O783" t="s">
        <v>1852</v>
      </c>
      <c r="P783">
        <v>825</v>
      </c>
      <c r="Q783" s="33" t="s">
        <v>1956</v>
      </c>
      <c r="R783" t="s">
        <v>21</v>
      </c>
      <c r="S783" t="s">
        <v>22</v>
      </c>
      <c r="T783">
        <f t="shared" si="12"/>
        <v>479684.63999999955</v>
      </c>
    </row>
    <row r="784" spans="1:20" x14ac:dyDescent="0.25">
      <c r="A784" t="s">
        <v>1853</v>
      </c>
      <c r="B784" t="s">
        <v>137</v>
      </c>
      <c r="C784">
        <v>1</v>
      </c>
      <c r="D784">
        <v>55198</v>
      </c>
      <c r="E784" t="s">
        <v>1851</v>
      </c>
      <c r="F784" t="s">
        <v>266</v>
      </c>
      <c r="G784" s="31">
        <v>0.65</v>
      </c>
      <c r="H784" s="31">
        <v>0.69599999999999995</v>
      </c>
      <c r="I784" t="s">
        <v>1954</v>
      </c>
      <c r="J784" t="s">
        <v>1954</v>
      </c>
      <c r="K784">
        <v>774692</v>
      </c>
      <c r="L784">
        <v>10167653</v>
      </c>
      <c r="M784" s="32">
        <v>13.1248</v>
      </c>
      <c r="N784" t="s">
        <v>141</v>
      </c>
      <c r="O784" t="s">
        <v>1852</v>
      </c>
      <c r="P784">
        <v>825</v>
      </c>
      <c r="Q784" s="33" t="s">
        <v>1956</v>
      </c>
      <c r="R784" t="s">
        <v>21</v>
      </c>
      <c r="S784" t="s">
        <v>22</v>
      </c>
      <c r="T784">
        <f t="shared" si="12"/>
        <v>480509.63999999955</v>
      </c>
    </row>
    <row r="785" spans="1:20" x14ac:dyDescent="0.25">
      <c r="A785" t="s">
        <v>1854</v>
      </c>
      <c r="B785" t="s">
        <v>137</v>
      </c>
      <c r="C785">
        <v>1</v>
      </c>
      <c r="D785">
        <v>55198</v>
      </c>
      <c r="E785" t="s">
        <v>1851</v>
      </c>
      <c r="F785" t="s">
        <v>266</v>
      </c>
      <c r="G785" s="31">
        <v>0.65</v>
      </c>
      <c r="H785" s="31">
        <v>0.69599999999999995</v>
      </c>
      <c r="I785" t="s">
        <v>1954</v>
      </c>
      <c r="J785" t="s">
        <v>1954</v>
      </c>
      <c r="K785">
        <v>774692</v>
      </c>
      <c r="L785">
        <v>10167653</v>
      </c>
      <c r="M785" s="32">
        <v>13.1248</v>
      </c>
      <c r="N785" t="s">
        <v>141</v>
      </c>
      <c r="O785" t="s">
        <v>1852</v>
      </c>
      <c r="P785">
        <v>825</v>
      </c>
      <c r="Q785" s="33" t="s">
        <v>1956</v>
      </c>
      <c r="R785" t="s">
        <v>21</v>
      </c>
      <c r="S785" t="s">
        <v>22</v>
      </c>
      <c r="T785">
        <f t="shared" si="12"/>
        <v>481334.63999999955</v>
      </c>
    </row>
    <row r="786" spans="1:20" x14ac:dyDescent="0.25">
      <c r="A786" t="s">
        <v>824</v>
      </c>
      <c r="B786" t="s">
        <v>150</v>
      </c>
      <c r="C786">
        <v>3</v>
      </c>
      <c r="D786">
        <v>10532</v>
      </c>
      <c r="E786" t="s">
        <v>2057</v>
      </c>
      <c r="F786" t="s">
        <v>250</v>
      </c>
      <c r="G786" s="31">
        <v>0.38829999999999998</v>
      </c>
      <c r="H786" s="31">
        <v>0.43430000000000002</v>
      </c>
      <c r="I786" t="s">
        <v>1954</v>
      </c>
      <c r="J786" t="s">
        <v>1954</v>
      </c>
      <c r="K786">
        <v>7944</v>
      </c>
      <c r="L786">
        <v>104525</v>
      </c>
      <c r="M786" s="32">
        <v>13.1577</v>
      </c>
      <c r="N786" t="s">
        <v>321</v>
      </c>
      <c r="O786" t="s">
        <v>2058</v>
      </c>
      <c r="P786">
        <v>3.2</v>
      </c>
      <c r="Q786" t="s">
        <v>1958</v>
      </c>
      <c r="R786" t="s">
        <v>21</v>
      </c>
      <c r="S786" t="s">
        <v>22</v>
      </c>
      <c r="T786">
        <f t="shared" si="12"/>
        <v>481337.83999999956</v>
      </c>
    </row>
    <row r="787" spans="1:20" x14ac:dyDescent="0.25">
      <c r="A787" t="s">
        <v>1771</v>
      </c>
      <c r="B787" t="s">
        <v>125</v>
      </c>
      <c r="C787">
        <v>3</v>
      </c>
      <c r="D787">
        <v>7799</v>
      </c>
      <c r="E787" t="s">
        <v>2195</v>
      </c>
      <c r="F787" t="s">
        <v>1975</v>
      </c>
      <c r="G787" s="31">
        <v>0.5252</v>
      </c>
      <c r="H787" s="31">
        <v>0.45319999999999999</v>
      </c>
      <c r="I787" t="s">
        <v>1954</v>
      </c>
      <c r="J787" t="s">
        <v>1954</v>
      </c>
      <c r="K787">
        <v>84865</v>
      </c>
      <c r="L787">
        <v>1118417</v>
      </c>
      <c r="M787" s="32">
        <v>13.178800000000001</v>
      </c>
      <c r="N787" t="s">
        <v>141</v>
      </c>
      <c r="O787" t="s">
        <v>2196</v>
      </c>
      <c r="P787">
        <v>70.599999999999994</v>
      </c>
      <c r="Q787" t="s">
        <v>1958</v>
      </c>
      <c r="R787" t="s">
        <v>21</v>
      </c>
      <c r="S787" t="s">
        <v>22</v>
      </c>
      <c r="T787">
        <f t="shared" si="12"/>
        <v>481408.43999999954</v>
      </c>
    </row>
    <row r="788" spans="1:20" x14ac:dyDescent="0.25">
      <c r="A788" t="s">
        <v>1774</v>
      </c>
      <c r="B788" t="s">
        <v>125</v>
      </c>
      <c r="C788">
        <v>3</v>
      </c>
      <c r="D788">
        <v>7799</v>
      </c>
      <c r="E788" t="s">
        <v>2195</v>
      </c>
      <c r="F788" t="s">
        <v>1975</v>
      </c>
      <c r="G788" s="31">
        <v>0.5252</v>
      </c>
      <c r="H788" s="31">
        <v>0.45319999999999999</v>
      </c>
      <c r="I788" t="s">
        <v>1954</v>
      </c>
      <c r="J788" t="s">
        <v>1954</v>
      </c>
      <c r="K788">
        <v>84865</v>
      </c>
      <c r="L788">
        <v>1118417</v>
      </c>
      <c r="M788" s="32">
        <v>13.178800000000001</v>
      </c>
      <c r="N788" t="s">
        <v>141</v>
      </c>
      <c r="O788" t="s">
        <v>2196</v>
      </c>
      <c r="P788">
        <v>70.599999999999994</v>
      </c>
      <c r="Q788" t="s">
        <v>1958</v>
      </c>
      <c r="R788" t="s">
        <v>21</v>
      </c>
      <c r="S788" t="s">
        <v>22</v>
      </c>
      <c r="T788">
        <f t="shared" si="12"/>
        <v>481479.03999999951</v>
      </c>
    </row>
    <row r="789" spans="1:20" x14ac:dyDescent="0.25">
      <c r="A789" t="s">
        <v>1775</v>
      </c>
      <c r="B789" t="s">
        <v>125</v>
      </c>
      <c r="C789">
        <v>3</v>
      </c>
      <c r="D789">
        <v>7799</v>
      </c>
      <c r="E789" t="s">
        <v>2195</v>
      </c>
      <c r="F789" t="s">
        <v>1975</v>
      </c>
      <c r="G789" s="31">
        <v>0.5252</v>
      </c>
      <c r="H789" s="31">
        <v>0.45319999999999999</v>
      </c>
      <c r="I789" t="s">
        <v>1954</v>
      </c>
      <c r="J789" t="s">
        <v>1954</v>
      </c>
      <c r="K789">
        <v>84865</v>
      </c>
      <c r="L789">
        <v>1118417</v>
      </c>
      <c r="M789" s="32">
        <v>13.178800000000001</v>
      </c>
      <c r="N789" t="s">
        <v>141</v>
      </c>
      <c r="O789" t="s">
        <v>2196</v>
      </c>
      <c r="P789">
        <v>70.599999999999994</v>
      </c>
      <c r="Q789" t="s">
        <v>1958</v>
      </c>
      <c r="R789" t="s">
        <v>21</v>
      </c>
      <c r="S789" t="s">
        <v>22</v>
      </c>
      <c r="T789">
        <f t="shared" si="12"/>
        <v>481549.63999999949</v>
      </c>
    </row>
    <row r="790" spans="1:20" x14ac:dyDescent="0.25">
      <c r="A790" t="s">
        <v>1776</v>
      </c>
      <c r="B790" t="s">
        <v>125</v>
      </c>
      <c r="C790">
        <v>3</v>
      </c>
      <c r="D790">
        <v>7799</v>
      </c>
      <c r="E790" t="s">
        <v>2195</v>
      </c>
      <c r="F790" t="s">
        <v>1975</v>
      </c>
      <c r="G790" s="31">
        <v>0.5252</v>
      </c>
      <c r="H790" s="31">
        <v>0.45319999999999999</v>
      </c>
      <c r="I790" t="s">
        <v>1954</v>
      </c>
      <c r="J790" t="s">
        <v>1954</v>
      </c>
      <c r="K790">
        <v>84865</v>
      </c>
      <c r="L790">
        <v>1118417</v>
      </c>
      <c r="M790" s="32">
        <v>13.178800000000001</v>
      </c>
      <c r="N790" t="s">
        <v>141</v>
      </c>
      <c r="O790" t="s">
        <v>2196</v>
      </c>
      <c r="P790">
        <v>70.599999999999994</v>
      </c>
      <c r="Q790" t="s">
        <v>1958</v>
      </c>
      <c r="R790" t="s">
        <v>21</v>
      </c>
      <c r="S790" t="s">
        <v>22</v>
      </c>
      <c r="T790">
        <f t="shared" si="12"/>
        <v>481620.23999999947</v>
      </c>
    </row>
    <row r="791" spans="1:20" x14ac:dyDescent="0.25">
      <c r="A791" t="s">
        <v>1777</v>
      </c>
      <c r="B791" t="s">
        <v>125</v>
      </c>
      <c r="C791">
        <v>3</v>
      </c>
      <c r="D791">
        <v>7799</v>
      </c>
      <c r="E791" t="s">
        <v>2195</v>
      </c>
      <c r="F791" t="s">
        <v>1975</v>
      </c>
      <c r="G791" s="31">
        <v>0.5252</v>
      </c>
      <c r="H791" s="31">
        <v>0.45319999999999999</v>
      </c>
      <c r="I791" t="s">
        <v>1954</v>
      </c>
      <c r="J791" t="s">
        <v>1954</v>
      </c>
      <c r="K791">
        <v>84865</v>
      </c>
      <c r="L791">
        <v>1118417</v>
      </c>
      <c r="M791" s="32">
        <v>13.178800000000001</v>
      </c>
      <c r="N791" t="s">
        <v>141</v>
      </c>
      <c r="O791" t="s">
        <v>2196</v>
      </c>
      <c r="P791">
        <v>70.599999999999994</v>
      </c>
      <c r="Q791" t="s">
        <v>1958</v>
      </c>
      <c r="R791" t="s">
        <v>21</v>
      </c>
      <c r="S791" t="s">
        <v>22</v>
      </c>
      <c r="T791">
        <f t="shared" si="12"/>
        <v>481690.83999999944</v>
      </c>
    </row>
    <row r="792" spans="1:20" x14ac:dyDescent="0.25">
      <c r="A792" t="s">
        <v>579</v>
      </c>
      <c r="B792" t="s">
        <v>189</v>
      </c>
      <c r="C792">
        <v>3</v>
      </c>
      <c r="D792">
        <v>1336</v>
      </c>
      <c r="E792" t="s">
        <v>2019</v>
      </c>
      <c r="F792" t="s">
        <v>2020</v>
      </c>
      <c r="G792" s="31">
        <v>0.41120000000000001</v>
      </c>
      <c r="H792" s="31">
        <v>0.3392</v>
      </c>
      <c r="I792" t="s">
        <v>1954</v>
      </c>
      <c r="J792" t="s">
        <v>1954</v>
      </c>
      <c r="K792">
        <v>29728</v>
      </c>
      <c r="L792">
        <v>392172</v>
      </c>
      <c r="M792" s="32">
        <v>13.192</v>
      </c>
      <c r="N792" t="s">
        <v>265</v>
      </c>
      <c r="O792" t="s">
        <v>2021</v>
      </c>
      <c r="P792">
        <v>97.3</v>
      </c>
      <c r="Q792" t="s">
        <v>1958</v>
      </c>
      <c r="R792" t="s">
        <v>21</v>
      </c>
      <c r="S792" t="s">
        <v>22</v>
      </c>
      <c r="T792">
        <f t="shared" si="12"/>
        <v>481788.13999999943</v>
      </c>
    </row>
    <row r="793" spans="1:20" x14ac:dyDescent="0.25">
      <c r="A793" t="s">
        <v>1512</v>
      </c>
      <c r="B793" t="s">
        <v>137</v>
      </c>
      <c r="C793">
        <v>1</v>
      </c>
      <c r="D793">
        <v>55109</v>
      </c>
      <c r="E793" t="s">
        <v>1513</v>
      </c>
      <c r="F793" t="s">
        <v>166</v>
      </c>
      <c r="G793" s="31">
        <v>0.9</v>
      </c>
      <c r="H793" s="31">
        <v>0.94599999999999995</v>
      </c>
      <c r="I793" t="s">
        <v>1954</v>
      </c>
      <c r="J793" t="s">
        <v>1954</v>
      </c>
      <c r="K793">
        <v>33814.999000000003</v>
      </c>
      <c r="L793">
        <v>447388</v>
      </c>
      <c r="M793" s="32">
        <v>13.230499999999999</v>
      </c>
      <c r="N793" t="s">
        <v>141</v>
      </c>
      <c r="O793" t="s">
        <v>1514</v>
      </c>
      <c r="P793">
        <v>340.8</v>
      </c>
      <c r="Q793" s="33" t="s">
        <v>1955</v>
      </c>
      <c r="R793" t="s">
        <v>21</v>
      </c>
      <c r="S793" t="s">
        <v>22</v>
      </c>
      <c r="T793">
        <f t="shared" si="12"/>
        <v>482128.93999999942</v>
      </c>
    </row>
    <row r="794" spans="1:20" x14ac:dyDescent="0.25">
      <c r="A794" t="s">
        <v>1515</v>
      </c>
      <c r="B794" t="s">
        <v>137</v>
      </c>
      <c r="C794">
        <v>1</v>
      </c>
      <c r="D794">
        <v>55109</v>
      </c>
      <c r="E794" t="s">
        <v>1513</v>
      </c>
      <c r="F794" t="s">
        <v>166</v>
      </c>
      <c r="G794" s="31">
        <v>0.9</v>
      </c>
      <c r="H794" s="31">
        <v>0.94599999999999995</v>
      </c>
      <c r="I794" t="s">
        <v>1954</v>
      </c>
      <c r="J794" t="s">
        <v>1954</v>
      </c>
      <c r="K794">
        <v>33814.999000000003</v>
      </c>
      <c r="L794">
        <v>447388</v>
      </c>
      <c r="M794" s="32">
        <v>13.230499999999999</v>
      </c>
      <c r="N794" t="s">
        <v>141</v>
      </c>
      <c r="O794" t="s">
        <v>1514</v>
      </c>
      <c r="P794">
        <v>340.8</v>
      </c>
      <c r="Q794" s="33" t="s">
        <v>1955</v>
      </c>
      <c r="R794" t="s">
        <v>21</v>
      </c>
      <c r="S794" t="s">
        <v>22</v>
      </c>
      <c r="T794">
        <f t="shared" si="12"/>
        <v>482469.73999999941</v>
      </c>
    </row>
    <row r="795" spans="1:20" x14ac:dyDescent="0.25">
      <c r="A795" t="s">
        <v>1516</v>
      </c>
      <c r="B795" t="s">
        <v>137</v>
      </c>
      <c r="C795">
        <v>1</v>
      </c>
      <c r="D795">
        <v>55109</v>
      </c>
      <c r="E795" t="s">
        <v>1513</v>
      </c>
      <c r="F795" t="s">
        <v>166</v>
      </c>
      <c r="G795" s="31">
        <v>0.9</v>
      </c>
      <c r="H795" s="31">
        <v>0.94599999999999995</v>
      </c>
      <c r="I795" t="s">
        <v>1954</v>
      </c>
      <c r="J795" t="s">
        <v>1954</v>
      </c>
      <c r="K795">
        <v>33814.999000000003</v>
      </c>
      <c r="L795">
        <v>447388</v>
      </c>
      <c r="M795" s="32">
        <v>13.230499999999999</v>
      </c>
      <c r="N795" t="s">
        <v>141</v>
      </c>
      <c r="O795" t="s">
        <v>1514</v>
      </c>
      <c r="P795">
        <v>340.8</v>
      </c>
      <c r="Q795" s="33" t="s">
        <v>1955</v>
      </c>
      <c r="R795" t="s">
        <v>21</v>
      </c>
      <c r="S795" t="s">
        <v>22</v>
      </c>
      <c r="T795">
        <f t="shared" si="12"/>
        <v>482810.5399999994</v>
      </c>
    </row>
    <row r="796" spans="1:20" x14ac:dyDescent="0.25">
      <c r="A796" t="s">
        <v>1517</v>
      </c>
      <c r="B796" t="s">
        <v>137</v>
      </c>
      <c r="C796">
        <v>1</v>
      </c>
      <c r="D796">
        <v>55109</v>
      </c>
      <c r="E796" t="s">
        <v>1513</v>
      </c>
      <c r="F796" t="s">
        <v>166</v>
      </c>
      <c r="G796" s="31">
        <v>0.9</v>
      </c>
      <c r="H796" s="31">
        <v>0.94599999999999995</v>
      </c>
      <c r="I796" t="s">
        <v>1954</v>
      </c>
      <c r="J796" t="s">
        <v>1954</v>
      </c>
      <c r="K796">
        <v>33814.999000000003</v>
      </c>
      <c r="L796">
        <v>447388</v>
      </c>
      <c r="M796" s="32">
        <v>13.230499999999999</v>
      </c>
      <c r="N796" t="s">
        <v>141</v>
      </c>
      <c r="O796" t="s">
        <v>1514</v>
      </c>
      <c r="P796">
        <v>340.8</v>
      </c>
      <c r="Q796" s="33" t="s">
        <v>1955</v>
      </c>
      <c r="R796" t="s">
        <v>21</v>
      </c>
      <c r="S796" t="s">
        <v>22</v>
      </c>
      <c r="T796">
        <f t="shared" si="12"/>
        <v>483151.33999999939</v>
      </c>
    </row>
    <row r="797" spans="1:20" x14ac:dyDescent="0.25">
      <c r="A797" t="s">
        <v>692</v>
      </c>
      <c r="B797" t="s">
        <v>137</v>
      </c>
      <c r="C797">
        <v>1</v>
      </c>
      <c r="D797">
        <v>55199</v>
      </c>
      <c r="E797" t="s">
        <v>693</v>
      </c>
      <c r="F797" t="s">
        <v>166</v>
      </c>
      <c r="G797" s="31">
        <v>1</v>
      </c>
      <c r="H797" s="31">
        <v>1</v>
      </c>
      <c r="I797" t="s">
        <v>1954</v>
      </c>
      <c r="J797" t="s">
        <v>1954</v>
      </c>
      <c r="K797">
        <v>191685</v>
      </c>
      <c r="L797">
        <v>2542216</v>
      </c>
      <c r="M797" s="32">
        <v>13.262499999999999</v>
      </c>
      <c r="N797" t="s">
        <v>141</v>
      </c>
      <c r="O797" t="s">
        <v>695</v>
      </c>
      <c r="P797">
        <v>450</v>
      </c>
      <c r="Q797" s="33" t="s">
        <v>1955</v>
      </c>
      <c r="R797" t="s">
        <v>21</v>
      </c>
      <c r="S797" t="s">
        <v>22</v>
      </c>
      <c r="T797">
        <f t="shared" si="12"/>
        <v>483601.33999999939</v>
      </c>
    </row>
    <row r="798" spans="1:20" x14ac:dyDescent="0.25">
      <c r="A798" t="s">
        <v>696</v>
      </c>
      <c r="B798" t="s">
        <v>137</v>
      </c>
      <c r="C798">
        <v>1</v>
      </c>
      <c r="D798">
        <v>55199</v>
      </c>
      <c r="E798" t="s">
        <v>693</v>
      </c>
      <c r="F798" t="s">
        <v>166</v>
      </c>
      <c r="G798" s="31">
        <v>1</v>
      </c>
      <c r="H798" s="31">
        <v>1</v>
      </c>
      <c r="I798" t="s">
        <v>1954</v>
      </c>
      <c r="J798" t="s">
        <v>1954</v>
      </c>
      <c r="K798">
        <v>191685</v>
      </c>
      <c r="L798">
        <v>2542216</v>
      </c>
      <c r="M798" s="32">
        <v>13.262499999999999</v>
      </c>
      <c r="N798" t="s">
        <v>141</v>
      </c>
      <c r="O798" t="s">
        <v>695</v>
      </c>
      <c r="P798">
        <v>450</v>
      </c>
      <c r="Q798" s="33" t="s">
        <v>1955</v>
      </c>
      <c r="R798" t="s">
        <v>21</v>
      </c>
      <c r="S798" t="s">
        <v>22</v>
      </c>
      <c r="T798">
        <f t="shared" si="12"/>
        <v>484051.33999999939</v>
      </c>
    </row>
    <row r="799" spans="1:20" x14ac:dyDescent="0.25">
      <c r="A799" t="s">
        <v>697</v>
      </c>
      <c r="B799" t="s">
        <v>137</v>
      </c>
      <c r="C799">
        <v>1</v>
      </c>
      <c r="D799">
        <v>55199</v>
      </c>
      <c r="E799" t="s">
        <v>693</v>
      </c>
      <c r="F799" t="s">
        <v>166</v>
      </c>
      <c r="G799" s="31">
        <v>1</v>
      </c>
      <c r="H799" s="31">
        <v>1</v>
      </c>
      <c r="I799" t="s">
        <v>1954</v>
      </c>
      <c r="J799" t="s">
        <v>1954</v>
      </c>
      <c r="K799">
        <v>191685</v>
      </c>
      <c r="L799">
        <v>2542216</v>
      </c>
      <c r="M799" s="32">
        <v>13.262499999999999</v>
      </c>
      <c r="N799" t="s">
        <v>141</v>
      </c>
      <c r="O799" t="s">
        <v>695</v>
      </c>
      <c r="P799">
        <v>450</v>
      </c>
      <c r="Q799" s="33" t="s">
        <v>1955</v>
      </c>
      <c r="R799" t="s">
        <v>21</v>
      </c>
      <c r="S799" t="s">
        <v>22</v>
      </c>
      <c r="T799">
        <f t="shared" si="12"/>
        <v>484501.33999999939</v>
      </c>
    </row>
    <row r="800" spans="1:20" x14ac:dyDescent="0.25">
      <c r="A800" t="s">
        <v>698</v>
      </c>
      <c r="B800" t="s">
        <v>137</v>
      </c>
      <c r="C800">
        <v>1</v>
      </c>
      <c r="D800">
        <v>55199</v>
      </c>
      <c r="E800" t="s">
        <v>693</v>
      </c>
      <c r="F800" t="s">
        <v>166</v>
      </c>
      <c r="G800" s="31">
        <v>1</v>
      </c>
      <c r="H800" s="31">
        <v>1</v>
      </c>
      <c r="I800" t="s">
        <v>1954</v>
      </c>
      <c r="J800" t="s">
        <v>1954</v>
      </c>
      <c r="K800">
        <v>191685</v>
      </c>
      <c r="L800">
        <v>2542216</v>
      </c>
      <c r="M800" s="32">
        <v>13.262499999999999</v>
      </c>
      <c r="N800" t="s">
        <v>141</v>
      </c>
      <c r="O800" t="s">
        <v>695</v>
      </c>
      <c r="P800">
        <v>450</v>
      </c>
      <c r="Q800" s="33" t="s">
        <v>1955</v>
      </c>
      <c r="R800" t="s">
        <v>21</v>
      </c>
      <c r="S800" t="s">
        <v>22</v>
      </c>
      <c r="T800">
        <f t="shared" si="12"/>
        <v>484951.33999999939</v>
      </c>
    </row>
    <row r="801" spans="1:20" x14ac:dyDescent="0.25">
      <c r="A801" t="s">
        <v>699</v>
      </c>
      <c r="B801" t="s">
        <v>137</v>
      </c>
      <c r="C801">
        <v>1</v>
      </c>
      <c r="D801">
        <v>55199</v>
      </c>
      <c r="E801" t="s">
        <v>693</v>
      </c>
      <c r="F801" t="s">
        <v>166</v>
      </c>
      <c r="G801" s="31">
        <v>1</v>
      </c>
      <c r="H801" s="31">
        <v>1</v>
      </c>
      <c r="I801" t="s">
        <v>1954</v>
      </c>
      <c r="J801" t="s">
        <v>1954</v>
      </c>
      <c r="K801">
        <v>191685</v>
      </c>
      <c r="L801">
        <v>2542216</v>
      </c>
      <c r="M801" s="32">
        <v>13.262499999999999</v>
      </c>
      <c r="N801" t="s">
        <v>141</v>
      </c>
      <c r="O801" t="s">
        <v>695</v>
      </c>
      <c r="P801">
        <v>450</v>
      </c>
      <c r="Q801" s="33" t="s">
        <v>1955</v>
      </c>
      <c r="R801" t="s">
        <v>21</v>
      </c>
      <c r="S801" t="s">
        <v>22</v>
      </c>
      <c r="T801">
        <f t="shared" si="12"/>
        <v>485401.33999999939</v>
      </c>
    </row>
    <row r="802" spans="1:20" x14ac:dyDescent="0.25">
      <c r="A802" t="s">
        <v>700</v>
      </c>
      <c r="B802" t="s">
        <v>137</v>
      </c>
      <c r="C802">
        <v>1</v>
      </c>
      <c r="D802">
        <v>55199</v>
      </c>
      <c r="E802" t="s">
        <v>693</v>
      </c>
      <c r="F802" t="s">
        <v>166</v>
      </c>
      <c r="G802" s="31">
        <v>1</v>
      </c>
      <c r="H802" s="31">
        <v>1</v>
      </c>
      <c r="I802" t="s">
        <v>1954</v>
      </c>
      <c r="J802" t="s">
        <v>1954</v>
      </c>
      <c r="K802">
        <v>191685</v>
      </c>
      <c r="L802">
        <v>2542216</v>
      </c>
      <c r="M802" s="32">
        <v>13.262499999999999</v>
      </c>
      <c r="N802" t="s">
        <v>141</v>
      </c>
      <c r="O802" t="s">
        <v>695</v>
      </c>
      <c r="P802">
        <v>450</v>
      </c>
      <c r="Q802" s="33" t="s">
        <v>1955</v>
      </c>
      <c r="R802" t="s">
        <v>21</v>
      </c>
      <c r="S802" t="s">
        <v>22</v>
      </c>
      <c r="T802">
        <f t="shared" si="12"/>
        <v>485851.33999999939</v>
      </c>
    </row>
    <row r="803" spans="1:20" x14ac:dyDescent="0.25">
      <c r="A803" t="s">
        <v>701</v>
      </c>
      <c r="B803" t="s">
        <v>137</v>
      </c>
      <c r="C803">
        <v>1</v>
      </c>
      <c r="D803">
        <v>55199</v>
      </c>
      <c r="E803" t="s">
        <v>693</v>
      </c>
      <c r="F803" t="s">
        <v>166</v>
      </c>
      <c r="G803" s="31">
        <v>1</v>
      </c>
      <c r="H803" s="31">
        <v>1</v>
      </c>
      <c r="I803" t="s">
        <v>1954</v>
      </c>
      <c r="J803" t="s">
        <v>1954</v>
      </c>
      <c r="K803">
        <v>191685</v>
      </c>
      <c r="L803">
        <v>2542216</v>
      </c>
      <c r="M803" s="32">
        <v>13.262499999999999</v>
      </c>
      <c r="N803" t="s">
        <v>141</v>
      </c>
      <c r="O803" t="s">
        <v>695</v>
      </c>
      <c r="P803">
        <v>450</v>
      </c>
      <c r="Q803" s="33" t="s">
        <v>1955</v>
      </c>
      <c r="R803" t="s">
        <v>21</v>
      </c>
      <c r="S803" t="s">
        <v>22</v>
      </c>
      <c r="T803">
        <f t="shared" si="12"/>
        <v>486301.33999999939</v>
      </c>
    </row>
    <row r="804" spans="1:20" x14ac:dyDescent="0.25">
      <c r="A804" t="s">
        <v>1045</v>
      </c>
      <c r="B804" t="s">
        <v>150</v>
      </c>
      <c r="C804">
        <v>2</v>
      </c>
      <c r="D804">
        <v>56571</v>
      </c>
      <c r="E804" t="s">
        <v>2096</v>
      </c>
      <c r="F804" t="s">
        <v>307</v>
      </c>
      <c r="G804" s="31">
        <v>0.41539999999999999</v>
      </c>
      <c r="H804" s="31">
        <v>0.46139999999999998</v>
      </c>
      <c r="I804" t="s">
        <v>1954</v>
      </c>
      <c r="J804" t="s">
        <v>1954</v>
      </c>
      <c r="K804">
        <v>19271</v>
      </c>
      <c r="L804">
        <v>255672</v>
      </c>
      <c r="M804" s="32">
        <v>13.267200000000001</v>
      </c>
      <c r="N804" t="s">
        <v>321</v>
      </c>
      <c r="O804" t="s">
        <v>567</v>
      </c>
      <c r="P804">
        <v>5.2</v>
      </c>
      <c r="Q804" t="s">
        <v>1958</v>
      </c>
      <c r="R804" t="s">
        <v>21</v>
      </c>
      <c r="S804" t="s">
        <v>22</v>
      </c>
      <c r="T804">
        <f t="shared" si="12"/>
        <v>486306.5399999994</v>
      </c>
    </row>
    <row r="805" spans="1:20" x14ac:dyDescent="0.25">
      <c r="A805" t="s">
        <v>1483</v>
      </c>
      <c r="B805" t="s">
        <v>125</v>
      </c>
      <c r="C805">
        <v>2</v>
      </c>
      <c r="D805">
        <v>7335</v>
      </c>
      <c r="E805" t="s">
        <v>2153</v>
      </c>
      <c r="F805" t="s">
        <v>131</v>
      </c>
      <c r="G805" s="31">
        <v>1</v>
      </c>
      <c r="H805" s="31">
        <v>1</v>
      </c>
      <c r="I805" t="s">
        <v>1954</v>
      </c>
      <c r="J805" t="s">
        <v>1954</v>
      </c>
      <c r="K805">
        <v>45145</v>
      </c>
      <c r="L805">
        <v>600114</v>
      </c>
      <c r="M805" s="32">
        <v>13.292999999999999</v>
      </c>
      <c r="N805" t="s">
        <v>130</v>
      </c>
      <c r="O805" t="s">
        <v>2154</v>
      </c>
      <c r="P805">
        <v>68</v>
      </c>
      <c r="Q805" t="s">
        <v>1958</v>
      </c>
      <c r="R805" t="s">
        <v>21</v>
      </c>
      <c r="S805" t="s">
        <v>22</v>
      </c>
      <c r="T805">
        <f t="shared" si="12"/>
        <v>486374.5399999994</v>
      </c>
    </row>
    <row r="806" spans="1:20" x14ac:dyDescent="0.25">
      <c r="A806" t="s">
        <v>1486</v>
      </c>
      <c r="B806" t="s">
        <v>125</v>
      </c>
      <c r="C806">
        <v>2</v>
      </c>
      <c r="D806">
        <v>7335</v>
      </c>
      <c r="E806" t="s">
        <v>2153</v>
      </c>
      <c r="F806" t="s">
        <v>131</v>
      </c>
      <c r="G806" s="31">
        <v>1</v>
      </c>
      <c r="H806" s="31">
        <v>1</v>
      </c>
      <c r="I806" t="s">
        <v>1954</v>
      </c>
      <c r="J806" t="s">
        <v>1954</v>
      </c>
      <c r="K806">
        <v>45145</v>
      </c>
      <c r="L806">
        <v>600114</v>
      </c>
      <c r="M806" s="32">
        <v>13.292999999999999</v>
      </c>
      <c r="N806" t="s">
        <v>130</v>
      </c>
      <c r="O806" t="s">
        <v>2154</v>
      </c>
      <c r="P806">
        <v>68</v>
      </c>
      <c r="Q806" t="s">
        <v>1958</v>
      </c>
      <c r="R806" t="s">
        <v>21</v>
      </c>
      <c r="S806" t="s">
        <v>22</v>
      </c>
      <c r="T806">
        <f t="shared" si="12"/>
        <v>486442.5399999994</v>
      </c>
    </row>
    <row r="807" spans="1:20" x14ac:dyDescent="0.25">
      <c r="A807" t="s">
        <v>834</v>
      </c>
      <c r="B807" t="s">
        <v>125</v>
      </c>
      <c r="C807">
        <v>1</v>
      </c>
      <c r="D807">
        <v>7032</v>
      </c>
      <c r="E807" t="s">
        <v>835</v>
      </c>
      <c r="F807" t="s">
        <v>201</v>
      </c>
      <c r="G807" s="31">
        <v>0.76900000000000002</v>
      </c>
      <c r="H807" s="31">
        <v>0.81499999999999995</v>
      </c>
      <c r="I807" t="s">
        <v>1954</v>
      </c>
      <c r="J807" t="s">
        <v>1954</v>
      </c>
      <c r="K807">
        <v>119980</v>
      </c>
      <c r="L807">
        <v>1598203</v>
      </c>
      <c r="M807" s="32">
        <v>13.320600000000001</v>
      </c>
      <c r="N807" t="s">
        <v>130</v>
      </c>
      <c r="O807" t="s">
        <v>459</v>
      </c>
      <c r="P807">
        <v>368</v>
      </c>
      <c r="Q807" s="33" t="s">
        <v>1956</v>
      </c>
      <c r="R807" t="s">
        <v>21</v>
      </c>
      <c r="S807" t="s">
        <v>22</v>
      </c>
      <c r="T807">
        <f t="shared" si="12"/>
        <v>486810.5399999994</v>
      </c>
    </row>
    <row r="808" spans="1:20" x14ac:dyDescent="0.25">
      <c r="A808" t="s">
        <v>836</v>
      </c>
      <c r="B808" t="s">
        <v>125</v>
      </c>
      <c r="C808">
        <v>1</v>
      </c>
      <c r="D808">
        <v>7032</v>
      </c>
      <c r="E808" t="s">
        <v>835</v>
      </c>
      <c r="F808" t="s">
        <v>201</v>
      </c>
      <c r="G808" s="31">
        <v>0.76900000000000002</v>
      </c>
      <c r="H808" s="31">
        <v>0.81499999999999995</v>
      </c>
      <c r="I808" t="s">
        <v>1954</v>
      </c>
      <c r="J808" t="s">
        <v>1954</v>
      </c>
      <c r="K808">
        <v>119980</v>
      </c>
      <c r="L808">
        <v>1598203</v>
      </c>
      <c r="M808" s="32">
        <v>13.320600000000001</v>
      </c>
      <c r="N808" t="s">
        <v>130</v>
      </c>
      <c r="O808" t="s">
        <v>459</v>
      </c>
      <c r="P808">
        <v>368</v>
      </c>
      <c r="Q808" s="33" t="s">
        <v>1956</v>
      </c>
      <c r="R808" t="s">
        <v>21</v>
      </c>
      <c r="S808" t="s">
        <v>22</v>
      </c>
      <c r="T808">
        <f t="shared" si="12"/>
        <v>487178.5399999994</v>
      </c>
    </row>
    <row r="809" spans="1:20" x14ac:dyDescent="0.25">
      <c r="A809" t="s">
        <v>837</v>
      </c>
      <c r="B809" t="s">
        <v>125</v>
      </c>
      <c r="C809">
        <v>1</v>
      </c>
      <c r="D809">
        <v>7032</v>
      </c>
      <c r="E809" t="s">
        <v>835</v>
      </c>
      <c r="F809" t="s">
        <v>201</v>
      </c>
      <c r="G809" s="31">
        <v>0.76900000000000002</v>
      </c>
      <c r="H809" s="31">
        <v>0.81499999999999995</v>
      </c>
      <c r="I809" t="s">
        <v>1954</v>
      </c>
      <c r="J809" t="s">
        <v>1954</v>
      </c>
      <c r="K809">
        <v>119980</v>
      </c>
      <c r="L809">
        <v>1598203</v>
      </c>
      <c r="M809" s="32">
        <v>13.320600000000001</v>
      </c>
      <c r="N809" t="s">
        <v>130</v>
      </c>
      <c r="O809" t="s">
        <v>459</v>
      </c>
      <c r="P809">
        <v>368</v>
      </c>
      <c r="Q809" s="33" t="s">
        <v>1956</v>
      </c>
      <c r="R809" t="s">
        <v>21</v>
      </c>
      <c r="S809" t="s">
        <v>22</v>
      </c>
      <c r="T809">
        <f t="shared" si="12"/>
        <v>487546.5399999994</v>
      </c>
    </row>
    <row r="810" spans="1:20" x14ac:dyDescent="0.25">
      <c r="A810" t="s">
        <v>838</v>
      </c>
      <c r="B810" t="s">
        <v>125</v>
      </c>
      <c r="C810">
        <v>1</v>
      </c>
      <c r="D810">
        <v>7032</v>
      </c>
      <c r="E810" t="s">
        <v>835</v>
      </c>
      <c r="F810" t="s">
        <v>201</v>
      </c>
      <c r="G810" s="31">
        <v>0.76900000000000002</v>
      </c>
      <c r="H810" s="31">
        <v>0.81499999999999995</v>
      </c>
      <c r="I810" t="s">
        <v>1954</v>
      </c>
      <c r="J810" t="s">
        <v>1954</v>
      </c>
      <c r="K810">
        <v>119980</v>
      </c>
      <c r="L810">
        <v>1598203</v>
      </c>
      <c r="M810" s="32">
        <v>13.320600000000001</v>
      </c>
      <c r="N810" t="s">
        <v>130</v>
      </c>
      <c r="O810" t="s">
        <v>459</v>
      </c>
      <c r="P810">
        <v>368</v>
      </c>
      <c r="Q810" s="33" t="s">
        <v>1956</v>
      </c>
      <c r="R810" t="s">
        <v>21</v>
      </c>
      <c r="S810" t="s">
        <v>22</v>
      </c>
      <c r="T810">
        <f t="shared" si="12"/>
        <v>487914.5399999994</v>
      </c>
    </row>
    <row r="811" spans="1:20" x14ac:dyDescent="0.25">
      <c r="A811" t="s">
        <v>1404</v>
      </c>
      <c r="B811" t="s">
        <v>109</v>
      </c>
      <c r="C811">
        <v>1</v>
      </c>
      <c r="D811">
        <v>879</v>
      </c>
      <c r="E811" t="s">
        <v>1405</v>
      </c>
      <c r="F811" t="s">
        <v>166</v>
      </c>
      <c r="G811" s="31">
        <v>0.65210000000000001</v>
      </c>
      <c r="H811" s="31">
        <v>0.69810000000000005</v>
      </c>
      <c r="I811" t="s">
        <v>1954</v>
      </c>
      <c r="J811" t="s">
        <v>1954</v>
      </c>
      <c r="K811">
        <v>3354454.0720000002</v>
      </c>
      <c r="L811">
        <v>45143314</v>
      </c>
      <c r="M811" s="32">
        <v>13.457700000000001</v>
      </c>
      <c r="N811" t="s">
        <v>1018</v>
      </c>
      <c r="O811" t="s">
        <v>1406</v>
      </c>
      <c r="P811">
        <v>1538</v>
      </c>
      <c r="Q811" s="33" t="s">
        <v>1956</v>
      </c>
      <c r="R811" t="s">
        <v>21</v>
      </c>
      <c r="S811" t="s">
        <v>22</v>
      </c>
      <c r="T811">
        <f t="shared" si="12"/>
        <v>489452.5399999994</v>
      </c>
    </row>
    <row r="812" spans="1:20" x14ac:dyDescent="0.25">
      <c r="A812" t="s">
        <v>1407</v>
      </c>
      <c r="B812" t="s">
        <v>109</v>
      </c>
      <c r="C812">
        <v>1</v>
      </c>
      <c r="D812">
        <v>879</v>
      </c>
      <c r="E812" t="s">
        <v>1405</v>
      </c>
      <c r="F812" t="s">
        <v>166</v>
      </c>
      <c r="G812" s="31">
        <v>0.65210000000000001</v>
      </c>
      <c r="H812" s="31">
        <v>0.69810000000000005</v>
      </c>
      <c r="I812" t="s">
        <v>1954</v>
      </c>
      <c r="J812" t="s">
        <v>1954</v>
      </c>
      <c r="K812">
        <v>3354454.0720000002</v>
      </c>
      <c r="L812">
        <v>45143314</v>
      </c>
      <c r="M812" s="32">
        <v>13.457700000000001</v>
      </c>
      <c r="N812" t="s">
        <v>1018</v>
      </c>
      <c r="O812" t="s">
        <v>1406</v>
      </c>
      <c r="P812">
        <v>1538</v>
      </c>
      <c r="Q812" s="33" t="s">
        <v>1956</v>
      </c>
      <c r="R812" t="s">
        <v>21</v>
      </c>
      <c r="S812" t="s">
        <v>22</v>
      </c>
      <c r="T812">
        <f t="shared" si="12"/>
        <v>490990.5399999994</v>
      </c>
    </row>
    <row r="813" spans="1:20" x14ac:dyDescent="0.25">
      <c r="A813" t="s">
        <v>268</v>
      </c>
      <c r="B813" t="s">
        <v>137</v>
      </c>
      <c r="C813">
        <v>2</v>
      </c>
      <c r="D813">
        <v>1464</v>
      </c>
      <c r="E813" t="s">
        <v>1964</v>
      </c>
      <c r="F813" t="s">
        <v>1962</v>
      </c>
      <c r="G813" s="31">
        <v>0.4229</v>
      </c>
      <c r="H813" s="31">
        <v>0.35089999999999999</v>
      </c>
      <c r="I813" t="s">
        <v>1954</v>
      </c>
      <c r="J813" t="s">
        <v>1954</v>
      </c>
      <c r="K813">
        <v>94976</v>
      </c>
      <c r="L813">
        <v>1280385</v>
      </c>
      <c r="M813" s="32">
        <v>13.4811</v>
      </c>
      <c r="N813" t="s">
        <v>141</v>
      </c>
      <c r="O813" t="s">
        <v>407</v>
      </c>
      <c r="P813">
        <v>199.5</v>
      </c>
      <c r="Q813" t="s">
        <v>1958</v>
      </c>
      <c r="R813" t="s">
        <v>21</v>
      </c>
      <c r="S813" t="s">
        <v>22</v>
      </c>
      <c r="T813">
        <f t="shared" si="12"/>
        <v>491190.0399999994</v>
      </c>
    </row>
    <row r="814" spans="1:20" x14ac:dyDescent="0.25">
      <c r="A814" t="s">
        <v>272</v>
      </c>
      <c r="B814" t="s">
        <v>137</v>
      </c>
      <c r="C814">
        <v>2</v>
      </c>
      <c r="D814">
        <v>1464</v>
      </c>
      <c r="E814" t="s">
        <v>1964</v>
      </c>
      <c r="F814" t="s">
        <v>1962</v>
      </c>
      <c r="G814" s="31">
        <v>0.4229</v>
      </c>
      <c r="H814" s="31">
        <v>0.35089999999999999</v>
      </c>
      <c r="I814" t="s">
        <v>1954</v>
      </c>
      <c r="J814" t="s">
        <v>1954</v>
      </c>
      <c r="K814">
        <v>94976</v>
      </c>
      <c r="L814">
        <v>1280385</v>
      </c>
      <c r="M814" s="32">
        <v>13.4811</v>
      </c>
      <c r="N814" t="s">
        <v>141</v>
      </c>
      <c r="O814" t="s">
        <v>407</v>
      </c>
      <c r="P814">
        <v>199.5</v>
      </c>
      <c r="Q814" t="s">
        <v>1958</v>
      </c>
      <c r="R814" t="s">
        <v>21</v>
      </c>
      <c r="S814" t="s">
        <v>22</v>
      </c>
      <c r="T814">
        <f t="shared" si="12"/>
        <v>491389.5399999994</v>
      </c>
    </row>
    <row r="815" spans="1:20" x14ac:dyDescent="0.25">
      <c r="A815" t="s">
        <v>273</v>
      </c>
      <c r="B815" t="s">
        <v>137</v>
      </c>
      <c r="C815">
        <v>2</v>
      </c>
      <c r="D815">
        <v>1464</v>
      </c>
      <c r="E815" t="s">
        <v>1964</v>
      </c>
      <c r="F815" t="s">
        <v>1962</v>
      </c>
      <c r="G815" s="31">
        <v>0.4229</v>
      </c>
      <c r="H815" s="31">
        <v>0.35089999999999999</v>
      </c>
      <c r="I815" t="s">
        <v>1954</v>
      </c>
      <c r="J815" t="s">
        <v>1954</v>
      </c>
      <c r="K815">
        <v>94976</v>
      </c>
      <c r="L815">
        <v>1280385</v>
      </c>
      <c r="M815" s="32">
        <v>13.4811</v>
      </c>
      <c r="N815" t="s">
        <v>141</v>
      </c>
      <c r="O815" t="s">
        <v>407</v>
      </c>
      <c r="P815">
        <v>199.5</v>
      </c>
      <c r="Q815" t="s">
        <v>1958</v>
      </c>
      <c r="R815" t="s">
        <v>21</v>
      </c>
      <c r="S815" t="s">
        <v>22</v>
      </c>
      <c r="T815">
        <f t="shared" si="12"/>
        <v>491589.0399999994</v>
      </c>
    </row>
    <row r="816" spans="1:20" x14ac:dyDescent="0.25">
      <c r="A816" t="s">
        <v>274</v>
      </c>
      <c r="B816" t="s">
        <v>137</v>
      </c>
      <c r="C816">
        <v>2</v>
      </c>
      <c r="D816">
        <v>1464</v>
      </c>
      <c r="E816" t="s">
        <v>1964</v>
      </c>
      <c r="F816" t="s">
        <v>1962</v>
      </c>
      <c r="G816" s="31">
        <v>0.4229</v>
      </c>
      <c r="H816" s="31">
        <v>0.35089999999999999</v>
      </c>
      <c r="I816" t="s">
        <v>1954</v>
      </c>
      <c r="J816" t="s">
        <v>1954</v>
      </c>
      <c r="K816">
        <v>94976</v>
      </c>
      <c r="L816">
        <v>1280385</v>
      </c>
      <c r="M816" s="32">
        <v>13.4811</v>
      </c>
      <c r="N816" t="s">
        <v>141</v>
      </c>
      <c r="O816" t="s">
        <v>407</v>
      </c>
      <c r="P816">
        <v>199.5</v>
      </c>
      <c r="Q816" t="s">
        <v>1958</v>
      </c>
      <c r="R816" t="s">
        <v>21</v>
      </c>
      <c r="S816" t="s">
        <v>22</v>
      </c>
      <c r="T816">
        <f t="shared" si="12"/>
        <v>491788.5399999994</v>
      </c>
    </row>
    <row r="817" spans="1:20" x14ac:dyDescent="0.25">
      <c r="A817" t="s">
        <v>275</v>
      </c>
      <c r="B817" t="s">
        <v>137</v>
      </c>
      <c r="C817">
        <v>2</v>
      </c>
      <c r="D817">
        <v>1464</v>
      </c>
      <c r="E817" t="s">
        <v>1964</v>
      </c>
      <c r="F817" t="s">
        <v>1962</v>
      </c>
      <c r="G817" s="31">
        <v>0.4229</v>
      </c>
      <c r="H817" s="31">
        <v>0.35089999999999999</v>
      </c>
      <c r="I817" t="s">
        <v>1954</v>
      </c>
      <c r="J817" t="s">
        <v>1954</v>
      </c>
      <c r="K817">
        <v>94976</v>
      </c>
      <c r="L817">
        <v>1280385</v>
      </c>
      <c r="M817" s="32">
        <v>13.4811</v>
      </c>
      <c r="N817" t="s">
        <v>141</v>
      </c>
      <c r="O817" t="s">
        <v>407</v>
      </c>
      <c r="P817">
        <v>199.5</v>
      </c>
      <c r="Q817" t="s">
        <v>1958</v>
      </c>
      <c r="R817" t="s">
        <v>21</v>
      </c>
      <c r="S817" t="s">
        <v>22</v>
      </c>
      <c r="T817">
        <f t="shared" si="12"/>
        <v>491988.0399999994</v>
      </c>
    </row>
    <row r="818" spans="1:20" x14ac:dyDescent="0.25">
      <c r="A818" t="s">
        <v>276</v>
      </c>
      <c r="B818" t="s">
        <v>137</v>
      </c>
      <c r="C818">
        <v>2</v>
      </c>
      <c r="D818">
        <v>1464</v>
      </c>
      <c r="E818" t="s">
        <v>1964</v>
      </c>
      <c r="F818" t="s">
        <v>1962</v>
      </c>
      <c r="G818" s="31">
        <v>0.4229</v>
      </c>
      <c r="H818" s="31">
        <v>0.35089999999999999</v>
      </c>
      <c r="I818" t="s">
        <v>1954</v>
      </c>
      <c r="J818" t="s">
        <v>1954</v>
      </c>
      <c r="K818">
        <v>94976</v>
      </c>
      <c r="L818">
        <v>1280385</v>
      </c>
      <c r="M818" s="32">
        <v>13.4811</v>
      </c>
      <c r="N818" t="s">
        <v>141</v>
      </c>
      <c r="O818" t="s">
        <v>407</v>
      </c>
      <c r="P818">
        <v>199.5</v>
      </c>
      <c r="Q818" t="s">
        <v>1958</v>
      </c>
      <c r="R818" t="s">
        <v>21</v>
      </c>
      <c r="S818" t="s">
        <v>22</v>
      </c>
      <c r="T818">
        <f t="shared" si="12"/>
        <v>492187.5399999994</v>
      </c>
    </row>
    <row r="819" spans="1:20" x14ac:dyDescent="0.25">
      <c r="A819" t="s">
        <v>747</v>
      </c>
      <c r="B819" t="s">
        <v>125</v>
      </c>
      <c r="C819">
        <v>1</v>
      </c>
      <c r="D819">
        <v>7138</v>
      </c>
      <c r="E819" t="s">
        <v>748</v>
      </c>
      <c r="F819" t="s">
        <v>241</v>
      </c>
      <c r="G819" s="31">
        <v>1</v>
      </c>
      <c r="H819" s="31">
        <v>1</v>
      </c>
      <c r="I819" t="s">
        <v>1954</v>
      </c>
      <c r="J819" t="s">
        <v>1954</v>
      </c>
      <c r="K819">
        <v>15720</v>
      </c>
      <c r="L819">
        <v>214651</v>
      </c>
      <c r="M819" s="32">
        <v>13.6546</v>
      </c>
      <c r="N819" t="s">
        <v>141</v>
      </c>
      <c r="O819" t="s">
        <v>308</v>
      </c>
      <c r="P819">
        <v>65</v>
      </c>
      <c r="Q819" s="33" t="s">
        <v>1955</v>
      </c>
      <c r="R819" t="s">
        <v>21</v>
      </c>
      <c r="S819" t="s">
        <v>22</v>
      </c>
      <c r="T819">
        <f t="shared" si="12"/>
        <v>492252.5399999994</v>
      </c>
    </row>
    <row r="820" spans="1:20" x14ac:dyDescent="0.25">
      <c r="A820" t="s">
        <v>749</v>
      </c>
      <c r="B820" t="s">
        <v>137</v>
      </c>
      <c r="C820">
        <v>1</v>
      </c>
      <c r="D820">
        <v>7138</v>
      </c>
      <c r="E820" t="s">
        <v>748</v>
      </c>
      <c r="F820" t="s">
        <v>241</v>
      </c>
      <c r="G820" s="31">
        <v>1</v>
      </c>
      <c r="H820" s="31">
        <v>1</v>
      </c>
      <c r="I820" t="s">
        <v>1954</v>
      </c>
      <c r="J820" t="s">
        <v>1954</v>
      </c>
      <c r="K820">
        <v>15720</v>
      </c>
      <c r="L820">
        <v>214651</v>
      </c>
      <c r="M820" s="32">
        <v>13.6546</v>
      </c>
      <c r="N820" t="s">
        <v>141</v>
      </c>
      <c r="O820" t="s">
        <v>308</v>
      </c>
      <c r="P820">
        <v>65</v>
      </c>
      <c r="Q820" s="33" t="s">
        <v>1955</v>
      </c>
      <c r="R820" t="s">
        <v>21</v>
      </c>
      <c r="S820" t="s">
        <v>22</v>
      </c>
      <c r="T820">
        <f t="shared" si="12"/>
        <v>492317.5399999994</v>
      </c>
    </row>
    <row r="821" spans="1:20" x14ac:dyDescent="0.25">
      <c r="A821" t="s">
        <v>1491</v>
      </c>
      <c r="B821" t="s">
        <v>137</v>
      </c>
      <c r="C821">
        <v>3</v>
      </c>
      <c r="D821">
        <v>7138</v>
      </c>
      <c r="E821" t="s">
        <v>748</v>
      </c>
      <c r="F821" t="s">
        <v>241</v>
      </c>
      <c r="G821" s="31">
        <v>0.82089999999999996</v>
      </c>
      <c r="H821" s="31">
        <v>0.8669</v>
      </c>
      <c r="I821" t="s">
        <v>1954</v>
      </c>
      <c r="J821" t="s">
        <v>1954</v>
      </c>
      <c r="K821">
        <v>15720</v>
      </c>
      <c r="L821">
        <v>214651</v>
      </c>
      <c r="M821" s="32">
        <v>13.6546</v>
      </c>
      <c r="N821" t="s">
        <v>141</v>
      </c>
      <c r="O821" t="s">
        <v>308</v>
      </c>
      <c r="P821">
        <v>65</v>
      </c>
      <c r="Q821" t="s">
        <v>1958</v>
      </c>
      <c r="R821" t="s">
        <v>21</v>
      </c>
      <c r="S821" t="s">
        <v>22</v>
      </c>
      <c r="T821">
        <f t="shared" si="12"/>
        <v>492382.5399999994</v>
      </c>
    </row>
    <row r="822" spans="1:20" x14ac:dyDescent="0.25">
      <c r="A822" t="s">
        <v>1494</v>
      </c>
      <c r="B822" t="s">
        <v>137</v>
      </c>
      <c r="C822">
        <v>3</v>
      </c>
      <c r="D822">
        <v>7138</v>
      </c>
      <c r="E822" t="s">
        <v>748</v>
      </c>
      <c r="F822" t="s">
        <v>241</v>
      </c>
      <c r="G822" s="31">
        <v>0.82089999999999996</v>
      </c>
      <c r="H822" s="31">
        <v>0.8669</v>
      </c>
      <c r="I822" t="s">
        <v>1954</v>
      </c>
      <c r="J822" t="s">
        <v>1954</v>
      </c>
      <c r="K822">
        <v>15720</v>
      </c>
      <c r="L822">
        <v>214651</v>
      </c>
      <c r="M822" s="32">
        <v>13.6546</v>
      </c>
      <c r="N822" t="s">
        <v>141</v>
      </c>
      <c r="O822" t="s">
        <v>308</v>
      </c>
      <c r="P822">
        <v>65</v>
      </c>
      <c r="Q822" t="s">
        <v>1958</v>
      </c>
      <c r="R822" t="s">
        <v>21</v>
      </c>
      <c r="S822" t="s">
        <v>22</v>
      </c>
      <c r="T822">
        <f t="shared" si="12"/>
        <v>492447.5399999994</v>
      </c>
    </row>
    <row r="823" spans="1:20" x14ac:dyDescent="0.25">
      <c r="A823" t="s">
        <v>411</v>
      </c>
      <c r="B823" t="s">
        <v>125</v>
      </c>
      <c r="C823">
        <v>1</v>
      </c>
      <c r="D823">
        <v>1571</v>
      </c>
      <c r="E823" t="s">
        <v>406</v>
      </c>
      <c r="F823" t="s">
        <v>307</v>
      </c>
      <c r="G823" s="31">
        <v>1</v>
      </c>
      <c r="H823" s="31">
        <v>1</v>
      </c>
      <c r="I823" t="s">
        <v>1954</v>
      </c>
      <c r="J823" t="s">
        <v>1954</v>
      </c>
      <c r="K823">
        <v>51288</v>
      </c>
      <c r="L823">
        <v>700528</v>
      </c>
      <c r="M823" s="32">
        <v>13.6587</v>
      </c>
      <c r="N823" t="s">
        <v>130</v>
      </c>
      <c r="O823" t="s">
        <v>413</v>
      </c>
      <c r="P823">
        <v>434</v>
      </c>
      <c r="Q823" t="s">
        <v>1958</v>
      </c>
      <c r="R823" t="s">
        <v>21</v>
      </c>
      <c r="S823" t="s">
        <v>22</v>
      </c>
      <c r="T823">
        <f t="shared" si="12"/>
        <v>492881.5399999994</v>
      </c>
    </row>
    <row r="824" spans="1:20" x14ac:dyDescent="0.25">
      <c r="A824" t="s">
        <v>414</v>
      </c>
      <c r="B824" t="s">
        <v>125</v>
      </c>
      <c r="C824">
        <v>1</v>
      </c>
      <c r="D824">
        <v>1571</v>
      </c>
      <c r="E824" t="s">
        <v>406</v>
      </c>
      <c r="F824" t="s">
        <v>307</v>
      </c>
      <c r="G824" s="31">
        <v>1</v>
      </c>
      <c r="H824" s="31">
        <v>1</v>
      </c>
      <c r="I824" t="s">
        <v>1954</v>
      </c>
      <c r="J824" t="s">
        <v>1954</v>
      </c>
      <c r="K824">
        <v>51288</v>
      </c>
      <c r="L824">
        <v>700528</v>
      </c>
      <c r="M824" s="32">
        <v>13.6587</v>
      </c>
      <c r="N824" t="s">
        <v>130</v>
      </c>
      <c r="O824" t="s">
        <v>413</v>
      </c>
      <c r="P824">
        <v>434</v>
      </c>
      <c r="Q824" t="s">
        <v>1958</v>
      </c>
      <c r="R824" t="s">
        <v>21</v>
      </c>
      <c r="S824" t="s">
        <v>22</v>
      </c>
      <c r="T824">
        <f t="shared" si="12"/>
        <v>493315.5399999994</v>
      </c>
    </row>
    <row r="825" spans="1:20" x14ac:dyDescent="0.25">
      <c r="A825" t="s">
        <v>415</v>
      </c>
      <c r="B825" t="s">
        <v>125</v>
      </c>
      <c r="C825">
        <v>1</v>
      </c>
      <c r="D825">
        <v>1571</v>
      </c>
      <c r="E825" t="s">
        <v>406</v>
      </c>
      <c r="F825" t="s">
        <v>307</v>
      </c>
      <c r="G825" s="31">
        <v>1</v>
      </c>
      <c r="H825" s="31">
        <v>1</v>
      </c>
      <c r="I825" t="s">
        <v>1954</v>
      </c>
      <c r="J825" t="s">
        <v>1954</v>
      </c>
      <c r="K825">
        <v>51288</v>
      </c>
      <c r="L825">
        <v>700528</v>
      </c>
      <c r="M825" s="32">
        <v>13.6587</v>
      </c>
      <c r="N825" t="s">
        <v>130</v>
      </c>
      <c r="O825" t="s">
        <v>413</v>
      </c>
      <c r="P825">
        <v>434</v>
      </c>
      <c r="Q825" t="s">
        <v>1958</v>
      </c>
      <c r="R825" t="s">
        <v>21</v>
      </c>
      <c r="S825" t="s">
        <v>22</v>
      </c>
      <c r="T825">
        <f t="shared" si="12"/>
        <v>493749.5399999994</v>
      </c>
    </row>
    <row r="826" spans="1:20" x14ac:dyDescent="0.25">
      <c r="A826" t="s">
        <v>416</v>
      </c>
      <c r="B826" t="s">
        <v>125</v>
      </c>
      <c r="C826">
        <v>1</v>
      </c>
      <c r="D826">
        <v>1571</v>
      </c>
      <c r="E826" t="s">
        <v>406</v>
      </c>
      <c r="F826" t="s">
        <v>307</v>
      </c>
      <c r="G826" s="31">
        <v>1</v>
      </c>
      <c r="H826" s="31">
        <v>1</v>
      </c>
      <c r="I826" t="s">
        <v>1954</v>
      </c>
      <c r="J826" t="s">
        <v>1954</v>
      </c>
      <c r="K826">
        <v>51288</v>
      </c>
      <c r="L826">
        <v>700528</v>
      </c>
      <c r="M826" s="32">
        <v>13.6587</v>
      </c>
      <c r="N826" t="s">
        <v>130</v>
      </c>
      <c r="O826" t="s">
        <v>413</v>
      </c>
      <c r="P826">
        <v>434</v>
      </c>
      <c r="Q826" t="s">
        <v>1958</v>
      </c>
      <c r="R826" t="s">
        <v>21</v>
      </c>
      <c r="S826" t="s">
        <v>22</v>
      </c>
      <c r="T826">
        <f t="shared" si="12"/>
        <v>494183.5399999994</v>
      </c>
    </row>
    <row r="827" spans="1:20" x14ac:dyDescent="0.25">
      <c r="A827" t="s">
        <v>1570</v>
      </c>
      <c r="B827" t="s">
        <v>125</v>
      </c>
      <c r="C827">
        <v>1</v>
      </c>
      <c r="D827">
        <v>7288</v>
      </c>
      <c r="E827" t="s">
        <v>1571</v>
      </c>
      <c r="F827" t="s">
        <v>241</v>
      </c>
      <c r="G827" s="31">
        <v>1</v>
      </c>
      <c r="H827" s="31">
        <v>1</v>
      </c>
      <c r="I827" t="s">
        <v>1954</v>
      </c>
      <c r="J827" t="s">
        <v>1954</v>
      </c>
      <c r="K827">
        <v>43017</v>
      </c>
      <c r="L827">
        <v>587717</v>
      </c>
      <c r="M827" s="32">
        <v>13.6624</v>
      </c>
      <c r="N827" t="s">
        <v>352</v>
      </c>
      <c r="O827" t="s">
        <v>1572</v>
      </c>
      <c r="P827">
        <v>86.9</v>
      </c>
      <c r="Q827" s="33" t="s">
        <v>1955</v>
      </c>
      <c r="R827" t="s">
        <v>21</v>
      </c>
      <c r="S827" t="s">
        <v>22</v>
      </c>
      <c r="T827">
        <f t="shared" si="12"/>
        <v>494270.43999999942</v>
      </c>
    </row>
    <row r="828" spans="1:20" x14ac:dyDescent="0.25">
      <c r="A828" t="s">
        <v>1630</v>
      </c>
      <c r="B828" t="s">
        <v>189</v>
      </c>
      <c r="C828">
        <v>2</v>
      </c>
      <c r="D828">
        <v>10113</v>
      </c>
      <c r="E828" t="s">
        <v>2175</v>
      </c>
      <c r="F828" t="s">
        <v>143</v>
      </c>
      <c r="G828" s="31">
        <v>0.42149999999999999</v>
      </c>
      <c r="H828" s="31">
        <v>0.46750000000000003</v>
      </c>
      <c r="I828" t="s">
        <v>1954</v>
      </c>
      <c r="J828" t="s">
        <v>1954</v>
      </c>
      <c r="K828">
        <v>641892</v>
      </c>
      <c r="L828">
        <v>8800323</v>
      </c>
      <c r="M828" s="32">
        <v>13.71</v>
      </c>
      <c r="N828" t="s">
        <v>2176</v>
      </c>
      <c r="O828" t="s">
        <v>282</v>
      </c>
      <c r="P828">
        <v>80</v>
      </c>
      <c r="Q828" t="s">
        <v>1958</v>
      </c>
      <c r="R828" t="s">
        <v>21</v>
      </c>
      <c r="S828" t="s">
        <v>22</v>
      </c>
      <c r="T828">
        <f t="shared" si="12"/>
        <v>494350.43999999942</v>
      </c>
    </row>
    <row r="829" spans="1:20" x14ac:dyDescent="0.25">
      <c r="A829" t="s">
        <v>1477</v>
      </c>
      <c r="B829" t="s">
        <v>137</v>
      </c>
      <c r="C829">
        <v>1</v>
      </c>
      <c r="D829">
        <v>2880</v>
      </c>
      <c r="E829" t="s">
        <v>1478</v>
      </c>
      <c r="F829" t="s">
        <v>322</v>
      </c>
      <c r="G829" s="31">
        <v>0.86660000000000004</v>
      </c>
      <c r="H829" s="31">
        <v>0.91259999999999997</v>
      </c>
      <c r="I829" t="s">
        <v>1954</v>
      </c>
      <c r="J829" t="s">
        <v>1954</v>
      </c>
      <c r="K829">
        <v>367453.99900000001</v>
      </c>
      <c r="L829">
        <v>5113727</v>
      </c>
      <c r="M829" s="32">
        <v>13.916600000000001</v>
      </c>
      <c r="N829" t="s">
        <v>130</v>
      </c>
      <c r="O829" t="s">
        <v>459</v>
      </c>
      <c r="P829">
        <v>369</v>
      </c>
      <c r="Q829" s="33" t="s">
        <v>1955</v>
      </c>
      <c r="R829" t="s">
        <v>21</v>
      </c>
      <c r="S829" t="s">
        <v>22</v>
      </c>
      <c r="T829">
        <f t="shared" si="12"/>
        <v>494719.43999999942</v>
      </c>
    </row>
    <row r="830" spans="1:20" x14ac:dyDescent="0.25">
      <c r="A830" t="s">
        <v>1479</v>
      </c>
      <c r="B830" t="s">
        <v>137</v>
      </c>
      <c r="C830">
        <v>1</v>
      </c>
      <c r="D830">
        <v>2880</v>
      </c>
      <c r="E830" t="s">
        <v>1478</v>
      </c>
      <c r="F830" t="s">
        <v>322</v>
      </c>
      <c r="G830" s="31">
        <v>0.86660000000000004</v>
      </c>
      <c r="H830" s="31">
        <v>0.91259999999999997</v>
      </c>
      <c r="I830" t="s">
        <v>1954</v>
      </c>
      <c r="J830" t="s">
        <v>1954</v>
      </c>
      <c r="K830">
        <v>367453.99900000001</v>
      </c>
      <c r="L830">
        <v>5113727</v>
      </c>
      <c r="M830" s="32">
        <v>13.916600000000001</v>
      </c>
      <c r="N830" t="s">
        <v>130</v>
      </c>
      <c r="O830" t="s">
        <v>459</v>
      </c>
      <c r="P830">
        <v>369</v>
      </c>
      <c r="Q830" s="33" t="s">
        <v>1955</v>
      </c>
      <c r="R830" t="s">
        <v>21</v>
      </c>
      <c r="S830" t="s">
        <v>22</v>
      </c>
      <c r="T830">
        <f t="shared" si="12"/>
        <v>495088.43999999942</v>
      </c>
    </row>
    <row r="831" spans="1:20" x14ac:dyDescent="0.25">
      <c r="A831" t="s">
        <v>1480</v>
      </c>
      <c r="B831" t="s">
        <v>137</v>
      </c>
      <c r="C831">
        <v>1</v>
      </c>
      <c r="D831">
        <v>2880</v>
      </c>
      <c r="E831" t="s">
        <v>1478</v>
      </c>
      <c r="F831" t="s">
        <v>322</v>
      </c>
      <c r="G831" s="31">
        <v>0.86660000000000004</v>
      </c>
      <c r="H831" s="31">
        <v>0.91259999999999997</v>
      </c>
      <c r="I831" t="s">
        <v>1954</v>
      </c>
      <c r="J831" t="s">
        <v>1954</v>
      </c>
      <c r="K831">
        <v>367453.99900000001</v>
      </c>
      <c r="L831">
        <v>5113727</v>
      </c>
      <c r="M831" s="32">
        <v>13.916600000000001</v>
      </c>
      <c r="N831" t="s">
        <v>130</v>
      </c>
      <c r="O831" t="s">
        <v>459</v>
      </c>
      <c r="P831">
        <v>369</v>
      </c>
      <c r="Q831" s="33" t="s">
        <v>1955</v>
      </c>
      <c r="R831" t="s">
        <v>21</v>
      </c>
      <c r="S831" t="s">
        <v>22</v>
      </c>
      <c r="T831">
        <f t="shared" si="12"/>
        <v>495457.43999999942</v>
      </c>
    </row>
    <row r="832" spans="1:20" x14ac:dyDescent="0.25">
      <c r="A832" t="s">
        <v>1481</v>
      </c>
      <c r="B832" t="s">
        <v>137</v>
      </c>
      <c r="C832">
        <v>1</v>
      </c>
      <c r="D832">
        <v>2880</v>
      </c>
      <c r="E832" t="s">
        <v>1478</v>
      </c>
      <c r="F832" t="s">
        <v>322</v>
      </c>
      <c r="G832" s="31">
        <v>0.86660000000000004</v>
      </c>
      <c r="H832" s="31">
        <v>0.91259999999999997</v>
      </c>
      <c r="I832" t="s">
        <v>1954</v>
      </c>
      <c r="J832" t="s">
        <v>1954</v>
      </c>
      <c r="K832">
        <v>367453.99900000001</v>
      </c>
      <c r="L832">
        <v>5113727</v>
      </c>
      <c r="M832" s="32">
        <v>13.916600000000001</v>
      </c>
      <c r="N832" t="s">
        <v>130</v>
      </c>
      <c r="O832" t="s">
        <v>459</v>
      </c>
      <c r="P832">
        <v>369</v>
      </c>
      <c r="Q832" s="33" t="s">
        <v>1955</v>
      </c>
      <c r="R832" t="s">
        <v>21</v>
      </c>
      <c r="S832" t="s">
        <v>22</v>
      </c>
      <c r="T832">
        <f t="shared" si="12"/>
        <v>495826.43999999942</v>
      </c>
    </row>
    <row r="833" spans="1:20" x14ac:dyDescent="0.25">
      <c r="A833" t="s">
        <v>1482</v>
      </c>
      <c r="B833" t="s">
        <v>137</v>
      </c>
      <c r="C833">
        <v>1</v>
      </c>
      <c r="D833">
        <v>2880</v>
      </c>
      <c r="E833" t="s">
        <v>1478</v>
      </c>
      <c r="F833" t="s">
        <v>322</v>
      </c>
      <c r="G833" s="31">
        <v>0.86660000000000004</v>
      </c>
      <c r="H833" s="31">
        <v>0.91259999999999997</v>
      </c>
      <c r="I833" t="s">
        <v>1954</v>
      </c>
      <c r="J833" t="s">
        <v>1954</v>
      </c>
      <c r="K833">
        <v>367453.99900000001</v>
      </c>
      <c r="L833">
        <v>5113727</v>
      </c>
      <c r="M833" s="32">
        <v>13.916600000000001</v>
      </c>
      <c r="N833" t="s">
        <v>130</v>
      </c>
      <c r="O833" t="s">
        <v>459</v>
      </c>
      <c r="P833">
        <v>369</v>
      </c>
      <c r="Q833" s="33" t="s">
        <v>1955</v>
      </c>
      <c r="R833" t="s">
        <v>21</v>
      </c>
      <c r="S833" t="s">
        <v>22</v>
      </c>
      <c r="T833">
        <f t="shared" si="12"/>
        <v>496195.43999999942</v>
      </c>
    </row>
    <row r="834" spans="1:20" x14ac:dyDescent="0.25">
      <c r="A834" t="s">
        <v>1499</v>
      </c>
      <c r="B834" t="s">
        <v>137</v>
      </c>
      <c r="C834">
        <v>2</v>
      </c>
      <c r="D834">
        <v>56144</v>
      </c>
      <c r="E834" t="s">
        <v>2155</v>
      </c>
      <c r="F834" t="s">
        <v>1969</v>
      </c>
      <c r="G834" s="31">
        <v>0.52290000000000003</v>
      </c>
      <c r="H834" s="31">
        <v>0.45090000000000002</v>
      </c>
      <c r="I834" t="s">
        <v>1954</v>
      </c>
      <c r="J834" t="s">
        <v>1954</v>
      </c>
      <c r="K834">
        <v>878</v>
      </c>
      <c r="L834">
        <v>12234</v>
      </c>
      <c r="M834" s="32">
        <v>13.9339</v>
      </c>
      <c r="N834" t="s">
        <v>141</v>
      </c>
      <c r="O834" t="s">
        <v>567</v>
      </c>
      <c r="P834">
        <v>40</v>
      </c>
      <c r="Q834" t="s">
        <v>1958</v>
      </c>
      <c r="R834" t="s">
        <v>21</v>
      </c>
      <c r="S834" t="s">
        <v>22</v>
      </c>
      <c r="T834">
        <f t="shared" si="12"/>
        <v>496235.43999999942</v>
      </c>
    </row>
    <row r="835" spans="1:20" x14ac:dyDescent="0.25">
      <c r="A835" t="s">
        <v>1501</v>
      </c>
      <c r="B835" t="s">
        <v>137</v>
      </c>
      <c r="C835">
        <v>2</v>
      </c>
      <c r="D835">
        <v>56144</v>
      </c>
      <c r="E835" t="s">
        <v>2155</v>
      </c>
      <c r="F835" t="s">
        <v>1969</v>
      </c>
      <c r="G835" s="31">
        <v>0.52290000000000003</v>
      </c>
      <c r="H835" s="31">
        <v>0.45090000000000002</v>
      </c>
      <c r="I835" t="s">
        <v>1954</v>
      </c>
      <c r="J835" t="s">
        <v>1954</v>
      </c>
      <c r="K835">
        <v>878</v>
      </c>
      <c r="L835">
        <v>12234</v>
      </c>
      <c r="M835" s="32">
        <v>13.9339</v>
      </c>
      <c r="N835" t="s">
        <v>141</v>
      </c>
      <c r="O835" t="s">
        <v>567</v>
      </c>
      <c r="P835">
        <v>40</v>
      </c>
      <c r="Q835" t="s">
        <v>1958</v>
      </c>
      <c r="R835" t="s">
        <v>21</v>
      </c>
      <c r="S835" t="s">
        <v>22</v>
      </c>
      <c r="T835">
        <f t="shared" si="12"/>
        <v>496275.43999999942</v>
      </c>
    </row>
    <row r="836" spans="1:20" x14ac:dyDescent="0.25">
      <c r="A836" t="s">
        <v>1502</v>
      </c>
      <c r="B836" t="s">
        <v>137</v>
      </c>
      <c r="C836">
        <v>2</v>
      </c>
      <c r="D836">
        <v>56144</v>
      </c>
      <c r="E836" t="s">
        <v>2155</v>
      </c>
      <c r="F836" t="s">
        <v>1969</v>
      </c>
      <c r="G836" s="31">
        <v>0.52290000000000003</v>
      </c>
      <c r="H836" s="31">
        <v>0.45090000000000002</v>
      </c>
      <c r="I836" t="s">
        <v>1954</v>
      </c>
      <c r="J836" t="s">
        <v>1954</v>
      </c>
      <c r="K836">
        <v>878</v>
      </c>
      <c r="L836">
        <v>12234</v>
      </c>
      <c r="M836" s="32">
        <v>13.9339</v>
      </c>
      <c r="N836" t="s">
        <v>141</v>
      </c>
      <c r="O836" t="s">
        <v>567</v>
      </c>
      <c r="P836">
        <v>40</v>
      </c>
      <c r="Q836" t="s">
        <v>1958</v>
      </c>
      <c r="R836" t="s">
        <v>21</v>
      </c>
      <c r="S836" t="s">
        <v>22</v>
      </c>
      <c r="T836">
        <f t="shared" ref="T836:T899" si="13">T835+P836</f>
        <v>496315.43999999942</v>
      </c>
    </row>
    <row r="837" spans="1:20" x14ac:dyDescent="0.25">
      <c r="A837" t="s">
        <v>1503</v>
      </c>
      <c r="B837" t="s">
        <v>137</v>
      </c>
      <c r="C837">
        <v>2</v>
      </c>
      <c r="D837">
        <v>56144</v>
      </c>
      <c r="E837" t="s">
        <v>2155</v>
      </c>
      <c r="F837" t="s">
        <v>1969</v>
      </c>
      <c r="G837" s="31">
        <v>0.52290000000000003</v>
      </c>
      <c r="H837" s="31">
        <v>0.45090000000000002</v>
      </c>
      <c r="I837" t="s">
        <v>1954</v>
      </c>
      <c r="J837" t="s">
        <v>1954</v>
      </c>
      <c r="K837">
        <v>878</v>
      </c>
      <c r="L837">
        <v>12234</v>
      </c>
      <c r="M837" s="32">
        <v>13.9339</v>
      </c>
      <c r="N837" t="s">
        <v>141</v>
      </c>
      <c r="O837" t="s">
        <v>567</v>
      </c>
      <c r="P837">
        <v>40</v>
      </c>
      <c r="Q837" t="s">
        <v>1958</v>
      </c>
      <c r="R837" t="s">
        <v>21</v>
      </c>
      <c r="S837" t="s">
        <v>22</v>
      </c>
      <c r="T837">
        <f t="shared" si="13"/>
        <v>496355.43999999942</v>
      </c>
    </row>
    <row r="838" spans="1:20" x14ac:dyDescent="0.25">
      <c r="A838" t="s">
        <v>314</v>
      </c>
      <c r="B838" t="s">
        <v>150</v>
      </c>
      <c r="C838">
        <v>2</v>
      </c>
      <c r="D838">
        <v>7413</v>
      </c>
      <c r="E838" t="s">
        <v>1966</v>
      </c>
      <c r="F838" t="s">
        <v>1967</v>
      </c>
      <c r="G838" s="31">
        <v>0.4012</v>
      </c>
      <c r="H838" s="31">
        <v>0.32919999999999999</v>
      </c>
      <c r="I838" t="s">
        <v>1954</v>
      </c>
      <c r="J838" t="s">
        <v>1954</v>
      </c>
      <c r="K838">
        <v>25019</v>
      </c>
      <c r="L838">
        <v>348668</v>
      </c>
      <c r="M838" s="32">
        <v>13.9361</v>
      </c>
      <c r="N838" t="s">
        <v>321</v>
      </c>
      <c r="O838" t="s">
        <v>567</v>
      </c>
      <c r="P838">
        <v>3.2</v>
      </c>
      <c r="Q838" t="s">
        <v>1958</v>
      </c>
      <c r="R838" t="s">
        <v>21</v>
      </c>
      <c r="S838" t="s">
        <v>22</v>
      </c>
      <c r="T838">
        <f t="shared" si="13"/>
        <v>496358.63999999943</v>
      </c>
    </row>
    <row r="839" spans="1:20" x14ac:dyDescent="0.25">
      <c r="A839" t="s">
        <v>526</v>
      </c>
      <c r="B839" t="s">
        <v>137</v>
      </c>
      <c r="C839">
        <v>1</v>
      </c>
      <c r="D839">
        <v>55253</v>
      </c>
      <c r="E839" t="s">
        <v>527</v>
      </c>
      <c r="F839" t="s">
        <v>166</v>
      </c>
      <c r="G839" s="31">
        <v>0.81499999999999995</v>
      </c>
      <c r="H839" s="31">
        <v>0.86099999999999999</v>
      </c>
      <c r="I839" t="s">
        <v>1954</v>
      </c>
      <c r="J839" t="s">
        <v>1954</v>
      </c>
      <c r="K839">
        <v>59759.999000000003</v>
      </c>
      <c r="L839">
        <v>845329</v>
      </c>
      <c r="M839" s="32">
        <v>14.1454</v>
      </c>
      <c r="N839" t="s">
        <v>141</v>
      </c>
      <c r="O839" t="s">
        <v>529</v>
      </c>
      <c r="P839">
        <v>300</v>
      </c>
      <c r="Q839" s="33" t="s">
        <v>1955</v>
      </c>
      <c r="R839" t="s">
        <v>21</v>
      </c>
      <c r="S839" t="s">
        <v>22</v>
      </c>
      <c r="T839">
        <f t="shared" si="13"/>
        <v>496658.63999999943</v>
      </c>
    </row>
    <row r="840" spans="1:20" x14ac:dyDescent="0.25">
      <c r="A840" t="s">
        <v>530</v>
      </c>
      <c r="B840" t="s">
        <v>137</v>
      </c>
      <c r="C840">
        <v>1</v>
      </c>
      <c r="D840">
        <v>55253</v>
      </c>
      <c r="E840" t="s">
        <v>527</v>
      </c>
      <c r="F840" t="s">
        <v>166</v>
      </c>
      <c r="G840" s="31">
        <v>0.81499999999999995</v>
      </c>
      <c r="H840" s="31">
        <v>0.86099999999999999</v>
      </c>
      <c r="I840" t="s">
        <v>1954</v>
      </c>
      <c r="J840" t="s">
        <v>1954</v>
      </c>
      <c r="K840">
        <v>59759.999000000003</v>
      </c>
      <c r="L840">
        <v>845329</v>
      </c>
      <c r="M840" s="32">
        <v>14.1454</v>
      </c>
      <c r="N840" t="s">
        <v>141</v>
      </c>
      <c r="O840" t="s">
        <v>529</v>
      </c>
      <c r="P840">
        <v>300</v>
      </c>
      <c r="Q840" s="33" t="s">
        <v>1955</v>
      </c>
      <c r="R840" t="s">
        <v>21</v>
      </c>
      <c r="S840" t="s">
        <v>22</v>
      </c>
      <c r="T840">
        <f t="shared" si="13"/>
        <v>496958.63999999943</v>
      </c>
    </row>
    <row r="841" spans="1:20" x14ac:dyDescent="0.25">
      <c r="A841" t="s">
        <v>531</v>
      </c>
      <c r="B841" t="s">
        <v>137</v>
      </c>
      <c r="C841">
        <v>1</v>
      </c>
      <c r="D841">
        <v>55253</v>
      </c>
      <c r="E841" t="s">
        <v>527</v>
      </c>
      <c r="F841" t="s">
        <v>166</v>
      </c>
      <c r="G841" s="31">
        <v>0.81499999999999995</v>
      </c>
      <c r="H841" s="31">
        <v>0.86099999999999999</v>
      </c>
      <c r="I841" t="s">
        <v>1954</v>
      </c>
      <c r="J841" t="s">
        <v>1954</v>
      </c>
      <c r="K841">
        <v>59759.999000000003</v>
      </c>
      <c r="L841">
        <v>845329</v>
      </c>
      <c r="M841" s="32">
        <v>14.1454</v>
      </c>
      <c r="N841" t="s">
        <v>141</v>
      </c>
      <c r="O841" t="s">
        <v>529</v>
      </c>
      <c r="P841">
        <v>300</v>
      </c>
      <c r="Q841" s="33" t="s">
        <v>1955</v>
      </c>
      <c r="R841" t="s">
        <v>21</v>
      </c>
      <c r="S841" t="s">
        <v>22</v>
      </c>
      <c r="T841">
        <f t="shared" si="13"/>
        <v>497258.63999999943</v>
      </c>
    </row>
    <row r="842" spans="1:20" x14ac:dyDescent="0.25">
      <c r="A842" t="s">
        <v>532</v>
      </c>
      <c r="B842" t="s">
        <v>137</v>
      </c>
      <c r="C842">
        <v>1</v>
      </c>
      <c r="D842">
        <v>55253</v>
      </c>
      <c r="E842" t="s">
        <v>527</v>
      </c>
      <c r="F842" t="s">
        <v>166</v>
      </c>
      <c r="G842" s="31">
        <v>0.81499999999999995</v>
      </c>
      <c r="H842" s="31">
        <v>0.86099999999999999</v>
      </c>
      <c r="I842" t="s">
        <v>1954</v>
      </c>
      <c r="J842" t="s">
        <v>1954</v>
      </c>
      <c r="K842">
        <v>59759.999000000003</v>
      </c>
      <c r="L842">
        <v>845329</v>
      </c>
      <c r="M842" s="32">
        <v>14.1454</v>
      </c>
      <c r="N842" t="s">
        <v>141</v>
      </c>
      <c r="O842" t="s">
        <v>529</v>
      </c>
      <c r="P842">
        <v>300</v>
      </c>
      <c r="Q842" s="33" t="s">
        <v>1955</v>
      </c>
      <c r="R842" t="s">
        <v>21</v>
      </c>
      <c r="S842" t="s">
        <v>22</v>
      </c>
      <c r="T842">
        <f t="shared" si="13"/>
        <v>497558.63999999943</v>
      </c>
    </row>
    <row r="843" spans="1:20" x14ac:dyDescent="0.25">
      <c r="A843" t="s">
        <v>1740</v>
      </c>
      <c r="B843" t="s">
        <v>189</v>
      </c>
      <c r="C843">
        <v>1</v>
      </c>
      <c r="D843">
        <v>1554</v>
      </c>
      <c r="E843" t="s">
        <v>1741</v>
      </c>
      <c r="F843" t="s">
        <v>307</v>
      </c>
      <c r="G843" s="31">
        <v>0.82299999999999995</v>
      </c>
      <c r="H843" s="31">
        <v>0.86899999999999999</v>
      </c>
      <c r="I843" t="s">
        <v>1954</v>
      </c>
      <c r="J843" t="s">
        <v>1954</v>
      </c>
      <c r="K843">
        <v>186004</v>
      </c>
      <c r="L843">
        <v>2634915</v>
      </c>
      <c r="M843" s="32">
        <v>14.165900000000001</v>
      </c>
      <c r="N843" t="s">
        <v>1203</v>
      </c>
      <c r="O843" t="s">
        <v>407</v>
      </c>
      <c r="P843">
        <v>702</v>
      </c>
      <c r="Q843" s="33" t="s">
        <v>1955</v>
      </c>
      <c r="R843" t="s">
        <v>21</v>
      </c>
      <c r="S843" t="s">
        <v>22</v>
      </c>
      <c r="T843">
        <f t="shared" si="13"/>
        <v>498260.63999999943</v>
      </c>
    </row>
    <row r="844" spans="1:20" x14ac:dyDescent="0.25">
      <c r="A844" t="s">
        <v>1742</v>
      </c>
      <c r="B844" t="s">
        <v>189</v>
      </c>
      <c r="C844">
        <v>1</v>
      </c>
      <c r="D844">
        <v>1554</v>
      </c>
      <c r="E844" t="s">
        <v>1741</v>
      </c>
      <c r="F844" t="s">
        <v>307</v>
      </c>
      <c r="G844" s="31">
        <v>0.82299999999999995</v>
      </c>
      <c r="H844" s="31">
        <v>0.86899999999999999</v>
      </c>
      <c r="I844" t="s">
        <v>1954</v>
      </c>
      <c r="J844" t="s">
        <v>1954</v>
      </c>
      <c r="K844">
        <v>186004</v>
      </c>
      <c r="L844">
        <v>2634915</v>
      </c>
      <c r="M844" s="32">
        <v>14.165900000000001</v>
      </c>
      <c r="N844" t="s">
        <v>1203</v>
      </c>
      <c r="O844" t="s">
        <v>407</v>
      </c>
      <c r="P844">
        <v>702</v>
      </c>
      <c r="Q844" s="33" t="s">
        <v>1955</v>
      </c>
      <c r="R844" t="s">
        <v>21</v>
      </c>
      <c r="S844" t="s">
        <v>22</v>
      </c>
      <c r="T844">
        <f t="shared" si="13"/>
        <v>498962.63999999943</v>
      </c>
    </row>
    <row r="845" spans="1:20" x14ac:dyDescent="0.25">
      <c r="A845" t="s">
        <v>1393</v>
      </c>
      <c r="B845" t="s">
        <v>125</v>
      </c>
      <c r="C845">
        <v>1</v>
      </c>
      <c r="D845">
        <v>3113</v>
      </c>
      <c r="E845" t="s">
        <v>1394</v>
      </c>
      <c r="F845" t="s">
        <v>143</v>
      </c>
      <c r="G845" s="31">
        <v>0.86660000000000004</v>
      </c>
      <c r="H845" s="31">
        <v>0.91259999999999997</v>
      </c>
      <c r="I845" t="s">
        <v>1954</v>
      </c>
      <c r="J845" t="s">
        <v>1954</v>
      </c>
      <c r="K845">
        <v>9794</v>
      </c>
      <c r="L845">
        <v>138910</v>
      </c>
      <c r="M845" s="32">
        <v>14.183199999999999</v>
      </c>
      <c r="N845" t="s">
        <v>584</v>
      </c>
      <c r="O845" t="s">
        <v>673</v>
      </c>
      <c r="P845">
        <v>177.5</v>
      </c>
      <c r="Q845" s="33" t="s">
        <v>1955</v>
      </c>
      <c r="R845" t="s">
        <v>21</v>
      </c>
      <c r="S845" t="s">
        <v>22</v>
      </c>
      <c r="T845">
        <f t="shared" si="13"/>
        <v>499140.13999999943</v>
      </c>
    </row>
    <row r="846" spans="1:20" x14ac:dyDescent="0.25">
      <c r="A846" t="s">
        <v>1395</v>
      </c>
      <c r="B846" t="s">
        <v>125</v>
      </c>
      <c r="C846">
        <v>1</v>
      </c>
      <c r="D846">
        <v>3113</v>
      </c>
      <c r="E846" t="s">
        <v>1394</v>
      </c>
      <c r="F846" t="s">
        <v>143</v>
      </c>
      <c r="G846" s="31">
        <v>0.86660000000000004</v>
      </c>
      <c r="H846" s="31">
        <v>0.91259999999999997</v>
      </c>
      <c r="I846" t="s">
        <v>1954</v>
      </c>
      <c r="J846" t="s">
        <v>1954</v>
      </c>
      <c r="K846">
        <v>9794</v>
      </c>
      <c r="L846">
        <v>138910</v>
      </c>
      <c r="M846" s="32">
        <v>14.183199999999999</v>
      </c>
      <c r="N846" t="s">
        <v>584</v>
      </c>
      <c r="O846" t="s">
        <v>673</v>
      </c>
      <c r="P846">
        <v>177.5</v>
      </c>
      <c r="Q846" s="33" t="s">
        <v>1955</v>
      </c>
      <c r="R846" t="s">
        <v>21</v>
      </c>
      <c r="S846" t="s">
        <v>22</v>
      </c>
      <c r="T846">
        <f t="shared" si="13"/>
        <v>499317.63999999943</v>
      </c>
    </row>
    <row r="847" spans="1:20" x14ac:dyDescent="0.25">
      <c r="A847" t="s">
        <v>455</v>
      </c>
      <c r="B847" t="s">
        <v>109</v>
      </c>
      <c r="C847">
        <v>3</v>
      </c>
      <c r="D847">
        <v>50776</v>
      </c>
      <c r="E847" t="s">
        <v>1329</v>
      </c>
      <c r="F847" t="s">
        <v>143</v>
      </c>
      <c r="G847" s="31">
        <v>0.39229999999999998</v>
      </c>
      <c r="H847" s="31">
        <v>0.43830000000000002</v>
      </c>
      <c r="I847" t="s">
        <v>1954</v>
      </c>
      <c r="J847" t="s">
        <v>1954</v>
      </c>
      <c r="K847">
        <v>336881.21299999999</v>
      </c>
      <c r="L847">
        <v>4908175</v>
      </c>
      <c r="M847" s="32">
        <v>14.5695</v>
      </c>
      <c r="N847" t="s">
        <v>1330</v>
      </c>
      <c r="O847" t="s">
        <v>282</v>
      </c>
      <c r="P847">
        <v>80</v>
      </c>
      <c r="Q847" t="s">
        <v>1958</v>
      </c>
      <c r="R847" t="s">
        <v>21</v>
      </c>
      <c r="S847" t="s">
        <v>22</v>
      </c>
      <c r="T847">
        <f t="shared" si="13"/>
        <v>499397.63999999943</v>
      </c>
    </row>
    <row r="848" spans="1:20" x14ac:dyDescent="0.25">
      <c r="A848" t="s">
        <v>460</v>
      </c>
      <c r="B848" t="s">
        <v>109</v>
      </c>
      <c r="C848">
        <v>3</v>
      </c>
      <c r="D848">
        <v>50776</v>
      </c>
      <c r="E848" t="s">
        <v>1329</v>
      </c>
      <c r="F848" t="s">
        <v>143</v>
      </c>
      <c r="G848" s="31">
        <v>0.39229999999999998</v>
      </c>
      <c r="H848" s="31">
        <v>0.43830000000000002</v>
      </c>
      <c r="I848" t="s">
        <v>1954</v>
      </c>
      <c r="J848" t="s">
        <v>1954</v>
      </c>
      <c r="K848">
        <v>336881.21299999999</v>
      </c>
      <c r="L848">
        <v>4908175</v>
      </c>
      <c r="M848" s="32">
        <v>14.5695</v>
      </c>
      <c r="N848" t="s">
        <v>1330</v>
      </c>
      <c r="O848" t="s">
        <v>282</v>
      </c>
      <c r="P848">
        <v>80</v>
      </c>
      <c r="Q848" t="s">
        <v>1958</v>
      </c>
      <c r="R848" t="s">
        <v>21</v>
      </c>
      <c r="S848" t="s">
        <v>22</v>
      </c>
      <c r="T848">
        <f t="shared" si="13"/>
        <v>499477.63999999943</v>
      </c>
    </row>
    <row r="849" spans="1:20" x14ac:dyDescent="0.25">
      <c r="A849" t="s">
        <v>461</v>
      </c>
      <c r="B849" t="s">
        <v>109</v>
      </c>
      <c r="C849">
        <v>3</v>
      </c>
      <c r="D849">
        <v>50776</v>
      </c>
      <c r="E849" t="s">
        <v>1329</v>
      </c>
      <c r="F849" t="s">
        <v>143</v>
      </c>
      <c r="G849" s="31">
        <v>0.39229999999999998</v>
      </c>
      <c r="H849" s="31">
        <v>0.43830000000000002</v>
      </c>
      <c r="I849" t="s">
        <v>1954</v>
      </c>
      <c r="J849" t="s">
        <v>1954</v>
      </c>
      <c r="K849">
        <v>336881.21299999999</v>
      </c>
      <c r="L849">
        <v>4908175</v>
      </c>
      <c r="M849" s="32">
        <v>14.5695</v>
      </c>
      <c r="N849" t="s">
        <v>1330</v>
      </c>
      <c r="O849" t="s">
        <v>282</v>
      </c>
      <c r="P849">
        <v>80</v>
      </c>
      <c r="Q849" t="s">
        <v>1958</v>
      </c>
      <c r="R849" t="s">
        <v>21</v>
      </c>
      <c r="S849" t="s">
        <v>22</v>
      </c>
      <c r="T849">
        <f t="shared" si="13"/>
        <v>499557.63999999943</v>
      </c>
    </row>
    <row r="850" spans="1:20" x14ac:dyDescent="0.25">
      <c r="A850" t="s">
        <v>462</v>
      </c>
      <c r="B850" t="s">
        <v>109</v>
      </c>
      <c r="C850">
        <v>3</v>
      </c>
      <c r="D850">
        <v>50776</v>
      </c>
      <c r="E850" t="s">
        <v>1329</v>
      </c>
      <c r="F850" t="s">
        <v>143</v>
      </c>
      <c r="G850" s="31">
        <v>0.39229999999999998</v>
      </c>
      <c r="H850" s="31">
        <v>0.43830000000000002</v>
      </c>
      <c r="I850" t="s">
        <v>1954</v>
      </c>
      <c r="J850" t="s">
        <v>1954</v>
      </c>
      <c r="K850">
        <v>336881.21299999999</v>
      </c>
      <c r="L850">
        <v>4908175</v>
      </c>
      <c r="M850" s="32">
        <v>14.5695</v>
      </c>
      <c r="N850" t="s">
        <v>1330</v>
      </c>
      <c r="O850" t="s">
        <v>282</v>
      </c>
      <c r="P850">
        <v>80</v>
      </c>
      <c r="Q850" t="s">
        <v>1958</v>
      </c>
      <c r="R850" t="s">
        <v>21</v>
      </c>
      <c r="S850" t="s">
        <v>22</v>
      </c>
      <c r="T850">
        <f t="shared" si="13"/>
        <v>499637.63999999943</v>
      </c>
    </row>
    <row r="851" spans="1:20" x14ac:dyDescent="0.25">
      <c r="A851" t="s">
        <v>463</v>
      </c>
      <c r="B851" t="s">
        <v>109</v>
      </c>
      <c r="C851">
        <v>3</v>
      </c>
      <c r="D851">
        <v>50776</v>
      </c>
      <c r="E851" t="s">
        <v>1329</v>
      </c>
      <c r="F851" t="s">
        <v>143</v>
      </c>
      <c r="G851" s="31">
        <v>0.39229999999999998</v>
      </c>
      <c r="H851" s="31">
        <v>0.43830000000000002</v>
      </c>
      <c r="I851" t="s">
        <v>1954</v>
      </c>
      <c r="J851" t="s">
        <v>1954</v>
      </c>
      <c r="K851">
        <v>336881.21299999999</v>
      </c>
      <c r="L851">
        <v>4908175</v>
      </c>
      <c r="M851" s="32">
        <v>14.5695</v>
      </c>
      <c r="N851" t="s">
        <v>1330</v>
      </c>
      <c r="O851" t="s">
        <v>282</v>
      </c>
      <c r="P851">
        <v>80</v>
      </c>
      <c r="Q851" t="s">
        <v>1958</v>
      </c>
      <c r="R851" t="s">
        <v>21</v>
      </c>
      <c r="S851" t="s">
        <v>22</v>
      </c>
      <c r="T851">
        <f t="shared" si="13"/>
        <v>499717.63999999943</v>
      </c>
    </row>
    <row r="852" spans="1:20" x14ac:dyDescent="0.25">
      <c r="A852" t="s">
        <v>464</v>
      </c>
      <c r="B852" t="s">
        <v>109</v>
      </c>
      <c r="C852">
        <v>3</v>
      </c>
      <c r="D852">
        <v>50776</v>
      </c>
      <c r="E852" t="s">
        <v>1329</v>
      </c>
      <c r="F852" t="s">
        <v>143</v>
      </c>
      <c r="G852" s="31">
        <v>0.39229999999999998</v>
      </c>
      <c r="H852" s="31">
        <v>0.43830000000000002</v>
      </c>
      <c r="I852" t="s">
        <v>1954</v>
      </c>
      <c r="J852" t="s">
        <v>1954</v>
      </c>
      <c r="K852">
        <v>336881.21299999999</v>
      </c>
      <c r="L852">
        <v>4908175</v>
      </c>
      <c r="M852" s="32">
        <v>14.5695</v>
      </c>
      <c r="N852" t="s">
        <v>1330</v>
      </c>
      <c r="O852" t="s">
        <v>282</v>
      </c>
      <c r="P852">
        <v>80</v>
      </c>
      <c r="Q852" t="s">
        <v>1958</v>
      </c>
      <c r="R852" t="s">
        <v>21</v>
      </c>
      <c r="S852" t="s">
        <v>22</v>
      </c>
      <c r="T852">
        <f t="shared" si="13"/>
        <v>499797.63999999943</v>
      </c>
    </row>
    <row r="853" spans="1:20" x14ac:dyDescent="0.25">
      <c r="A853" t="s">
        <v>1025</v>
      </c>
      <c r="B853" t="s">
        <v>109</v>
      </c>
      <c r="C853">
        <v>2</v>
      </c>
      <c r="D853">
        <v>50776</v>
      </c>
      <c r="E853" t="s">
        <v>1329</v>
      </c>
      <c r="F853" t="s">
        <v>143</v>
      </c>
      <c r="G853" s="31">
        <v>0.40760000000000002</v>
      </c>
      <c r="H853" s="31">
        <v>0.4536</v>
      </c>
      <c r="I853" t="s">
        <v>1954</v>
      </c>
      <c r="J853" t="s">
        <v>1954</v>
      </c>
      <c r="K853">
        <v>336881.21299999999</v>
      </c>
      <c r="L853">
        <v>4908175</v>
      </c>
      <c r="M853" s="32">
        <v>14.5695</v>
      </c>
      <c r="N853" t="s">
        <v>1330</v>
      </c>
      <c r="O853" t="s">
        <v>282</v>
      </c>
      <c r="P853">
        <v>80</v>
      </c>
      <c r="Q853" t="s">
        <v>1958</v>
      </c>
      <c r="R853" t="s">
        <v>21</v>
      </c>
      <c r="S853" t="s">
        <v>22</v>
      </c>
      <c r="T853">
        <f t="shared" si="13"/>
        <v>499877.63999999943</v>
      </c>
    </row>
    <row r="854" spans="1:20" x14ac:dyDescent="0.25">
      <c r="A854" t="s">
        <v>1029</v>
      </c>
      <c r="B854" t="s">
        <v>109</v>
      </c>
      <c r="C854">
        <v>2</v>
      </c>
      <c r="D854">
        <v>50776</v>
      </c>
      <c r="E854" t="s">
        <v>1329</v>
      </c>
      <c r="F854" t="s">
        <v>143</v>
      </c>
      <c r="G854" s="31">
        <v>0.40760000000000002</v>
      </c>
      <c r="H854" s="31">
        <v>0.4536</v>
      </c>
      <c r="I854" t="s">
        <v>1954</v>
      </c>
      <c r="J854" t="s">
        <v>1954</v>
      </c>
      <c r="K854">
        <v>336881.21299999999</v>
      </c>
      <c r="L854">
        <v>4908175</v>
      </c>
      <c r="M854" s="32">
        <v>14.5695</v>
      </c>
      <c r="N854" t="s">
        <v>1330</v>
      </c>
      <c r="O854" t="s">
        <v>282</v>
      </c>
      <c r="P854">
        <v>80</v>
      </c>
      <c r="Q854" t="s">
        <v>1958</v>
      </c>
      <c r="R854" t="s">
        <v>21</v>
      </c>
      <c r="S854" t="s">
        <v>22</v>
      </c>
      <c r="T854">
        <f t="shared" si="13"/>
        <v>499957.63999999943</v>
      </c>
    </row>
    <row r="855" spans="1:20" x14ac:dyDescent="0.25">
      <c r="A855" t="s">
        <v>1030</v>
      </c>
      <c r="B855" t="s">
        <v>109</v>
      </c>
      <c r="C855">
        <v>2</v>
      </c>
      <c r="D855">
        <v>50776</v>
      </c>
      <c r="E855" t="s">
        <v>1329</v>
      </c>
      <c r="F855" t="s">
        <v>143</v>
      </c>
      <c r="G855" s="31">
        <v>0.40760000000000002</v>
      </c>
      <c r="H855" s="31">
        <v>0.4536</v>
      </c>
      <c r="I855" t="s">
        <v>1954</v>
      </c>
      <c r="J855" t="s">
        <v>1954</v>
      </c>
      <c r="K855">
        <v>336881.21299999999</v>
      </c>
      <c r="L855">
        <v>4908175</v>
      </c>
      <c r="M855" s="32">
        <v>14.5695</v>
      </c>
      <c r="N855" t="s">
        <v>1330</v>
      </c>
      <c r="O855" t="s">
        <v>282</v>
      </c>
      <c r="P855">
        <v>80</v>
      </c>
      <c r="Q855" t="s">
        <v>1958</v>
      </c>
      <c r="R855" t="s">
        <v>21</v>
      </c>
      <c r="S855" t="s">
        <v>22</v>
      </c>
      <c r="T855">
        <f t="shared" si="13"/>
        <v>500037.63999999943</v>
      </c>
    </row>
    <row r="856" spans="1:20" x14ac:dyDescent="0.25">
      <c r="A856" t="s">
        <v>1031</v>
      </c>
      <c r="B856" t="s">
        <v>109</v>
      </c>
      <c r="C856">
        <v>2</v>
      </c>
      <c r="D856">
        <v>50776</v>
      </c>
      <c r="E856" t="s">
        <v>1329</v>
      </c>
      <c r="F856" t="s">
        <v>143</v>
      </c>
      <c r="G856" s="31">
        <v>0.40760000000000002</v>
      </c>
      <c r="H856" s="31">
        <v>0.4536</v>
      </c>
      <c r="I856" t="s">
        <v>1954</v>
      </c>
      <c r="J856" t="s">
        <v>1954</v>
      </c>
      <c r="K856">
        <v>336881.21299999999</v>
      </c>
      <c r="L856">
        <v>4908175</v>
      </c>
      <c r="M856" s="32">
        <v>14.5695</v>
      </c>
      <c r="N856" t="s">
        <v>1330</v>
      </c>
      <c r="O856" t="s">
        <v>282</v>
      </c>
      <c r="P856">
        <v>80</v>
      </c>
      <c r="Q856" t="s">
        <v>1958</v>
      </c>
      <c r="R856" t="s">
        <v>21</v>
      </c>
      <c r="S856" t="s">
        <v>22</v>
      </c>
      <c r="T856">
        <f t="shared" si="13"/>
        <v>500117.63999999943</v>
      </c>
    </row>
    <row r="857" spans="1:20" x14ac:dyDescent="0.25">
      <c r="A857" t="s">
        <v>1032</v>
      </c>
      <c r="B857" t="s">
        <v>109</v>
      </c>
      <c r="C857">
        <v>2</v>
      </c>
      <c r="D857">
        <v>50776</v>
      </c>
      <c r="E857" t="s">
        <v>1329</v>
      </c>
      <c r="F857" t="s">
        <v>143</v>
      </c>
      <c r="G857" s="31">
        <v>0.40760000000000002</v>
      </c>
      <c r="H857" s="31">
        <v>0.4536</v>
      </c>
      <c r="I857" t="s">
        <v>1954</v>
      </c>
      <c r="J857" t="s">
        <v>1954</v>
      </c>
      <c r="K857">
        <v>336881.21299999999</v>
      </c>
      <c r="L857">
        <v>4908175</v>
      </c>
      <c r="M857" s="32">
        <v>14.5695</v>
      </c>
      <c r="N857" t="s">
        <v>1330</v>
      </c>
      <c r="O857" t="s">
        <v>282</v>
      </c>
      <c r="P857">
        <v>80</v>
      </c>
      <c r="Q857" t="s">
        <v>1958</v>
      </c>
      <c r="R857" t="s">
        <v>21</v>
      </c>
      <c r="S857" t="s">
        <v>22</v>
      </c>
      <c r="T857">
        <f t="shared" si="13"/>
        <v>500197.63999999943</v>
      </c>
    </row>
    <row r="858" spans="1:20" x14ac:dyDescent="0.25">
      <c r="A858" t="s">
        <v>1328</v>
      </c>
      <c r="B858" t="s">
        <v>109</v>
      </c>
      <c r="C858">
        <v>1</v>
      </c>
      <c r="D858">
        <v>50776</v>
      </c>
      <c r="E858" t="s">
        <v>1329</v>
      </c>
      <c r="F858" t="s">
        <v>143</v>
      </c>
      <c r="G858" s="31">
        <v>0.77270000000000005</v>
      </c>
      <c r="H858" s="31">
        <v>0.81869999999999998</v>
      </c>
      <c r="I858" t="s">
        <v>1954</v>
      </c>
      <c r="J858" t="s">
        <v>1954</v>
      </c>
      <c r="K858">
        <v>336881.21299999999</v>
      </c>
      <c r="L858">
        <v>4908175</v>
      </c>
      <c r="M858" s="32">
        <v>14.5695</v>
      </c>
      <c r="N858" t="s">
        <v>1330</v>
      </c>
      <c r="O858" t="s">
        <v>282</v>
      </c>
      <c r="P858">
        <v>80</v>
      </c>
      <c r="Q858" s="33" t="s">
        <v>1956</v>
      </c>
      <c r="R858" t="s">
        <v>21</v>
      </c>
      <c r="S858" t="s">
        <v>22</v>
      </c>
      <c r="T858">
        <f t="shared" si="13"/>
        <v>500277.63999999943</v>
      </c>
    </row>
    <row r="859" spans="1:20" x14ac:dyDescent="0.25">
      <c r="A859" t="s">
        <v>1144</v>
      </c>
      <c r="B859" t="s">
        <v>189</v>
      </c>
      <c r="C859">
        <v>2</v>
      </c>
      <c r="D859">
        <v>50776</v>
      </c>
      <c r="E859" t="s">
        <v>1329</v>
      </c>
      <c r="F859" t="s">
        <v>143</v>
      </c>
      <c r="G859" s="31">
        <v>0.52080000000000004</v>
      </c>
      <c r="H859" s="31">
        <v>0.56679999999999997</v>
      </c>
      <c r="I859" t="s">
        <v>1954</v>
      </c>
      <c r="J859" t="s">
        <v>1954</v>
      </c>
      <c r="K859">
        <v>340503</v>
      </c>
      <c r="L859">
        <v>4961857</v>
      </c>
      <c r="M859" s="32">
        <v>14.572100000000001</v>
      </c>
      <c r="N859" t="s">
        <v>2108</v>
      </c>
      <c r="O859" t="s">
        <v>282</v>
      </c>
      <c r="P859">
        <v>80</v>
      </c>
      <c r="Q859" t="s">
        <v>1958</v>
      </c>
      <c r="R859" t="s">
        <v>21</v>
      </c>
      <c r="S859" t="s">
        <v>22</v>
      </c>
      <c r="T859">
        <f t="shared" si="13"/>
        <v>500357.63999999943</v>
      </c>
    </row>
    <row r="860" spans="1:20" x14ac:dyDescent="0.25">
      <c r="A860" t="s">
        <v>1146</v>
      </c>
      <c r="B860" t="s">
        <v>189</v>
      </c>
      <c r="C860">
        <v>2</v>
      </c>
      <c r="D860">
        <v>50776</v>
      </c>
      <c r="E860" t="s">
        <v>1329</v>
      </c>
      <c r="F860" t="s">
        <v>143</v>
      </c>
      <c r="G860" s="31">
        <v>0.52080000000000004</v>
      </c>
      <c r="H860" s="31">
        <v>0.56679999999999997</v>
      </c>
      <c r="I860" t="s">
        <v>1954</v>
      </c>
      <c r="J860" t="s">
        <v>1954</v>
      </c>
      <c r="K860">
        <v>340503</v>
      </c>
      <c r="L860">
        <v>4961857</v>
      </c>
      <c r="M860" s="32">
        <v>14.572100000000001</v>
      </c>
      <c r="N860" t="s">
        <v>2108</v>
      </c>
      <c r="O860" t="s">
        <v>282</v>
      </c>
      <c r="P860">
        <v>80</v>
      </c>
      <c r="Q860" t="s">
        <v>1958</v>
      </c>
      <c r="R860" t="s">
        <v>21</v>
      </c>
      <c r="S860" t="s">
        <v>22</v>
      </c>
      <c r="T860">
        <f t="shared" si="13"/>
        <v>500437.63999999943</v>
      </c>
    </row>
    <row r="861" spans="1:20" x14ac:dyDescent="0.25">
      <c r="A861" t="s">
        <v>1463</v>
      </c>
      <c r="B861" t="s">
        <v>189</v>
      </c>
      <c r="C861">
        <v>2</v>
      </c>
      <c r="D861">
        <v>50776</v>
      </c>
      <c r="E861" t="s">
        <v>1329</v>
      </c>
      <c r="F861" t="s">
        <v>143</v>
      </c>
      <c r="G861" s="31">
        <v>0.51500000000000001</v>
      </c>
      <c r="H861" s="31">
        <v>0.56100000000000005</v>
      </c>
      <c r="I861" t="s">
        <v>1954</v>
      </c>
      <c r="J861" t="s">
        <v>1954</v>
      </c>
      <c r="K861">
        <v>340503</v>
      </c>
      <c r="L861">
        <v>4961857</v>
      </c>
      <c r="M861" s="32">
        <v>14.572100000000001</v>
      </c>
      <c r="N861" t="s">
        <v>2108</v>
      </c>
      <c r="O861" t="s">
        <v>282</v>
      </c>
      <c r="P861">
        <v>80</v>
      </c>
      <c r="Q861" t="s">
        <v>1958</v>
      </c>
      <c r="R861" t="s">
        <v>21</v>
      </c>
      <c r="S861" t="s">
        <v>22</v>
      </c>
      <c r="T861">
        <f t="shared" si="13"/>
        <v>500517.63999999943</v>
      </c>
    </row>
    <row r="862" spans="1:20" x14ac:dyDescent="0.25">
      <c r="A862" t="s">
        <v>582</v>
      </c>
      <c r="B862" t="s">
        <v>137</v>
      </c>
      <c r="C862">
        <v>1</v>
      </c>
      <c r="D862">
        <v>3160</v>
      </c>
      <c r="E862" t="s">
        <v>583</v>
      </c>
      <c r="F862" t="s">
        <v>143</v>
      </c>
      <c r="G862" s="31">
        <v>0.65210000000000001</v>
      </c>
      <c r="H862" s="31">
        <v>0.69810000000000005</v>
      </c>
      <c r="I862" t="s">
        <v>1954</v>
      </c>
      <c r="J862" t="s">
        <v>1954</v>
      </c>
      <c r="K862">
        <v>1845</v>
      </c>
      <c r="L862">
        <v>26889</v>
      </c>
      <c r="M862" s="32">
        <v>14.574</v>
      </c>
      <c r="N862" t="s">
        <v>584</v>
      </c>
      <c r="O862" t="s">
        <v>586</v>
      </c>
      <c r="P862">
        <v>56</v>
      </c>
      <c r="Q862" s="33" t="s">
        <v>1956</v>
      </c>
      <c r="R862" t="s">
        <v>21</v>
      </c>
      <c r="S862" t="s">
        <v>22</v>
      </c>
      <c r="T862">
        <f t="shared" si="13"/>
        <v>500573.63999999943</v>
      </c>
    </row>
    <row r="863" spans="1:20" x14ac:dyDescent="0.25">
      <c r="A863" t="s">
        <v>587</v>
      </c>
      <c r="B863" t="s">
        <v>137</v>
      </c>
      <c r="C863">
        <v>1</v>
      </c>
      <c r="D863">
        <v>3160</v>
      </c>
      <c r="E863" t="s">
        <v>583</v>
      </c>
      <c r="F863" t="s">
        <v>143</v>
      </c>
      <c r="G863" s="31">
        <v>0.65210000000000001</v>
      </c>
      <c r="H863" s="31">
        <v>0.69810000000000005</v>
      </c>
      <c r="I863" t="s">
        <v>1954</v>
      </c>
      <c r="J863" t="s">
        <v>1954</v>
      </c>
      <c r="K863">
        <v>1845</v>
      </c>
      <c r="L863">
        <v>26889</v>
      </c>
      <c r="M863" s="32">
        <v>14.574</v>
      </c>
      <c r="N863" t="s">
        <v>584</v>
      </c>
      <c r="O863" t="s">
        <v>586</v>
      </c>
      <c r="P863">
        <v>56</v>
      </c>
      <c r="Q863" s="33" t="s">
        <v>1956</v>
      </c>
      <c r="R863" t="s">
        <v>21</v>
      </c>
      <c r="S863" t="s">
        <v>22</v>
      </c>
      <c r="T863">
        <f t="shared" si="13"/>
        <v>500629.63999999943</v>
      </c>
    </row>
    <row r="864" spans="1:20" x14ac:dyDescent="0.25">
      <c r="A864" t="s">
        <v>1547</v>
      </c>
      <c r="B864" t="s">
        <v>109</v>
      </c>
      <c r="C864">
        <v>1</v>
      </c>
      <c r="D864">
        <v>50974</v>
      </c>
      <c r="E864" t="s">
        <v>2163</v>
      </c>
      <c r="F864" t="s">
        <v>143</v>
      </c>
      <c r="G864" s="31">
        <v>0.48580000000000001</v>
      </c>
      <c r="H864" s="31">
        <v>0.53180000000000005</v>
      </c>
      <c r="I864" t="s">
        <v>1954</v>
      </c>
      <c r="J864" t="s">
        <v>1954</v>
      </c>
      <c r="K864">
        <v>437601.78899999999</v>
      </c>
      <c r="L864">
        <v>6379629</v>
      </c>
      <c r="M864" s="32">
        <v>14.5786</v>
      </c>
      <c r="N864" t="s">
        <v>662</v>
      </c>
      <c r="O864" t="s">
        <v>282</v>
      </c>
      <c r="P864">
        <v>83.82</v>
      </c>
      <c r="Q864" t="s">
        <v>1958</v>
      </c>
      <c r="R864" t="s">
        <v>21</v>
      </c>
      <c r="S864" t="s">
        <v>22</v>
      </c>
      <c r="T864">
        <f t="shared" si="13"/>
        <v>500713.45999999944</v>
      </c>
    </row>
    <row r="865" spans="1:20" x14ac:dyDescent="0.25">
      <c r="A865" t="s">
        <v>1602</v>
      </c>
      <c r="B865" t="s">
        <v>125</v>
      </c>
      <c r="C865">
        <v>3</v>
      </c>
      <c r="D865">
        <v>645</v>
      </c>
      <c r="E865" t="s">
        <v>2035</v>
      </c>
      <c r="F865" t="s">
        <v>1364</v>
      </c>
      <c r="G865" s="31">
        <v>0.39019999999999999</v>
      </c>
      <c r="H865" s="31">
        <v>0.31819999999999998</v>
      </c>
      <c r="I865" t="s">
        <v>1954</v>
      </c>
      <c r="J865" t="s">
        <v>1954</v>
      </c>
      <c r="K865">
        <v>5888</v>
      </c>
      <c r="L865">
        <v>85915</v>
      </c>
      <c r="M865" s="32">
        <v>14.5915</v>
      </c>
      <c r="N865" t="s">
        <v>141</v>
      </c>
      <c r="O865" t="s">
        <v>2173</v>
      </c>
      <c r="P865">
        <v>56</v>
      </c>
      <c r="Q865" t="s">
        <v>1958</v>
      </c>
      <c r="R865" t="s">
        <v>21</v>
      </c>
      <c r="S865" t="s">
        <v>22</v>
      </c>
      <c r="T865">
        <f t="shared" si="13"/>
        <v>500769.45999999944</v>
      </c>
    </row>
    <row r="866" spans="1:20" x14ac:dyDescent="0.25">
      <c r="A866" t="s">
        <v>1605</v>
      </c>
      <c r="B866" t="s">
        <v>125</v>
      </c>
      <c r="C866">
        <v>3</v>
      </c>
      <c r="D866">
        <v>645</v>
      </c>
      <c r="E866" t="s">
        <v>2035</v>
      </c>
      <c r="F866" t="s">
        <v>1364</v>
      </c>
      <c r="G866" s="31">
        <v>0.39019999999999999</v>
      </c>
      <c r="H866" s="31">
        <v>0.31819999999999998</v>
      </c>
      <c r="I866" t="s">
        <v>1954</v>
      </c>
      <c r="J866" t="s">
        <v>1954</v>
      </c>
      <c r="K866">
        <v>5888</v>
      </c>
      <c r="L866">
        <v>85915</v>
      </c>
      <c r="M866" s="32">
        <v>14.5915</v>
      </c>
      <c r="N866" t="s">
        <v>141</v>
      </c>
      <c r="O866" t="s">
        <v>2173</v>
      </c>
      <c r="P866">
        <v>56</v>
      </c>
      <c r="Q866" t="s">
        <v>1958</v>
      </c>
      <c r="R866" t="s">
        <v>21</v>
      </c>
      <c r="S866" t="s">
        <v>22</v>
      </c>
      <c r="T866">
        <f t="shared" si="13"/>
        <v>500825.45999999944</v>
      </c>
    </row>
    <row r="867" spans="1:20" x14ac:dyDescent="0.25">
      <c r="A867" t="s">
        <v>1606</v>
      </c>
      <c r="B867" t="s">
        <v>125</v>
      </c>
      <c r="C867">
        <v>3</v>
      </c>
      <c r="D867">
        <v>645</v>
      </c>
      <c r="E867" t="s">
        <v>2035</v>
      </c>
      <c r="F867" t="s">
        <v>1364</v>
      </c>
      <c r="G867" s="31">
        <v>0.39019999999999999</v>
      </c>
      <c r="H867" s="31">
        <v>0.31819999999999998</v>
      </c>
      <c r="I867" t="s">
        <v>1954</v>
      </c>
      <c r="J867" t="s">
        <v>1954</v>
      </c>
      <c r="K867">
        <v>5888</v>
      </c>
      <c r="L867">
        <v>85915</v>
      </c>
      <c r="M867" s="32">
        <v>14.5915</v>
      </c>
      <c r="N867" t="s">
        <v>141</v>
      </c>
      <c r="O867" t="s">
        <v>2173</v>
      </c>
      <c r="P867">
        <v>56</v>
      </c>
      <c r="Q867" t="s">
        <v>1958</v>
      </c>
      <c r="R867" t="s">
        <v>21</v>
      </c>
      <c r="S867" t="s">
        <v>22</v>
      </c>
      <c r="T867">
        <f t="shared" si="13"/>
        <v>500881.45999999944</v>
      </c>
    </row>
    <row r="868" spans="1:20" x14ac:dyDescent="0.25">
      <c r="A868" t="s">
        <v>1607</v>
      </c>
      <c r="B868" t="s">
        <v>125</v>
      </c>
      <c r="C868">
        <v>3</v>
      </c>
      <c r="D868">
        <v>645</v>
      </c>
      <c r="E868" t="s">
        <v>2035</v>
      </c>
      <c r="F868" t="s">
        <v>1364</v>
      </c>
      <c r="G868" s="31">
        <v>0.39019999999999999</v>
      </c>
      <c r="H868" s="31">
        <v>0.31819999999999998</v>
      </c>
      <c r="I868" t="s">
        <v>1954</v>
      </c>
      <c r="J868" t="s">
        <v>1954</v>
      </c>
      <c r="K868">
        <v>5888</v>
      </c>
      <c r="L868">
        <v>85915</v>
      </c>
      <c r="M868" s="32">
        <v>14.5915</v>
      </c>
      <c r="N868" t="s">
        <v>141</v>
      </c>
      <c r="O868" t="s">
        <v>2173</v>
      </c>
      <c r="P868">
        <v>56</v>
      </c>
      <c r="Q868" t="s">
        <v>1958</v>
      </c>
      <c r="R868" t="s">
        <v>21</v>
      </c>
      <c r="S868" t="s">
        <v>22</v>
      </c>
      <c r="T868">
        <f t="shared" si="13"/>
        <v>500937.45999999944</v>
      </c>
    </row>
    <row r="869" spans="1:20" x14ac:dyDescent="0.25">
      <c r="A869" t="s">
        <v>641</v>
      </c>
      <c r="B869" t="s">
        <v>194</v>
      </c>
      <c r="C869">
        <v>2</v>
      </c>
      <c r="D869">
        <v>1580</v>
      </c>
      <c r="E869" t="s">
        <v>2041</v>
      </c>
      <c r="F869" t="s">
        <v>307</v>
      </c>
      <c r="G869" s="31">
        <v>1</v>
      </c>
      <c r="H869" s="31">
        <v>1</v>
      </c>
      <c r="I869" t="s">
        <v>1954</v>
      </c>
      <c r="J869" t="s">
        <v>1954</v>
      </c>
      <c r="K869">
        <v>2704</v>
      </c>
      <c r="L869">
        <v>39519</v>
      </c>
      <c r="M869" s="32">
        <v>14.615</v>
      </c>
      <c r="N869" t="s">
        <v>199</v>
      </c>
      <c r="O869" t="s">
        <v>2042</v>
      </c>
      <c r="P869">
        <v>29.9</v>
      </c>
      <c r="Q869" t="s">
        <v>1958</v>
      </c>
      <c r="R869" t="s">
        <v>21</v>
      </c>
      <c r="S869" t="s">
        <v>22</v>
      </c>
      <c r="T869">
        <f t="shared" si="13"/>
        <v>500967.35999999946</v>
      </c>
    </row>
    <row r="870" spans="1:20" x14ac:dyDescent="0.25">
      <c r="A870" t="s">
        <v>644</v>
      </c>
      <c r="B870" t="s">
        <v>194</v>
      </c>
      <c r="C870">
        <v>2</v>
      </c>
      <c r="D870">
        <v>1580</v>
      </c>
      <c r="E870" t="s">
        <v>2041</v>
      </c>
      <c r="F870" t="s">
        <v>307</v>
      </c>
      <c r="G870" s="31">
        <v>1</v>
      </c>
      <c r="H870" s="31">
        <v>1</v>
      </c>
      <c r="I870" t="s">
        <v>1954</v>
      </c>
      <c r="J870" t="s">
        <v>1954</v>
      </c>
      <c r="K870">
        <v>2704</v>
      </c>
      <c r="L870">
        <v>39519</v>
      </c>
      <c r="M870" s="32">
        <v>14.615</v>
      </c>
      <c r="N870" t="s">
        <v>199</v>
      </c>
      <c r="O870" t="s">
        <v>2042</v>
      </c>
      <c r="P870">
        <v>29.9</v>
      </c>
      <c r="Q870" t="s">
        <v>1958</v>
      </c>
      <c r="R870" t="s">
        <v>21</v>
      </c>
      <c r="S870" t="s">
        <v>22</v>
      </c>
      <c r="T870">
        <f t="shared" si="13"/>
        <v>500997.25999999949</v>
      </c>
    </row>
    <row r="871" spans="1:20" x14ac:dyDescent="0.25">
      <c r="A871" t="s">
        <v>645</v>
      </c>
      <c r="B871" t="s">
        <v>194</v>
      </c>
      <c r="C871">
        <v>2</v>
      </c>
      <c r="D871">
        <v>1580</v>
      </c>
      <c r="E871" t="s">
        <v>2041</v>
      </c>
      <c r="F871" t="s">
        <v>307</v>
      </c>
      <c r="G871" s="31">
        <v>1</v>
      </c>
      <c r="H871" s="31">
        <v>1</v>
      </c>
      <c r="I871" t="s">
        <v>1954</v>
      </c>
      <c r="J871" t="s">
        <v>1954</v>
      </c>
      <c r="K871">
        <v>2704</v>
      </c>
      <c r="L871">
        <v>39519</v>
      </c>
      <c r="M871" s="32">
        <v>14.615</v>
      </c>
      <c r="N871" t="s">
        <v>199</v>
      </c>
      <c r="O871" t="s">
        <v>2042</v>
      </c>
      <c r="P871">
        <v>29.9</v>
      </c>
      <c r="Q871" t="s">
        <v>1958</v>
      </c>
      <c r="R871" t="s">
        <v>21</v>
      </c>
      <c r="S871" t="s">
        <v>22</v>
      </c>
      <c r="T871">
        <f t="shared" si="13"/>
        <v>501027.15999999951</v>
      </c>
    </row>
    <row r="872" spans="1:20" x14ac:dyDescent="0.25">
      <c r="A872" t="s">
        <v>646</v>
      </c>
      <c r="B872" t="s">
        <v>194</v>
      </c>
      <c r="C872">
        <v>2</v>
      </c>
      <c r="D872">
        <v>1580</v>
      </c>
      <c r="E872" t="s">
        <v>2041</v>
      </c>
      <c r="F872" t="s">
        <v>307</v>
      </c>
      <c r="G872" s="31">
        <v>1</v>
      </c>
      <c r="H872" s="31">
        <v>1</v>
      </c>
      <c r="I872" t="s">
        <v>1954</v>
      </c>
      <c r="J872" t="s">
        <v>1954</v>
      </c>
      <c r="K872">
        <v>2704</v>
      </c>
      <c r="L872">
        <v>39519</v>
      </c>
      <c r="M872" s="32">
        <v>14.615</v>
      </c>
      <c r="N872" t="s">
        <v>199</v>
      </c>
      <c r="O872" t="s">
        <v>2042</v>
      </c>
      <c r="P872">
        <v>29.9</v>
      </c>
      <c r="Q872" t="s">
        <v>1958</v>
      </c>
      <c r="R872" t="s">
        <v>21</v>
      </c>
      <c r="S872" t="s">
        <v>22</v>
      </c>
      <c r="T872">
        <f t="shared" si="13"/>
        <v>501057.05999999953</v>
      </c>
    </row>
    <row r="873" spans="1:20" x14ac:dyDescent="0.25">
      <c r="A873" t="s">
        <v>647</v>
      </c>
      <c r="B873" t="s">
        <v>194</v>
      </c>
      <c r="C873">
        <v>2</v>
      </c>
      <c r="D873">
        <v>1580</v>
      </c>
      <c r="E873" t="s">
        <v>2041</v>
      </c>
      <c r="F873" t="s">
        <v>307</v>
      </c>
      <c r="G873" s="31">
        <v>1</v>
      </c>
      <c r="H873" s="31">
        <v>1</v>
      </c>
      <c r="I873" t="s">
        <v>1954</v>
      </c>
      <c r="J873" t="s">
        <v>1954</v>
      </c>
      <c r="K873">
        <v>2704</v>
      </c>
      <c r="L873">
        <v>39519</v>
      </c>
      <c r="M873" s="32">
        <v>14.615</v>
      </c>
      <c r="N873" t="s">
        <v>199</v>
      </c>
      <c r="O873" t="s">
        <v>2042</v>
      </c>
      <c r="P873">
        <v>29.9</v>
      </c>
      <c r="Q873" t="s">
        <v>1958</v>
      </c>
      <c r="R873" t="s">
        <v>21</v>
      </c>
      <c r="S873" t="s">
        <v>22</v>
      </c>
      <c r="T873">
        <f t="shared" si="13"/>
        <v>501086.95999999956</v>
      </c>
    </row>
    <row r="874" spans="1:20" x14ac:dyDescent="0.25">
      <c r="A874" t="s">
        <v>648</v>
      </c>
      <c r="B874" t="s">
        <v>194</v>
      </c>
      <c r="C874">
        <v>2</v>
      </c>
      <c r="D874">
        <v>1580</v>
      </c>
      <c r="E874" t="s">
        <v>2041</v>
      </c>
      <c r="F874" t="s">
        <v>307</v>
      </c>
      <c r="G874" s="31">
        <v>1</v>
      </c>
      <c r="H874" s="31">
        <v>1</v>
      </c>
      <c r="I874" t="s">
        <v>1954</v>
      </c>
      <c r="J874" t="s">
        <v>1954</v>
      </c>
      <c r="K874">
        <v>2704</v>
      </c>
      <c r="L874">
        <v>39519</v>
      </c>
      <c r="M874" s="32">
        <v>14.615</v>
      </c>
      <c r="N874" t="s">
        <v>199</v>
      </c>
      <c r="O874" t="s">
        <v>2042</v>
      </c>
      <c r="P874">
        <v>29.9</v>
      </c>
      <c r="Q874" t="s">
        <v>1958</v>
      </c>
      <c r="R874" t="s">
        <v>21</v>
      </c>
      <c r="S874" t="s">
        <v>22</v>
      </c>
      <c r="T874">
        <f t="shared" si="13"/>
        <v>501116.85999999958</v>
      </c>
    </row>
    <row r="875" spans="1:20" x14ac:dyDescent="0.25">
      <c r="A875" t="s">
        <v>649</v>
      </c>
      <c r="B875" t="s">
        <v>194</v>
      </c>
      <c r="C875">
        <v>2</v>
      </c>
      <c r="D875">
        <v>1580</v>
      </c>
      <c r="E875" t="s">
        <v>2041</v>
      </c>
      <c r="F875" t="s">
        <v>307</v>
      </c>
      <c r="G875" s="31">
        <v>1</v>
      </c>
      <c r="H875" s="31">
        <v>1</v>
      </c>
      <c r="I875" t="s">
        <v>1954</v>
      </c>
      <c r="J875" t="s">
        <v>1954</v>
      </c>
      <c r="K875">
        <v>2704</v>
      </c>
      <c r="L875">
        <v>39519</v>
      </c>
      <c r="M875" s="32">
        <v>14.615</v>
      </c>
      <c r="N875" t="s">
        <v>199</v>
      </c>
      <c r="O875" t="s">
        <v>2042</v>
      </c>
      <c r="P875">
        <v>29.9</v>
      </c>
      <c r="Q875" t="s">
        <v>1958</v>
      </c>
      <c r="R875" t="s">
        <v>21</v>
      </c>
      <c r="S875" t="s">
        <v>22</v>
      </c>
      <c r="T875">
        <f t="shared" si="13"/>
        <v>501146.7599999996</v>
      </c>
    </row>
    <row r="876" spans="1:20" x14ac:dyDescent="0.25">
      <c r="A876" t="s">
        <v>650</v>
      </c>
      <c r="B876" t="s">
        <v>194</v>
      </c>
      <c r="C876">
        <v>2</v>
      </c>
      <c r="D876">
        <v>1580</v>
      </c>
      <c r="E876" t="s">
        <v>2041</v>
      </c>
      <c r="F876" t="s">
        <v>307</v>
      </c>
      <c r="G876" s="31">
        <v>1</v>
      </c>
      <c r="H876" s="31">
        <v>1</v>
      </c>
      <c r="I876" t="s">
        <v>1954</v>
      </c>
      <c r="J876" t="s">
        <v>1954</v>
      </c>
      <c r="K876">
        <v>2704</v>
      </c>
      <c r="L876">
        <v>39519</v>
      </c>
      <c r="M876" s="32">
        <v>14.615</v>
      </c>
      <c r="N876" t="s">
        <v>199</v>
      </c>
      <c r="O876" t="s">
        <v>2042</v>
      </c>
      <c r="P876">
        <v>29.9</v>
      </c>
      <c r="Q876" t="s">
        <v>1958</v>
      </c>
      <c r="R876" t="s">
        <v>21</v>
      </c>
      <c r="S876" t="s">
        <v>22</v>
      </c>
      <c r="T876">
        <f t="shared" si="13"/>
        <v>501176.65999999963</v>
      </c>
    </row>
    <row r="877" spans="1:20" x14ac:dyDescent="0.25">
      <c r="A877" t="s">
        <v>651</v>
      </c>
      <c r="B877" t="s">
        <v>194</v>
      </c>
      <c r="C877">
        <v>2</v>
      </c>
      <c r="D877">
        <v>1580</v>
      </c>
      <c r="E877" t="s">
        <v>2041</v>
      </c>
      <c r="F877" t="s">
        <v>307</v>
      </c>
      <c r="G877" s="31">
        <v>1</v>
      </c>
      <c r="H877" s="31">
        <v>1</v>
      </c>
      <c r="I877" t="s">
        <v>1954</v>
      </c>
      <c r="J877" t="s">
        <v>1954</v>
      </c>
      <c r="K877">
        <v>2704</v>
      </c>
      <c r="L877">
        <v>39519</v>
      </c>
      <c r="M877" s="32">
        <v>14.615</v>
      </c>
      <c r="N877" t="s">
        <v>199</v>
      </c>
      <c r="O877" t="s">
        <v>2042</v>
      </c>
      <c r="P877">
        <v>29.9</v>
      </c>
      <c r="Q877" t="s">
        <v>1958</v>
      </c>
      <c r="R877" t="s">
        <v>21</v>
      </c>
      <c r="S877" t="s">
        <v>22</v>
      </c>
      <c r="T877">
        <f t="shared" si="13"/>
        <v>501206.55999999965</v>
      </c>
    </row>
    <row r="878" spans="1:20" x14ac:dyDescent="0.25">
      <c r="A878" t="s">
        <v>654</v>
      </c>
      <c r="B878" t="s">
        <v>194</v>
      </c>
      <c r="C878">
        <v>2</v>
      </c>
      <c r="D878">
        <v>1580</v>
      </c>
      <c r="E878" t="s">
        <v>2041</v>
      </c>
      <c r="F878" t="s">
        <v>307</v>
      </c>
      <c r="G878" s="31">
        <v>1</v>
      </c>
      <c r="H878" s="31">
        <v>1</v>
      </c>
      <c r="I878" t="s">
        <v>1954</v>
      </c>
      <c r="J878" t="s">
        <v>1954</v>
      </c>
      <c r="K878">
        <v>2704</v>
      </c>
      <c r="L878">
        <v>39519</v>
      </c>
      <c r="M878" s="32">
        <v>14.615</v>
      </c>
      <c r="N878" t="s">
        <v>199</v>
      </c>
      <c r="O878" t="s">
        <v>2042</v>
      </c>
      <c r="P878">
        <v>29.9</v>
      </c>
      <c r="Q878" t="s">
        <v>1958</v>
      </c>
      <c r="R878" t="s">
        <v>21</v>
      </c>
      <c r="S878" t="s">
        <v>22</v>
      </c>
      <c r="T878">
        <f t="shared" si="13"/>
        <v>501236.45999999967</v>
      </c>
    </row>
    <row r="879" spans="1:20" x14ac:dyDescent="0.25">
      <c r="A879" t="s">
        <v>655</v>
      </c>
      <c r="B879" t="s">
        <v>194</v>
      </c>
      <c r="C879">
        <v>2</v>
      </c>
      <c r="D879">
        <v>1580</v>
      </c>
      <c r="E879" t="s">
        <v>2041</v>
      </c>
      <c r="F879" t="s">
        <v>307</v>
      </c>
      <c r="G879" s="31">
        <v>1</v>
      </c>
      <c r="H879" s="31">
        <v>1</v>
      </c>
      <c r="I879" t="s">
        <v>1954</v>
      </c>
      <c r="J879" t="s">
        <v>1954</v>
      </c>
      <c r="K879">
        <v>2704</v>
      </c>
      <c r="L879">
        <v>39519</v>
      </c>
      <c r="M879" s="32">
        <v>14.615</v>
      </c>
      <c r="N879" t="s">
        <v>199</v>
      </c>
      <c r="O879" t="s">
        <v>2042</v>
      </c>
      <c r="P879">
        <v>29.9</v>
      </c>
      <c r="Q879" t="s">
        <v>1958</v>
      </c>
      <c r="R879" t="s">
        <v>21</v>
      </c>
      <c r="S879" t="s">
        <v>22</v>
      </c>
      <c r="T879">
        <f t="shared" si="13"/>
        <v>501266.35999999969</v>
      </c>
    </row>
    <row r="880" spans="1:20" x14ac:dyDescent="0.25">
      <c r="A880" t="s">
        <v>656</v>
      </c>
      <c r="B880" t="s">
        <v>194</v>
      </c>
      <c r="C880">
        <v>2</v>
      </c>
      <c r="D880">
        <v>1580</v>
      </c>
      <c r="E880" t="s">
        <v>2041</v>
      </c>
      <c r="F880" t="s">
        <v>307</v>
      </c>
      <c r="G880" s="31">
        <v>1</v>
      </c>
      <c r="H880" s="31">
        <v>1</v>
      </c>
      <c r="I880" t="s">
        <v>1954</v>
      </c>
      <c r="J880" t="s">
        <v>1954</v>
      </c>
      <c r="K880">
        <v>2704</v>
      </c>
      <c r="L880">
        <v>39519</v>
      </c>
      <c r="M880" s="32">
        <v>14.615</v>
      </c>
      <c r="N880" t="s">
        <v>199</v>
      </c>
      <c r="O880" t="s">
        <v>2042</v>
      </c>
      <c r="P880">
        <v>29.9</v>
      </c>
      <c r="Q880" t="s">
        <v>1958</v>
      </c>
      <c r="R880" t="s">
        <v>21</v>
      </c>
      <c r="S880" t="s">
        <v>22</v>
      </c>
      <c r="T880">
        <f t="shared" si="13"/>
        <v>501296.25999999972</v>
      </c>
    </row>
    <row r="881" spans="1:20" x14ac:dyDescent="0.25">
      <c r="A881" t="s">
        <v>657</v>
      </c>
      <c r="B881" t="s">
        <v>194</v>
      </c>
      <c r="C881">
        <v>2</v>
      </c>
      <c r="D881">
        <v>1580</v>
      </c>
      <c r="E881" t="s">
        <v>2041</v>
      </c>
      <c r="F881" t="s">
        <v>307</v>
      </c>
      <c r="G881" s="31">
        <v>1</v>
      </c>
      <c r="H881" s="31">
        <v>1</v>
      </c>
      <c r="I881" t="s">
        <v>1954</v>
      </c>
      <c r="J881" t="s">
        <v>1954</v>
      </c>
      <c r="K881">
        <v>2704</v>
      </c>
      <c r="L881">
        <v>39519</v>
      </c>
      <c r="M881" s="32">
        <v>14.615</v>
      </c>
      <c r="N881" t="s">
        <v>199</v>
      </c>
      <c r="O881" t="s">
        <v>2042</v>
      </c>
      <c r="P881">
        <v>29.9</v>
      </c>
      <c r="Q881" t="s">
        <v>1958</v>
      </c>
      <c r="R881" t="s">
        <v>21</v>
      </c>
      <c r="S881" t="s">
        <v>22</v>
      </c>
      <c r="T881">
        <f t="shared" si="13"/>
        <v>501326.15999999974</v>
      </c>
    </row>
    <row r="882" spans="1:20" x14ac:dyDescent="0.25">
      <c r="A882" t="s">
        <v>658</v>
      </c>
      <c r="B882" t="s">
        <v>194</v>
      </c>
      <c r="C882">
        <v>2</v>
      </c>
      <c r="D882">
        <v>1580</v>
      </c>
      <c r="E882" t="s">
        <v>2041</v>
      </c>
      <c r="F882" t="s">
        <v>307</v>
      </c>
      <c r="G882" s="31">
        <v>1</v>
      </c>
      <c r="H882" s="31">
        <v>1</v>
      </c>
      <c r="I882" t="s">
        <v>1954</v>
      </c>
      <c r="J882" t="s">
        <v>1954</v>
      </c>
      <c r="K882">
        <v>2704</v>
      </c>
      <c r="L882">
        <v>39519</v>
      </c>
      <c r="M882" s="32">
        <v>14.615</v>
      </c>
      <c r="N882" t="s">
        <v>199</v>
      </c>
      <c r="O882" t="s">
        <v>2042</v>
      </c>
      <c r="P882">
        <v>29.9</v>
      </c>
      <c r="Q882" t="s">
        <v>1958</v>
      </c>
      <c r="R882" t="s">
        <v>21</v>
      </c>
      <c r="S882" t="s">
        <v>22</v>
      </c>
      <c r="T882">
        <f t="shared" si="13"/>
        <v>501356.05999999976</v>
      </c>
    </row>
    <row r="883" spans="1:20" x14ac:dyDescent="0.25">
      <c r="A883" t="s">
        <v>659</v>
      </c>
      <c r="B883" t="s">
        <v>194</v>
      </c>
      <c r="C883">
        <v>2</v>
      </c>
      <c r="D883">
        <v>1580</v>
      </c>
      <c r="E883" t="s">
        <v>2041</v>
      </c>
      <c r="F883" t="s">
        <v>307</v>
      </c>
      <c r="G883" s="31">
        <v>1</v>
      </c>
      <c r="H883" s="31">
        <v>1</v>
      </c>
      <c r="I883" t="s">
        <v>1954</v>
      </c>
      <c r="J883" t="s">
        <v>1954</v>
      </c>
      <c r="K883">
        <v>2704</v>
      </c>
      <c r="L883">
        <v>39519</v>
      </c>
      <c r="M883" s="32">
        <v>14.615</v>
      </c>
      <c r="N883" t="s">
        <v>199</v>
      </c>
      <c r="O883" t="s">
        <v>2042</v>
      </c>
      <c r="P883">
        <v>29.9</v>
      </c>
      <c r="Q883" t="s">
        <v>1958</v>
      </c>
      <c r="R883" t="s">
        <v>21</v>
      </c>
      <c r="S883" t="s">
        <v>22</v>
      </c>
      <c r="T883">
        <f t="shared" si="13"/>
        <v>501385.95999999979</v>
      </c>
    </row>
    <row r="884" spans="1:20" x14ac:dyDescent="0.25">
      <c r="A884" t="s">
        <v>956</v>
      </c>
      <c r="B884" t="s">
        <v>125</v>
      </c>
      <c r="C884">
        <v>1</v>
      </c>
      <c r="D884">
        <v>3110</v>
      </c>
      <c r="E884" t="s">
        <v>957</v>
      </c>
      <c r="F884" t="s">
        <v>143</v>
      </c>
      <c r="G884" s="31">
        <v>1</v>
      </c>
      <c r="H884" s="31">
        <v>1</v>
      </c>
      <c r="I884" t="s">
        <v>1954</v>
      </c>
      <c r="J884" t="s">
        <v>1954</v>
      </c>
      <c r="K884">
        <v>24504</v>
      </c>
      <c r="L884">
        <v>363984</v>
      </c>
      <c r="M884" s="32">
        <v>14.854100000000001</v>
      </c>
      <c r="N884" t="s">
        <v>141</v>
      </c>
      <c r="O884" t="s">
        <v>119</v>
      </c>
      <c r="P884">
        <v>64</v>
      </c>
      <c r="Q884" s="33" t="s">
        <v>1955</v>
      </c>
      <c r="R884" t="s">
        <v>21</v>
      </c>
      <c r="S884" t="s">
        <v>22</v>
      </c>
      <c r="T884">
        <f t="shared" si="13"/>
        <v>501449.95999999979</v>
      </c>
    </row>
    <row r="885" spans="1:20" x14ac:dyDescent="0.25">
      <c r="A885" t="s">
        <v>961</v>
      </c>
      <c r="B885" t="s">
        <v>125</v>
      </c>
      <c r="C885">
        <v>1</v>
      </c>
      <c r="D885">
        <v>3110</v>
      </c>
      <c r="E885" t="s">
        <v>957</v>
      </c>
      <c r="F885" t="s">
        <v>143</v>
      </c>
      <c r="G885" s="31">
        <v>1</v>
      </c>
      <c r="H885" s="31">
        <v>1</v>
      </c>
      <c r="I885" t="s">
        <v>1954</v>
      </c>
      <c r="J885" t="s">
        <v>1954</v>
      </c>
      <c r="K885">
        <v>24504</v>
      </c>
      <c r="L885">
        <v>363984</v>
      </c>
      <c r="M885" s="32">
        <v>14.854100000000001</v>
      </c>
      <c r="N885" t="s">
        <v>141</v>
      </c>
      <c r="O885" t="s">
        <v>119</v>
      </c>
      <c r="P885">
        <v>64</v>
      </c>
      <c r="Q885" s="33" t="s">
        <v>1955</v>
      </c>
      <c r="R885" t="s">
        <v>21</v>
      </c>
      <c r="S885" t="s">
        <v>22</v>
      </c>
      <c r="T885">
        <f t="shared" si="13"/>
        <v>501513.95999999979</v>
      </c>
    </row>
    <row r="886" spans="1:20" x14ac:dyDescent="0.25">
      <c r="A886" t="s">
        <v>963</v>
      </c>
      <c r="B886" t="s">
        <v>125</v>
      </c>
      <c r="C886">
        <v>1</v>
      </c>
      <c r="D886">
        <v>3110</v>
      </c>
      <c r="E886" t="s">
        <v>957</v>
      </c>
      <c r="F886" t="s">
        <v>143</v>
      </c>
      <c r="G886" s="31">
        <v>1</v>
      </c>
      <c r="H886" s="31">
        <v>1</v>
      </c>
      <c r="I886" t="s">
        <v>1954</v>
      </c>
      <c r="J886" t="s">
        <v>1954</v>
      </c>
      <c r="K886">
        <v>24504</v>
      </c>
      <c r="L886">
        <v>363984</v>
      </c>
      <c r="M886" s="32">
        <v>14.854100000000001</v>
      </c>
      <c r="N886" t="s">
        <v>141</v>
      </c>
      <c r="O886" t="s">
        <v>119</v>
      </c>
      <c r="P886">
        <v>64</v>
      </c>
      <c r="Q886" s="33" t="s">
        <v>1955</v>
      </c>
      <c r="R886" t="s">
        <v>21</v>
      </c>
      <c r="S886" t="s">
        <v>22</v>
      </c>
      <c r="T886">
        <f t="shared" si="13"/>
        <v>501577.95999999979</v>
      </c>
    </row>
    <row r="887" spans="1:20" x14ac:dyDescent="0.25">
      <c r="A887" t="s">
        <v>411</v>
      </c>
      <c r="B887" t="s">
        <v>125</v>
      </c>
      <c r="C887">
        <v>2</v>
      </c>
      <c r="D887">
        <v>61890</v>
      </c>
      <c r="E887" t="s">
        <v>2006</v>
      </c>
      <c r="F887" t="s">
        <v>307</v>
      </c>
      <c r="G887" s="31">
        <v>0.90229999999999999</v>
      </c>
      <c r="H887" s="31">
        <v>0.94830000000000003</v>
      </c>
      <c r="I887" t="s">
        <v>1954</v>
      </c>
      <c r="J887" t="s">
        <v>1954</v>
      </c>
      <c r="K887">
        <v>7131.7529999999997</v>
      </c>
      <c r="L887">
        <v>106305</v>
      </c>
      <c r="M887" s="32">
        <v>14.905900000000001</v>
      </c>
      <c r="N887" t="s">
        <v>584</v>
      </c>
      <c r="O887" t="s">
        <v>2007</v>
      </c>
      <c r="P887">
        <v>80.2</v>
      </c>
      <c r="Q887" t="s">
        <v>1958</v>
      </c>
      <c r="R887" t="s">
        <v>21</v>
      </c>
      <c r="S887" t="s">
        <v>22</v>
      </c>
      <c r="T887">
        <f t="shared" si="13"/>
        <v>501658.1599999998</v>
      </c>
    </row>
    <row r="888" spans="1:20" x14ac:dyDescent="0.25">
      <c r="A888" t="s">
        <v>414</v>
      </c>
      <c r="B888" t="s">
        <v>125</v>
      </c>
      <c r="C888">
        <v>2</v>
      </c>
      <c r="D888">
        <v>61890</v>
      </c>
      <c r="E888" t="s">
        <v>2006</v>
      </c>
      <c r="F888" t="s">
        <v>307</v>
      </c>
      <c r="G888" s="31">
        <v>0.90229999999999999</v>
      </c>
      <c r="H888" s="31">
        <v>0.94830000000000003</v>
      </c>
      <c r="I888" t="s">
        <v>1954</v>
      </c>
      <c r="J888" t="s">
        <v>1954</v>
      </c>
      <c r="K888">
        <v>7131.7529999999997</v>
      </c>
      <c r="L888">
        <v>106305</v>
      </c>
      <c r="M888" s="32">
        <v>14.905900000000001</v>
      </c>
      <c r="N888" t="s">
        <v>584</v>
      </c>
      <c r="O888" t="s">
        <v>2007</v>
      </c>
      <c r="P888">
        <v>80.2</v>
      </c>
      <c r="Q888" t="s">
        <v>1958</v>
      </c>
      <c r="R888" t="s">
        <v>21</v>
      </c>
      <c r="S888" t="s">
        <v>22</v>
      </c>
      <c r="T888">
        <f t="shared" si="13"/>
        <v>501738.35999999981</v>
      </c>
    </row>
    <row r="889" spans="1:20" x14ac:dyDescent="0.25">
      <c r="A889" t="s">
        <v>415</v>
      </c>
      <c r="B889" t="s">
        <v>125</v>
      </c>
      <c r="C889">
        <v>2</v>
      </c>
      <c r="D889">
        <v>61890</v>
      </c>
      <c r="E889" t="s">
        <v>2006</v>
      </c>
      <c r="F889" t="s">
        <v>307</v>
      </c>
      <c r="G889" s="31">
        <v>0.90229999999999999</v>
      </c>
      <c r="H889" s="31">
        <v>0.94830000000000003</v>
      </c>
      <c r="I889" t="s">
        <v>1954</v>
      </c>
      <c r="J889" t="s">
        <v>1954</v>
      </c>
      <c r="K889">
        <v>7131.7529999999997</v>
      </c>
      <c r="L889">
        <v>106305</v>
      </c>
      <c r="M889" s="32">
        <v>14.905900000000001</v>
      </c>
      <c r="N889" t="s">
        <v>584</v>
      </c>
      <c r="O889" t="s">
        <v>2007</v>
      </c>
      <c r="P889">
        <v>80.2</v>
      </c>
      <c r="Q889" t="s">
        <v>1958</v>
      </c>
      <c r="R889" t="s">
        <v>21</v>
      </c>
      <c r="S889" t="s">
        <v>22</v>
      </c>
      <c r="T889">
        <f t="shared" si="13"/>
        <v>501818.55999999982</v>
      </c>
    </row>
    <row r="890" spans="1:20" x14ac:dyDescent="0.25">
      <c r="A890" t="s">
        <v>416</v>
      </c>
      <c r="B890" t="s">
        <v>125</v>
      </c>
      <c r="C890">
        <v>2</v>
      </c>
      <c r="D890">
        <v>61890</v>
      </c>
      <c r="E890" t="s">
        <v>2006</v>
      </c>
      <c r="F890" t="s">
        <v>307</v>
      </c>
      <c r="G890" s="31">
        <v>0.90229999999999999</v>
      </c>
      <c r="H890" s="31">
        <v>0.94830000000000003</v>
      </c>
      <c r="I890" t="s">
        <v>1954</v>
      </c>
      <c r="J890" t="s">
        <v>1954</v>
      </c>
      <c r="K890">
        <v>7131.7529999999997</v>
      </c>
      <c r="L890">
        <v>106305</v>
      </c>
      <c r="M890" s="32">
        <v>14.905900000000001</v>
      </c>
      <c r="N890" t="s">
        <v>584</v>
      </c>
      <c r="O890" t="s">
        <v>2007</v>
      </c>
      <c r="P890">
        <v>80.2</v>
      </c>
      <c r="Q890" t="s">
        <v>1958</v>
      </c>
      <c r="R890" t="s">
        <v>21</v>
      </c>
      <c r="S890" t="s">
        <v>22</v>
      </c>
      <c r="T890">
        <f t="shared" si="13"/>
        <v>501898.75999999983</v>
      </c>
    </row>
    <row r="891" spans="1:20" x14ac:dyDescent="0.25">
      <c r="A891" t="s">
        <v>1787</v>
      </c>
      <c r="B891" t="s">
        <v>189</v>
      </c>
      <c r="C891">
        <v>2</v>
      </c>
      <c r="D891">
        <v>550</v>
      </c>
      <c r="E891" t="s">
        <v>2198</v>
      </c>
      <c r="F891" t="s">
        <v>842</v>
      </c>
      <c r="G891" s="31">
        <v>0.50600000000000001</v>
      </c>
      <c r="H891" s="31">
        <v>0.40600000000000003</v>
      </c>
      <c r="I891" t="s">
        <v>1976</v>
      </c>
      <c r="J891" t="s">
        <v>1954</v>
      </c>
      <c r="K891">
        <v>230.24199999999999</v>
      </c>
      <c r="L891">
        <v>3435</v>
      </c>
      <c r="M891" s="32">
        <v>14.9191</v>
      </c>
      <c r="N891" t="s">
        <v>265</v>
      </c>
      <c r="P891">
        <v>0</v>
      </c>
      <c r="Q891" t="s">
        <v>1958</v>
      </c>
      <c r="R891" t="s">
        <v>21</v>
      </c>
      <c r="S891" t="s">
        <v>22</v>
      </c>
      <c r="T891">
        <f t="shared" si="13"/>
        <v>501898.75999999983</v>
      </c>
    </row>
    <row r="892" spans="1:20" x14ac:dyDescent="0.25">
      <c r="A892" t="s">
        <v>830</v>
      </c>
      <c r="B892" t="s">
        <v>109</v>
      </c>
      <c r="C892">
        <v>1</v>
      </c>
      <c r="D892">
        <v>10151</v>
      </c>
      <c r="E892" t="s">
        <v>831</v>
      </c>
      <c r="F892" t="s">
        <v>118</v>
      </c>
      <c r="G892" s="31">
        <v>1</v>
      </c>
      <c r="H892" s="31">
        <v>1</v>
      </c>
      <c r="I892" t="s">
        <v>1954</v>
      </c>
      <c r="J892" t="s">
        <v>1954</v>
      </c>
      <c r="K892">
        <v>331538.27299999999</v>
      </c>
      <c r="L892">
        <v>4981577</v>
      </c>
      <c r="M892" s="32">
        <v>15.025600000000001</v>
      </c>
      <c r="N892" t="s">
        <v>662</v>
      </c>
      <c r="O892" t="s">
        <v>282</v>
      </c>
      <c r="P892">
        <v>80</v>
      </c>
      <c r="Q892" s="33" t="s">
        <v>1955</v>
      </c>
      <c r="R892" t="s">
        <v>21</v>
      </c>
      <c r="S892" t="s">
        <v>22</v>
      </c>
      <c r="T892">
        <f t="shared" si="13"/>
        <v>501978.75999999983</v>
      </c>
    </row>
    <row r="893" spans="1:20" x14ac:dyDescent="0.25">
      <c r="A893" t="s">
        <v>1829</v>
      </c>
      <c r="B893" t="s">
        <v>125</v>
      </c>
      <c r="C893">
        <v>1</v>
      </c>
      <c r="D893">
        <v>2854</v>
      </c>
      <c r="E893" t="s">
        <v>1830</v>
      </c>
      <c r="F893" t="s">
        <v>322</v>
      </c>
      <c r="G893" s="31">
        <v>0.82869999999999999</v>
      </c>
      <c r="H893" s="31">
        <v>0.87470000000000003</v>
      </c>
      <c r="I893" t="s">
        <v>1954</v>
      </c>
      <c r="J893" t="s">
        <v>1954</v>
      </c>
      <c r="K893">
        <v>27992</v>
      </c>
      <c r="L893">
        <v>420924</v>
      </c>
      <c r="M893" s="32">
        <v>15.0373</v>
      </c>
      <c r="N893" t="s">
        <v>130</v>
      </c>
      <c r="O893" t="s">
        <v>1831</v>
      </c>
      <c r="P893">
        <v>126.7</v>
      </c>
      <c r="Q893" s="33" t="s">
        <v>1955</v>
      </c>
      <c r="R893" t="s">
        <v>21</v>
      </c>
      <c r="S893" t="s">
        <v>22</v>
      </c>
      <c r="T893">
        <f t="shared" si="13"/>
        <v>502105.45999999985</v>
      </c>
    </row>
    <row r="894" spans="1:20" x14ac:dyDescent="0.25">
      <c r="A894" t="s">
        <v>1832</v>
      </c>
      <c r="B894" t="s">
        <v>125</v>
      </c>
      <c r="C894">
        <v>1</v>
      </c>
      <c r="D894">
        <v>2854</v>
      </c>
      <c r="E894" t="s">
        <v>1830</v>
      </c>
      <c r="F894" t="s">
        <v>322</v>
      </c>
      <c r="G894" s="31">
        <v>0.82869999999999999</v>
      </c>
      <c r="H894" s="31">
        <v>0.87470000000000003</v>
      </c>
      <c r="I894" t="s">
        <v>1954</v>
      </c>
      <c r="J894" t="s">
        <v>1954</v>
      </c>
      <c r="K894">
        <v>27992</v>
      </c>
      <c r="L894">
        <v>420924</v>
      </c>
      <c r="M894" s="32">
        <v>15.0373</v>
      </c>
      <c r="N894" t="s">
        <v>130</v>
      </c>
      <c r="O894" t="s">
        <v>1831</v>
      </c>
      <c r="P894">
        <v>126.7</v>
      </c>
      <c r="Q894" s="33" t="s">
        <v>1955</v>
      </c>
      <c r="R894" t="s">
        <v>21</v>
      </c>
      <c r="S894" t="s">
        <v>22</v>
      </c>
      <c r="T894">
        <f t="shared" si="13"/>
        <v>502232.15999999986</v>
      </c>
    </row>
    <row r="895" spans="1:20" x14ac:dyDescent="0.25">
      <c r="A895" t="s">
        <v>1833</v>
      </c>
      <c r="B895" t="s">
        <v>125</v>
      </c>
      <c r="C895">
        <v>1</v>
      </c>
      <c r="D895">
        <v>2854</v>
      </c>
      <c r="E895" t="s">
        <v>1830</v>
      </c>
      <c r="F895" t="s">
        <v>322</v>
      </c>
      <c r="G895" s="31">
        <v>0.82869999999999999</v>
      </c>
      <c r="H895" s="31">
        <v>0.87470000000000003</v>
      </c>
      <c r="I895" t="s">
        <v>1954</v>
      </c>
      <c r="J895" t="s">
        <v>1954</v>
      </c>
      <c r="K895">
        <v>27992</v>
      </c>
      <c r="L895">
        <v>420924</v>
      </c>
      <c r="M895" s="32">
        <v>15.0373</v>
      </c>
      <c r="N895" t="s">
        <v>130</v>
      </c>
      <c r="O895" t="s">
        <v>1831</v>
      </c>
      <c r="P895">
        <v>126.7</v>
      </c>
      <c r="Q895" s="33" t="s">
        <v>1955</v>
      </c>
      <c r="R895" t="s">
        <v>21</v>
      </c>
      <c r="S895" t="s">
        <v>22</v>
      </c>
      <c r="T895">
        <f t="shared" si="13"/>
        <v>502358.85999999987</v>
      </c>
    </row>
    <row r="896" spans="1:20" x14ac:dyDescent="0.25">
      <c r="A896" t="s">
        <v>1834</v>
      </c>
      <c r="B896" t="s">
        <v>125</v>
      </c>
      <c r="C896">
        <v>1</v>
      </c>
      <c r="D896">
        <v>2854</v>
      </c>
      <c r="E896" t="s">
        <v>1830</v>
      </c>
      <c r="F896" t="s">
        <v>322</v>
      </c>
      <c r="G896" s="31">
        <v>0.82869999999999999</v>
      </c>
      <c r="H896" s="31">
        <v>0.87470000000000003</v>
      </c>
      <c r="I896" t="s">
        <v>1954</v>
      </c>
      <c r="J896" t="s">
        <v>1954</v>
      </c>
      <c r="K896">
        <v>27992</v>
      </c>
      <c r="L896">
        <v>420924</v>
      </c>
      <c r="M896" s="32">
        <v>15.0373</v>
      </c>
      <c r="N896" t="s">
        <v>130</v>
      </c>
      <c r="O896" t="s">
        <v>1831</v>
      </c>
      <c r="P896">
        <v>126.7</v>
      </c>
      <c r="Q896" s="33" t="s">
        <v>1955</v>
      </c>
      <c r="R896" t="s">
        <v>21</v>
      </c>
      <c r="S896" t="s">
        <v>22</v>
      </c>
      <c r="T896">
        <f t="shared" si="13"/>
        <v>502485.55999999988</v>
      </c>
    </row>
    <row r="897" spans="1:20" x14ac:dyDescent="0.25">
      <c r="A897" t="s">
        <v>1835</v>
      </c>
      <c r="B897" t="s">
        <v>125</v>
      </c>
      <c r="C897">
        <v>1</v>
      </c>
      <c r="D897">
        <v>2854</v>
      </c>
      <c r="E897" t="s">
        <v>1830</v>
      </c>
      <c r="F897" t="s">
        <v>322</v>
      </c>
      <c r="G897" s="31">
        <v>0.82869999999999999</v>
      </c>
      <c r="H897" s="31">
        <v>0.87470000000000003</v>
      </c>
      <c r="I897" t="s">
        <v>1954</v>
      </c>
      <c r="J897" t="s">
        <v>1954</v>
      </c>
      <c r="K897">
        <v>27992</v>
      </c>
      <c r="L897">
        <v>420924</v>
      </c>
      <c r="M897" s="32">
        <v>15.0373</v>
      </c>
      <c r="N897" t="s">
        <v>130</v>
      </c>
      <c r="O897" t="s">
        <v>1831</v>
      </c>
      <c r="P897">
        <v>126.7</v>
      </c>
      <c r="Q897" s="33" t="s">
        <v>1955</v>
      </c>
      <c r="R897" t="s">
        <v>21</v>
      </c>
      <c r="S897" t="s">
        <v>22</v>
      </c>
      <c r="T897">
        <f t="shared" si="13"/>
        <v>502612.25999999989</v>
      </c>
    </row>
    <row r="898" spans="1:20" x14ac:dyDescent="0.25">
      <c r="A898" t="s">
        <v>1836</v>
      </c>
      <c r="B898" t="s">
        <v>125</v>
      </c>
      <c r="C898">
        <v>1</v>
      </c>
      <c r="D898">
        <v>2854</v>
      </c>
      <c r="E898" t="s">
        <v>1830</v>
      </c>
      <c r="F898" t="s">
        <v>322</v>
      </c>
      <c r="G898" s="31">
        <v>0.82869999999999999</v>
      </c>
      <c r="H898" s="31">
        <v>0.87470000000000003</v>
      </c>
      <c r="I898" t="s">
        <v>1954</v>
      </c>
      <c r="J898" t="s">
        <v>1954</v>
      </c>
      <c r="K898">
        <v>27992</v>
      </c>
      <c r="L898">
        <v>420924</v>
      </c>
      <c r="M898" s="32">
        <v>15.0373</v>
      </c>
      <c r="N898" t="s">
        <v>130</v>
      </c>
      <c r="O898" t="s">
        <v>1831</v>
      </c>
      <c r="P898">
        <v>126.7</v>
      </c>
      <c r="Q898" s="33" t="s">
        <v>1955</v>
      </c>
      <c r="R898" t="s">
        <v>21</v>
      </c>
      <c r="S898" t="s">
        <v>22</v>
      </c>
      <c r="T898">
        <f t="shared" si="13"/>
        <v>502738.9599999999</v>
      </c>
    </row>
    <row r="899" spans="1:20" x14ac:dyDescent="0.25">
      <c r="A899" t="s">
        <v>1837</v>
      </c>
      <c r="B899" t="s">
        <v>125</v>
      </c>
      <c r="C899">
        <v>1</v>
      </c>
      <c r="D899">
        <v>2854</v>
      </c>
      <c r="E899" t="s">
        <v>1830</v>
      </c>
      <c r="F899" t="s">
        <v>322</v>
      </c>
      <c r="G899" s="31">
        <v>0.82869999999999999</v>
      </c>
      <c r="H899" s="31">
        <v>0.87470000000000003</v>
      </c>
      <c r="I899" t="s">
        <v>1954</v>
      </c>
      <c r="J899" t="s">
        <v>1954</v>
      </c>
      <c r="K899">
        <v>27992</v>
      </c>
      <c r="L899">
        <v>420924</v>
      </c>
      <c r="M899" s="32">
        <v>15.0373</v>
      </c>
      <c r="N899" t="s">
        <v>130</v>
      </c>
      <c r="O899" t="s">
        <v>1831</v>
      </c>
      <c r="P899">
        <v>126.7</v>
      </c>
      <c r="Q899" s="33" t="s">
        <v>1955</v>
      </c>
      <c r="R899" t="s">
        <v>21</v>
      </c>
      <c r="S899" t="s">
        <v>22</v>
      </c>
      <c r="T899">
        <f t="shared" si="13"/>
        <v>502865.65999999992</v>
      </c>
    </row>
    <row r="900" spans="1:20" x14ac:dyDescent="0.25">
      <c r="A900" t="s">
        <v>1751</v>
      </c>
      <c r="B900" t="s">
        <v>125</v>
      </c>
      <c r="C900">
        <v>1</v>
      </c>
      <c r="D900">
        <v>3132</v>
      </c>
      <c r="E900" t="s">
        <v>1752</v>
      </c>
      <c r="F900" t="s">
        <v>143</v>
      </c>
      <c r="G900" s="31">
        <v>1</v>
      </c>
      <c r="H900" s="31">
        <v>1</v>
      </c>
      <c r="I900" t="s">
        <v>1954</v>
      </c>
      <c r="J900" t="s">
        <v>1954</v>
      </c>
      <c r="K900">
        <v>11413.001</v>
      </c>
      <c r="L900">
        <v>172071</v>
      </c>
      <c r="M900" s="32">
        <v>15.0768</v>
      </c>
      <c r="N900" t="s">
        <v>130</v>
      </c>
      <c r="O900" t="s">
        <v>1753</v>
      </c>
      <c r="P900">
        <v>62</v>
      </c>
      <c r="Q900" s="33" t="s">
        <v>1955</v>
      </c>
      <c r="R900" t="s">
        <v>21</v>
      </c>
      <c r="S900" t="s">
        <v>22</v>
      </c>
      <c r="T900">
        <f t="shared" ref="T900:T963" si="14">T899+P900</f>
        <v>502927.65999999992</v>
      </c>
    </row>
    <row r="901" spans="1:20" x14ac:dyDescent="0.25">
      <c r="A901" t="s">
        <v>350</v>
      </c>
      <c r="B901" t="s">
        <v>125</v>
      </c>
      <c r="C901">
        <v>2</v>
      </c>
      <c r="D901">
        <v>3754</v>
      </c>
      <c r="E901" t="s">
        <v>1979</v>
      </c>
      <c r="F901" t="s">
        <v>1980</v>
      </c>
      <c r="G901" s="31">
        <v>1</v>
      </c>
      <c r="H901" s="31">
        <v>0.92800000000000005</v>
      </c>
      <c r="I901" t="s">
        <v>1954</v>
      </c>
      <c r="J901" t="s">
        <v>1954</v>
      </c>
      <c r="K901">
        <v>684</v>
      </c>
      <c r="L901">
        <v>10323</v>
      </c>
      <c r="M901" s="32">
        <v>15.0921</v>
      </c>
      <c r="N901" t="s">
        <v>584</v>
      </c>
      <c r="O901" t="s">
        <v>1981</v>
      </c>
      <c r="P901">
        <v>19.7</v>
      </c>
      <c r="Q901" t="s">
        <v>1958</v>
      </c>
      <c r="R901" t="s">
        <v>21</v>
      </c>
      <c r="S901" t="s">
        <v>22</v>
      </c>
      <c r="T901">
        <f t="shared" si="14"/>
        <v>502947.35999999993</v>
      </c>
    </row>
    <row r="902" spans="1:20" x14ac:dyDescent="0.25">
      <c r="A902" t="s">
        <v>354</v>
      </c>
      <c r="B902" t="s">
        <v>125</v>
      </c>
      <c r="C902">
        <v>2</v>
      </c>
      <c r="D902">
        <v>3754</v>
      </c>
      <c r="E902" t="s">
        <v>1979</v>
      </c>
      <c r="F902" t="s">
        <v>1980</v>
      </c>
      <c r="G902" s="31">
        <v>1</v>
      </c>
      <c r="H902" s="31">
        <v>0.92800000000000005</v>
      </c>
      <c r="I902" t="s">
        <v>1954</v>
      </c>
      <c r="J902" t="s">
        <v>1954</v>
      </c>
      <c r="K902">
        <v>684</v>
      </c>
      <c r="L902">
        <v>10323</v>
      </c>
      <c r="M902" s="32">
        <v>15.0921</v>
      </c>
      <c r="N902" t="s">
        <v>584</v>
      </c>
      <c r="O902" t="s">
        <v>1981</v>
      </c>
      <c r="P902">
        <v>19.7</v>
      </c>
      <c r="Q902" t="s">
        <v>1958</v>
      </c>
      <c r="R902" t="s">
        <v>21</v>
      </c>
      <c r="S902" t="s">
        <v>22</v>
      </c>
      <c r="T902">
        <f t="shared" si="14"/>
        <v>502967.05999999994</v>
      </c>
    </row>
    <row r="903" spans="1:20" x14ac:dyDescent="0.25">
      <c r="A903" t="s">
        <v>355</v>
      </c>
      <c r="B903" t="s">
        <v>125</v>
      </c>
      <c r="C903">
        <v>2</v>
      </c>
      <c r="D903">
        <v>3754</v>
      </c>
      <c r="E903" t="s">
        <v>1979</v>
      </c>
      <c r="F903" t="s">
        <v>1980</v>
      </c>
      <c r="G903" s="31">
        <v>1</v>
      </c>
      <c r="H903" s="31">
        <v>0.92800000000000005</v>
      </c>
      <c r="I903" t="s">
        <v>1954</v>
      </c>
      <c r="J903" t="s">
        <v>1954</v>
      </c>
      <c r="K903">
        <v>684</v>
      </c>
      <c r="L903">
        <v>10323</v>
      </c>
      <c r="M903" s="32">
        <v>15.0921</v>
      </c>
      <c r="N903" t="s">
        <v>584</v>
      </c>
      <c r="O903" t="s">
        <v>1981</v>
      </c>
      <c r="P903">
        <v>19.7</v>
      </c>
      <c r="Q903" t="s">
        <v>1958</v>
      </c>
      <c r="R903" t="s">
        <v>21</v>
      </c>
      <c r="S903" t="s">
        <v>22</v>
      </c>
      <c r="T903">
        <f t="shared" si="14"/>
        <v>502986.75999999995</v>
      </c>
    </row>
    <row r="904" spans="1:20" x14ac:dyDescent="0.25">
      <c r="A904" t="s">
        <v>356</v>
      </c>
      <c r="B904" t="s">
        <v>125</v>
      </c>
      <c r="C904">
        <v>2</v>
      </c>
      <c r="D904">
        <v>3754</v>
      </c>
      <c r="E904" t="s">
        <v>1979</v>
      </c>
      <c r="F904" t="s">
        <v>1980</v>
      </c>
      <c r="G904" s="31">
        <v>1</v>
      </c>
      <c r="H904" s="31">
        <v>0.92800000000000005</v>
      </c>
      <c r="I904" t="s">
        <v>1954</v>
      </c>
      <c r="J904" t="s">
        <v>1954</v>
      </c>
      <c r="K904">
        <v>684</v>
      </c>
      <c r="L904">
        <v>10323</v>
      </c>
      <c r="M904" s="32">
        <v>15.0921</v>
      </c>
      <c r="N904" t="s">
        <v>584</v>
      </c>
      <c r="O904" t="s">
        <v>1981</v>
      </c>
      <c r="P904">
        <v>19.7</v>
      </c>
      <c r="Q904" t="s">
        <v>1958</v>
      </c>
      <c r="R904" t="s">
        <v>21</v>
      </c>
      <c r="S904" t="s">
        <v>22</v>
      </c>
      <c r="T904">
        <f t="shared" si="14"/>
        <v>503006.45999999996</v>
      </c>
    </row>
    <row r="905" spans="1:20" x14ac:dyDescent="0.25">
      <c r="A905" t="s">
        <v>1086</v>
      </c>
      <c r="B905" t="s">
        <v>137</v>
      </c>
      <c r="C905">
        <v>1</v>
      </c>
      <c r="D905">
        <v>55222</v>
      </c>
      <c r="E905" t="s">
        <v>1087</v>
      </c>
      <c r="F905" t="s">
        <v>166</v>
      </c>
      <c r="G905" s="31">
        <v>1</v>
      </c>
      <c r="H905" s="31">
        <v>1</v>
      </c>
      <c r="I905" t="s">
        <v>1954</v>
      </c>
      <c r="J905" t="s">
        <v>1954</v>
      </c>
      <c r="K905">
        <v>8241</v>
      </c>
      <c r="L905">
        <v>124913</v>
      </c>
      <c r="M905" s="32">
        <v>15.157500000000001</v>
      </c>
      <c r="N905" t="s">
        <v>141</v>
      </c>
      <c r="O905" t="s">
        <v>1088</v>
      </c>
      <c r="P905">
        <v>622.9</v>
      </c>
      <c r="Q905" s="33" t="s">
        <v>1955</v>
      </c>
      <c r="R905" t="s">
        <v>21</v>
      </c>
      <c r="S905" t="s">
        <v>22</v>
      </c>
      <c r="T905">
        <f t="shared" si="14"/>
        <v>503629.36</v>
      </c>
    </row>
    <row r="906" spans="1:20" x14ac:dyDescent="0.25">
      <c r="A906" t="s">
        <v>1089</v>
      </c>
      <c r="B906" t="s">
        <v>137</v>
      </c>
      <c r="C906">
        <v>1</v>
      </c>
      <c r="D906">
        <v>55222</v>
      </c>
      <c r="E906" t="s">
        <v>1087</v>
      </c>
      <c r="F906" t="s">
        <v>166</v>
      </c>
      <c r="G906" s="31">
        <v>1</v>
      </c>
      <c r="H906" s="31">
        <v>1</v>
      </c>
      <c r="I906" t="s">
        <v>1954</v>
      </c>
      <c r="J906" t="s">
        <v>1954</v>
      </c>
      <c r="K906">
        <v>8241</v>
      </c>
      <c r="L906">
        <v>124913</v>
      </c>
      <c r="M906" s="32">
        <v>15.157500000000001</v>
      </c>
      <c r="N906" t="s">
        <v>141</v>
      </c>
      <c r="O906" t="s">
        <v>1088</v>
      </c>
      <c r="P906">
        <v>622.9</v>
      </c>
      <c r="Q906" s="33" t="s">
        <v>1955</v>
      </c>
      <c r="R906" t="s">
        <v>21</v>
      </c>
      <c r="S906" t="s">
        <v>22</v>
      </c>
      <c r="T906">
        <f t="shared" si="14"/>
        <v>504252.26</v>
      </c>
    </row>
    <row r="907" spans="1:20" x14ac:dyDescent="0.25">
      <c r="A907" t="s">
        <v>1090</v>
      </c>
      <c r="B907" t="s">
        <v>137</v>
      </c>
      <c r="C907">
        <v>1</v>
      </c>
      <c r="D907">
        <v>55222</v>
      </c>
      <c r="E907" t="s">
        <v>1087</v>
      </c>
      <c r="F907" t="s">
        <v>166</v>
      </c>
      <c r="G907" s="31">
        <v>1</v>
      </c>
      <c r="H907" s="31">
        <v>1</v>
      </c>
      <c r="I907" t="s">
        <v>1954</v>
      </c>
      <c r="J907" t="s">
        <v>1954</v>
      </c>
      <c r="K907">
        <v>8241</v>
      </c>
      <c r="L907">
        <v>124913</v>
      </c>
      <c r="M907" s="32">
        <v>15.157500000000001</v>
      </c>
      <c r="N907" t="s">
        <v>141</v>
      </c>
      <c r="O907" t="s">
        <v>1088</v>
      </c>
      <c r="P907">
        <v>622.9</v>
      </c>
      <c r="Q907" s="33" t="s">
        <v>1955</v>
      </c>
      <c r="R907" t="s">
        <v>21</v>
      </c>
      <c r="S907" t="s">
        <v>22</v>
      </c>
      <c r="T907">
        <f t="shared" si="14"/>
        <v>504875.16000000003</v>
      </c>
    </row>
    <row r="908" spans="1:20" x14ac:dyDescent="0.25">
      <c r="A908" t="s">
        <v>1091</v>
      </c>
      <c r="B908" t="s">
        <v>137</v>
      </c>
      <c r="C908">
        <v>1</v>
      </c>
      <c r="D908">
        <v>55222</v>
      </c>
      <c r="E908" t="s">
        <v>1087</v>
      </c>
      <c r="F908" t="s">
        <v>166</v>
      </c>
      <c r="G908" s="31">
        <v>1</v>
      </c>
      <c r="H908" s="31">
        <v>1</v>
      </c>
      <c r="I908" t="s">
        <v>1954</v>
      </c>
      <c r="J908" t="s">
        <v>1954</v>
      </c>
      <c r="K908">
        <v>8241</v>
      </c>
      <c r="L908">
        <v>124913</v>
      </c>
      <c r="M908" s="32">
        <v>15.157500000000001</v>
      </c>
      <c r="N908" t="s">
        <v>141</v>
      </c>
      <c r="O908" t="s">
        <v>1088</v>
      </c>
      <c r="P908">
        <v>622.9</v>
      </c>
      <c r="Q908" s="33" t="s">
        <v>1955</v>
      </c>
      <c r="R908" t="s">
        <v>21</v>
      </c>
      <c r="S908" t="s">
        <v>22</v>
      </c>
      <c r="T908">
        <f t="shared" si="14"/>
        <v>505498.06000000006</v>
      </c>
    </row>
    <row r="909" spans="1:20" x14ac:dyDescent="0.25">
      <c r="A909" t="s">
        <v>1092</v>
      </c>
      <c r="B909" t="s">
        <v>137</v>
      </c>
      <c r="C909">
        <v>1</v>
      </c>
      <c r="D909">
        <v>55222</v>
      </c>
      <c r="E909" t="s">
        <v>1087</v>
      </c>
      <c r="F909" t="s">
        <v>166</v>
      </c>
      <c r="G909" s="31">
        <v>1</v>
      </c>
      <c r="H909" s="31">
        <v>1</v>
      </c>
      <c r="I909" t="s">
        <v>1954</v>
      </c>
      <c r="J909" t="s">
        <v>1954</v>
      </c>
      <c r="K909">
        <v>8241</v>
      </c>
      <c r="L909">
        <v>124913</v>
      </c>
      <c r="M909" s="32">
        <v>15.157500000000001</v>
      </c>
      <c r="N909" t="s">
        <v>141</v>
      </c>
      <c r="O909" t="s">
        <v>1088</v>
      </c>
      <c r="P909">
        <v>622.9</v>
      </c>
      <c r="Q909" s="33" t="s">
        <v>1955</v>
      </c>
      <c r="R909" t="s">
        <v>21</v>
      </c>
      <c r="S909" t="s">
        <v>22</v>
      </c>
      <c r="T909">
        <f t="shared" si="14"/>
        <v>506120.96000000008</v>
      </c>
    </row>
    <row r="910" spans="1:20" x14ac:dyDescent="0.25">
      <c r="A910" t="s">
        <v>1093</v>
      </c>
      <c r="B910" t="s">
        <v>137</v>
      </c>
      <c r="C910">
        <v>1</v>
      </c>
      <c r="D910">
        <v>55222</v>
      </c>
      <c r="E910" t="s">
        <v>1087</v>
      </c>
      <c r="F910" t="s">
        <v>166</v>
      </c>
      <c r="G910" s="31">
        <v>1</v>
      </c>
      <c r="H910" s="31">
        <v>1</v>
      </c>
      <c r="I910" t="s">
        <v>1954</v>
      </c>
      <c r="J910" t="s">
        <v>1954</v>
      </c>
      <c r="K910">
        <v>8241</v>
      </c>
      <c r="L910">
        <v>124913</v>
      </c>
      <c r="M910" s="32">
        <v>15.157500000000001</v>
      </c>
      <c r="N910" t="s">
        <v>141</v>
      </c>
      <c r="O910" t="s">
        <v>1088</v>
      </c>
      <c r="P910">
        <v>622.9</v>
      </c>
      <c r="Q910" s="33" t="s">
        <v>1955</v>
      </c>
      <c r="R910" t="s">
        <v>21</v>
      </c>
      <c r="S910" t="s">
        <v>22</v>
      </c>
      <c r="T910">
        <f t="shared" si="14"/>
        <v>506743.8600000001</v>
      </c>
    </row>
    <row r="911" spans="1:20" x14ac:dyDescent="0.25">
      <c r="A911" t="s">
        <v>1094</v>
      </c>
      <c r="B911" t="s">
        <v>137</v>
      </c>
      <c r="C911">
        <v>1</v>
      </c>
      <c r="D911">
        <v>55222</v>
      </c>
      <c r="E911" t="s">
        <v>1087</v>
      </c>
      <c r="F911" t="s">
        <v>166</v>
      </c>
      <c r="G911" s="31">
        <v>1</v>
      </c>
      <c r="H911" s="31">
        <v>1</v>
      </c>
      <c r="I911" t="s">
        <v>1954</v>
      </c>
      <c r="J911" t="s">
        <v>1954</v>
      </c>
      <c r="K911">
        <v>8241</v>
      </c>
      <c r="L911">
        <v>124913</v>
      </c>
      <c r="M911" s="32">
        <v>15.157500000000001</v>
      </c>
      <c r="N911" t="s">
        <v>141</v>
      </c>
      <c r="O911" t="s">
        <v>1088</v>
      </c>
      <c r="P911">
        <v>622.9</v>
      </c>
      <c r="Q911" s="33" t="s">
        <v>1955</v>
      </c>
      <c r="R911" t="s">
        <v>21</v>
      </c>
      <c r="S911" t="s">
        <v>22</v>
      </c>
      <c r="T911">
        <f t="shared" si="14"/>
        <v>507366.76000000013</v>
      </c>
    </row>
    <row r="912" spans="1:20" x14ac:dyDescent="0.25">
      <c r="A912" t="s">
        <v>1095</v>
      </c>
      <c r="B912" t="s">
        <v>137</v>
      </c>
      <c r="C912">
        <v>1</v>
      </c>
      <c r="D912">
        <v>55222</v>
      </c>
      <c r="E912" t="s">
        <v>1087</v>
      </c>
      <c r="F912" t="s">
        <v>166</v>
      </c>
      <c r="G912" s="31">
        <v>1</v>
      </c>
      <c r="H912" s="31">
        <v>1</v>
      </c>
      <c r="I912" t="s">
        <v>1954</v>
      </c>
      <c r="J912" t="s">
        <v>1954</v>
      </c>
      <c r="K912">
        <v>8241</v>
      </c>
      <c r="L912">
        <v>124913</v>
      </c>
      <c r="M912" s="32">
        <v>15.157500000000001</v>
      </c>
      <c r="N912" t="s">
        <v>141</v>
      </c>
      <c r="O912" t="s">
        <v>1088</v>
      </c>
      <c r="P912">
        <v>622.9</v>
      </c>
      <c r="Q912" s="33" t="s">
        <v>1955</v>
      </c>
      <c r="R912" t="s">
        <v>21</v>
      </c>
      <c r="S912" t="s">
        <v>22</v>
      </c>
      <c r="T912">
        <f t="shared" si="14"/>
        <v>507989.66000000015</v>
      </c>
    </row>
    <row r="913" spans="1:20" x14ac:dyDescent="0.25">
      <c r="A913" t="s">
        <v>1785</v>
      </c>
      <c r="B913" t="s">
        <v>109</v>
      </c>
      <c r="C913">
        <v>1</v>
      </c>
      <c r="D913">
        <v>50611</v>
      </c>
      <c r="E913" t="s">
        <v>1786</v>
      </c>
      <c r="F913" t="s">
        <v>143</v>
      </c>
      <c r="G913" s="31">
        <v>0.65900000000000003</v>
      </c>
      <c r="H913" s="31">
        <v>0.70499999999999996</v>
      </c>
      <c r="I913" t="s">
        <v>1954</v>
      </c>
      <c r="J913" t="s">
        <v>1954</v>
      </c>
      <c r="K913">
        <v>142460.03400000001</v>
      </c>
      <c r="L913">
        <v>2190067</v>
      </c>
      <c r="M913" s="32">
        <v>15.373200000000001</v>
      </c>
      <c r="N913" t="s">
        <v>662</v>
      </c>
      <c r="O913" t="s">
        <v>282</v>
      </c>
      <c r="P913">
        <v>30</v>
      </c>
      <c r="Q913" s="33" t="s">
        <v>1956</v>
      </c>
      <c r="R913" t="s">
        <v>21</v>
      </c>
      <c r="S913" t="s">
        <v>22</v>
      </c>
      <c r="T913">
        <f t="shared" si="14"/>
        <v>508019.66000000015</v>
      </c>
    </row>
    <row r="914" spans="1:20" x14ac:dyDescent="0.25">
      <c r="A914" t="s">
        <v>660</v>
      </c>
      <c r="B914" t="s">
        <v>109</v>
      </c>
      <c r="C914">
        <v>1</v>
      </c>
      <c r="D914">
        <v>10603</v>
      </c>
      <c r="E914" t="s">
        <v>661</v>
      </c>
      <c r="F914" t="s">
        <v>143</v>
      </c>
      <c r="G914" s="31">
        <v>0.6623</v>
      </c>
      <c r="H914" s="31">
        <v>0.70830000000000004</v>
      </c>
      <c r="I914" t="s">
        <v>1954</v>
      </c>
      <c r="J914" t="s">
        <v>1954</v>
      </c>
      <c r="K914">
        <v>306330.57199999999</v>
      </c>
      <c r="L914">
        <v>4714009</v>
      </c>
      <c r="M914" s="32">
        <v>15.3886</v>
      </c>
      <c r="N914" t="s">
        <v>662</v>
      </c>
      <c r="O914" t="s">
        <v>282</v>
      </c>
      <c r="P914">
        <v>50</v>
      </c>
      <c r="Q914" s="33" t="s">
        <v>1956</v>
      </c>
      <c r="R914" t="s">
        <v>21</v>
      </c>
      <c r="S914" t="s">
        <v>22</v>
      </c>
      <c r="T914">
        <f t="shared" si="14"/>
        <v>508069.66000000015</v>
      </c>
    </row>
    <row r="915" spans="1:20" x14ac:dyDescent="0.25">
      <c r="A915" t="s">
        <v>1814</v>
      </c>
      <c r="B915" t="s">
        <v>150</v>
      </c>
      <c r="C915">
        <v>1</v>
      </c>
      <c r="D915">
        <v>59116</v>
      </c>
      <c r="E915" t="s">
        <v>2203</v>
      </c>
      <c r="F915" t="s">
        <v>241</v>
      </c>
      <c r="G915" s="31">
        <v>0.5514</v>
      </c>
      <c r="H915" s="31">
        <v>0.59740000000000004</v>
      </c>
      <c r="I915" t="s">
        <v>1954</v>
      </c>
      <c r="J915" t="s">
        <v>1954</v>
      </c>
      <c r="K915">
        <v>1238</v>
      </c>
      <c r="L915">
        <v>19144</v>
      </c>
      <c r="M915" s="32">
        <v>15.463699999999999</v>
      </c>
      <c r="N915" t="s">
        <v>321</v>
      </c>
      <c r="O915" t="s">
        <v>1816</v>
      </c>
      <c r="P915">
        <v>1</v>
      </c>
      <c r="Q915" t="s">
        <v>1958</v>
      </c>
      <c r="R915" t="s">
        <v>21</v>
      </c>
      <c r="S915" t="s">
        <v>22</v>
      </c>
      <c r="T915">
        <f t="shared" si="14"/>
        <v>508070.66000000015</v>
      </c>
    </row>
    <row r="916" spans="1:20" x14ac:dyDescent="0.25">
      <c r="A916" t="s">
        <v>607</v>
      </c>
      <c r="B916" t="s">
        <v>137</v>
      </c>
      <c r="C916">
        <v>3</v>
      </c>
      <c r="D916">
        <v>7155</v>
      </c>
      <c r="E916" t="s">
        <v>2031</v>
      </c>
      <c r="F916" t="s">
        <v>2032</v>
      </c>
      <c r="G916" s="31">
        <v>0.53</v>
      </c>
      <c r="H916" s="31">
        <v>0.45800000000000002</v>
      </c>
      <c r="I916" t="s">
        <v>1954</v>
      </c>
      <c r="J916" t="s">
        <v>1954</v>
      </c>
      <c r="K916">
        <v>1132.001</v>
      </c>
      <c r="L916">
        <v>18218</v>
      </c>
      <c r="M916" s="32">
        <v>16.093599999999999</v>
      </c>
      <c r="N916" t="s">
        <v>584</v>
      </c>
      <c r="O916" t="s">
        <v>308</v>
      </c>
      <c r="P916">
        <v>70.8</v>
      </c>
      <c r="Q916" t="s">
        <v>1958</v>
      </c>
      <c r="R916" t="s">
        <v>21</v>
      </c>
      <c r="S916" t="s">
        <v>22</v>
      </c>
      <c r="T916">
        <f t="shared" si="14"/>
        <v>508141.46000000014</v>
      </c>
    </row>
    <row r="917" spans="1:20" x14ac:dyDescent="0.25">
      <c r="A917" t="s">
        <v>610</v>
      </c>
      <c r="B917" t="s">
        <v>137</v>
      </c>
      <c r="C917">
        <v>3</v>
      </c>
      <c r="D917">
        <v>7155</v>
      </c>
      <c r="E917" t="s">
        <v>2031</v>
      </c>
      <c r="F917" t="s">
        <v>2032</v>
      </c>
      <c r="G917" s="31">
        <v>0.53</v>
      </c>
      <c r="H917" s="31">
        <v>0.45800000000000002</v>
      </c>
      <c r="I917" t="s">
        <v>1954</v>
      </c>
      <c r="J917" t="s">
        <v>1954</v>
      </c>
      <c r="K917">
        <v>1132.001</v>
      </c>
      <c r="L917">
        <v>18218</v>
      </c>
      <c r="M917" s="32">
        <v>16.093599999999999</v>
      </c>
      <c r="N917" t="s">
        <v>584</v>
      </c>
      <c r="O917" t="s">
        <v>308</v>
      </c>
      <c r="P917">
        <v>70.8</v>
      </c>
      <c r="Q917" t="s">
        <v>1958</v>
      </c>
      <c r="R917" t="s">
        <v>21</v>
      </c>
      <c r="S917" t="s">
        <v>22</v>
      </c>
      <c r="T917">
        <f t="shared" si="14"/>
        <v>508212.26000000013</v>
      </c>
    </row>
    <row r="918" spans="1:20" x14ac:dyDescent="0.25">
      <c r="A918" t="s">
        <v>611</v>
      </c>
      <c r="B918" t="s">
        <v>137</v>
      </c>
      <c r="C918">
        <v>3</v>
      </c>
      <c r="D918">
        <v>7155</v>
      </c>
      <c r="E918" t="s">
        <v>2031</v>
      </c>
      <c r="F918" t="s">
        <v>2032</v>
      </c>
      <c r="G918" s="31">
        <v>0.53</v>
      </c>
      <c r="H918" s="31">
        <v>0.45800000000000002</v>
      </c>
      <c r="I918" t="s">
        <v>1954</v>
      </c>
      <c r="J918" t="s">
        <v>1954</v>
      </c>
      <c r="K918">
        <v>1132.001</v>
      </c>
      <c r="L918">
        <v>18218</v>
      </c>
      <c r="M918" s="32">
        <v>16.093599999999999</v>
      </c>
      <c r="N918" t="s">
        <v>584</v>
      </c>
      <c r="O918" t="s">
        <v>308</v>
      </c>
      <c r="P918">
        <v>70.8</v>
      </c>
      <c r="Q918" t="s">
        <v>1958</v>
      </c>
      <c r="R918" t="s">
        <v>21</v>
      </c>
      <c r="S918" t="s">
        <v>22</v>
      </c>
      <c r="T918">
        <f t="shared" si="14"/>
        <v>508283.06000000011</v>
      </c>
    </row>
    <row r="919" spans="1:20" x14ac:dyDescent="0.25">
      <c r="A919" t="s">
        <v>612</v>
      </c>
      <c r="B919" t="s">
        <v>137</v>
      </c>
      <c r="C919">
        <v>3</v>
      </c>
      <c r="D919">
        <v>7155</v>
      </c>
      <c r="E919" t="s">
        <v>2031</v>
      </c>
      <c r="F919" t="s">
        <v>2032</v>
      </c>
      <c r="G919" s="31">
        <v>0.53</v>
      </c>
      <c r="H919" s="31">
        <v>0.45800000000000002</v>
      </c>
      <c r="I919" t="s">
        <v>1954</v>
      </c>
      <c r="J919" t="s">
        <v>1954</v>
      </c>
      <c r="K919">
        <v>1132.001</v>
      </c>
      <c r="L919">
        <v>18218</v>
      </c>
      <c r="M919" s="32">
        <v>16.093599999999999</v>
      </c>
      <c r="N919" t="s">
        <v>584</v>
      </c>
      <c r="O919" t="s">
        <v>308</v>
      </c>
      <c r="P919">
        <v>70.8</v>
      </c>
      <c r="Q919" t="s">
        <v>1958</v>
      </c>
      <c r="R919" t="s">
        <v>21</v>
      </c>
      <c r="S919" t="s">
        <v>22</v>
      </c>
      <c r="T919">
        <f t="shared" si="14"/>
        <v>508353.8600000001</v>
      </c>
    </row>
    <row r="920" spans="1:20" x14ac:dyDescent="0.25">
      <c r="A920" t="s">
        <v>1386</v>
      </c>
      <c r="B920" t="s">
        <v>109</v>
      </c>
      <c r="C920">
        <v>1</v>
      </c>
      <c r="D920">
        <v>6004</v>
      </c>
      <c r="E920" t="s">
        <v>1387</v>
      </c>
      <c r="F920" t="s">
        <v>118</v>
      </c>
      <c r="G920" s="31">
        <v>1</v>
      </c>
      <c r="H920" s="31">
        <v>1</v>
      </c>
      <c r="I920" t="s">
        <v>1954</v>
      </c>
      <c r="J920" t="s">
        <v>1954</v>
      </c>
      <c r="K920">
        <v>366983.47499999998</v>
      </c>
      <c r="L920">
        <v>6107161</v>
      </c>
      <c r="M920" s="32">
        <v>16.641500000000001</v>
      </c>
      <c r="N920" t="s">
        <v>116</v>
      </c>
      <c r="O920" t="s">
        <v>308</v>
      </c>
      <c r="P920">
        <v>1278</v>
      </c>
      <c r="Q920" s="33" t="s">
        <v>1955</v>
      </c>
      <c r="R920" t="s">
        <v>21</v>
      </c>
      <c r="S920" t="s">
        <v>22</v>
      </c>
      <c r="T920">
        <f t="shared" si="14"/>
        <v>509631.8600000001</v>
      </c>
    </row>
    <row r="921" spans="1:20" x14ac:dyDescent="0.25">
      <c r="A921" t="s">
        <v>1499</v>
      </c>
      <c r="B921" t="s">
        <v>137</v>
      </c>
      <c r="C921">
        <v>3</v>
      </c>
      <c r="D921">
        <v>9674</v>
      </c>
      <c r="E921" t="s">
        <v>2156</v>
      </c>
      <c r="F921" t="s">
        <v>1975</v>
      </c>
      <c r="G921" s="31">
        <v>0.41120000000000001</v>
      </c>
      <c r="H921" s="31">
        <v>0.3392</v>
      </c>
      <c r="I921" t="s">
        <v>1954</v>
      </c>
      <c r="J921" t="s">
        <v>1954</v>
      </c>
      <c r="K921">
        <v>89</v>
      </c>
      <c r="L921">
        <v>1497</v>
      </c>
      <c r="M921" s="32">
        <v>16.8202</v>
      </c>
      <c r="N921" t="s">
        <v>141</v>
      </c>
      <c r="O921" t="s">
        <v>1981</v>
      </c>
      <c r="P921">
        <v>13.9</v>
      </c>
      <c r="Q921" t="s">
        <v>1958</v>
      </c>
      <c r="R921" t="s">
        <v>21</v>
      </c>
      <c r="S921" t="s">
        <v>22</v>
      </c>
      <c r="T921">
        <f t="shared" si="14"/>
        <v>509645.76000000013</v>
      </c>
    </row>
    <row r="922" spans="1:20" x14ac:dyDescent="0.25">
      <c r="A922" t="s">
        <v>1501</v>
      </c>
      <c r="B922" t="s">
        <v>137</v>
      </c>
      <c r="C922">
        <v>3</v>
      </c>
      <c r="D922">
        <v>9674</v>
      </c>
      <c r="E922" t="s">
        <v>2156</v>
      </c>
      <c r="F922" t="s">
        <v>1975</v>
      </c>
      <c r="G922" s="31">
        <v>0.41120000000000001</v>
      </c>
      <c r="H922" s="31">
        <v>0.3392</v>
      </c>
      <c r="I922" t="s">
        <v>1954</v>
      </c>
      <c r="J922" t="s">
        <v>1954</v>
      </c>
      <c r="K922">
        <v>89</v>
      </c>
      <c r="L922">
        <v>1497</v>
      </c>
      <c r="M922" s="32">
        <v>16.8202</v>
      </c>
      <c r="N922" t="s">
        <v>141</v>
      </c>
      <c r="O922" t="s">
        <v>1981</v>
      </c>
      <c r="P922">
        <v>13.9</v>
      </c>
      <c r="Q922" t="s">
        <v>1958</v>
      </c>
      <c r="R922" t="s">
        <v>21</v>
      </c>
      <c r="S922" t="s">
        <v>22</v>
      </c>
      <c r="T922">
        <f t="shared" si="14"/>
        <v>509659.66000000015</v>
      </c>
    </row>
    <row r="923" spans="1:20" x14ac:dyDescent="0.25">
      <c r="A923" t="s">
        <v>1502</v>
      </c>
      <c r="B923" t="s">
        <v>137</v>
      </c>
      <c r="C923">
        <v>3</v>
      </c>
      <c r="D923">
        <v>9674</v>
      </c>
      <c r="E923" t="s">
        <v>2156</v>
      </c>
      <c r="F923" t="s">
        <v>1975</v>
      </c>
      <c r="G923" s="31">
        <v>0.41120000000000001</v>
      </c>
      <c r="H923" s="31">
        <v>0.3392</v>
      </c>
      <c r="I923" t="s">
        <v>1954</v>
      </c>
      <c r="J923" t="s">
        <v>1954</v>
      </c>
      <c r="K923">
        <v>89</v>
      </c>
      <c r="L923">
        <v>1497</v>
      </c>
      <c r="M923" s="32">
        <v>16.8202</v>
      </c>
      <c r="N923" t="s">
        <v>141</v>
      </c>
      <c r="O923" t="s">
        <v>1981</v>
      </c>
      <c r="P923">
        <v>13.9</v>
      </c>
      <c r="Q923" t="s">
        <v>1958</v>
      </c>
      <c r="R923" t="s">
        <v>21</v>
      </c>
      <c r="S923" t="s">
        <v>22</v>
      </c>
      <c r="T923">
        <f t="shared" si="14"/>
        <v>509673.56000000017</v>
      </c>
    </row>
    <row r="924" spans="1:20" x14ac:dyDescent="0.25">
      <c r="A924" t="s">
        <v>1503</v>
      </c>
      <c r="B924" t="s">
        <v>137</v>
      </c>
      <c r="C924">
        <v>3</v>
      </c>
      <c r="D924">
        <v>9674</v>
      </c>
      <c r="E924" t="s">
        <v>2156</v>
      </c>
      <c r="F924" t="s">
        <v>1975</v>
      </c>
      <c r="G924" s="31">
        <v>0.41120000000000001</v>
      </c>
      <c r="H924" s="31">
        <v>0.3392</v>
      </c>
      <c r="I924" t="s">
        <v>1954</v>
      </c>
      <c r="J924" t="s">
        <v>1954</v>
      </c>
      <c r="K924">
        <v>89</v>
      </c>
      <c r="L924">
        <v>1497</v>
      </c>
      <c r="M924" s="32">
        <v>16.8202</v>
      </c>
      <c r="N924" t="s">
        <v>141</v>
      </c>
      <c r="O924" t="s">
        <v>1981</v>
      </c>
      <c r="P924">
        <v>13.9</v>
      </c>
      <c r="Q924" t="s">
        <v>1958</v>
      </c>
      <c r="R924" t="s">
        <v>21</v>
      </c>
      <c r="S924" t="s">
        <v>22</v>
      </c>
      <c r="T924">
        <f t="shared" si="14"/>
        <v>509687.4600000002</v>
      </c>
    </row>
    <row r="925" spans="1:20" x14ac:dyDescent="0.25">
      <c r="A925" t="s">
        <v>289</v>
      </c>
      <c r="B925" t="s">
        <v>137</v>
      </c>
      <c r="C925">
        <v>1</v>
      </c>
      <c r="D925">
        <v>3120</v>
      </c>
      <c r="E925" t="s">
        <v>290</v>
      </c>
      <c r="F925" t="s">
        <v>143</v>
      </c>
      <c r="G925" s="31">
        <v>1</v>
      </c>
      <c r="H925" s="31">
        <v>1</v>
      </c>
      <c r="I925" t="s">
        <v>1954</v>
      </c>
      <c r="J925" t="s">
        <v>1954</v>
      </c>
      <c r="K925">
        <v>2955</v>
      </c>
      <c r="L925">
        <v>49760</v>
      </c>
      <c r="M925" s="32">
        <v>16.839300000000001</v>
      </c>
      <c r="N925" t="s">
        <v>141</v>
      </c>
      <c r="O925" t="s">
        <v>267</v>
      </c>
      <c r="P925">
        <v>20.9</v>
      </c>
      <c r="Q925" s="33" t="s">
        <v>1955</v>
      </c>
      <c r="R925" t="s">
        <v>21</v>
      </c>
      <c r="S925" t="s">
        <v>22</v>
      </c>
      <c r="T925">
        <f t="shared" si="14"/>
        <v>509708.36000000022</v>
      </c>
    </row>
    <row r="926" spans="1:20" x14ac:dyDescent="0.25">
      <c r="A926" t="s">
        <v>1732</v>
      </c>
      <c r="B926" t="s">
        <v>189</v>
      </c>
      <c r="C926">
        <v>1</v>
      </c>
      <c r="D926">
        <v>1564</v>
      </c>
      <c r="E926" t="s">
        <v>1733</v>
      </c>
      <c r="F926" t="s">
        <v>307</v>
      </c>
      <c r="G926" s="31">
        <v>0.80889999999999995</v>
      </c>
      <c r="H926" s="31">
        <v>0.85489999999999999</v>
      </c>
      <c r="I926" t="s">
        <v>1954</v>
      </c>
      <c r="J926" t="s">
        <v>1954</v>
      </c>
      <c r="K926">
        <v>11873</v>
      </c>
      <c r="L926">
        <v>201133</v>
      </c>
      <c r="M926" s="32">
        <v>16.9404</v>
      </c>
      <c r="N926" t="s">
        <v>1734</v>
      </c>
      <c r="O926" t="s">
        <v>1735</v>
      </c>
      <c r="P926">
        <v>153</v>
      </c>
      <c r="Q926" s="33" t="s">
        <v>1955</v>
      </c>
      <c r="R926" t="s">
        <v>21</v>
      </c>
      <c r="S926" t="s">
        <v>22</v>
      </c>
      <c r="T926">
        <f t="shared" si="14"/>
        <v>509861.36000000022</v>
      </c>
    </row>
    <row r="927" spans="1:20" x14ac:dyDescent="0.25">
      <c r="A927" t="s">
        <v>1065</v>
      </c>
      <c r="B927" t="s">
        <v>137</v>
      </c>
      <c r="C927">
        <v>1</v>
      </c>
      <c r="D927">
        <v>55236</v>
      </c>
      <c r="E927" t="s">
        <v>2099</v>
      </c>
      <c r="F927" t="s">
        <v>166</v>
      </c>
      <c r="G927" s="31">
        <v>0.59809999999999997</v>
      </c>
      <c r="H927" s="31">
        <v>0.64410000000000001</v>
      </c>
      <c r="I927" t="s">
        <v>1954</v>
      </c>
      <c r="J927" t="s">
        <v>1954</v>
      </c>
      <c r="K927">
        <v>65200.002</v>
      </c>
      <c r="L927">
        <v>1106209</v>
      </c>
      <c r="M927" s="32">
        <v>16.9664</v>
      </c>
      <c r="N927" t="s">
        <v>141</v>
      </c>
      <c r="O927" t="s">
        <v>1067</v>
      </c>
      <c r="P927">
        <v>676.8</v>
      </c>
      <c r="Q927" t="s">
        <v>1958</v>
      </c>
      <c r="R927" t="s">
        <v>21</v>
      </c>
      <c r="S927" t="s">
        <v>22</v>
      </c>
      <c r="T927">
        <f t="shared" si="14"/>
        <v>510538.16000000021</v>
      </c>
    </row>
    <row r="928" spans="1:20" x14ac:dyDescent="0.25">
      <c r="A928" t="s">
        <v>1068</v>
      </c>
      <c r="B928" t="s">
        <v>137</v>
      </c>
      <c r="C928">
        <v>1</v>
      </c>
      <c r="D928">
        <v>55236</v>
      </c>
      <c r="E928" t="s">
        <v>2099</v>
      </c>
      <c r="F928" t="s">
        <v>166</v>
      </c>
      <c r="G928" s="31">
        <v>0.59809999999999997</v>
      </c>
      <c r="H928" s="31">
        <v>0.64410000000000001</v>
      </c>
      <c r="I928" t="s">
        <v>1954</v>
      </c>
      <c r="J928" t="s">
        <v>1954</v>
      </c>
      <c r="K928">
        <v>65200.002</v>
      </c>
      <c r="L928">
        <v>1106209</v>
      </c>
      <c r="M928" s="32">
        <v>16.9664</v>
      </c>
      <c r="N928" t="s">
        <v>141</v>
      </c>
      <c r="O928" t="s">
        <v>1067</v>
      </c>
      <c r="P928">
        <v>676.8</v>
      </c>
      <c r="Q928" t="s">
        <v>1958</v>
      </c>
      <c r="R928" t="s">
        <v>21</v>
      </c>
      <c r="S928" t="s">
        <v>22</v>
      </c>
      <c r="T928">
        <f t="shared" si="14"/>
        <v>511214.9600000002</v>
      </c>
    </row>
    <row r="929" spans="1:20" x14ac:dyDescent="0.25">
      <c r="A929" t="s">
        <v>1069</v>
      </c>
      <c r="B929" t="s">
        <v>137</v>
      </c>
      <c r="C929">
        <v>1</v>
      </c>
      <c r="D929">
        <v>55236</v>
      </c>
      <c r="E929" t="s">
        <v>2099</v>
      </c>
      <c r="F929" t="s">
        <v>166</v>
      </c>
      <c r="G929" s="31">
        <v>0.59809999999999997</v>
      </c>
      <c r="H929" s="31">
        <v>0.64410000000000001</v>
      </c>
      <c r="I929" t="s">
        <v>1954</v>
      </c>
      <c r="J929" t="s">
        <v>1954</v>
      </c>
      <c r="K929">
        <v>65200.002</v>
      </c>
      <c r="L929">
        <v>1106209</v>
      </c>
      <c r="M929" s="32">
        <v>16.9664</v>
      </c>
      <c r="N929" t="s">
        <v>141</v>
      </c>
      <c r="O929" t="s">
        <v>1067</v>
      </c>
      <c r="P929">
        <v>676.8</v>
      </c>
      <c r="Q929" t="s">
        <v>1958</v>
      </c>
      <c r="R929" t="s">
        <v>21</v>
      </c>
      <c r="S929" t="s">
        <v>22</v>
      </c>
      <c r="T929">
        <f t="shared" si="14"/>
        <v>511891.76000000018</v>
      </c>
    </row>
    <row r="930" spans="1:20" x14ac:dyDescent="0.25">
      <c r="A930" t="s">
        <v>1070</v>
      </c>
      <c r="B930" t="s">
        <v>137</v>
      </c>
      <c r="C930">
        <v>1</v>
      </c>
      <c r="D930">
        <v>55236</v>
      </c>
      <c r="E930" t="s">
        <v>2099</v>
      </c>
      <c r="F930" t="s">
        <v>166</v>
      </c>
      <c r="G930" s="31">
        <v>0.59809999999999997</v>
      </c>
      <c r="H930" s="31">
        <v>0.64410000000000001</v>
      </c>
      <c r="I930" t="s">
        <v>1954</v>
      </c>
      <c r="J930" t="s">
        <v>1954</v>
      </c>
      <c r="K930">
        <v>65200.002</v>
      </c>
      <c r="L930">
        <v>1106209</v>
      </c>
      <c r="M930" s="32">
        <v>16.9664</v>
      </c>
      <c r="N930" t="s">
        <v>141</v>
      </c>
      <c r="O930" t="s">
        <v>1067</v>
      </c>
      <c r="P930">
        <v>676.8</v>
      </c>
      <c r="Q930" t="s">
        <v>1958</v>
      </c>
      <c r="R930" t="s">
        <v>21</v>
      </c>
      <c r="S930" t="s">
        <v>22</v>
      </c>
      <c r="T930">
        <f t="shared" si="14"/>
        <v>512568.56000000017</v>
      </c>
    </row>
    <row r="931" spans="1:20" x14ac:dyDescent="0.25">
      <c r="A931" t="s">
        <v>1071</v>
      </c>
      <c r="B931" t="s">
        <v>137</v>
      </c>
      <c r="C931">
        <v>1</v>
      </c>
      <c r="D931">
        <v>55236</v>
      </c>
      <c r="E931" t="s">
        <v>2099</v>
      </c>
      <c r="F931" t="s">
        <v>166</v>
      </c>
      <c r="G931" s="31">
        <v>0.59809999999999997</v>
      </c>
      <c r="H931" s="31">
        <v>0.64410000000000001</v>
      </c>
      <c r="I931" t="s">
        <v>1954</v>
      </c>
      <c r="J931" t="s">
        <v>1954</v>
      </c>
      <c r="K931">
        <v>65200.002</v>
      </c>
      <c r="L931">
        <v>1106209</v>
      </c>
      <c r="M931" s="32">
        <v>16.9664</v>
      </c>
      <c r="N931" t="s">
        <v>141</v>
      </c>
      <c r="O931" t="s">
        <v>1067</v>
      </c>
      <c r="P931">
        <v>676.8</v>
      </c>
      <c r="Q931" t="s">
        <v>1958</v>
      </c>
      <c r="R931" t="s">
        <v>21</v>
      </c>
      <c r="S931" t="s">
        <v>22</v>
      </c>
      <c r="T931">
        <f t="shared" si="14"/>
        <v>513245.36000000016</v>
      </c>
    </row>
    <row r="932" spans="1:20" x14ac:dyDescent="0.25">
      <c r="A932" t="s">
        <v>1072</v>
      </c>
      <c r="B932" t="s">
        <v>137</v>
      </c>
      <c r="C932">
        <v>1</v>
      </c>
      <c r="D932">
        <v>55236</v>
      </c>
      <c r="E932" t="s">
        <v>2099</v>
      </c>
      <c r="F932" t="s">
        <v>166</v>
      </c>
      <c r="G932" s="31">
        <v>0.59809999999999997</v>
      </c>
      <c r="H932" s="31">
        <v>0.64410000000000001</v>
      </c>
      <c r="I932" t="s">
        <v>1954</v>
      </c>
      <c r="J932" t="s">
        <v>1954</v>
      </c>
      <c r="K932">
        <v>65200.002</v>
      </c>
      <c r="L932">
        <v>1106209</v>
      </c>
      <c r="M932" s="32">
        <v>16.9664</v>
      </c>
      <c r="N932" t="s">
        <v>141</v>
      </c>
      <c r="O932" t="s">
        <v>1067</v>
      </c>
      <c r="P932">
        <v>676.8</v>
      </c>
      <c r="Q932" t="s">
        <v>1958</v>
      </c>
      <c r="R932" t="s">
        <v>21</v>
      </c>
      <c r="S932" t="s">
        <v>22</v>
      </c>
      <c r="T932">
        <f t="shared" si="14"/>
        <v>513922.16000000015</v>
      </c>
    </row>
    <row r="933" spans="1:20" x14ac:dyDescent="0.25">
      <c r="A933" t="s">
        <v>1073</v>
      </c>
      <c r="B933" t="s">
        <v>137</v>
      </c>
      <c r="C933">
        <v>1</v>
      </c>
      <c r="D933">
        <v>55236</v>
      </c>
      <c r="E933" t="s">
        <v>2099</v>
      </c>
      <c r="F933" t="s">
        <v>166</v>
      </c>
      <c r="G933" s="31">
        <v>0.59809999999999997</v>
      </c>
      <c r="H933" s="31">
        <v>0.64410000000000001</v>
      </c>
      <c r="I933" t="s">
        <v>1954</v>
      </c>
      <c r="J933" t="s">
        <v>1954</v>
      </c>
      <c r="K933">
        <v>65200.002</v>
      </c>
      <c r="L933">
        <v>1106209</v>
      </c>
      <c r="M933" s="32">
        <v>16.9664</v>
      </c>
      <c r="N933" t="s">
        <v>141</v>
      </c>
      <c r="O933" t="s">
        <v>1067</v>
      </c>
      <c r="P933">
        <v>676.8</v>
      </c>
      <c r="Q933" t="s">
        <v>1958</v>
      </c>
      <c r="R933" t="s">
        <v>21</v>
      </c>
      <c r="S933" t="s">
        <v>22</v>
      </c>
      <c r="T933">
        <f t="shared" si="14"/>
        <v>514598.96000000014</v>
      </c>
    </row>
    <row r="934" spans="1:20" x14ac:dyDescent="0.25">
      <c r="A934" t="s">
        <v>1074</v>
      </c>
      <c r="B934" t="s">
        <v>137</v>
      </c>
      <c r="C934">
        <v>1</v>
      </c>
      <c r="D934">
        <v>55236</v>
      </c>
      <c r="E934" t="s">
        <v>2099</v>
      </c>
      <c r="F934" t="s">
        <v>166</v>
      </c>
      <c r="G934" s="31">
        <v>0.59809999999999997</v>
      </c>
      <c r="H934" s="31">
        <v>0.64410000000000001</v>
      </c>
      <c r="I934" t="s">
        <v>1954</v>
      </c>
      <c r="J934" t="s">
        <v>1954</v>
      </c>
      <c r="K934">
        <v>65200.002</v>
      </c>
      <c r="L934">
        <v>1106209</v>
      </c>
      <c r="M934" s="32">
        <v>16.9664</v>
      </c>
      <c r="N934" t="s">
        <v>141</v>
      </c>
      <c r="O934" t="s">
        <v>1067</v>
      </c>
      <c r="P934">
        <v>676.8</v>
      </c>
      <c r="Q934" t="s">
        <v>1958</v>
      </c>
      <c r="R934" t="s">
        <v>21</v>
      </c>
      <c r="S934" t="s">
        <v>22</v>
      </c>
      <c r="T934">
        <f t="shared" si="14"/>
        <v>515275.76000000013</v>
      </c>
    </row>
    <row r="935" spans="1:20" x14ac:dyDescent="0.25">
      <c r="A935" t="s">
        <v>1846</v>
      </c>
      <c r="B935" t="s">
        <v>189</v>
      </c>
      <c r="C935">
        <v>1</v>
      </c>
      <c r="D935">
        <v>50215</v>
      </c>
      <c r="E935" t="s">
        <v>2205</v>
      </c>
      <c r="F935" t="s">
        <v>143</v>
      </c>
      <c r="G935" s="31">
        <v>0.67010000000000003</v>
      </c>
      <c r="H935" s="31">
        <v>0.68810000000000004</v>
      </c>
      <c r="I935" t="s">
        <v>1976</v>
      </c>
      <c r="J935" t="s">
        <v>1954</v>
      </c>
      <c r="K935">
        <v>5408.625</v>
      </c>
      <c r="L935">
        <v>93956</v>
      </c>
      <c r="M935" s="32">
        <v>17.371500000000001</v>
      </c>
      <c r="N935" t="s">
        <v>265</v>
      </c>
      <c r="P935">
        <v>0</v>
      </c>
      <c r="Q935" t="s">
        <v>1958</v>
      </c>
      <c r="R935" t="s">
        <v>21</v>
      </c>
      <c r="S935" t="s">
        <v>22</v>
      </c>
      <c r="T935">
        <f t="shared" si="14"/>
        <v>515275.76000000013</v>
      </c>
    </row>
    <row r="936" spans="1:20" x14ac:dyDescent="0.25">
      <c r="A936" t="s">
        <v>1139</v>
      </c>
      <c r="B936" t="s">
        <v>125</v>
      </c>
      <c r="C936">
        <v>3</v>
      </c>
      <c r="D936">
        <v>57267</v>
      </c>
      <c r="E936" t="s">
        <v>2107</v>
      </c>
      <c r="F936" t="s">
        <v>1969</v>
      </c>
      <c r="G936" s="31">
        <v>0.39140000000000003</v>
      </c>
      <c r="H936" s="31">
        <v>0.31940000000000002</v>
      </c>
      <c r="I936" t="s">
        <v>1954</v>
      </c>
      <c r="J936" t="s">
        <v>1954</v>
      </c>
      <c r="K936">
        <v>15664</v>
      </c>
      <c r="L936">
        <v>276394</v>
      </c>
      <c r="M936" s="32">
        <v>17.645199999999999</v>
      </c>
      <c r="N936" t="s">
        <v>141</v>
      </c>
      <c r="O936" t="s">
        <v>567</v>
      </c>
      <c r="P936">
        <v>765.2</v>
      </c>
      <c r="Q936" t="s">
        <v>1958</v>
      </c>
      <c r="R936" t="s">
        <v>21</v>
      </c>
      <c r="S936" t="s">
        <v>22</v>
      </c>
      <c r="T936">
        <f t="shared" si="14"/>
        <v>516040.96000000014</v>
      </c>
    </row>
    <row r="937" spans="1:20" x14ac:dyDescent="0.25">
      <c r="A937" t="s">
        <v>1141</v>
      </c>
      <c r="B937" t="s">
        <v>125</v>
      </c>
      <c r="C937">
        <v>3</v>
      </c>
      <c r="D937">
        <v>57267</v>
      </c>
      <c r="E937" t="s">
        <v>2107</v>
      </c>
      <c r="F937" t="s">
        <v>1969</v>
      </c>
      <c r="G937" s="31">
        <v>0.39140000000000003</v>
      </c>
      <c r="H937" s="31">
        <v>0.31940000000000002</v>
      </c>
      <c r="I937" t="s">
        <v>1954</v>
      </c>
      <c r="J937" t="s">
        <v>1954</v>
      </c>
      <c r="K937">
        <v>15664</v>
      </c>
      <c r="L937">
        <v>276394</v>
      </c>
      <c r="M937" s="32">
        <v>17.645199999999999</v>
      </c>
      <c r="N937" t="s">
        <v>141</v>
      </c>
      <c r="O937" t="s">
        <v>567</v>
      </c>
      <c r="P937">
        <v>765.2</v>
      </c>
      <c r="Q937" t="s">
        <v>1958</v>
      </c>
      <c r="R937" t="s">
        <v>21</v>
      </c>
      <c r="S937" t="s">
        <v>22</v>
      </c>
      <c r="T937">
        <f t="shared" si="14"/>
        <v>516806.16000000015</v>
      </c>
    </row>
    <row r="938" spans="1:20" x14ac:dyDescent="0.25">
      <c r="A938" t="s">
        <v>1142</v>
      </c>
      <c r="B938" t="s">
        <v>125</v>
      </c>
      <c r="C938">
        <v>3</v>
      </c>
      <c r="D938">
        <v>57267</v>
      </c>
      <c r="E938" t="s">
        <v>2107</v>
      </c>
      <c r="F938" t="s">
        <v>1969</v>
      </c>
      <c r="G938" s="31">
        <v>0.39140000000000003</v>
      </c>
      <c r="H938" s="31">
        <v>0.31940000000000002</v>
      </c>
      <c r="I938" t="s">
        <v>1954</v>
      </c>
      <c r="J938" t="s">
        <v>1954</v>
      </c>
      <c r="K938">
        <v>15664</v>
      </c>
      <c r="L938">
        <v>276394</v>
      </c>
      <c r="M938" s="32">
        <v>17.645199999999999</v>
      </c>
      <c r="N938" t="s">
        <v>141</v>
      </c>
      <c r="O938" t="s">
        <v>567</v>
      </c>
      <c r="P938">
        <v>765.2</v>
      </c>
      <c r="Q938" t="s">
        <v>1958</v>
      </c>
      <c r="R938" t="s">
        <v>21</v>
      </c>
      <c r="S938" t="s">
        <v>22</v>
      </c>
      <c r="T938">
        <f t="shared" si="14"/>
        <v>517571.36000000016</v>
      </c>
    </row>
    <row r="939" spans="1:20" x14ac:dyDescent="0.25">
      <c r="A939" t="s">
        <v>411</v>
      </c>
      <c r="B939" t="s">
        <v>125</v>
      </c>
      <c r="C939">
        <v>3</v>
      </c>
      <c r="D939">
        <v>3804</v>
      </c>
      <c r="E939" t="s">
        <v>1398</v>
      </c>
      <c r="F939" t="s">
        <v>201</v>
      </c>
      <c r="G939" s="31">
        <v>0.48830000000000001</v>
      </c>
      <c r="H939" s="31">
        <v>0.5343</v>
      </c>
      <c r="I939" t="s">
        <v>1954</v>
      </c>
      <c r="J939" t="s">
        <v>1954</v>
      </c>
      <c r="K939">
        <v>4509</v>
      </c>
      <c r="L939">
        <v>80155</v>
      </c>
      <c r="M939" s="32">
        <v>17.776700000000002</v>
      </c>
      <c r="N939" t="s">
        <v>584</v>
      </c>
      <c r="O939" t="s">
        <v>413</v>
      </c>
      <c r="P939">
        <v>71.5</v>
      </c>
      <c r="Q939" t="s">
        <v>1958</v>
      </c>
      <c r="R939" t="s">
        <v>21</v>
      </c>
      <c r="S939" t="s">
        <v>22</v>
      </c>
      <c r="T939">
        <f t="shared" si="14"/>
        <v>517642.86000000016</v>
      </c>
    </row>
    <row r="940" spans="1:20" x14ac:dyDescent="0.25">
      <c r="A940" t="s">
        <v>414</v>
      </c>
      <c r="B940" t="s">
        <v>125</v>
      </c>
      <c r="C940">
        <v>3</v>
      </c>
      <c r="D940">
        <v>3804</v>
      </c>
      <c r="E940" t="s">
        <v>1398</v>
      </c>
      <c r="F940" t="s">
        <v>201</v>
      </c>
      <c r="G940" s="31">
        <v>0.48830000000000001</v>
      </c>
      <c r="H940" s="31">
        <v>0.5343</v>
      </c>
      <c r="I940" t="s">
        <v>1954</v>
      </c>
      <c r="J940" t="s">
        <v>1954</v>
      </c>
      <c r="K940">
        <v>4509</v>
      </c>
      <c r="L940">
        <v>80155</v>
      </c>
      <c r="M940" s="32">
        <v>17.776700000000002</v>
      </c>
      <c r="N940" t="s">
        <v>584</v>
      </c>
      <c r="O940" t="s">
        <v>413</v>
      </c>
      <c r="P940">
        <v>71.5</v>
      </c>
      <c r="Q940" t="s">
        <v>1958</v>
      </c>
      <c r="R940" t="s">
        <v>21</v>
      </c>
      <c r="S940" t="s">
        <v>22</v>
      </c>
      <c r="T940">
        <f t="shared" si="14"/>
        <v>517714.36000000016</v>
      </c>
    </row>
    <row r="941" spans="1:20" x14ac:dyDescent="0.25">
      <c r="A941" t="s">
        <v>415</v>
      </c>
      <c r="B941" t="s">
        <v>125</v>
      </c>
      <c r="C941">
        <v>3</v>
      </c>
      <c r="D941">
        <v>3804</v>
      </c>
      <c r="E941" t="s">
        <v>1398</v>
      </c>
      <c r="F941" t="s">
        <v>201</v>
      </c>
      <c r="G941" s="31">
        <v>0.48830000000000001</v>
      </c>
      <c r="H941" s="31">
        <v>0.5343</v>
      </c>
      <c r="I941" t="s">
        <v>1954</v>
      </c>
      <c r="J941" t="s">
        <v>1954</v>
      </c>
      <c r="K941">
        <v>4509</v>
      </c>
      <c r="L941">
        <v>80155</v>
      </c>
      <c r="M941" s="32">
        <v>17.776700000000002</v>
      </c>
      <c r="N941" t="s">
        <v>584</v>
      </c>
      <c r="O941" t="s">
        <v>413</v>
      </c>
      <c r="P941">
        <v>71.5</v>
      </c>
      <c r="Q941" t="s">
        <v>1958</v>
      </c>
      <c r="R941" t="s">
        <v>21</v>
      </c>
      <c r="S941" t="s">
        <v>22</v>
      </c>
      <c r="T941">
        <f t="shared" si="14"/>
        <v>517785.86000000016</v>
      </c>
    </row>
    <row r="942" spans="1:20" x14ac:dyDescent="0.25">
      <c r="A942" t="s">
        <v>416</v>
      </c>
      <c r="B942" t="s">
        <v>125</v>
      </c>
      <c r="C942">
        <v>3</v>
      </c>
      <c r="D942">
        <v>3804</v>
      </c>
      <c r="E942" t="s">
        <v>1398</v>
      </c>
      <c r="F942" t="s">
        <v>201</v>
      </c>
      <c r="G942" s="31">
        <v>0.48830000000000001</v>
      </c>
      <c r="H942" s="31">
        <v>0.5343</v>
      </c>
      <c r="I942" t="s">
        <v>1954</v>
      </c>
      <c r="J942" t="s">
        <v>1954</v>
      </c>
      <c r="K942">
        <v>4509</v>
      </c>
      <c r="L942">
        <v>80155</v>
      </c>
      <c r="M942" s="32">
        <v>17.776700000000002</v>
      </c>
      <c r="N942" t="s">
        <v>584</v>
      </c>
      <c r="O942" t="s">
        <v>413</v>
      </c>
      <c r="P942">
        <v>71.5</v>
      </c>
      <c r="Q942" t="s">
        <v>1958</v>
      </c>
      <c r="R942" t="s">
        <v>21</v>
      </c>
      <c r="S942" t="s">
        <v>22</v>
      </c>
      <c r="T942">
        <f t="shared" si="14"/>
        <v>517857.36000000016</v>
      </c>
    </row>
    <row r="943" spans="1:20" x14ac:dyDescent="0.25">
      <c r="A943" t="s">
        <v>1818</v>
      </c>
      <c r="B943" t="s">
        <v>125</v>
      </c>
      <c r="C943">
        <v>1</v>
      </c>
      <c r="D943">
        <v>7158</v>
      </c>
      <c r="E943" t="s">
        <v>1819</v>
      </c>
      <c r="F943" t="s">
        <v>322</v>
      </c>
      <c r="G943" s="31">
        <v>0.6623</v>
      </c>
      <c r="H943" s="31">
        <v>0.70830000000000004</v>
      </c>
      <c r="I943" t="s">
        <v>1954</v>
      </c>
      <c r="J943" t="s">
        <v>1954</v>
      </c>
      <c r="K943">
        <v>321121</v>
      </c>
      <c r="L943">
        <v>5715048</v>
      </c>
      <c r="M943" s="32">
        <v>17.7972</v>
      </c>
      <c r="N943" t="s">
        <v>130</v>
      </c>
      <c r="O943" t="s">
        <v>413</v>
      </c>
      <c r="P943">
        <v>476</v>
      </c>
      <c r="Q943" s="33" t="s">
        <v>1956</v>
      </c>
      <c r="R943" t="s">
        <v>21</v>
      </c>
      <c r="S943" t="s">
        <v>22</v>
      </c>
      <c r="T943">
        <f t="shared" si="14"/>
        <v>518333.36000000016</v>
      </c>
    </row>
    <row r="944" spans="1:20" x14ac:dyDescent="0.25">
      <c r="A944" t="s">
        <v>1820</v>
      </c>
      <c r="B944" t="s">
        <v>125</v>
      </c>
      <c r="C944">
        <v>1</v>
      </c>
      <c r="D944">
        <v>7158</v>
      </c>
      <c r="E944" t="s">
        <v>1819</v>
      </c>
      <c r="F944" t="s">
        <v>322</v>
      </c>
      <c r="G944" s="31">
        <v>0.6623</v>
      </c>
      <c r="H944" s="31">
        <v>0.70830000000000004</v>
      </c>
      <c r="I944" t="s">
        <v>1954</v>
      </c>
      <c r="J944" t="s">
        <v>1954</v>
      </c>
      <c r="K944">
        <v>321121</v>
      </c>
      <c r="L944">
        <v>5715048</v>
      </c>
      <c r="M944" s="32">
        <v>17.7972</v>
      </c>
      <c r="N944" t="s">
        <v>130</v>
      </c>
      <c r="O944" t="s">
        <v>413</v>
      </c>
      <c r="P944">
        <v>476</v>
      </c>
      <c r="Q944" s="33" t="s">
        <v>1956</v>
      </c>
      <c r="R944" t="s">
        <v>21</v>
      </c>
      <c r="S944" t="s">
        <v>22</v>
      </c>
      <c r="T944">
        <f t="shared" si="14"/>
        <v>518809.36000000016</v>
      </c>
    </row>
    <row r="945" spans="1:20" x14ac:dyDescent="0.25">
      <c r="A945" t="s">
        <v>1821</v>
      </c>
      <c r="B945" t="s">
        <v>125</v>
      </c>
      <c r="C945">
        <v>1</v>
      </c>
      <c r="D945">
        <v>7158</v>
      </c>
      <c r="E945" t="s">
        <v>1819</v>
      </c>
      <c r="F945" t="s">
        <v>322</v>
      </c>
      <c r="G945" s="31">
        <v>0.6623</v>
      </c>
      <c r="H945" s="31">
        <v>0.70830000000000004</v>
      </c>
      <c r="I945" t="s">
        <v>1954</v>
      </c>
      <c r="J945" t="s">
        <v>1954</v>
      </c>
      <c r="K945">
        <v>321121</v>
      </c>
      <c r="L945">
        <v>5715048</v>
      </c>
      <c r="M945" s="32">
        <v>17.7972</v>
      </c>
      <c r="N945" t="s">
        <v>130</v>
      </c>
      <c r="O945" t="s">
        <v>413</v>
      </c>
      <c r="P945">
        <v>476</v>
      </c>
      <c r="Q945" s="33" t="s">
        <v>1956</v>
      </c>
      <c r="R945" t="s">
        <v>21</v>
      </c>
      <c r="S945" t="s">
        <v>22</v>
      </c>
      <c r="T945">
        <f t="shared" si="14"/>
        <v>519285.36000000016</v>
      </c>
    </row>
    <row r="946" spans="1:20" x14ac:dyDescent="0.25">
      <c r="A946" t="s">
        <v>1822</v>
      </c>
      <c r="B946" t="s">
        <v>125</v>
      </c>
      <c r="C946">
        <v>1</v>
      </c>
      <c r="D946">
        <v>7158</v>
      </c>
      <c r="E946" t="s">
        <v>1819</v>
      </c>
      <c r="F946" t="s">
        <v>322</v>
      </c>
      <c r="G946" s="31">
        <v>0.6623</v>
      </c>
      <c r="H946" s="31">
        <v>0.70830000000000004</v>
      </c>
      <c r="I946" t="s">
        <v>1954</v>
      </c>
      <c r="J946" t="s">
        <v>1954</v>
      </c>
      <c r="K946">
        <v>321121</v>
      </c>
      <c r="L946">
        <v>5715048</v>
      </c>
      <c r="M946" s="32">
        <v>17.7972</v>
      </c>
      <c r="N946" t="s">
        <v>130</v>
      </c>
      <c r="O946" t="s">
        <v>413</v>
      </c>
      <c r="P946">
        <v>476</v>
      </c>
      <c r="Q946" s="33" t="s">
        <v>1956</v>
      </c>
      <c r="R946" t="s">
        <v>21</v>
      </c>
      <c r="S946" t="s">
        <v>22</v>
      </c>
      <c r="T946">
        <f t="shared" si="14"/>
        <v>519761.36000000016</v>
      </c>
    </row>
    <row r="947" spans="1:20" x14ac:dyDescent="0.25">
      <c r="A947" t="s">
        <v>1823</v>
      </c>
      <c r="B947" t="s">
        <v>125</v>
      </c>
      <c r="C947">
        <v>1</v>
      </c>
      <c r="D947">
        <v>7158</v>
      </c>
      <c r="E947" t="s">
        <v>1819</v>
      </c>
      <c r="F947" t="s">
        <v>322</v>
      </c>
      <c r="G947" s="31">
        <v>0.6623</v>
      </c>
      <c r="H947" s="31">
        <v>0.70830000000000004</v>
      </c>
      <c r="I947" t="s">
        <v>1954</v>
      </c>
      <c r="J947" t="s">
        <v>1954</v>
      </c>
      <c r="K947">
        <v>321121</v>
      </c>
      <c r="L947">
        <v>5715048</v>
      </c>
      <c r="M947" s="32">
        <v>17.7972</v>
      </c>
      <c r="N947" t="s">
        <v>130</v>
      </c>
      <c r="O947" t="s">
        <v>413</v>
      </c>
      <c r="P947">
        <v>476</v>
      </c>
      <c r="Q947" s="33" t="s">
        <v>1956</v>
      </c>
      <c r="R947" t="s">
        <v>21</v>
      </c>
      <c r="S947" t="s">
        <v>22</v>
      </c>
      <c r="T947">
        <f t="shared" si="14"/>
        <v>520237.36000000016</v>
      </c>
    </row>
    <row r="948" spans="1:20" x14ac:dyDescent="0.25">
      <c r="A948" t="s">
        <v>1824</v>
      </c>
      <c r="B948" t="s">
        <v>125</v>
      </c>
      <c r="C948">
        <v>1</v>
      </c>
      <c r="D948">
        <v>7158</v>
      </c>
      <c r="E948" t="s">
        <v>1819</v>
      </c>
      <c r="F948" t="s">
        <v>322</v>
      </c>
      <c r="G948" s="31">
        <v>0.6623</v>
      </c>
      <c r="H948" s="31">
        <v>0.70830000000000004</v>
      </c>
      <c r="I948" t="s">
        <v>1954</v>
      </c>
      <c r="J948" t="s">
        <v>1954</v>
      </c>
      <c r="K948">
        <v>321121</v>
      </c>
      <c r="L948">
        <v>5715048</v>
      </c>
      <c r="M948" s="32">
        <v>17.7972</v>
      </c>
      <c r="N948" t="s">
        <v>130</v>
      </c>
      <c r="O948" t="s">
        <v>413</v>
      </c>
      <c r="P948">
        <v>476</v>
      </c>
      <c r="Q948" s="33" t="s">
        <v>1956</v>
      </c>
      <c r="R948" t="s">
        <v>21</v>
      </c>
      <c r="S948" t="s">
        <v>22</v>
      </c>
      <c r="T948">
        <f t="shared" si="14"/>
        <v>520713.36000000016</v>
      </c>
    </row>
    <row r="949" spans="1:20" x14ac:dyDescent="0.25">
      <c r="A949" t="s">
        <v>1020</v>
      </c>
      <c r="B949" t="s">
        <v>150</v>
      </c>
      <c r="C949">
        <v>1</v>
      </c>
      <c r="D949">
        <v>57022</v>
      </c>
      <c r="E949" t="s">
        <v>2088</v>
      </c>
      <c r="F949" t="s">
        <v>201</v>
      </c>
      <c r="G949" s="31">
        <v>0.59570000000000001</v>
      </c>
      <c r="H949" s="31">
        <v>0.64170000000000005</v>
      </c>
      <c r="I949" t="s">
        <v>1954</v>
      </c>
      <c r="J949" t="s">
        <v>1954</v>
      </c>
      <c r="K949">
        <v>77850</v>
      </c>
      <c r="L949">
        <v>1399339</v>
      </c>
      <c r="M949" s="32">
        <v>17.974799999999998</v>
      </c>
      <c r="N949" t="s">
        <v>2089</v>
      </c>
      <c r="O949" t="s">
        <v>916</v>
      </c>
      <c r="P949">
        <v>11.3</v>
      </c>
      <c r="Q949" t="s">
        <v>1958</v>
      </c>
      <c r="R949" t="s">
        <v>21</v>
      </c>
      <c r="S949" t="s">
        <v>22</v>
      </c>
      <c r="T949">
        <f t="shared" si="14"/>
        <v>520724.66000000015</v>
      </c>
    </row>
    <row r="950" spans="1:20" x14ac:dyDescent="0.25">
      <c r="A950" t="s">
        <v>393</v>
      </c>
      <c r="B950" t="s">
        <v>150</v>
      </c>
      <c r="C950">
        <v>3</v>
      </c>
      <c r="D950">
        <v>55752</v>
      </c>
      <c r="E950" t="s">
        <v>1998</v>
      </c>
      <c r="F950" t="s">
        <v>1969</v>
      </c>
      <c r="G950" s="31">
        <v>0.44979999999999998</v>
      </c>
      <c r="H950" s="31">
        <v>0.37780000000000002</v>
      </c>
      <c r="I950" t="s">
        <v>1954</v>
      </c>
      <c r="J950" t="s">
        <v>1954</v>
      </c>
      <c r="K950">
        <v>583</v>
      </c>
      <c r="L950">
        <v>10660</v>
      </c>
      <c r="M950" s="32">
        <v>18.284700000000001</v>
      </c>
      <c r="N950" t="s">
        <v>321</v>
      </c>
      <c r="O950" t="s">
        <v>1999</v>
      </c>
      <c r="P950">
        <v>2.8</v>
      </c>
      <c r="Q950" t="s">
        <v>1958</v>
      </c>
      <c r="R950" t="s">
        <v>21</v>
      </c>
      <c r="S950" t="s">
        <v>22</v>
      </c>
      <c r="T950">
        <f t="shared" si="14"/>
        <v>520727.46000000014</v>
      </c>
    </row>
    <row r="951" spans="1:20" x14ac:dyDescent="0.25">
      <c r="A951" t="s">
        <v>684</v>
      </c>
      <c r="B951" t="s">
        <v>125</v>
      </c>
      <c r="C951">
        <v>3</v>
      </c>
      <c r="D951">
        <v>594</v>
      </c>
      <c r="E951" t="s">
        <v>2010</v>
      </c>
      <c r="F951" t="s">
        <v>672</v>
      </c>
      <c r="G951" s="31">
        <v>0.51670000000000005</v>
      </c>
      <c r="H951" s="31">
        <v>0.56269999999999998</v>
      </c>
      <c r="I951" t="s">
        <v>1954</v>
      </c>
      <c r="J951" t="s">
        <v>1954</v>
      </c>
      <c r="K951">
        <v>1559</v>
      </c>
      <c r="L951">
        <v>29420</v>
      </c>
      <c r="M951" s="32">
        <v>18.871099999999998</v>
      </c>
      <c r="N951" t="s">
        <v>584</v>
      </c>
      <c r="O951" t="s">
        <v>2043</v>
      </c>
      <c r="P951">
        <v>16.100000000000001</v>
      </c>
      <c r="Q951" t="s">
        <v>1958</v>
      </c>
      <c r="R951" t="s">
        <v>21</v>
      </c>
      <c r="S951" t="s">
        <v>22</v>
      </c>
      <c r="T951">
        <f t="shared" si="14"/>
        <v>520743.56000000011</v>
      </c>
    </row>
    <row r="952" spans="1:20" x14ac:dyDescent="0.25">
      <c r="A952" t="s">
        <v>687</v>
      </c>
      <c r="B952" t="s">
        <v>125</v>
      </c>
      <c r="C952">
        <v>3</v>
      </c>
      <c r="D952">
        <v>594</v>
      </c>
      <c r="E952" t="s">
        <v>2010</v>
      </c>
      <c r="F952" t="s">
        <v>672</v>
      </c>
      <c r="G952" s="31">
        <v>0.51670000000000005</v>
      </c>
      <c r="H952" s="31">
        <v>0.56269999999999998</v>
      </c>
      <c r="I952" t="s">
        <v>1954</v>
      </c>
      <c r="J952" t="s">
        <v>1954</v>
      </c>
      <c r="K952">
        <v>1559</v>
      </c>
      <c r="L952">
        <v>29420</v>
      </c>
      <c r="M952" s="32">
        <v>18.871099999999998</v>
      </c>
      <c r="N952" t="s">
        <v>584</v>
      </c>
      <c r="O952" t="s">
        <v>2043</v>
      </c>
      <c r="P952">
        <v>16.100000000000001</v>
      </c>
      <c r="Q952" t="s">
        <v>1958</v>
      </c>
      <c r="R952" t="s">
        <v>21</v>
      </c>
      <c r="S952" t="s">
        <v>22</v>
      </c>
      <c r="T952">
        <f t="shared" si="14"/>
        <v>520759.66000000009</v>
      </c>
    </row>
    <row r="953" spans="1:20" x14ac:dyDescent="0.25">
      <c r="A953" t="s">
        <v>688</v>
      </c>
      <c r="B953" t="s">
        <v>125</v>
      </c>
      <c r="C953">
        <v>3</v>
      </c>
      <c r="D953">
        <v>594</v>
      </c>
      <c r="E953" t="s">
        <v>2010</v>
      </c>
      <c r="F953" t="s">
        <v>672</v>
      </c>
      <c r="G953" s="31">
        <v>0.51670000000000005</v>
      </c>
      <c r="H953" s="31">
        <v>0.56269999999999998</v>
      </c>
      <c r="I953" t="s">
        <v>1954</v>
      </c>
      <c r="J953" t="s">
        <v>1954</v>
      </c>
      <c r="K953">
        <v>1559</v>
      </c>
      <c r="L953">
        <v>29420</v>
      </c>
      <c r="M953" s="32">
        <v>18.871099999999998</v>
      </c>
      <c r="N953" t="s">
        <v>584</v>
      </c>
      <c r="O953" t="s">
        <v>2043</v>
      </c>
      <c r="P953">
        <v>16.100000000000001</v>
      </c>
      <c r="Q953" t="s">
        <v>1958</v>
      </c>
      <c r="R953" t="s">
        <v>21</v>
      </c>
      <c r="S953" t="s">
        <v>22</v>
      </c>
      <c r="T953">
        <f t="shared" si="14"/>
        <v>520775.76000000007</v>
      </c>
    </row>
    <row r="954" spans="1:20" x14ac:dyDescent="0.25">
      <c r="A954" t="s">
        <v>747</v>
      </c>
      <c r="B954" t="s">
        <v>125</v>
      </c>
      <c r="C954">
        <v>3</v>
      </c>
      <c r="D954">
        <v>594</v>
      </c>
      <c r="E954" t="s">
        <v>2010</v>
      </c>
      <c r="F954" t="s">
        <v>672</v>
      </c>
      <c r="G954" s="31">
        <v>0.51500000000000001</v>
      </c>
      <c r="H954" s="31">
        <v>0.56100000000000005</v>
      </c>
      <c r="I954" t="s">
        <v>1954</v>
      </c>
      <c r="J954" t="s">
        <v>1954</v>
      </c>
      <c r="K954">
        <v>1559</v>
      </c>
      <c r="L954">
        <v>29420</v>
      </c>
      <c r="M954" s="32">
        <v>18.871099999999998</v>
      </c>
      <c r="N954" t="s">
        <v>584</v>
      </c>
      <c r="O954" t="s">
        <v>2043</v>
      </c>
      <c r="P954">
        <v>16.100000000000001</v>
      </c>
      <c r="Q954" t="s">
        <v>1958</v>
      </c>
      <c r="R954" t="s">
        <v>21</v>
      </c>
      <c r="S954" t="s">
        <v>22</v>
      </c>
      <c r="T954">
        <f t="shared" si="14"/>
        <v>520791.86000000004</v>
      </c>
    </row>
    <row r="955" spans="1:20" x14ac:dyDescent="0.25">
      <c r="A955" t="s">
        <v>749</v>
      </c>
      <c r="B955" t="s">
        <v>137</v>
      </c>
      <c r="C955">
        <v>3</v>
      </c>
      <c r="D955">
        <v>594</v>
      </c>
      <c r="E955" t="s">
        <v>2010</v>
      </c>
      <c r="F955" t="s">
        <v>672</v>
      </c>
      <c r="G955" s="31">
        <v>0.51500000000000001</v>
      </c>
      <c r="H955" s="31">
        <v>0.56100000000000005</v>
      </c>
      <c r="I955" t="s">
        <v>1954</v>
      </c>
      <c r="J955" t="s">
        <v>1954</v>
      </c>
      <c r="K955">
        <v>1559</v>
      </c>
      <c r="L955">
        <v>29420</v>
      </c>
      <c r="M955" s="32">
        <v>18.871099999999998</v>
      </c>
      <c r="N955" t="s">
        <v>584</v>
      </c>
      <c r="O955" t="s">
        <v>2043</v>
      </c>
      <c r="P955">
        <v>16.100000000000001</v>
      </c>
      <c r="Q955" t="s">
        <v>1958</v>
      </c>
      <c r="R955" t="s">
        <v>21</v>
      </c>
      <c r="S955" t="s">
        <v>22</v>
      </c>
      <c r="T955">
        <f t="shared" si="14"/>
        <v>520807.96</v>
      </c>
    </row>
    <row r="956" spans="1:20" x14ac:dyDescent="0.25">
      <c r="A956" t="s">
        <v>1491</v>
      </c>
      <c r="B956" t="s">
        <v>137</v>
      </c>
      <c r="C956">
        <v>2</v>
      </c>
      <c r="D956">
        <v>594</v>
      </c>
      <c r="E956" t="s">
        <v>2010</v>
      </c>
      <c r="F956" t="s">
        <v>672</v>
      </c>
      <c r="G956" s="31">
        <v>0.82089999999999996</v>
      </c>
      <c r="H956" s="31">
        <v>0.8669</v>
      </c>
      <c r="I956" t="s">
        <v>1954</v>
      </c>
      <c r="J956" t="s">
        <v>1954</v>
      </c>
      <c r="K956">
        <v>1559</v>
      </c>
      <c r="L956">
        <v>29420</v>
      </c>
      <c r="M956" s="32">
        <v>18.871099999999998</v>
      </c>
      <c r="N956" t="s">
        <v>584</v>
      </c>
      <c r="O956" t="s">
        <v>2043</v>
      </c>
      <c r="P956">
        <v>16.100000000000001</v>
      </c>
      <c r="Q956" t="s">
        <v>1958</v>
      </c>
      <c r="R956" t="s">
        <v>21</v>
      </c>
      <c r="S956" t="s">
        <v>22</v>
      </c>
      <c r="T956">
        <f t="shared" si="14"/>
        <v>520824.06</v>
      </c>
    </row>
    <row r="957" spans="1:20" x14ac:dyDescent="0.25">
      <c r="A957" t="s">
        <v>1494</v>
      </c>
      <c r="B957" t="s">
        <v>137</v>
      </c>
      <c r="C957">
        <v>2</v>
      </c>
      <c r="D957">
        <v>594</v>
      </c>
      <c r="E957" t="s">
        <v>2010</v>
      </c>
      <c r="F957" t="s">
        <v>672</v>
      </c>
      <c r="G957" s="31">
        <v>0.82089999999999996</v>
      </c>
      <c r="H957" s="31">
        <v>0.8669</v>
      </c>
      <c r="I957" t="s">
        <v>1954</v>
      </c>
      <c r="J957" t="s">
        <v>1954</v>
      </c>
      <c r="K957">
        <v>1559</v>
      </c>
      <c r="L957">
        <v>29420</v>
      </c>
      <c r="M957" s="32">
        <v>18.871099999999998</v>
      </c>
      <c r="N957" t="s">
        <v>584</v>
      </c>
      <c r="O957" t="s">
        <v>2043</v>
      </c>
      <c r="P957">
        <v>16.100000000000001</v>
      </c>
      <c r="Q957" t="s">
        <v>1958</v>
      </c>
      <c r="R957" t="s">
        <v>21</v>
      </c>
      <c r="S957" t="s">
        <v>22</v>
      </c>
      <c r="T957">
        <f t="shared" si="14"/>
        <v>520840.16</v>
      </c>
    </row>
    <row r="958" spans="1:20" x14ac:dyDescent="0.25">
      <c r="A958" t="s">
        <v>582</v>
      </c>
      <c r="B958" t="s">
        <v>137</v>
      </c>
      <c r="C958">
        <v>2</v>
      </c>
      <c r="D958">
        <v>68752</v>
      </c>
      <c r="E958" t="s">
        <v>2022</v>
      </c>
      <c r="F958" t="s">
        <v>166</v>
      </c>
      <c r="G958" s="31">
        <v>0.43930000000000002</v>
      </c>
      <c r="H958" s="31">
        <v>0.48530000000000001</v>
      </c>
      <c r="I958" t="s">
        <v>1954</v>
      </c>
      <c r="J958" t="s">
        <v>1954</v>
      </c>
      <c r="K958">
        <v>33</v>
      </c>
      <c r="L958">
        <v>623</v>
      </c>
      <c r="M958" s="32">
        <v>18.878799999999998</v>
      </c>
      <c r="N958" t="s">
        <v>2023</v>
      </c>
      <c r="O958" t="s">
        <v>1981</v>
      </c>
      <c r="P958">
        <v>8.6</v>
      </c>
      <c r="Q958" t="s">
        <v>1958</v>
      </c>
      <c r="R958" t="s">
        <v>21</v>
      </c>
      <c r="S958" t="s">
        <v>22</v>
      </c>
      <c r="T958">
        <f t="shared" si="14"/>
        <v>520848.75999999995</v>
      </c>
    </row>
    <row r="959" spans="1:20" x14ac:dyDescent="0.25">
      <c r="A959" t="s">
        <v>587</v>
      </c>
      <c r="B959" t="s">
        <v>137</v>
      </c>
      <c r="C959">
        <v>2</v>
      </c>
      <c r="D959">
        <v>68752</v>
      </c>
      <c r="E959" t="s">
        <v>2022</v>
      </c>
      <c r="F959" t="s">
        <v>166</v>
      </c>
      <c r="G959" s="31">
        <v>0.43930000000000002</v>
      </c>
      <c r="H959" s="31">
        <v>0.48530000000000001</v>
      </c>
      <c r="I959" t="s">
        <v>1954</v>
      </c>
      <c r="J959" t="s">
        <v>1954</v>
      </c>
      <c r="K959">
        <v>33</v>
      </c>
      <c r="L959">
        <v>623</v>
      </c>
      <c r="M959" s="32">
        <v>18.878799999999998</v>
      </c>
      <c r="N959" t="s">
        <v>2023</v>
      </c>
      <c r="O959" t="s">
        <v>1981</v>
      </c>
      <c r="P959">
        <v>8.6</v>
      </c>
      <c r="Q959" t="s">
        <v>1958</v>
      </c>
      <c r="R959" t="s">
        <v>21</v>
      </c>
      <c r="S959" t="s">
        <v>22</v>
      </c>
      <c r="T959">
        <f t="shared" si="14"/>
        <v>520857.35999999993</v>
      </c>
    </row>
    <row r="960" spans="1:20" x14ac:dyDescent="0.25">
      <c r="A960" t="s">
        <v>579</v>
      </c>
      <c r="B960" t="s">
        <v>189</v>
      </c>
      <c r="C960">
        <v>2</v>
      </c>
      <c r="D960">
        <v>10746</v>
      </c>
      <c r="E960" t="s">
        <v>2018</v>
      </c>
      <c r="F960" t="s">
        <v>143</v>
      </c>
      <c r="G960" s="31">
        <v>0.38129999999999997</v>
      </c>
      <c r="H960" s="31">
        <v>0.39929999999999999</v>
      </c>
      <c r="I960" t="s">
        <v>1976</v>
      </c>
      <c r="J960" t="s">
        <v>1954</v>
      </c>
      <c r="K960">
        <v>514.95600000000002</v>
      </c>
      <c r="L960">
        <v>10075</v>
      </c>
      <c r="M960" s="32">
        <v>19.564800000000002</v>
      </c>
      <c r="N960" t="s">
        <v>265</v>
      </c>
      <c r="P960">
        <v>0</v>
      </c>
      <c r="Q960" t="s">
        <v>1958</v>
      </c>
      <c r="R960" t="s">
        <v>21</v>
      </c>
      <c r="S960" t="s">
        <v>22</v>
      </c>
      <c r="T960">
        <f t="shared" si="14"/>
        <v>520857.35999999993</v>
      </c>
    </row>
    <row r="961" spans="1:20" x14ac:dyDescent="0.25">
      <c r="A961" t="s">
        <v>324</v>
      </c>
      <c r="B961" t="s">
        <v>189</v>
      </c>
      <c r="C961">
        <v>2</v>
      </c>
      <c r="D961">
        <v>4005</v>
      </c>
      <c r="E961" t="s">
        <v>1974</v>
      </c>
      <c r="F961" t="s">
        <v>1975</v>
      </c>
      <c r="G961" s="31">
        <v>0.53</v>
      </c>
      <c r="H961" s="31">
        <v>0.43</v>
      </c>
      <c r="I961" t="s">
        <v>1976</v>
      </c>
      <c r="J961" t="s">
        <v>1954</v>
      </c>
      <c r="K961">
        <v>209.58500000000001</v>
      </c>
      <c r="L961">
        <v>4359</v>
      </c>
      <c r="M961" s="32">
        <v>20.798200000000001</v>
      </c>
      <c r="N961" t="s">
        <v>265</v>
      </c>
      <c r="P961">
        <v>0</v>
      </c>
      <c r="Q961" t="s">
        <v>1958</v>
      </c>
      <c r="R961" t="s">
        <v>21</v>
      </c>
      <c r="S961" t="s">
        <v>22</v>
      </c>
      <c r="T961">
        <f t="shared" si="14"/>
        <v>520857.35999999993</v>
      </c>
    </row>
    <row r="962" spans="1:20" x14ac:dyDescent="0.25">
      <c r="A962" t="s">
        <v>327</v>
      </c>
      <c r="B962" t="s">
        <v>189</v>
      </c>
      <c r="C962">
        <v>2</v>
      </c>
      <c r="D962">
        <v>4005</v>
      </c>
      <c r="E962" t="s">
        <v>1974</v>
      </c>
      <c r="F962" t="s">
        <v>1975</v>
      </c>
      <c r="G962" s="31">
        <v>0.53</v>
      </c>
      <c r="H962" s="31">
        <v>0.43</v>
      </c>
      <c r="I962" t="s">
        <v>1976</v>
      </c>
      <c r="J962" t="s">
        <v>1954</v>
      </c>
      <c r="K962">
        <v>209.58500000000001</v>
      </c>
      <c r="L962">
        <v>4359</v>
      </c>
      <c r="M962" s="32">
        <v>20.798200000000001</v>
      </c>
      <c r="N962" t="s">
        <v>265</v>
      </c>
      <c r="P962">
        <v>0</v>
      </c>
      <c r="Q962" t="s">
        <v>1958</v>
      </c>
      <c r="R962" t="s">
        <v>21</v>
      </c>
      <c r="S962" t="s">
        <v>22</v>
      </c>
      <c r="T962">
        <f t="shared" si="14"/>
        <v>520857.35999999993</v>
      </c>
    </row>
    <row r="963" spans="1:20" x14ac:dyDescent="0.25">
      <c r="A963" t="s">
        <v>328</v>
      </c>
      <c r="B963" t="s">
        <v>189</v>
      </c>
      <c r="C963">
        <v>2</v>
      </c>
      <c r="D963">
        <v>4005</v>
      </c>
      <c r="E963" t="s">
        <v>1974</v>
      </c>
      <c r="F963" t="s">
        <v>1975</v>
      </c>
      <c r="G963" s="31">
        <v>0.53</v>
      </c>
      <c r="H963" s="31">
        <v>0.43</v>
      </c>
      <c r="I963" t="s">
        <v>1976</v>
      </c>
      <c r="J963" t="s">
        <v>1954</v>
      </c>
      <c r="K963">
        <v>209.58500000000001</v>
      </c>
      <c r="L963">
        <v>4359</v>
      </c>
      <c r="M963" s="32">
        <v>20.798200000000001</v>
      </c>
      <c r="N963" t="s">
        <v>265</v>
      </c>
      <c r="P963">
        <v>0</v>
      </c>
      <c r="Q963" t="s">
        <v>1958</v>
      </c>
      <c r="R963" t="s">
        <v>21</v>
      </c>
      <c r="S963" t="s">
        <v>22</v>
      </c>
      <c r="T963">
        <f t="shared" si="14"/>
        <v>520857.35999999993</v>
      </c>
    </row>
    <row r="964" spans="1:20" x14ac:dyDescent="0.25">
      <c r="A964" t="s">
        <v>1512</v>
      </c>
      <c r="B964" t="s">
        <v>137</v>
      </c>
      <c r="C964">
        <v>2</v>
      </c>
      <c r="D964">
        <v>955</v>
      </c>
      <c r="E964" t="s">
        <v>2159</v>
      </c>
      <c r="F964" t="s">
        <v>166</v>
      </c>
      <c r="G964" s="31">
        <v>0.40550000000000003</v>
      </c>
      <c r="H964" s="31">
        <v>0.42349999999999999</v>
      </c>
      <c r="I964" t="s">
        <v>1976</v>
      </c>
      <c r="J964" t="s">
        <v>1954</v>
      </c>
      <c r="K964">
        <v>28</v>
      </c>
      <c r="L964">
        <v>618</v>
      </c>
      <c r="M964" s="32">
        <v>22.071400000000001</v>
      </c>
      <c r="N964" t="s">
        <v>2023</v>
      </c>
      <c r="P964">
        <v>0</v>
      </c>
      <c r="Q964" t="s">
        <v>1958</v>
      </c>
      <c r="R964" t="s">
        <v>21</v>
      </c>
      <c r="S964" t="s">
        <v>22</v>
      </c>
      <c r="T964">
        <f t="shared" ref="T964:T1009" si="15">T963+P964</f>
        <v>520857.35999999993</v>
      </c>
    </row>
    <row r="965" spans="1:20" x14ac:dyDescent="0.25">
      <c r="A965" t="s">
        <v>1515</v>
      </c>
      <c r="B965" t="s">
        <v>137</v>
      </c>
      <c r="C965">
        <v>2</v>
      </c>
      <c r="D965">
        <v>955</v>
      </c>
      <c r="E965" t="s">
        <v>2159</v>
      </c>
      <c r="F965" t="s">
        <v>166</v>
      </c>
      <c r="G965" s="31">
        <v>0.40550000000000003</v>
      </c>
      <c r="H965" s="31">
        <v>0.42349999999999999</v>
      </c>
      <c r="I965" t="s">
        <v>1976</v>
      </c>
      <c r="J965" t="s">
        <v>1954</v>
      </c>
      <c r="K965">
        <v>28</v>
      </c>
      <c r="L965">
        <v>618</v>
      </c>
      <c r="M965" s="32">
        <v>22.071400000000001</v>
      </c>
      <c r="N965" t="s">
        <v>2023</v>
      </c>
      <c r="P965">
        <v>0</v>
      </c>
      <c r="Q965" t="s">
        <v>1958</v>
      </c>
      <c r="R965" t="s">
        <v>21</v>
      </c>
      <c r="S965" t="s">
        <v>22</v>
      </c>
      <c r="T965">
        <f t="shared" si="15"/>
        <v>520857.35999999993</v>
      </c>
    </row>
    <row r="966" spans="1:20" x14ac:dyDescent="0.25">
      <c r="A966" t="s">
        <v>1516</v>
      </c>
      <c r="B966" t="s">
        <v>137</v>
      </c>
      <c r="C966">
        <v>2</v>
      </c>
      <c r="D966">
        <v>955</v>
      </c>
      <c r="E966" t="s">
        <v>2159</v>
      </c>
      <c r="F966" t="s">
        <v>166</v>
      </c>
      <c r="G966" s="31">
        <v>0.40550000000000003</v>
      </c>
      <c r="H966" s="31">
        <v>0.42349999999999999</v>
      </c>
      <c r="I966" t="s">
        <v>1976</v>
      </c>
      <c r="J966" t="s">
        <v>1954</v>
      </c>
      <c r="K966">
        <v>28</v>
      </c>
      <c r="L966">
        <v>618</v>
      </c>
      <c r="M966" s="32">
        <v>22.071400000000001</v>
      </c>
      <c r="N966" t="s">
        <v>2023</v>
      </c>
      <c r="P966">
        <v>0</v>
      </c>
      <c r="Q966" t="s">
        <v>1958</v>
      </c>
      <c r="R966" t="s">
        <v>21</v>
      </c>
      <c r="S966" t="s">
        <v>22</v>
      </c>
      <c r="T966">
        <f t="shared" si="15"/>
        <v>520857.35999999993</v>
      </c>
    </row>
    <row r="967" spans="1:20" x14ac:dyDescent="0.25">
      <c r="A967" t="s">
        <v>1517</v>
      </c>
      <c r="B967" t="s">
        <v>137</v>
      </c>
      <c r="C967">
        <v>2</v>
      </c>
      <c r="D967">
        <v>955</v>
      </c>
      <c r="E967" t="s">
        <v>2159</v>
      </c>
      <c r="F967" t="s">
        <v>166</v>
      </c>
      <c r="G967" s="31">
        <v>0.40550000000000003</v>
      </c>
      <c r="H967" s="31">
        <v>0.42349999999999999</v>
      </c>
      <c r="I967" t="s">
        <v>1976</v>
      </c>
      <c r="J967" t="s">
        <v>1954</v>
      </c>
      <c r="K967">
        <v>28</v>
      </c>
      <c r="L967">
        <v>618</v>
      </c>
      <c r="M967" s="32">
        <v>22.071400000000001</v>
      </c>
      <c r="N967" t="s">
        <v>2023</v>
      </c>
      <c r="P967">
        <v>0</v>
      </c>
      <c r="Q967" t="s">
        <v>1958</v>
      </c>
      <c r="R967" t="s">
        <v>21</v>
      </c>
      <c r="S967" t="s">
        <v>22</v>
      </c>
      <c r="T967">
        <f t="shared" si="15"/>
        <v>520857.35999999993</v>
      </c>
    </row>
    <row r="968" spans="1:20" x14ac:dyDescent="0.25">
      <c r="A968" t="s">
        <v>966</v>
      </c>
      <c r="B968" t="s">
        <v>125</v>
      </c>
      <c r="C968">
        <v>1</v>
      </c>
      <c r="D968">
        <v>2848</v>
      </c>
      <c r="E968" t="s">
        <v>967</v>
      </c>
      <c r="F968" t="s">
        <v>322</v>
      </c>
      <c r="G968" s="31">
        <v>1</v>
      </c>
      <c r="H968" s="31">
        <v>1</v>
      </c>
      <c r="I968" t="s">
        <v>1954</v>
      </c>
      <c r="J968" t="s">
        <v>1954</v>
      </c>
      <c r="K968">
        <v>922</v>
      </c>
      <c r="L968">
        <v>20727</v>
      </c>
      <c r="M968" s="32">
        <v>22.480499999999999</v>
      </c>
      <c r="N968" t="s">
        <v>130</v>
      </c>
      <c r="O968" t="s">
        <v>968</v>
      </c>
      <c r="P968">
        <v>25.2</v>
      </c>
      <c r="Q968" s="33" t="s">
        <v>1955</v>
      </c>
      <c r="R968" t="s">
        <v>21</v>
      </c>
      <c r="S968" t="s">
        <v>22</v>
      </c>
      <c r="T968">
        <f t="shared" si="15"/>
        <v>520882.55999999994</v>
      </c>
    </row>
    <row r="969" spans="1:20" x14ac:dyDescent="0.25">
      <c r="A969" t="s">
        <v>124</v>
      </c>
      <c r="B969" t="s">
        <v>125</v>
      </c>
      <c r="C969">
        <v>1</v>
      </c>
      <c r="D969">
        <v>7336</v>
      </c>
      <c r="E969" t="s">
        <v>129</v>
      </c>
      <c r="F969" t="s">
        <v>131</v>
      </c>
      <c r="G969" s="31">
        <v>1</v>
      </c>
      <c r="H969" s="31">
        <v>1</v>
      </c>
      <c r="I969" t="s">
        <v>1954</v>
      </c>
      <c r="J969" t="s">
        <v>1954</v>
      </c>
      <c r="K969">
        <v>92279</v>
      </c>
      <c r="L969">
        <v>2114401</v>
      </c>
      <c r="M969" s="32">
        <v>22.9131</v>
      </c>
      <c r="N969" t="s">
        <v>130</v>
      </c>
      <c r="O969" t="s">
        <v>132</v>
      </c>
      <c r="P969">
        <v>140</v>
      </c>
      <c r="Q969" s="33" t="s">
        <v>1955</v>
      </c>
      <c r="R969" t="s">
        <v>21</v>
      </c>
      <c r="S969" t="s">
        <v>22</v>
      </c>
      <c r="T969">
        <f t="shared" si="15"/>
        <v>521022.55999999994</v>
      </c>
    </row>
    <row r="970" spans="1:20" x14ac:dyDescent="0.25">
      <c r="A970" t="s">
        <v>133</v>
      </c>
      <c r="B970" t="s">
        <v>125</v>
      </c>
      <c r="C970">
        <v>1</v>
      </c>
      <c r="D970">
        <v>7336</v>
      </c>
      <c r="E970" t="s">
        <v>129</v>
      </c>
      <c r="F970" t="s">
        <v>131</v>
      </c>
      <c r="G970" s="31">
        <v>1</v>
      </c>
      <c r="H970" s="31">
        <v>1</v>
      </c>
      <c r="I970" t="s">
        <v>1954</v>
      </c>
      <c r="J970" t="s">
        <v>1954</v>
      </c>
      <c r="K970">
        <v>92279</v>
      </c>
      <c r="L970">
        <v>2114401</v>
      </c>
      <c r="M970" s="32">
        <v>22.9131</v>
      </c>
      <c r="N970" t="s">
        <v>130</v>
      </c>
      <c r="O970" t="s">
        <v>132</v>
      </c>
      <c r="P970">
        <v>140</v>
      </c>
      <c r="Q970" s="33" t="s">
        <v>1955</v>
      </c>
      <c r="R970" t="s">
        <v>21</v>
      </c>
      <c r="S970" t="s">
        <v>22</v>
      </c>
      <c r="T970">
        <f t="shared" si="15"/>
        <v>521162.55999999994</v>
      </c>
    </row>
    <row r="971" spans="1:20" x14ac:dyDescent="0.25">
      <c r="A971" t="s">
        <v>134</v>
      </c>
      <c r="B971" t="s">
        <v>125</v>
      </c>
      <c r="C971">
        <v>1</v>
      </c>
      <c r="D971">
        <v>7336</v>
      </c>
      <c r="E971" t="s">
        <v>129</v>
      </c>
      <c r="F971" t="s">
        <v>131</v>
      </c>
      <c r="G971" s="31">
        <v>1</v>
      </c>
      <c r="H971" s="31">
        <v>1</v>
      </c>
      <c r="I971" t="s">
        <v>1954</v>
      </c>
      <c r="J971" t="s">
        <v>1954</v>
      </c>
      <c r="K971">
        <v>92279</v>
      </c>
      <c r="L971">
        <v>2114401</v>
      </c>
      <c r="M971" s="32">
        <v>22.9131</v>
      </c>
      <c r="N971" t="s">
        <v>130</v>
      </c>
      <c r="O971" t="s">
        <v>132</v>
      </c>
      <c r="P971">
        <v>140</v>
      </c>
      <c r="Q971" s="33" t="s">
        <v>1955</v>
      </c>
      <c r="R971" t="s">
        <v>21</v>
      </c>
      <c r="S971" t="s">
        <v>22</v>
      </c>
      <c r="T971">
        <f t="shared" si="15"/>
        <v>521302.55999999994</v>
      </c>
    </row>
    <row r="972" spans="1:20" x14ac:dyDescent="0.25">
      <c r="A972" t="s">
        <v>369</v>
      </c>
      <c r="B972" t="s">
        <v>189</v>
      </c>
      <c r="C972">
        <v>1</v>
      </c>
      <c r="D972">
        <v>10435</v>
      </c>
      <c r="E972" t="s">
        <v>1988</v>
      </c>
      <c r="F972" t="s">
        <v>241</v>
      </c>
      <c r="G972" s="31">
        <v>0.42080000000000001</v>
      </c>
      <c r="H972" s="31">
        <v>0.43880000000000002</v>
      </c>
      <c r="I972" t="s">
        <v>1976</v>
      </c>
      <c r="J972" t="s">
        <v>1954</v>
      </c>
      <c r="K972">
        <v>1943.44</v>
      </c>
      <c r="L972">
        <v>46813</v>
      </c>
      <c r="M972" s="32">
        <v>24.087700000000002</v>
      </c>
      <c r="N972" t="s">
        <v>265</v>
      </c>
      <c r="P972">
        <v>0</v>
      </c>
      <c r="Q972" t="s">
        <v>1958</v>
      </c>
      <c r="R972" t="s">
        <v>21</v>
      </c>
      <c r="S972" t="s">
        <v>22</v>
      </c>
      <c r="T972">
        <f t="shared" si="15"/>
        <v>521302.55999999994</v>
      </c>
    </row>
    <row r="973" spans="1:20" x14ac:dyDescent="0.25">
      <c r="A973" t="s">
        <v>607</v>
      </c>
      <c r="B973" t="s">
        <v>137</v>
      </c>
      <c r="C973">
        <v>1</v>
      </c>
      <c r="D973">
        <v>2831</v>
      </c>
      <c r="E973" t="s">
        <v>2027</v>
      </c>
      <c r="F973" t="s">
        <v>322</v>
      </c>
      <c r="G973" s="31">
        <v>0.58140000000000003</v>
      </c>
      <c r="H973" s="31">
        <v>0.62739999999999996</v>
      </c>
      <c r="I973" t="s">
        <v>1954</v>
      </c>
      <c r="J973" t="s">
        <v>1954</v>
      </c>
      <c r="K973">
        <v>14974</v>
      </c>
      <c r="L973">
        <v>361390</v>
      </c>
      <c r="M973" s="32">
        <v>24.134499999999999</v>
      </c>
      <c r="N973" t="s">
        <v>141</v>
      </c>
      <c r="O973" t="s">
        <v>609</v>
      </c>
      <c r="P973">
        <v>136.19999999999999</v>
      </c>
      <c r="Q973" t="s">
        <v>1958</v>
      </c>
      <c r="R973" t="s">
        <v>21</v>
      </c>
      <c r="S973" t="s">
        <v>22</v>
      </c>
      <c r="T973">
        <f t="shared" si="15"/>
        <v>521438.75999999995</v>
      </c>
    </row>
    <row r="974" spans="1:20" x14ac:dyDescent="0.25">
      <c r="A974" t="s">
        <v>610</v>
      </c>
      <c r="B974" t="s">
        <v>137</v>
      </c>
      <c r="C974">
        <v>1</v>
      </c>
      <c r="D974">
        <v>2831</v>
      </c>
      <c r="E974" t="s">
        <v>2027</v>
      </c>
      <c r="F974" t="s">
        <v>322</v>
      </c>
      <c r="G974" s="31">
        <v>0.58140000000000003</v>
      </c>
      <c r="H974" s="31">
        <v>0.62739999999999996</v>
      </c>
      <c r="I974" t="s">
        <v>1954</v>
      </c>
      <c r="J974" t="s">
        <v>1954</v>
      </c>
      <c r="K974">
        <v>14974</v>
      </c>
      <c r="L974">
        <v>361390</v>
      </c>
      <c r="M974" s="32">
        <v>24.134499999999999</v>
      </c>
      <c r="N974" t="s">
        <v>141</v>
      </c>
      <c r="O974" t="s">
        <v>609</v>
      </c>
      <c r="P974">
        <v>136.19999999999999</v>
      </c>
      <c r="Q974" t="s">
        <v>1958</v>
      </c>
      <c r="R974" t="s">
        <v>21</v>
      </c>
      <c r="S974" t="s">
        <v>22</v>
      </c>
      <c r="T974">
        <f t="shared" si="15"/>
        <v>521574.95999999996</v>
      </c>
    </row>
    <row r="975" spans="1:20" x14ac:dyDescent="0.25">
      <c r="A975" t="s">
        <v>611</v>
      </c>
      <c r="B975" t="s">
        <v>137</v>
      </c>
      <c r="C975">
        <v>1</v>
      </c>
      <c r="D975">
        <v>2831</v>
      </c>
      <c r="E975" t="s">
        <v>2027</v>
      </c>
      <c r="F975" t="s">
        <v>322</v>
      </c>
      <c r="G975" s="31">
        <v>0.58140000000000003</v>
      </c>
      <c r="H975" s="31">
        <v>0.62739999999999996</v>
      </c>
      <c r="I975" t="s">
        <v>1954</v>
      </c>
      <c r="J975" t="s">
        <v>1954</v>
      </c>
      <c r="K975">
        <v>14974</v>
      </c>
      <c r="L975">
        <v>361390</v>
      </c>
      <c r="M975" s="32">
        <v>24.134499999999999</v>
      </c>
      <c r="N975" t="s">
        <v>141</v>
      </c>
      <c r="O975" t="s">
        <v>609</v>
      </c>
      <c r="P975">
        <v>136.19999999999999</v>
      </c>
      <c r="Q975" t="s">
        <v>1958</v>
      </c>
      <c r="R975" t="s">
        <v>21</v>
      </c>
      <c r="S975" t="s">
        <v>22</v>
      </c>
      <c r="T975">
        <f t="shared" si="15"/>
        <v>521711.16</v>
      </c>
    </row>
    <row r="976" spans="1:20" x14ac:dyDescent="0.25">
      <c r="A976" t="s">
        <v>612</v>
      </c>
      <c r="B976" t="s">
        <v>137</v>
      </c>
      <c r="C976">
        <v>1</v>
      </c>
      <c r="D976">
        <v>2831</v>
      </c>
      <c r="E976" t="s">
        <v>2027</v>
      </c>
      <c r="F976" t="s">
        <v>322</v>
      </c>
      <c r="G976" s="31">
        <v>0.58140000000000003</v>
      </c>
      <c r="H976" s="31">
        <v>0.62739999999999996</v>
      </c>
      <c r="I976" t="s">
        <v>1954</v>
      </c>
      <c r="J976" t="s">
        <v>1954</v>
      </c>
      <c r="K976">
        <v>14974</v>
      </c>
      <c r="L976">
        <v>361390</v>
      </c>
      <c r="M976" s="32">
        <v>24.134499999999999</v>
      </c>
      <c r="N976" t="s">
        <v>141</v>
      </c>
      <c r="O976" t="s">
        <v>609</v>
      </c>
      <c r="P976">
        <v>136.19999999999999</v>
      </c>
      <c r="Q976" t="s">
        <v>1958</v>
      </c>
      <c r="R976" t="s">
        <v>21</v>
      </c>
      <c r="S976" t="s">
        <v>22</v>
      </c>
      <c r="T976">
        <f t="shared" si="15"/>
        <v>521847.36</v>
      </c>
    </row>
    <row r="977" spans="1:20" x14ac:dyDescent="0.25">
      <c r="A977" t="s">
        <v>1771</v>
      </c>
      <c r="B977" t="s">
        <v>125</v>
      </c>
      <c r="C977">
        <v>2</v>
      </c>
      <c r="D977">
        <v>597</v>
      </c>
      <c r="E977" t="s">
        <v>2193</v>
      </c>
      <c r="F977" t="s">
        <v>672</v>
      </c>
      <c r="G977" s="31">
        <v>0.51</v>
      </c>
      <c r="H977" s="31">
        <v>0.55600000000000005</v>
      </c>
      <c r="I977" t="s">
        <v>1954</v>
      </c>
      <c r="J977" t="s">
        <v>1954</v>
      </c>
      <c r="K977">
        <v>322</v>
      </c>
      <c r="L977">
        <v>8404</v>
      </c>
      <c r="M977" s="32">
        <v>26.099399999999999</v>
      </c>
      <c r="N977" t="s">
        <v>584</v>
      </c>
      <c r="O977" t="s">
        <v>2194</v>
      </c>
      <c r="P977">
        <v>15</v>
      </c>
      <c r="Q977" t="s">
        <v>1958</v>
      </c>
      <c r="R977" t="s">
        <v>21</v>
      </c>
      <c r="S977" t="s">
        <v>22</v>
      </c>
      <c r="T977">
        <f t="shared" si="15"/>
        <v>521862.36</v>
      </c>
    </row>
    <row r="978" spans="1:20" x14ac:dyDescent="0.25">
      <c r="A978" t="s">
        <v>1774</v>
      </c>
      <c r="B978" t="s">
        <v>125</v>
      </c>
      <c r="C978">
        <v>2</v>
      </c>
      <c r="D978">
        <v>597</v>
      </c>
      <c r="E978" t="s">
        <v>2193</v>
      </c>
      <c r="F978" t="s">
        <v>672</v>
      </c>
      <c r="G978" s="31">
        <v>0.51</v>
      </c>
      <c r="H978" s="31">
        <v>0.55600000000000005</v>
      </c>
      <c r="I978" t="s">
        <v>1954</v>
      </c>
      <c r="J978" t="s">
        <v>1954</v>
      </c>
      <c r="K978">
        <v>322</v>
      </c>
      <c r="L978">
        <v>8404</v>
      </c>
      <c r="M978" s="32">
        <v>26.099399999999999</v>
      </c>
      <c r="N978" t="s">
        <v>584</v>
      </c>
      <c r="O978" t="s">
        <v>2194</v>
      </c>
      <c r="P978">
        <v>15</v>
      </c>
      <c r="Q978" t="s">
        <v>1958</v>
      </c>
      <c r="R978" t="s">
        <v>21</v>
      </c>
      <c r="S978" t="s">
        <v>22</v>
      </c>
      <c r="T978">
        <f t="shared" si="15"/>
        <v>521877.36</v>
      </c>
    </row>
    <row r="979" spans="1:20" x14ac:dyDescent="0.25">
      <c r="A979" t="s">
        <v>1775</v>
      </c>
      <c r="B979" t="s">
        <v>125</v>
      </c>
      <c r="C979">
        <v>2</v>
      </c>
      <c r="D979">
        <v>597</v>
      </c>
      <c r="E979" t="s">
        <v>2193</v>
      </c>
      <c r="F979" t="s">
        <v>672</v>
      </c>
      <c r="G979" s="31">
        <v>0.51</v>
      </c>
      <c r="H979" s="31">
        <v>0.55600000000000005</v>
      </c>
      <c r="I979" t="s">
        <v>1954</v>
      </c>
      <c r="J979" t="s">
        <v>1954</v>
      </c>
      <c r="K979">
        <v>322</v>
      </c>
      <c r="L979">
        <v>8404</v>
      </c>
      <c r="M979" s="32">
        <v>26.099399999999999</v>
      </c>
      <c r="N979" t="s">
        <v>584</v>
      </c>
      <c r="O979" t="s">
        <v>2194</v>
      </c>
      <c r="P979">
        <v>15</v>
      </c>
      <c r="Q979" t="s">
        <v>1958</v>
      </c>
      <c r="R979" t="s">
        <v>21</v>
      </c>
      <c r="S979" t="s">
        <v>22</v>
      </c>
      <c r="T979">
        <f t="shared" si="15"/>
        <v>521892.36</v>
      </c>
    </row>
    <row r="980" spans="1:20" x14ac:dyDescent="0.25">
      <c r="A980" t="s">
        <v>1776</v>
      </c>
      <c r="B980" t="s">
        <v>125</v>
      </c>
      <c r="C980">
        <v>2</v>
      </c>
      <c r="D980">
        <v>597</v>
      </c>
      <c r="E980" t="s">
        <v>2193</v>
      </c>
      <c r="F980" t="s">
        <v>672</v>
      </c>
      <c r="G980" s="31">
        <v>0.51</v>
      </c>
      <c r="H980" s="31">
        <v>0.55600000000000005</v>
      </c>
      <c r="I980" t="s">
        <v>1954</v>
      </c>
      <c r="J980" t="s">
        <v>1954</v>
      </c>
      <c r="K980">
        <v>322</v>
      </c>
      <c r="L980">
        <v>8404</v>
      </c>
      <c r="M980" s="32">
        <v>26.099399999999999</v>
      </c>
      <c r="N980" t="s">
        <v>584</v>
      </c>
      <c r="O980" t="s">
        <v>2194</v>
      </c>
      <c r="P980">
        <v>15</v>
      </c>
      <c r="Q980" t="s">
        <v>1958</v>
      </c>
      <c r="R980" t="s">
        <v>21</v>
      </c>
      <c r="S980" t="s">
        <v>22</v>
      </c>
      <c r="T980">
        <f t="shared" si="15"/>
        <v>521907.36</v>
      </c>
    </row>
    <row r="981" spans="1:20" x14ac:dyDescent="0.25">
      <c r="A981" t="s">
        <v>1777</v>
      </c>
      <c r="B981" t="s">
        <v>125</v>
      </c>
      <c r="C981">
        <v>2</v>
      </c>
      <c r="D981">
        <v>597</v>
      </c>
      <c r="E981" t="s">
        <v>2193</v>
      </c>
      <c r="F981" t="s">
        <v>672</v>
      </c>
      <c r="G981" s="31">
        <v>0.51</v>
      </c>
      <c r="H981" s="31">
        <v>0.55600000000000005</v>
      </c>
      <c r="I981" t="s">
        <v>1954</v>
      </c>
      <c r="J981" t="s">
        <v>1954</v>
      </c>
      <c r="K981">
        <v>322</v>
      </c>
      <c r="L981">
        <v>8404</v>
      </c>
      <c r="M981" s="32">
        <v>26.099399999999999</v>
      </c>
      <c r="N981" t="s">
        <v>584</v>
      </c>
      <c r="O981" t="s">
        <v>2194</v>
      </c>
      <c r="P981">
        <v>15</v>
      </c>
      <c r="Q981" t="s">
        <v>1958</v>
      </c>
      <c r="R981" t="s">
        <v>21</v>
      </c>
      <c r="S981" t="s">
        <v>22</v>
      </c>
      <c r="T981">
        <f t="shared" si="15"/>
        <v>521922.36</v>
      </c>
    </row>
    <row r="982" spans="1:20" x14ac:dyDescent="0.25">
      <c r="A982" t="s">
        <v>1787</v>
      </c>
      <c r="B982" t="s">
        <v>189</v>
      </c>
      <c r="C982">
        <v>1</v>
      </c>
      <c r="D982">
        <v>10503</v>
      </c>
      <c r="E982" t="s">
        <v>2197</v>
      </c>
      <c r="F982" t="s">
        <v>1789</v>
      </c>
      <c r="G982" s="31">
        <v>0.90069999999999995</v>
      </c>
      <c r="H982" s="31">
        <v>0.80069999999999997</v>
      </c>
      <c r="I982" t="s">
        <v>1976</v>
      </c>
      <c r="J982" t="s">
        <v>1954</v>
      </c>
      <c r="K982">
        <v>2591.8359999999998</v>
      </c>
      <c r="L982">
        <v>68303</v>
      </c>
      <c r="M982" s="32">
        <v>26.353100000000001</v>
      </c>
      <c r="N982" t="s">
        <v>265</v>
      </c>
      <c r="P982">
        <v>0</v>
      </c>
      <c r="Q982" t="s">
        <v>1958</v>
      </c>
      <c r="R982" t="s">
        <v>21</v>
      </c>
      <c r="S982" t="s">
        <v>22</v>
      </c>
      <c r="T982">
        <f t="shared" si="15"/>
        <v>521922.36</v>
      </c>
    </row>
    <row r="983" spans="1:20" x14ac:dyDescent="0.25">
      <c r="A983" t="s">
        <v>1533</v>
      </c>
      <c r="B983" t="s">
        <v>125</v>
      </c>
      <c r="C983">
        <v>1</v>
      </c>
      <c r="D983">
        <v>2390</v>
      </c>
      <c r="E983" t="s">
        <v>2162</v>
      </c>
      <c r="F983" t="s">
        <v>241</v>
      </c>
      <c r="G983" s="31">
        <v>1</v>
      </c>
      <c r="H983" s="31">
        <v>1</v>
      </c>
      <c r="I983" t="s">
        <v>1954</v>
      </c>
      <c r="J983" t="s">
        <v>1972</v>
      </c>
      <c r="K983">
        <v>525</v>
      </c>
      <c r="L983">
        <v>33168</v>
      </c>
      <c r="M983" s="32">
        <v>63.177100000000003</v>
      </c>
      <c r="N983" t="s">
        <v>130</v>
      </c>
      <c r="O983" t="s">
        <v>529</v>
      </c>
      <c r="P983">
        <v>202.8</v>
      </c>
      <c r="Q983" t="s">
        <v>1958</v>
      </c>
      <c r="R983" t="s">
        <v>21</v>
      </c>
      <c r="S983" t="s">
        <v>22</v>
      </c>
      <c r="T983">
        <f t="shared" si="15"/>
        <v>522125.16</v>
      </c>
    </row>
    <row r="984" spans="1:20" x14ac:dyDescent="0.25">
      <c r="A984" t="s">
        <v>1535</v>
      </c>
      <c r="B984" t="s">
        <v>125</v>
      </c>
      <c r="C984">
        <v>1</v>
      </c>
      <c r="D984">
        <v>2390</v>
      </c>
      <c r="E984" t="s">
        <v>2162</v>
      </c>
      <c r="F984" t="s">
        <v>241</v>
      </c>
      <c r="G984" s="31">
        <v>1</v>
      </c>
      <c r="H984" s="31">
        <v>1</v>
      </c>
      <c r="I984" t="s">
        <v>1954</v>
      </c>
      <c r="J984" t="s">
        <v>1972</v>
      </c>
      <c r="K984">
        <v>525</v>
      </c>
      <c r="L984">
        <v>33168</v>
      </c>
      <c r="M984" s="32">
        <v>63.177100000000003</v>
      </c>
      <c r="N984" t="s">
        <v>130</v>
      </c>
      <c r="O984" t="s">
        <v>529</v>
      </c>
      <c r="P984">
        <v>202.8</v>
      </c>
      <c r="Q984" t="s">
        <v>1958</v>
      </c>
      <c r="R984" t="s">
        <v>21</v>
      </c>
      <c r="S984" t="s">
        <v>22</v>
      </c>
      <c r="T984">
        <f t="shared" si="15"/>
        <v>522327.95999999996</v>
      </c>
    </row>
    <row r="985" spans="1:20" x14ac:dyDescent="0.25">
      <c r="A985" t="s">
        <v>1536</v>
      </c>
      <c r="B985" t="s">
        <v>125</v>
      </c>
      <c r="C985">
        <v>1</v>
      </c>
      <c r="D985">
        <v>2390</v>
      </c>
      <c r="E985" t="s">
        <v>2162</v>
      </c>
      <c r="F985" t="s">
        <v>241</v>
      </c>
      <c r="G985" s="31">
        <v>1</v>
      </c>
      <c r="H985" s="31">
        <v>1</v>
      </c>
      <c r="I985" t="s">
        <v>1954</v>
      </c>
      <c r="J985" t="s">
        <v>1972</v>
      </c>
      <c r="K985">
        <v>525</v>
      </c>
      <c r="L985">
        <v>33168</v>
      </c>
      <c r="M985" s="32">
        <v>63.177100000000003</v>
      </c>
      <c r="N985" t="s">
        <v>130</v>
      </c>
      <c r="O985" t="s">
        <v>529</v>
      </c>
      <c r="P985">
        <v>202.8</v>
      </c>
      <c r="Q985" t="s">
        <v>1958</v>
      </c>
      <c r="R985" t="s">
        <v>21</v>
      </c>
      <c r="S985" t="s">
        <v>22</v>
      </c>
      <c r="T985">
        <f t="shared" si="15"/>
        <v>522530.75999999995</v>
      </c>
    </row>
    <row r="986" spans="1:20" x14ac:dyDescent="0.25">
      <c r="A986" t="s">
        <v>1537</v>
      </c>
      <c r="B986" t="s">
        <v>125</v>
      </c>
      <c r="C986">
        <v>1</v>
      </c>
      <c r="D986">
        <v>2390</v>
      </c>
      <c r="E986" t="s">
        <v>2162</v>
      </c>
      <c r="F986" t="s">
        <v>241</v>
      </c>
      <c r="G986" s="31">
        <v>1</v>
      </c>
      <c r="H986" s="31">
        <v>1</v>
      </c>
      <c r="I986" t="s">
        <v>1954</v>
      </c>
      <c r="J986" t="s">
        <v>1972</v>
      </c>
      <c r="K986">
        <v>525</v>
      </c>
      <c r="L986">
        <v>33168</v>
      </c>
      <c r="M986" s="32">
        <v>63.177100000000003</v>
      </c>
      <c r="N986" t="s">
        <v>130</v>
      </c>
      <c r="O986" t="s">
        <v>529</v>
      </c>
      <c r="P986">
        <v>202.8</v>
      </c>
      <c r="Q986" t="s">
        <v>1958</v>
      </c>
      <c r="R986" t="s">
        <v>21</v>
      </c>
      <c r="S986" t="s">
        <v>22</v>
      </c>
      <c r="T986">
        <f t="shared" si="15"/>
        <v>522733.55999999994</v>
      </c>
    </row>
    <row r="987" spans="1:20" x14ac:dyDescent="0.25">
      <c r="A987" t="s">
        <v>318</v>
      </c>
      <c r="B987" t="s">
        <v>150</v>
      </c>
      <c r="C987">
        <v>3</v>
      </c>
      <c r="D987">
        <v>50060</v>
      </c>
      <c r="E987" t="s">
        <v>1971</v>
      </c>
      <c r="F987" t="s">
        <v>307</v>
      </c>
      <c r="G987" s="31">
        <v>0.40910000000000002</v>
      </c>
      <c r="H987" s="31">
        <v>0.4551</v>
      </c>
      <c r="I987" t="s">
        <v>1954</v>
      </c>
      <c r="J987" t="s">
        <v>1972</v>
      </c>
      <c r="K987">
        <v>0</v>
      </c>
      <c r="L987">
        <v>0</v>
      </c>
      <c r="M987" s="32"/>
      <c r="O987" t="s">
        <v>1973</v>
      </c>
      <c r="P987">
        <v>2.4</v>
      </c>
      <c r="Q987" t="s">
        <v>1958</v>
      </c>
      <c r="R987" t="s">
        <v>21</v>
      </c>
      <c r="S987" t="s">
        <v>22</v>
      </c>
      <c r="T987">
        <f t="shared" si="15"/>
        <v>522735.95999999996</v>
      </c>
    </row>
    <row r="988" spans="1:20" x14ac:dyDescent="0.25">
      <c r="A988" t="s">
        <v>692</v>
      </c>
      <c r="B988" t="s">
        <v>137</v>
      </c>
      <c r="C988">
        <v>2</v>
      </c>
      <c r="D988">
        <v>69979</v>
      </c>
      <c r="E988" t="s">
        <v>2044</v>
      </c>
      <c r="F988" t="s">
        <v>166</v>
      </c>
      <c r="G988" s="31">
        <v>0.85</v>
      </c>
      <c r="H988" s="31">
        <v>0.89600000000000002</v>
      </c>
      <c r="I988" t="s">
        <v>1954</v>
      </c>
      <c r="J988" t="s">
        <v>1972</v>
      </c>
      <c r="K988">
        <v>0</v>
      </c>
      <c r="L988">
        <v>0</v>
      </c>
      <c r="M988" s="32"/>
      <c r="O988" t="s">
        <v>2045</v>
      </c>
      <c r="P988">
        <v>900</v>
      </c>
      <c r="Q988" t="s">
        <v>1958</v>
      </c>
      <c r="R988" t="s">
        <v>21</v>
      </c>
      <c r="S988" t="s">
        <v>22</v>
      </c>
      <c r="T988">
        <f t="shared" si="15"/>
        <v>523635.95999999996</v>
      </c>
    </row>
    <row r="989" spans="1:20" x14ac:dyDescent="0.25">
      <c r="A989" t="s">
        <v>696</v>
      </c>
      <c r="B989" t="s">
        <v>137</v>
      </c>
      <c r="C989">
        <v>2</v>
      </c>
      <c r="D989">
        <v>69979</v>
      </c>
      <c r="E989" t="s">
        <v>2044</v>
      </c>
      <c r="F989" t="s">
        <v>166</v>
      </c>
      <c r="G989" s="31">
        <v>0.85</v>
      </c>
      <c r="H989" s="31">
        <v>0.89600000000000002</v>
      </c>
      <c r="I989" t="s">
        <v>1954</v>
      </c>
      <c r="J989" t="s">
        <v>1972</v>
      </c>
      <c r="K989">
        <v>0</v>
      </c>
      <c r="L989">
        <v>0</v>
      </c>
      <c r="M989" s="32"/>
      <c r="O989" t="s">
        <v>2045</v>
      </c>
      <c r="P989">
        <v>900</v>
      </c>
      <c r="Q989" t="s">
        <v>1958</v>
      </c>
      <c r="R989" t="s">
        <v>21</v>
      </c>
      <c r="S989" t="s">
        <v>22</v>
      </c>
      <c r="T989">
        <f t="shared" si="15"/>
        <v>524535.96</v>
      </c>
    </row>
    <row r="990" spans="1:20" x14ac:dyDescent="0.25">
      <c r="A990" t="s">
        <v>697</v>
      </c>
      <c r="B990" t="s">
        <v>137</v>
      </c>
      <c r="C990">
        <v>2</v>
      </c>
      <c r="D990">
        <v>69979</v>
      </c>
      <c r="E990" t="s">
        <v>2044</v>
      </c>
      <c r="F990" t="s">
        <v>166</v>
      </c>
      <c r="G990" s="31">
        <v>0.85</v>
      </c>
      <c r="H990" s="31">
        <v>0.89600000000000002</v>
      </c>
      <c r="I990" t="s">
        <v>1954</v>
      </c>
      <c r="J990" t="s">
        <v>1972</v>
      </c>
      <c r="K990">
        <v>0</v>
      </c>
      <c r="L990">
        <v>0</v>
      </c>
      <c r="M990" s="32"/>
      <c r="O990" t="s">
        <v>2045</v>
      </c>
      <c r="P990">
        <v>900</v>
      </c>
      <c r="Q990" t="s">
        <v>1958</v>
      </c>
      <c r="R990" t="s">
        <v>21</v>
      </c>
      <c r="S990" t="s">
        <v>22</v>
      </c>
      <c r="T990">
        <f t="shared" si="15"/>
        <v>525435.96</v>
      </c>
    </row>
    <row r="991" spans="1:20" x14ac:dyDescent="0.25">
      <c r="A991" t="s">
        <v>698</v>
      </c>
      <c r="B991" t="s">
        <v>137</v>
      </c>
      <c r="C991">
        <v>2</v>
      </c>
      <c r="D991">
        <v>69979</v>
      </c>
      <c r="E991" t="s">
        <v>2044</v>
      </c>
      <c r="F991" t="s">
        <v>166</v>
      </c>
      <c r="G991" s="31">
        <v>0.85</v>
      </c>
      <c r="H991" s="31">
        <v>0.89600000000000002</v>
      </c>
      <c r="I991" t="s">
        <v>1954</v>
      </c>
      <c r="J991" t="s">
        <v>1972</v>
      </c>
      <c r="K991">
        <v>0</v>
      </c>
      <c r="L991">
        <v>0</v>
      </c>
      <c r="M991" s="32"/>
      <c r="O991" t="s">
        <v>2045</v>
      </c>
      <c r="P991">
        <v>900</v>
      </c>
      <c r="Q991" t="s">
        <v>1958</v>
      </c>
      <c r="R991" t="s">
        <v>21</v>
      </c>
      <c r="S991" t="s">
        <v>22</v>
      </c>
      <c r="T991">
        <f t="shared" si="15"/>
        <v>526335.96</v>
      </c>
    </row>
    <row r="992" spans="1:20" x14ac:dyDescent="0.25">
      <c r="A992" t="s">
        <v>699</v>
      </c>
      <c r="B992" t="s">
        <v>137</v>
      </c>
      <c r="C992">
        <v>2</v>
      </c>
      <c r="D992">
        <v>69979</v>
      </c>
      <c r="E992" t="s">
        <v>2044</v>
      </c>
      <c r="F992" t="s">
        <v>166</v>
      </c>
      <c r="G992" s="31">
        <v>0.85</v>
      </c>
      <c r="H992" s="31">
        <v>0.89600000000000002</v>
      </c>
      <c r="I992" t="s">
        <v>1954</v>
      </c>
      <c r="J992" t="s">
        <v>1972</v>
      </c>
      <c r="K992">
        <v>0</v>
      </c>
      <c r="L992">
        <v>0</v>
      </c>
      <c r="M992" s="32"/>
      <c r="O992" t="s">
        <v>2045</v>
      </c>
      <c r="P992">
        <v>900</v>
      </c>
      <c r="Q992" t="s">
        <v>1958</v>
      </c>
      <c r="R992" t="s">
        <v>21</v>
      </c>
      <c r="S992" t="s">
        <v>22</v>
      </c>
      <c r="T992">
        <f t="shared" si="15"/>
        <v>527235.96</v>
      </c>
    </row>
    <row r="993" spans="1:20" x14ac:dyDescent="0.25">
      <c r="A993" t="s">
        <v>700</v>
      </c>
      <c r="B993" t="s">
        <v>137</v>
      </c>
      <c r="C993">
        <v>2</v>
      </c>
      <c r="D993">
        <v>69979</v>
      </c>
      <c r="E993" t="s">
        <v>2044</v>
      </c>
      <c r="F993" t="s">
        <v>166</v>
      </c>
      <c r="G993" s="31">
        <v>0.85</v>
      </c>
      <c r="H993" s="31">
        <v>0.89600000000000002</v>
      </c>
      <c r="I993" t="s">
        <v>1954</v>
      </c>
      <c r="J993" t="s">
        <v>1972</v>
      </c>
      <c r="K993">
        <v>0</v>
      </c>
      <c r="L993">
        <v>0</v>
      </c>
      <c r="M993" s="32"/>
      <c r="O993" t="s">
        <v>2045</v>
      </c>
      <c r="P993">
        <v>900</v>
      </c>
      <c r="Q993" t="s">
        <v>1958</v>
      </c>
      <c r="R993" t="s">
        <v>21</v>
      </c>
      <c r="S993" t="s">
        <v>22</v>
      </c>
      <c r="T993">
        <f t="shared" si="15"/>
        <v>528135.96</v>
      </c>
    </row>
    <row r="994" spans="1:20" x14ac:dyDescent="0.25">
      <c r="A994" t="s">
        <v>701</v>
      </c>
      <c r="B994" t="s">
        <v>137</v>
      </c>
      <c r="C994">
        <v>2</v>
      </c>
      <c r="D994">
        <v>69979</v>
      </c>
      <c r="E994" t="s">
        <v>2044</v>
      </c>
      <c r="F994" t="s">
        <v>166</v>
      </c>
      <c r="G994" s="31">
        <v>0.85</v>
      </c>
      <c r="H994" s="31">
        <v>0.89600000000000002</v>
      </c>
      <c r="I994" t="s">
        <v>1954</v>
      </c>
      <c r="J994" t="s">
        <v>1972</v>
      </c>
      <c r="K994">
        <v>0</v>
      </c>
      <c r="L994">
        <v>0</v>
      </c>
      <c r="M994" s="32"/>
      <c r="O994" t="s">
        <v>2045</v>
      </c>
      <c r="P994">
        <v>900</v>
      </c>
      <c r="Q994" t="s">
        <v>1958</v>
      </c>
      <c r="R994" t="s">
        <v>21</v>
      </c>
      <c r="S994" t="s">
        <v>22</v>
      </c>
      <c r="T994">
        <f t="shared" si="15"/>
        <v>529035.96</v>
      </c>
    </row>
    <row r="995" spans="1:20" x14ac:dyDescent="0.25">
      <c r="A995" t="s">
        <v>755</v>
      </c>
      <c r="B995" t="s">
        <v>109</v>
      </c>
      <c r="C995">
        <v>1</v>
      </c>
      <c r="D995">
        <v>10343</v>
      </c>
      <c r="E995" t="s">
        <v>2050</v>
      </c>
      <c r="F995" t="s">
        <v>143</v>
      </c>
      <c r="G995" s="31">
        <v>0.60319999999999996</v>
      </c>
      <c r="H995" s="31">
        <v>0.6492</v>
      </c>
      <c r="I995" t="s">
        <v>1954</v>
      </c>
      <c r="J995" t="s">
        <v>1972</v>
      </c>
      <c r="K995">
        <v>0</v>
      </c>
      <c r="L995">
        <v>0</v>
      </c>
      <c r="M995" s="32"/>
      <c r="O995" t="s">
        <v>757</v>
      </c>
      <c r="P995">
        <v>43</v>
      </c>
      <c r="Q995" t="s">
        <v>1958</v>
      </c>
      <c r="R995" t="s">
        <v>21</v>
      </c>
      <c r="S995" t="s">
        <v>22</v>
      </c>
      <c r="T995">
        <f t="shared" si="15"/>
        <v>529078.96</v>
      </c>
    </row>
    <row r="996" spans="1:20" x14ac:dyDescent="0.25">
      <c r="A996" t="s">
        <v>760</v>
      </c>
      <c r="B996" t="s">
        <v>125</v>
      </c>
      <c r="C996">
        <v>1</v>
      </c>
      <c r="D996">
        <v>1840</v>
      </c>
      <c r="E996" t="s">
        <v>2051</v>
      </c>
      <c r="F996" t="s">
        <v>250</v>
      </c>
      <c r="G996" s="31">
        <v>0.61099999999999999</v>
      </c>
      <c r="H996" s="31">
        <v>0.65700000000000003</v>
      </c>
      <c r="I996" t="s">
        <v>1954</v>
      </c>
      <c r="J996" t="s">
        <v>1972</v>
      </c>
      <c r="K996">
        <v>0</v>
      </c>
      <c r="L996">
        <v>0</v>
      </c>
      <c r="M996" s="32"/>
      <c r="O996" t="s">
        <v>762</v>
      </c>
      <c r="P996">
        <v>20</v>
      </c>
      <c r="Q996" t="s">
        <v>1958</v>
      </c>
      <c r="R996" t="s">
        <v>21</v>
      </c>
      <c r="S996" t="s">
        <v>22</v>
      </c>
      <c r="T996">
        <f t="shared" si="15"/>
        <v>529098.96</v>
      </c>
    </row>
    <row r="997" spans="1:20" x14ac:dyDescent="0.25">
      <c r="A997" t="s">
        <v>1237</v>
      </c>
      <c r="B997" t="s">
        <v>109</v>
      </c>
      <c r="C997">
        <v>2</v>
      </c>
      <c r="D997">
        <v>10343</v>
      </c>
      <c r="E997" t="s">
        <v>2050</v>
      </c>
      <c r="F997" t="s">
        <v>143</v>
      </c>
      <c r="G997" s="31">
        <v>0.38490000000000002</v>
      </c>
      <c r="H997" s="31">
        <v>0.43090000000000001</v>
      </c>
      <c r="I997" t="s">
        <v>1954</v>
      </c>
      <c r="J997" t="s">
        <v>1972</v>
      </c>
      <c r="K997">
        <v>0</v>
      </c>
      <c r="L997">
        <v>0</v>
      </c>
      <c r="M997" s="32"/>
      <c r="O997" t="s">
        <v>757</v>
      </c>
      <c r="P997">
        <v>43</v>
      </c>
      <c r="Q997" t="s">
        <v>1958</v>
      </c>
      <c r="R997" t="s">
        <v>21</v>
      </c>
      <c r="S997" t="s">
        <v>22</v>
      </c>
      <c r="T997">
        <f t="shared" si="15"/>
        <v>529141.96</v>
      </c>
    </row>
    <row r="998" spans="1:20" x14ac:dyDescent="0.25">
      <c r="A998" t="s">
        <v>1239</v>
      </c>
      <c r="B998" t="s">
        <v>109</v>
      </c>
      <c r="C998">
        <v>2</v>
      </c>
      <c r="D998">
        <v>10343</v>
      </c>
      <c r="E998" t="s">
        <v>2050</v>
      </c>
      <c r="F998" t="s">
        <v>143</v>
      </c>
      <c r="G998" s="31">
        <v>0.38490000000000002</v>
      </c>
      <c r="H998" s="31">
        <v>0.43090000000000001</v>
      </c>
      <c r="I998" t="s">
        <v>1954</v>
      </c>
      <c r="J998" t="s">
        <v>1972</v>
      </c>
      <c r="K998">
        <v>0</v>
      </c>
      <c r="L998">
        <v>0</v>
      </c>
      <c r="M998" s="32"/>
      <c r="O998" t="s">
        <v>757</v>
      </c>
      <c r="P998">
        <v>43</v>
      </c>
      <c r="Q998" t="s">
        <v>1958</v>
      </c>
      <c r="R998" t="s">
        <v>21</v>
      </c>
      <c r="S998" t="s">
        <v>22</v>
      </c>
      <c r="T998">
        <f t="shared" si="15"/>
        <v>529184.96</v>
      </c>
    </row>
    <row r="999" spans="1:20" x14ac:dyDescent="0.25">
      <c r="A999" t="s">
        <v>1240</v>
      </c>
      <c r="B999" t="s">
        <v>109</v>
      </c>
      <c r="C999">
        <v>2</v>
      </c>
      <c r="D999">
        <v>10343</v>
      </c>
      <c r="E999" t="s">
        <v>2050</v>
      </c>
      <c r="F999" t="s">
        <v>143</v>
      </c>
      <c r="G999" s="31">
        <v>0.38490000000000002</v>
      </c>
      <c r="H999" s="31">
        <v>0.43090000000000001</v>
      </c>
      <c r="I999" t="s">
        <v>1954</v>
      </c>
      <c r="J999" t="s">
        <v>1972</v>
      </c>
      <c r="K999">
        <v>0</v>
      </c>
      <c r="L999">
        <v>0</v>
      </c>
      <c r="M999" s="32"/>
      <c r="O999" t="s">
        <v>757</v>
      </c>
      <c r="P999">
        <v>43</v>
      </c>
      <c r="Q999" t="s">
        <v>1958</v>
      </c>
      <c r="R999" t="s">
        <v>21</v>
      </c>
      <c r="S999" t="s">
        <v>22</v>
      </c>
      <c r="T999">
        <f t="shared" si="15"/>
        <v>529227.96</v>
      </c>
    </row>
    <row r="1000" spans="1:20" x14ac:dyDescent="0.25">
      <c r="A1000" t="s">
        <v>1578</v>
      </c>
      <c r="B1000" t="s">
        <v>125</v>
      </c>
      <c r="C1000">
        <v>3</v>
      </c>
      <c r="D1000">
        <v>673</v>
      </c>
      <c r="E1000" t="s">
        <v>2166</v>
      </c>
      <c r="F1000" t="s">
        <v>1364</v>
      </c>
      <c r="G1000" s="31">
        <v>0.84360000000000002</v>
      </c>
      <c r="H1000" s="31">
        <v>0.77159999999999995</v>
      </c>
      <c r="I1000" t="s">
        <v>1954</v>
      </c>
      <c r="J1000" t="s">
        <v>1972</v>
      </c>
      <c r="K1000">
        <v>0</v>
      </c>
      <c r="L1000">
        <v>0</v>
      </c>
      <c r="M1000" s="32"/>
      <c r="O1000" t="s">
        <v>1981</v>
      </c>
      <c r="P1000">
        <v>26</v>
      </c>
      <c r="Q1000" t="s">
        <v>1958</v>
      </c>
      <c r="R1000" t="s">
        <v>21</v>
      </c>
      <c r="S1000" t="s">
        <v>22</v>
      </c>
      <c r="T1000">
        <f t="shared" si="15"/>
        <v>529253.96</v>
      </c>
    </row>
    <row r="1001" spans="1:20" x14ac:dyDescent="0.25">
      <c r="A1001" t="s">
        <v>1582</v>
      </c>
      <c r="B1001" t="s">
        <v>137</v>
      </c>
      <c r="C1001">
        <v>3</v>
      </c>
      <c r="D1001">
        <v>673</v>
      </c>
      <c r="E1001" t="s">
        <v>2166</v>
      </c>
      <c r="F1001" t="s">
        <v>1364</v>
      </c>
      <c r="G1001" s="31">
        <v>0.84360000000000002</v>
      </c>
      <c r="H1001" s="31">
        <v>0.77159999999999995</v>
      </c>
      <c r="I1001" t="s">
        <v>1954</v>
      </c>
      <c r="J1001" t="s">
        <v>1972</v>
      </c>
      <c r="K1001">
        <v>0</v>
      </c>
      <c r="L1001">
        <v>0</v>
      </c>
      <c r="M1001" s="32"/>
      <c r="O1001" t="s">
        <v>1981</v>
      </c>
      <c r="P1001">
        <v>26</v>
      </c>
      <c r="Q1001" t="s">
        <v>1958</v>
      </c>
      <c r="R1001" t="s">
        <v>21</v>
      </c>
      <c r="S1001" t="s">
        <v>22</v>
      </c>
      <c r="T1001">
        <f t="shared" si="15"/>
        <v>529279.96</v>
      </c>
    </row>
    <row r="1002" spans="1:20" x14ac:dyDescent="0.25">
      <c r="A1002" t="s">
        <v>1583</v>
      </c>
      <c r="B1002" t="s">
        <v>125</v>
      </c>
      <c r="C1002">
        <v>3</v>
      </c>
      <c r="D1002">
        <v>673</v>
      </c>
      <c r="E1002" t="s">
        <v>2166</v>
      </c>
      <c r="F1002" t="s">
        <v>1364</v>
      </c>
      <c r="G1002" s="31">
        <v>0.84360000000000002</v>
      </c>
      <c r="H1002" s="31">
        <v>0.77159999999999995</v>
      </c>
      <c r="I1002" t="s">
        <v>1954</v>
      </c>
      <c r="J1002" t="s">
        <v>1972</v>
      </c>
      <c r="K1002">
        <v>0</v>
      </c>
      <c r="L1002">
        <v>0</v>
      </c>
      <c r="M1002" s="32"/>
      <c r="O1002" t="s">
        <v>1981</v>
      </c>
      <c r="P1002">
        <v>26</v>
      </c>
      <c r="Q1002" t="s">
        <v>1958</v>
      </c>
      <c r="R1002" t="s">
        <v>21</v>
      </c>
      <c r="S1002" t="s">
        <v>22</v>
      </c>
      <c r="T1002">
        <f t="shared" si="15"/>
        <v>529305.96</v>
      </c>
    </row>
    <row r="1003" spans="1:20" x14ac:dyDescent="0.25">
      <c r="A1003" t="s">
        <v>1584</v>
      </c>
      <c r="B1003" t="s">
        <v>125</v>
      </c>
      <c r="C1003">
        <v>3</v>
      </c>
      <c r="D1003">
        <v>673</v>
      </c>
      <c r="E1003" t="s">
        <v>2166</v>
      </c>
      <c r="F1003" t="s">
        <v>1364</v>
      </c>
      <c r="G1003" s="31">
        <v>0.84360000000000002</v>
      </c>
      <c r="H1003" s="31">
        <v>0.77159999999999995</v>
      </c>
      <c r="I1003" t="s">
        <v>1954</v>
      </c>
      <c r="J1003" t="s">
        <v>1972</v>
      </c>
      <c r="K1003">
        <v>0</v>
      </c>
      <c r="L1003">
        <v>0</v>
      </c>
      <c r="M1003" s="32"/>
      <c r="O1003" t="s">
        <v>1981</v>
      </c>
      <c r="P1003">
        <v>26</v>
      </c>
      <c r="Q1003" t="s">
        <v>1958</v>
      </c>
      <c r="R1003" t="s">
        <v>21</v>
      </c>
      <c r="S1003" t="s">
        <v>22</v>
      </c>
      <c r="T1003">
        <f t="shared" si="15"/>
        <v>529331.96</v>
      </c>
    </row>
    <row r="1004" spans="1:20" x14ac:dyDescent="0.25">
      <c r="A1004" t="s">
        <v>1585</v>
      </c>
      <c r="B1004" t="s">
        <v>125</v>
      </c>
      <c r="C1004">
        <v>3</v>
      </c>
      <c r="D1004">
        <v>673</v>
      </c>
      <c r="E1004" t="s">
        <v>2166</v>
      </c>
      <c r="F1004" t="s">
        <v>1364</v>
      </c>
      <c r="G1004" s="31">
        <v>0.84360000000000002</v>
      </c>
      <c r="H1004" s="31">
        <v>0.77159999999999995</v>
      </c>
      <c r="I1004" t="s">
        <v>1954</v>
      </c>
      <c r="J1004" t="s">
        <v>1972</v>
      </c>
      <c r="K1004">
        <v>0</v>
      </c>
      <c r="L1004">
        <v>0</v>
      </c>
      <c r="M1004" s="32"/>
      <c r="O1004" t="s">
        <v>1981</v>
      </c>
      <c r="P1004">
        <v>26</v>
      </c>
      <c r="Q1004" t="s">
        <v>1958</v>
      </c>
      <c r="R1004" t="s">
        <v>21</v>
      </c>
      <c r="S1004" t="s">
        <v>22</v>
      </c>
      <c r="T1004">
        <f t="shared" si="15"/>
        <v>529357.96</v>
      </c>
    </row>
    <row r="1005" spans="1:20" x14ac:dyDescent="0.25">
      <c r="A1005" t="s">
        <v>1586</v>
      </c>
      <c r="B1005" t="s">
        <v>125</v>
      </c>
      <c r="C1005">
        <v>3</v>
      </c>
      <c r="D1005">
        <v>673</v>
      </c>
      <c r="E1005" t="s">
        <v>2166</v>
      </c>
      <c r="F1005" t="s">
        <v>1364</v>
      </c>
      <c r="G1005" s="31">
        <v>0.84360000000000002</v>
      </c>
      <c r="H1005" s="31">
        <v>0.77159999999999995</v>
      </c>
      <c r="I1005" t="s">
        <v>1954</v>
      </c>
      <c r="J1005" t="s">
        <v>1972</v>
      </c>
      <c r="K1005">
        <v>0</v>
      </c>
      <c r="L1005">
        <v>0</v>
      </c>
      <c r="M1005" s="32"/>
      <c r="O1005" t="s">
        <v>1981</v>
      </c>
      <c r="P1005">
        <v>26</v>
      </c>
      <c r="Q1005" t="s">
        <v>1958</v>
      </c>
      <c r="R1005" t="s">
        <v>21</v>
      </c>
      <c r="S1005" t="s">
        <v>22</v>
      </c>
      <c r="T1005">
        <f t="shared" si="15"/>
        <v>529383.96</v>
      </c>
    </row>
    <row r="1006" spans="1:20" x14ac:dyDescent="0.25">
      <c r="A1006" t="s">
        <v>1587</v>
      </c>
      <c r="B1006" t="s">
        <v>125</v>
      </c>
      <c r="C1006">
        <v>3</v>
      </c>
      <c r="D1006">
        <v>673</v>
      </c>
      <c r="E1006" t="s">
        <v>2166</v>
      </c>
      <c r="F1006" t="s">
        <v>1364</v>
      </c>
      <c r="G1006" s="31">
        <v>0.84360000000000002</v>
      </c>
      <c r="H1006" s="31">
        <v>0.77159999999999995</v>
      </c>
      <c r="I1006" t="s">
        <v>1954</v>
      </c>
      <c r="J1006" t="s">
        <v>1972</v>
      </c>
      <c r="K1006">
        <v>0</v>
      </c>
      <c r="L1006">
        <v>0</v>
      </c>
      <c r="M1006" s="32"/>
      <c r="O1006" t="s">
        <v>1981</v>
      </c>
      <c r="P1006">
        <v>26</v>
      </c>
      <c r="Q1006" t="s">
        <v>1958</v>
      </c>
      <c r="R1006" t="s">
        <v>21</v>
      </c>
      <c r="S1006" t="s">
        <v>22</v>
      </c>
      <c r="T1006">
        <f t="shared" si="15"/>
        <v>529409.96</v>
      </c>
    </row>
    <row r="1007" spans="1:20" x14ac:dyDescent="0.25">
      <c r="A1007" t="s">
        <v>1588</v>
      </c>
      <c r="B1007" t="s">
        <v>125</v>
      </c>
      <c r="C1007">
        <v>3</v>
      </c>
      <c r="D1007">
        <v>673</v>
      </c>
      <c r="E1007" t="s">
        <v>2166</v>
      </c>
      <c r="F1007" t="s">
        <v>1364</v>
      </c>
      <c r="G1007" s="31">
        <v>0.84360000000000002</v>
      </c>
      <c r="H1007" s="31">
        <v>0.77159999999999995</v>
      </c>
      <c r="I1007" t="s">
        <v>1954</v>
      </c>
      <c r="J1007" t="s">
        <v>1972</v>
      </c>
      <c r="K1007">
        <v>0</v>
      </c>
      <c r="L1007">
        <v>0</v>
      </c>
      <c r="M1007" s="32"/>
      <c r="O1007" t="s">
        <v>1981</v>
      </c>
      <c r="P1007">
        <v>26</v>
      </c>
      <c r="Q1007" t="s">
        <v>1958</v>
      </c>
      <c r="R1007" t="s">
        <v>21</v>
      </c>
      <c r="S1007" t="s">
        <v>22</v>
      </c>
      <c r="T1007">
        <f t="shared" si="15"/>
        <v>529435.96</v>
      </c>
    </row>
    <row r="1008" spans="1:20" x14ac:dyDescent="0.25">
      <c r="A1008" t="s">
        <v>1589</v>
      </c>
      <c r="B1008" t="s">
        <v>137</v>
      </c>
      <c r="C1008">
        <v>3</v>
      </c>
      <c r="D1008">
        <v>673</v>
      </c>
      <c r="E1008" t="s">
        <v>2166</v>
      </c>
      <c r="F1008" t="s">
        <v>1364</v>
      </c>
      <c r="G1008" s="31">
        <v>0.84360000000000002</v>
      </c>
      <c r="H1008" s="31">
        <v>0.77159999999999995</v>
      </c>
      <c r="I1008" t="s">
        <v>1954</v>
      </c>
      <c r="J1008" t="s">
        <v>1972</v>
      </c>
      <c r="K1008">
        <v>0</v>
      </c>
      <c r="L1008">
        <v>0</v>
      </c>
      <c r="M1008" s="32"/>
      <c r="O1008" t="s">
        <v>1981</v>
      </c>
      <c r="P1008">
        <v>26</v>
      </c>
      <c r="Q1008" t="s">
        <v>1958</v>
      </c>
      <c r="R1008" t="s">
        <v>21</v>
      </c>
      <c r="S1008" t="s">
        <v>22</v>
      </c>
      <c r="T1008">
        <f t="shared" si="15"/>
        <v>529461.96</v>
      </c>
    </row>
    <row r="1009" spans="1:20" x14ac:dyDescent="0.25">
      <c r="A1009" t="s">
        <v>1639</v>
      </c>
      <c r="B1009" t="s">
        <v>150</v>
      </c>
      <c r="C1009">
        <v>1</v>
      </c>
      <c r="D1009">
        <v>56894</v>
      </c>
      <c r="E1009" t="s">
        <v>2178</v>
      </c>
      <c r="F1009" t="s">
        <v>201</v>
      </c>
      <c r="G1009" s="31">
        <v>0.83020000000000005</v>
      </c>
      <c r="H1009" s="31">
        <v>0.87619999999999998</v>
      </c>
      <c r="I1009" t="s">
        <v>1954</v>
      </c>
      <c r="J1009" t="s">
        <v>1972</v>
      </c>
      <c r="K1009">
        <v>0</v>
      </c>
      <c r="L1009">
        <v>0</v>
      </c>
      <c r="M1009" s="32"/>
      <c r="O1009" t="s">
        <v>308</v>
      </c>
      <c r="P1009">
        <v>2</v>
      </c>
      <c r="Q1009" t="s">
        <v>1958</v>
      </c>
      <c r="R1009" t="s">
        <v>21</v>
      </c>
      <c r="S1009" t="s">
        <v>22</v>
      </c>
      <c r="T1009">
        <f t="shared" si="15"/>
        <v>529463.96</v>
      </c>
    </row>
  </sheetData>
  <autoFilter ref="A1:S1009" xr:uid="{00000000-0009-0000-0000-000004000000}">
    <sortState xmlns:xlrd2="http://schemas.microsoft.com/office/spreadsheetml/2017/richdata2" ref="A2:S1009">
      <sortCondition ref="M1:M1009"/>
    </sortState>
  </autoFilter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B2" sqref="B2"/>
    </sheetView>
  </sheetViews>
  <sheetFormatPr defaultRowHeight="15" x14ac:dyDescent="0.25"/>
  <cols>
    <col min="1" max="1" width="17" customWidth="1"/>
    <col min="2" max="2" width="36" customWidth="1"/>
    <col min="3" max="3" width="11" customWidth="1"/>
    <col min="4" max="4" width="15" customWidth="1"/>
    <col min="5" max="5" width="13" customWidth="1"/>
    <col min="6" max="6" width="24" customWidth="1"/>
    <col min="7" max="8" width="26" customWidth="1"/>
    <col min="9" max="9" width="20" customWidth="1"/>
    <col min="10" max="10" width="48" customWidth="1"/>
  </cols>
  <sheetData>
    <row r="1" spans="1:10" ht="36" customHeight="1" x14ac:dyDescent="0.25">
      <c r="A1" s="30" t="s">
        <v>37</v>
      </c>
      <c r="B1" s="30" t="s">
        <v>38</v>
      </c>
      <c r="C1" s="30" t="s">
        <v>1941</v>
      </c>
      <c r="D1" s="30" t="s">
        <v>2208</v>
      </c>
      <c r="E1" s="30" t="s">
        <v>2209</v>
      </c>
      <c r="F1" s="30" t="s">
        <v>2210</v>
      </c>
      <c r="G1" s="30" t="s">
        <v>39</v>
      </c>
      <c r="H1" s="30" t="s">
        <v>2211</v>
      </c>
      <c r="I1" s="30" t="s">
        <v>2212</v>
      </c>
      <c r="J1" s="30" t="s">
        <v>2213</v>
      </c>
    </row>
    <row r="2" spans="1:10" x14ac:dyDescent="0.25">
      <c r="A2">
        <v>3954</v>
      </c>
      <c r="B2" t="s">
        <v>1238</v>
      </c>
      <c r="C2" t="s">
        <v>118</v>
      </c>
      <c r="D2" t="s">
        <v>2218</v>
      </c>
      <c r="E2" t="s">
        <v>2465</v>
      </c>
      <c r="F2">
        <v>318</v>
      </c>
      <c r="G2">
        <v>31.856000000000002</v>
      </c>
      <c r="H2" s="32">
        <f t="shared" ref="H2:H65" si="0">IF(AND(F2&gt;0,G2&gt;0),F2/G2,"")</f>
        <v>9.9824208940231038</v>
      </c>
      <c r="I2">
        <v>1</v>
      </c>
      <c r="J2" t="s">
        <v>21</v>
      </c>
    </row>
    <row r="3" spans="1:10" x14ac:dyDescent="0.25">
      <c r="A3">
        <v>50888</v>
      </c>
      <c r="B3" t="s">
        <v>2128</v>
      </c>
      <c r="C3" t="s">
        <v>143</v>
      </c>
      <c r="D3" t="s">
        <v>2218</v>
      </c>
      <c r="E3" t="s">
        <v>2465</v>
      </c>
      <c r="F3">
        <v>77423</v>
      </c>
      <c r="G3">
        <v>5958.6019999999999</v>
      </c>
      <c r="H3" s="32">
        <f t="shared" si="0"/>
        <v>12.993484042062216</v>
      </c>
      <c r="I3">
        <v>1</v>
      </c>
      <c r="J3" t="s">
        <v>21</v>
      </c>
    </row>
    <row r="4" spans="1:10" x14ac:dyDescent="0.25">
      <c r="A4">
        <v>57767</v>
      </c>
      <c r="B4" t="s">
        <v>3049</v>
      </c>
      <c r="C4" t="s">
        <v>166</v>
      </c>
      <c r="D4" t="s">
        <v>2243</v>
      </c>
      <c r="E4" t="s">
        <v>2244</v>
      </c>
      <c r="F4">
        <v>6</v>
      </c>
      <c r="G4">
        <v>2</v>
      </c>
      <c r="H4" s="32">
        <f t="shared" si="0"/>
        <v>3</v>
      </c>
      <c r="I4">
        <v>1</v>
      </c>
      <c r="J4" t="s">
        <v>21</v>
      </c>
    </row>
    <row r="5" spans="1:10" x14ac:dyDescent="0.25">
      <c r="A5">
        <v>57613</v>
      </c>
      <c r="B5" t="s">
        <v>3018</v>
      </c>
      <c r="C5" t="s">
        <v>322</v>
      </c>
      <c r="D5" t="s">
        <v>2243</v>
      </c>
      <c r="E5" t="s">
        <v>2244</v>
      </c>
      <c r="F5">
        <v>6281</v>
      </c>
      <c r="G5">
        <v>1841</v>
      </c>
      <c r="H5" s="32">
        <f t="shared" si="0"/>
        <v>3.4117327539380771</v>
      </c>
      <c r="I5">
        <v>1</v>
      </c>
      <c r="J5" t="s">
        <v>21</v>
      </c>
    </row>
    <row r="6" spans="1:10" x14ac:dyDescent="0.25">
      <c r="A6">
        <v>57176</v>
      </c>
      <c r="B6" t="s">
        <v>2948</v>
      </c>
      <c r="C6" t="s">
        <v>672</v>
      </c>
      <c r="D6" t="s">
        <v>2243</v>
      </c>
      <c r="E6" t="s">
        <v>2244</v>
      </c>
      <c r="F6">
        <v>16895</v>
      </c>
      <c r="G6">
        <v>4952</v>
      </c>
      <c r="H6" s="32">
        <f t="shared" si="0"/>
        <v>3.4117528271405493</v>
      </c>
      <c r="I6">
        <v>1</v>
      </c>
      <c r="J6" t="s">
        <v>21</v>
      </c>
    </row>
    <row r="7" spans="1:10" x14ac:dyDescent="0.25">
      <c r="A7">
        <v>56376</v>
      </c>
      <c r="B7" t="s">
        <v>2857</v>
      </c>
      <c r="C7" t="s">
        <v>166</v>
      </c>
      <c r="D7" t="s">
        <v>2243</v>
      </c>
      <c r="E7" t="s">
        <v>2244</v>
      </c>
      <c r="F7">
        <v>1044</v>
      </c>
      <c r="G7">
        <v>306</v>
      </c>
      <c r="H7" s="32">
        <f t="shared" si="0"/>
        <v>3.4117647058823528</v>
      </c>
      <c r="I7">
        <v>1</v>
      </c>
      <c r="J7" t="s">
        <v>21</v>
      </c>
    </row>
    <row r="8" spans="1:10" x14ac:dyDescent="0.25">
      <c r="A8">
        <v>58887</v>
      </c>
      <c r="B8" t="s">
        <v>3328</v>
      </c>
      <c r="C8" t="s">
        <v>166</v>
      </c>
      <c r="D8" t="s">
        <v>2243</v>
      </c>
      <c r="E8" t="s">
        <v>2244</v>
      </c>
      <c r="F8">
        <v>16128</v>
      </c>
      <c r="G8">
        <v>4727</v>
      </c>
      <c r="H8" s="32">
        <f t="shared" si="0"/>
        <v>3.4118891474508146</v>
      </c>
      <c r="I8">
        <v>1</v>
      </c>
      <c r="J8" t="s">
        <v>21</v>
      </c>
    </row>
    <row r="9" spans="1:10" x14ac:dyDescent="0.25">
      <c r="A9">
        <v>56226</v>
      </c>
      <c r="B9" t="s">
        <v>2832</v>
      </c>
      <c r="C9" t="s">
        <v>322</v>
      </c>
      <c r="D9" t="s">
        <v>2243</v>
      </c>
      <c r="E9" t="s">
        <v>2244</v>
      </c>
      <c r="F9">
        <v>2692</v>
      </c>
      <c r="G9">
        <v>789</v>
      </c>
      <c r="H9" s="32">
        <f t="shared" si="0"/>
        <v>3.4119138149556401</v>
      </c>
      <c r="I9">
        <v>1</v>
      </c>
      <c r="J9" t="s">
        <v>21</v>
      </c>
    </row>
    <row r="10" spans="1:10" x14ac:dyDescent="0.25">
      <c r="A10">
        <v>55803</v>
      </c>
      <c r="B10" t="s">
        <v>2809</v>
      </c>
      <c r="C10" t="s">
        <v>143</v>
      </c>
      <c r="D10" t="s">
        <v>2243</v>
      </c>
      <c r="E10" t="s">
        <v>2244</v>
      </c>
      <c r="F10">
        <v>18967</v>
      </c>
      <c r="G10">
        <v>5559</v>
      </c>
      <c r="H10" s="32">
        <f t="shared" si="0"/>
        <v>3.4119445943515019</v>
      </c>
      <c r="I10">
        <v>1</v>
      </c>
      <c r="J10" t="s">
        <v>21</v>
      </c>
    </row>
    <row r="11" spans="1:10" x14ac:dyDescent="0.25">
      <c r="A11">
        <v>55805</v>
      </c>
      <c r="B11" t="s">
        <v>2810</v>
      </c>
      <c r="C11" t="s">
        <v>143</v>
      </c>
      <c r="D11" t="s">
        <v>2243</v>
      </c>
      <c r="E11" t="s">
        <v>2244</v>
      </c>
      <c r="F11">
        <v>64404</v>
      </c>
      <c r="G11">
        <v>18876</v>
      </c>
      <c r="H11" s="32">
        <f t="shared" si="0"/>
        <v>3.4119516846789573</v>
      </c>
      <c r="I11">
        <v>1</v>
      </c>
      <c r="J11" t="s">
        <v>21</v>
      </c>
    </row>
    <row r="12" spans="1:10" x14ac:dyDescent="0.25">
      <c r="A12">
        <v>57182</v>
      </c>
      <c r="B12" t="s">
        <v>2950</v>
      </c>
      <c r="C12" t="s">
        <v>143</v>
      </c>
      <c r="D12" t="s">
        <v>2243</v>
      </c>
      <c r="E12" t="s">
        <v>2244</v>
      </c>
      <c r="F12">
        <v>3197</v>
      </c>
      <c r="G12">
        <v>937</v>
      </c>
      <c r="H12" s="32">
        <f t="shared" si="0"/>
        <v>3.4119530416221986</v>
      </c>
      <c r="I12">
        <v>1</v>
      </c>
      <c r="J12" t="s">
        <v>21</v>
      </c>
    </row>
    <row r="13" spans="1:10" x14ac:dyDescent="0.25">
      <c r="A13">
        <v>57853</v>
      </c>
      <c r="B13" t="s">
        <v>3065</v>
      </c>
      <c r="C13" t="s">
        <v>250</v>
      </c>
      <c r="D13" t="s">
        <v>2243</v>
      </c>
      <c r="E13" t="s">
        <v>2244</v>
      </c>
      <c r="F13">
        <v>176579</v>
      </c>
      <c r="G13">
        <v>51753</v>
      </c>
      <c r="H13" s="32">
        <f t="shared" si="0"/>
        <v>3.4119567947751821</v>
      </c>
      <c r="I13">
        <v>1</v>
      </c>
      <c r="J13" t="s">
        <v>21</v>
      </c>
    </row>
    <row r="14" spans="1:10" x14ac:dyDescent="0.25">
      <c r="A14">
        <v>56299</v>
      </c>
      <c r="B14" t="s">
        <v>2844</v>
      </c>
      <c r="C14" t="s">
        <v>143</v>
      </c>
      <c r="D14" t="s">
        <v>2243</v>
      </c>
      <c r="E14" t="s">
        <v>2244</v>
      </c>
      <c r="F14">
        <v>234973</v>
      </c>
      <c r="G14">
        <v>68867.22</v>
      </c>
      <c r="H14" s="32">
        <f t="shared" si="0"/>
        <v>3.411971617265805</v>
      </c>
      <c r="I14">
        <v>1</v>
      </c>
      <c r="J14" t="s">
        <v>21</v>
      </c>
    </row>
    <row r="15" spans="1:10" x14ac:dyDescent="0.25">
      <c r="A15">
        <v>57852</v>
      </c>
      <c r="B15" t="s">
        <v>3064</v>
      </c>
      <c r="C15" t="s">
        <v>250</v>
      </c>
      <c r="D15" t="s">
        <v>2243</v>
      </c>
      <c r="E15" t="s">
        <v>2244</v>
      </c>
      <c r="F15">
        <v>381402</v>
      </c>
      <c r="G15">
        <v>111783</v>
      </c>
      <c r="H15" s="32">
        <f t="shared" si="0"/>
        <v>3.411985722337028</v>
      </c>
      <c r="I15">
        <v>1</v>
      </c>
      <c r="J15" t="s">
        <v>21</v>
      </c>
    </row>
    <row r="16" spans="1:10" x14ac:dyDescent="0.25">
      <c r="A16">
        <v>62482</v>
      </c>
      <c r="B16" t="s">
        <v>4163</v>
      </c>
      <c r="C16" t="s">
        <v>118</v>
      </c>
      <c r="D16" t="s">
        <v>2243</v>
      </c>
      <c r="E16" t="s">
        <v>2244</v>
      </c>
      <c r="F16">
        <v>434237</v>
      </c>
      <c r="G16">
        <v>127268</v>
      </c>
      <c r="H16" s="32">
        <f t="shared" si="0"/>
        <v>3.411988873872458</v>
      </c>
      <c r="I16">
        <v>1</v>
      </c>
      <c r="J16" t="s">
        <v>21</v>
      </c>
    </row>
    <row r="17" spans="1:10" x14ac:dyDescent="0.25">
      <c r="A17">
        <v>63907</v>
      </c>
      <c r="B17" t="s">
        <v>4436</v>
      </c>
      <c r="C17" t="s">
        <v>166</v>
      </c>
      <c r="D17" t="s">
        <v>2243</v>
      </c>
      <c r="E17" t="s">
        <v>2244</v>
      </c>
      <c r="F17">
        <v>458022</v>
      </c>
      <c r="G17">
        <v>134239</v>
      </c>
      <c r="H17" s="32">
        <f t="shared" si="0"/>
        <v>3.4119890642808723</v>
      </c>
      <c r="I17">
        <v>1</v>
      </c>
      <c r="J17" t="s">
        <v>21</v>
      </c>
    </row>
    <row r="18" spans="1:10" x14ac:dyDescent="0.25">
      <c r="A18">
        <v>57999</v>
      </c>
      <c r="B18" t="s">
        <v>3088</v>
      </c>
      <c r="C18" t="s">
        <v>143</v>
      </c>
      <c r="D18" t="s">
        <v>2243</v>
      </c>
      <c r="E18" t="s">
        <v>2244</v>
      </c>
      <c r="F18">
        <v>326804</v>
      </c>
      <c r="G18">
        <v>95781</v>
      </c>
      <c r="H18" s="32">
        <f t="shared" si="0"/>
        <v>3.4119919399463359</v>
      </c>
      <c r="I18">
        <v>1</v>
      </c>
      <c r="J18" t="s">
        <v>21</v>
      </c>
    </row>
    <row r="19" spans="1:10" x14ac:dyDescent="0.25">
      <c r="A19">
        <v>56001</v>
      </c>
      <c r="B19" t="s">
        <v>2820</v>
      </c>
      <c r="C19" t="s">
        <v>143</v>
      </c>
      <c r="D19" t="s">
        <v>2243</v>
      </c>
      <c r="E19" t="s">
        <v>2244</v>
      </c>
      <c r="F19">
        <v>352353</v>
      </c>
      <c r="G19">
        <v>103269</v>
      </c>
      <c r="H19" s="32">
        <f t="shared" si="0"/>
        <v>3.411991982104988</v>
      </c>
      <c r="I19">
        <v>1</v>
      </c>
      <c r="J19" t="s">
        <v>21</v>
      </c>
    </row>
    <row r="20" spans="1:10" x14ac:dyDescent="0.25">
      <c r="A20">
        <v>59693</v>
      </c>
      <c r="B20" t="s">
        <v>3563</v>
      </c>
      <c r="C20" t="s">
        <v>201</v>
      </c>
      <c r="D20" t="s">
        <v>3564</v>
      </c>
      <c r="E20" t="s">
        <v>2244</v>
      </c>
      <c r="F20">
        <v>170371</v>
      </c>
      <c r="G20">
        <v>49933</v>
      </c>
      <c r="H20" s="32">
        <f t="shared" si="0"/>
        <v>3.41199206937296</v>
      </c>
      <c r="I20">
        <v>1</v>
      </c>
      <c r="J20" t="s">
        <v>21</v>
      </c>
    </row>
    <row r="21" spans="1:10" x14ac:dyDescent="0.25">
      <c r="A21">
        <v>59147</v>
      </c>
      <c r="B21" t="s">
        <v>3390</v>
      </c>
      <c r="C21" t="s">
        <v>307</v>
      </c>
      <c r="D21" t="s">
        <v>2243</v>
      </c>
      <c r="E21" t="s">
        <v>2244</v>
      </c>
      <c r="F21">
        <v>292766</v>
      </c>
      <c r="G21">
        <v>85805</v>
      </c>
      <c r="H21" s="32">
        <f t="shared" si="0"/>
        <v>3.4119923081405514</v>
      </c>
      <c r="I21">
        <v>1</v>
      </c>
      <c r="J21" t="s">
        <v>21</v>
      </c>
    </row>
    <row r="22" spans="1:10" x14ac:dyDescent="0.25">
      <c r="A22">
        <v>62606</v>
      </c>
      <c r="B22" t="s">
        <v>4182</v>
      </c>
      <c r="C22" t="s">
        <v>166</v>
      </c>
      <c r="D22" t="s">
        <v>2243</v>
      </c>
      <c r="E22" t="s">
        <v>2244</v>
      </c>
      <c r="F22">
        <v>485762</v>
      </c>
      <c r="G22">
        <v>142369</v>
      </c>
      <c r="H22" s="32">
        <f t="shared" si="0"/>
        <v>3.4119927793269604</v>
      </c>
      <c r="I22">
        <v>1</v>
      </c>
      <c r="J22" t="s">
        <v>21</v>
      </c>
    </row>
    <row r="23" spans="1:10" x14ac:dyDescent="0.25">
      <c r="A23">
        <v>65143</v>
      </c>
      <c r="B23" t="s">
        <v>4692</v>
      </c>
      <c r="C23" t="s">
        <v>250</v>
      </c>
      <c r="D23" t="s">
        <v>2243</v>
      </c>
      <c r="E23" t="s">
        <v>2244</v>
      </c>
      <c r="F23">
        <v>354141</v>
      </c>
      <c r="G23">
        <v>103793</v>
      </c>
      <c r="H23" s="32">
        <f t="shared" si="0"/>
        <v>3.4119931016542542</v>
      </c>
      <c r="I23">
        <v>1</v>
      </c>
      <c r="J23" t="s">
        <v>21</v>
      </c>
    </row>
    <row r="24" spans="1:10" x14ac:dyDescent="0.25">
      <c r="A24">
        <v>57115</v>
      </c>
      <c r="B24" t="s">
        <v>2941</v>
      </c>
      <c r="C24" t="s">
        <v>131</v>
      </c>
      <c r="D24" t="s">
        <v>2243</v>
      </c>
      <c r="E24" t="s">
        <v>2244</v>
      </c>
      <c r="F24">
        <v>879629</v>
      </c>
      <c r="G24">
        <v>257805</v>
      </c>
      <c r="H24" s="32">
        <f t="shared" si="0"/>
        <v>3.4119935610248056</v>
      </c>
      <c r="I24">
        <v>1</v>
      </c>
      <c r="J24" t="s">
        <v>21</v>
      </c>
    </row>
    <row r="25" spans="1:10" x14ac:dyDescent="0.25">
      <c r="A25">
        <v>56878</v>
      </c>
      <c r="B25" t="s">
        <v>2915</v>
      </c>
      <c r="C25" t="s">
        <v>131</v>
      </c>
      <c r="D25" t="s">
        <v>2243</v>
      </c>
      <c r="E25" t="s">
        <v>2244</v>
      </c>
      <c r="F25">
        <v>830684</v>
      </c>
      <c r="G25">
        <v>243460</v>
      </c>
      <c r="H25" s="32">
        <f t="shared" si="0"/>
        <v>3.4119937566746077</v>
      </c>
      <c r="I25">
        <v>1</v>
      </c>
      <c r="J25" t="s">
        <v>21</v>
      </c>
    </row>
    <row r="26" spans="1:10" x14ac:dyDescent="0.25">
      <c r="A26">
        <v>57595</v>
      </c>
      <c r="B26" t="s">
        <v>3014</v>
      </c>
      <c r="C26" t="s">
        <v>118</v>
      </c>
      <c r="D26" t="s">
        <v>2243</v>
      </c>
      <c r="E26" t="s">
        <v>2244</v>
      </c>
      <c r="F26">
        <v>658317</v>
      </c>
      <c r="G26">
        <v>192942</v>
      </c>
      <c r="H26" s="32">
        <f t="shared" si="0"/>
        <v>3.4119942780732035</v>
      </c>
      <c r="I26">
        <v>1</v>
      </c>
      <c r="J26" t="s">
        <v>21</v>
      </c>
    </row>
    <row r="27" spans="1:10" x14ac:dyDescent="0.25">
      <c r="A27">
        <v>57044</v>
      </c>
      <c r="B27" t="s">
        <v>2932</v>
      </c>
      <c r="C27" t="s">
        <v>143</v>
      </c>
      <c r="D27" t="s">
        <v>2243</v>
      </c>
      <c r="E27" t="s">
        <v>2244</v>
      </c>
      <c r="F27">
        <v>904779</v>
      </c>
      <c r="G27">
        <v>265176</v>
      </c>
      <c r="H27" s="32">
        <f t="shared" si="0"/>
        <v>3.4119942981265274</v>
      </c>
      <c r="I27">
        <v>1</v>
      </c>
      <c r="J27" t="s">
        <v>21</v>
      </c>
    </row>
    <row r="28" spans="1:10" x14ac:dyDescent="0.25">
      <c r="A28">
        <v>57620</v>
      </c>
      <c r="B28" t="s">
        <v>3019</v>
      </c>
      <c r="C28" t="s">
        <v>322</v>
      </c>
      <c r="D28" t="s">
        <v>2243</v>
      </c>
      <c r="E28" t="s">
        <v>2244</v>
      </c>
      <c r="F28">
        <v>1086113</v>
      </c>
      <c r="G28">
        <v>318322</v>
      </c>
      <c r="H28" s="32">
        <f t="shared" si="0"/>
        <v>3.4119947725887623</v>
      </c>
      <c r="I28">
        <v>1</v>
      </c>
      <c r="J28" t="s">
        <v>21</v>
      </c>
    </row>
    <row r="29" spans="1:10" x14ac:dyDescent="0.25">
      <c r="A29">
        <v>60132</v>
      </c>
      <c r="B29" t="s">
        <v>3682</v>
      </c>
      <c r="C29" t="s">
        <v>118</v>
      </c>
      <c r="D29" t="s">
        <v>2243</v>
      </c>
      <c r="E29" t="s">
        <v>2244</v>
      </c>
      <c r="F29">
        <v>998667</v>
      </c>
      <c r="G29">
        <v>292693</v>
      </c>
      <c r="H29" s="32">
        <f t="shared" si="0"/>
        <v>3.4119948205115942</v>
      </c>
      <c r="I29">
        <v>1</v>
      </c>
      <c r="J29" t="s">
        <v>21</v>
      </c>
    </row>
    <row r="30" spans="1:10" x14ac:dyDescent="0.25">
      <c r="A30">
        <v>59021</v>
      </c>
      <c r="B30" t="s">
        <v>3354</v>
      </c>
      <c r="C30" t="s">
        <v>166</v>
      </c>
      <c r="D30" t="s">
        <v>2243</v>
      </c>
      <c r="E30" t="s">
        <v>2244</v>
      </c>
      <c r="F30">
        <v>1152374</v>
      </c>
      <c r="G30">
        <v>337742</v>
      </c>
      <c r="H30" s="32">
        <f t="shared" si="0"/>
        <v>3.4119949547287574</v>
      </c>
      <c r="I30">
        <v>1</v>
      </c>
      <c r="J30" t="s">
        <v>21</v>
      </c>
    </row>
    <row r="31" spans="1:10" x14ac:dyDescent="0.25">
      <c r="A31">
        <v>56805</v>
      </c>
      <c r="B31" t="s">
        <v>2906</v>
      </c>
      <c r="C31" t="s">
        <v>166</v>
      </c>
      <c r="D31" t="s">
        <v>2243</v>
      </c>
      <c r="E31" t="s">
        <v>2244</v>
      </c>
      <c r="F31">
        <v>856595</v>
      </c>
      <c r="G31">
        <v>251054</v>
      </c>
      <c r="H31" s="32">
        <f t="shared" si="0"/>
        <v>3.4119950289579135</v>
      </c>
      <c r="I31">
        <v>1</v>
      </c>
      <c r="J31" t="s">
        <v>21</v>
      </c>
    </row>
    <row r="32" spans="1:10" x14ac:dyDescent="0.25">
      <c r="A32">
        <v>58908</v>
      </c>
      <c r="B32" t="s">
        <v>3334</v>
      </c>
      <c r="C32" t="s">
        <v>250</v>
      </c>
      <c r="D32" t="s">
        <v>2243</v>
      </c>
      <c r="E32" t="s">
        <v>2244</v>
      </c>
      <c r="F32">
        <v>431730</v>
      </c>
      <c r="G32">
        <v>126533</v>
      </c>
      <c r="H32" s="32">
        <f t="shared" si="0"/>
        <v>3.4119952897663062</v>
      </c>
      <c r="I32">
        <v>1</v>
      </c>
      <c r="J32" t="s">
        <v>21</v>
      </c>
    </row>
    <row r="33" spans="1:10" x14ac:dyDescent="0.25">
      <c r="A33">
        <v>65741</v>
      </c>
      <c r="B33" t="s">
        <v>4797</v>
      </c>
      <c r="C33" t="s">
        <v>143</v>
      </c>
      <c r="D33" t="s">
        <v>2243</v>
      </c>
      <c r="E33" t="s">
        <v>2244</v>
      </c>
      <c r="F33">
        <v>857919</v>
      </c>
      <c r="G33">
        <v>251442</v>
      </c>
      <c r="H33" s="32">
        <f t="shared" si="0"/>
        <v>3.4119956093254111</v>
      </c>
      <c r="I33">
        <v>1</v>
      </c>
      <c r="J33" t="s">
        <v>21</v>
      </c>
    </row>
    <row r="34" spans="1:10" x14ac:dyDescent="0.25">
      <c r="A34">
        <v>56699</v>
      </c>
      <c r="B34" t="s">
        <v>2899</v>
      </c>
      <c r="C34" t="s">
        <v>143</v>
      </c>
      <c r="D34" t="s">
        <v>2243</v>
      </c>
      <c r="E34" t="s">
        <v>2244</v>
      </c>
      <c r="F34">
        <v>186817</v>
      </c>
      <c r="G34">
        <v>54753</v>
      </c>
      <c r="H34" s="32">
        <f t="shared" si="0"/>
        <v>3.4119956897338959</v>
      </c>
      <c r="I34">
        <v>1</v>
      </c>
      <c r="J34" t="s">
        <v>21</v>
      </c>
    </row>
    <row r="35" spans="1:10" x14ac:dyDescent="0.25">
      <c r="A35">
        <v>67962</v>
      </c>
      <c r="B35" t="s">
        <v>5198</v>
      </c>
      <c r="C35" t="s">
        <v>307</v>
      </c>
      <c r="D35" t="s">
        <v>2243</v>
      </c>
      <c r="E35" t="s">
        <v>2244</v>
      </c>
      <c r="F35">
        <v>307298</v>
      </c>
      <c r="G35">
        <v>90064</v>
      </c>
      <c r="H35" s="32">
        <f t="shared" si="0"/>
        <v>3.4119959140166993</v>
      </c>
      <c r="I35">
        <v>1</v>
      </c>
      <c r="J35" t="s">
        <v>21</v>
      </c>
    </row>
    <row r="36" spans="1:10" x14ac:dyDescent="0.25">
      <c r="A36">
        <v>60551</v>
      </c>
      <c r="B36" t="s">
        <v>3796</v>
      </c>
      <c r="C36" t="s">
        <v>143</v>
      </c>
      <c r="D36" t="s">
        <v>2243</v>
      </c>
      <c r="E36" t="s">
        <v>2244</v>
      </c>
      <c r="F36">
        <v>1017853</v>
      </c>
      <c r="G36">
        <v>298316</v>
      </c>
      <c r="H36" s="32">
        <f t="shared" si="0"/>
        <v>3.4119960042371176</v>
      </c>
      <c r="I36">
        <v>1</v>
      </c>
      <c r="J36" t="s">
        <v>21</v>
      </c>
    </row>
    <row r="37" spans="1:10" x14ac:dyDescent="0.25">
      <c r="A37">
        <v>62944</v>
      </c>
      <c r="B37" t="s">
        <v>4260</v>
      </c>
      <c r="C37" t="s">
        <v>322</v>
      </c>
      <c r="D37" t="s">
        <v>2243</v>
      </c>
      <c r="E37" t="s">
        <v>2244</v>
      </c>
      <c r="F37">
        <v>1346227</v>
      </c>
      <c r="G37">
        <v>394557</v>
      </c>
      <c r="H37" s="32">
        <f t="shared" si="0"/>
        <v>3.4119962388197398</v>
      </c>
      <c r="I37">
        <v>1</v>
      </c>
      <c r="J37" t="s">
        <v>21</v>
      </c>
    </row>
    <row r="38" spans="1:10" x14ac:dyDescent="0.25">
      <c r="A38">
        <v>62891</v>
      </c>
      <c r="B38" t="s">
        <v>4247</v>
      </c>
      <c r="C38" t="s">
        <v>131</v>
      </c>
      <c r="D38" t="s">
        <v>2243</v>
      </c>
      <c r="E38" t="s">
        <v>2244</v>
      </c>
      <c r="F38">
        <v>1053703</v>
      </c>
      <c r="G38">
        <v>308823</v>
      </c>
      <c r="H38" s="32">
        <f t="shared" si="0"/>
        <v>3.4119965158035508</v>
      </c>
      <c r="I38">
        <v>1</v>
      </c>
      <c r="J38" t="s">
        <v>21</v>
      </c>
    </row>
    <row r="39" spans="1:10" x14ac:dyDescent="0.25">
      <c r="A39">
        <v>61106</v>
      </c>
      <c r="B39" t="s">
        <v>3942</v>
      </c>
      <c r="C39" t="s">
        <v>250</v>
      </c>
      <c r="D39" t="s">
        <v>2243</v>
      </c>
      <c r="E39" t="s">
        <v>2244</v>
      </c>
      <c r="F39">
        <v>1298698</v>
      </c>
      <c r="G39">
        <v>380627</v>
      </c>
      <c r="H39" s="32">
        <f t="shared" si="0"/>
        <v>3.4119965215289509</v>
      </c>
      <c r="I39">
        <v>1</v>
      </c>
      <c r="J39" t="s">
        <v>21</v>
      </c>
    </row>
    <row r="40" spans="1:10" x14ac:dyDescent="0.25">
      <c r="A40">
        <v>61916</v>
      </c>
      <c r="B40" t="s">
        <v>4087</v>
      </c>
      <c r="C40" t="s">
        <v>250</v>
      </c>
      <c r="D40" t="s">
        <v>2243</v>
      </c>
      <c r="E40" t="s">
        <v>2244</v>
      </c>
      <c r="F40">
        <v>1319658</v>
      </c>
      <c r="G40">
        <v>386770</v>
      </c>
      <c r="H40" s="32">
        <f t="shared" si="0"/>
        <v>3.4119967939602347</v>
      </c>
      <c r="I40">
        <v>1</v>
      </c>
      <c r="J40" t="s">
        <v>21</v>
      </c>
    </row>
    <row r="41" spans="1:10" x14ac:dyDescent="0.25">
      <c r="A41">
        <v>57131</v>
      </c>
      <c r="B41" t="s">
        <v>2942</v>
      </c>
      <c r="C41" t="s">
        <v>250</v>
      </c>
      <c r="D41" t="s">
        <v>2243</v>
      </c>
      <c r="E41" t="s">
        <v>2244</v>
      </c>
      <c r="F41">
        <v>427571</v>
      </c>
      <c r="G41">
        <v>125314</v>
      </c>
      <c r="H41" s="32">
        <f t="shared" si="0"/>
        <v>3.4119970633767975</v>
      </c>
      <c r="I41">
        <v>1</v>
      </c>
      <c r="J41" t="s">
        <v>21</v>
      </c>
    </row>
    <row r="42" spans="1:10" x14ac:dyDescent="0.25">
      <c r="A42">
        <v>56297</v>
      </c>
      <c r="B42" t="s">
        <v>2843</v>
      </c>
      <c r="C42" t="s">
        <v>166</v>
      </c>
      <c r="D42" t="s">
        <v>2243</v>
      </c>
      <c r="E42" t="s">
        <v>2244</v>
      </c>
      <c r="F42">
        <v>679547</v>
      </c>
      <c r="G42">
        <v>199164</v>
      </c>
      <c r="H42" s="32">
        <f t="shared" si="0"/>
        <v>3.4119971480789699</v>
      </c>
      <c r="I42">
        <v>1</v>
      </c>
      <c r="J42" t="s">
        <v>21</v>
      </c>
    </row>
    <row r="43" spans="1:10" x14ac:dyDescent="0.25">
      <c r="A43">
        <v>63384</v>
      </c>
      <c r="B43" t="s">
        <v>4341</v>
      </c>
      <c r="C43" t="s">
        <v>166</v>
      </c>
      <c r="D43" t="s">
        <v>2243</v>
      </c>
      <c r="E43" t="s">
        <v>2244</v>
      </c>
      <c r="F43">
        <v>1037022</v>
      </c>
      <c r="G43">
        <v>303934</v>
      </c>
      <c r="H43" s="32">
        <f t="shared" si="0"/>
        <v>3.4119973415280951</v>
      </c>
      <c r="I43">
        <v>1</v>
      </c>
      <c r="J43" t="s">
        <v>21</v>
      </c>
    </row>
    <row r="44" spans="1:10" x14ac:dyDescent="0.25">
      <c r="A44">
        <v>56941</v>
      </c>
      <c r="B44" t="s">
        <v>2923</v>
      </c>
      <c r="C44" t="s">
        <v>166</v>
      </c>
      <c r="D44" t="s">
        <v>2243</v>
      </c>
      <c r="E44" t="s">
        <v>2244</v>
      </c>
      <c r="F44">
        <v>1525951</v>
      </c>
      <c r="G44">
        <v>447231</v>
      </c>
      <c r="H44" s="32">
        <f t="shared" si="0"/>
        <v>3.4119973794303169</v>
      </c>
      <c r="I44">
        <v>1</v>
      </c>
      <c r="J44" t="s">
        <v>21</v>
      </c>
    </row>
    <row r="45" spans="1:10" x14ac:dyDescent="0.25">
      <c r="A45">
        <v>57285</v>
      </c>
      <c r="B45" t="s">
        <v>2963</v>
      </c>
      <c r="C45" t="s">
        <v>143</v>
      </c>
      <c r="D45" t="s">
        <v>2243</v>
      </c>
      <c r="E45" t="s">
        <v>2244</v>
      </c>
      <c r="F45">
        <v>447463</v>
      </c>
      <c r="G45">
        <v>131144</v>
      </c>
      <c r="H45" s="32">
        <f t="shared" si="0"/>
        <v>3.4119974989324713</v>
      </c>
      <c r="I45">
        <v>1</v>
      </c>
      <c r="J45" t="s">
        <v>21</v>
      </c>
    </row>
    <row r="46" spans="1:10" x14ac:dyDescent="0.25">
      <c r="A46">
        <v>66568</v>
      </c>
      <c r="B46" t="s">
        <v>4926</v>
      </c>
      <c r="C46" t="s">
        <v>166</v>
      </c>
      <c r="D46" t="s">
        <v>2243</v>
      </c>
      <c r="E46" t="s">
        <v>2244</v>
      </c>
      <c r="F46">
        <v>1085626</v>
      </c>
      <c r="G46">
        <v>318179</v>
      </c>
      <c r="H46" s="32">
        <f t="shared" si="0"/>
        <v>3.4119976491220352</v>
      </c>
      <c r="I46">
        <v>1</v>
      </c>
      <c r="J46" t="s">
        <v>21</v>
      </c>
    </row>
    <row r="47" spans="1:10" x14ac:dyDescent="0.25">
      <c r="A47">
        <v>57139</v>
      </c>
      <c r="B47" t="s">
        <v>2944</v>
      </c>
      <c r="C47" t="s">
        <v>143</v>
      </c>
      <c r="D47" t="s">
        <v>2243</v>
      </c>
      <c r="E47" t="s">
        <v>2244</v>
      </c>
      <c r="F47">
        <v>437500</v>
      </c>
      <c r="G47">
        <v>128224</v>
      </c>
      <c r="H47" s="32">
        <f t="shared" si="0"/>
        <v>3.4119977539306214</v>
      </c>
      <c r="I47">
        <v>1</v>
      </c>
      <c r="J47" t="s">
        <v>21</v>
      </c>
    </row>
    <row r="48" spans="1:10" x14ac:dyDescent="0.25">
      <c r="A48">
        <v>56495</v>
      </c>
      <c r="B48" t="s">
        <v>2872</v>
      </c>
      <c r="C48" t="s">
        <v>118</v>
      </c>
      <c r="D48" t="s">
        <v>2243</v>
      </c>
      <c r="E48" t="s">
        <v>2244</v>
      </c>
      <c r="F48">
        <v>1131497</v>
      </c>
      <c r="G48">
        <v>331623</v>
      </c>
      <c r="H48" s="32">
        <f t="shared" si="0"/>
        <v>3.4119979615406653</v>
      </c>
      <c r="I48">
        <v>1</v>
      </c>
      <c r="J48" t="s">
        <v>21</v>
      </c>
    </row>
    <row r="49" spans="1:10" x14ac:dyDescent="0.25">
      <c r="A49">
        <v>61344</v>
      </c>
      <c r="B49" t="s">
        <v>3997</v>
      </c>
      <c r="C49" t="s">
        <v>166</v>
      </c>
      <c r="D49" t="s">
        <v>2243</v>
      </c>
      <c r="E49" t="s">
        <v>2244</v>
      </c>
      <c r="F49">
        <v>1535655</v>
      </c>
      <c r="G49">
        <v>450075</v>
      </c>
      <c r="H49" s="32">
        <f t="shared" si="0"/>
        <v>3.4119980003332779</v>
      </c>
      <c r="I49">
        <v>1</v>
      </c>
      <c r="J49" t="s">
        <v>21</v>
      </c>
    </row>
    <row r="50" spans="1:10" x14ac:dyDescent="0.25">
      <c r="A50">
        <v>57493</v>
      </c>
      <c r="B50" t="s">
        <v>3008</v>
      </c>
      <c r="C50" t="s">
        <v>166</v>
      </c>
      <c r="D50" t="s">
        <v>2243</v>
      </c>
      <c r="E50" t="s">
        <v>2244</v>
      </c>
      <c r="F50">
        <v>1093153</v>
      </c>
      <c r="G50">
        <v>320385</v>
      </c>
      <c r="H50" s="32">
        <f t="shared" si="0"/>
        <v>3.4119980648282535</v>
      </c>
      <c r="I50">
        <v>1</v>
      </c>
      <c r="J50" t="s">
        <v>21</v>
      </c>
    </row>
    <row r="51" spans="1:10" x14ac:dyDescent="0.25">
      <c r="A51">
        <v>67910</v>
      </c>
      <c r="B51" t="s">
        <v>5192</v>
      </c>
      <c r="C51" t="s">
        <v>708</v>
      </c>
      <c r="D51" t="s">
        <v>2243</v>
      </c>
      <c r="E51" t="s">
        <v>2244</v>
      </c>
      <c r="F51">
        <v>1281468</v>
      </c>
      <c r="G51">
        <v>375577</v>
      </c>
      <c r="H51" s="32">
        <f t="shared" si="0"/>
        <v>3.4119980722994221</v>
      </c>
      <c r="I51">
        <v>1</v>
      </c>
      <c r="J51" t="s">
        <v>21</v>
      </c>
    </row>
    <row r="52" spans="1:10" x14ac:dyDescent="0.25">
      <c r="A52">
        <v>57675</v>
      </c>
      <c r="B52" t="s">
        <v>3031</v>
      </c>
      <c r="C52" t="s">
        <v>166</v>
      </c>
      <c r="D52" t="s">
        <v>2243</v>
      </c>
      <c r="E52" t="s">
        <v>2244</v>
      </c>
      <c r="F52">
        <v>1605021</v>
      </c>
      <c r="G52">
        <v>470405</v>
      </c>
      <c r="H52" s="32">
        <f t="shared" si="0"/>
        <v>3.4119981717881398</v>
      </c>
      <c r="I52">
        <v>1</v>
      </c>
      <c r="J52" t="s">
        <v>21</v>
      </c>
    </row>
    <row r="53" spans="1:10" x14ac:dyDescent="0.25">
      <c r="A53">
        <v>60470</v>
      </c>
      <c r="B53" t="s">
        <v>3782</v>
      </c>
      <c r="C53" t="s">
        <v>322</v>
      </c>
      <c r="D53" t="s">
        <v>2243</v>
      </c>
      <c r="E53" t="s">
        <v>2244</v>
      </c>
      <c r="F53">
        <v>1092788</v>
      </c>
      <c r="G53">
        <v>320278</v>
      </c>
      <c r="H53" s="32">
        <f t="shared" si="0"/>
        <v>3.4119983264538933</v>
      </c>
      <c r="I53">
        <v>1</v>
      </c>
      <c r="J53" t="s">
        <v>21</v>
      </c>
    </row>
    <row r="54" spans="1:10" x14ac:dyDescent="0.25">
      <c r="A54">
        <v>56659</v>
      </c>
      <c r="B54" t="s">
        <v>2889</v>
      </c>
      <c r="C54" t="s">
        <v>250</v>
      </c>
      <c r="D54" t="s">
        <v>2243</v>
      </c>
      <c r="E54" t="s">
        <v>2244</v>
      </c>
      <c r="F54">
        <v>1122759</v>
      </c>
      <c r="G54">
        <v>329062</v>
      </c>
      <c r="H54" s="32">
        <f t="shared" si="0"/>
        <v>3.4119983468161017</v>
      </c>
      <c r="I54">
        <v>1</v>
      </c>
      <c r="J54" t="s">
        <v>21</v>
      </c>
    </row>
    <row r="55" spans="1:10" x14ac:dyDescent="0.25">
      <c r="A55">
        <v>59968</v>
      </c>
      <c r="B55" t="s">
        <v>3634</v>
      </c>
      <c r="C55" t="s">
        <v>708</v>
      </c>
      <c r="D55" t="s">
        <v>2243</v>
      </c>
      <c r="E55" t="s">
        <v>2244</v>
      </c>
      <c r="F55">
        <v>1913029</v>
      </c>
      <c r="G55">
        <v>560677</v>
      </c>
      <c r="H55" s="32">
        <f t="shared" si="0"/>
        <v>3.4119983519923234</v>
      </c>
      <c r="I55">
        <v>1</v>
      </c>
      <c r="J55" t="s">
        <v>21</v>
      </c>
    </row>
    <row r="56" spans="1:10" x14ac:dyDescent="0.25">
      <c r="A56">
        <v>58780</v>
      </c>
      <c r="B56" t="s">
        <v>3276</v>
      </c>
      <c r="C56" t="s">
        <v>322</v>
      </c>
      <c r="D56" t="s">
        <v>2243</v>
      </c>
      <c r="E56" t="s">
        <v>2244</v>
      </c>
      <c r="F56">
        <v>1789484</v>
      </c>
      <c r="G56">
        <v>524468</v>
      </c>
      <c r="H56" s="32">
        <f t="shared" si="0"/>
        <v>3.4119984441376787</v>
      </c>
      <c r="I56">
        <v>1</v>
      </c>
      <c r="J56" t="s">
        <v>21</v>
      </c>
    </row>
    <row r="57" spans="1:10" x14ac:dyDescent="0.25">
      <c r="A57">
        <v>57769</v>
      </c>
      <c r="B57" t="s">
        <v>3051</v>
      </c>
      <c r="C57" t="s">
        <v>143</v>
      </c>
      <c r="D57" t="s">
        <v>2243</v>
      </c>
      <c r="E57" t="s">
        <v>2244</v>
      </c>
      <c r="F57">
        <v>1047562</v>
      </c>
      <c r="G57">
        <v>307023</v>
      </c>
      <c r="H57" s="32">
        <f t="shared" si="0"/>
        <v>3.4119984496275522</v>
      </c>
      <c r="I57">
        <v>1</v>
      </c>
      <c r="J57" t="s">
        <v>21</v>
      </c>
    </row>
    <row r="58" spans="1:10" x14ac:dyDescent="0.25">
      <c r="A58">
        <v>57851</v>
      </c>
      <c r="B58" t="s">
        <v>3063</v>
      </c>
      <c r="C58" t="s">
        <v>250</v>
      </c>
      <c r="D58" t="s">
        <v>2243</v>
      </c>
      <c r="E58" t="s">
        <v>2244</v>
      </c>
      <c r="F58">
        <v>864539</v>
      </c>
      <c r="G58">
        <v>253382</v>
      </c>
      <c r="H58" s="32">
        <f t="shared" si="0"/>
        <v>3.4119984845016615</v>
      </c>
      <c r="I58">
        <v>1</v>
      </c>
      <c r="J58" t="s">
        <v>21</v>
      </c>
    </row>
    <row r="59" spans="1:10" x14ac:dyDescent="0.25">
      <c r="A59">
        <v>61330</v>
      </c>
      <c r="B59" t="s">
        <v>3993</v>
      </c>
      <c r="C59" t="s">
        <v>322</v>
      </c>
      <c r="D59" t="s">
        <v>2243</v>
      </c>
      <c r="E59" t="s">
        <v>2244</v>
      </c>
      <c r="F59">
        <v>692779</v>
      </c>
      <c r="G59">
        <v>203042</v>
      </c>
      <c r="H59" s="32">
        <f t="shared" si="0"/>
        <v>3.4119985027728252</v>
      </c>
      <c r="I59">
        <v>1</v>
      </c>
      <c r="J59" t="s">
        <v>21</v>
      </c>
    </row>
    <row r="60" spans="1:10" x14ac:dyDescent="0.25">
      <c r="A60">
        <v>57628</v>
      </c>
      <c r="B60" t="s">
        <v>3022</v>
      </c>
      <c r="C60" t="s">
        <v>131</v>
      </c>
      <c r="D60" t="s">
        <v>2243</v>
      </c>
      <c r="E60" t="s">
        <v>2244</v>
      </c>
      <c r="F60">
        <v>1130013</v>
      </c>
      <c r="G60">
        <v>331188</v>
      </c>
      <c r="H60" s="32">
        <f t="shared" si="0"/>
        <v>3.4119986231385195</v>
      </c>
      <c r="I60">
        <v>1</v>
      </c>
      <c r="J60" t="s">
        <v>21</v>
      </c>
    </row>
    <row r="61" spans="1:10" x14ac:dyDescent="0.25">
      <c r="A61">
        <v>57113</v>
      </c>
      <c r="B61" t="s">
        <v>2940</v>
      </c>
      <c r="C61" t="s">
        <v>166</v>
      </c>
      <c r="D61" t="s">
        <v>2243</v>
      </c>
      <c r="E61" t="s">
        <v>2244</v>
      </c>
      <c r="F61">
        <v>1643007</v>
      </c>
      <c r="G61">
        <v>481538</v>
      </c>
      <c r="H61" s="32">
        <f t="shared" si="0"/>
        <v>3.4119986376983746</v>
      </c>
      <c r="I61">
        <v>1</v>
      </c>
      <c r="J61" t="s">
        <v>21</v>
      </c>
    </row>
    <row r="62" spans="1:10" x14ac:dyDescent="0.25">
      <c r="A62">
        <v>57463</v>
      </c>
      <c r="B62" t="s">
        <v>3000</v>
      </c>
      <c r="C62" t="s">
        <v>166</v>
      </c>
      <c r="D62" t="s">
        <v>2243</v>
      </c>
      <c r="E62" t="s">
        <v>2244</v>
      </c>
      <c r="F62">
        <v>2433864</v>
      </c>
      <c r="G62">
        <v>713325</v>
      </c>
      <c r="H62" s="32">
        <f t="shared" si="0"/>
        <v>3.4119987383030175</v>
      </c>
      <c r="I62">
        <v>1</v>
      </c>
      <c r="J62" t="s">
        <v>21</v>
      </c>
    </row>
    <row r="63" spans="1:10" x14ac:dyDescent="0.25">
      <c r="A63">
        <v>56450</v>
      </c>
      <c r="B63" t="s">
        <v>2866</v>
      </c>
      <c r="C63" t="s">
        <v>166</v>
      </c>
      <c r="D63" t="s">
        <v>2243</v>
      </c>
      <c r="E63" t="s">
        <v>2244</v>
      </c>
      <c r="F63">
        <v>1065557</v>
      </c>
      <c r="G63">
        <v>312297</v>
      </c>
      <c r="H63" s="32">
        <f t="shared" si="0"/>
        <v>3.411998834442854</v>
      </c>
      <c r="I63">
        <v>1</v>
      </c>
      <c r="J63" t="s">
        <v>21</v>
      </c>
    </row>
    <row r="64" spans="1:10" x14ac:dyDescent="0.25">
      <c r="A64">
        <v>63666</v>
      </c>
      <c r="B64" t="s">
        <v>4385</v>
      </c>
      <c r="C64" t="s">
        <v>131</v>
      </c>
      <c r="D64" t="s">
        <v>2243</v>
      </c>
      <c r="E64" t="s">
        <v>2244</v>
      </c>
      <c r="F64">
        <v>1227470</v>
      </c>
      <c r="G64">
        <v>359751</v>
      </c>
      <c r="H64" s="32">
        <f t="shared" si="0"/>
        <v>3.4119988547634335</v>
      </c>
      <c r="I64">
        <v>1</v>
      </c>
      <c r="J64" t="s">
        <v>21</v>
      </c>
    </row>
    <row r="65" spans="1:10" x14ac:dyDescent="0.25">
      <c r="A65">
        <v>56451</v>
      </c>
      <c r="B65" t="s">
        <v>2867</v>
      </c>
      <c r="C65" t="s">
        <v>143</v>
      </c>
      <c r="D65" t="s">
        <v>2243</v>
      </c>
      <c r="E65" t="s">
        <v>2244</v>
      </c>
      <c r="F65">
        <v>679735</v>
      </c>
      <c r="G65">
        <v>199219</v>
      </c>
      <c r="H65" s="32">
        <f t="shared" si="0"/>
        <v>3.411998855530848</v>
      </c>
      <c r="I65">
        <v>1</v>
      </c>
      <c r="J65" t="s">
        <v>21</v>
      </c>
    </row>
    <row r="66" spans="1:10" x14ac:dyDescent="0.25">
      <c r="A66">
        <v>66093</v>
      </c>
      <c r="B66" t="s">
        <v>4847</v>
      </c>
      <c r="C66" t="s">
        <v>166</v>
      </c>
      <c r="D66" t="s">
        <v>2243</v>
      </c>
      <c r="E66" t="s">
        <v>2244</v>
      </c>
      <c r="F66">
        <v>1959180</v>
      </c>
      <c r="G66">
        <v>574203</v>
      </c>
      <c r="H66" s="32">
        <f t="shared" ref="H66:H129" si="1">IF(AND(F66&gt;0,G66&gt;0),F66/G66,"")</f>
        <v>3.4119988923777829</v>
      </c>
      <c r="I66">
        <v>1</v>
      </c>
      <c r="J66" t="s">
        <v>21</v>
      </c>
    </row>
    <row r="67" spans="1:10" x14ac:dyDescent="0.25">
      <c r="A67">
        <v>66861</v>
      </c>
      <c r="B67" t="s">
        <v>4982</v>
      </c>
      <c r="C67" t="s">
        <v>131</v>
      </c>
      <c r="D67" t="s">
        <v>2243</v>
      </c>
      <c r="E67" t="s">
        <v>2244</v>
      </c>
      <c r="F67">
        <v>2021739</v>
      </c>
      <c r="G67">
        <v>592538</v>
      </c>
      <c r="H67" s="32">
        <f t="shared" si="1"/>
        <v>3.4119988928980081</v>
      </c>
      <c r="I67">
        <v>1</v>
      </c>
      <c r="J67" t="s">
        <v>21</v>
      </c>
    </row>
    <row r="68" spans="1:10" x14ac:dyDescent="0.25">
      <c r="A68">
        <v>64381</v>
      </c>
      <c r="B68" t="s">
        <v>4554</v>
      </c>
      <c r="C68" t="s">
        <v>166</v>
      </c>
      <c r="D68" t="s">
        <v>2243</v>
      </c>
      <c r="E68" t="s">
        <v>2244</v>
      </c>
      <c r="F68">
        <v>2157424</v>
      </c>
      <c r="G68">
        <v>632305</v>
      </c>
      <c r="H68" s="32">
        <f t="shared" si="1"/>
        <v>3.4119989561999353</v>
      </c>
      <c r="I68">
        <v>1</v>
      </c>
      <c r="J68" t="s">
        <v>21</v>
      </c>
    </row>
    <row r="69" spans="1:10" x14ac:dyDescent="0.25">
      <c r="A69">
        <v>58020</v>
      </c>
      <c r="B69" t="s">
        <v>3092</v>
      </c>
      <c r="C69" t="s">
        <v>250</v>
      </c>
      <c r="D69" t="s">
        <v>2243</v>
      </c>
      <c r="E69" t="s">
        <v>2244</v>
      </c>
      <c r="F69">
        <v>634004</v>
      </c>
      <c r="G69">
        <v>185816</v>
      </c>
      <c r="H69" s="32">
        <f t="shared" si="1"/>
        <v>3.4119989667197657</v>
      </c>
      <c r="I69">
        <v>1</v>
      </c>
      <c r="J69" t="s">
        <v>21</v>
      </c>
    </row>
    <row r="70" spans="1:10" x14ac:dyDescent="0.25">
      <c r="A70">
        <v>60587</v>
      </c>
      <c r="B70" t="s">
        <v>3809</v>
      </c>
      <c r="C70" t="s">
        <v>166</v>
      </c>
      <c r="D70" t="s">
        <v>2243</v>
      </c>
      <c r="E70" t="s">
        <v>2244</v>
      </c>
      <c r="F70">
        <v>2121250</v>
      </c>
      <c r="G70">
        <v>621703</v>
      </c>
      <c r="H70" s="32">
        <f t="shared" si="1"/>
        <v>3.4119989770034889</v>
      </c>
      <c r="I70">
        <v>1</v>
      </c>
      <c r="J70" t="s">
        <v>21</v>
      </c>
    </row>
    <row r="71" spans="1:10" x14ac:dyDescent="0.25">
      <c r="A71">
        <v>56640</v>
      </c>
      <c r="B71" t="s">
        <v>2887</v>
      </c>
      <c r="C71" t="s">
        <v>166</v>
      </c>
      <c r="D71" t="s">
        <v>2243</v>
      </c>
      <c r="E71" t="s">
        <v>2244</v>
      </c>
      <c r="F71">
        <v>1385664</v>
      </c>
      <c r="G71">
        <v>406115</v>
      </c>
      <c r="H71" s="32">
        <f t="shared" si="1"/>
        <v>3.411999064304446</v>
      </c>
      <c r="I71">
        <v>1</v>
      </c>
      <c r="J71" t="s">
        <v>21</v>
      </c>
    </row>
    <row r="72" spans="1:10" x14ac:dyDescent="0.25">
      <c r="A72">
        <v>61756</v>
      </c>
      <c r="B72" t="s">
        <v>4058</v>
      </c>
      <c r="C72" t="s">
        <v>131</v>
      </c>
      <c r="D72" t="s">
        <v>2243</v>
      </c>
      <c r="E72" t="s">
        <v>2244</v>
      </c>
      <c r="F72">
        <v>2189804</v>
      </c>
      <c r="G72">
        <v>641795</v>
      </c>
      <c r="H72" s="32">
        <f t="shared" si="1"/>
        <v>3.4119991586098366</v>
      </c>
      <c r="I72">
        <v>1</v>
      </c>
      <c r="J72" t="s">
        <v>21</v>
      </c>
    </row>
    <row r="73" spans="1:10" x14ac:dyDescent="0.25">
      <c r="A73">
        <v>56770</v>
      </c>
      <c r="B73" t="s">
        <v>2902</v>
      </c>
      <c r="C73" t="s">
        <v>143</v>
      </c>
      <c r="D73" t="s">
        <v>2243</v>
      </c>
      <c r="E73" t="s">
        <v>2244</v>
      </c>
      <c r="F73">
        <v>677896</v>
      </c>
      <c r="G73">
        <v>198680</v>
      </c>
      <c r="H73" s="32">
        <f t="shared" si="1"/>
        <v>3.4119991946849204</v>
      </c>
      <c r="I73">
        <v>1</v>
      </c>
      <c r="J73" t="s">
        <v>21</v>
      </c>
    </row>
    <row r="74" spans="1:10" x14ac:dyDescent="0.25">
      <c r="A74">
        <v>58924</v>
      </c>
      <c r="B74" t="s">
        <v>3335</v>
      </c>
      <c r="C74" t="s">
        <v>166</v>
      </c>
      <c r="D74" t="s">
        <v>2243</v>
      </c>
      <c r="E74" t="s">
        <v>2244</v>
      </c>
      <c r="F74">
        <v>1985514</v>
      </c>
      <c r="G74">
        <v>581921</v>
      </c>
      <c r="H74" s="32">
        <f t="shared" si="1"/>
        <v>3.411999223262264</v>
      </c>
      <c r="I74">
        <v>1</v>
      </c>
      <c r="J74" t="s">
        <v>21</v>
      </c>
    </row>
    <row r="75" spans="1:10" x14ac:dyDescent="0.25">
      <c r="A75">
        <v>57239</v>
      </c>
      <c r="B75" t="s">
        <v>2956</v>
      </c>
      <c r="C75" t="s">
        <v>307</v>
      </c>
      <c r="D75" t="s">
        <v>2243</v>
      </c>
      <c r="E75" t="s">
        <v>2244</v>
      </c>
      <c r="F75">
        <v>362832</v>
      </c>
      <c r="G75">
        <v>106340</v>
      </c>
      <c r="H75" s="32">
        <f t="shared" si="1"/>
        <v>3.4119992476960692</v>
      </c>
      <c r="I75">
        <v>1</v>
      </c>
      <c r="J75" t="s">
        <v>21</v>
      </c>
    </row>
    <row r="76" spans="1:10" x14ac:dyDescent="0.25">
      <c r="A76">
        <v>57447</v>
      </c>
      <c r="B76" t="s">
        <v>2994</v>
      </c>
      <c r="C76" t="s">
        <v>118</v>
      </c>
      <c r="D76" t="s">
        <v>2243</v>
      </c>
      <c r="E76" t="s">
        <v>2244</v>
      </c>
      <c r="F76">
        <v>912198</v>
      </c>
      <c r="G76">
        <v>267350</v>
      </c>
      <c r="H76" s="32">
        <f t="shared" si="1"/>
        <v>3.4119992519169626</v>
      </c>
      <c r="I76">
        <v>1</v>
      </c>
      <c r="J76" t="s">
        <v>21</v>
      </c>
    </row>
    <row r="77" spans="1:10" x14ac:dyDescent="0.25">
      <c r="A77">
        <v>58694</v>
      </c>
      <c r="B77" t="s">
        <v>3256</v>
      </c>
      <c r="C77" t="s">
        <v>166</v>
      </c>
      <c r="D77" t="s">
        <v>2243</v>
      </c>
      <c r="E77" t="s">
        <v>2244</v>
      </c>
      <c r="F77">
        <v>2575036</v>
      </c>
      <c r="G77">
        <v>754700</v>
      </c>
      <c r="H77" s="32">
        <f t="shared" si="1"/>
        <v>3.4119994699880749</v>
      </c>
      <c r="I77">
        <v>1</v>
      </c>
      <c r="J77" t="s">
        <v>21</v>
      </c>
    </row>
    <row r="78" spans="1:10" x14ac:dyDescent="0.25">
      <c r="A78">
        <v>61787</v>
      </c>
      <c r="B78" t="s">
        <v>4062</v>
      </c>
      <c r="C78" t="s">
        <v>166</v>
      </c>
      <c r="D78" t="s">
        <v>2243</v>
      </c>
      <c r="E78" t="s">
        <v>2244</v>
      </c>
      <c r="F78">
        <v>1462731</v>
      </c>
      <c r="G78">
        <v>428702</v>
      </c>
      <c r="H78" s="32">
        <f t="shared" si="1"/>
        <v>3.411999477492524</v>
      </c>
      <c r="I78">
        <v>1</v>
      </c>
      <c r="J78" t="s">
        <v>21</v>
      </c>
    </row>
    <row r="79" spans="1:10" x14ac:dyDescent="0.25">
      <c r="A79">
        <v>58008</v>
      </c>
      <c r="B79" t="s">
        <v>3089</v>
      </c>
      <c r="C79" t="s">
        <v>166</v>
      </c>
      <c r="D79" t="s">
        <v>2243</v>
      </c>
      <c r="E79" t="s">
        <v>2244</v>
      </c>
      <c r="F79">
        <v>2229380</v>
      </c>
      <c r="G79">
        <v>653394</v>
      </c>
      <c r="H79" s="32">
        <f t="shared" si="1"/>
        <v>3.4119994980057973</v>
      </c>
      <c r="I79">
        <v>1</v>
      </c>
      <c r="J79" t="s">
        <v>21</v>
      </c>
    </row>
    <row r="80" spans="1:10" x14ac:dyDescent="0.25">
      <c r="A80">
        <v>56651</v>
      </c>
      <c r="B80" t="s">
        <v>2888</v>
      </c>
      <c r="C80" t="s">
        <v>143</v>
      </c>
      <c r="D80" t="s">
        <v>2243</v>
      </c>
      <c r="E80" t="s">
        <v>2244</v>
      </c>
      <c r="F80">
        <v>743618</v>
      </c>
      <c r="G80">
        <v>217942</v>
      </c>
      <c r="H80" s="32">
        <f t="shared" si="1"/>
        <v>3.4119995228088209</v>
      </c>
      <c r="I80">
        <v>1</v>
      </c>
      <c r="J80" t="s">
        <v>21</v>
      </c>
    </row>
    <row r="81" spans="1:10" x14ac:dyDescent="0.25">
      <c r="A81">
        <v>58416</v>
      </c>
      <c r="B81" t="s">
        <v>3190</v>
      </c>
      <c r="C81" t="s">
        <v>131</v>
      </c>
      <c r="D81" t="s">
        <v>2243</v>
      </c>
      <c r="E81" t="s">
        <v>2244</v>
      </c>
      <c r="F81">
        <v>2191384</v>
      </c>
      <c r="G81">
        <v>642258</v>
      </c>
      <c r="H81" s="32">
        <f t="shared" si="1"/>
        <v>3.4119995391260209</v>
      </c>
      <c r="I81">
        <v>1</v>
      </c>
      <c r="J81" t="s">
        <v>21</v>
      </c>
    </row>
    <row r="82" spans="1:10" x14ac:dyDescent="0.25">
      <c r="A82">
        <v>66192</v>
      </c>
      <c r="B82" t="s">
        <v>4869</v>
      </c>
      <c r="C82" t="s">
        <v>250</v>
      </c>
      <c r="D82" t="s">
        <v>2243</v>
      </c>
      <c r="E82" t="s">
        <v>2244</v>
      </c>
      <c r="F82">
        <v>1603186</v>
      </c>
      <c r="G82">
        <v>469867</v>
      </c>
      <c r="H82" s="32">
        <f t="shared" si="1"/>
        <v>3.4119995658345874</v>
      </c>
      <c r="I82">
        <v>1</v>
      </c>
      <c r="J82" t="s">
        <v>21</v>
      </c>
    </row>
    <row r="83" spans="1:10" x14ac:dyDescent="0.25">
      <c r="A83">
        <v>58830</v>
      </c>
      <c r="B83" t="s">
        <v>3300</v>
      </c>
      <c r="C83" t="s">
        <v>250</v>
      </c>
      <c r="D83" t="s">
        <v>2243</v>
      </c>
      <c r="E83" t="s">
        <v>2244</v>
      </c>
      <c r="F83">
        <v>2484700</v>
      </c>
      <c r="G83">
        <v>728224</v>
      </c>
      <c r="H83" s="32">
        <f t="shared" si="1"/>
        <v>3.4119996045172916</v>
      </c>
      <c r="I83">
        <v>1</v>
      </c>
      <c r="J83" t="s">
        <v>21</v>
      </c>
    </row>
    <row r="84" spans="1:10" x14ac:dyDescent="0.25">
      <c r="A84">
        <v>65328</v>
      </c>
      <c r="B84" t="s">
        <v>4725</v>
      </c>
      <c r="C84" t="s">
        <v>250</v>
      </c>
      <c r="D84" t="s">
        <v>2243</v>
      </c>
      <c r="E84" t="s">
        <v>2244</v>
      </c>
      <c r="F84">
        <v>1699906</v>
      </c>
      <c r="G84">
        <v>498214</v>
      </c>
      <c r="H84" s="32">
        <f t="shared" si="1"/>
        <v>3.4119996627955054</v>
      </c>
      <c r="I84">
        <v>1</v>
      </c>
      <c r="J84" t="s">
        <v>21</v>
      </c>
    </row>
    <row r="85" spans="1:10" x14ac:dyDescent="0.25">
      <c r="A85">
        <v>59061</v>
      </c>
      <c r="B85" t="s">
        <v>3366</v>
      </c>
      <c r="C85" t="s">
        <v>166</v>
      </c>
      <c r="D85" t="s">
        <v>2243</v>
      </c>
      <c r="E85" t="s">
        <v>2244</v>
      </c>
      <c r="F85">
        <v>3913591</v>
      </c>
      <c r="G85">
        <v>1147008</v>
      </c>
      <c r="H85" s="32">
        <f t="shared" si="1"/>
        <v>3.4119997419372838</v>
      </c>
      <c r="I85">
        <v>1</v>
      </c>
      <c r="J85" t="s">
        <v>21</v>
      </c>
    </row>
    <row r="86" spans="1:10" x14ac:dyDescent="0.25">
      <c r="A86">
        <v>56679</v>
      </c>
      <c r="B86" t="s">
        <v>2891</v>
      </c>
      <c r="C86" t="s">
        <v>131</v>
      </c>
      <c r="D86" t="s">
        <v>2243</v>
      </c>
      <c r="E86" t="s">
        <v>2244</v>
      </c>
      <c r="F86">
        <v>1169886</v>
      </c>
      <c r="G86">
        <v>342874</v>
      </c>
      <c r="H86" s="32">
        <f t="shared" si="1"/>
        <v>3.4119997433459521</v>
      </c>
      <c r="I86">
        <v>1</v>
      </c>
      <c r="J86" t="s">
        <v>21</v>
      </c>
    </row>
    <row r="87" spans="1:10" x14ac:dyDescent="0.25">
      <c r="A87">
        <v>63988</v>
      </c>
      <c r="B87" t="s">
        <v>4461</v>
      </c>
      <c r="C87" t="s">
        <v>166</v>
      </c>
      <c r="D87" t="s">
        <v>2243</v>
      </c>
      <c r="E87" t="s">
        <v>2244</v>
      </c>
      <c r="F87">
        <v>2954884</v>
      </c>
      <c r="G87">
        <v>866027</v>
      </c>
      <c r="H87" s="32">
        <f t="shared" si="1"/>
        <v>3.4119998568173973</v>
      </c>
      <c r="I87">
        <v>1</v>
      </c>
      <c r="J87" t="s">
        <v>21</v>
      </c>
    </row>
    <row r="88" spans="1:10" x14ac:dyDescent="0.25">
      <c r="A88">
        <v>56614</v>
      </c>
      <c r="B88" t="s">
        <v>2884</v>
      </c>
      <c r="C88" t="s">
        <v>166</v>
      </c>
      <c r="D88" t="s">
        <v>2243</v>
      </c>
      <c r="E88" t="s">
        <v>2244</v>
      </c>
      <c r="F88">
        <v>1898116</v>
      </c>
      <c r="G88">
        <v>556306</v>
      </c>
      <c r="H88" s="32">
        <f t="shared" si="1"/>
        <v>3.4119998705748276</v>
      </c>
      <c r="I88">
        <v>1</v>
      </c>
      <c r="J88" t="s">
        <v>21</v>
      </c>
    </row>
    <row r="89" spans="1:10" x14ac:dyDescent="0.25">
      <c r="A89">
        <v>56052</v>
      </c>
      <c r="B89" t="s">
        <v>2824</v>
      </c>
      <c r="C89" t="s">
        <v>143</v>
      </c>
      <c r="D89" t="s">
        <v>2243</v>
      </c>
      <c r="E89" t="s">
        <v>2244</v>
      </c>
      <c r="F89">
        <v>111801</v>
      </c>
      <c r="G89">
        <v>32767</v>
      </c>
      <c r="H89" s="32">
        <f t="shared" si="1"/>
        <v>3.4119998779259619</v>
      </c>
      <c r="I89">
        <v>1</v>
      </c>
      <c r="J89" t="s">
        <v>21</v>
      </c>
    </row>
    <row r="90" spans="1:10" x14ac:dyDescent="0.25">
      <c r="A90">
        <v>56777</v>
      </c>
      <c r="B90" t="s">
        <v>2903</v>
      </c>
      <c r="C90" t="s">
        <v>131</v>
      </c>
      <c r="D90" t="s">
        <v>2243</v>
      </c>
      <c r="E90" t="s">
        <v>2244</v>
      </c>
      <c r="F90">
        <v>5038664</v>
      </c>
      <c r="G90">
        <v>1476748</v>
      </c>
      <c r="H90" s="32">
        <f t="shared" si="1"/>
        <v>3.4119998808192054</v>
      </c>
      <c r="I90">
        <v>1</v>
      </c>
      <c r="J90" t="s">
        <v>21</v>
      </c>
    </row>
    <row r="91" spans="1:10" x14ac:dyDescent="0.25">
      <c r="A91">
        <v>64433</v>
      </c>
      <c r="B91" t="s">
        <v>4562</v>
      </c>
      <c r="C91" t="s">
        <v>118</v>
      </c>
      <c r="D91" t="s">
        <v>2243</v>
      </c>
      <c r="E91" t="s">
        <v>2244</v>
      </c>
      <c r="F91">
        <v>1352527</v>
      </c>
      <c r="G91">
        <v>396403</v>
      </c>
      <c r="H91" s="32">
        <f t="shared" si="1"/>
        <v>3.4119999091833311</v>
      </c>
      <c r="I91">
        <v>1</v>
      </c>
      <c r="J91" t="s">
        <v>21</v>
      </c>
    </row>
    <row r="92" spans="1:10" x14ac:dyDescent="0.25">
      <c r="A92">
        <v>57998</v>
      </c>
      <c r="B92" t="s">
        <v>3087</v>
      </c>
      <c r="C92" t="s">
        <v>143</v>
      </c>
      <c r="D92" t="s">
        <v>2243</v>
      </c>
      <c r="E92" t="s">
        <v>2244</v>
      </c>
      <c r="F92">
        <v>1742058</v>
      </c>
      <c r="G92">
        <v>510568</v>
      </c>
      <c r="H92" s="32">
        <f t="shared" si="1"/>
        <v>3.4119999686623523</v>
      </c>
      <c r="I92">
        <v>1</v>
      </c>
      <c r="J92" t="s">
        <v>21</v>
      </c>
    </row>
    <row r="93" spans="1:10" x14ac:dyDescent="0.25">
      <c r="A93">
        <v>58898</v>
      </c>
      <c r="B93" t="s">
        <v>3332</v>
      </c>
      <c r="C93" t="s">
        <v>166</v>
      </c>
      <c r="D93" t="s">
        <v>2243</v>
      </c>
      <c r="E93" t="s">
        <v>2244</v>
      </c>
      <c r="F93">
        <v>2008194</v>
      </c>
      <c r="G93">
        <v>588568</v>
      </c>
      <c r="H93" s="32">
        <f t="shared" si="1"/>
        <v>3.4119999728153756</v>
      </c>
      <c r="I93">
        <v>1</v>
      </c>
      <c r="J93" t="s">
        <v>21</v>
      </c>
    </row>
    <row r="94" spans="1:10" x14ac:dyDescent="0.25">
      <c r="A94">
        <v>64230</v>
      </c>
      <c r="B94" t="s">
        <v>4517</v>
      </c>
      <c r="C94" t="s">
        <v>131</v>
      </c>
      <c r="D94" t="s">
        <v>2243</v>
      </c>
      <c r="E94" t="s">
        <v>2244</v>
      </c>
      <c r="F94">
        <v>3041839</v>
      </c>
      <c r="G94">
        <v>891512</v>
      </c>
      <c r="H94" s="32">
        <f t="shared" si="1"/>
        <v>3.4120000628146339</v>
      </c>
      <c r="I94">
        <v>1</v>
      </c>
      <c r="J94" t="s">
        <v>21</v>
      </c>
    </row>
    <row r="95" spans="1:10" x14ac:dyDescent="0.25">
      <c r="A95">
        <v>58719</v>
      </c>
      <c r="B95" t="s">
        <v>3262</v>
      </c>
      <c r="C95" t="s">
        <v>250</v>
      </c>
      <c r="D95" t="s">
        <v>2243</v>
      </c>
      <c r="E95" t="s">
        <v>2244</v>
      </c>
      <c r="F95">
        <v>869712</v>
      </c>
      <c r="G95">
        <v>254898</v>
      </c>
      <c r="H95" s="32">
        <f t="shared" si="1"/>
        <v>3.4120000941553092</v>
      </c>
      <c r="I95">
        <v>1</v>
      </c>
      <c r="J95" t="s">
        <v>21</v>
      </c>
    </row>
    <row r="96" spans="1:10" x14ac:dyDescent="0.25">
      <c r="A96">
        <v>69079</v>
      </c>
      <c r="B96" t="s">
        <v>5312</v>
      </c>
      <c r="C96" t="s">
        <v>131</v>
      </c>
      <c r="D96" t="s">
        <v>2243</v>
      </c>
      <c r="E96" t="s">
        <v>2244</v>
      </c>
      <c r="F96">
        <v>229341</v>
      </c>
      <c r="G96">
        <v>67216</v>
      </c>
      <c r="H96" s="32">
        <f t="shared" si="1"/>
        <v>3.412000119019281</v>
      </c>
      <c r="I96">
        <v>1</v>
      </c>
      <c r="J96" t="s">
        <v>21</v>
      </c>
    </row>
    <row r="97" spans="1:10" x14ac:dyDescent="0.25">
      <c r="A97">
        <v>58587</v>
      </c>
      <c r="B97" t="s">
        <v>3235</v>
      </c>
      <c r="C97" t="s">
        <v>250</v>
      </c>
      <c r="D97" t="s">
        <v>2243</v>
      </c>
      <c r="E97" t="s">
        <v>2244</v>
      </c>
      <c r="F97">
        <v>1023931</v>
      </c>
      <c r="G97">
        <v>300097</v>
      </c>
      <c r="H97" s="32">
        <f t="shared" si="1"/>
        <v>3.4120001199612124</v>
      </c>
      <c r="I97">
        <v>1</v>
      </c>
      <c r="J97" t="s">
        <v>21</v>
      </c>
    </row>
    <row r="98" spans="1:10" x14ac:dyDescent="0.25">
      <c r="A98">
        <v>63686</v>
      </c>
      <c r="B98" t="s">
        <v>4386</v>
      </c>
      <c r="C98" t="s">
        <v>250</v>
      </c>
      <c r="D98" t="s">
        <v>2243</v>
      </c>
      <c r="E98" t="s">
        <v>2244</v>
      </c>
      <c r="F98">
        <v>1235359</v>
      </c>
      <c r="G98">
        <v>362063</v>
      </c>
      <c r="H98" s="32">
        <f t="shared" si="1"/>
        <v>3.412000121525812</v>
      </c>
      <c r="I98">
        <v>1</v>
      </c>
      <c r="J98" t="s">
        <v>21</v>
      </c>
    </row>
    <row r="99" spans="1:10" x14ac:dyDescent="0.25">
      <c r="A99">
        <v>56338</v>
      </c>
      <c r="B99" t="s">
        <v>2847</v>
      </c>
      <c r="C99" t="s">
        <v>166</v>
      </c>
      <c r="D99" t="s">
        <v>2243</v>
      </c>
      <c r="E99" t="s">
        <v>2244</v>
      </c>
      <c r="F99">
        <v>1735647</v>
      </c>
      <c r="G99">
        <v>508689</v>
      </c>
      <c r="H99" s="32">
        <f t="shared" si="1"/>
        <v>3.412000259490573</v>
      </c>
      <c r="I99">
        <v>1</v>
      </c>
      <c r="J99" t="s">
        <v>21</v>
      </c>
    </row>
    <row r="100" spans="1:10" x14ac:dyDescent="0.25">
      <c r="A100">
        <v>63601</v>
      </c>
      <c r="B100" t="s">
        <v>4376</v>
      </c>
      <c r="C100" t="s">
        <v>250</v>
      </c>
      <c r="D100" t="s">
        <v>2243</v>
      </c>
      <c r="E100" t="s">
        <v>2244</v>
      </c>
      <c r="F100">
        <v>2914865</v>
      </c>
      <c r="G100">
        <v>854298</v>
      </c>
      <c r="H100" s="32">
        <f t="shared" si="1"/>
        <v>3.4120002622035872</v>
      </c>
      <c r="I100">
        <v>1</v>
      </c>
      <c r="J100" t="s">
        <v>21</v>
      </c>
    </row>
    <row r="101" spans="1:10" x14ac:dyDescent="0.25">
      <c r="A101">
        <v>57094</v>
      </c>
      <c r="B101" t="s">
        <v>2936</v>
      </c>
      <c r="C101" t="s">
        <v>166</v>
      </c>
      <c r="D101" t="s">
        <v>2243</v>
      </c>
      <c r="E101" t="s">
        <v>2244</v>
      </c>
      <c r="F101">
        <v>2307198</v>
      </c>
      <c r="G101">
        <v>676201</v>
      </c>
      <c r="H101" s="32">
        <f t="shared" si="1"/>
        <v>3.4120002780238421</v>
      </c>
      <c r="I101">
        <v>1</v>
      </c>
      <c r="J101" t="s">
        <v>21</v>
      </c>
    </row>
    <row r="102" spans="1:10" x14ac:dyDescent="0.25">
      <c r="A102">
        <v>61161</v>
      </c>
      <c r="B102" t="s">
        <v>3952</v>
      </c>
      <c r="C102" t="s">
        <v>166</v>
      </c>
      <c r="D102" t="s">
        <v>2243</v>
      </c>
      <c r="E102" t="s">
        <v>2244</v>
      </c>
      <c r="F102">
        <v>2275968</v>
      </c>
      <c r="G102">
        <v>667048</v>
      </c>
      <c r="H102" s="32">
        <f t="shared" si="1"/>
        <v>3.4120003358079178</v>
      </c>
      <c r="I102">
        <v>1</v>
      </c>
      <c r="J102" t="s">
        <v>21</v>
      </c>
    </row>
    <row r="103" spans="1:10" x14ac:dyDescent="0.25">
      <c r="A103">
        <v>56700</v>
      </c>
      <c r="B103" t="s">
        <v>2900</v>
      </c>
      <c r="C103" t="s">
        <v>143</v>
      </c>
      <c r="D103" t="s">
        <v>2243</v>
      </c>
      <c r="E103" t="s">
        <v>2244</v>
      </c>
      <c r="F103">
        <v>310881</v>
      </c>
      <c r="G103">
        <v>91114</v>
      </c>
      <c r="H103" s="32">
        <f t="shared" si="1"/>
        <v>3.4120003512083765</v>
      </c>
      <c r="I103">
        <v>1</v>
      </c>
      <c r="J103" t="s">
        <v>21</v>
      </c>
    </row>
    <row r="104" spans="1:10" x14ac:dyDescent="0.25">
      <c r="A104">
        <v>63389</v>
      </c>
      <c r="B104" t="s">
        <v>4342</v>
      </c>
      <c r="C104" t="s">
        <v>131</v>
      </c>
      <c r="D104" t="s">
        <v>2243</v>
      </c>
      <c r="E104" t="s">
        <v>2244</v>
      </c>
      <c r="F104">
        <v>4180417</v>
      </c>
      <c r="G104">
        <v>1225210</v>
      </c>
      <c r="H104" s="32">
        <f t="shared" si="1"/>
        <v>3.412000391769574</v>
      </c>
      <c r="I104">
        <v>1</v>
      </c>
      <c r="J104" t="s">
        <v>21</v>
      </c>
    </row>
    <row r="105" spans="1:10" x14ac:dyDescent="0.25">
      <c r="A105">
        <v>57325</v>
      </c>
      <c r="B105" t="s">
        <v>2966</v>
      </c>
      <c r="C105" t="s">
        <v>166</v>
      </c>
      <c r="D105" t="s">
        <v>2243</v>
      </c>
      <c r="E105" t="s">
        <v>2244</v>
      </c>
      <c r="F105">
        <v>2156937</v>
      </c>
      <c r="G105">
        <v>632162</v>
      </c>
      <c r="H105" s="32">
        <f t="shared" si="1"/>
        <v>3.4120004049594881</v>
      </c>
      <c r="I105">
        <v>1</v>
      </c>
      <c r="J105" t="s">
        <v>21</v>
      </c>
    </row>
    <row r="106" spans="1:10" x14ac:dyDescent="0.25">
      <c r="A106">
        <v>63687</v>
      </c>
      <c r="B106" t="s">
        <v>4387</v>
      </c>
      <c r="C106" t="s">
        <v>250</v>
      </c>
      <c r="D106" t="s">
        <v>2243</v>
      </c>
      <c r="E106" t="s">
        <v>2244</v>
      </c>
      <c r="F106">
        <v>1175325</v>
      </c>
      <c r="G106">
        <v>344468</v>
      </c>
      <c r="H106" s="32">
        <f t="shared" si="1"/>
        <v>3.412000534157019</v>
      </c>
      <c r="I106">
        <v>1</v>
      </c>
      <c r="J106" t="s">
        <v>21</v>
      </c>
    </row>
    <row r="107" spans="1:10" x14ac:dyDescent="0.25">
      <c r="A107">
        <v>61735</v>
      </c>
      <c r="B107" t="s">
        <v>4053</v>
      </c>
      <c r="C107" t="s">
        <v>166</v>
      </c>
      <c r="D107" t="s">
        <v>2243</v>
      </c>
      <c r="E107" t="s">
        <v>2244</v>
      </c>
      <c r="F107">
        <v>1617244</v>
      </c>
      <c r="G107">
        <v>473987</v>
      </c>
      <c r="H107" s="32">
        <f t="shared" si="1"/>
        <v>3.4120007510754515</v>
      </c>
      <c r="I107">
        <v>1</v>
      </c>
      <c r="J107" t="s">
        <v>21</v>
      </c>
    </row>
    <row r="108" spans="1:10" x14ac:dyDescent="0.25">
      <c r="A108">
        <v>65350</v>
      </c>
      <c r="B108" t="s">
        <v>4735</v>
      </c>
      <c r="C108" t="s">
        <v>166</v>
      </c>
      <c r="D108" t="s">
        <v>2243</v>
      </c>
      <c r="E108" t="s">
        <v>2244</v>
      </c>
      <c r="F108">
        <v>1585625</v>
      </c>
      <c r="G108">
        <v>464720</v>
      </c>
      <c r="H108" s="32">
        <f t="shared" si="1"/>
        <v>3.4120007746600103</v>
      </c>
      <c r="I108">
        <v>1</v>
      </c>
      <c r="J108" t="s">
        <v>21</v>
      </c>
    </row>
    <row r="109" spans="1:10" x14ac:dyDescent="0.25">
      <c r="A109">
        <v>61303</v>
      </c>
      <c r="B109" t="s">
        <v>3986</v>
      </c>
      <c r="C109" t="s">
        <v>131</v>
      </c>
      <c r="D109" t="s">
        <v>2243</v>
      </c>
      <c r="E109" t="s">
        <v>2244</v>
      </c>
      <c r="F109">
        <v>1291688</v>
      </c>
      <c r="G109">
        <v>378572</v>
      </c>
      <c r="H109" s="32">
        <f t="shared" si="1"/>
        <v>3.4120008875458301</v>
      </c>
      <c r="I109">
        <v>1</v>
      </c>
      <c r="J109" t="s">
        <v>21</v>
      </c>
    </row>
    <row r="110" spans="1:10" x14ac:dyDescent="0.25">
      <c r="A110">
        <v>57151</v>
      </c>
      <c r="B110" t="s">
        <v>2945</v>
      </c>
      <c r="C110" t="s">
        <v>118</v>
      </c>
      <c r="D110" t="s">
        <v>2243</v>
      </c>
      <c r="E110" t="s">
        <v>2244</v>
      </c>
      <c r="F110">
        <v>919292</v>
      </c>
      <c r="G110">
        <v>269429</v>
      </c>
      <c r="H110" s="32">
        <f t="shared" si="1"/>
        <v>3.4120009353113434</v>
      </c>
      <c r="I110">
        <v>1</v>
      </c>
      <c r="J110" t="s">
        <v>21</v>
      </c>
    </row>
    <row r="111" spans="1:10" x14ac:dyDescent="0.25">
      <c r="A111">
        <v>68193</v>
      </c>
      <c r="B111" t="s">
        <v>5219</v>
      </c>
      <c r="C111" t="s">
        <v>166</v>
      </c>
      <c r="D111" t="s">
        <v>2243</v>
      </c>
      <c r="E111" t="s">
        <v>2244</v>
      </c>
      <c r="F111">
        <v>2314060</v>
      </c>
      <c r="G111">
        <v>678212</v>
      </c>
      <c r="H111" s="32">
        <f t="shared" si="1"/>
        <v>3.4120009672491789</v>
      </c>
      <c r="I111">
        <v>1</v>
      </c>
      <c r="J111" t="s">
        <v>21</v>
      </c>
    </row>
    <row r="112" spans="1:10" x14ac:dyDescent="0.25">
      <c r="A112">
        <v>59547</v>
      </c>
      <c r="B112" t="s">
        <v>3504</v>
      </c>
      <c r="C112" t="s">
        <v>131</v>
      </c>
      <c r="D112" t="s">
        <v>2243</v>
      </c>
      <c r="E112" t="s">
        <v>2244</v>
      </c>
      <c r="F112">
        <v>1458279</v>
      </c>
      <c r="G112">
        <v>427397</v>
      </c>
      <c r="H112" s="32">
        <f t="shared" si="1"/>
        <v>3.4120010201288262</v>
      </c>
      <c r="I112">
        <v>1</v>
      </c>
      <c r="J112" t="s">
        <v>21</v>
      </c>
    </row>
    <row r="113" spans="1:10" x14ac:dyDescent="0.25">
      <c r="A113">
        <v>64088</v>
      </c>
      <c r="B113" t="s">
        <v>4483</v>
      </c>
      <c r="C113" t="s">
        <v>166</v>
      </c>
      <c r="D113" t="s">
        <v>2243</v>
      </c>
      <c r="E113" t="s">
        <v>2244</v>
      </c>
      <c r="F113">
        <v>1862161</v>
      </c>
      <c r="G113">
        <v>545768</v>
      </c>
      <c r="H113" s="32">
        <f t="shared" si="1"/>
        <v>3.4120010700517436</v>
      </c>
      <c r="I113">
        <v>1</v>
      </c>
      <c r="J113" t="s">
        <v>21</v>
      </c>
    </row>
    <row r="114" spans="1:10" x14ac:dyDescent="0.25">
      <c r="A114">
        <v>57623</v>
      </c>
      <c r="B114" t="s">
        <v>3020</v>
      </c>
      <c r="C114" t="s">
        <v>166</v>
      </c>
      <c r="D114" t="s">
        <v>2243</v>
      </c>
      <c r="E114" t="s">
        <v>2244</v>
      </c>
      <c r="F114">
        <v>2477744</v>
      </c>
      <c r="G114">
        <v>726185</v>
      </c>
      <c r="H114" s="32">
        <f t="shared" si="1"/>
        <v>3.4120010741064606</v>
      </c>
      <c r="I114">
        <v>1</v>
      </c>
      <c r="J114" t="s">
        <v>21</v>
      </c>
    </row>
    <row r="115" spans="1:10" x14ac:dyDescent="0.25">
      <c r="A115">
        <v>63003</v>
      </c>
      <c r="B115" t="s">
        <v>4273</v>
      </c>
      <c r="C115" t="s">
        <v>166</v>
      </c>
      <c r="D115" t="s">
        <v>2243</v>
      </c>
      <c r="E115" t="s">
        <v>2244</v>
      </c>
      <c r="F115">
        <v>1181071</v>
      </c>
      <c r="G115">
        <v>346152</v>
      </c>
      <c r="H115" s="32">
        <f t="shared" si="1"/>
        <v>3.4120010862280155</v>
      </c>
      <c r="I115">
        <v>1</v>
      </c>
      <c r="J115" t="s">
        <v>21</v>
      </c>
    </row>
    <row r="116" spans="1:10" x14ac:dyDescent="0.25">
      <c r="A116">
        <v>62290</v>
      </c>
      <c r="B116" t="s">
        <v>4137</v>
      </c>
      <c r="C116" t="s">
        <v>250</v>
      </c>
      <c r="D116" t="s">
        <v>2243</v>
      </c>
      <c r="E116" t="s">
        <v>2244</v>
      </c>
      <c r="F116">
        <v>1551164</v>
      </c>
      <c r="G116">
        <v>454620</v>
      </c>
      <c r="H116" s="32">
        <f t="shared" si="1"/>
        <v>3.4120012317979853</v>
      </c>
      <c r="I116">
        <v>1</v>
      </c>
      <c r="J116" t="s">
        <v>21</v>
      </c>
    </row>
    <row r="117" spans="1:10" x14ac:dyDescent="0.25">
      <c r="A117">
        <v>57284</v>
      </c>
      <c r="B117" t="s">
        <v>2962</v>
      </c>
      <c r="C117" t="s">
        <v>166</v>
      </c>
      <c r="D117" t="s">
        <v>2243</v>
      </c>
      <c r="E117" t="s">
        <v>2244</v>
      </c>
      <c r="F117">
        <v>2125397</v>
      </c>
      <c r="G117">
        <v>622918</v>
      </c>
      <c r="H117" s="32">
        <f t="shared" si="1"/>
        <v>3.4120012585926238</v>
      </c>
      <c r="I117">
        <v>1</v>
      </c>
      <c r="J117" t="s">
        <v>21</v>
      </c>
    </row>
    <row r="118" spans="1:10" x14ac:dyDescent="0.25">
      <c r="A118">
        <v>58121</v>
      </c>
      <c r="B118" t="s">
        <v>3115</v>
      </c>
      <c r="C118" t="s">
        <v>250</v>
      </c>
      <c r="D118" t="s">
        <v>2243</v>
      </c>
      <c r="E118" t="s">
        <v>2244</v>
      </c>
      <c r="F118">
        <v>1960437</v>
      </c>
      <c r="G118">
        <v>574571</v>
      </c>
      <c r="H118" s="32">
        <f t="shared" si="1"/>
        <v>3.4120013018408515</v>
      </c>
      <c r="I118">
        <v>1</v>
      </c>
      <c r="J118" t="s">
        <v>21</v>
      </c>
    </row>
    <row r="119" spans="1:10" x14ac:dyDescent="0.25">
      <c r="A119">
        <v>57421</v>
      </c>
      <c r="B119" t="s">
        <v>2990</v>
      </c>
      <c r="C119" t="s">
        <v>250</v>
      </c>
      <c r="D119" t="s">
        <v>2243</v>
      </c>
      <c r="E119" t="s">
        <v>2244</v>
      </c>
      <c r="F119">
        <v>801619</v>
      </c>
      <c r="G119">
        <v>234941</v>
      </c>
      <c r="H119" s="32">
        <f t="shared" si="1"/>
        <v>3.4120013109674345</v>
      </c>
      <c r="I119">
        <v>1</v>
      </c>
      <c r="J119" t="s">
        <v>21</v>
      </c>
    </row>
    <row r="120" spans="1:10" x14ac:dyDescent="0.25">
      <c r="A120">
        <v>57862</v>
      </c>
      <c r="B120" t="s">
        <v>3066</v>
      </c>
      <c r="C120" t="s">
        <v>131</v>
      </c>
      <c r="D120" t="s">
        <v>2243</v>
      </c>
      <c r="E120" t="s">
        <v>2244</v>
      </c>
      <c r="F120">
        <v>2291872</v>
      </c>
      <c r="G120">
        <v>671709</v>
      </c>
      <c r="H120" s="32">
        <f t="shared" si="1"/>
        <v>3.4120013279560046</v>
      </c>
      <c r="I120">
        <v>1</v>
      </c>
      <c r="J120" t="s">
        <v>21</v>
      </c>
    </row>
    <row r="121" spans="1:10" x14ac:dyDescent="0.25">
      <c r="A121">
        <v>56635</v>
      </c>
      <c r="B121" t="s">
        <v>2886</v>
      </c>
      <c r="C121" t="s">
        <v>250</v>
      </c>
      <c r="D121" t="s">
        <v>2243</v>
      </c>
      <c r="E121" t="s">
        <v>2244</v>
      </c>
      <c r="F121">
        <v>397737</v>
      </c>
      <c r="G121">
        <v>116570</v>
      </c>
      <c r="H121" s="32">
        <f t="shared" si="1"/>
        <v>3.4120013725658405</v>
      </c>
      <c r="I121">
        <v>1</v>
      </c>
      <c r="J121" t="s">
        <v>21</v>
      </c>
    </row>
    <row r="122" spans="1:10" x14ac:dyDescent="0.25">
      <c r="A122">
        <v>60471</v>
      </c>
      <c r="B122" t="s">
        <v>3783</v>
      </c>
      <c r="C122" t="s">
        <v>166</v>
      </c>
      <c r="D122" t="s">
        <v>2243</v>
      </c>
      <c r="E122" t="s">
        <v>2244</v>
      </c>
      <c r="F122">
        <v>1696082</v>
      </c>
      <c r="G122">
        <v>497093</v>
      </c>
      <c r="H122" s="32">
        <f t="shared" si="1"/>
        <v>3.4120013760000645</v>
      </c>
      <c r="I122">
        <v>1</v>
      </c>
      <c r="J122" t="s">
        <v>21</v>
      </c>
    </row>
    <row r="123" spans="1:10" x14ac:dyDescent="0.25">
      <c r="A123">
        <v>65316</v>
      </c>
      <c r="B123" t="s">
        <v>4716</v>
      </c>
      <c r="C123" t="s">
        <v>166</v>
      </c>
      <c r="D123" t="s">
        <v>2243</v>
      </c>
      <c r="E123" t="s">
        <v>2244</v>
      </c>
      <c r="F123">
        <v>3158749</v>
      </c>
      <c r="G123">
        <v>925776</v>
      </c>
      <c r="H123" s="32">
        <f t="shared" si="1"/>
        <v>3.4120013912652736</v>
      </c>
      <c r="I123">
        <v>1</v>
      </c>
      <c r="J123" t="s">
        <v>21</v>
      </c>
    </row>
    <row r="124" spans="1:10" x14ac:dyDescent="0.25">
      <c r="A124">
        <v>57135</v>
      </c>
      <c r="B124" t="s">
        <v>2943</v>
      </c>
      <c r="C124" t="s">
        <v>166</v>
      </c>
      <c r="D124" t="s">
        <v>2243</v>
      </c>
      <c r="E124" t="s">
        <v>2244</v>
      </c>
      <c r="F124">
        <v>2786353</v>
      </c>
      <c r="G124">
        <v>816633</v>
      </c>
      <c r="H124" s="32">
        <f t="shared" si="1"/>
        <v>3.4120014743464933</v>
      </c>
      <c r="I124">
        <v>1</v>
      </c>
      <c r="J124" t="s">
        <v>21</v>
      </c>
    </row>
    <row r="125" spans="1:10" x14ac:dyDescent="0.25">
      <c r="A125">
        <v>57449</v>
      </c>
      <c r="B125" t="s">
        <v>2996</v>
      </c>
      <c r="C125" t="s">
        <v>322</v>
      </c>
      <c r="D125" t="s">
        <v>2243</v>
      </c>
      <c r="E125" t="s">
        <v>2244</v>
      </c>
      <c r="F125">
        <v>2768597</v>
      </c>
      <c r="G125">
        <v>811429</v>
      </c>
      <c r="H125" s="32">
        <f t="shared" si="1"/>
        <v>3.4120015429569315</v>
      </c>
      <c r="I125">
        <v>1</v>
      </c>
      <c r="J125" t="s">
        <v>21</v>
      </c>
    </row>
    <row r="126" spans="1:10" x14ac:dyDescent="0.25">
      <c r="A126">
        <v>60329</v>
      </c>
      <c r="B126" t="s">
        <v>3736</v>
      </c>
      <c r="C126" t="s">
        <v>143</v>
      </c>
      <c r="D126" t="s">
        <v>2243</v>
      </c>
      <c r="E126" t="s">
        <v>2244</v>
      </c>
      <c r="F126">
        <v>325406</v>
      </c>
      <c r="G126">
        <v>95371</v>
      </c>
      <c r="H126" s="32">
        <f t="shared" si="1"/>
        <v>3.4120015518344151</v>
      </c>
      <c r="I126">
        <v>1</v>
      </c>
      <c r="J126" t="s">
        <v>21</v>
      </c>
    </row>
    <row r="127" spans="1:10" x14ac:dyDescent="0.25">
      <c r="A127">
        <v>60883</v>
      </c>
      <c r="B127" t="s">
        <v>3898</v>
      </c>
      <c r="C127" t="s">
        <v>250</v>
      </c>
      <c r="D127" t="s">
        <v>2243</v>
      </c>
      <c r="E127" t="s">
        <v>2244</v>
      </c>
      <c r="F127">
        <v>1620827</v>
      </c>
      <c r="G127">
        <v>475037</v>
      </c>
      <c r="H127" s="32">
        <f t="shared" si="1"/>
        <v>3.4120015914549815</v>
      </c>
      <c r="I127">
        <v>1</v>
      </c>
      <c r="J127" t="s">
        <v>21</v>
      </c>
    </row>
    <row r="128" spans="1:10" x14ac:dyDescent="0.25">
      <c r="A128">
        <v>57112</v>
      </c>
      <c r="B128" t="s">
        <v>2939</v>
      </c>
      <c r="C128" t="s">
        <v>131</v>
      </c>
      <c r="D128" t="s">
        <v>2243</v>
      </c>
      <c r="E128" t="s">
        <v>2244</v>
      </c>
      <c r="F128">
        <v>811026</v>
      </c>
      <c r="G128">
        <v>237698</v>
      </c>
      <c r="H128" s="32">
        <f t="shared" si="1"/>
        <v>3.4120017837760521</v>
      </c>
      <c r="I128">
        <v>1</v>
      </c>
      <c r="J128" t="s">
        <v>21</v>
      </c>
    </row>
    <row r="129" spans="1:10" x14ac:dyDescent="0.25">
      <c r="A129">
        <v>58925</v>
      </c>
      <c r="B129" t="s">
        <v>3336</v>
      </c>
      <c r="C129" t="s">
        <v>166</v>
      </c>
      <c r="D129" t="s">
        <v>2243</v>
      </c>
      <c r="E129" t="s">
        <v>2244</v>
      </c>
      <c r="F129">
        <v>3429792</v>
      </c>
      <c r="G129">
        <v>1005214</v>
      </c>
      <c r="H129" s="32">
        <f t="shared" si="1"/>
        <v>3.4120018224974982</v>
      </c>
      <c r="I129">
        <v>1</v>
      </c>
      <c r="J129" t="s">
        <v>21</v>
      </c>
    </row>
    <row r="130" spans="1:10" x14ac:dyDescent="0.25">
      <c r="A130">
        <v>57110</v>
      </c>
      <c r="B130" t="s">
        <v>2938</v>
      </c>
      <c r="C130" t="s">
        <v>166</v>
      </c>
      <c r="D130" t="s">
        <v>2243</v>
      </c>
      <c r="E130" t="s">
        <v>2244</v>
      </c>
      <c r="F130">
        <v>810893</v>
      </c>
      <c r="G130">
        <v>237659</v>
      </c>
      <c r="H130" s="32">
        <f t="shared" ref="H130:H193" si="2">IF(AND(F130&gt;0,G130&gt;0),F130/G130,"")</f>
        <v>3.4120020701930076</v>
      </c>
      <c r="I130">
        <v>1</v>
      </c>
      <c r="J130" t="s">
        <v>21</v>
      </c>
    </row>
    <row r="131" spans="1:10" x14ac:dyDescent="0.25">
      <c r="A131">
        <v>55986</v>
      </c>
      <c r="B131" t="s">
        <v>2817</v>
      </c>
      <c r="C131" t="s">
        <v>118</v>
      </c>
      <c r="D131" t="s">
        <v>2243</v>
      </c>
      <c r="E131" t="s">
        <v>2244</v>
      </c>
      <c r="F131">
        <v>387252</v>
      </c>
      <c r="G131">
        <v>113497</v>
      </c>
      <c r="H131" s="32">
        <f t="shared" si="2"/>
        <v>3.4120020793501151</v>
      </c>
      <c r="I131">
        <v>1</v>
      </c>
      <c r="J131" t="s">
        <v>21</v>
      </c>
    </row>
    <row r="132" spans="1:10" x14ac:dyDescent="0.25">
      <c r="A132">
        <v>56856</v>
      </c>
      <c r="B132" t="s">
        <v>2912</v>
      </c>
      <c r="C132" t="s">
        <v>166</v>
      </c>
      <c r="D132" t="s">
        <v>2243</v>
      </c>
      <c r="E132" t="s">
        <v>2244</v>
      </c>
      <c r="F132">
        <v>918627</v>
      </c>
      <c r="G132">
        <v>269234</v>
      </c>
      <c r="H132" s="32">
        <f t="shared" si="2"/>
        <v>3.4120021988307569</v>
      </c>
      <c r="I132">
        <v>1</v>
      </c>
      <c r="J132" t="s">
        <v>21</v>
      </c>
    </row>
    <row r="133" spans="1:10" x14ac:dyDescent="0.25">
      <c r="A133">
        <v>62592</v>
      </c>
      <c r="B133" t="s">
        <v>4173</v>
      </c>
      <c r="C133" t="s">
        <v>131</v>
      </c>
      <c r="D133" t="s">
        <v>2243</v>
      </c>
      <c r="E133" t="s">
        <v>2244</v>
      </c>
      <c r="F133">
        <v>1891771</v>
      </c>
      <c r="G133">
        <v>554446</v>
      </c>
      <c r="H133" s="32">
        <f t="shared" si="2"/>
        <v>3.4120022508954886</v>
      </c>
      <c r="I133">
        <v>1</v>
      </c>
      <c r="J133" t="s">
        <v>21</v>
      </c>
    </row>
    <row r="134" spans="1:10" x14ac:dyDescent="0.25">
      <c r="A134">
        <v>57964</v>
      </c>
      <c r="B134" t="s">
        <v>3083</v>
      </c>
      <c r="C134" t="s">
        <v>166</v>
      </c>
      <c r="D134" t="s">
        <v>2243</v>
      </c>
      <c r="E134" t="s">
        <v>2244</v>
      </c>
      <c r="F134">
        <v>1031479</v>
      </c>
      <c r="G134">
        <v>302309</v>
      </c>
      <c r="H134" s="32">
        <f t="shared" si="2"/>
        <v>3.4120022890486226</v>
      </c>
      <c r="I134">
        <v>1</v>
      </c>
      <c r="J134" t="s">
        <v>21</v>
      </c>
    </row>
    <row r="135" spans="1:10" x14ac:dyDescent="0.25">
      <c r="A135">
        <v>57888</v>
      </c>
      <c r="B135" t="s">
        <v>3071</v>
      </c>
      <c r="C135" t="s">
        <v>250</v>
      </c>
      <c r="D135" t="s">
        <v>2243</v>
      </c>
      <c r="E135" t="s">
        <v>2244</v>
      </c>
      <c r="F135">
        <v>679084</v>
      </c>
      <c r="G135">
        <v>199028</v>
      </c>
      <c r="H135" s="32">
        <f t="shared" si="2"/>
        <v>3.4120023313302652</v>
      </c>
      <c r="I135">
        <v>1</v>
      </c>
      <c r="J135" t="s">
        <v>21</v>
      </c>
    </row>
    <row r="136" spans="1:10" x14ac:dyDescent="0.25">
      <c r="A136">
        <v>58111</v>
      </c>
      <c r="B136" t="s">
        <v>3114</v>
      </c>
      <c r="C136" t="s">
        <v>166</v>
      </c>
      <c r="D136" t="s">
        <v>2243</v>
      </c>
      <c r="E136" t="s">
        <v>2244</v>
      </c>
      <c r="F136">
        <v>1140919</v>
      </c>
      <c r="G136">
        <v>334384</v>
      </c>
      <c r="H136" s="32">
        <f t="shared" si="2"/>
        <v>3.4120023685343797</v>
      </c>
      <c r="I136">
        <v>1</v>
      </c>
      <c r="J136" t="s">
        <v>21</v>
      </c>
    </row>
    <row r="137" spans="1:10" x14ac:dyDescent="0.25">
      <c r="A137">
        <v>57300</v>
      </c>
      <c r="B137" t="s">
        <v>2964</v>
      </c>
      <c r="C137" t="s">
        <v>307</v>
      </c>
      <c r="D137" t="s">
        <v>2243</v>
      </c>
      <c r="E137" t="s">
        <v>2244</v>
      </c>
      <c r="F137">
        <v>875455</v>
      </c>
      <c r="G137">
        <v>256581</v>
      </c>
      <c r="H137" s="32">
        <f t="shared" si="2"/>
        <v>3.4120024475701629</v>
      </c>
      <c r="I137">
        <v>1</v>
      </c>
      <c r="J137" t="s">
        <v>21</v>
      </c>
    </row>
    <row r="138" spans="1:10" x14ac:dyDescent="0.25">
      <c r="A138">
        <v>59296</v>
      </c>
      <c r="B138" t="s">
        <v>3427</v>
      </c>
      <c r="C138" t="s">
        <v>322</v>
      </c>
      <c r="D138" t="s">
        <v>2243</v>
      </c>
      <c r="E138" t="s">
        <v>2244</v>
      </c>
      <c r="F138">
        <v>1021284</v>
      </c>
      <c r="G138">
        <v>299321</v>
      </c>
      <c r="H138" s="32">
        <f t="shared" si="2"/>
        <v>3.4120024989893794</v>
      </c>
      <c r="I138">
        <v>1</v>
      </c>
      <c r="J138" t="s">
        <v>21</v>
      </c>
    </row>
    <row r="139" spans="1:10" x14ac:dyDescent="0.25">
      <c r="A139">
        <v>57342</v>
      </c>
      <c r="B139" t="s">
        <v>2971</v>
      </c>
      <c r="C139" t="s">
        <v>166</v>
      </c>
      <c r="D139" t="s">
        <v>2243</v>
      </c>
      <c r="E139" t="s">
        <v>2244</v>
      </c>
      <c r="F139">
        <v>1364395</v>
      </c>
      <c r="G139">
        <v>399881</v>
      </c>
      <c r="H139" s="32">
        <f t="shared" si="2"/>
        <v>3.4120025707648027</v>
      </c>
      <c r="I139">
        <v>1</v>
      </c>
      <c r="J139" t="s">
        <v>21</v>
      </c>
    </row>
    <row r="140" spans="1:10" x14ac:dyDescent="0.25">
      <c r="A140">
        <v>57109</v>
      </c>
      <c r="B140" t="s">
        <v>2937</v>
      </c>
      <c r="C140" t="s">
        <v>131</v>
      </c>
      <c r="D140" t="s">
        <v>2243</v>
      </c>
      <c r="E140" t="s">
        <v>2244</v>
      </c>
      <c r="F140">
        <v>1473040</v>
      </c>
      <c r="G140">
        <v>431723</v>
      </c>
      <c r="H140" s="32">
        <f t="shared" si="2"/>
        <v>3.4120026035212394</v>
      </c>
      <c r="I140">
        <v>1</v>
      </c>
      <c r="J140" t="s">
        <v>21</v>
      </c>
    </row>
    <row r="141" spans="1:10" x14ac:dyDescent="0.25">
      <c r="A141">
        <v>58351</v>
      </c>
      <c r="B141" t="s">
        <v>3174</v>
      </c>
      <c r="C141" t="s">
        <v>250</v>
      </c>
      <c r="D141" t="s">
        <v>2243</v>
      </c>
      <c r="E141" t="s">
        <v>2244</v>
      </c>
      <c r="F141">
        <v>1244818</v>
      </c>
      <c r="G141">
        <v>364835</v>
      </c>
      <c r="H141" s="32">
        <f t="shared" si="2"/>
        <v>3.4120026861457919</v>
      </c>
      <c r="I141">
        <v>1</v>
      </c>
      <c r="J141" t="s">
        <v>21</v>
      </c>
    </row>
    <row r="142" spans="1:10" x14ac:dyDescent="0.25">
      <c r="A142">
        <v>58891</v>
      </c>
      <c r="B142" t="s">
        <v>3329</v>
      </c>
      <c r="C142" t="s">
        <v>250</v>
      </c>
      <c r="D142" t="s">
        <v>2243</v>
      </c>
      <c r="E142" t="s">
        <v>2244</v>
      </c>
      <c r="F142">
        <v>257944</v>
      </c>
      <c r="G142">
        <v>75599</v>
      </c>
      <c r="H142" s="32">
        <f t="shared" si="2"/>
        <v>3.4120028042698975</v>
      </c>
      <c r="I142">
        <v>1</v>
      </c>
      <c r="J142" t="s">
        <v>21</v>
      </c>
    </row>
    <row r="143" spans="1:10" x14ac:dyDescent="0.25">
      <c r="A143">
        <v>57744</v>
      </c>
      <c r="B143" t="s">
        <v>3043</v>
      </c>
      <c r="C143" t="s">
        <v>143</v>
      </c>
      <c r="D143" t="s">
        <v>2243</v>
      </c>
      <c r="E143" t="s">
        <v>2244</v>
      </c>
      <c r="F143">
        <v>418721</v>
      </c>
      <c r="G143">
        <v>122720</v>
      </c>
      <c r="H143" s="32">
        <f t="shared" si="2"/>
        <v>3.4120029335071709</v>
      </c>
      <c r="I143">
        <v>1</v>
      </c>
      <c r="J143" t="s">
        <v>21</v>
      </c>
    </row>
    <row r="144" spans="1:10" x14ac:dyDescent="0.25">
      <c r="A144">
        <v>63251</v>
      </c>
      <c r="B144" t="s">
        <v>4310</v>
      </c>
      <c r="C144" t="s">
        <v>166</v>
      </c>
      <c r="D144" t="s">
        <v>2243</v>
      </c>
      <c r="E144" t="s">
        <v>2244</v>
      </c>
      <c r="F144">
        <v>952737</v>
      </c>
      <c r="G144">
        <v>279231</v>
      </c>
      <c r="H144" s="32">
        <f t="shared" si="2"/>
        <v>3.4120029652868054</v>
      </c>
      <c r="I144">
        <v>1</v>
      </c>
      <c r="J144" t="s">
        <v>21</v>
      </c>
    </row>
    <row r="145" spans="1:10" x14ac:dyDescent="0.25">
      <c r="A145">
        <v>59902</v>
      </c>
      <c r="B145" t="s">
        <v>3612</v>
      </c>
      <c r="C145" t="s">
        <v>166</v>
      </c>
      <c r="D145" t="s">
        <v>2243</v>
      </c>
      <c r="E145" t="s">
        <v>2244</v>
      </c>
      <c r="F145">
        <v>1741077</v>
      </c>
      <c r="G145">
        <v>510280</v>
      </c>
      <c r="H145" s="32">
        <f t="shared" si="2"/>
        <v>3.4120032139217686</v>
      </c>
      <c r="I145">
        <v>1</v>
      </c>
      <c r="J145" t="s">
        <v>21</v>
      </c>
    </row>
    <row r="146" spans="1:10" x14ac:dyDescent="0.25">
      <c r="A146">
        <v>57984</v>
      </c>
      <c r="B146" t="s">
        <v>3084</v>
      </c>
      <c r="C146" t="s">
        <v>250</v>
      </c>
      <c r="D146" t="s">
        <v>2243</v>
      </c>
      <c r="E146" t="s">
        <v>2244</v>
      </c>
      <c r="F146">
        <v>857880</v>
      </c>
      <c r="G146">
        <v>251430</v>
      </c>
      <c r="H146" s="32">
        <f t="shared" si="2"/>
        <v>3.4120033408901085</v>
      </c>
      <c r="I146">
        <v>1</v>
      </c>
      <c r="J146" t="s">
        <v>21</v>
      </c>
    </row>
    <row r="147" spans="1:10" x14ac:dyDescent="0.25">
      <c r="A147">
        <v>62815</v>
      </c>
      <c r="B147" t="s">
        <v>4240</v>
      </c>
      <c r="C147" t="s">
        <v>250</v>
      </c>
      <c r="D147" t="s">
        <v>2243</v>
      </c>
      <c r="E147" t="s">
        <v>2244</v>
      </c>
      <c r="F147">
        <v>685898</v>
      </c>
      <c r="G147">
        <v>201025</v>
      </c>
      <c r="H147" s="32">
        <f t="shared" si="2"/>
        <v>3.4120034821539611</v>
      </c>
      <c r="I147">
        <v>1</v>
      </c>
      <c r="J147" t="s">
        <v>21</v>
      </c>
    </row>
    <row r="148" spans="1:10" x14ac:dyDescent="0.25">
      <c r="A148">
        <v>56160</v>
      </c>
      <c r="B148" t="s">
        <v>2830</v>
      </c>
      <c r="C148" t="s">
        <v>166</v>
      </c>
      <c r="D148" t="s">
        <v>2243</v>
      </c>
      <c r="E148" t="s">
        <v>2244</v>
      </c>
      <c r="F148">
        <v>873217</v>
      </c>
      <c r="G148">
        <v>255925</v>
      </c>
      <c r="H148" s="32">
        <f t="shared" si="2"/>
        <v>3.41200351665527</v>
      </c>
      <c r="I148">
        <v>1</v>
      </c>
      <c r="J148" t="s">
        <v>21</v>
      </c>
    </row>
    <row r="149" spans="1:10" x14ac:dyDescent="0.25">
      <c r="A149">
        <v>69225</v>
      </c>
      <c r="B149" t="s">
        <v>5341</v>
      </c>
      <c r="C149" t="s">
        <v>166</v>
      </c>
      <c r="D149" t="s">
        <v>2243</v>
      </c>
      <c r="E149" t="s">
        <v>2244</v>
      </c>
      <c r="F149">
        <v>251219</v>
      </c>
      <c r="G149">
        <v>73628</v>
      </c>
      <c r="H149" s="32">
        <f t="shared" si="2"/>
        <v>3.4120035855924375</v>
      </c>
      <c r="I149">
        <v>1</v>
      </c>
      <c r="J149" t="s">
        <v>21</v>
      </c>
    </row>
    <row r="150" spans="1:10" x14ac:dyDescent="0.25">
      <c r="A150">
        <v>56980</v>
      </c>
      <c r="B150" t="s">
        <v>2928</v>
      </c>
      <c r="C150" t="s">
        <v>143</v>
      </c>
      <c r="D150" t="s">
        <v>2243</v>
      </c>
      <c r="E150" t="s">
        <v>2244</v>
      </c>
      <c r="F150">
        <v>492086</v>
      </c>
      <c r="G150">
        <v>144222</v>
      </c>
      <c r="H150" s="32">
        <f t="shared" si="2"/>
        <v>3.4120037164926296</v>
      </c>
      <c r="I150">
        <v>1</v>
      </c>
      <c r="J150" t="s">
        <v>21</v>
      </c>
    </row>
    <row r="151" spans="1:10" x14ac:dyDescent="0.25">
      <c r="A151">
        <v>56416</v>
      </c>
      <c r="B151" t="s">
        <v>2859</v>
      </c>
      <c r="C151" t="s">
        <v>250</v>
      </c>
      <c r="D151" t="s">
        <v>2243</v>
      </c>
      <c r="E151" t="s">
        <v>2244</v>
      </c>
      <c r="F151">
        <v>562561</v>
      </c>
      <c r="G151">
        <v>164877</v>
      </c>
      <c r="H151" s="32">
        <f t="shared" si="2"/>
        <v>3.4120041000260799</v>
      </c>
      <c r="I151">
        <v>1</v>
      </c>
      <c r="J151" t="s">
        <v>21</v>
      </c>
    </row>
    <row r="152" spans="1:10" x14ac:dyDescent="0.25">
      <c r="A152">
        <v>57991</v>
      </c>
      <c r="B152" t="s">
        <v>3085</v>
      </c>
      <c r="C152" t="s">
        <v>143</v>
      </c>
      <c r="D152" t="s">
        <v>2243</v>
      </c>
      <c r="E152" t="s">
        <v>2244</v>
      </c>
      <c r="F152">
        <v>559306</v>
      </c>
      <c r="G152">
        <v>163923</v>
      </c>
      <c r="H152" s="32">
        <f t="shared" si="2"/>
        <v>3.4120044167078447</v>
      </c>
      <c r="I152">
        <v>1</v>
      </c>
      <c r="J152" t="s">
        <v>21</v>
      </c>
    </row>
    <row r="153" spans="1:10" x14ac:dyDescent="0.25">
      <c r="A153">
        <v>58103</v>
      </c>
      <c r="B153" t="s">
        <v>3111</v>
      </c>
      <c r="C153" t="s">
        <v>250</v>
      </c>
      <c r="D153" t="s">
        <v>2243</v>
      </c>
      <c r="E153" t="s">
        <v>2244</v>
      </c>
      <c r="F153">
        <v>242307</v>
      </c>
      <c r="G153">
        <v>71016</v>
      </c>
      <c r="H153" s="32">
        <f t="shared" si="2"/>
        <v>3.4120057451841839</v>
      </c>
      <c r="I153">
        <v>1</v>
      </c>
      <c r="J153" t="s">
        <v>21</v>
      </c>
    </row>
    <row r="154" spans="1:10" x14ac:dyDescent="0.25">
      <c r="A154">
        <v>58580</v>
      </c>
      <c r="B154" t="s">
        <v>3233</v>
      </c>
      <c r="C154" t="s">
        <v>250</v>
      </c>
      <c r="D154" t="s">
        <v>2243</v>
      </c>
      <c r="E154" t="s">
        <v>2244</v>
      </c>
      <c r="F154">
        <v>874057</v>
      </c>
      <c r="G154">
        <v>256171</v>
      </c>
      <c r="H154" s="32">
        <f t="shared" si="2"/>
        <v>3.4120060428385726</v>
      </c>
      <c r="I154">
        <v>1</v>
      </c>
      <c r="J154" t="s">
        <v>21</v>
      </c>
    </row>
    <row r="155" spans="1:10" x14ac:dyDescent="0.25">
      <c r="A155">
        <v>58677</v>
      </c>
      <c r="B155" t="s">
        <v>3253</v>
      </c>
      <c r="C155" t="s">
        <v>250</v>
      </c>
      <c r="D155" t="s">
        <v>2243</v>
      </c>
      <c r="E155" t="s">
        <v>2244</v>
      </c>
      <c r="F155">
        <v>895133</v>
      </c>
      <c r="G155">
        <v>262348</v>
      </c>
      <c r="H155" s="32">
        <f t="shared" si="2"/>
        <v>3.412006190251117</v>
      </c>
      <c r="I155">
        <v>1</v>
      </c>
      <c r="J155" t="s">
        <v>21</v>
      </c>
    </row>
    <row r="156" spans="1:10" x14ac:dyDescent="0.25">
      <c r="A156">
        <v>57268</v>
      </c>
      <c r="B156" t="s">
        <v>2961</v>
      </c>
      <c r="C156" t="s">
        <v>143</v>
      </c>
      <c r="D156" t="s">
        <v>2243</v>
      </c>
      <c r="E156" t="s">
        <v>2244</v>
      </c>
      <c r="F156">
        <v>308053</v>
      </c>
      <c r="G156">
        <v>90285</v>
      </c>
      <c r="H156" s="32">
        <f t="shared" si="2"/>
        <v>3.4120064241014565</v>
      </c>
      <c r="I156">
        <v>1</v>
      </c>
      <c r="J156" t="s">
        <v>21</v>
      </c>
    </row>
    <row r="157" spans="1:10" x14ac:dyDescent="0.25">
      <c r="A157">
        <v>65742</v>
      </c>
      <c r="B157" t="s">
        <v>4798</v>
      </c>
      <c r="C157" t="s">
        <v>250</v>
      </c>
      <c r="D157" t="s">
        <v>2243</v>
      </c>
      <c r="E157" t="s">
        <v>2244</v>
      </c>
      <c r="F157">
        <v>1023039</v>
      </c>
      <c r="G157">
        <v>299835</v>
      </c>
      <c r="H157" s="32">
        <f t="shared" si="2"/>
        <v>3.4120066036319976</v>
      </c>
      <c r="I157">
        <v>1</v>
      </c>
      <c r="J157" t="s">
        <v>21</v>
      </c>
    </row>
    <row r="158" spans="1:10" x14ac:dyDescent="0.25">
      <c r="A158">
        <v>56622</v>
      </c>
      <c r="B158" t="s">
        <v>2885</v>
      </c>
      <c r="C158" t="s">
        <v>166</v>
      </c>
      <c r="D158" t="s">
        <v>2243</v>
      </c>
      <c r="E158" t="s">
        <v>2244</v>
      </c>
      <c r="F158">
        <v>460075</v>
      </c>
      <c r="G158">
        <v>134840</v>
      </c>
      <c r="H158" s="32">
        <f t="shared" si="2"/>
        <v>3.4120068229012164</v>
      </c>
      <c r="I158">
        <v>1</v>
      </c>
      <c r="J158" t="s">
        <v>21</v>
      </c>
    </row>
    <row r="159" spans="1:10" x14ac:dyDescent="0.25">
      <c r="A159">
        <v>58690</v>
      </c>
      <c r="B159" t="s">
        <v>3255</v>
      </c>
      <c r="C159" t="s">
        <v>250</v>
      </c>
      <c r="D159" t="s">
        <v>2243</v>
      </c>
      <c r="E159" t="s">
        <v>2244</v>
      </c>
      <c r="F159">
        <v>874484</v>
      </c>
      <c r="G159">
        <v>256296</v>
      </c>
      <c r="H159" s="32">
        <f t="shared" si="2"/>
        <v>3.4120079907606828</v>
      </c>
      <c r="I159">
        <v>1</v>
      </c>
      <c r="J159" t="s">
        <v>21</v>
      </c>
    </row>
    <row r="160" spans="1:10" x14ac:dyDescent="0.25">
      <c r="A160">
        <v>56369</v>
      </c>
      <c r="B160" t="s">
        <v>2856</v>
      </c>
      <c r="C160" t="s">
        <v>143</v>
      </c>
      <c r="D160" t="s">
        <v>2243</v>
      </c>
      <c r="E160" t="s">
        <v>2244</v>
      </c>
      <c r="F160">
        <v>310370</v>
      </c>
      <c r="G160">
        <v>90964</v>
      </c>
      <c r="H160" s="32">
        <f t="shared" si="2"/>
        <v>3.4120091464755289</v>
      </c>
      <c r="I160">
        <v>1</v>
      </c>
      <c r="J160" t="s">
        <v>21</v>
      </c>
    </row>
    <row r="161" spans="1:10" x14ac:dyDescent="0.25">
      <c r="A161">
        <v>58904</v>
      </c>
      <c r="B161" t="s">
        <v>3333</v>
      </c>
      <c r="C161" t="s">
        <v>307</v>
      </c>
      <c r="D161" t="s">
        <v>2243</v>
      </c>
      <c r="E161" t="s">
        <v>2244</v>
      </c>
      <c r="F161">
        <v>408148</v>
      </c>
      <c r="G161">
        <v>119621</v>
      </c>
      <c r="H161" s="32">
        <f t="shared" si="2"/>
        <v>3.4120095969771196</v>
      </c>
      <c r="I161">
        <v>1</v>
      </c>
      <c r="J161" t="s">
        <v>21</v>
      </c>
    </row>
    <row r="162" spans="1:10" x14ac:dyDescent="0.25">
      <c r="A162">
        <v>56796</v>
      </c>
      <c r="B162" t="s">
        <v>2905</v>
      </c>
      <c r="C162" t="s">
        <v>143</v>
      </c>
      <c r="D162" t="s">
        <v>2243</v>
      </c>
      <c r="E162" t="s">
        <v>2244</v>
      </c>
      <c r="F162">
        <v>372752</v>
      </c>
      <c r="G162">
        <v>109247</v>
      </c>
      <c r="H162" s="32">
        <f t="shared" si="2"/>
        <v>3.4120113138118211</v>
      </c>
      <c r="I162">
        <v>1</v>
      </c>
      <c r="J162" t="s">
        <v>21</v>
      </c>
    </row>
    <row r="163" spans="1:10" x14ac:dyDescent="0.25">
      <c r="A163">
        <v>57177</v>
      </c>
      <c r="B163" t="s">
        <v>2949</v>
      </c>
      <c r="C163" t="s">
        <v>131</v>
      </c>
      <c r="D163" t="s">
        <v>2243</v>
      </c>
      <c r="E163" t="s">
        <v>2244</v>
      </c>
      <c r="F163">
        <v>353263</v>
      </c>
      <c r="G163">
        <v>103535</v>
      </c>
      <c r="H163" s="32">
        <f t="shared" si="2"/>
        <v>3.4120152605399139</v>
      </c>
      <c r="I163">
        <v>1</v>
      </c>
      <c r="J163" t="s">
        <v>21</v>
      </c>
    </row>
    <row r="164" spans="1:10" x14ac:dyDescent="0.25">
      <c r="A164">
        <v>56408</v>
      </c>
      <c r="B164" t="s">
        <v>2858</v>
      </c>
      <c r="C164" t="s">
        <v>166</v>
      </c>
      <c r="D164" t="s">
        <v>2243</v>
      </c>
      <c r="E164" t="s">
        <v>2244</v>
      </c>
      <c r="F164">
        <v>57107</v>
      </c>
      <c r="G164">
        <v>16737</v>
      </c>
      <c r="H164" s="32">
        <f t="shared" si="2"/>
        <v>3.4120212702395891</v>
      </c>
      <c r="I164">
        <v>1</v>
      </c>
      <c r="J164" t="s">
        <v>21</v>
      </c>
    </row>
    <row r="165" spans="1:10" x14ac:dyDescent="0.25">
      <c r="A165">
        <v>57240</v>
      </c>
      <c r="B165" t="s">
        <v>2957</v>
      </c>
      <c r="C165" t="s">
        <v>307</v>
      </c>
      <c r="D165" t="s">
        <v>2243</v>
      </c>
      <c r="E165" t="s">
        <v>2244</v>
      </c>
      <c r="F165">
        <v>90709</v>
      </c>
      <c r="G165">
        <v>26585</v>
      </c>
      <c r="H165" s="32">
        <f t="shared" si="2"/>
        <v>3.4120368628926085</v>
      </c>
      <c r="I165">
        <v>1</v>
      </c>
      <c r="J165" t="s">
        <v>21</v>
      </c>
    </row>
    <row r="166" spans="1:10" x14ac:dyDescent="0.25">
      <c r="A166">
        <v>944</v>
      </c>
      <c r="B166" t="s">
        <v>2240</v>
      </c>
      <c r="C166" t="s">
        <v>166</v>
      </c>
      <c r="D166" t="s">
        <v>2243</v>
      </c>
      <c r="E166" t="s">
        <v>2244</v>
      </c>
      <c r="F166">
        <v>21141</v>
      </c>
      <c r="G166">
        <v>6196</v>
      </c>
      <c r="H166" s="32">
        <f t="shared" si="2"/>
        <v>3.4120400258231118</v>
      </c>
      <c r="I166">
        <v>1</v>
      </c>
      <c r="J166" t="s">
        <v>21</v>
      </c>
    </row>
    <row r="167" spans="1:10" x14ac:dyDescent="0.25">
      <c r="A167">
        <v>59024</v>
      </c>
      <c r="B167" t="s">
        <v>3355</v>
      </c>
      <c r="C167" t="s">
        <v>322</v>
      </c>
      <c r="D167" t="s">
        <v>2243</v>
      </c>
      <c r="E167" t="s">
        <v>2244</v>
      </c>
      <c r="F167">
        <v>3627</v>
      </c>
      <c r="G167">
        <v>1063</v>
      </c>
      <c r="H167" s="32">
        <f t="shared" si="2"/>
        <v>3.4120413922859831</v>
      </c>
      <c r="I167">
        <v>1</v>
      </c>
      <c r="J167" t="s">
        <v>21</v>
      </c>
    </row>
    <row r="168" spans="1:10" x14ac:dyDescent="0.25">
      <c r="A168">
        <v>56470</v>
      </c>
      <c r="B168" t="s">
        <v>2871</v>
      </c>
      <c r="C168" t="s">
        <v>143</v>
      </c>
      <c r="D168" t="s">
        <v>2243</v>
      </c>
      <c r="E168" t="s">
        <v>2244</v>
      </c>
      <c r="F168">
        <v>190856</v>
      </c>
      <c r="G168">
        <v>55936</v>
      </c>
      <c r="H168" s="32">
        <f t="shared" si="2"/>
        <v>3.4120423340961099</v>
      </c>
      <c r="I168">
        <v>1</v>
      </c>
      <c r="J168" t="s">
        <v>21</v>
      </c>
    </row>
    <row r="169" spans="1:10" x14ac:dyDescent="0.25">
      <c r="A169">
        <v>56300</v>
      </c>
      <c r="B169" t="s">
        <v>2845</v>
      </c>
      <c r="C169" t="s">
        <v>241</v>
      </c>
      <c r="D169" t="s">
        <v>2243</v>
      </c>
      <c r="E169" t="s">
        <v>2244</v>
      </c>
      <c r="F169">
        <v>69296</v>
      </c>
      <c r="G169">
        <v>20309</v>
      </c>
      <c r="H169" s="32">
        <f t="shared" si="2"/>
        <v>3.4120833128169776</v>
      </c>
      <c r="I169">
        <v>1</v>
      </c>
      <c r="J169" t="s">
        <v>21</v>
      </c>
    </row>
    <row r="170" spans="1:10" x14ac:dyDescent="0.25">
      <c r="A170">
        <v>60126</v>
      </c>
      <c r="B170" t="s">
        <v>3678</v>
      </c>
      <c r="C170" t="s">
        <v>322</v>
      </c>
      <c r="D170" t="s">
        <v>2243</v>
      </c>
      <c r="E170" t="s">
        <v>2244</v>
      </c>
      <c r="F170">
        <v>10721</v>
      </c>
      <c r="G170">
        <v>3142</v>
      </c>
      <c r="H170" s="32">
        <f t="shared" si="2"/>
        <v>3.4121578612348822</v>
      </c>
      <c r="I170">
        <v>1</v>
      </c>
      <c r="J170" t="s">
        <v>21</v>
      </c>
    </row>
    <row r="171" spans="1:10" x14ac:dyDescent="0.25">
      <c r="A171">
        <v>59776</v>
      </c>
      <c r="B171" t="s">
        <v>3578</v>
      </c>
      <c r="C171" t="s">
        <v>166</v>
      </c>
      <c r="D171" t="s">
        <v>2243</v>
      </c>
      <c r="E171" t="s">
        <v>2244</v>
      </c>
      <c r="F171">
        <v>14785</v>
      </c>
      <c r="G171">
        <v>4333</v>
      </c>
      <c r="H171" s="32">
        <f t="shared" si="2"/>
        <v>3.4121855527348259</v>
      </c>
      <c r="I171">
        <v>1</v>
      </c>
      <c r="J171" t="s">
        <v>21</v>
      </c>
    </row>
    <row r="172" spans="1:10" x14ac:dyDescent="0.25">
      <c r="A172">
        <v>58630</v>
      </c>
      <c r="B172" t="s">
        <v>3239</v>
      </c>
      <c r="C172" t="s">
        <v>322</v>
      </c>
      <c r="D172" t="s">
        <v>2243</v>
      </c>
      <c r="E172" t="s">
        <v>2244</v>
      </c>
      <c r="F172">
        <v>24692</v>
      </c>
      <c r="G172">
        <v>7236</v>
      </c>
      <c r="H172" s="32">
        <f t="shared" si="2"/>
        <v>3.412382531785517</v>
      </c>
      <c r="I172">
        <v>1</v>
      </c>
      <c r="J172" t="s">
        <v>21</v>
      </c>
    </row>
    <row r="173" spans="1:10" x14ac:dyDescent="0.25">
      <c r="A173">
        <v>61990</v>
      </c>
      <c r="B173" t="s">
        <v>4095</v>
      </c>
      <c r="C173" t="s">
        <v>166</v>
      </c>
      <c r="D173" t="s">
        <v>2243</v>
      </c>
      <c r="E173" t="s">
        <v>2244</v>
      </c>
      <c r="F173">
        <v>379</v>
      </c>
      <c r="G173">
        <v>111</v>
      </c>
      <c r="H173" s="32">
        <f t="shared" si="2"/>
        <v>3.4144144144144146</v>
      </c>
      <c r="I173">
        <v>1</v>
      </c>
      <c r="J173" t="s">
        <v>21</v>
      </c>
    </row>
    <row r="174" spans="1:10" x14ac:dyDescent="0.25">
      <c r="A174">
        <v>56294</v>
      </c>
      <c r="B174" t="s">
        <v>2842</v>
      </c>
      <c r="C174" t="s">
        <v>241</v>
      </c>
      <c r="D174" t="s">
        <v>2599</v>
      </c>
      <c r="E174" t="s">
        <v>2650</v>
      </c>
      <c r="F174">
        <v>239947</v>
      </c>
      <c r="G174">
        <v>70325</v>
      </c>
      <c r="H174" s="32">
        <f t="shared" si="2"/>
        <v>3.4119729825808744</v>
      </c>
      <c r="I174">
        <v>1</v>
      </c>
      <c r="J174" t="s">
        <v>21</v>
      </c>
    </row>
    <row r="175" spans="1:10" x14ac:dyDescent="0.25">
      <c r="A175">
        <v>55066</v>
      </c>
      <c r="B175" t="s">
        <v>2760</v>
      </c>
      <c r="C175" t="s">
        <v>131</v>
      </c>
      <c r="D175" t="s">
        <v>2218</v>
      </c>
      <c r="E175" t="s">
        <v>2650</v>
      </c>
      <c r="F175">
        <v>1430712</v>
      </c>
      <c r="G175">
        <v>419318</v>
      </c>
      <c r="H175" s="32">
        <f t="shared" si="2"/>
        <v>3.4119975770179196</v>
      </c>
      <c r="I175">
        <v>1</v>
      </c>
      <c r="J175" t="s">
        <v>21</v>
      </c>
    </row>
    <row r="176" spans="1:10" x14ac:dyDescent="0.25">
      <c r="A176">
        <v>50509</v>
      </c>
      <c r="B176" t="s">
        <v>2649</v>
      </c>
      <c r="C176" t="s">
        <v>708</v>
      </c>
      <c r="D176" t="s">
        <v>2218</v>
      </c>
      <c r="E176" t="s">
        <v>2650</v>
      </c>
      <c r="F176">
        <v>701730</v>
      </c>
      <c r="G176">
        <v>205665</v>
      </c>
      <c r="H176" s="32">
        <f t="shared" si="2"/>
        <v>3.412004959521552</v>
      </c>
      <c r="I176">
        <v>1</v>
      </c>
      <c r="J176" t="s">
        <v>21</v>
      </c>
    </row>
    <row r="177" spans="1:10" x14ac:dyDescent="0.25">
      <c r="A177">
        <v>10017</v>
      </c>
      <c r="B177" t="s">
        <v>2570</v>
      </c>
      <c r="C177" t="s">
        <v>201</v>
      </c>
      <c r="D177" t="s">
        <v>2218</v>
      </c>
      <c r="E177" t="s">
        <v>2327</v>
      </c>
      <c r="F177">
        <v>354132</v>
      </c>
      <c r="G177">
        <v>88678.099000000002</v>
      </c>
      <c r="H177" s="32">
        <f t="shared" si="2"/>
        <v>3.9934550243347005</v>
      </c>
      <c r="I177">
        <v>1</v>
      </c>
      <c r="J177" t="s">
        <v>21</v>
      </c>
    </row>
    <row r="178" spans="1:10" x14ac:dyDescent="0.25">
      <c r="A178">
        <v>10208</v>
      </c>
      <c r="B178" t="s">
        <v>2584</v>
      </c>
      <c r="C178" t="s">
        <v>250</v>
      </c>
      <c r="D178" t="s">
        <v>2218</v>
      </c>
      <c r="E178" t="s">
        <v>2327</v>
      </c>
      <c r="F178">
        <v>435481</v>
      </c>
      <c r="G178">
        <v>106631.93799999999</v>
      </c>
      <c r="H178" s="32">
        <f t="shared" si="2"/>
        <v>4.0839640371161599</v>
      </c>
      <c r="I178">
        <v>1</v>
      </c>
      <c r="J178" t="s">
        <v>21</v>
      </c>
    </row>
    <row r="179" spans="1:10" x14ac:dyDescent="0.25">
      <c r="A179">
        <v>55429</v>
      </c>
      <c r="B179" t="s">
        <v>2794</v>
      </c>
      <c r="C179" t="s">
        <v>266</v>
      </c>
      <c r="D179" t="s">
        <v>2218</v>
      </c>
      <c r="E179" t="s">
        <v>2327</v>
      </c>
      <c r="F179">
        <v>365546</v>
      </c>
      <c r="G179">
        <v>80351.236000000004</v>
      </c>
      <c r="H179" s="32">
        <f t="shared" si="2"/>
        <v>4.5493513005823578</v>
      </c>
      <c r="I179">
        <v>1</v>
      </c>
      <c r="J179" t="s">
        <v>21</v>
      </c>
    </row>
    <row r="180" spans="1:10" x14ac:dyDescent="0.25">
      <c r="A180">
        <v>50254</v>
      </c>
      <c r="B180" t="s">
        <v>2629</v>
      </c>
      <c r="C180" t="s">
        <v>708</v>
      </c>
      <c r="D180" t="s">
        <v>2218</v>
      </c>
      <c r="E180" t="s">
        <v>2327</v>
      </c>
      <c r="F180">
        <v>87295</v>
      </c>
      <c r="G180">
        <v>19066.491000000002</v>
      </c>
      <c r="H180" s="32">
        <f t="shared" si="2"/>
        <v>4.5784512734933758</v>
      </c>
      <c r="I180">
        <v>1</v>
      </c>
      <c r="J180" t="s">
        <v>21</v>
      </c>
    </row>
    <row r="181" spans="1:10" x14ac:dyDescent="0.25">
      <c r="A181">
        <v>50479</v>
      </c>
      <c r="B181" t="s">
        <v>1977</v>
      </c>
      <c r="C181" t="s">
        <v>201</v>
      </c>
      <c r="D181" t="s">
        <v>2218</v>
      </c>
      <c r="E181" t="s">
        <v>2327</v>
      </c>
      <c r="F181">
        <v>41843</v>
      </c>
      <c r="G181">
        <v>9088.8909999999996</v>
      </c>
      <c r="H181" s="32">
        <f t="shared" si="2"/>
        <v>4.603751986903573</v>
      </c>
      <c r="I181">
        <v>1</v>
      </c>
      <c r="J181" t="s">
        <v>21</v>
      </c>
    </row>
    <row r="182" spans="1:10" x14ac:dyDescent="0.25">
      <c r="A182">
        <v>10244</v>
      </c>
      <c r="B182" t="s">
        <v>2586</v>
      </c>
      <c r="C182" t="s">
        <v>322</v>
      </c>
      <c r="D182" t="s">
        <v>2218</v>
      </c>
      <c r="E182" t="s">
        <v>2327</v>
      </c>
      <c r="F182">
        <v>65264</v>
      </c>
      <c r="G182">
        <v>13963.343999999999</v>
      </c>
      <c r="H182" s="32">
        <f t="shared" si="2"/>
        <v>4.6739520275372435</v>
      </c>
      <c r="I182">
        <v>1</v>
      </c>
      <c r="J182" t="s">
        <v>21</v>
      </c>
    </row>
    <row r="183" spans="1:10" x14ac:dyDescent="0.25">
      <c r="A183">
        <v>54618</v>
      </c>
      <c r="B183" t="s">
        <v>2712</v>
      </c>
      <c r="C183" t="s">
        <v>708</v>
      </c>
      <c r="D183" t="s">
        <v>2218</v>
      </c>
      <c r="E183" t="s">
        <v>2327</v>
      </c>
      <c r="F183">
        <v>100641</v>
      </c>
      <c r="G183">
        <v>21237.366000000002</v>
      </c>
      <c r="H183" s="32">
        <f t="shared" si="2"/>
        <v>4.7388645089037871</v>
      </c>
      <c r="I183">
        <v>1</v>
      </c>
      <c r="J183" t="s">
        <v>21</v>
      </c>
    </row>
    <row r="184" spans="1:10" x14ac:dyDescent="0.25">
      <c r="A184">
        <v>50189</v>
      </c>
      <c r="B184" t="s">
        <v>2626</v>
      </c>
      <c r="C184" t="s">
        <v>708</v>
      </c>
      <c r="D184" t="s">
        <v>2218</v>
      </c>
      <c r="E184" t="s">
        <v>2327</v>
      </c>
      <c r="F184">
        <v>588810</v>
      </c>
      <c r="G184">
        <v>123775.577</v>
      </c>
      <c r="H184" s="32">
        <f t="shared" si="2"/>
        <v>4.757077399849245</v>
      </c>
      <c r="I184">
        <v>1</v>
      </c>
      <c r="J184" t="s">
        <v>21</v>
      </c>
    </row>
    <row r="185" spans="1:10" x14ac:dyDescent="0.25">
      <c r="A185">
        <v>54850</v>
      </c>
      <c r="B185" t="s">
        <v>2733</v>
      </c>
      <c r="C185" t="s">
        <v>266</v>
      </c>
      <c r="D185" t="s">
        <v>2218</v>
      </c>
      <c r="E185" t="s">
        <v>2327</v>
      </c>
      <c r="F185">
        <v>46609</v>
      </c>
      <c r="G185">
        <v>9562</v>
      </c>
      <c r="H185" s="32">
        <f t="shared" si="2"/>
        <v>4.8743986613679144</v>
      </c>
      <c r="I185">
        <v>1</v>
      </c>
      <c r="J185" t="s">
        <v>21</v>
      </c>
    </row>
    <row r="186" spans="1:10" x14ac:dyDescent="0.25">
      <c r="A186">
        <v>50296</v>
      </c>
      <c r="B186" t="s">
        <v>2632</v>
      </c>
      <c r="C186" t="s">
        <v>2029</v>
      </c>
      <c r="D186" t="s">
        <v>2218</v>
      </c>
      <c r="E186" t="s">
        <v>2327</v>
      </c>
      <c r="F186">
        <v>467500</v>
      </c>
      <c r="G186">
        <v>93419.726999999999</v>
      </c>
      <c r="H186" s="32">
        <f t="shared" si="2"/>
        <v>5.0042963623732275</v>
      </c>
      <c r="I186">
        <v>1</v>
      </c>
      <c r="J186" t="s">
        <v>21</v>
      </c>
    </row>
    <row r="187" spans="1:10" x14ac:dyDescent="0.25">
      <c r="A187">
        <v>10252</v>
      </c>
      <c r="B187" t="s">
        <v>2590</v>
      </c>
      <c r="C187" t="s">
        <v>2029</v>
      </c>
      <c r="D187" t="s">
        <v>2218</v>
      </c>
      <c r="E187" t="s">
        <v>2327</v>
      </c>
      <c r="F187">
        <v>173713</v>
      </c>
      <c r="G187">
        <v>34620.720000000001</v>
      </c>
      <c r="H187" s="32">
        <f t="shared" si="2"/>
        <v>5.0176021758068581</v>
      </c>
      <c r="I187">
        <v>1</v>
      </c>
      <c r="J187" t="s">
        <v>21</v>
      </c>
    </row>
    <row r="188" spans="1:10" x14ac:dyDescent="0.25">
      <c r="A188">
        <v>50397</v>
      </c>
      <c r="B188" t="s">
        <v>2637</v>
      </c>
      <c r="C188" t="s">
        <v>143</v>
      </c>
      <c r="D188" t="s">
        <v>2218</v>
      </c>
      <c r="E188" t="s">
        <v>2327</v>
      </c>
      <c r="F188">
        <v>85565</v>
      </c>
      <c r="G188">
        <v>15171.652</v>
      </c>
      <c r="H188" s="32">
        <f t="shared" si="2"/>
        <v>5.6397945325927594</v>
      </c>
      <c r="I188">
        <v>1</v>
      </c>
      <c r="J188" t="s">
        <v>21</v>
      </c>
    </row>
    <row r="189" spans="1:10" x14ac:dyDescent="0.25">
      <c r="A189">
        <v>54974</v>
      </c>
      <c r="B189" t="s">
        <v>2751</v>
      </c>
      <c r="C189" t="s">
        <v>322</v>
      </c>
      <c r="D189" t="s">
        <v>2218</v>
      </c>
      <c r="E189" t="s">
        <v>2327</v>
      </c>
      <c r="F189">
        <v>14181</v>
      </c>
      <c r="G189">
        <v>2240.8359999999998</v>
      </c>
      <c r="H189" s="32">
        <f t="shared" si="2"/>
        <v>6.328441706577367</v>
      </c>
      <c r="I189">
        <v>1</v>
      </c>
      <c r="J189" t="s">
        <v>21</v>
      </c>
    </row>
    <row r="190" spans="1:10" x14ac:dyDescent="0.25">
      <c r="A190">
        <v>50251</v>
      </c>
      <c r="B190" t="s">
        <v>2628</v>
      </c>
      <c r="C190" t="s">
        <v>250</v>
      </c>
      <c r="D190" t="s">
        <v>2218</v>
      </c>
      <c r="E190" t="s">
        <v>2327</v>
      </c>
      <c r="F190">
        <v>710292</v>
      </c>
      <c r="G190">
        <v>103953.45299999999</v>
      </c>
      <c r="H190" s="32">
        <f t="shared" si="2"/>
        <v>6.8327889021637409</v>
      </c>
      <c r="I190">
        <v>1</v>
      </c>
      <c r="J190" t="s">
        <v>21</v>
      </c>
    </row>
    <row r="191" spans="1:10" x14ac:dyDescent="0.25">
      <c r="A191">
        <v>56808</v>
      </c>
      <c r="B191" t="s">
        <v>1737</v>
      </c>
      <c r="C191" t="s">
        <v>201</v>
      </c>
      <c r="D191" t="s">
        <v>2218</v>
      </c>
      <c r="E191" t="s">
        <v>2327</v>
      </c>
      <c r="F191">
        <v>1739395</v>
      </c>
      <c r="G191">
        <v>158970.179</v>
      </c>
      <c r="H191" s="32">
        <f t="shared" si="2"/>
        <v>10.941643338025052</v>
      </c>
      <c r="I191">
        <v>1</v>
      </c>
      <c r="J191" t="s">
        <v>21</v>
      </c>
    </row>
    <row r="192" spans="1:10" x14ac:dyDescent="0.25">
      <c r="A192">
        <v>50835</v>
      </c>
      <c r="B192" t="s">
        <v>2187</v>
      </c>
      <c r="C192" t="s">
        <v>250</v>
      </c>
      <c r="D192" t="s">
        <v>2218</v>
      </c>
      <c r="E192" t="s">
        <v>2327</v>
      </c>
      <c r="F192">
        <v>541582</v>
      </c>
      <c r="G192">
        <v>49493.182000000001</v>
      </c>
      <c r="H192" s="32">
        <f t="shared" si="2"/>
        <v>10.942557704210653</v>
      </c>
      <c r="I192">
        <v>1</v>
      </c>
      <c r="J192" t="s">
        <v>21</v>
      </c>
    </row>
    <row r="193" spans="1:10" x14ac:dyDescent="0.25">
      <c r="A193">
        <v>50813</v>
      </c>
      <c r="B193" t="s">
        <v>2668</v>
      </c>
      <c r="C193" t="s">
        <v>201</v>
      </c>
      <c r="D193" t="s">
        <v>2218</v>
      </c>
      <c r="E193" t="s">
        <v>2327</v>
      </c>
      <c r="F193">
        <v>1150226</v>
      </c>
      <c r="G193">
        <v>91292.981</v>
      </c>
      <c r="H193" s="32">
        <f t="shared" si="2"/>
        <v>12.599281865930088</v>
      </c>
      <c r="I193">
        <v>1</v>
      </c>
      <c r="J193" t="s">
        <v>21</v>
      </c>
    </row>
    <row r="194" spans="1:10" x14ac:dyDescent="0.25">
      <c r="A194">
        <v>50900</v>
      </c>
      <c r="B194" t="s">
        <v>2676</v>
      </c>
      <c r="C194" t="s">
        <v>201</v>
      </c>
      <c r="D194" t="s">
        <v>2218</v>
      </c>
      <c r="E194" t="s">
        <v>2327</v>
      </c>
      <c r="F194">
        <v>1852936</v>
      </c>
      <c r="G194">
        <v>140880.674</v>
      </c>
      <c r="H194" s="32">
        <f t="shared" ref="H194:H257" si="3">IF(AND(F194&gt;0,G194&gt;0),F194/G194,"")</f>
        <v>13.152520834759777</v>
      </c>
      <c r="I194">
        <v>1</v>
      </c>
      <c r="J194" t="s">
        <v>21</v>
      </c>
    </row>
    <row r="195" spans="1:10" x14ac:dyDescent="0.25">
      <c r="A195">
        <v>50888</v>
      </c>
      <c r="B195" t="s">
        <v>2128</v>
      </c>
      <c r="C195" t="s">
        <v>143</v>
      </c>
      <c r="D195" t="s">
        <v>2218</v>
      </c>
      <c r="E195" t="s">
        <v>2327</v>
      </c>
      <c r="F195">
        <v>2844</v>
      </c>
      <c r="G195">
        <v>214.351</v>
      </c>
      <c r="H195" s="32">
        <f t="shared" si="3"/>
        <v>13.26795769555542</v>
      </c>
      <c r="I195">
        <v>1</v>
      </c>
      <c r="J195" t="s">
        <v>21</v>
      </c>
    </row>
    <row r="196" spans="1:10" x14ac:dyDescent="0.25">
      <c r="A196">
        <v>10822</v>
      </c>
      <c r="B196" t="s">
        <v>2614</v>
      </c>
      <c r="C196" t="s">
        <v>250</v>
      </c>
      <c r="D196" t="s">
        <v>2218</v>
      </c>
      <c r="E196" t="s">
        <v>2327</v>
      </c>
      <c r="F196">
        <v>2481021</v>
      </c>
      <c r="G196">
        <v>181919.201</v>
      </c>
      <c r="H196" s="32">
        <f t="shared" si="3"/>
        <v>13.638038131005203</v>
      </c>
      <c r="I196">
        <v>1</v>
      </c>
      <c r="J196" t="s">
        <v>21</v>
      </c>
    </row>
    <row r="197" spans="1:10" x14ac:dyDescent="0.25">
      <c r="A197">
        <v>50770</v>
      </c>
      <c r="B197" t="s">
        <v>2667</v>
      </c>
      <c r="C197" t="s">
        <v>250</v>
      </c>
      <c r="D197" t="s">
        <v>2218</v>
      </c>
      <c r="E197" t="s">
        <v>2327</v>
      </c>
      <c r="F197">
        <v>1618983</v>
      </c>
      <c r="G197">
        <v>116891.605</v>
      </c>
      <c r="H197" s="32">
        <f t="shared" si="3"/>
        <v>13.850293184014371</v>
      </c>
      <c r="I197">
        <v>1</v>
      </c>
      <c r="J197" t="s">
        <v>21</v>
      </c>
    </row>
    <row r="198" spans="1:10" x14ac:dyDescent="0.25">
      <c r="A198">
        <v>58560</v>
      </c>
      <c r="B198" t="s">
        <v>3227</v>
      </c>
      <c r="C198" t="s">
        <v>201</v>
      </c>
      <c r="D198" t="s">
        <v>2218</v>
      </c>
      <c r="E198" t="s">
        <v>2327</v>
      </c>
      <c r="F198">
        <v>5111117</v>
      </c>
      <c r="G198">
        <v>358639.17300000001</v>
      </c>
      <c r="H198" s="32">
        <f t="shared" si="3"/>
        <v>14.251418653589187</v>
      </c>
      <c r="I198">
        <v>1</v>
      </c>
      <c r="J198" t="s">
        <v>21</v>
      </c>
    </row>
    <row r="199" spans="1:10" x14ac:dyDescent="0.25">
      <c r="A199">
        <v>10525</v>
      </c>
      <c r="B199" t="s">
        <v>2601</v>
      </c>
      <c r="C199" t="s">
        <v>708</v>
      </c>
      <c r="D199" t="s">
        <v>2218</v>
      </c>
      <c r="E199" t="s">
        <v>2327</v>
      </c>
      <c r="F199">
        <v>2921352</v>
      </c>
      <c r="G199">
        <v>187417.15</v>
      </c>
      <c r="H199" s="32">
        <f t="shared" si="3"/>
        <v>15.587431566428153</v>
      </c>
      <c r="I199">
        <v>1</v>
      </c>
      <c r="J199" t="s">
        <v>21</v>
      </c>
    </row>
    <row r="200" spans="1:10" x14ac:dyDescent="0.25">
      <c r="A200">
        <v>10771</v>
      </c>
      <c r="B200" t="s">
        <v>2610</v>
      </c>
      <c r="C200" t="s">
        <v>201</v>
      </c>
      <c r="D200" t="s">
        <v>2218</v>
      </c>
      <c r="E200" t="s">
        <v>2327</v>
      </c>
      <c r="F200">
        <v>5100916</v>
      </c>
      <c r="G200">
        <v>315997.69500000001</v>
      </c>
      <c r="H200" s="32">
        <f t="shared" si="3"/>
        <v>16.14225698703277</v>
      </c>
      <c r="I200">
        <v>1</v>
      </c>
      <c r="J200" t="s">
        <v>21</v>
      </c>
    </row>
    <row r="201" spans="1:10" x14ac:dyDescent="0.25">
      <c r="A201">
        <v>54751</v>
      </c>
      <c r="B201" t="s">
        <v>2722</v>
      </c>
      <c r="C201" t="s">
        <v>250</v>
      </c>
      <c r="D201" t="s">
        <v>2218</v>
      </c>
      <c r="E201" t="s">
        <v>2327</v>
      </c>
      <c r="F201">
        <v>1912740</v>
      </c>
      <c r="G201">
        <v>116384.38099999999</v>
      </c>
      <c r="H201" s="32">
        <f t="shared" si="3"/>
        <v>16.434679495352562</v>
      </c>
      <c r="I201">
        <v>1</v>
      </c>
      <c r="J201" t="s">
        <v>21</v>
      </c>
    </row>
    <row r="202" spans="1:10" x14ac:dyDescent="0.25">
      <c r="A202">
        <v>10774</v>
      </c>
      <c r="B202" t="s">
        <v>2612</v>
      </c>
      <c r="C202" t="s">
        <v>201</v>
      </c>
      <c r="D202" t="s">
        <v>2218</v>
      </c>
      <c r="E202" t="s">
        <v>2327</v>
      </c>
      <c r="F202">
        <v>4140331</v>
      </c>
      <c r="G202">
        <v>251740.35399999999</v>
      </c>
      <c r="H202" s="32">
        <f t="shared" si="3"/>
        <v>16.446830769134454</v>
      </c>
      <c r="I202">
        <v>1</v>
      </c>
      <c r="J202" t="s">
        <v>21</v>
      </c>
    </row>
    <row r="203" spans="1:10" x14ac:dyDescent="0.25">
      <c r="A203">
        <v>1772</v>
      </c>
      <c r="B203" t="s">
        <v>2325</v>
      </c>
      <c r="C203" t="s">
        <v>250</v>
      </c>
      <c r="D203" t="s">
        <v>2218</v>
      </c>
      <c r="E203" t="s">
        <v>2327</v>
      </c>
      <c r="F203">
        <v>968488</v>
      </c>
      <c r="G203">
        <v>58094.711000000003</v>
      </c>
      <c r="H203" s="32">
        <f t="shared" si="3"/>
        <v>16.67084633573614</v>
      </c>
      <c r="I203">
        <v>1</v>
      </c>
      <c r="J203" t="s">
        <v>21</v>
      </c>
    </row>
    <row r="204" spans="1:10" x14ac:dyDescent="0.25">
      <c r="A204">
        <v>54415</v>
      </c>
      <c r="B204" t="s">
        <v>2703</v>
      </c>
      <c r="C204" t="s">
        <v>250</v>
      </c>
      <c r="D204" t="s">
        <v>2218</v>
      </c>
      <c r="E204" t="s">
        <v>2327</v>
      </c>
      <c r="F204">
        <v>2920571</v>
      </c>
      <c r="G204">
        <v>169449.09599999999</v>
      </c>
      <c r="H204" s="32">
        <f t="shared" si="3"/>
        <v>17.23568357071672</v>
      </c>
      <c r="I204">
        <v>1</v>
      </c>
      <c r="J204" t="s">
        <v>21</v>
      </c>
    </row>
    <row r="205" spans="1:10" x14ac:dyDescent="0.25">
      <c r="A205">
        <v>10773</v>
      </c>
      <c r="B205" t="s">
        <v>2611</v>
      </c>
      <c r="C205" t="s">
        <v>201</v>
      </c>
      <c r="D205" t="s">
        <v>2218</v>
      </c>
      <c r="E205" t="s">
        <v>2327</v>
      </c>
      <c r="F205">
        <v>5181634</v>
      </c>
      <c r="G205">
        <v>299744.84499999997</v>
      </c>
      <c r="H205" s="32">
        <f t="shared" si="3"/>
        <v>17.286816058504694</v>
      </c>
      <c r="I205">
        <v>1</v>
      </c>
      <c r="J205" t="s">
        <v>21</v>
      </c>
    </row>
    <row r="206" spans="1:10" x14ac:dyDescent="0.25">
      <c r="A206">
        <v>3130</v>
      </c>
      <c r="B206" t="s">
        <v>1555</v>
      </c>
      <c r="C206" t="s">
        <v>143</v>
      </c>
      <c r="D206" t="s">
        <v>2218</v>
      </c>
      <c r="E206" t="s">
        <v>2405</v>
      </c>
      <c r="F206">
        <v>34288680</v>
      </c>
      <c r="G206">
        <v>3090530.9580000001</v>
      </c>
      <c r="H206" s="32">
        <f t="shared" si="3"/>
        <v>11.094753770785557</v>
      </c>
      <c r="I206">
        <v>1</v>
      </c>
      <c r="J206" t="s">
        <v>21</v>
      </c>
    </row>
    <row r="207" spans="1:10" x14ac:dyDescent="0.25">
      <c r="A207">
        <v>10143</v>
      </c>
      <c r="B207" t="s">
        <v>2013</v>
      </c>
      <c r="C207" t="s">
        <v>143</v>
      </c>
      <c r="D207" t="s">
        <v>2218</v>
      </c>
      <c r="E207" t="s">
        <v>2405</v>
      </c>
      <c r="F207">
        <v>8627061</v>
      </c>
      <c r="G207">
        <v>724370.94099999999</v>
      </c>
      <c r="H207" s="32">
        <f t="shared" si="3"/>
        <v>11.9097281678504</v>
      </c>
      <c r="I207">
        <v>1</v>
      </c>
      <c r="J207" t="s">
        <v>21</v>
      </c>
    </row>
    <row r="208" spans="1:10" x14ac:dyDescent="0.25">
      <c r="A208">
        <v>50888</v>
      </c>
      <c r="B208" t="s">
        <v>2128</v>
      </c>
      <c r="C208" t="s">
        <v>143</v>
      </c>
      <c r="D208" t="s">
        <v>2218</v>
      </c>
      <c r="E208" t="s">
        <v>2405</v>
      </c>
      <c r="F208">
        <v>6841393</v>
      </c>
      <c r="G208">
        <v>555258.15700000001</v>
      </c>
      <c r="H208" s="32">
        <f t="shared" si="3"/>
        <v>12.321103100877094</v>
      </c>
      <c r="I208">
        <v>1</v>
      </c>
      <c r="J208" t="s">
        <v>21</v>
      </c>
    </row>
    <row r="209" spans="1:10" x14ac:dyDescent="0.25">
      <c r="A209">
        <v>10113</v>
      </c>
      <c r="B209" t="s">
        <v>2175</v>
      </c>
      <c r="C209" t="s">
        <v>143</v>
      </c>
      <c r="D209" t="s">
        <v>2218</v>
      </c>
      <c r="E209" t="s">
        <v>2405</v>
      </c>
      <c r="F209">
        <v>8775622</v>
      </c>
      <c r="G209">
        <v>640106.11600000004</v>
      </c>
      <c r="H209" s="32">
        <f t="shared" si="3"/>
        <v>13.709636231627568</v>
      </c>
      <c r="I209">
        <v>1</v>
      </c>
      <c r="J209" t="s">
        <v>21</v>
      </c>
    </row>
    <row r="210" spans="1:10" x14ac:dyDescent="0.25">
      <c r="A210">
        <v>50776</v>
      </c>
      <c r="B210" t="s">
        <v>1329</v>
      </c>
      <c r="C210" t="s">
        <v>143</v>
      </c>
      <c r="D210" t="s">
        <v>2218</v>
      </c>
      <c r="E210" t="s">
        <v>2405</v>
      </c>
      <c r="F210">
        <v>4900496</v>
      </c>
      <c r="G210">
        <v>336362.45699999999</v>
      </c>
      <c r="H210" s="32">
        <f t="shared" si="3"/>
        <v>14.569093244553152</v>
      </c>
      <c r="I210">
        <v>1</v>
      </c>
      <c r="J210" t="s">
        <v>21</v>
      </c>
    </row>
    <row r="211" spans="1:10" x14ac:dyDescent="0.25">
      <c r="A211">
        <v>50974</v>
      </c>
      <c r="B211" t="s">
        <v>2163</v>
      </c>
      <c r="C211" t="s">
        <v>143</v>
      </c>
      <c r="D211" t="s">
        <v>2218</v>
      </c>
      <c r="E211" t="s">
        <v>2405</v>
      </c>
      <c r="F211">
        <v>6379629</v>
      </c>
      <c r="G211">
        <v>437601.78899999999</v>
      </c>
      <c r="H211" s="32">
        <f t="shared" si="3"/>
        <v>14.578617273431668</v>
      </c>
      <c r="I211">
        <v>1</v>
      </c>
      <c r="J211" t="s">
        <v>21</v>
      </c>
    </row>
    <row r="212" spans="1:10" x14ac:dyDescent="0.25">
      <c r="A212">
        <v>54634</v>
      </c>
      <c r="B212" t="s">
        <v>2714</v>
      </c>
      <c r="C212" t="s">
        <v>143</v>
      </c>
      <c r="D212" t="s">
        <v>2218</v>
      </c>
      <c r="E212" t="s">
        <v>2405</v>
      </c>
      <c r="F212">
        <v>9830067</v>
      </c>
      <c r="G212">
        <v>661365.88300000003</v>
      </c>
      <c r="H212" s="32">
        <f t="shared" si="3"/>
        <v>14.86328105618354</v>
      </c>
      <c r="I212">
        <v>1</v>
      </c>
      <c r="J212" t="s">
        <v>21</v>
      </c>
    </row>
    <row r="213" spans="1:10" x14ac:dyDescent="0.25">
      <c r="A213">
        <v>10151</v>
      </c>
      <c r="B213" t="s">
        <v>831</v>
      </c>
      <c r="C213" t="s">
        <v>118</v>
      </c>
      <c r="D213" t="s">
        <v>2218</v>
      </c>
      <c r="E213" t="s">
        <v>2405</v>
      </c>
      <c r="F213">
        <v>4981577</v>
      </c>
      <c r="G213">
        <v>331538.27299999999</v>
      </c>
      <c r="H213" s="32">
        <f t="shared" si="3"/>
        <v>15.025646827809833</v>
      </c>
      <c r="I213">
        <v>1</v>
      </c>
      <c r="J213" t="s">
        <v>21</v>
      </c>
    </row>
    <row r="214" spans="1:10" x14ac:dyDescent="0.25">
      <c r="A214">
        <v>50611</v>
      </c>
      <c r="B214" t="s">
        <v>1786</v>
      </c>
      <c r="C214" t="s">
        <v>143</v>
      </c>
      <c r="D214" t="s">
        <v>2218</v>
      </c>
      <c r="E214" t="s">
        <v>2405</v>
      </c>
      <c r="F214">
        <v>2190067</v>
      </c>
      <c r="G214">
        <v>142460.03400000001</v>
      </c>
      <c r="H214" s="32">
        <f t="shared" si="3"/>
        <v>15.373202845087063</v>
      </c>
      <c r="I214">
        <v>1</v>
      </c>
      <c r="J214" t="s">
        <v>21</v>
      </c>
    </row>
    <row r="215" spans="1:10" x14ac:dyDescent="0.25">
      <c r="A215">
        <v>10603</v>
      </c>
      <c r="B215" t="s">
        <v>661</v>
      </c>
      <c r="C215" t="s">
        <v>143</v>
      </c>
      <c r="D215" t="s">
        <v>2218</v>
      </c>
      <c r="E215" t="s">
        <v>2405</v>
      </c>
      <c r="F215">
        <v>4714009</v>
      </c>
      <c r="G215">
        <v>306330.57199999999</v>
      </c>
      <c r="H215" s="32">
        <f t="shared" si="3"/>
        <v>15.388633818762301</v>
      </c>
      <c r="I215">
        <v>1</v>
      </c>
      <c r="J215" t="s">
        <v>21</v>
      </c>
    </row>
    <row r="216" spans="1:10" x14ac:dyDescent="0.25">
      <c r="A216">
        <v>7474</v>
      </c>
      <c r="B216" t="s">
        <v>2526</v>
      </c>
      <c r="C216" t="s">
        <v>166</v>
      </c>
      <c r="D216" t="s">
        <v>2229</v>
      </c>
      <c r="E216" t="s">
        <v>2230</v>
      </c>
      <c r="F216">
        <v>556</v>
      </c>
      <c r="G216">
        <v>163</v>
      </c>
      <c r="H216" s="32">
        <f t="shared" si="3"/>
        <v>3.4110429447852759</v>
      </c>
      <c r="I216">
        <v>1</v>
      </c>
      <c r="J216" t="s">
        <v>21</v>
      </c>
    </row>
    <row r="217" spans="1:10" x14ac:dyDescent="0.25">
      <c r="A217">
        <v>2745</v>
      </c>
      <c r="B217" t="s">
        <v>2374</v>
      </c>
      <c r="C217" t="s">
        <v>708</v>
      </c>
      <c r="D217" t="s">
        <v>2229</v>
      </c>
      <c r="E217" t="s">
        <v>2230</v>
      </c>
      <c r="F217">
        <v>9153</v>
      </c>
      <c r="G217">
        <v>2683</v>
      </c>
      <c r="H217" s="32">
        <f t="shared" si="3"/>
        <v>3.4114796869176294</v>
      </c>
      <c r="I217">
        <v>1</v>
      </c>
      <c r="J217" t="s">
        <v>21</v>
      </c>
    </row>
    <row r="218" spans="1:10" x14ac:dyDescent="0.25">
      <c r="A218">
        <v>50433</v>
      </c>
      <c r="B218" t="s">
        <v>2642</v>
      </c>
      <c r="C218" t="s">
        <v>250</v>
      </c>
      <c r="D218" t="s">
        <v>2229</v>
      </c>
      <c r="E218" t="s">
        <v>2230</v>
      </c>
      <c r="F218">
        <v>5919</v>
      </c>
      <c r="G218">
        <v>1735</v>
      </c>
      <c r="H218" s="32">
        <f t="shared" si="3"/>
        <v>3.4115273775216139</v>
      </c>
      <c r="I218">
        <v>1</v>
      </c>
      <c r="J218" t="s">
        <v>21</v>
      </c>
    </row>
    <row r="219" spans="1:10" x14ac:dyDescent="0.25">
      <c r="A219">
        <v>1821</v>
      </c>
      <c r="B219" t="s">
        <v>2338</v>
      </c>
      <c r="C219" t="s">
        <v>250</v>
      </c>
      <c r="D219" t="s">
        <v>2229</v>
      </c>
      <c r="E219" t="s">
        <v>2230</v>
      </c>
      <c r="F219">
        <v>18365</v>
      </c>
      <c r="G219">
        <v>5383</v>
      </c>
      <c r="H219" s="32">
        <f t="shared" si="3"/>
        <v>3.4116663570499721</v>
      </c>
      <c r="I219">
        <v>1</v>
      </c>
      <c r="J219" t="s">
        <v>21</v>
      </c>
    </row>
    <row r="220" spans="1:10" x14ac:dyDescent="0.25">
      <c r="A220">
        <v>999</v>
      </c>
      <c r="B220" t="s">
        <v>2266</v>
      </c>
      <c r="C220" t="s">
        <v>131</v>
      </c>
      <c r="D220" t="s">
        <v>2229</v>
      </c>
      <c r="E220" t="s">
        <v>2230</v>
      </c>
      <c r="F220">
        <v>7284</v>
      </c>
      <c r="G220">
        <v>2135</v>
      </c>
      <c r="H220" s="32">
        <f t="shared" si="3"/>
        <v>3.4117096018735364</v>
      </c>
      <c r="I220">
        <v>1</v>
      </c>
      <c r="J220" t="s">
        <v>21</v>
      </c>
    </row>
    <row r="221" spans="1:10" x14ac:dyDescent="0.25">
      <c r="A221">
        <v>10520</v>
      </c>
      <c r="B221" t="s">
        <v>2600</v>
      </c>
      <c r="C221" t="s">
        <v>166</v>
      </c>
      <c r="D221" t="s">
        <v>2229</v>
      </c>
      <c r="E221" t="s">
        <v>2230</v>
      </c>
      <c r="F221">
        <v>33712</v>
      </c>
      <c r="G221">
        <v>9881</v>
      </c>
      <c r="H221" s="32">
        <f t="shared" si="3"/>
        <v>3.4118004250581926</v>
      </c>
      <c r="I221">
        <v>1</v>
      </c>
      <c r="J221" t="s">
        <v>21</v>
      </c>
    </row>
    <row r="222" spans="1:10" x14ac:dyDescent="0.25">
      <c r="A222">
        <v>1359</v>
      </c>
      <c r="B222" t="s">
        <v>2279</v>
      </c>
      <c r="C222" t="s">
        <v>266</v>
      </c>
      <c r="D222" t="s">
        <v>2229</v>
      </c>
      <c r="E222" t="s">
        <v>2230</v>
      </c>
      <c r="F222">
        <v>21805</v>
      </c>
      <c r="G222">
        <v>6391</v>
      </c>
      <c r="H222" s="32">
        <f t="shared" si="3"/>
        <v>3.4118291347207008</v>
      </c>
      <c r="I222">
        <v>1</v>
      </c>
      <c r="J222" t="s">
        <v>21</v>
      </c>
    </row>
    <row r="223" spans="1:10" x14ac:dyDescent="0.25">
      <c r="A223">
        <v>50178</v>
      </c>
      <c r="B223" t="s">
        <v>2624</v>
      </c>
      <c r="C223" t="s">
        <v>201</v>
      </c>
      <c r="D223" t="s">
        <v>2229</v>
      </c>
      <c r="E223" t="s">
        <v>2230</v>
      </c>
      <c r="F223">
        <v>2767</v>
      </c>
      <c r="G223">
        <v>811</v>
      </c>
      <c r="H223" s="32">
        <f t="shared" si="3"/>
        <v>3.4118372379778052</v>
      </c>
      <c r="I223">
        <v>1</v>
      </c>
      <c r="J223" t="s">
        <v>21</v>
      </c>
    </row>
    <row r="224" spans="1:10" x14ac:dyDescent="0.25">
      <c r="A224">
        <v>2751</v>
      </c>
      <c r="B224" t="s">
        <v>2379</v>
      </c>
      <c r="C224" t="s">
        <v>708</v>
      </c>
      <c r="D224" t="s">
        <v>2229</v>
      </c>
      <c r="E224" t="s">
        <v>2230</v>
      </c>
      <c r="F224">
        <v>15425</v>
      </c>
      <c r="G224">
        <v>4521</v>
      </c>
      <c r="H224" s="32">
        <f t="shared" si="3"/>
        <v>3.4118557841185577</v>
      </c>
      <c r="I224">
        <v>1</v>
      </c>
      <c r="J224" t="s">
        <v>21</v>
      </c>
    </row>
    <row r="225" spans="1:10" x14ac:dyDescent="0.25">
      <c r="A225">
        <v>1773</v>
      </c>
      <c r="B225" t="s">
        <v>2328</v>
      </c>
      <c r="C225" t="s">
        <v>250</v>
      </c>
      <c r="D225" t="s">
        <v>2229</v>
      </c>
      <c r="E225" t="s">
        <v>2230</v>
      </c>
      <c r="F225">
        <v>20246</v>
      </c>
      <c r="G225">
        <v>5934</v>
      </c>
      <c r="H225" s="32">
        <f t="shared" si="3"/>
        <v>3.4118638355240982</v>
      </c>
      <c r="I225">
        <v>1</v>
      </c>
      <c r="J225" t="s">
        <v>21</v>
      </c>
    </row>
    <row r="226" spans="1:10" x14ac:dyDescent="0.25">
      <c r="A226">
        <v>50436</v>
      </c>
      <c r="B226" t="s">
        <v>2643</v>
      </c>
      <c r="C226" t="s">
        <v>250</v>
      </c>
      <c r="D226" t="s">
        <v>2229</v>
      </c>
      <c r="E226" t="s">
        <v>2230</v>
      </c>
      <c r="F226">
        <v>13337</v>
      </c>
      <c r="G226">
        <v>3909</v>
      </c>
      <c r="H226" s="32">
        <f t="shared" si="3"/>
        <v>3.4118700434893836</v>
      </c>
      <c r="I226">
        <v>1</v>
      </c>
      <c r="J226" t="s">
        <v>21</v>
      </c>
    </row>
    <row r="227" spans="1:10" x14ac:dyDescent="0.25">
      <c r="A227">
        <v>10155</v>
      </c>
      <c r="B227" t="s">
        <v>2582</v>
      </c>
      <c r="C227" t="s">
        <v>201</v>
      </c>
      <c r="D227" t="s">
        <v>2229</v>
      </c>
      <c r="E227" t="s">
        <v>2230</v>
      </c>
      <c r="F227">
        <v>20693</v>
      </c>
      <c r="G227">
        <v>6065</v>
      </c>
      <c r="H227" s="32">
        <f t="shared" si="3"/>
        <v>3.4118713932399012</v>
      </c>
      <c r="I227">
        <v>1</v>
      </c>
      <c r="J227" t="s">
        <v>21</v>
      </c>
    </row>
    <row r="228" spans="1:10" x14ac:dyDescent="0.25">
      <c r="A228">
        <v>3821</v>
      </c>
      <c r="B228" t="s">
        <v>2461</v>
      </c>
      <c r="C228" t="s">
        <v>201</v>
      </c>
      <c r="D228" t="s">
        <v>2229</v>
      </c>
      <c r="E228" t="s">
        <v>2230</v>
      </c>
      <c r="F228">
        <v>53768</v>
      </c>
      <c r="G228">
        <v>15759</v>
      </c>
      <c r="H228" s="32">
        <f t="shared" si="3"/>
        <v>3.4118916174884193</v>
      </c>
      <c r="I228">
        <v>1</v>
      </c>
      <c r="J228" t="s">
        <v>21</v>
      </c>
    </row>
    <row r="229" spans="1:10" x14ac:dyDescent="0.25">
      <c r="A229">
        <v>1712</v>
      </c>
      <c r="B229" t="s">
        <v>2302</v>
      </c>
      <c r="C229" t="s">
        <v>250</v>
      </c>
      <c r="D229" t="s">
        <v>2229</v>
      </c>
      <c r="E229" t="s">
        <v>2230</v>
      </c>
      <c r="F229">
        <v>54853</v>
      </c>
      <c r="G229">
        <v>16077</v>
      </c>
      <c r="H229" s="32">
        <f t="shared" si="3"/>
        <v>3.4118927660633203</v>
      </c>
      <c r="I229">
        <v>1</v>
      </c>
      <c r="J229" t="s">
        <v>21</v>
      </c>
    </row>
    <row r="230" spans="1:10" x14ac:dyDescent="0.25">
      <c r="A230">
        <v>50010</v>
      </c>
      <c r="B230" t="s">
        <v>2619</v>
      </c>
      <c r="C230" t="s">
        <v>118</v>
      </c>
      <c r="D230" t="s">
        <v>2229</v>
      </c>
      <c r="E230" t="s">
        <v>2230</v>
      </c>
      <c r="F230">
        <v>36132</v>
      </c>
      <c r="G230">
        <v>10590</v>
      </c>
      <c r="H230" s="32">
        <f t="shared" si="3"/>
        <v>3.4118980169971671</v>
      </c>
      <c r="I230">
        <v>1</v>
      </c>
      <c r="J230" t="s">
        <v>21</v>
      </c>
    </row>
    <row r="231" spans="1:10" x14ac:dyDescent="0.25">
      <c r="A231">
        <v>10903</v>
      </c>
      <c r="B231" t="s">
        <v>2618</v>
      </c>
      <c r="C231" t="s">
        <v>166</v>
      </c>
      <c r="D231" t="s">
        <v>2229</v>
      </c>
      <c r="E231" t="s">
        <v>2230</v>
      </c>
      <c r="F231">
        <v>53086</v>
      </c>
      <c r="G231">
        <v>15559</v>
      </c>
      <c r="H231" s="32">
        <f t="shared" si="3"/>
        <v>3.4119159329005719</v>
      </c>
      <c r="I231">
        <v>1</v>
      </c>
      <c r="J231" t="s">
        <v>21</v>
      </c>
    </row>
    <row r="232" spans="1:10" x14ac:dyDescent="0.25">
      <c r="A232">
        <v>1705</v>
      </c>
      <c r="B232" t="s">
        <v>2298</v>
      </c>
      <c r="C232" t="s">
        <v>250</v>
      </c>
      <c r="D232" t="s">
        <v>2229</v>
      </c>
      <c r="E232" t="s">
        <v>2230</v>
      </c>
      <c r="F232">
        <v>94210</v>
      </c>
      <c r="G232">
        <v>27612</v>
      </c>
      <c r="H232" s="32">
        <f t="shared" si="3"/>
        <v>3.4119223526003188</v>
      </c>
      <c r="I232">
        <v>1</v>
      </c>
      <c r="J232" t="s">
        <v>21</v>
      </c>
    </row>
    <row r="233" spans="1:10" x14ac:dyDescent="0.25">
      <c r="A233">
        <v>6543</v>
      </c>
      <c r="B233" t="s">
        <v>2500</v>
      </c>
      <c r="C233" t="s">
        <v>118</v>
      </c>
      <c r="D233" t="s">
        <v>2229</v>
      </c>
      <c r="E233" t="s">
        <v>2230</v>
      </c>
      <c r="F233">
        <v>27524</v>
      </c>
      <c r="G233">
        <v>8067</v>
      </c>
      <c r="H233" s="32">
        <f t="shared" si="3"/>
        <v>3.411925127060865</v>
      </c>
      <c r="I233">
        <v>1</v>
      </c>
      <c r="J233" t="s">
        <v>21</v>
      </c>
    </row>
    <row r="234" spans="1:10" x14ac:dyDescent="0.25">
      <c r="A234">
        <v>3827</v>
      </c>
      <c r="B234" t="s">
        <v>2463</v>
      </c>
      <c r="C234" t="s">
        <v>201</v>
      </c>
      <c r="D234" t="s">
        <v>2229</v>
      </c>
      <c r="E234" t="s">
        <v>2230</v>
      </c>
      <c r="F234">
        <v>16987</v>
      </c>
      <c r="G234">
        <v>4978.71</v>
      </c>
      <c r="H234" s="32">
        <f t="shared" si="3"/>
        <v>3.4119279893787748</v>
      </c>
      <c r="I234">
        <v>1</v>
      </c>
      <c r="J234" t="s">
        <v>21</v>
      </c>
    </row>
    <row r="235" spans="1:10" x14ac:dyDescent="0.25">
      <c r="A235">
        <v>7657</v>
      </c>
      <c r="B235" t="s">
        <v>2531</v>
      </c>
      <c r="C235" t="s">
        <v>322</v>
      </c>
      <c r="D235" t="s">
        <v>2229</v>
      </c>
      <c r="E235" t="s">
        <v>2230</v>
      </c>
      <c r="F235">
        <v>20823</v>
      </c>
      <c r="G235">
        <v>6103</v>
      </c>
      <c r="H235" s="32">
        <f t="shared" si="3"/>
        <v>3.4119285597247258</v>
      </c>
      <c r="I235">
        <v>1</v>
      </c>
      <c r="J235" t="s">
        <v>21</v>
      </c>
    </row>
    <row r="236" spans="1:10" x14ac:dyDescent="0.25">
      <c r="A236">
        <v>1757</v>
      </c>
      <c r="B236" t="s">
        <v>2322</v>
      </c>
      <c r="C236" t="s">
        <v>250</v>
      </c>
      <c r="D236" t="s">
        <v>2229</v>
      </c>
      <c r="E236" t="s">
        <v>2230</v>
      </c>
      <c r="F236">
        <v>27896</v>
      </c>
      <c r="G236">
        <v>8176</v>
      </c>
      <c r="H236" s="32">
        <f t="shared" si="3"/>
        <v>3.4119373776908022</v>
      </c>
      <c r="I236">
        <v>1</v>
      </c>
      <c r="J236" t="s">
        <v>21</v>
      </c>
    </row>
    <row r="237" spans="1:10" x14ac:dyDescent="0.25">
      <c r="A237">
        <v>52036</v>
      </c>
      <c r="B237" t="s">
        <v>2682</v>
      </c>
      <c r="C237" t="s">
        <v>143</v>
      </c>
      <c r="D237" t="s">
        <v>2229</v>
      </c>
      <c r="E237" t="s">
        <v>2230</v>
      </c>
      <c r="F237">
        <v>130186</v>
      </c>
      <c r="G237">
        <v>38156</v>
      </c>
      <c r="H237" s="32">
        <f t="shared" si="3"/>
        <v>3.411940454974316</v>
      </c>
      <c r="I237">
        <v>1</v>
      </c>
      <c r="J237" t="s">
        <v>21</v>
      </c>
    </row>
    <row r="238" spans="1:10" x14ac:dyDescent="0.25">
      <c r="A238">
        <v>1716</v>
      </c>
      <c r="B238" t="s">
        <v>2304</v>
      </c>
      <c r="C238" t="s">
        <v>250</v>
      </c>
      <c r="D238" t="s">
        <v>2229</v>
      </c>
      <c r="E238" t="s">
        <v>2230</v>
      </c>
      <c r="F238">
        <v>71245</v>
      </c>
      <c r="G238">
        <v>20881</v>
      </c>
      <c r="H238" s="32">
        <f t="shared" si="3"/>
        <v>3.4119534505052438</v>
      </c>
      <c r="I238">
        <v>1</v>
      </c>
      <c r="J238" t="s">
        <v>21</v>
      </c>
    </row>
    <row r="239" spans="1:10" x14ac:dyDescent="0.25">
      <c r="A239">
        <v>1848</v>
      </c>
      <c r="B239" t="s">
        <v>2342</v>
      </c>
      <c r="C239" t="s">
        <v>250</v>
      </c>
      <c r="D239" t="s">
        <v>2229</v>
      </c>
      <c r="E239" t="s">
        <v>2230</v>
      </c>
      <c r="F239">
        <v>100779</v>
      </c>
      <c r="G239">
        <v>29537</v>
      </c>
      <c r="H239" s="32">
        <f t="shared" si="3"/>
        <v>3.4119578833327693</v>
      </c>
      <c r="I239">
        <v>1</v>
      </c>
      <c r="J239" t="s">
        <v>21</v>
      </c>
    </row>
    <row r="240" spans="1:10" x14ac:dyDescent="0.25">
      <c r="A240">
        <v>1776</v>
      </c>
      <c r="B240" t="s">
        <v>2330</v>
      </c>
      <c r="C240" t="s">
        <v>250</v>
      </c>
      <c r="D240" t="s">
        <v>2229</v>
      </c>
      <c r="E240" t="s">
        <v>2230</v>
      </c>
      <c r="F240">
        <v>115952</v>
      </c>
      <c r="G240">
        <v>33984</v>
      </c>
      <c r="H240" s="32">
        <f t="shared" si="3"/>
        <v>3.4119585687382297</v>
      </c>
      <c r="I240">
        <v>1</v>
      </c>
      <c r="J240" t="s">
        <v>21</v>
      </c>
    </row>
    <row r="241" spans="1:10" x14ac:dyDescent="0.25">
      <c r="A241">
        <v>1714</v>
      </c>
      <c r="B241" t="s">
        <v>2303</v>
      </c>
      <c r="C241" t="s">
        <v>250</v>
      </c>
      <c r="D241" t="s">
        <v>2229</v>
      </c>
      <c r="E241" t="s">
        <v>2230</v>
      </c>
      <c r="F241">
        <v>46389</v>
      </c>
      <c r="G241">
        <v>13596</v>
      </c>
      <c r="H241" s="32">
        <f t="shared" si="3"/>
        <v>3.4119593998234774</v>
      </c>
      <c r="I241">
        <v>1</v>
      </c>
      <c r="J241" t="s">
        <v>21</v>
      </c>
    </row>
    <row r="242" spans="1:10" x14ac:dyDescent="0.25">
      <c r="A242">
        <v>50894</v>
      </c>
      <c r="B242" t="s">
        <v>2673</v>
      </c>
      <c r="C242" t="s">
        <v>143</v>
      </c>
      <c r="D242" t="s">
        <v>2229</v>
      </c>
      <c r="E242" t="s">
        <v>2230</v>
      </c>
      <c r="F242">
        <v>121575</v>
      </c>
      <c r="G242">
        <v>35632</v>
      </c>
      <c r="H242" s="32">
        <f t="shared" si="3"/>
        <v>3.4119611585092051</v>
      </c>
      <c r="I242">
        <v>1</v>
      </c>
      <c r="J242" t="s">
        <v>21</v>
      </c>
    </row>
    <row r="243" spans="1:10" x14ac:dyDescent="0.25">
      <c r="A243">
        <v>1786</v>
      </c>
      <c r="B243" t="s">
        <v>2336</v>
      </c>
      <c r="C243" t="s">
        <v>250</v>
      </c>
      <c r="D243" t="s">
        <v>2229</v>
      </c>
      <c r="E243" t="s">
        <v>2230</v>
      </c>
      <c r="F243">
        <v>111404</v>
      </c>
      <c r="G243">
        <v>32651</v>
      </c>
      <c r="H243" s="32">
        <f t="shared" si="3"/>
        <v>3.41196288015681</v>
      </c>
      <c r="I243">
        <v>1</v>
      </c>
      <c r="J243" t="s">
        <v>21</v>
      </c>
    </row>
    <row r="244" spans="1:10" x14ac:dyDescent="0.25">
      <c r="A244">
        <v>10550</v>
      </c>
      <c r="B244" t="s">
        <v>2604</v>
      </c>
      <c r="C244" t="s">
        <v>708</v>
      </c>
      <c r="D244" t="s">
        <v>2229</v>
      </c>
      <c r="E244" t="s">
        <v>2230</v>
      </c>
      <c r="F244">
        <v>11123</v>
      </c>
      <c r="G244">
        <v>3260</v>
      </c>
      <c r="H244" s="32">
        <f t="shared" si="3"/>
        <v>3.411963190184049</v>
      </c>
      <c r="I244">
        <v>1</v>
      </c>
      <c r="J244" t="s">
        <v>21</v>
      </c>
    </row>
    <row r="245" spans="1:10" x14ac:dyDescent="0.25">
      <c r="A245">
        <v>58685</v>
      </c>
      <c r="B245" t="s">
        <v>3254</v>
      </c>
      <c r="C245" t="s">
        <v>143</v>
      </c>
      <c r="D245" t="s">
        <v>2229</v>
      </c>
      <c r="E245" t="s">
        <v>2230</v>
      </c>
      <c r="F245">
        <v>44823</v>
      </c>
      <c r="G245">
        <v>13137</v>
      </c>
      <c r="H245" s="32">
        <f t="shared" si="3"/>
        <v>3.4119662023292991</v>
      </c>
      <c r="I245">
        <v>1</v>
      </c>
      <c r="J245" t="s">
        <v>21</v>
      </c>
    </row>
    <row r="246" spans="1:10" x14ac:dyDescent="0.25">
      <c r="A246">
        <v>54342</v>
      </c>
      <c r="B246" t="s">
        <v>2701</v>
      </c>
      <c r="C246" t="s">
        <v>250</v>
      </c>
      <c r="D246" t="s">
        <v>2229</v>
      </c>
      <c r="E246" t="s">
        <v>2230</v>
      </c>
      <c r="F246">
        <v>20175</v>
      </c>
      <c r="G246">
        <v>5913</v>
      </c>
      <c r="H246" s="32">
        <f t="shared" si="3"/>
        <v>3.4119736174530697</v>
      </c>
      <c r="I246">
        <v>1</v>
      </c>
      <c r="J246" t="s">
        <v>21</v>
      </c>
    </row>
    <row r="247" spans="1:10" x14ac:dyDescent="0.25">
      <c r="A247">
        <v>1787</v>
      </c>
      <c r="B247" t="s">
        <v>2337</v>
      </c>
      <c r="C247" t="s">
        <v>250</v>
      </c>
      <c r="D247" t="s">
        <v>2229</v>
      </c>
      <c r="E247" t="s">
        <v>2230</v>
      </c>
      <c r="F247">
        <v>119733</v>
      </c>
      <c r="G247">
        <v>35092</v>
      </c>
      <c r="H247" s="32">
        <f t="shared" si="3"/>
        <v>3.4119742391428245</v>
      </c>
      <c r="I247">
        <v>1</v>
      </c>
      <c r="J247" t="s">
        <v>21</v>
      </c>
    </row>
    <row r="248" spans="1:10" x14ac:dyDescent="0.25">
      <c r="A248">
        <v>1704</v>
      </c>
      <c r="B248" t="s">
        <v>2297</v>
      </c>
      <c r="C248" t="s">
        <v>250</v>
      </c>
      <c r="D248" t="s">
        <v>2229</v>
      </c>
      <c r="E248" t="s">
        <v>2230</v>
      </c>
      <c r="F248">
        <v>78356</v>
      </c>
      <c r="G248">
        <v>22965</v>
      </c>
      <c r="H248" s="32">
        <f t="shared" si="3"/>
        <v>3.4119747441759198</v>
      </c>
      <c r="I248">
        <v>1</v>
      </c>
      <c r="J248" t="s">
        <v>21</v>
      </c>
    </row>
    <row r="249" spans="1:10" x14ac:dyDescent="0.25">
      <c r="A249">
        <v>1781</v>
      </c>
      <c r="B249" t="s">
        <v>2334</v>
      </c>
      <c r="C249" t="s">
        <v>250</v>
      </c>
      <c r="D249" t="s">
        <v>2229</v>
      </c>
      <c r="E249" t="s">
        <v>2230</v>
      </c>
      <c r="F249">
        <v>165229</v>
      </c>
      <c r="G249">
        <v>48426.18</v>
      </c>
      <c r="H249" s="32">
        <f t="shared" si="3"/>
        <v>3.4119767448103486</v>
      </c>
      <c r="I249">
        <v>1</v>
      </c>
      <c r="J249" t="s">
        <v>21</v>
      </c>
    </row>
    <row r="250" spans="1:10" x14ac:dyDescent="0.25">
      <c r="A250">
        <v>8225</v>
      </c>
      <c r="B250" t="s">
        <v>2569</v>
      </c>
      <c r="C250" t="s">
        <v>143</v>
      </c>
      <c r="D250" t="s">
        <v>2229</v>
      </c>
      <c r="E250" t="s">
        <v>2230</v>
      </c>
      <c r="F250">
        <v>300732</v>
      </c>
      <c r="G250">
        <v>88140</v>
      </c>
      <c r="H250" s="32">
        <f t="shared" si="3"/>
        <v>3.4119809394145677</v>
      </c>
      <c r="I250">
        <v>1</v>
      </c>
      <c r="J250" t="s">
        <v>21</v>
      </c>
    </row>
    <row r="251" spans="1:10" x14ac:dyDescent="0.25">
      <c r="A251">
        <v>3124</v>
      </c>
      <c r="B251" t="s">
        <v>2404</v>
      </c>
      <c r="C251" t="s">
        <v>143</v>
      </c>
      <c r="D251" t="s">
        <v>2229</v>
      </c>
      <c r="E251" t="s">
        <v>2230</v>
      </c>
      <c r="F251">
        <v>212389</v>
      </c>
      <c r="G251">
        <v>62248</v>
      </c>
      <c r="H251" s="32">
        <f t="shared" si="3"/>
        <v>3.4119811078267577</v>
      </c>
      <c r="I251">
        <v>1</v>
      </c>
      <c r="J251" t="s">
        <v>21</v>
      </c>
    </row>
    <row r="252" spans="1:10" x14ac:dyDescent="0.25">
      <c r="A252">
        <v>54341</v>
      </c>
      <c r="B252" t="s">
        <v>2700</v>
      </c>
      <c r="C252" t="s">
        <v>250</v>
      </c>
      <c r="D252" t="s">
        <v>2229</v>
      </c>
      <c r="E252" t="s">
        <v>2230</v>
      </c>
      <c r="F252">
        <v>27794</v>
      </c>
      <c r="G252">
        <v>8146</v>
      </c>
      <c r="H252" s="32">
        <f t="shared" si="3"/>
        <v>3.4119813405352319</v>
      </c>
      <c r="I252">
        <v>1</v>
      </c>
      <c r="J252" t="s">
        <v>21</v>
      </c>
    </row>
    <row r="253" spans="1:10" x14ac:dyDescent="0.25">
      <c r="A253">
        <v>2746</v>
      </c>
      <c r="B253" t="s">
        <v>2375</v>
      </c>
      <c r="C253" t="s">
        <v>708</v>
      </c>
      <c r="D253" t="s">
        <v>2229</v>
      </c>
      <c r="E253" t="s">
        <v>2230</v>
      </c>
      <c r="F253">
        <v>24034</v>
      </c>
      <c r="G253">
        <v>7044</v>
      </c>
      <c r="H253" s="32">
        <f t="shared" si="3"/>
        <v>3.4119818285065304</v>
      </c>
      <c r="I253">
        <v>1</v>
      </c>
      <c r="J253" t="s">
        <v>21</v>
      </c>
    </row>
    <row r="254" spans="1:10" x14ac:dyDescent="0.25">
      <c r="A254">
        <v>3777</v>
      </c>
      <c r="B254" t="s">
        <v>2450</v>
      </c>
      <c r="C254" t="s">
        <v>201</v>
      </c>
      <c r="D254" t="s">
        <v>2229</v>
      </c>
      <c r="E254" t="s">
        <v>2230</v>
      </c>
      <c r="F254">
        <v>156047</v>
      </c>
      <c r="G254">
        <v>45735</v>
      </c>
      <c r="H254" s="32">
        <f t="shared" si="3"/>
        <v>3.4119820706242483</v>
      </c>
      <c r="I254">
        <v>1</v>
      </c>
      <c r="J254" t="s">
        <v>21</v>
      </c>
    </row>
    <row r="255" spans="1:10" x14ac:dyDescent="0.25">
      <c r="A255">
        <v>1865</v>
      </c>
      <c r="B255" t="s">
        <v>2347</v>
      </c>
      <c r="C255" t="s">
        <v>250</v>
      </c>
      <c r="D255" t="s">
        <v>2229</v>
      </c>
      <c r="E255" t="s">
        <v>2230</v>
      </c>
      <c r="F255">
        <v>532416</v>
      </c>
      <c r="G255">
        <v>156043</v>
      </c>
      <c r="H255" s="32">
        <f t="shared" si="3"/>
        <v>3.4119825945412483</v>
      </c>
      <c r="I255">
        <v>1</v>
      </c>
      <c r="J255" t="s">
        <v>21</v>
      </c>
    </row>
    <row r="256" spans="1:10" x14ac:dyDescent="0.25">
      <c r="A256">
        <v>50897</v>
      </c>
      <c r="B256" t="s">
        <v>2674</v>
      </c>
      <c r="C256" t="s">
        <v>143</v>
      </c>
      <c r="D256" t="s">
        <v>2229</v>
      </c>
      <c r="E256" t="s">
        <v>2230</v>
      </c>
      <c r="F256">
        <v>271553</v>
      </c>
      <c r="G256">
        <v>79588</v>
      </c>
      <c r="H256" s="32">
        <f t="shared" si="3"/>
        <v>3.4119842187264413</v>
      </c>
      <c r="I256">
        <v>1</v>
      </c>
      <c r="J256" t="s">
        <v>21</v>
      </c>
    </row>
    <row r="257" spans="1:10" x14ac:dyDescent="0.25">
      <c r="A257">
        <v>10285</v>
      </c>
      <c r="B257" t="s">
        <v>2593</v>
      </c>
      <c r="C257" t="s">
        <v>143</v>
      </c>
      <c r="D257" t="s">
        <v>2229</v>
      </c>
      <c r="E257" t="s">
        <v>2230</v>
      </c>
      <c r="F257">
        <v>48399</v>
      </c>
      <c r="G257">
        <v>14185</v>
      </c>
      <c r="H257" s="32">
        <f t="shared" si="3"/>
        <v>3.411984490659147</v>
      </c>
      <c r="I257">
        <v>1</v>
      </c>
      <c r="J257" t="s">
        <v>21</v>
      </c>
    </row>
    <row r="258" spans="1:10" x14ac:dyDescent="0.25">
      <c r="A258">
        <v>54340</v>
      </c>
      <c r="B258" t="s">
        <v>2699</v>
      </c>
      <c r="C258" t="s">
        <v>250</v>
      </c>
      <c r="D258" t="s">
        <v>2229</v>
      </c>
      <c r="E258" t="s">
        <v>2230</v>
      </c>
      <c r="F258">
        <v>44523</v>
      </c>
      <c r="G258">
        <v>13049</v>
      </c>
      <c r="H258" s="32">
        <f t="shared" ref="H258:H321" si="4">IF(AND(F258&gt;0,G258&gt;0),F258/G258,"")</f>
        <v>3.411985592765729</v>
      </c>
      <c r="I258">
        <v>1</v>
      </c>
      <c r="J258" t="s">
        <v>21</v>
      </c>
    </row>
    <row r="259" spans="1:10" x14ac:dyDescent="0.25">
      <c r="A259">
        <v>2707</v>
      </c>
      <c r="B259" t="s">
        <v>2359</v>
      </c>
      <c r="C259" t="s">
        <v>708</v>
      </c>
      <c r="D259" t="s">
        <v>2229</v>
      </c>
      <c r="E259" t="s">
        <v>2230</v>
      </c>
      <c r="F259">
        <v>334651</v>
      </c>
      <c r="G259">
        <v>98081</v>
      </c>
      <c r="H259" s="32">
        <f t="shared" si="4"/>
        <v>3.4119860115618725</v>
      </c>
      <c r="I259">
        <v>1</v>
      </c>
      <c r="J259" t="s">
        <v>21</v>
      </c>
    </row>
    <row r="260" spans="1:10" x14ac:dyDescent="0.25">
      <c r="A260">
        <v>54901</v>
      </c>
      <c r="B260" t="s">
        <v>2744</v>
      </c>
      <c r="C260" t="s">
        <v>2029</v>
      </c>
      <c r="D260" t="s">
        <v>2229</v>
      </c>
      <c r="E260" t="s">
        <v>2230</v>
      </c>
      <c r="F260">
        <v>538002</v>
      </c>
      <c r="G260">
        <v>157680</v>
      </c>
      <c r="H260" s="32">
        <f t="shared" si="4"/>
        <v>3.411986301369863</v>
      </c>
      <c r="I260">
        <v>1</v>
      </c>
      <c r="J260" t="s">
        <v>21</v>
      </c>
    </row>
    <row r="261" spans="1:10" x14ac:dyDescent="0.25">
      <c r="A261">
        <v>6561</v>
      </c>
      <c r="B261" t="s">
        <v>2504</v>
      </c>
      <c r="C261" t="s">
        <v>118</v>
      </c>
      <c r="D261" t="s">
        <v>2229</v>
      </c>
      <c r="E261" t="s">
        <v>2230</v>
      </c>
      <c r="F261">
        <v>230531</v>
      </c>
      <c r="G261">
        <v>67565</v>
      </c>
      <c r="H261" s="32">
        <f t="shared" si="4"/>
        <v>3.4119884555613114</v>
      </c>
      <c r="I261">
        <v>1</v>
      </c>
      <c r="J261" t="s">
        <v>21</v>
      </c>
    </row>
    <row r="262" spans="1:10" x14ac:dyDescent="0.25">
      <c r="A262">
        <v>3424</v>
      </c>
      <c r="B262" t="s">
        <v>2444</v>
      </c>
      <c r="C262" t="s">
        <v>2029</v>
      </c>
      <c r="D262" t="s">
        <v>2229</v>
      </c>
      <c r="E262" t="s">
        <v>2230</v>
      </c>
      <c r="F262">
        <v>412663</v>
      </c>
      <c r="G262">
        <v>120945</v>
      </c>
      <c r="H262" s="32">
        <f t="shared" si="4"/>
        <v>3.4119889205837364</v>
      </c>
      <c r="I262">
        <v>1</v>
      </c>
      <c r="J262" t="s">
        <v>21</v>
      </c>
    </row>
    <row r="263" spans="1:10" x14ac:dyDescent="0.25">
      <c r="A263">
        <v>7128</v>
      </c>
      <c r="B263" t="s">
        <v>2514</v>
      </c>
      <c r="C263" t="s">
        <v>143</v>
      </c>
      <c r="D263" t="s">
        <v>2229</v>
      </c>
      <c r="E263" t="s">
        <v>2230</v>
      </c>
      <c r="F263">
        <v>277016</v>
      </c>
      <c r="G263">
        <v>81189</v>
      </c>
      <c r="H263" s="32">
        <f t="shared" si="4"/>
        <v>3.4119893088965254</v>
      </c>
      <c r="I263">
        <v>1</v>
      </c>
      <c r="J263" t="s">
        <v>21</v>
      </c>
    </row>
    <row r="264" spans="1:10" x14ac:dyDescent="0.25">
      <c r="A264">
        <v>50409</v>
      </c>
      <c r="B264" t="s">
        <v>2638</v>
      </c>
      <c r="C264" t="s">
        <v>250</v>
      </c>
      <c r="D264" t="s">
        <v>2229</v>
      </c>
      <c r="E264" t="s">
        <v>2230</v>
      </c>
      <c r="F264">
        <v>38419</v>
      </c>
      <c r="G264">
        <v>11260</v>
      </c>
      <c r="H264" s="32">
        <f t="shared" si="4"/>
        <v>3.4119893428063941</v>
      </c>
      <c r="I264">
        <v>1</v>
      </c>
      <c r="J264" t="s">
        <v>21</v>
      </c>
    </row>
    <row r="265" spans="1:10" x14ac:dyDescent="0.25">
      <c r="A265">
        <v>3413</v>
      </c>
      <c r="B265" t="s">
        <v>2435</v>
      </c>
      <c r="C265" t="s">
        <v>2029</v>
      </c>
      <c r="D265" t="s">
        <v>2229</v>
      </c>
      <c r="E265" t="s">
        <v>2230</v>
      </c>
      <c r="F265">
        <v>334880</v>
      </c>
      <c r="G265">
        <v>98148</v>
      </c>
      <c r="H265" s="32">
        <f t="shared" si="4"/>
        <v>3.4119900558340466</v>
      </c>
      <c r="I265">
        <v>1</v>
      </c>
      <c r="J265" t="s">
        <v>21</v>
      </c>
    </row>
    <row r="266" spans="1:10" x14ac:dyDescent="0.25">
      <c r="A266">
        <v>2749</v>
      </c>
      <c r="B266" t="s">
        <v>2377</v>
      </c>
      <c r="C266" t="s">
        <v>708</v>
      </c>
      <c r="D266" t="s">
        <v>2229</v>
      </c>
      <c r="E266" t="s">
        <v>2230</v>
      </c>
      <c r="F266">
        <v>115298</v>
      </c>
      <c r="G266">
        <v>33792</v>
      </c>
      <c r="H266" s="32">
        <f t="shared" si="4"/>
        <v>3.4119910037878789</v>
      </c>
      <c r="I266">
        <v>1</v>
      </c>
      <c r="J266" t="s">
        <v>21</v>
      </c>
    </row>
    <row r="267" spans="1:10" x14ac:dyDescent="0.25">
      <c r="A267">
        <v>54801</v>
      </c>
      <c r="B267" t="s">
        <v>2728</v>
      </c>
      <c r="C267" t="s">
        <v>708</v>
      </c>
      <c r="D267" t="s">
        <v>2229</v>
      </c>
      <c r="E267" t="s">
        <v>2230</v>
      </c>
      <c r="F267">
        <v>10642</v>
      </c>
      <c r="G267">
        <v>3119</v>
      </c>
      <c r="H267" s="32">
        <f t="shared" si="4"/>
        <v>3.4119910227637065</v>
      </c>
      <c r="I267">
        <v>1</v>
      </c>
      <c r="J267" t="s">
        <v>21</v>
      </c>
    </row>
    <row r="268" spans="1:10" x14ac:dyDescent="0.25">
      <c r="A268">
        <v>3779</v>
      </c>
      <c r="B268" t="s">
        <v>2452</v>
      </c>
      <c r="C268" t="s">
        <v>201</v>
      </c>
      <c r="D268" t="s">
        <v>2229</v>
      </c>
      <c r="E268" t="s">
        <v>2230</v>
      </c>
      <c r="F268">
        <v>71703</v>
      </c>
      <c r="G268">
        <v>21015</v>
      </c>
      <c r="H268" s="32">
        <f t="shared" si="4"/>
        <v>3.4119914346895075</v>
      </c>
      <c r="I268">
        <v>1</v>
      </c>
      <c r="J268" t="s">
        <v>21</v>
      </c>
    </row>
    <row r="269" spans="1:10" x14ac:dyDescent="0.25">
      <c r="A269">
        <v>7820</v>
      </c>
      <c r="B269" t="s">
        <v>2550</v>
      </c>
      <c r="C269" t="s">
        <v>250</v>
      </c>
      <c r="D269" t="s">
        <v>2229</v>
      </c>
      <c r="E269" t="s">
        <v>2230</v>
      </c>
      <c r="F269">
        <v>341305</v>
      </c>
      <c r="G269">
        <v>100031</v>
      </c>
      <c r="H269" s="32">
        <f t="shared" si="4"/>
        <v>3.4119922823924584</v>
      </c>
      <c r="I269">
        <v>1</v>
      </c>
      <c r="J269" t="s">
        <v>21</v>
      </c>
    </row>
    <row r="270" spans="1:10" x14ac:dyDescent="0.25">
      <c r="A270">
        <v>54896</v>
      </c>
      <c r="B270" t="s">
        <v>2739</v>
      </c>
      <c r="C270" t="s">
        <v>708</v>
      </c>
      <c r="D270" t="s">
        <v>2229</v>
      </c>
      <c r="E270" t="s">
        <v>2230</v>
      </c>
      <c r="F270">
        <v>340029</v>
      </c>
      <c r="G270">
        <v>99657</v>
      </c>
      <c r="H270" s="32">
        <f t="shared" si="4"/>
        <v>3.4119931364580509</v>
      </c>
      <c r="I270">
        <v>1</v>
      </c>
      <c r="J270" t="s">
        <v>21</v>
      </c>
    </row>
    <row r="271" spans="1:10" x14ac:dyDescent="0.25">
      <c r="A271">
        <v>54898</v>
      </c>
      <c r="B271" t="s">
        <v>2741</v>
      </c>
      <c r="C271" t="s">
        <v>708</v>
      </c>
      <c r="D271" t="s">
        <v>2229</v>
      </c>
      <c r="E271" t="s">
        <v>2230</v>
      </c>
      <c r="F271">
        <v>443450</v>
      </c>
      <c r="G271">
        <v>129968</v>
      </c>
      <c r="H271" s="32">
        <f t="shared" si="4"/>
        <v>3.411993721531454</v>
      </c>
      <c r="I271">
        <v>1</v>
      </c>
      <c r="J271" t="s">
        <v>21</v>
      </c>
    </row>
    <row r="272" spans="1:10" x14ac:dyDescent="0.25">
      <c r="A272">
        <v>3790</v>
      </c>
      <c r="B272" t="s">
        <v>2456</v>
      </c>
      <c r="C272" t="s">
        <v>201</v>
      </c>
      <c r="D272" t="s">
        <v>2229</v>
      </c>
      <c r="E272" t="s">
        <v>2230</v>
      </c>
      <c r="F272">
        <v>19230</v>
      </c>
      <c r="G272">
        <v>5636</v>
      </c>
      <c r="H272" s="32">
        <f t="shared" si="4"/>
        <v>3.4119943222143365</v>
      </c>
      <c r="I272">
        <v>1</v>
      </c>
      <c r="J272" t="s">
        <v>21</v>
      </c>
    </row>
    <row r="273" spans="1:10" x14ac:dyDescent="0.25">
      <c r="A273">
        <v>54897</v>
      </c>
      <c r="B273" t="s">
        <v>2740</v>
      </c>
      <c r="C273" t="s">
        <v>708</v>
      </c>
      <c r="D273" t="s">
        <v>2229</v>
      </c>
      <c r="E273" t="s">
        <v>2230</v>
      </c>
      <c r="F273">
        <v>326388</v>
      </c>
      <c r="G273">
        <v>95659</v>
      </c>
      <c r="H273" s="32">
        <f t="shared" si="4"/>
        <v>3.4119946894698878</v>
      </c>
      <c r="I273">
        <v>1</v>
      </c>
      <c r="J273" t="s">
        <v>21</v>
      </c>
    </row>
    <row r="274" spans="1:10" x14ac:dyDescent="0.25">
      <c r="A274">
        <v>3414</v>
      </c>
      <c r="B274" t="s">
        <v>2436</v>
      </c>
      <c r="C274" t="s">
        <v>2029</v>
      </c>
      <c r="D274" t="s">
        <v>2229</v>
      </c>
      <c r="E274" t="s">
        <v>2230</v>
      </c>
      <c r="F274">
        <v>482149</v>
      </c>
      <c r="G274">
        <v>141310</v>
      </c>
      <c r="H274" s="32">
        <f t="shared" si="4"/>
        <v>3.411994904819192</v>
      </c>
      <c r="I274">
        <v>1</v>
      </c>
      <c r="J274" t="s">
        <v>21</v>
      </c>
    </row>
    <row r="275" spans="1:10" x14ac:dyDescent="0.25">
      <c r="A275">
        <v>2758</v>
      </c>
      <c r="B275" t="s">
        <v>2381</v>
      </c>
      <c r="C275" t="s">
        <v>708</v>
      </c>
      <c r="D275" t="s">
        <v>2229</v>
      </c>
      <c r="E275" t="s">
        <v>2230</v>
      </c>
      <c r="F275">
        <v>638763</v>
      </c>
      <c r="G275">
        <v>187211</v>
      </c>
      <c r="H275" s="32">
        <f t="shared" si="4"/>
        <v>3.4119950216600521</v>
      </c>
      <c r="I275">
        <v>1</v>
      </c>
      <c r="J275" t="s">
        <v>21</v>
      </c>
    </row>
    <row r="276" spans="1:10" x14ac:dyDescent="0.25">
      <c r="A276">
        <v>6560</v>
      </c>
      <c r="B276" t="s">
        <v>2503</v>
      </c>
      <c r="C276" t="s">
        <v>118</v>
      </c>
      <c r="D276" t="s">
        <v>2229</v>
      </c>
      <c r="E276" t="s">
        <v>2230</v>
      </c>
      <c r="F276">
        <v>218627</v>
      </c>
      <c r="G276">
        <v>64076</v>
      </c>
      <c r="H276" s="32">
        <f t="shared" si="4"/>
        <v>3.4119951307821963</v>
      </c>
      <c r="I276">
        <v>1</v>
      </c>
      <c r="J276" t="s">
        <v>21</v>
      </c>
    </row>
    <row r="277" spans="1:10" x14ac:dyDescent="0.25">
      <c r="A277">
        <v>7594</v>
      </c>
      <c r="B277" t="s">
        <v>2529</v>
      </c>
      <c r="C277" t="s">
        <v>118</v>
      </c>
      <c r="D277" t="s">
        <v>2229</v>
      </c>
      <c r="E277" t="s">
        <v>2230</v>
      </c>
      <c r="F277">
        <v>876593</v>
      </c>
      <c r="G277">
        <v>256915</v>
      </c>
      <c r="H277" s="32">
        <f t="shared" si="4"/>
        <v>3.4119961855088259</v>
      </c>
      <c r="I277">
        <v>1</v>
      </c>
      <c r="J277" t="s">
        <v>21</v>
      </c>
    </row>
    <row r="278" spans="1:10" x14ac:dyDescent="0.25">
      <c r="A278">
        <v>1774</v>
      </c>
      <c r="B278" t="s">
        <v>2329</v>
      </c>
      <c r="C278" t="s">
        <v>250</v>
      </c>
      <c r="D278" t="s">
        <v>2229</v>
      </c>
      <c r="E278" t="s">
        <v>2230</v>
      </c>
      <c r="F278">
        <v>182941</v>
      </c>
      <c r="G278">
        <v>53617</v>
      </c>
      <c r="H278" s="32">
        <f t="shared" si="4"/>
        <v>3.4119961952365854</v>
      </c>
      <c r="I278">
        <v>1</v>
      </c>
      <c r="J278" t="s">
        <v>21</v>
      </c>
    </row>
    <row r="279" spans="1:10" x14ac:dyDescent="0.25">
      <c r="A279">
        <v>6562</v>
      </c>
      <c r="B279" t="s">
        <v>2505</v>
      </c>
      <c r="C279" t="s">
        <v>118</v>
      </c>
      <c r="D279" t="s">
        <v>2229</v>
      </c>
      <c r="E279" t="s">
        <v>2230</v>
      </c>
      <c r="F279">
        <v>317302</v>
      </c>
      <c r="G279">
        <v>92996</v>
      </c>
      <c r="H279" s="32">
        <f t="shared" si="4"/>
        <v>3.4119962148909631</v>
      </c>
      <c r="I279">
        <v>1</v>
      </c>
      <c r="J279" t="s">
        <v>21</v>
      </c>
    </row>
    <row r="280" spans="1:10" x14ac:dyDescent="0.25">
      <c r="A280">
        <v>50036</v>
      </c>
      <c r="B280" t="s">
        <v>2621</v>
      </c>
      <c r="C280" t="s">
        <v>118</v>
      </c>
      <c r="D280" t="s">
        <v>2229</v>
      </c>
      <c r="E280" t="s">
        <v>2230</v>
      </c>
      <c r="F280">
        <v>663896</v>
      </c>
      <c r="G280">
        <v>194577</v>
      </c>
      <c r="H280" s="32">
        <f t="shared" si="4"/>
        <v>3.4119962791080138</v>
      </c>
      <c r="I280">
        <v>1</v>
      </c>
      <c r="J280" t="s">
        <v>21</v>
      </c>
    </row>
    <row r="281" spans="1:10" x14ac:dyDescent="0.25">
      <c r="A281">
        <v>2728</v>
      </c>
      <c r="B281" t="s">
        <v>2370</v>
      </c>
      <c r="C281" t="s">
        <v>708</v>
      </c>
      <c r="D281" t="s">
        <v>2229</v>
      </c>
      <c r="E281" t="s">
        <v>2230</v>
      </c>
      <c r="F281">
        <v>307049</v>
      </c>
      <c r="G281">
        <v>89991</v>
      </c>
      <c r="H281" s="32">
        <f t="shared" si="4"/>
        <v>3.4119967552310788</v>
      </c>
      <c r="I281">
        <v>1</v>
      </c>
      <c r="J281" t="s">
        <v>21</v>
      </c>
    </row>
    <row r="282" spans="1:10" x14ac:dyDescent="0.25">
      <c r="A282">
        <v>3833</v>
      </c>
      <c r="B282" t="s">
        <v>2464</v>
      </c>
      <c r="C282" t="s">
        <v>201</v>
      </c>
      <c r="D282" t="s">
        <v>2229</v>
      </c>
      <c r="E282" t="s">
        <v>2230</v>
      </c>
      <c r="F282">
        <v>1182001</v>
      </c>
      <c r="G282">
        <v>346425</v>
      </c>
      <c r="H282" s="32">
        <f t="shared" si="4"/>
        <v>3.4119968247095329</v>
      </c>
      <c r="I282">
        <v>1</v>
      </c>
      <c r="J282" t="s">
        <v>21</v>
      </c>
    </row>
    <row r="283" spans="1:10" x14ac:dyDescent="0.25">
      <c r="A283">
        <v>54899</v>
      </c>
      <c r="B283" t="s">
        <v>2742</v>
      </c>
      <c r="C283" t="s">
        <v>708</v>
      </c>
      <c r="D283" t="s">
        <v>2229</v>
      </c>
      <c r="E283" t="s">
        <v>2230</v>
      </c>
      <c r="F283">
        <v>1611657</v>
      </c>
      <c r="G283">
        <v>472350</v>
      </c>
      <c r="H283" s="32">
        <f t="shared" si="4"/>
        <v>3.4119974595109559</v>
      </c>
      <c r="I283">
        <v>1</v>
      </c>
      <c r="J283" t="s">
        <v>21</v>
      </c>
    </row>
    <row r="284" spans="1:10" x14ac:dyDescent="0.25">
      <c r="A284">
        <v>1707</v>
      </c>
      <c r="B284" t="s">
        <v>2299</v>
      </c>
      <c r="C284" t="s">
        <v>250</v>
      </c>
      <c r="D284" t="s">
        <v>2229</v>
      </c>
      <c r="E284" t="s">
        <v>2230</v>
      </c>
      <c r="F284">
        <v>221599</v>
      </c>
      <c r="G284">
        <v>64947</v>
      </c>
      <c r="H284" s="32">
        <f t="shared" si="4"/>
        <v>3.41199747486412</v>
      </c>
      <c r="I284">
        <v>1</v>
      </c>
      <c r="J284" t="s">
        <v>21</v>
      </c>
    </row>
    <row r="285" spans="1:10" x14ac:dyDescent="0.25">
      <c r="A285">
        <v>54894</v>
      </c>
      <c r="B285" t="s">
        <v>2737</v>
      </c>
      <c r="C285" t="s">
        <v>708</v>
      </c>
      <c r="D285" t="s">
        <v>2229</v>
      </c>
      <c r="E285" t="s">
        <v>2230</v>
      </c>
      <c r="F285">
        <v>1237726</v>
      </c>
      <c r="G285">
        <v>362757</v>
      </c>
      <c r="H285" s="32">
        <f t="shared" si="4"/>
        <v>3.4119975631069837</v>
      </c>
      <c r="I285">
        <v>1</v>
      </c>
      <c r="J285" t="s">
        <v>21</v>
      </c>
    </row>
    <row r="286" spans="1:10" x14ac:dyDescent="0.25">
      <c r="A286">
        <v>3412</v>
      </c>
      <c r="B286" t="s">
        <v>2434</v>
      </c>
      <c r="C286" t="s">
        <v>2029</v>
      </c>
      <c r="D286" t="s">
        <v>2229</v>
      </c>
      <c r="E286" t="s">
        <v>2230</v>
      </c>
      <c r="F286">
        <v>223926</v>
      </c>
      <c r="G286">
        <v>65629</v>
      </c>
      <c r="H286" s="32">
        <f t="shared" si="4"/>
        <v>3.4119977448993586</v>
      </c>
      <c r="I286">
        <v>1</v>
      </c>
      <c r="J286" t="s">
        <v>21</v>
      </c>
    </row>
    <row r="287" spans="1:10" x14ac:dyDescent="0.25">
      <c r="A287">
        <v>3416</v>
      </c>
      <c r="B287" t="s">
        <v>2438</v>
      </c>
      <c r="C287" t="s">
        <v>2029</v>
      </c>
      <c r="D287" t="s">
        <v>2229</v>
      </c>
      <c r="E287" t="s">
        <v>2230</v>
      </c>
      <c r="F287">
        <v>414626</v>
      </c>
      <c r="G287">
        <v>121520</v>
      </c>
      <c r="H287" s="32">
        <f t="shared" si="4"/>
        <v>3.4119980250164583</v>
      </c>
      <c r="I287">
        <v>1</v>
      </c>
      <c r="J287" t="s">
        <v>21</v>
      </c>
    </row>
    <row r="288" spans="1:10" x14ac:dyDescent="0.25">
      <c r="A288">
        <v>2779</v>
      </c>
      <c r="B288" t="s">
        <v>2383</v>
      </c>
      <c r="C288" t="s">
        <v>708</v>
      </c>
      <c r="D288" t="s">
        <v>2229</v>
      </c>
      <c r="E288" t="s">
        <v>2230</v>
      </c>
      <c r="F288">
        <v>3071590</v>
      </c>
      <c r="G288">
        <v>900232</v>
      </c>
      <c r="H288" s="32">
        <f t="shared" si="4"/>
        <v>3.4119982404535718</v>
      </c>
      <c r="I288">
        <v>1</v>
      </c>
      <c r="J288" t="s">
        <v>21</v>
      </c>
    </row>
    <row r="289" spans="1:10" x14ac:dyDescent="0.25">
      <c r="A289">
        <v>3409</v>
      </c>
      <c r="B289" t="s">
        <v>2432</v>
      </c>
      <c r="C289" t="s">
        <v>2029</v>
      </c>
      <c r="D289" t="s">
        <v>2229</v>
      </c>
      <c r="E289" t="s">
        <v>2230</v>
      </c>
      <c r="F289">
        <v>1970859</v>
      </c>
      <c r="G289">
        <v>577626</v>
      </c>
      <c r="H289" s="32">
        <f t="shared" si="4"/>
        <v>3.4119984211237027</v>
      </c>
      <c r="I289">
        <v>1</v>
      </c>
      <c r="J289" t="s">
        <v>21</v>
      </c>
    </row>
    <row r="290" spans="1:10" x14ac:dyDescent="0.25">
      <c r="A290">
        <v>3774</v>
      </c>
      <c r="B290" t="s">
        <v>2449</v>
      </c>
      <c r="C290" t="s">
        <v>201</v>
      </c>
      <c r="D290" t="s">
        <v>2229</v>
      </c>
      <c r="E290" t="s">
        <v>2230</v>
      </c>
      <c r="F290">
        <v>661955</v>
      </c>
      <c r="G290">
        <v>194008</v>
      </c>
      <c r="H290" s="32">
        <f t="shared" si="4"/>
        <v>3.41199847428972</v>
      </c>
      <c r="I290">
        <v>1</v>
      </c>
      <c r="J290" t="s">
        <v>21</v>
      </c>
    </row>
    <row r="291" spans="1:10" x14ac:dyDescent="0.25">
      <c r="A291">
        <v>3397</v>
      </c>
      <c r="B291" t="s">
        <v>2419</v>
      </c>
      <c r="C291" t="s">
        <v>2029</v>
      </c>
      <c r="D291" t="s">
        <v>2229</v>
      </c>
      <c r="E291" t="s">
        <v>2230</v>
      </c>
      <c r="F291">
        <v>1075735</v>
      </c>
      <c r="G291">
        <v>315280</v>
      </c>
      <c r="H291" s="32">
        <f t="shared" si="4"/>
        <v>3.411998858157828</v>
      </c>
      <c r="I291">
        <v>1</v>
      </c>
      <c r="J291" t="s">
        <v>21</v>
      </c>
    </row>
    <row r="292" spans="1:10" x14ac:dyDescent="0.25">
      <c r="A292">
        <v>1365</v>
      </c>
      <c r="B292" t="s">
        <v>2280</v>
      </c>
      <c r="C292" t="s">
        <v>266</v>
      </c>
      <c r="D292" t="s">
        <v>2229</v>
      </c>
      <c r="E292" t="s">
        <v>2230</v>
      </c>
      <c r="F292">
        <v>749060</v>
      </c>
      <c r="G292">
        <v>219537</v>
      </c>
      <c r="H292" s="32">
        <f t="shared" si="4"/>
        <v>3.4119988885700359</v>
      </c>
      <c r="I292">
        <v>1</v>
      </c>
      <c r="J292" t="s">
        <v>21</v>
      </c>
    </row>
    <row r="293" spans="1:10" x14ac:dyDescent="0.25">
      <c r="A293">
        <v>2780</v>
      </c>
      <c r="B293" t="s">
        <v>2384</v>
      </c>
      <c r="C293" t="s">
        <v>708</v>
      </c>
      <c r="D293" t="s">
        <v>2229</v>
      </c>
      <c r="E293" t="s">
        <v>2230</v>
      </c>
      <c r="F293">
        <v>878272</v>
      </c>
      <c r="G293">
        <v>257406.87</v>
      </c>
      <c r="H293" s="32">
        <f t="shared" si="4"/>
        <v>3.4119990659145967</v>
      </c>
      <c r="I293">
        <v>1</v>
      </c>
      <c r="J293" t="s">
        <v>21</v>
      </c>
    </row>
    <row r="294" spans="1:10" x14ac:dyDescent="0.25">
      <c r="A294">
        <v>3394</v>
      </c>
      <c r="B294" t="s">
        <v>2417</v>
      </c>
      <c r="C294" t="s">
        <v>2029</v>
      </c>
      <c r="D294" t="s">
        <v>2229</v>
      </c>
      <c r="E294" t="s">
        <v>2230</v>
      </c>
      <c r="F294">
        <v>1327759</v>
      </c>
      <c r="G294">
        <v>389144</v>
      </c>
      <c r="H294" s="32">
        <f t="shared" si="4"/>
        <v>3.4119991571243551</v>
      </c>
      <c r="I294">
        <v>1</v>
      </c>
      <c r="J294" t="s">
        <v>21</v>
      </c>
    </row>
    <row r="295" spans="1:10" x14ac:dyDescent="0.25">
      <c r="A295">
        <v>3398</v>
      </c>
      <c r="B295" t="s">
        <v>2420</v>
      </c>
      <c r="C295" t="s">
        <v>2029</v>
      </c>
      <c r="D295" t="s">
        <v>2229</v>
      </c>
      <c r="E295" t="s">
        <v>2230</v>
      </c>
      <c r="F295">
        <v>2367286</v>
      </c>
      <c r="G295">
        <v>693812</v>
      </c>
      <c r="H295" s="32">
        <f t="shared" si="4"/>
        <v>3.411999215925928</v>
      </c>
      <c r="I295">
        <v>1</v>
      </c>
      <c r="J295" t="s">
        <v>21</v>
      </c>
    </row>
    <row r="296" spans="1:10" x14ac:dyDescent="0.25">
      <c r="A296">
        <v>3423</v>
      </c>
      <c r="B296" t="s">
        <v>2443</v>
      </c>
      <c r="C296" t="s">
        <v>2029</v>
      </c>
      <c r="D296" t="s">
        <v>2229</v>
      </c>
      <c r="E296" t="s">
        <v>2230</v>
      </c>
      <c r="F296">
        <v>1505712</v>
      </c>
      <c r="G296">
        <v>441299</v>
      </c>
      <c r="H296" s="32">
        <f t="shared" si="4"/>
        <v>3.4119995739849851</v>
      </c>
      <c r="I296">
        <v>1</v>
      </c>
      <c r="J296" t="s">
        <v>21</v>
      </c>
    </row>
    <row r="297" spans="1:10" x14ac:dyDescent="0.25">
      <c r="A297">
        <v>1377</v>
      </c>
      <c r="B297" t="s">
        <v>2283</v>
      </c>
      <c r="C297" t="s">
        <v>266</v>
      </c>
      <c r="D297" t="s">
        <v>2229</v>
      </c>
      <c r="E297" t="s">
        <v>2230</v>
      </c>
      <c r="F297">
        <v>3900188</v>
      </c>
      <c r="G297">
        <v>1143079.83</v>
      </c>
      <c r="H297" s="32">
        <f t="shared" si="4"/>
        <v>3.4119996675997686</v>
      </c>
      <c r="I297">
        <v>1</v>
      </c>
      <c r="J297" t="s">
        <v>21</v>
      </c>
    </row>
    <row r="298" spans="1:10" x14ac:dyDescent="0.25">
      <c r="A298">
        <v>3402</v>
      </c>
      <c r="B298" t="s">
        <v>2425</v>
      </c>
      <c r="C298" t="s">
        <v>2029</v>
      </c>
      <c r="D298" t="s">
        <v>2229</v>
      </c>
      <c r="E298" t="s">
        <v>2230</v>
      </c>
      <c r="F298">
        <v>2160178</v>
      </c>
      <c r="G298">
        <v>633112</v>
      </c>
      <c r="H298" s="32">
        <f t="shared" si="4"/>
        <v>3.4119997725520919</v>
      </c>
      <c r="I298">
        <v>1</v>
      </c>
      <c r="J298" t="s">
        <v>21</v>
      </c>
    </row>
    <row r="299" spans="1:10" x14ac:dyDescent="0.25">
      <c r="A299">
        <v>3145</v>
      </c>
      <c r="B299" t="s">
        <v>2406</v>
      </c>
      <c r="C299" t="s">
        <v>143</v>
      </c>
      <c r="D299" t="s">
        <v>2229</v>
      </c>
      <c r="E299" t="s">
        <v>2230</v>
      </c>
      <c r="F299">
        <v>2843547</v>
      </c>
      <c r="G299">
        <v>833396</v>
      </c>
      <c r="H299" s="32">
        <f t="shared" si="4"/>
        <v>3.4119998176137156</v>
      </c>
      <c r="I299">
        <v>1</v>
      </c>
      <c r="J299" t="s">
        <v>21</v>
      </c>
    </row>
    <row r="300" spans="1:10" x14ac:dyDescent="0.25">
      <c r="A300">
        <v>57399</v>
      </c>
      <c r="B300" t="s">
        <v>2983</v>
      </c>
      <c r="C300" t="s">
        <v>266</v>
      </c>
      <c r="D300" t="s">
        <v>2229</v>
      </c>
      <c r="E300" t="s">
        <v>2230</v>
      </c>
      <c r="F300">
        <v>1422514</v>
      </c>
      <c r="G300">
        <v>416915</v>
      </c>
      <c r="H300" s="32">
        <f t="shared" si="4"/>
        <v>3.412000047971409</v>
      </c>
      <c r="I300">
        <v>1</v>
      </c>
      <c r="J300" t="s">
        <v>21</v>
      </c>
    </row>
    <row r="301" spans="1:10" x14ac:dyDescent="0.25">
      <c r="A301">
        <v>1574</v>
      </c>
      <c r="B301" t="s">
        <v>2290</v>
      </c>
      <c r="C301" t="s">
        <v>307</v>
      </c>
      <c r="D301" t="s">
        <v>2229</v>
      </c>
      <c r="E301" t="s">
        <v>2230</v>
      </c>
      <c r="F301">
        <v>5284963</v>
      </c>
      <c r="G301">
        <v>1548934</v>
      </c>
      <c r="H301" s="32">
        <f t="shared" si="4"/>
        <v>3.4120001239562177</v>
      </c>
      <c r="I301">
        <v>1</v>
      </c>
      <c r="J301" t="s">
        <v>21</v>
      </c>
    </row>
    <row r="302" spans="1:10" x14ac:dyDescent="0.25">
      <c r="A302">
        <v>54900</v>
      </c>
      <c r="B302" t="s">
        <v>2743</v>
      </c>
      <c r="C302" t="s">
        <v>2029</v>
      </c>
      <c r="D302" t="s">
        <v>2229</v>
      </c>
      <c r="E302" t="s">
        <v>2230</v>
      </c>
      <c r="F302">
        <v>1940384</v>
      </c>
      <c r="G302">
        <v>568694</v>
      </c>
      <c r="H302" s="32">
        <f t="shared" si="4"/>
        <v>3.4120001266058724</v>
      </c>
      <c r="I302">
        <v>1</v>
      </c>
      <c r="J302" t="s">
        <v>21</v>
      </c>
    </row>
    <row r="303" spans="1:10" x14ac:dyDescent="0.25">
      <c r="A303">
        <v>3408</v>
      </c>
      <c r="B303" t="s">
        <v>2431</v>
      </c>
      <c r="C303" t="s">
        <v>2029</v>
      </c>
      <c r="D303" t="s">
        <v>2229</v>
      </c>
      <c r="E303" t="s">
        <v>2230</v>
      </c>
      <c r="F303">
        <v>495187</v>
      </c>
      <c r="G303">
        <v>145131</v>
      </c>
      <c r="H303" s="32">
        <f t="shared" si="4"/>
        <v>3.4120001929291468</v>
      </c>
      <c r="I303">
        <v>1</v>
      </c>
      <c r="J303" t="s">
        <v>21</v>
      </c>
    </row>
    <row r="304" spans="1:10" x14ac:dyDescent="0.25">
      <c r="A304">
        <v>899</v>
      </c>
      <c r="B304" t="s">
        <v>2228</v>
      </c>
      <c r="C304" t="s">
        <v>166</v>
      </c>
      <c r="D304" t="s">
        <v>2229</v>
      </c>
      <c r="E304" t="s">
        <v>2230</v>
      </c>
      <c r="F304">
        <v>68919</v>
      </c>
      <c r="G304">
        <v>20199</v>
      </c>
      <c r="H304" s="32">
        <f t="shared" si="4"/>
        <v>3.4120005940888163</v>
      </c>
      <c r="I304">
        <v>1</v>
      </c>
      <c r="J304" t="s">
        <v>21</v>
      </c>
    </row>
    <row r="305" spans="1:10" x14ac:dyDescent="0.25">
      <c r="A305">
        <v>3175</v>
      </c>
      <c r="B305" t="s">
        <v>2415</v>
      </c>
      <c r="C305" t="s">
        <v>143</v>
      </c>
      <c r="D305" t="s">
        <v>2229</v>
      </c>
      <c r="E305" t="s">
        <v>2230</v>
      </c>
      <c r="F305">
        <v>2936378</v>
      </c>
      <c r="G305">
        <v>860603</v>
      </c>
      <c r="H305" s="32">
        <f t="shared" si="4"/>
        <v>3.4120006553544435</v>
      </c>
      <c r="I305">
        <v>1</v>
      </c>
      <c r="J305" t="s">
        <v>21</v>
      </c>
    </row>
    <row r="306" spans="1:10" x14ac:dyDescent="0.25">
      <c r="A306">
        <v>56872</v>
      </c>
      <c r="B306" t="s">
        <v>2913</v>
      </c>
      <c r="C306" t="s">
        <v>266</v>
      </c>
      <c r="D306" t="s">
        <v>2229</v>
      </c>
      <c r="E306" t="s">
        <v>2230</v>
      </c>
      <c r="F306">
        <v>1605360</v>
      </c>
      <c r="G306">
        <v>470504</v>
      </c>
      <c r="H306" s="32">
        <f t="shared" si="4"/>
        <v>3.4120007481339161</v>
      </c>
      <c r="I306">
        <v>1</v>
      </c>
      <c r="J306" t="s">
        <v>21</v>
      </c>
    </row>
    <row r="307" spans="1:10" x14ac:dyDescent="0.25">
      <c r="A307">
        <v>3415</v>
      </c>
      <c r="B307" t="s">
        <v>2437</v>
      </c>
      <c r="C307" t="s">
        <v>2029</v>
      </c>
      <c r="D307" t="s">
        <v>2229</v>
      </c>
      <c r="E307" t="s">
        <v>2230</v>
      </c>
      <c r="F307">
        <v>4417067</v>
      </c>
      <c r="G307">
        <v>1294568</v>
      </c>
      <c r="H307" s="32">
        <f t="shared" si="4"/>
        <v>3.4120007600991218</v>
      </c>
      <c r="I307">
        <v>1</v>
      </c>
      <c r="J307" t="s">
        <v>21</v>
      </c>
    </row>
    <row r="308" spans="1:10" x14ac:dyDescent="0.25">
      <c r="A308">
        <v>2756</v>
      </c>
      <c r="B308" t="s">
        <v>2380</v>
      </c>
      <c r="C308" t="s">
        <v>708</v>
      </c>
      <c r="D308" t="s">
        <v>2229</v>
      </c>
      <c r="E308" t="s">
        <v>2230</v>
      </c>
      <c r="F308">
        <v>769744</v>
      </c>
      <c r="G308">
        <v>225599</v>
      </c>
      <c r="H308" s="32">
        <f t="shared" si="4"/>
        <v>3.4120009397204774</v>
      </c>
      <c r="I308">
        <v>1</v>
      </c>
      <c r="J308" t="s">
        <v>21</v>
      </c>
    </row>
    <row r="309" spans="1:10" x14ac:dyDescent="0.25">
      <c r="A309">
        <v>3411</v>
      </c>
      <c r="B309" t="s">
        <v>2433</v>
      </c>
      <c r="C309" t="s">
        <v>2029</v>
      </c>
      <c r="D309" t="s">
        <v>2229</v>
      </c>
      <c r="E309" t="s">
        <v>2230</v>
      </c>
      <c r="F309">
        <v>1420532</v>
      </c>
      <c r="G309">
        <v>416334</v>
      </c>
      <c r="H309" s="32">
        <f t="shared" si="4"/>
        <v>3.4120009415517347</v>
      </c>
      <c r="I309">
        <v>1</v>
      </c>
      <c r="J309" t="s">
        <v>21</v>
      </c>
    </row>
    <row r="310" spans="1:10" x14ac:dyDescent="0.25">
      <c r="A310">
        <v>3420</v>
      </c>
      <c r="B310" t="s">
        <v>2441</v>
      </c>
      <c r="C310" t="s">
        <v>2029</v>
      </c>
      <c r="D310" t="s">
        <v>2229</v>
      </c>
      <c r="E310" t="s">
        <v>2230</v>
      </c>
      <c r="F310">
        <v>2952848</v>
      </c>
      <c r="G310">
        <v>865430</v>
      </c>
      <c r="H310" s="32">
        <f t="shared" si="4"/>
        <v>3.4120009706157632</v>
      </c>
      <c r="I310">
        <v>1</v>
      </c>
      <c r="J310" t="s">
        <v>21</v>
      </c>
    </row>
    <row r="311" spans="1:10" x14ac:dyDescent="0.25">
      <c r="A311">
        <v>1753</v>
      </c>
      <c r="B311" t="s">
        <v>2320</v>
      </c>
      <c r="C311" t="s">
        <v>250</v>
      </c>
      <c r="D311" t="s">
        <v>2229</v>
      </c>
      <c r="E311" t="s">
        <v>2230</v>
      </c>
      <c r="F311">
        <v>93308</v>
      </c>
      <c r="G311">
        <v>27347</v>
      </c>
      <c r="H311" s="32">
        <f t="shared" si="4"/>
        <v>3.4120013164149632</v>
      </c>
      <c r="I311">
        <v>1</v>
      </c>
      <c r="J311" t="s">
        <v>21</v>
      </c>
    </row>
    <row r="312" spans="1:10" x14ac:dyDescent="0.25">
      <c r="A312">
        <v>1380</v>
      </c>
      <c r="B312" t="s">
        <v>2286</v>
      </c>
      <c r="C312" t="s">
        <v>266</v>
      </c>
      <c r="D312" t="s">
        <v>2229</v>
      </c>
      <c r="E312" t="s">
        <v>2230</v>
      </c>
      <c r="F312">
        <v>3487680</v>
      </c>
      <c r="G312">
        <v>1022180</v>
      </c>
      <c r="H312" s="32">
        <f t="shared" si="4"/>
        <v>3.4120018000743508</v>
      </c>
      <c r="I312">
        <v>1</v>
      </c>
      <c r="J312" t="s">
        <v>21</v>
      </c>
    </row>
    <row r="313" spans="1:10" x14ac:dyDescent="0.25">
      <c r="A313">
        <v>3418</v>
      </c>
      <c r="B313" t="s">
        <v>2440</v>
      </c>
      <c r="C313" t="s">
        <v>2029</v>
      </c>
      <c r="D313" t="s">
        <v>2229</v>
      </c>
      <c r="E313" t="s">
        <v>2230</v>
      </c>
      <c r="F313">
        <v>320735</v>
      </c>
      <c r="G313">
        <v>94002</v>
      </c>
      <c r="H313" s="32">
        <f t="shared" si="4"/>
        <v>3.4120018723005892</v>
      </c>
      <c r="I313">
        <v>1</v>
      </c>
      <c r="J313" t="s">
        <v>21</v>
      </c>
    </row>
    <row r="314" spans="1:10" x14ac:dyDescent="0.25">
      <c r="A314">
        <v>6418</v>
      </c>
      <c r="B314" t="s">
        <v>2498</v>
      </c>
      <c r="C314" t="s">
        <v>2029</v>
      </c>
      <c r="D314" t="s">
        <v>2229</v>
      </c>
      <c r="E314" t="s">
        <v>2230</v>
      </c>
      <c r="F314">
        <v>653221</v>
      </c>
      <c r="G314">
        <v>191448</v>
      </c>
      <c r="H314" s="32">
        <f t="shared" si="4"/>
        <v>3.4120022147005975</v>
      </c>
      <c r="I314">
        <v>1</v>
      </c>
      <c r="J314" t="s">
        <v>21</v>
      </c>
    </row>
    <row r="315" spans="1:10" x14ac:dyDescent="0.25">
      <c r="A315">
        <v>3780</v>
      </c>
      <c r="B315" t="s">
        <v>2453</v>
      </c>
      <c r="C315" t="s">
        <v>201</v>
      </c>
      <c r="D315" t="s">
        <v>2229</v>
      </c>
      <c r="E315" t="s">
        <v>2230</v>
      </c>
      <c r="F315">
        <v>1059785</v>
      </c>
      <c r="G315">
        <v>310605</v>
      </c>
      <c r="H315" s="32">
        <f t="shared" si="4"/>
        <v>3.4120023824471595</v>
      </c>
      <c r="I315">
        <v>1</v>
      </c>
      <c r="J315" t="s">
        <v>21</v>
      </c>
    </row>
    <row r="316" spans="1:10" x14ac:dyDescent="0.25">
      <c r="A316">
        <v>6006</v>
      </c>
      <c r="B316" t="s">
        <v>2468</v>
      </c>
      <c r="C316" t="s">
        <v>322</v>
      </c>
      <c r="D316" t="s">
        <v>2229</v>
      </c>
      <c r="E316" t="s">
        <v>2230</v>
      </c>
      <c r="F316">
        <v>648301</v>
      </c>
      <c r="G316">
        <v>190006</v>
      </c>
      <c r="H316" s="32">
        <f t="shared" si="4"/>
        <v>3.4120027788596148</v>
      </c>
      <c r="I316">
        <v>1</v>
      </c>
      <c r="J316" t="s">
        <v>21</v>
      </c>
    </row>
    <row r="317" spans="1:10" x14ac:dyDescent="0.25">
      <c r="A317">
        <v>1842</v>
      </c>
      <c r="B317" t="s">
        <v>2340</v>
      </c>
      <c r="C317" t="s">
        <v>250</v>
      </c>
      <c r="D317" t="s">
        <v>2229</v>
      </c>
      <c r="E317" t="s">
        <v>2230</v>
      </c>
      <c r="F317">
        <v>48894</v>
      </c>
      <c r="G317">
        <v>14330</v>
      </c>
      <c r="H317" s="32">
        <f t="shared" si="4"/>
        <v>3.4120027913468247</v>
      </c>
      <c r="I317">
        <v>1</v>
      </c>
      <c r="J317" t="s">
        <v>21</v>
      </c>
    </row>
    <row r="318" spans="1:10" x14ac:dyDescent="0.25">
      <c r="A318">
        <v>57400</v>
      </c>
      <c r="B318" t="s">
        <v>2984</v>
      </c>
      <c r="C318" t="s">
        <v>266</v>
      </c>
      <c r="D318" t="s">
        <v>2229</v>
      </c>
      <c r="E318" t="s">
        <v>2230</v>
      </c>
      <c r="F318">
        <v>1147344</v>
      </c>
      <c r="G318">
        <v>336267</v>
      </c>
      <c r="H318" s="32">
        <f t="shared" si="4"/>
        <v>3.412002961932036</v>
      </c>
      <c r="I318">
        <v>1</v>
      </c>
      <c r="J318" t="s">
        <v>21</v>
      </c>
    </row>
    <row r="319" spans="1:10" x14ac:dyDescent="0.25">
      <c r="A319">
        <v>1751</v>
      </c>
      <c r="B319" t="s">
        <v>2319</v>
      </c>
      <c r="C319" t="s">
        <v>250</v>
      </c>
      <c r="D319" t="s">
        <v>2229</v>
      </c>
      <c r="E319" t="s">
        <v>2230</v>
      </c>
      <c r="F319">
        <v>616839</v>
      </c>
      <c r="G319">
        <v>180785</v>
      </c>
      <c r="H319" s="32">
        <f t="shared" si="4"/>
        <v>3.4120032082307712</v>
      </c>
      <c r="I319">
        <v>1</v>
      </c>
      <c r="J319" t="s">
        <v>21</v>
      </c>
    </row>
    <row r="320" spans="1:10" x14ac:dyDescent="0.25">
      <c r="A320">
        <v>1371</v>
      </c>
      <c r="B320" t="s">
        <v>2281</v>
      </c>
      <c r="C320" t="s">
        <v>266</v>
      </c>
      <c r="D320" t="s">
        <v>2229</v>
      </c>
      <c r="E320" t="s">
        <v>2230</v>
      </c>
      <c r="F320">
        <v>2132004</v>
      </c>
      <c r="G320">
        <v>624854</v>
      </c>
      <c r="H320" s="32">
        <f t="shared" si="4"/>
        <v>3.4120034440045193</v>
      </c>
      <c r="I320">
        <v>1</v>
      </c>
      <c r="J320" t="s">
        <v>21</v>
      </c>
    </row>
    <row r="321" spans="1:10" x14ac:dyDescent="0.25">
      <c r="A321">
        <v>4258</v>
      </c>
      <c r="B321" t="s">
        <v>2466</v>
      </c>
      <c r="C321" t="s">
        <v>322</v>
      </c>
      <c r="D321" t="s">
        <v>2229</v>
      </c>
      <c r="E321" t="s">
        <v>2230</v>
      </c>
      <c r="F321">
        <v>906201</v>
      </c>
      <c r="G321">
        <v>265592</v>
      </c>
      <c r="H321" s="32">
        <f t="shared" si="4"/>
        <v>3.41200412663032</v>
      </c>
      <c r="I321">
        <v>1</v>
      </c>
      <c r="J321" t="s">
        <v>21</v>
      </c>
    </row>
    <row r="322" spans="1:10" x14ac:dyDescent="0.25">
      <c r="A322">
        <v>2726</v>
      </c>
      <c r="B322" t="s">
        <v>2368</v>
      </c>
      <c r="C322" t="s">
        <v>708</v>
      </c>
      <c r="D322" t="s">
        <v>2229</v>
      </c>
      <c r="E322" t="s">
        <v>2230</v>
      </c>
      <c r="F322">
        <v>281504</v>
      </c>
      <c r="G322">
        <v>82504</v>
      </c>
      <c r="H322" s="32">
        <f t="shared" ref="H322:H385" si="5">IF(AND(F322&gt;0,G322&gt;0),F322/G322,"")</f>
        <v>3.412004266459808</v>
      </c>
      <c r="I322">
        <v>1</v>
      </c>
      <c r="J322" t="s">
        <v>21</v>
      </c>
    </row>
    <row r="323" spans="1:10" x14ac:dyDescent="0.25">
      <c r="A323">
        <v>3404</v>
      </c>
      <c r="B323" t="s">
        <v>2427</v>
      </c>
      <c r="C323" t="s">
        <v>2029</v>
      </c>
      <c r="D323" t="s">
        <v>2229</v>
      </c>
      <c r="E323" t="s">
        <v>2230</v>
      </c>
      <c r="F323">
        <v>447150</v>
      </c>
      <c r="G323">
        <v>131052</v>
      </c>
      <c r="H323" s="32">
        <f t="shared" si="5"/>
        <v>3.4120043952019046</v>
      </c>
      <c r="I323">
        <v>1</v>
      </c>
      <c r="J323" t="s">
        <v>21</v>
      </c>
    </row>
    <row r="324" spans="1:10" x14ac:dyDescent="0.25">
      <c r="A324">
        <v>3400</v>
      </c>
      <c r="B324" t="s">
        <v>2423</v>
      </c>
      <c r="C324" t="s">
        <v>2029</v>
      </c>
      <c r="D324" t="s">
        <v>2229</v>
      </c>
      <c r="E324" t="s">
        <v>2230</v>
      </c>
      <c r="F324">
        <v>1164350</v>
      </c>
      <c r="G324">
        <v>341251</v>
      </c>
      <c r="H324" s="32">
        <f t="shared" si="5"/>
        <v>3.4120046534662167</v>
      </c>
      <c r="I324">
        <v>1</v>
      </c>
      <c r="J324" t="s">
        <v>21</v>
      </c>
    </row>
    <row r="325" spans="1:10" x14ac:dyDescent="0.25">
      <c r="A325">
        <v>2729</v>
      </c>
      <c r="B325" t="s">
        <v>2371</v>
      </c>
      <c r="C325" t="s">
        <v>708</v>
      </c>
      <c r="D325" t="s">
        <v>2229</v>
      </c>
      <c r="E325" t="s">
        <v>2230</v>
      </c>
      <c r="F325">
        <v>295193</v>
      </c>
      <c r="G325">
        <v>86516</v>
      </c>
      <c r="H325" s="32">
        <f t="shared" si="5"/>
        <v>3.4120047158907023</v>
      </c>
      <c r="I325">
        <v>1</v>
      </c>
      <c r="J325" t="s">
        <v>21</v>
      </c>
    </row>
    <row r="326" spans="1:10" x14ac:dyDescent="0.25">
      <c r="A326">
        <v>6417</v>
      </c>
      <c r="B326" t="s">
        <v>2497</v>
      </c>
      <c r="C326" t="s">
        <v>2029</v>
      </c>
      <c r="D326" t="s">
        <v>2229</v>
      </c>
      <c r="E326" t="s">
        <v>2230</v>
      </c>
      <c r="F326">
        <v>1213964</v>
      </c>
      <c r="G326">
        <v>355792</v>
      </c>
      <c r="H326" s="32">
        <f t="shared" si="5"/>
        <v>3.4120047668300582</v>
      </c>
      <c r="I326">
        <v>1</v>
      </c>
      <c r="J326" t="s">
        <v>21</v>
      </c>
    </row>
    <row r="327" spans="1:10" x14ac:dyDescent="0.25">
      <c r="A327">
        <v>1005</v>
      </c>
      <c r="B327" t="s">
        <v>2270</v>
      </c>
      <c r="C327" t="s">
        <v>131</v>
      </c>
      <c r="D327" t="s">
        <v>2229</v>
      </c>
      <c r="E327" t="s">
        <v>2230</v>
      </c>
      <c r="F327">
        <v>861811</v>
      </c>
      <c r="G327">
        <v>252582</v>
      </c>
      <c r="H327" s="32">
        <f t="shared" si="5"/>
        <v>3.4120048142781356</v>
      </c>
      <c r="I327">
        <v>1</v>
      </c>
      <c r="J327" t="s">
        <v>21</v>
      </c>
    </row>
    <row r="328" spans="1:10" x14ac:dyDescent="0.25">
      <c r="A328">
        <v>3772</v>
      </c>
      <c r="B328" t="s">
        <v>2447</v>
      </c>
      <c r="C328" t="s">
        <v>201</v>
      </c>
      <c r="D328" t="s">
        <v>2229</v>
      </c>
      <c r="E328" t="s">
        <v>2230</v>
      </c>
      <c r="F328">
        <v>66790</v>
      </c>
      <c r="G328">
        <v>19575</v>
      </c>
      <c r="H328" s="32">
        <f t="shared" si="5"/>
        <v>3.4120051085568326</v>
      </c>
      <c r="I328">
        <v>1</v>
      </c>
      <c r="J328" t="s">
        <v>21</v>
      </c>
    </row>
    <row r="329" spans="1:10" x14ac:dyDescent="0.25">
      <c r="A329">
        <v>54895</v>
      </c>
      <c r="B329" t="s">
        <v>2738</v>
      </c>
      <c r="C329" t="s">
        <v>708</v>
      </c>
      <c r="D329" t="s">
        <v>2229</v>
      </c>
      <c r="E329" t="s">
        <v>2230</v>
      </c>
      <c r="F329">
        <v>319217</v>
      </c>
      <c r="G329">
        <v>93557</v>
      </c>
      <c r="H329" s="32">
        <f t="shared" si="5"/>
        <v>3.4120055153542759</v>
      </c>
      <c r="I329">
        <v>1</v>
      </c>
      <c r="J329" t="s">
        <v>21</v>
      </c>
    </row>
    <row r="330" spans="1:10" x14ac:dyDescent="0.25">
      <c r="A330">
        <v>50011</v>
      </c>
      <c r="B330" t="s">
        <v>2620</v>
      </c>
      <c r="C330" t="s">
        <v>118</v>
      </c>
      <c r="D330" t="s">
        <v>2229</v>
      </c>
      <c r="E330" t="s">
        <v>2230</v>
      </c>
      <c r="F330">
        <v>1249804</v>
      </c>
      <c r="G330">
        <v>366296</v>
      </c>
      <c r="H330" s="32">
        <f t="shared" si="5"/>
        <v>3.412005591106646</v>
      </c>
      <c r="I330">
        <v>1</v>
      </c>
      <c r="J330" t="s">
        <v>21</v>
      </c>
    </row>
    <row r="331" spans="1:10" x14ac:dyDescent="0.25">
      <c r="A331">
        <v>3395</v>
      </c>
      <c r="B331" t="s">
        <v>2418</v>
      </c>
      <c r="C331" t="s">
        <v>2029</v>
      </c>
      <c r="D331" t="s">
        <v>2229</v>
      </c>
      <c r="E331" t="s">
        <v>2230</v>
      </c>
      <c r="F331">
        <v>496307</v>
      </c>
      <c r="G331">
        <v>145459</v>
      </c>
      <c r="H331" s="32">
        <f t="shared" si="5"/>
        <v>3.412006132312198</v>
      </c>
      <c r="I331">
        <v>1</v>
      </c>
      <c r="J331" t="s">
        <v>21</v>
      </c>
    </row>
    <row r="332" spans="1:10" x14ac:dyDescent="0.25">
      <c r="A332">
        <v>56333</v>
      </c>
      <c r="B332" t="s">
        <v>2846</v>
      </c>
      <c r="C332" t="s">
        <v>118</v>
      </c>
      <c r="D332" t="s">
        <v>2229</v>
      </c>
      <c r="E332" t="s">
        <v>2230</v>
      </c>
      <c r="F332">
        <v>508679</v>
      </c>
      <c r="G332">
        <v>149085</v>
      </c>
      <c r="H332" s="32">
        <f t="shared" si="5"/>
        <v>3.4120065734312641</v>
      </c>
      <c r="I332">
        <v>1</v>
      </c>
      <c r="J332" t="s">
        <v>21</v>
      </c>
    </row>
    <row r="333" spans="1:10" x14ac:dyDescent="0.25">
      <c r="A333">
        <v>2722</v>
      </c>
      <c r="B333" t="s">
        <v>2367</v>
      </c>
      <c r="C333" t="s">
        <v>708</v>
      </c>
      <c r="D333" t="s">
        <v>2229</v>
      </c>
      <c r="E333" t="s">
        <v>2230</v>
      </c>
      <c r="F333">
        <v>426262</v>
      </c>
      <c r="G333">
        <v>124930</v>
      </c>
      <c r="H333" s="32">
        <f t="shared" si="5"/>
        <v>3.4120067237653084</v>
      </c>
      <c r="I333">
        <v>1</v>
      </c>
      <c r="J333" t="s">
        <v>21</v>
      </c>
    </row>
    <row r="334" spans="1:10" x14ac:dyDescent="0.25">
      <c r="A334">
        <v>62918</v>
      </c>
      <c r="B334" t="s">
        <v>4257</v>
      </c>
      <c r="C334" t="s">
        <v>131</v>
      </c>
      <c r="D334" t="s">
        <v>2229</v>
      </c>
      <c r="E334" t="s">
        <v>2230</v>
      </c>
      <c r="F334">
        <v>20622</v>
      </c>
      <c r="G334">
        <v>6043.95</v>
      </c>
      <c r="H334" s="32">
        <f t="shared" si="5"/>
        <v>3.4120070483706848</v>
      </c>
      <c r="I334">
        <v>1</v>
      </c>
      <c r="J334" t="s">
        <v>21</v>
      </c>
    </row>
    <row r="335" spans="1:10" x14ac:dyDescent="0.25">
      <c r="A335">
        <v>1701</v>
      </c>
      <c r="B335" t="s">
        <v>2295</v>
      </c>
      <c r="C335" t="s">
        <v>250</v>
      </c>
      <c r="D335" t="s">
        <v>2229</v>
      </c>
      <c r="E335" t="s">
        <v>2230</v>
      </c>
      <c r="F335">
        <v>100644</v>
      </c>
      <c r="G335">
        <v>29497</v>
      </c>
      <c r="H335" s="32">
        <f t="shared" si="5"/>
        <v>3.4120080008136422</v>
      </c>
      <c r="I335">
        <v>1</v>
      </c>
      <c r="J335" t="s">
        <v>21</v>
      </c>
    </row>
    <row r="336" spans="1:10" x14ac:dyDescent="0.25">
      <c r="A336">
        <v>57401</v>
      </c>
      <c r="B336" t="s">
        <v>2985</v>
      </c>
      <c r="C336" t="s">
        <v>118</v>
      </c>
      <c r="D336" t="s">
        <v>2229</v>
      </c>
      <c r="E336" t="s">
        <v>2230</v>
      </c>
      <c r="F336">
        <v>676632</v>
      </c>
      <c r="G336">
        <v>198309</v>
      </c>
      <c r="H336" s="32">
        <f t="shared" si="5"/>
        <v>3.4120085321392373</v>
      </c>
      <c r="I336">
        <v>1</v>
      </c>
      <c r="J336" t="s">
        <v>21</v>
      </c>
    </row>
    <row r="337" spans="1:10" x14ac:dyDescent="0.25">
      <c r="A337">
        <v>3401</v>
      </c>
      <c r="B337" t="s">
        <v>2424</v>
      </c>
      <c r="C337" t="s">
        <v>2029</v>
      </c>
      <c r="D337" t="s">
        <v>2229</v>
      </c>
      <c r="E337" t="s">
        <v>2230</v>
      </c>
      <c r="F337">
        <v>323339</v>
      </c>
      <c r="G337">
        <v>94765</v>
      </c>
      <c r="H337" s="32">
        <f t="shared" si="5"/>
        <v>3.4120086529836966</v>
      </c>
      <c r="I337">
        <v>1</v>
      </c>
      <c r="J337" t="s">
        <v>21</v>
      </c>
    </row>
    <row r="338" spans="1:10" x14ac:dyDescent="0.25">
      <c r="A338">
        <v>986</v>
      </c>
      <c r="B338" t="s">
        <v>2260</v>
      </c>
      <c r="C338" t="s">
        <v>131</v>
      </c>
      <c r="D338" t="s">
        <v>2229</v>
      </c>
      <c r="E338" t="s">
        <v>2230</v>
      </c>
      <c r="F338">
        <v>36877</v>
      </c>
      <c r="G338">
        <v>10808</v>
      </c>
      <c r="H338" s="32">
        <f t="shared" si="5"/>
        <v>3.4120096225018504</v>
      </c>
      <c r="I338">
        <v>1</v>
      </c>
      <c r="J338" t="s">
        <v>21</v>
      </c>
    </row>
    <row r="339" spans="1:10" x14ac:dyDescent="0.25">
      <c r="A339">
        <v>68750</v>
      </c>
      <c r="B339" t="s">
        <v>5253</v>
      </c>
      <c r="C339" t="s">
        <v>166</v>
      </c>
      <c r="D339" t="s">
        <v>2229</v>
      </c>
      <c r="E339" t="s">
        <v>2230</v>
      </c>
      <c r="F339">
        <v>58748</v>
      </c>
      <c r="G339">
        <v>17218</v>
      </c>
      <c r="H339" s="32">
        <f t="shared" si="5"/>
        <v>3.4120106864908815</v>
      </c>
      <c r="I339">
        <v>1</v>
      </c>
      <c r="J339" t="s">
        <v>21</v>
      </c>
    </row>
    <row r="340" spans="1:10" x14ac:dyDescent="0.25">
      <c r="A340">
        <v>2730</v>
      </c>
      <c r="B340" t="s">
        <v>2372</v>
      </c>
      <c r="C340" t="s">
        <v>708</v>
      </c>
      <c r="D340" t="s">
        <v>2229</v>
      </c>
      <c r="E340" t="s">
        <v>2230</v>
      </c>
      <c r="F340">
        <v>190711</v>
      </c>
      <c r="G340">
        <v>55894</v>
      </c>
      <c r="H340" s="32">
        <f t="shared" si="5"/>
        <v>3.412012022757362</v>
      </c>
      <c r="I340">
        <v>1</v>
      </c>
      <c r="J340" t="s">
        <v>21</v>
      </c>
    </row>
    <row r="341" spans="1:10" x14ac:dyDescent="0.25">
      <c r="A341">
        <v>989</v>
      </c>
      <c r="B341" t="s">
        <v>2261</v>
      </c>
      <c r="C341" t="s">
        <v>131</v>
      </c>
      <c r="D341" t="s">
        <v>2229</v>
      </c>
      <c r="E341" t="s">
        <v>2230</v>
      </c>
      <c r="F341">
        <v>73000</v>
      </c>
      <c r="G341">
        <v>21395</v>
      </c>
      <c r="H341" s="32">
        <f t="shared" si="5"/>
        <v>3.4120121523720495</v>
      </c>
      <c r="I341">
        <v>1</v>
      </c>
      <c r="J341" t="s">
        <v>21</v>
      </c>
    </row>
    <row r="342" spans="1:10" x14ac:dyDescent="0.25">
      <c r="A342">
        <v>3117</v>
      </c>
      <c r="B342" t="s">
        <v>2403</v>
      </c>
      <c r="C342" t="s">
        <v>143</v>
      </c>
      <c r="D342" t="s">
        <v>2229</v>
      </c>
      <c r="E342" t="s">
        <v>2230</v>
      </c>
      <c r="F342">
        <v>326359</v>
      </c>
      <c r="G342">
        <v>95650</v>
      </c>
      <c r="H342" s="32">
        <f t="shared" si="5"/>
        <v>3.4120125457396759</v>
      </c>
      <c r="I342">
        <v>1</v>
      </c>
      <c r="J342" t="s">
        <v>21</v>
      </c>
    </row>
    <row r="343" spans="1:10" x14ac:dyDescent="0.25">
      <c r="A343">
        <v>2714</v>
      </c>
      <c r="B343" t="s">
        <v>2361</v>
      </c>
      <c r="C343" t="s">
        <v>708</v>
      </c>
      <c r="D343" t="s">
        <v>2229</v>
      </c>
      <c r="E343" t="s">
        <v>2230</v>
      </c>
      <c r="F343">
        <v>401512</v>
      </c>
      <c r="G343">
        <v>117676</v>
      </c>
      <c r="H343" s="32">
        <f t="shared" si="5"/>
        <v>3.4120126448893573</v>
      </c>
      <c r="I343">
        <v>1</v>
      </c>
      <c r="J343" t="s">
        <v>21</v>
      </c>
    </row>
    <row r="344" spans="1:10" x14ac:dyDescent="0.25">
      <c r="A344">
        <v>6636</v>
      </c>
      <c r="B344" t="s">
        <v>2507</v>
      </c>
      <c r="C344" t="s">
        <v>143</v>
      </c>
      <c r="D344" t="s">
        <v>2229</v>
      </c>
      <c r="E344" t="s">
        <v>2230</v>
      </c>
      <c r="F344">
        <v>320238</v>
      </c>
      <c r="G344">
        <v>93856</v>
      </c>
      <c r="H344" s="32">
        <f t="shared" si="5"/>
        <v>3.4120141493351519</v>
      </c>
      <c r="I344">
        <v>1</v>
      </c>
      <c r="J344" t="s">
        <v>21</v>
      </c>
    </row>
    <row r="345" spans="1:10" x14ac:dyDescent="0.25">
      <c r="A345">
        <v>52173</v>
      </c>
      <c r="B345" t="s">
        <v>2691</v>
      </c>
      <c r="C345" t="s">
        <v>143</v>
      </c>
      <c r="D345" t="s">
        <v>2229</v>
      </c>
      <c r="E345" t="s">
        <v>2230</v>
      </c>
      <c r="F345">
        <v>147846</v>
      </c>
      <c r="G345">
        <v>43331</v>
      </c>
      <c r="H345" s="32">
        <f t="shared" si="5"/>
        <v>3.4120144930880896</v>
      </c>
      <c r="I345">
        <v>1</v>
      </c>
      <c r="J345" t="s">
        <v>21</v>
      </c>
    </row>
    <row r="346" spans="1:10" x14ac:dyDescent="0.25">
      <c r="A346">
        <v>1780</v>
      </c>
      <c r="B346" t="s">
        <v>2333</v>
      </c>
      <c r="C346" t="s">
        <v>250</v>
      </c>
      <c r="D346" t="s">
        <v>2229</v>
      </c>
      <c r="E346" t="s">
        <v>2230</v>
      </c>
      <c r="F346">
        <v>100187</v>
      </c>
      <c r="G346">
        <v>29363</v>
      </c>
      <c r="H346" s="32">
        <f t="shared" si="5"/>
        <v>3.4120151210707355</v>
      </c>
      <c r="I346">
        <v>1</v>
      </c>
      <c r="J346" t="s">
        <v>21</v>
      </c>
    </row>
    <row r="347" spans="1:10" x14ac:dyDescent="0.25">
      <c r="A347">
        <v>52068</v>
      </c>
      <c r="B347" t="s">
        <v>2684</v>
      </c>
      <c r="C347" t="s">
        <v>241</v>
      </c>
      <c r="D347" t="s">
        <v>2229</v>
      </c>
      <c r="E347" t="s">
        <v>2230</v>
      </c>
      <c r="F347">
        <v>21639</v>
      </c>
      <c r="G347">
        <v>6342</v>
      </c>
      <c r="H347" s="32">
        <f t="shared" si="5"/>
        <v>3.4120151371806999</v>
      </c>
      <c r="I347">
        <v>1</v>
      </c>
      <c r="J347" t="s">
        <v>21</v>
      </c>
    </row>
    <row r="348" spans="1:10" x14ac:dyDescent="0.25">
      <c r="A348">
        <v>2750</v>
      </c>
      <c r="B348" t="s">
        <v>2378</v>
      </c>
      <c r="C348" t="s">
        <v>708</v>
      </c>
      <c r="D348" t="s">
        <v>2229</v>
      </c>
      <c r="E348" t="s">
        <v>2230</v>
      </c>
      <c r="F348">
        <v>204083</v>
      </c>
      <c r="G348">
        <v>59813</v>
      </c>
      <c r="H348" s="32">
        <f t="shared" si="5"/>
        <v>3.4120174543995452</v>
      </c>
      <c r="I348">
        <v>1</v>
      </c>
      <c r="J348" t="s">
        <v>21</v>
      </c>
    </row>
    <row r="349" spans="1:10" x14ac:dyDescent="0.25">
      <c r="A349">
        <v>50898</v>
      </c>
      <c r="B349" t="s">
        <v>2675</v>
      </c>
      <c r="C349" t="s">
        <v>143</v>
      </c>
      <c r="D349" t="s">
        <v>2229</v>
      </c>
      <c r="E349" t="s">
        <v>2230</v>
      </c>
      <c r="F349">
        <v>294870</v>
      </c>
      <c r="G349">
        <v>86421</v>
      </c>
      <c r="H349" s="32">
        <f t="shared" si="5"/>
        <v>3.4120179123129795</v>
      </c>
      <c r="I349">
        <v>1</v>
      </c>
      <c r="J349" t="s">
        <v>21</v>
      </c>
    </row>
    <row r="350" spans="1:10" x14ac:dyDescent="0.25">
      <c r="A350">
        <v>50893</v>
      </c>
      <c r="B350" t="s">
        <v>2672</v>
      </c>
      <c r="C350" t="s">
        <v>143</v>
      </c>
      <c r="D350" t="s">
        <v>2229</v>
      </c>
      <c r="E350" t="s">
        <v>2230</v>
      </c>
      <c r="F350">
        <v>120823</v>
      </c>
      <c r="G350">
        <v>35411</v>
      </c>
      <c r="H350" s="32">
        <f t="shared" si="5"/>
        <v>3.4120188641947418</v>
      </c>
      <c r="I350">
        <v>1</v>
      </c>
      <c r="J350" t="s">
        <v>21</v>
      </c>
    </row>
    <row r="351" spans="1:10" x14ac:dyDescent="0.25">
      <c r="A351">
        <v>1777</v>
      </c>
      <c r="B351" t="s">
        <v>2331</v>
      </c>
      <c r="C351" t="s">
        <v>250</v>
      </c>
      <c r="D351" t="s">
        <v>2229</v>
      </c>
      <c r="E351" t="s">
        <v>2230</v>
      </c>
      <c r="F351">
        <v>29804</v>
      </c>
      <c r="G351">
        <v>8735</v>
      </c>
      <c r="H351" s="32">
        <f t="shared" si="5"/>
        <v>3.4120206067544361</v>
      </c>
      <c r="I351">
        <v>1</v>
      </c>
      <c r="J351" t="s">
        <v>21</v>
      </c>
    </row>
    <row r="352" spans="1:10" x14ac:dyDescent="0.25">
      <c r="A352">
        <v>1856</v>
      </c>
      <c r="B352" t="s">
        <v>2346</v>
      </c>
      <c r="C352" t="s">
        <v>250</v>
      </c>
      <c r="D352" t="s">
        <v>2229</v>
      </c>
      <c r="E352" t="s">
        <v>2230</v>
      </c>
      <c r="F352">
        <v>22707</v>
      </c>
      <c r="G352">
        <v>6655</v>
      </c>
      <c r="H352" s="32">
        <f t="shared" si="5"/>
        <v>3.412021036814425</v>
      </c>
      <c r="I352">
        <v>1</v>
      </c>
      <c r="J352" t="s">
        <v>21</v>
      </c>
    </row>
    <row r="353" spans="1:10" x14ac:dyDescent="0.25">
      <c r="A353">
        <v>1778</v>
      </c>
      <c r="B353" t="s">
        <v>2332</v>
      </c>
      <c r="C353" t="s">
        <v>250</v>
      </c>
      <c r="D353" t="s">
        <v>2229</v>
      </c>
      <c r="E353" t="s">
        <v>2230</v>
      </c>
      <c r="F353">
        <v>87631</v>
      </c>
      <c r="G353">
        <v>25683</v>
      </c>
      <c r="H353" s="32">
        <f t="shared" si="5"/>
        <v>3.4120235175018494</v>
      </c>
      <c r="I353">
        <v>1</v>
      </c>
      <c r="J353" t="s">
        <v>21</v>
      </c>
    </row>
    <row r="354" spans="1:10" x14ac:dyDescent="0.25">
      <c r="A354">
        <v>3428</v>
      </c>
      <c r="B354" t="s">
        <v>2446</v>
      </c>
      <c r="C354" t="s">
        <v>2029</v>
      </c>
      <c r="D354" t="s">
        <v>2229</v>
      </c>
      <c r="E354" t="s">
        <v>2230</v>
      </c>
      <c r="F354">
        <v>206001</v>
      </c>
      <c r="G354">
        <v>60375</v>
      </c>
      <c r="H354" s="32">
        <f t="shared" si="5"/>
        <v>3.4120248447204968</v>
      </c>
      <c r="I354">
        <v>1</v>
      </c>
      <c r="J354" t="s">
        <v>21</v>
      </c>
    </row>
    <row r="355" spans="1:10" x14ac:dyDescent="0.25">
      <c r="A355">
        <v>1698</v>
      </c>
      <c r="B355" t="s">
        <v>2293</v>
      </c>
      <c r="C355" t="s">
        <v>250</v>
      </c>
      <c r="D355" t="s">
        <v>2229</v>
      </c>
      <c r="E355" t="s">
        <v>2230</v>
      </c>
      <c r="F355">
        <v>189504</v>
      </c>
      <c r="G355">
        <v>55540</v>
      </c>
      <c r="H355" s="32">
        <f t="shared" si="5"/>
        <v>3.4120273676629456</v>
      </c>
      <c r="I355">
        <v>1</v>
      </c>
      <c r="J355" t="s">
        <v>21</v>
      </c>
    </row>
    <row r="356" spans="1:10" x14ac:dyDescent="0.25">
      <c r="A356">
        <v>50175</v>
      </c>
      <c r="B356" t="s">
        <v>2623</v>
      </c>
      <c r="C356" t="s">
        <v>201</v>
      </c>
      <c r="D356" t="s">
        <v>2229</v>
      </c>
      <c r="E356" t="s">
        <v>2230</v>
      </c>
      <c r="F356">
        <v>18657</v>
      </c>
      <c r="G356">
        <v>5468</v>
      </c>
      <c r="H356" s="32">
        <f t="shared" si="5"/>
        <v>3.4120336503291879</v>
      </c>
      <c r="I356">
        <v>1</v>
      </c>
      <c r="J356" t="s">
        <v>21</v>
      </c>
    </row>
    <row r="357" spans="1:10" x14ac:dyDescent="0.25">
      <c r="A357">
        <v>1693</v>
      </c>
      <c r="B357" t="s">
        <v>2291</v>
      </c>
      <c r="C357" t="s">
        <v>250</v>
      </c>
      <c r="D357" t="s">
        <v>2229</v>
      </c>
      <c r="E357" t="s">
        <v>2230</v>
      </c>
      <c r="F357">
        <v>87099</v>
      </c>
      <c r="G357">
        <v>25527</v>
      </c>
      <c r="H357" s="32">
        <f t="shared" si="5"/>
        <v>3.4120343166059466</v>
      </c>
      <c r="I357">
        <v>1</v>
      </c>
      <c r="J357" t="s">
        <v>21</v>
      </c>
    </row>
    <row r="358" spans="1:10" x14ac:dyDescent="0.25">
      <c r="A358">
        <v>3417</v>
      </c>
      <c r="B358" t="s">
        <v>2439</v>
      </c>
      <c r="C358" t="s">
        <v>2029</v>
      </c>
      <c r="D358" t="s">
        <v>2229</v>
      </c>
      <c r="E358" t="s">
        <v>2230</v>
      </c>
      <c r="F358">
        <v>140627</v>
      </c>
      <c r="G358">
        <v>41215</v>
      </c>
      <c r="H358" s="32">
        <f t="shared" si="5"/>
        <v>3.4120344534756764</v>
      </c>
      <c r="I358">
        <v>1</v>
      </c>
      <c r="J358" t="s">
        <v>21</v>
      </c>
    </row>
    <row r="359" spans="1:10" x14ac:dyDescent="0.25">
      <c r="A359">
        <v>1694</v>
      </c>
      <c r="B359" t="s">
        <v>2292</v>
      </c>
      <c r="C359" t="s">
        <v>250</v>
      </c>
      <c r="D359" t="s">
        <v>2229</v>
      </c>
      <c r="E359" t="s">
        <v>2230</v>
      </c>
      <c r="F359">
        <v>39972</v>
      </c>
      <c r="G359">
        <v>11715</v>
      </c>
      <c r="H359" s="32">
        <f t="shared" si="5"/>
        <v>3.4120358514724711</v>
      </c>
      <c r="I359">
        <v>1</v>
      </c>
      <c r="J359" t="s">
        <v>21</v>
      </c>
    </row>
    <row r="360" spans="1:10" x14ac:dyDescent="0.25">
      <c r="A360">
        <v>3773</v>
      </c>
      <c r="B360" t="s">
        <v>2448</v>
      </c>
      <c r="C360" t="s">
        <v>201</v>
      </c>
      <c r="D360" t="s">
        <v>2229</v>
      </c>
      <c r="E360" t="s">
        <v>2230</v>
      </c>
      <c r="F360">
        <v>7254</v>
      </c>
      <c r="G360">
        <v>2126</v>
      </c>
      <c r="H360" s="32">
        <f t="shared" si="5"/>
        <v>3.4120413922859831</v>
      </c>
      <c r="I360">
        <v>1</v>
      </c>
      <c r="J360" t="s">
        <v>21</v>
      </c>
    </row>
    <row r="361" spans="1:10" x14ac:dyDescent="0.25">
      <c r="A361">
        <v>2778</v>
      </c>
      <c r="B361" t="s">
        <v>2382</v>
      </c>
      <c r="C361" t="s">
        <v>708</v>
      </c>
      <c r="D361" t="s">
        <v>2229</v>
      </c>
      <c r="E361" t="s">
        <v>2230</v>
      </c>
      <c r="F361">
        <v>64532</v>
      </c>
      <c r="G361">
        <v>18913</v>
      </c>
      <c r="H361" s="32">
        <f t="shared" si="5"/>
        <v>3.4120446253899432</v>
      </c>
      <c r="I361">
        <v>1</v>
      </c>
      <c r="J361" t="s">
        <v>21</v>
      </c>
    </row>
    <row r="362" spans="1:10" x14ac:dyDescent="0.25">
      <c r="A362">
        <v>7807</v>
      </c>
      <c r="B362" t="s">
        <v>2548</v>
      </c>
      <c r="C362" t="s">
        <v>322</v>
      </c>
      <c r="D362" t="s">
        <v>2229</v>
      </c>
      <c r="E362" t="s">
        <v>2230</v>
      </c>
      <c r="F362">
        <v>29951</v>
      </c>
      <c r="G362">
        <v>8778</v>
      </c>
      <c r="H362" s="32">
        <f t="shared" si="5"/>
        <v>3.4120528594212804</v>
      </c>
      <c r="I362">
        <v>1</v>
      </c>
      <c r="J362" t="s">
        <v>21</v>
      </c>
    </row>
    <row r="363" spans="1:10" x14ac:dyDescent="0.25">
      <c r="A363">
        <v>1761</v>
      </c>
      <c r="B363" t="s">
        <v>2324</v>
      </c>
      <c r="C363" t="s">
        <v>250</v>
      </c>
      <c r="D363" t="s">
        <v>2229</v>
      </c>
      <c r="E363" t="s">
        <v>2230</v>
      </c>
      <c r="F363">
        <v>17944</v>
      </c>
      <c r="G363">
        <v>5259</v>
      </c>
      <c r="H363" s="32">
        <f t="shared" si="5"/>
        <v>3.4120555238638524</v>
      </c>
      <c r="I363">
        <v>1</v>
      </c>
      <c r="J363" t="s">
        <v>21</v>
      </c>
    </row>
    <row r="364" spans="1:10" x14ac:dyDescent="0.25">
      <c r="A364">
        <v>1700</v>
      </c>
      <c r="B364" t="s">
        <v>2294</v>
      </c>
      <c r="C364" t="s">
        <v>250</v>
      </c>
      <c r="D364" t="s">
        <v>2229</v>
      </c>
      <c r="E364" t="s">
        <v>2230</v>
      </c>
      <c r="F364">
        <v>82838</v>
      </c>
      <c r="G364">
        <v>24278</v>
      </c>
      <c r="H364" s="32">
        <f t="shared" si="5"/>
        <v>3.4120603015075375</v>
      </c>
      <c r="I364">
        <v>1</v>
      </c>
      <c r="J364" t="s">
        <v>21</v>
      </c>
    </row>
    <row r="365" spans="1:10" x14ac:dyDescent="0.25">
      <c r="A365">
        <v>2743</v>
      </c>
      <c r="B365" t="s">
        <v>2373</v>
      </c>
      <c r="C365" t="s">
        <v>708</v>
      </c>
      <c r="D365" t="s">
        <v>2229</v>
      </c>
      <c r="E365" t="s">
        <v>2230</v>
      </c>
      <c r="F365">
        <v>39423</v>
      </c>
      <c r="G365">
        <v>11554</v>
      </c>
      <c r="H365" s="32">
        <f t="shared" si="5"/>
        <v>3.4120650856846115</v>
      </c>
      <c r="I365">
        <v>1</v>
      </c>
      <c r="J365" t="s">
        <v>21</v>
      </c>
    </row>
    <row r="366" spans="1:10" x14ac:dyDescent="0.25">
      <c r="A366">
        <v>54969</v>
      </c>
      <c r="B366" t="s">
        <v>2750</v>
      </c>
      <c r="C366" t="s">
        <v>166</v>
      </c>
      <c r="D366" t="s">
        <v>2229</v>
      </c>
      <c r="E366" t="s">
        <v>2230</v>
      </c>
      <c r="F366">
        <v>42760</v>
      </c>
      <c r="G366">
        <v>12532</v>
      </c>
      <c r="H366" s="32">
        <f t="shared" si="5"/>
        <v>3.4120651133099265</v>
      </c>
      <c r="I366">
        <v>1</v>
      </c>
      <c r="J366" t="s">
        <v>21</v>
      </c>
    </row>
    <row r="367" spans="1:10" x14ac:dyDescent="0.25">
      <c r="A367">
        <v>7118</v>
      </c>
      <c r="B367" t="s">
        <v>2513</v>
      </c>
      <c r="C367" t="s">
        <v>250</v>
      </c>
      <c r="D367" t="s">
        <v>2229</v>
      </c>
      <c r="E367" t="s">
        <v>2230</v>
      </c>
      <c r="F367">
        <v>16627</v>
      </c>
      <c r="G367">
        <v>4873</v>
      </c>
      <c r="H367" s="32">
        <f t="shared" si="5"/>
        <v>3.4120664888159244</v>
      </c>
      <c r="I367">
        <v>1</v>
      </c>
      <c r="J367" t="s">
        <v>21</v>
      </c>
    </row>
    <row r="368" spans="1:10" x14ac:dyDescent="0.25">
      <c r="A368">
        <v>6546</v>
      </c>
      <c r="B368" t="s">
        <v>2502</v>
      </c>
      <c r="C368" t="s">
        <v>118</v>
      </c>
      <c r="D368" t="s">
        <v>2229</v>
      </c>
      <c r="E368" t="s">
        <v>2230</v>
      </c>
      <c r="F368">
        <v>26406</v>
      </c>
      <c r="G368">
        <v>7739</v>
      </c>
      <c r="H368" s="32">
        <f t="shared" si="5"/>
        <v>3.412068742731619</v>
      </c>
      <c r="I368">
        <v>1</v>
      </c>
      <c r="J368" t="s">
        <v>21</v>
      </c>
    </row>
    <row r="369" spans="1:10" x14ac:dyDescent="0.25">
      <c r="A369">
        <v>1722</v>
      </c>
      <c r="B369" t="s">
        <v>2305</v>
      </c>
      <c r="C369" t="s">
        <v>250</v>
      </c>
      <c r="D369" t="s">
        <v>2229</v>
      </c>
      <c r="E369" t="s">
        <v>2230</v>
      </c>
      <c r="F369">
        <v>32500</v>
      </c>
      <c r="G369">
        <v>9525</v>
      </c>
      <c r="H369" s="32">
        <f t="shared" si="5"/>
        <v>3.4120734908136483</v>
      </c>
      <c r="I369">
        <v>1</v>
      </c>
      <c r="J369" t="s">
        <v>21</v>
      </c>
    </row>
    <row r="370" spans="1:10" x14ac:dyDescent="0.25">
      <c r="A370">
        <v>3825</v>
      </c>
      <c r="B370" t="s">
        <v>2462</v>
      </c>
      <c r="C370" t="s">
        <v>201</v>
      </c>
      <c r="D370" t="s">
        <v>2229</v>
      </c>
      <c r="E370" t="s">
        <v>2230</v>
      </c>
      <c r="F370">
        <v>74414</v>
      </c>
      <c r="G370">
        <v>21809</v>
      </c>
      <c r="H370" s="32">
        <f t="shared" si="5"/>
        <v>3.4120775826493648</v>
      </c>
      <c r="I370">
        <v>1</v>
      </c>
      <c r="J370" t="s">
        <v>21</v>
      </c>
    </row>
    <row r="371" spans="1:10" x14ac:dyDescent="0.25">
      <c r="A371">
        <v>955</v>
      </c>
      <c r="B371" t="s">
        <v>2159</v>
      </c>
      <c r="C371" t="s">
        <v>166</v>
      </c>
      <c r="D371" t="s">
        <v>2229</v>
      </c>
      <c r="E371" t="s">
        <v>2230</v>
      </c>
      <c r="F371">
        <v>58739</v>
      </c>
      <c r="G371">
        <v>17215</v>
      </c>
      <c r="H371" s="32">
        <f t="shared" si="5"/>
        <v>3.4120824862038921</v>
      </c>
      <c r="I371">
        <v>1</v>
      </c>
      <c r="J371" t="s">
        <v>21</v>
      </c>
    </row>
    <row r="372" spans="1:10" x14ac:dyDescent="0.25">
      <c r="A372">
        <v>3778</v>
      </c>
      <c r="B372" t="s">
        <v>2451</v>
      </c>
      <c r="C372" t="s">
        <v>201</v>
      </c>
      <c r="D372" t="s">
        <v>2229</v>
      </c>
      <c r="E372" t="s">
        <v>2230</v>
      </c>
      <c r="F372">
        <v>16883</v>
      </c>
      <c r="G372">
        <v>4948</v>
      </c>
      <c r="H372" s="32">
        <f t="shared" si="5"/>
        <v>3.4120856911883588</v>
      </c>
      <c r="I372">
        <v>1</v>
      </c>
      <c r="J372" t="s">
        <v>21</v>
      </c>
    </row>
    <row r="373" spans="1:10" x14ac:dyDescent="0.25">
      <c r="A373">
        <v>1754</v>
      </c>
      <c r="B373" t="s">
        <v>2321</v>
      </c>
      <c r="C373" t="s">
        <v>250</v>
      </c>
      <c r="D373" t="s">
        <v>2229</v>
      </c>
      <c r="E373" t="s">
        <v>2230</v>
      </c>
      <c r="F373">
        <v>44248</v>
      </c>
      <c r="G373">
        <v>12968</v>
      </c>
      <c r="H373" s="32">
        <f t="shared" si="5"/>
        <v>3.4120913016656385</v>
      </c>
      <c r="I373">
        <v>1</v>
      </c>
      <c r="J373" t="s">
        <v>21</v>
      </c>
    </row>
    <row r="374" spans="1:10" x14ac:dyDescent="0.25">
      <c r="A374">
        <v>50437</v>
      </c>
      <c r="B374" t="s">
        <v>2644</v>
      </c>
      <c r="C374" t="s">
        <v>250</v>
      </c>
      <c r="D374" t="s">
        <v>2229</v>
      </c>
      <c r="E374" t="s">
        <v>2230</v>
      </c>
      <c r="F374">
        <v>17777</v>
      </c>
      <c r="G374">
        <v>5210</v>
      </c>
      <c r="H374" s="32">
        <f t="shared" si="5"/>
        <v>3.4120921305182343</v>
      </c>
      <c r="I374">
        <v>1</v>
      </c>
      <c r="J374" t="s">
        <v>21</v>
      </c>
    </row>
    <row r="375" spans="1:10" x14ac:dyDescent="0.25">
      <c r="A375">
        <v>10258</v>
      </c>
      <c r="B375" t="s">
        <v>2592</v>
      </c>
      <c r="C375" t="s">
        <v>708</v>
      </c>
      <c r="D375" t="s">
        <v>2229</v>
      </c>
      <c r="E375" t="s">
        <v>2230</v>
      </c>
      <c r="F375">
        <v>12055</v>
      </c>
      <c r="G375">
        <v>3533</v>
      </c>
      <c r="H375" s="32">
        <f t="shared" si="5"/>
        <v>3.4121143504104161</v>
      </c>
      <c r="I375">
        <v>1</v>
      </c>
      <c r="J375" t="s">
        <v>21</v>
      </c>
    </row>
    <row r="376" spans="1:10" x14ac:dyDescent="0.25">
      <c r="A376">
        <v>903</v>
      </c>
      <c r="B376" t="s">
        <v>2231</v>
      </c>
      <c r="C376" t="s">
        <v>166</v>
      </c>
      <c r="D376" t="s">
        <v>2229</v>
      </c>
      <c r="E376" t="s">
        <v>2230</v>
      </c>
      <c r="F376">
        <v>22056</v>
      </c>
      <c r="G376">
        <v>6464</v>
      </c>
      <c r="H376" s="32">
        <f t="shared" si="5"/>
        <v>3.4121287128712869</v>
      </c>
      <c r="I376">
        <v>1</v>
      </c>
      <c r="J376" t="s">
        <v>21</v>
      </c>
    </row>
    <row r="377" spans="1:10" x14ac:dyDescent="0.25">
      <c r="A377">
        <v>3421</v>
      </c>
      <c r="B377" t="s">
        <v>2442</v>
      </c>
      <c r="C377" t="s">
        <v>2029</v>
      </c>
      <c r="D377" t="s">
        <v>2229</v>
      </c>
      <c r="E377" t="s">
        <v>2230</v>
      </c>
      <c r="F377">
        <v>48541</v>
      </c>
      <c r="G377">
        <v>14226</v>
      </c>
      <c r="H377" s="32">
        <f t="shared" si="5"/>
        <v>3.4121327147476452</v>
      </c>
      <c r="I377">
        <v>1</v>
      </c>
      <c r="J377" t="s">
        <v>21</v>
      </c>
    </row>
    <row r="378" spans="1:10" x14ac:dyDescent="0.25">
      <c r="A378">
        <v>54655</v>
      </c>
      <c r="B378" t="s">
        <v>2716</v>
      </c>
      <c r="C378" t="s">
        <v>201</v>
      </c>
      <c r="D378" t="s">
        <v>2229</v>
      </c>
      <c r="E378" t="s">
        <v>2230</v>
      </c>
      <c r="F378">
        <v>36445</v>
      </c>
      <c r="G378">
        <v>10681</v>
      </c>
      <c r="H378" s="32">
        <f t="shared" si="5"/>
        <v>3.4121336953468777</v>
      </c>
      <c r="I378">
        <v>1</v>
      </c>
      <c r="J378" t="s">
        <v>21</v>
      </c>
    </row>
    <row r="379" spans="1:10" x14ac:dyDescent="0.25">
      <c r="A379">
        <v>10181</v>
      </c>
      <c r="B379" t="s">
        <v>2583</v>
      </c>
      <c r="C379" t="s">
        <v>708</v>
      </c>
      <c r="D379" t="s">
        <v>2229</v>
      </c>
      <c r="E379" t="s">
        <v>2230</v>
      </c>
      <c r="F379">
        <v>11922</v>
      </c>
      <c r="G379">
        <v>3494</v>
      </c>
      <c r="H379" s="32">
        <f t="shared" si="5"/>
        <v>3.412135088723526</v>
      </c>
      <c r="I379">
        <v>1</v>
      </c>
      <c r="J379" t="s">
        <v>21</v>
      </c>
    </row>
    <row r="380" spans="1:10" x14ac:dyDescent="0.25">
      <c r="A380">
        <v>10546</v>
      </c>
      <c r="B380" t="s">
        <v>2603</v>
      </c>
      <c r="C380" t="s">
        <v>143</v>
      </c>
      <c r="D380" t="s">
        <v>2229</v>
      </c>
      <c r="E380" t="s">
        <v>2230</v>
      </c>
      <c r="F380">
        <v>15126</v>
      </c>
      <c r="G380">
        <v>4433</v>
      </c>
      <c r="H380" s="32">
        <f t="shared" si="5"/>
        <v>3.4121362508459283</v>
      </c>
      <c r="I380">
        <v>1</v>
      </c>
      <c r="J380" t="s">
        <v>21</v>
      </c>
    </row>
    <row r="381" spans="1:10" x14ac:dyDescent="0.25">
      <c r="A381">
        <v>62747</v>
      </c>
      <c r="B381" t="s">
        <v>4220</v>
      </c>
      <c r="C381" t="s">
        <v>266</v>
      </c>
      <c r="D381" t="s">
        <v>2229</v>
      </c>
      <c r="E381" t="s">
        <v>2230</v>
      </c>
      <c r="F381">
        <v>27321</v>
      </c>
      <c r="G381">
        <v>8007</v>
      </c>
      <c r="H381" s="32">
        <f t="shared" si="5"/>
        <v>3.4121393780442113</v>
      </c>
      <c r="I381">
        <v>1</v>
      </c>
      <c r="J381" t="s">
        <v>21</v>
      </c>
    </row>
    <row r="382" spans="1:10" x14ac:dyDescent="0.25">
      <c r="A382">
        <v>1785</v>
      </c>
      <c r="B382" t="s">
        <v>2335</v>
      </c>
      <c r="C382" t="s">
        <v>250</v>
      </c>
      <c r="D382" t="s">
        <v>2229</v>
      </c>
      <c r="E382" t="s">
        <v>2230</v>
      </c>
      <c r="F382">
        <v>20350</v>
      </c>
      <c r="G382">
        <v>5964</v>
      </c>
      <c r="H382" s="32">
        <f t="shared" si="5"/>
        <v>3.4121395036887994</v>
      </c>
      <c r="I382">
        <v>1</v>
      </c>
      <c r="J382" t="s">
        <v>21</v>
      </c>
    </row>
    <row r="383" spans="1:10" x14ac:dyDescent="0.25">
      <c r="A383">
        <v>998</v>
      </c>
      <c r="B383" t="s">
        <v>2265</v>
      </c>
      <c r="C383" t="s">
        <v>131</v>
      </c>
      <c r="D383" t="s">
        <v>2229</v>
      </c>
      <c r="E383" t="s">
        <v>2230</v>
      </c>
      <c r="F383">
        <v>41062</v>
      </c>
      <c r="G383">
        <v>12034</v>
      </c>
      <c r="H383" s="32">
        <f t="shared" si="5"/>
        <v>3.4121655309955128</v>
      </c>
      <c r="I383">
        <v>1</v>
      </c>
      <c r="J383" t="s">
        <v>21</v>
      </c>
    </row>
    <row r="384" spans="1:10" x14ac:dyDescent="0.25">
      <c r="A384">
        <v>1760</v>
      </c>
      <c r="B384" t="s">
        <v>2323</v>
      </c>
      <c r="C384" t="s">
        <v>250</v>
      </c>
      <c r="D384" t="s">
        <v>2229</v>
      </c>
      <c r="E384" t="s">
        <v>2230</v>
      </c>
      <c r="F384">
        <v>13287</v>
      </c>
      <c r="G384">
        <v>3894</v>
      </c>
      <c r="H384" s="32">
        <f t="shared" si="5"/>
        <v>3.4121725731895225</v>
      </c>
      <c r="I384">
        <v>1</v>
      </c>
      <c r="J384" t="s">
        <v>21</v>
      </c>
    </row>
    <row r="385" spans="1:10" x14ac:dyDescent="0.25">
      <c r="A385">
        <v>69632</v>
      </c>
      <c r="B385" t="s">
        <v>5385</v>
      </c>
      <c r="C385" t="s">
        <v>250</v>
      </c>
      <c r="D385" t="s">
        <v>2229</v>
      </c>
      <c r="E385" t="s">
        <v>2230</v>
      </c>
      <c r="F385">
        <v>9404</v>
      </c>
      <c r="G385">
        <v>2756</v>
      </c>
      <c r="H385" s="32">
        <f t="shared" si="5"/>
        <v>3.4121915820029027</v>
      </c>
      <c r="I385">
        <v>1</v>
      </c>
      <c r="J385" t="s">
        <v>21</v>
      </c>
    </row>
    <row r="386" spans="1:10" x14ac:dyDescent="0.25">
      <c r="A386">
        <v>10656</v>
      </c>
      <c r="B386" t="s">
        <v>2607</v>
      </c>
      <c r="C386" t="s">
        <v>250</v>
      </c>
      <c r="D386" t="s">
        <v>2229</v>
      </c>
      <c r="E386" t="s">
        <v>2230</v>
      </c>
      <c r="F386">
        <v>8841</v>
      </c>
      <c r="G386">
        <v>2591</v>
      </c>
      <c r="H386" s="32">
        <f t="shared" ref="H386:H449" si="6">IF(AND(F386&gt;0,G386&gt;0),F386/G386,"")</f>
        <v>3.4121960632960247</v>
      </c>
      <c r="I386">
        <v>1</v>
      </c>
      <c r="J386" t="s">
        <v>21</v>
      </c>
    </row>
    <row r="387" spans="1:10" x14ac:dyDescent="0.25">
      <c r="A387">
        <v>6544</v>
      </c>
      <c r="B387" t="s">
        <v>2501</v>
      </c>
      <c r="C387" t="s">
        <v>118</v>
      </c>
      <c r="D387" t="s">
        <v>2229</v>
      </c>
      <c r="E387" t="s">
        <v>2230</v>
      </c>
      <c r="F387">
        <v>22309</v>
      </c>
      <c r="G387">
        <v>6538</v>
      </c>
      <c r="H387" s="32">
        <f t="shared" si="6"/>
        <v>3.4122055674518199</v>
      </c>
      <c r="I387">
        <v>1</v>
      </c>
      <c r="J387" t="s">
        <v>21</v>
      </c>
    </row>
    <row r="388" spans="1:10" x14ac:dyDescent="0.25">
      <c r="A388">
        <v>3789</v>
      </c>
      <c r="B388" t="s">
        <v>2455</v>
      </c>
      <c r="C388" t="s">
        <v>201</v>
      </c>
      <c r="D388" t="s">
        <v>2229</v>
      </c>
      <c r="E388" t="s">
        <v>2230</v>
      </c>
      <c r="F388">
        <v>13902</v>
      </c>
      <c r="G388">
        <v>4074</v>
      </c>
      <c r="H388" s="32">
        <f t="shared" si="6"/>
        <v>3.4123711340206184</v>
      </c>
      <c r="I388">
        <v>1</v>
      </c>
      <c r="J388" t="s">
        <v>21</v>
      </c>
    </row>
    <row r="389" spans="1:10" x14ac:dyDescent="0.25">
      <c r="A389">
        <v>1844</v>
      </c>
      <c r="B389" t="s">
        <v>2341</v>
      </c>
      <c r="C389" t="s">
        <v>250</v>
      </c>
      <c r="D389" t="s">
        <v>2229</v>
      </c>
      <c r="E389" t="s">
        <v>2230</v>
      </c>
      <c r="F389">
        <v>3522</v>
      </c>
      <c r="G389">
        <v>1032</v>
      </c>
      <c r="H389" s="32">
        <f t="shared" si="6"/>
        <v>3.4127906976744184</v>
      </c>
      <c r="I389">
        <v>1</v>
      </c>
      <c r="J389" t="s">
        <v>21</v>
      </c>
    </row>
    <row r="390" spans="1:10" x14ac:dyDescent="0.25">
      <c r="A390">
        <v>2715</v>
      </c>
      <c r="B390" t="s">
        <v>2362</v>
      </c>
      <c r="C390" t="s">
        <v>708</v>
      </c>
      <c r="D390" t="s">
        <v>2229</v>
      </c>
      <c r="E390" t="s">
        <v>2230</v>
      </c>
      <c r="F390">
        <v>986647</v>
      </c>
      <c r="G390">
        <v>289085</v>
      </c>
      <c r="H390" s="32">
        <f t="shared" si="6"/>
        <v>3.4129996367850288</v>
      </c>
      <c r="I390">
        <v>1</v>
      </c>
      <c r="J390" t="s">
        <v>21</v>
      </c>
    </row>
    <row r="391" spans="1:10" x14ac:dyDescent="0.25">
      <c r="A391">
        <v>2747</v>
      </c>
      <c r="B391" t="s">
        <v>2376</v>
      </c>
      <c r="C391" t="s">
        <v>708</v>
      </c>
      <c r="D391" t="s">
        <v>2229</v>
      </c>
      <c r="E391" t="s">
        <v>2230</v>
      </c>
      <c r="F391">
        <v>643011</v>
      </c>
      <c r="G391">
        <v>188393</v>
      </c>
      <c r="H391" s="32">
        <f t="shared" si="6"/>
        <v>3.4131363691856915</v>
      </c>
      <c r="I391">
        <v>1</v>
      </c>
      <c r="J391" t="s">
        <v>21</v>
      </c>
    </row>
    <row r="392" spans="1:10" x14ac:dyDescent="0.25">
      <c r="A392">
        <v>7116</v>
      </c>
      <c r="B392" t="s">
        <v>2512</v>
      </c>
      <c r="C392" t="s">
        <v>250</v>
      </c>
      <c r="D392" t="s">
        <v>2229</v>
      </c>
      <c r="E392" t="s">
        <v>2230</v>
      </c>
      <c r="F392">
        <v>90394</v>
      </c>
      <c r="G392">
        <v>26483</v>
      </c>
      <c r="H392" s="32">
        <f t="shared" si="6"/>
        <v>3.4132839935052677</v>
      </c>
      <c r="I392">
        <v>1</v>
      </c>
      <c r="J392" t="s">
        <v>21</v>
      </c>
    </row>
    <row r="393" spans="1:10" x14ac:dyDescent="0.25">
      <c r="A393">
        <v>1354</v>
      </c>
      <c r="B393" t="s">
        <v>2275</v>
      </c>
      <c r="C393" t="s">
        <v>266</v>
      </c>
      <c r="D393" t="s">
        <v>2229</v>
      </c>
      <c r="E393" t="s">
        <v>2230</v>
      </c>
      <c r="F393">
        <v>357278</v>
      </c>
      <c r="G393">
        <v>104663</v>
      </c>
      <c r="H393" s="32">
        <f t="shared" si="6"/>
        <v>3.4136036612747582</v>
      </c>
      <c r="I393">
        <v>1</v>
      </c>
      <c r="J393" t="s">
        <v>21</v>
      </c>
    </row>
    <row r="394" spans="1:10" x14ac:dyDescent="0.25">
      <c r="A394">
        <v>6171</v>
      </c>
      <c r="B394" t="s">
        <v>2489</v>
      </c>
      <c r="C394" t="s">
        <v>266</v>
      </c>
      <c r="D394" t="s">
        <v>2229</v>
      </c>
      <c r="E394" t="s">
        <v>2230</v>
      </c>
      <c r="F394">
        <v>303013</v>
      </c>
      <c r="G394">
        <v>88759</v>
      </c>
      <c r="H394" s="32">
        <f t="shared" si="6"/>
        <v>3.4138847891481428</v>
      </c>
      <c r="I394">
        <v>1</v>
      </c>
      <c r="J394" t="s">
        <v>21</v>
      </c>
    </row>
    <row r="395" spans="1:10" x14ac:dyDescent="0.25">
      <c r="A395">
        <v>7115</v>
      </c>
      <c r="B395" t="s">
        <v>2511</v>
      </c>
      <c r="C395" t="s">
        <v>250</v>
      </c>
      <c r="D395" t="s">
        <v>2229</v>
      </c>
      <c r="E395" t="s">
        <v>2230</v>
      </c>
      <c r="F395">
        <v>46786</v>
      </c>
      <c r="G395">
        <v>13704</v>
      </c>
      <c r="H395" s="32">
        <f t="shared" si="6"/>
        <v>3.4140396964389961</v>
      </c>
      <c r="I395">
        <v>1</v>
      </c>
      <c r="J395" t="s">
        <v>21</v>
      </c>
    </row>
    <row r="396" spans="1:10" x14ac:dyDescent="0.25">
      <c r="A396">
        <v>6438</v>
      </c>
      <c r="B396" t="s">
        <v>2499</v>
      </c>
      <c r="C396" t="s">
        <v>708</v>
      </c>
      <c r="D396" t="s">
        <v>2229</v>
      </c>
      <c r="E396" t="s">
        <v>2230</v>
      </c>
      <c r="F396">
        <v>9125</v>
      </c>
      <c r="G396">
        <v>2672</v>
      </c>
      <c r="H396" s="32">
        <f t="shared" si="6"/>
        <v>3.4150449101796405</v>
      </c>
      <c r="I396">
        <v>1</v>
      </c>
      <c r="J396" t="s">
        <v>21</v>
      </c>
    </row>
    <row r="397" spans="1:10" x14ac:dyDescent="0.25">
      <c r="A397">
        <v>50479</v>
      </c>
      <c r="B397" t="s">
        <v>1977</v>
      </c>
      <c r="C397" t="s">
        <v>201</v>
      </c>
      <c r="D397" t="s">
        <v>2229</v>
      </c>
      <c r="E397" t="s">
        <v>2230</v>
      </c>
      <c r="F397">
        <v>386</v>
      </c>
      <c r="G397">
        <v>113</v>
      </c>
      <c r="H397" s="32">
        <f t="shared" si="6"/>
        <v>3.415929203539823</v>
      </c>
      <c r="I397">
        <v>1</v>
      </c>
      <c r="J397" t="s">
        <v>21</v>
      </c>
    </row>
    <row r="398" spans="1:10" x14ac:dyDescent="0.25">
      <c r="A398">
        <v>2719</v>
      </c>
      <c r="B398" t="s">
        <v>2364</v>
      </c>
      <c r="C398" t="s">
        <v>708</v>
      </c>
      <c r="D398" t="s">
        <v>2229</v>
      </c>
      <c r="E398" t="s">
        <v>2230</v>
      </c>
      <c r="F398">
        <v>95605</v>
      </c>
      <c r="G398">
        <v>27983</v>
      </c>
      <c r="H398" s="32">
        <f t="shared" si="6"/>
        <v>3.4165386127291568</v>
      </c>
      <c r="I398">
        <v>1</v>
      </c>
      <c r="J398" t="s">
        <v>21</v>
      </c>
    </row>
    <row r="399" spans="1:10" x14ac:dyDescent="0.25">
      <c r="A399">
        <v>1708</v>
      </c>
      <c r="B399" t="s">
        <v>2300</v>
      </c>
      <c r="C399" t="s">
        <v>250</v>
      </c>
      <c r="D399" t="s">
        <v>2229</v>
      </c>
      <c r="E399" t="s">
        <v>2230</v>
      </c>
      <c r="F399">
        <v>74306</v>
      </c>
      <c r="G399">
        <v>21685</v>
      </c>
      <c r="H399" s="32">
        <f t="shared" si="6"/>
        <v>3.4266082545538392</v>
      </c>
      <c r="I399">
        <v>1</v>
      </c>
      <c r="J399" t="s">
        <v>21</v>
      </c>
    </row>
    <row r="400" spans="1:10" x14ac:dyDescent="0.25">
      <c r="A400">
        <v>3153</v>
      </c>
      <c r="B400" t="s">
        <v>2407</v>
      </c>
      <c r="C400" t="s">
        <v>143</v>
      </c>
      <c r="D400" t="s">
        <v>2229</v>
      </c>
      <c r="E400" t="s">
        <v>2230</v>
      </c>
      <c r="F400">
        <v>232440</v>
      </c>
      <c r="G400">
        <v>67322</v>
      </c>
      <c r="H400" s="32">
        <f t="shared" si="6"/>
        <v>3.4526603487715755</v>
      </c>
      <c r="I400">
        <v>1</v>
      </c>
      <c r="J400" t="s">
        <v>21</v>
      </c>
    </row>
    <row r="401" spans="1:10" x14ac:dyDescent="0.25">
      <c r="A401">
        <v>3426</v>
      </c>
      <c r="B401" t="s">
        <v>2445</v>
      </c>
      <c r="C401" t="s">
        <v>2029</v>
      </c>
      <c r="D401" t="s">
        <v>2229</v>
      </c>
      <c r="E401" t="s">
        <v>2230</v>
      </c>
      <c r="F401">
        <v>1121664</v>
      </c>
      <c r="G401">
        <v>324741</v>
      </c>
      <c r="H401" s="32">
        <f t="shared" si="6"/>
        <v>3.4540264395318117</v>
      </c>
      <c r="I401">
        <v>1</v>
      </c>
      <c r="J401" t="s">
        <v>21</v>
      </c>
    </row>
    <row r="402" spans="1:10" x14ac:dyDescent="0.25">
      <c r="A402">
        <v>7821</v>
      </c>
      <c r="B402" t="s">
        <v>2551</v>
      </c>
      <c r="C402" t="s">
        <v>250</v>
      </c>
      <c r="D402" t="s">
        <v>2229</v>
      </c>
      <c r="E402" t="s">
        <v>2230</v>
      </c>
      <c r="F402">
        <v>5892</v>
      </c>
      <c r="G402">
        <v>1696</v>
      </c>
      <c r="H402" s="32">
        <f t="shared" si="6"/>
        <v>3.4740566037735849</v>
      </c>
      <c r="I402">
        <v>1</v>
      </c>
      <c r="J402" t="s">
        <v>21</v>
      </c>
    </row>
    <row r="403" spans="1:10" x14ac:dyDescent="0.25">
      <c r="A403">
        <v>1567</v>
      </c>
      <c r="B403" t="s">
        <v>2288</v>
      </c>
      <c r="C403" t="s">
        <v>307</v>
      </c>
      <c r="D403" t="s">
        <v>2229</v>
      </c>
      <c r="E403" t="s">
        <v>2230</v>
      </c>
      <c r="F403">
        <v>54237</v>
      </c>
      <c r="G403">
        <v>14412</v>
      </c>
      <c r="H403" s="32">
        <f t="shared" si="6"/>
        <v>3.7633222314737718</v>
      </c>
      <c r="I403">
        <v>1</v>
      </c>
      <c r="J403" t="s">
        <v>21</v>
      </c>
    </row>
    <row r="404" spans="1:10" x14ac:dyDescent="0.25">
      <c r="A404">
        <v>10244</v>
      </c>
      <c r="B404" t="s">
        <v>2586</v>
      </c>
      <c r="C404" t="s">
        <v>322</v>
      </c>
      <c r="D404" t="s">
        <v>2218</v>
      </c>
      <c r="E404" t="s">
        <v>2326</v>
      </c>
      <c r="F404">
        <v>7473</v>
      </c>
      <c r="G404">
        <v>1598.8440000000001</v>
      </c>
      <c r="H404" s="32">
        <f t="shared" si="6"/>
        <v>4.6740019664207386</v>
      </c>
      <c r="I404">
        <v>1</v>
      </c>
      <c r="J404" t="s">
        <v>21</v>
      </c>
    </row>
    <row r="405" spans="1:10" x14ac:dyDescent="0.25">
      <c r="A405">
        <v>6041</v>
      </c>
      <c r="B405" t="s">
        <v>1633</v>
      </c>
      <c r="C405" t="s">
        <v>266</v>
      </c>
      <c r="D405" t="s">
        <v>2218</v>
      </c>
      <c r="E405" t="s">
        <v>2326</v>
      </c>
      <c r="F405">
        <v>334303</v>
      </c>
      <c r="G405">
        <v>33492.550999999999</v>
      </c>
      <c r="H405" s="32">
        <f t="shared" si="6"/>
        <v>9.9814134790747957</v>
      </c>
      <c r="I405">
        <v>1</v>
      </c>
      <c r="J405" t="s">
        <v>21</v>
      </c>
    </row>
    <row r="406" spans="1:10" x14ac:dyDescent="0.25">
      <c r="A406">
        <v>50888</v>
      </c>
      <c r="B406" t="s">
        <v>2128</v>
      </c>
      <c r="C406" t="s">
        <v>143</v>
      </c>
      <c r="D406" t="s">
        <v>2218</v>
      </c>
      <c r="E406" t="s">
        <v>2326</v>
      </c>
      <c r="F406">
        <v>104312</v>
      </c>
      <c r="G406">
        <v>8394.2970000000005</v>
      </c>
      <c r="H406" s="32">
        <f t="shared" si="6"/>
        <v>12.426531965690515</v>
      </c>
      <c r="I406">
        <v>1</v>
      </c>
      <c r="J406" t="s">
        <v>21</v>
      </c>
    </row>
    <row r="407" spans="1:10" x14ac:dyDescent="0.25">
      <c r="A407">
        <v>50770</v>
      </c>
      <c r="B407" t="s">
        <v>2667</v>
      </c>
      <c r="C407" t="s">
        <v>250</v>
      </c>
      <c r="D407" t="s">
        <v>2218</v>
      </c>
      <c r="E407" t="s">
        <v>2326</v>
      </c>
      <c r="F407">
        <v>168445</v>
      </c>
      <c r="G407">
        <v>12148.51</v>
      </c>
      <c r="H407" s="32">
        <f t="shared" si="6"/>
        <v>13.865486384750064</v>
      </c>
      <c r="I407">
        <v>1</v>
      </c>
      <c r="J407" t="s">
        <v>21</v>
      </c>
    </row>
    <row r="408" spans="1:10" x14ac:dyDescent="0.25">
      <c r="A408">
        <v>1772</v>
      </c>
      <c r="B408" t="s">
        <v>2325</v>
      </c>
      <c r="C408" t="s">
        <v>250</v>
      </c>
      <c r="D408" t="s">
        <v>2218</v>
      </c>
      <c r="E408" t="s">
        <v>2326</v>
      </c>
      <c r="F408">
        <v>58406</v>
      </c>
      <c r="G408">
        <v>3149.4639999999999</v>
      </c>
      <c r="H408" s="32">
        <f t="shared" si="6"/>
        <v>18.544742851482031</v>
      </c>
      <c r="I408">
        <v>1</v>
      </c>
      <c r="J408" t="s">
        <v>21</v>
      </c>
    </row>
    <row r="409" spans="1:10" x14ac:dyDescent="0.25">
      <c r="A409">
        <v>62451</v>
      </c>
      <c r="B409" t="s">
        <v>4160</v>
      </c>
      <c r="C409" t="s">
        <v>166</v>
      </c>
      <c r="D409" t="s">
        <v>2241</v>
      </c>
      <c r="E409" t="s">
        <v>2242</v>
      </c>
      <c r="F409">
        <v>15</v>
      </c>
      <c r="G409">
        <v>5</v>
      </c>
      <c r="H409" s="32">
        <f t="shared" si="6"/>
        <v>3</v>
      </c>
      <c r="I409">
        <v>1</v>
      </c>
      <c r="J409" t="s">
        <v>21</v>
      </c>
    </row>
    <row r="410" spans="1:10" x14ac:dyDescent="0.25">
      <c r="A410">
        <v>67391</v>
      </c>
      <c r="B410" t="s">
        <v>5088</v>
      </c>
      <c r="C410" t="s">
        <v>672</v>
      </c>
      <c r="D410" t="s">
        <v>2241</v>
      </c>
      <c r="E410" t="s">
        <v>2242</v>
      </c>
      <c r="F410">
        <v>3</v>
      </c>
      <c r="G410">
        <v>1</v>
      </c>
      <c r="H410" s="32">
        <f t="shared" si="6"/>
        <v>3</v>
      </c>
      <c r="I410">
        <v>1</v>
      </c>
      <c r="J410" t="s">
        <v>21</v>
      </c>
    </row>
    <row r="411" spans="1:10" x14ac:dyDescent="0.25">
      <c r="A411">
        <v>69646</v>
      </c>
      <c r="B411" t="s">
        <v>5387</v>
      </c>
      <c r="C411" t="s">
        <v>166</v>
      </c>
      <c r="D411" t="s">
        <v>2241</v>
      </c>
      <c r="E411" t="s">
        <v>2242</v>
      </c>
      <c r="F411">
        <v>3</v>
      </c>
      <c r="G411">
        <v>1</v>
      </c>
      <c r="H411" s="32">
        <f t="shared" si="6"/>
        <v>3</v>
      </c>
      <c r="I411">
        <v>1</v>
      </c>
      <c r="J411" t="s">
        <v>21</v>
      </c>
    </row>
    <row r="412" spans="1:10" x14ac:dyDescent="0.25">
      <c r="A412">
        <v>58796</v>
      </c>
      <c r="B412" t="s">
        <v>3282</v>
      </c>
      <c r="C412" t="s">
        <v>131</v>
      </c>
      <c r="D412" t="s">
        <v>2241</v>
      </c>
      <c r="E412" t="s">
        <v>2242</v>
      </c>
      <c r="F412">
        <v>10</v>
      </c>
      <c r="G412">
        <v>3</v>
      </c>
      <c r="H412" s="32">
        <f t="shared" si="6"/>
        <v>3.3333333333333335</v>
      </c>
      <c r="I412">
        <v>1</v>
      </c>
      <c r="J412" t="s">
        <v>21</v>
      </c>
    </row>
    <row r="413" spans="1:10" x14ac:dyDescent="0.25">
      <c r="A413">
        <v>67219</v>
      </c>
      <c r="B413" t="s">
        <v>5064</v>
      </c>
      <c r="C413" t="s">
        <v>201</v>
      </c>
      <c r="D413" t="s">
        <v>2241</v>
      </c>
      <c r="E413" t="s">
        <v>2242</v>
      </c>
      <c r="F413">
        <v>10</v>
      </c>
      <c r="G413">
        <v>3</v>
      </c>
      <c r="H413" s="32">
        <f t="shared" si="6"/>
        <v>3.3333333333333335</v>
      </c>
      <c r="I413">
        <v>1</v>
      </c>
      <c r="J413" t="s">
        <v>21</v>
      </c>
    </row>
    <row r="414" spans="1:10" x14ac:dyDescent="0.25">
      <c r="A414">
        <v>68544</v>
      </c>
      <c r="B414" t="s">
        <v>5244</v>
      </c>
      <c r="C414" t="s">
        <v>166</v>
      </c>
      <c r="D414" t="s">
        <v>2241</v>
      </c>
      <c r="E414" t="s">
        <v>2242</v>
      </c>
      <c r="F414">
        <v>20</v>
      </c>
      <c r="G414">
        <v>6</v>
      </c>
      <c r="H414" s="32">
        <f t="shared" si="6"/>
        <v>3.3333333333333335</v>
      </c>
      <c r="I414">
        <v>1</v>
      </c>
      <c r="J414" t="s">
        <v>21</v>
      </c>
    </row>
    <row r="415" spans="1:10" x14ac:dyDescent="0.25">
      <c r="A415">
        <v>68756</v>
      </c>
      <c r="B415" t="s">
        <v>5257</v>
      </c>
      <c r="C415" t="s">
        <v>166</v>
      </c>
      <c r="D415" t="s">
        <v>2241</v>
      </c>
      <c r="E415" t="s">
        <v>2242</v>
      </c>
      <c r="F415">
        <v>30</v>
      </c>
      <c r="G415">
        <v>9</v>
      </c>
      <c r="H415" s="32">
        <f t="shared" si="6"/>
        <v>3.3333333333333335</v>
      </c>
      <c r="I415">
        <v>1</v>
      </c>
      <c r="J415" t="s">
        <v>21</v>
      </c>
    </row>
    <row r="416" spans="1:10" x14ac:dyDescent="0.25">
      <c r="A416">
        <v>69536</v>
      </c>
      <c r="B416" t="s">
        <v>5374</v>
      </c>
      <c r="C416" t="s">
        <v>2029</v>
      </c>
      <c r="D416" t="s">
        <v>2241</v>
      </c>
      <c r="E416" t="s">
        <v>2242</v>
      </c>
      <c r="F416">
        <v>20</v>
      </c>
      <c r="G416">
        <v>6</v>
      </c>
      <c r="H416" s="32">
        <f t="shared" si="6"/>
        <v>3.3333333333333335</v>
      </c>
      <c r="I416">
        <v>1</v>
      </c>
      <c r="J416" t="s">
        <v>21</v>
      </c>
    </row>
    <row r="417" spans="1:10" x14ac:dyDescent="0.25">
      <c r="A417">
        <v>69696</v>
      </c>
      <c r="B417" t="s">
        <v>5392</v>
      </c>
      <c r="C417" t="s">
        <v>241</v>
      </c>
      <c r="D417" t="s">
        <v>2241</v>
      </c>
      <c r="E417" t="s">
        <v>2242</v>
      </c>
      <c r="F417">
        <v>20</v>
      </c>
      <c r="G417">
        <v>6</v>
      </c>
      <c r="H417" s="32">
        <f t="shared" si="6"/>
        <v>3.3333333333333335</v>
      </c>
      <c r="I417">
        <v>1</v>
      </c>
      <c r="J417" t="s">
        <v>21</v>
      </c>
    </row>
    <row r="418" spans="1:10" x14ac:dyDescent="0.25">
      <c r="A418">
        <v>69314</v>
      </c>
      <c r="B418" t="s">
        <v>5349</v>
      </c>
      <c r="C418" t="s">
        <v>166</v>
      </c>
      <c r="D418" t="s">
        <v>2241</v>
      </c>
      <c r="E418" t="s">
        <v>2242</v>
      </c>
      <c r="F418">
        <v>44</v>
      </c>
      <c r="G418">
        <v>13</v>
      </c>
      <c r="H418" s="32">
        <f t="shared" si="6"/>
        <v>3.3846153846153846</v>
      </c>
      <c r="I418">
        <v>1</v>
      </c>
      <c r="J418" t="s">
        <v>21</v>
      </c>
    </row>
    <row r="419" spans="1:10" x14ac:dyDescent="0.25">
      <c r="A419">
        <v>59683</v>
      </c>
      <c r="B419" t="s">
        <v>3561</v>
      </c>
      <c r="C419" t="s">
        <v>322</v>
      </c>
      <c r="D419" t="s">
        <v>2241</v>
      </c>
      <c r="E419" t="s">
        <v>2242</v>
      </c>
      <c r="F419">
        <v>480</v>
      </c>
      <c r="G419">
        <v>141</v>
      </c>
      <c r="H419" s="32">
        <f t="shared" si="6"/>
        <v>3.4042553191489362</v>
      </c>
      <c r="I419">
        <v>1</v>
      </c>
      <c r="J419" t="s">
        <v>21</v>
      </c>
    </row>
    <row r="420" spans="1:10" x14ac:dyDescent="0.25">
      <c r="A420">
        <v>61822</v>
      </c>
      <c r="B420" t="s">
        <v>4071</v>
      </c>
      <c r="C420" t="s">
        <v>241</v>
      </c>
      <c r="D420" t="s">
        <v>2241</v>
      </c>
      <c r="E420" t="s">
        <v>2242</v>
      </c>
      <c r="F420">
        <v>531</v>
      </c>
      <c r="G420">
        <v>155.94</v>
      </c>
      <c r="H420" s="32">
        <f t="shared" si="6"/>
        <v>3.4051558291650634</v>
      </c>
      <c r="I420">
        <v>1</v>
      </c>
      <c r="J420" t="s">
        <v>21</v>
      </c>
    </row>
    <row r="421" spans="1:10" x14ac:dyDescent="0.25">
      <c r="A421">
        <v>62677</v>
      </c>
      <c r="B421" t="s">
        <v>4203</v>
      </c>
      <c r="C421" t="s">
        <v>250</v>
      </c>
      <c r="D421" t="s">
        <v>2241</v>
      </c>
      <c r="E421" t="s">
        <v>2242</v>
      </c>
      <c r="F421">
        <v>899</v>
      </c>
      <c r="G421">
        <v>264</v>
      </c>
      <c r="H421" s="32">
        <f t="shared" si="6"/>
        <v>3.4053030303030303</v>
      </c>
      <c r="I421">
        <v>1</v>
      </c>
      <c r="J421" t="s">
        <v>21</v>
      </c>
    </row>
    <row r="422" spans="1:10" x14ac:dyDescent="0.25">
      <c r="A422">
        <v>69241</v>
      </c>
      <c r="B422" t="s">
        <v>5346</v>
      </c>
      <c r="C422" t="s">
        <v>166</v>
      </c>
      <c r="D422" t="s">
        <v>2241</v>
      </c>
      <c r="E422" t="s">
        <v>2242</v>
      </c>
      <c r="F422">
        <v>126</v>
      </c>
      <c r="G422">
        <v>37</v>
      </c>
      <c r="H422" s="32">
        <f t="shared" si="6"/>
        <v>3.4054054054054053</v>
      </c>
      <c r="I422">
        <v>1</v>
      </c>
      <c r="J422" t="s">
        <v>21</v>
      </c>
    </row>
    <row r="423" spans="1:10" x14ac:dyDescent="0.25">
      <c r="A423">
        <v>69587</v>
      </c>
      <c r="B423" t="s">
        <v>5381</v>
      </c>
      <c r="C423" t="s">
        <v>166</v>
      </c>
      <c r="D423" t="s">
        <v>2241</v>
      </c>
      <c r="E423" t="s">
        <v>2242</v>
      </c>
      <c r="F423">
        <v>145</v>
      </c>
      <c r="G423">
        <v>42.57</v>
      </c>
      <c r="H423" s="32">
        <f t="shared" si="6"/>
        <v>3.4061545689452668</v>
      </c>
      <c r="I423">
        <v>1</v>
      </c>
      <c r="J423" t="s">
        <v>21</v>
      </c>
    </row>
    <row r="424" spans="1:10" x14ac:dyDescent="0.25">
      <c r="A424">
        <v>67713</v>
      </c>
      <c r="B424" t="s">
        <v>5154</v>
      </c>
      <c r="C424" t="s">
        <v>166</v>
      </c>
      <c r="D424" t="s">
        <v>2241</v>
      </c>
      <c r="E424" t="s">
        <v>2242</v>
      </c>
      <c r="F424">
        <v>218</v>
      </c>
      <c r="G424">
        <v>64</v>
      </c>
      <c r="H424" s="32">
        <f t="shared" si="6"/>
        <v>3.40625</v>
      </c>
      <c r="I424">
        <v>1</v>
      </c>
      <c r="J424" t="s">
        <v>21</v>
      </c>
    </row>
    <row r="425" spans="1:10" x14ac:dyDescent="0.25">
      <c r="A425">
        <v>61819</v>
      </c>
      <c r="B425" t="s">
        <v>4070</v>
      </c>
      <c r="C425" t="s">
        <v>143</v>
      </c>
      <c r="D425" t="s">
        <v>2241</v>
      </c>
      <c r="E425" t="s">
        <v>2242</v>
      </c>
      <c r="F425">
        <v>603</v>
      </c>
      <c r="G425">
        <v>177</v>
      </c>
      <c r="H425" s="32">
        <f t="shared" si="6"/>
        <v>3.406779661016949</v>
      </c>
      <c r="I425">
        <v>1</v>
      </c>
      <c r="J425" t="s">
        <v>21</v>
      </c>
    </row>
    <row r="426" spans="1:10" x14ac:dyDescent="0.25">
      <c r="A426">
        <v>69240</v>
      </c>
      <c r="B426" t="s">
        <v>5345</v>
      </c>
      <c r="C426" t="s">
        <v>166</v>
      </c>
      <c r="D426" t="s">
        <v>2241</v>
      </c>
      <c r="E426" t="s">
        <v>2242</v>
      </c>
      <c r="F426">
        <v>368</v>
      </c>
      <c r="G426">
        <v>108</v>
      </c>
      <c r="H426" s="32">
        <f t="shared" si="6"/>
        <v>3.4074074074074074</v>
      </c>
      <c r="I426">
        <v>1</v>
      </c>
      <c r="J426" t="s">
        <v>21</v>
      </c>
    </row>
    <row r="427" spans="1:10" x14ac:dyDescent="0.25">
      <c r="A427">
        <v>58795</v>
      </c>
      <c r="B427" t="s">
        <v>3281</v>
      </c>
      <c r="C427" t="s">
        <v>131</v>
      </c>
      <c r="D427" t="s">
        <v>2241</v>
      </c>
      <c r="E427" t="s">
        <v>2242</v>
      </c>
      <c r="F427">
        <v>167</v>
      </c>
      <c r="G427">
        <v>49</v>
      </c>
      <c r="H427" s="32">
        <f t="shared" si="6"/>
        <v>3.4081632653061225</v>
      </c>
      <c r="I427">
        <v>1</v>
      </c>
      <c r="J427" t="s">
        <v>21</v>
      </c>
    </row>
    <row r="428" spans="1:10" x14ac:dyDescent="0.25">
      <c r="A428">
        <v>67583</v>
      </c>
      <c r="B428" t="s">
        <v>5117</v>
      </c>
      <c r="C428" t="s">
        <v>3055</v>
      </c>
      <c r="D428" t="s">
        <v>2241</v>
      </c>
      <c r="E428" t="s">
        <v>2242</v>
      </c>
      <c r="F428">
        <v>876</v>
      </c>
      <c r="G428">
        <v>257</v>
      </c>
      <c r="H428" s="32">
        <f t="shared" si="6"/>
        <v>3.4085603112840466</v>
      </c>
      <c r="I428">
        <v>1</v>
      </c>
      <c r="J428" t="s">
        <v>21</v>
      </c>
    </row>
    <row r="429" spans="1:10" x14ac:dyDescent="0.25">
      <c r="A429">
        <v>69500</v>
      </c>
      <c r="B429" t="s">
        <v>5371</v>
      </c>
      <c r="C429" t="s">
        <v>201</v>
      </c>
      <c r="D429" t="s">
        <v>2241</v>
      </c>
      <c r="E429" t="s">
        <v>2242</v>
      </c>
      <c r="F429">
        <v>392</v>
      </c>
      <c r="G429">
        <v>115</v>
      </c>
      <c r="H429" s="32">
        <f t="shared" si="6"/>
        <v>3.4086956521739129</v>
      </c>
      <c r="I429">
        <v>1</v>
      </c>
      <c r="J429" t="s">
        <v>21</v>
      </c>
    </row>
    <row r="430" spans="1:10" x14ac:dyDescent="0.25">
      <c r="A430">
        <v>69183</v>
      </c>
      <c r="B430" t="s">
        <v>5336</v>
      </c>
      <c r="C430" t="s">
        <v>166</v>
      </c>
      <c r="D430" t="s">
        <v>2241</v>
      </c>
      <c r="E430" t="s">
        <v>2242</v>
      </c>
      <c r="F430">
        <v>767</v>
      </c>
      <c r="G430">
        <v>225</v>
      </c>
      <c r="H430" s="32">
        <f t="shared" si="6"/>
        <v>3.4088888888888889</v>
      </c>
      <c r="I430">
        <v>1</v>
      </c>
      <c r="J430" t="s">
        <v>21</v>
      </c>
    </row>
    <row r="431" spans="1:10" x14ac:dyDescent="0.25">
      <c r="A431">
        <v>68131</v>
      </c>
      <c r="B431" t="s">
        <v>5213</v>
      </c>
      <c r="C431" t="s">
        <v>166</v>
      </c>
      <c r="D431" t="s">
        <v>2241</v>
      </c>
      <c r="E431" t="s">
        <v>2242</v>
      </c>
      <c r="F431">
        <v>2417</v>
      </c>
      <c r="G431">
        <v>709</v>
      </c>
      <c r="H431" s="32">
        <f t="shared" si="6"/>
        <v>3.4090267983074751</v>
      </c>
      <c r="I431">
        <v>1</v>
      </c>
      <c r="J431" t="s">
        <v>21</v>
      </c>
    </row>
    <row r="432" spans="1:10" x14ac:dyDescent="0.25">
      <c r="A432">
        <v>69188</v>
      </c>
      <c r="B432" t="s">
        <v>5337</v>
      </c>
      <c r="C432" t="s">
        <v>166</v>
      </c>
      <c r="D432" t="s">
        <v>2241</v>
      </c>
      <c r="E432" t="s">
        <v>2242</v>
      </c>
      <c r="F432">
        <v>508</v>
      </c>
      <c r="G432">
        <v>149</v>
      </c>
      <c r="H432" s="32">
        <f t="shared" si="6"/>
        <v>3.4093959731543624</v>
      </c>
      <c r="I432">
        <v>1</v>
      </c>
      <c r="J432" t="s">
        <v>21</v>
      </c>
    </row>
    <row r="433" spans="1:10" x14ac:dyDescent="0.25">
      <c r="A433">
        <v>69397</v>
      </c>
      <c r="B433" t="s">
        <v>5360</v>
      </c>
      <c r="C433" t="s">
        <v>166</v>
      </c>
      <c r="D433" t="s">
        <v>2241</v>
      </c>
      <c r="E433" t="s">
        <v>2242</v>
      </c>
      <c r="F433">
        <v>1449</v>
      </c>
      <c r="G433">
        <v>425</v>
      </c>
      <c r="H433" s="32">
        <f t="shared" si="6"/>
        <v>3.4094117647058821</v>
      </c>
      <c r="I433">
        <v>1</v>
      </c>
      <c r="J433" t="s">
        <v>21</v>
      </c>
    </row>
    <row r="434" spans="1:10" x14ac:dyDescent="0.25">
      <c r="A434">
        <v>69921</v>
      </c>
      <c r="B434" t="s">
        <v>5417</v>
      </c>
      <c r="C434" t="s">
        <v>166</v>
      </c>
      <c r="D434" t="s">
        <v>2241</v>
      </c>
      <c r="E434" t="s">
        <v>2242</v>
      </c>
      <c r="F434">
        <v>791</v>
      </c>
      <c r="G434">
        <v>232</v>
      </c>
      <c r="H434" s="32">
        <f t="shared" si="6"/>
        <v>3.4094827586206895</v>
      </c>
      <c r="I434">
        <v>1</v>
      </c>
      <c r="J434" t="s">
        <v>21</v>
      </c>
    </row>
    <row r="435" spans="1:10" x14ac:dyDescent="0.25">
      <c r="A435">
        <v>69680</v>
      </c>
      <c r="B435" t="s">
        <v>5390</v>
      </c>
      <c r="C435" t="s">
        <v>118</v>
      </c>
      <c r="D435" t="s">
        <v>2241</v>
      </c>
      <c r="E435" t="s">
        <v>2242</v>
      </c>
      <c r="F435">
        <v>1074</v>
      </c>
      <c r="G435">
        <v>315</v>
      </c>
      <c r="H435" s="32">
        <f t="shared" si="6"/>
        <v>3.4095238095238094</v>
      </c>
      <c r="I435">
        <v>1</v>
      </c>
      <c r="J435" t="s">
        <v>21</v>
      </c>
    </row>
    <row r="436" spans="1:10" x14ac:dyDescent="0.25">
      <c r="A436">
        <v>69161</v>
      </c>
      <c r="B436" t="s">
        <v>5331</v>
      </c>
      <c r="C436" t="s">
        <v>166</v>
      </c>
      <c r="D436" t="s">
        <v>2241</v>
      </c>
      <c r="E436" t="s">
        <v>2242</v>
      </c>
      <c r="F436">
        <v>641</v>
      </c>
      <c r="G436">
        <v>188</v>
      </c>
      <c r="H436" s="32">
        <f t="shared" si="6"/>
        <v>3.4095744680851063</v>
      </c>
      <c r="I436">
        <v>1</v>
      </c>
      <c r="J436" t="s">
        <v>21</v>
      </c>
    </row>
    <row r="437" spans="1:10" x14ac:dyDescent="0.25">
      <c r="A437">
        <v>69567</v>
      </c>
      <c r="B437" t="s">
        <v>5379</v>
      </c>
      <c r="C437" t="s">
        <v>201</v>
      </c>
      <c r="D437" t="s">
        <v>2241</v>
      </c>
      <c r="E437" t="s">
        <v>2242</v>
      </c>
      <c r="F437">
        <v>774</v>
      </c>
      <c r="G437">
        <v>227</v>
      </c>
      <c r="H437" s="32">
        <f t="shared" si="6"/>
        <v>3.409691629955947</v>
      </c>
      <c r="I437">
        <v>1</v>
      </c>
      <c r="J437" t="s">
        <v>21</v>
      </c>
    </row>
    <row r="438" spans="1:10" x14ac:dyDescent="0.25">
      <c r="A438">
        <v>57330</v>
      </c>
      <c r="B438" t="s">
        <v>2967</v>
      </c>
      <c r="C438" t="s">
        <v>672</v>
      </c>
      <c r="D438" t="s">
        <v>2241</v>
      </c>
      <c r="E438" t="s">
        <v>2242</v>
      </c>
      <c r="F438">
        <v>2868</v>
      </c>
      <c r="G438">
        <v>841</v>
      </c>
      <c r="H438" s="32">
        <f t="shared" si="6"/>
        <v>3.4102259215219974</v>
      </c>
      <c r="I438">
        <v>1</v>
      </c>
      <c r="J438" t="s">
        <v>21</v>
      </c>
    </row>
    <row r="439" spans="1:10" x14ac:dyDescent="0.25">
      <c r="A439">
        <v>69140</v>
      </c>
      <c r="B439" t="s">
        <v>5327</v>
      </c>
      <c r="C439" t="s">
        <v>241</v>
      </c>
      <c r="D439" t="s">
        <v>2241</v>
      </c>
      <c r="E439" t="s">
        <v>2242</v>
      </c>
      <c r="F439">
        <v>133</v>
      </c>
      <c r="G439">
        <v>39</v>
      </c>
      <c r="H439" s="32">
        <f t="shared" si="6"/>
        <v>3.4102564102564101</v>
      </c>
      <c r="I439">
        <v>1</v>
      </c>
      <c r="J439" t="s">
        <v>21</v>
      </c>
    </row>
    <row r="440" spans="1:10" x14ac:dyDescent="0.25">
      <c r="A440">
        <v>69163</v>
      </c>
      <c r="B440" t="s">
        <v>5333</v>
      </c>
      <c r="C440" t="s">
        <v>166</v>
      </c>
      <c r="D440" t="s">
        <v>2241</v>
      </c>
      <c r="E440" t="s">
        <v>2242</v>
      </c>
      <c r="F440">
        <v>133</v>
      </c>
      <c r="G440">
        <v>39</v>
      </c>
      <c r="H440" s="32">
        <f t="shared" si="6"/>
        <v>3.4102564102564101</v>
      </c>
      <c r="I440">
        <v>1</v>
      </c>
      <c r="J440" t="s">
        <v>21</v>
      </c>
    </row>
    <row r="441" spans="1:10" x14ac:dyDescent="0.25">
      <c r="A441">
        <v>56938</v>
      </c>
      <c r="B441" t="s">
        <v>2922</v>
      </c>
      <c r="C441" t="s">
        <v>708</v>
      </c>
      <c r="D441" t="s">
        <v>2241</v>
      </c>
      <c r="E441" t="s">
        <v>2242</v>
      </c>
      <c r="F441">
        <v>2510</v>
      </c>
      <c r="G441">
        <v>736</v>
      </c>
      <c r="H441" s="32">
        <f t="shared" si="6"/>
        <v>3.410326086956522</v>
      </c>
      <c r="I441">
        <v>1</v>
      </c>
      <c r="J441" t="s">
        <v>21</v>
      </c>
    </row>
    <row r="442" spans="1:10" x14ac:dyDescent="0.25">
      <c r="A442">
        <v>57574</v>
      </c>
      <c r="B442" t="s">
        <v>3011</v>
      </c>
      <c r="C442" t="s">
        <v>241</v>
      </c>
      <c r="D442" t="s">
        <v>2241</v>
      </c>
      <c r="E442" t="s">
        <v>2242</v>
      </c>
      <c r="F442">
        <v>1903</v>
      </c>
      <c r="G442">
        <v>558</v>
      </c>
      <c r="H442" s="32">
        <f t="shared" si="6"/>
        <v>3.4103942652329748</v>
      </c>
      <c r="I442">
        <v>1</v>
      </c>
      <c r="J442" t="s">
        <v>21</v>
      </c>
    </row>
    <row r="443" spans="1:10" x14ac:dyDescent="0.25">
      <c r="A443">
        <v>60810</v>
      </c>
      <c r="B443" t="s">
        <v>3883</v>
      </c>
      <c r="C443" t="s">
        <v>241</v>
      </c>
      <c r="D443" t="s">
        <v>2241</v>
      </c>
      <c r="E443" t="s">
        <v>2242</v>
      </c>
      <c r="F443">
        <v>3963</v>
      </c>
      <c r="G443">
        <v>1162</v>
      </c>
      <c r="H443" s="32">
        <f t="shared" si="6"/>
        <v>3.4104991394148021</v>
      </c>
      <c r="I443">
        <v>1</v>
      </c>
      <c r="J443" t="s">
        <v>21</v>
      </c>
    </row>
    <row r="444" spans="1:10" x14ac:dyDescent="0.25">
      <c r="A444">
        <v>67718</v>
      </c>
      <c r="B444" t="s">
        <v>5159</v>
      </c>
      <c r="C444" t="s">
        <v>166</v>
      </c>
      <c r="D444" t="s">
        <v>2241</v>
      </c>
      <c r="E444" t="s">
        <v>2242</v>
      </c>
      <c r="F444">
        <v>2077</v>
      </c>
      <c r="G444">
        <v>609</v>
      </c>
      <c r="H444" s="32">
        <f t="shared" si="6"/>
        <v>3.4105090311986865</v>
      </c>
      <c r="I444">
        <v>1</v>
      </c>
      <c r="J444" t="s">
        <v>21</v>
      </c>
    </row>
    <row r="445" spans="1:10" x14ac:dyDescent="0.25">
      <c r="A445">
        <v>69442</v>
      </c>
      <c r="B445" t="s">
        <v>5368</v>
      </c>
      <c r="C445" t="s">
        <v>166</v>
      </c>
      <c r="D445" t="s">
        <v>2241</v>
      </c>
      <c r="E445" t="s">
        <v>2242</v>
      </c>
      <c r="F445">
        <v>1030</v>
      </c>
      <c r="G445">
        <v>302</v>
      </c>
      <c r="H445" s="32">
        <f t="shared" si="6"/>
        <v>3.4105960264900661</v>
      </c>
      <c r="I445">
        <v>1</v>
      </c>
      <c r="J445" t="s">
        <v>21</v>
      </c>
    </row>
    <row r="446" spans="1:10" x14ac:dyDescent="0.25">
      <c r="A446">
        <v>59982</v>
      </c>
      <c r="B446" t="s">
        <v>3636</v>
      </c>
      <c r="C446" t="s">
        <v>131</v>
      </c>
      <c r="D446" t="s">
        <v>2241</v>
      </c>
      <c r="E446" t="s">
        <v>2242</v>
      </c>
      <c r="F446">
        <v>5017</v>
      </c>
      <c r="G446">
        <v>1471</v>
      </c>
      <c r="H446" s="32">
        <f t="shared" si="6"/>
        <v>3.4106050305914346</v>
      </c>
      <c r="I446">
        <v>1</v>
      </c>
      <c r="J446" t="s">
        <v>21</v>
      </c>
    </row>
    <row r="447" spans="1:10" x14ac:dyDescent="0.25">
      <c r="A447">
        <v>60776</v>
      </c>
      <c r="B447" t="s">
        <v>3868</v>
      </c>
      <c r="C447" t="s">
        <v>241</v>
      </c>
      <c r="D447" t="s">
        <v>2241</v>
      </c>
      <c r="E447" t="s">
        <v>2242</v>
      </c>
      <c r="F447">
        <v>2118</v>
      </c>
      <c r="G447">
        <v>621</v>
      </c>
      <c r="H447" s="32">
        <f t="shared" si="6"/>
        <v>3.4106280193236715</v>
      </c>
      <c r="I447">
        <v>1</v>
      </c>
      <c r="J447" t="s">
        <v>21</v>
      </c>
    </row>
    <row r="448" spans="1:10" x14ac:dyDescent="0.25">
      <c r="A448">
        <v>61751</v>
      </c>
      <c r="B448" t="s">
        <v>4057</v>
      </c>
      <c r="C448" t="s">
        <v>241</v>
      </c>
      <c r="D448" t="s">
        <v>2241</v>
      </c>
      <c r="E448" t="s">
        <v>2242</v>
      </c>
      <c r="F448">
        <v>1603</v>
      </c>
      <c r="G448">
        <v>470</v>
      </c>
      <c r="H448" s="32">
        <f t="shared" si="6"/>
        <v>3.4106382978723406</v>
      </c>
      <c r="I448">
        <v>1</v>
      </c>
      <c r="J448" t="s">
        <v>21</v>
      </c>
    </row>
    <row r="449" spans="1:10" x14ac:dyDescent="0.25">
      <c r="A449">
        <v>58535</v>
      </c>
      <c r="B449" t="s">
        <v>3218</v>
      </c>
      <c r="C449" t="s">
        <v>143</v>
      </c>
      <c r="D449" t="s">
        <v>2241</v>
      </c>
      <c r="E449" t="s">
        <v>2242</v>
      </c>
      <c r="F449">
        <v>807</v>
      </c>
      <c r="G449">
        <v>236.61</v>
      </c>
      <c r="H449" s="32">
        <f t="shared" si="6"/>
        <v>3.410675795613034</v>
      </c>
      <c r="I449">
        <v>1</v>
      </c>
      <c r="J449" t="s">
        <v>21</v>
      </c>
    </row>
    <row r="450" spans="1:10" x14ac:dyDescent="0.25">
      <c r="A450">
        <v>63019</v>
      </c>
      <c r="B450" t="s">
        <v>4277</v>
      </c>
      <c r="C450" t="s">
        <v>250</v>
      </c>
      <c r="D450" t="s">
        <v>2241</v>
      </c>
      <c r="E450" t="s">
        <v>2242</v>
      </c>
      <c r="F450">
        <v>4335</v>
      </c>
      <c r="G450">
        <v>1271</v>
      </c>
      <c r="H450" s="32">
        <f t="shared" ref="H450:H513" si="7">IF(AND(F450&gt;0,G450&gt;0),F450/G450,"")</f>
        <v>3.4107002360346184</v>
      </c>
      <c r="I450">
        <v>1</v>
      </c>
      <c r="J450" t="s">
        <v>21</v>
      </c>
    </row>
    <row r="451" spans="1:10" x14ac:dyDescent="0.25">
      <c r="A451">
        <v>68959</v>
      </c>
      <c r="B451" t="s">
        <v>5285</v>
      </c>
      <c r="C451" t="s">
        <v>166</v>
      </c>
      <c r="D451" t="s">
        <v>2241</v>
      </c>
      <c r="E451" t="s">
        <v>2242</v>
      </c>
      <c r="F451">
        <v>4717</v>
      </c>
      <c r="G451">
        <v>1383</v>
      </c>
      <c r="H451" s="32">
        <f t="shared" si="7"/>
        <v>3.410701373825018</v>
      </c>
      <c r="I451">
        <v>1</v>
      </c>
      <c r="J451" t="s">
        <v>21</v>
      </c>
    </row>
    <row r="452" spans="1:10" x14ac:dyDescent="0.25">
      <c r="A452">
        <v>70285</v>
      </c>
      <c r="B452" t="s">
        <v>5447</v>
      </c>
      <c r="C452" t="s">
        <v>166</v>
      </c>
      <c r="D452" t="s">
        <v>2241</v>
      </c>
      <c r="E452" t="s">
        <v>2242</v>
      </c>
      <c r="F452">
        <v>3496</v>
      </c>
      <c r="G452">
        <v>1025</v>
      </c>
      <c r="H452" s="32">
        <f t="shared" si="7"/>
        <v>3.4107317073170731</v>
      </c>
      <c r="I452">
        <v>1</v>
      </c>
      <c r="J452" t="s">
        <v>21</v>
      </c>
    </row>
    <row r="453" spans="1:10" x14ac:dyDescent="0.25">
      <c r="A453">
        <v>63253</v>
      </c>
      <c r="B453" t="s">
        <v>4311</v>
      </c>
      <c r="C453" t="s">
        <v>307</v>
      </c>
      <c r="D453" t="s">
        <v>2241</v>
      </c>
      <c r="E453" t="s">
        <v>2242</v>
      </c>
      <c r="F453">
        <v>5082</v>
      </c>
      <c r="G453">
        <v>1490</v>
      </c>
      <c r="H453" s="32">
        <f t="shared" si="7"/>
        <v>3.4107382550335572</v>
      </c>
      <c r="I453">
        <v>1</v>
      </c>
      <c r="J453" t="s">
        <v>21</v>
      </c>
    </row>
    <row r="454" spans="1:10" x14ac:dyDescent="0.25">
      <c r="A454">
        <v>57805</v>
      </c>
      <c r="B454" t="s">
        <v>3057</v>
      </c>
      <c r="C454" t="s">
        <v>241</v>
      </c>
      <c r="D454" t="s">
        <v>2241</v>
      </c>
      <c r="E454" t="s">
        <v>2242</v>
      </c>
      <c r="F454">
        <v>2790</v>
      </c>
      <c r="G454">
        <v>818</v>
      </c>
      <c r="H454" s="32">
        <f t="shared" si="7"/>
        <v>3.4107579462102691</v>
      </c>
      <c r="I454">
        <v>1</v>
      </c>
      <c r="J454" t="s">
        <v>21</v>
      </c>
    </row>
    <row r="455" spans="1:10" x14ac:dyDescent="0.25">
      <c r="A455">
        <v>67686</v>
      </c>
      <c r="B455" t="s">
        <v>5143</v>
      </c>
      <c r="C455" t="s">
        <v>166</v>
      </c>
      <c r="D455" t="s">
        <v>2241</v>
      </c>
      <c r="E455" t="s">
        <v>2242</v>
      </c>
      <c r="F455">
        <v>1835</v>
      </c>
      <c r="G455">
        <v>538</v>
      </c>
      <c r="H455" s="32">
        <f t="shared" si="7"/>
        <v>3.4107806691449816</v>
      </c>
      <c r="I455">
        <v>1</v>
      </c>
      <c r="J455" t="s">
        <v>21</v>
      </c>
    </row>
    <row r="456" spans="1:10" x14ac:dyDescent="0.25">
      <c r="A456">
        <v>59364</v>
      </c>
      <c r="B456" t="s">
        <v>3436</v>
      </c>
      <c r="C456" t="s">
        <v>241</v>
      </c>
      <c r="D456" t="s">
        <v>2241</v>
      </c>
      <c r="E456" t="s">
        <v>2242</v>
      </c>
      <c r="F456">
        <v>3097</v>
      </c>
      <c r="G456">
        <v>908</v>
      </c>
      <c r="H456" s="32">
        <f t="shared" si="7"/>
        <v>3.41079295154185</v>
      </c>
      <c r="I456">
        <v>1</v>
      </c>
      <c r="J456" t="s">
        <v>21</v>
      </c>
    </row>
    <row r="457" spans="1:10" x14ac:dyDescent="0.25">
      <c r="A457">
        <v>57336</v>
      </c>
      <c r="B457" t="s">
        <v>2968</v>
      </c>
      <c r="C457" t="s">
        <v>708</v>
      </c>
      <c r="D457" t="s">
        <v>2241</v>
      </c>
      <c r="E457" t="s">
        <v>2242</v>
      </c>
      <c r="F457">
        <v>2084</v>
      </c>
      <c r="G457">
        <v>611</v>
      </c>
      <c r="H457" s="32">
        <f t="shared" si="7"/>
        <v>3.4108019639934533</v>
      </c>
      <c r="I457">
        <v>1</v>
      </c>
      <c r="J457" t="s">
        <v>21</v>
      </c>
    </row>
    <row r="458" spans="1:10" x14ac:dyDescent="0.25">
      <c r="A458">
        <v>59370</v>
      </c>
      <c r="B458" t="s">
        <v>3440</v>
      </c>
      <c r="C458" t="s">
        <v>241</v>
      </c>
      <c r="D458" t="s">
        <v>2241</v>
      </c>
      <c r="E458" t="s">
        <v>2242</v>
      </c>
      <c r="F458">
        <v>6501</v>
      </c>
      <c r="G458">
        <v>1906</v>
      </c>
      <c r="H458" s="32">
        <f t="shared" si="7"/>
        <v>3.4108079748163695</v>
      </c>
      <c r="I458">
        <v>1</v>
      </c>
      <c r="J458" t="s">
        <v>21</v>
      </c>
    </row>
    <row r="459" spans="1:10" x14ac:dyDescent="0.25">
      <c r="A459">
        <v>61224</v>
      </c>
      <c r="B459" t="s">
        <v>3964</v>
      </c>
      <c r="C459" t="s">
        <v>241</v>
      </c>
      <c r="D459" t="s">
        <v>2241</v>
      </c>
      <c r="E459" t="s">
        <v>2242</v>
      </c>
      <c r="F459">
        <v>6750</v>
      </c>
      <c r="G459">
        <v>1979</v>
      </c>
      <c r="H459" s="32">
        <f t="shared" si="7"/>
        <v>3.4108135421930266</v>
      </c>
      <c r="I459">
        <v>1</v>
      </c>
      <c r="J459" t="s">
        <v>21</v>
      </c>
    </row>
    <row r="460" spans="1:10" x14ac:dyDescent="0.25">
      <c r="A460">
        <v>62539</v>
      </c>
      <c r="B460" t="s">
        <v>4168</v>
      </c>
      <c r="C460" t="s">
        <v>708</v>
      </c>
      <c r="D460" t="s">
        <v>2241</v>
      </c>
      <c r="E460" t="s">
        <v>2242</v>
      </c>
      <c r="F460">
        <v>3022</v>
      </c>
      <c r="G460">
        <v>886</v>
      </c>
      <c r="H460" s="32">
        <f t="shared" si="7"/>
        <v>3.4108352144469527</v>
      </c>
      <c r="I460">
        <v>1</v>
      </c>
      <c r="J460" t="s">
        <v>21</v>
      </c>
    </row>
    <row r="461" spans="1:10" x14ac:dyDescent="0.25">
      <c r="A461">
        <v>62123</v>
      </c>
      <c r="B461" t="s">
        <v>4116</v>
      </c>
      <c r="C461" t="s">
        <v>708</v>
      </c>
      <c r="D461" t="s">
        <v>2241</v>
      </c>
      <c r="E461" t="s">
        <v>2242</v>
      </c>
      <c r="F461">
        <v>5222</v>
      </c>
      <c r="G461">
        <v>1531</v>
      </c>
      <c r="H461" s="32">
        <f t="shared" si="7"/>
        <v>3.4108425865447418</v>
      </c>
      <c r="I461">
        <v>1</v>
      </c>
      <c r="J461" t="s">
        <v>21</v>
      </c>
    </row>
    <row r="462" spans="1:10" x14ac:dyDescent="0.25">
      <c r="A462">
        <v>65958</v>
      </c>
      <c r="B462" t="s">
        <v>4818</v>
      </c>
      <c r="C462" t="s">
        <v>3055</v>
      </c>
      <c r="D462" t="s">
        <v>2241</v>
      </c>
      <c r="E462" t="s">
        <v>2242</v>
      </c>
      <c r="F462">
        <v>5703</v>
      </c>
      <c r="G462">
        <v>1672</v>
      </c>
      <c r="H462" s="32">
        <f t="shared" si="7"/>
        <v>3.410885167464115</v>
      </c>
      <c r="I462">
        <v>1</v>
      </c>
      <c r="J462" t="s">
        <v>21</v>
      </c>
    </row>
    <row r="463" spans="1:10" x14ac:dyDescent="0.25">
      <c r="A463">
        <v>65756</v>
      </c>
      <c r="B463" t="s">
        <v>4799</v>
      </c>
      <c r="C463" t="s">
        <v>307</v>
      </c>
      <c r="D463" t="s">
        <v>2241</v>
      </c>
      <c r="E463" t="s">
        <v>2242</v>
      </c>
      <c r="F463">
        <v>5263</v>
      </c>
      <c r="G463">
        <v>1543</v>
      </c>
      <c r="H463" s="32">
        <f t="shared" si="7"/>
        <v>3.4108878807517824</v>
      </c>
      <c r="I463">
        <v>1</v>
      </c>
      <c r="J463" t="s">
        <v>21</v>
      </c>
    </row>
    <row r="464" spans="1:10" x14ac:dyDescent="0.25">
      <c r="A464">
        <v>58305</v>
      </c>
      <c r="B464" t="s">
        <v>3141</v>
      </c>
      <c r="C464" t="s">
        <v>708</v>
      </c>
      <c r="D464" t="s">
        <v>2241</v>
      </c>
      <c r="E464" t="s">
        <v>2242</v>
      </c>
      <c r="F464">
        <v>3063</v>
      </c>
      <c r="G464">
        <v>898</v>
      </c>
      <c r="H464" s="32">
        <f t="shared" si="7"/>
        <v>3.4109131403118038</v>
      </c>
      <c r="I464">
        <v>1</v>
      </c>
      <c r="J464" t="s">
        <v>21</v>
      </c>
    </row>
    <row r="465" spans="1:10" x14ac:dyDescent="0.25">
      <c r="A465">
        <v>60708</v>
      </c>
      <c r="B465" t="s">
        <v>3841</v>
      </c>
      <c r="C465" t="s">
        <v>307</v>
      </c>
      <c r="D465" t="s">
        <v>2241</v>
      </c>
      <c r="E465" t="s">
        <v>2242</v>
      </c>
      <c r="F465">
        <v>6375</v>
      </c>
      <c r="G465">
        <v>1869</v>
      </c>
      <c r="H465" s="32">
        <f t="shared" si="7"/>
        <v>3.4109149277688604</v>
      </c>
      <c r="I465">
        <v>1</v>
      </c>
      <c r="J465" t="s">
        <v>21</v>
      </c>
    </row>
    <row r="466" spans="1:10" x14ac:dyDescent="0.25">
      <c r="A466">
        <v>65961</v>
      </c>
      <c r="B466" t="s">
        <v>4821</v>
      </c>
      <c r="C466" t="s">
        <v>307</v>
      </c>
      <c r="D466" t="s">
        <v>2241</v>
      </c>
      <c r="E466" t="s">
        <v>2242</v>
      </c>
      <c r="F466">
        <v>8367</v>
      </c>
      <c r="G466">
        <v>2453</v>
      </c>
      <c r="H466" s="32">
        <f t="shared" si="7"/>
        <v>3.4109253974724827</v>
      </c>
      <c r="I466">
        <v>1</v>
      </c>
      <c r="J466" t="s">
        <v>21</v>
      </c>
    </row>
    <row r="467" spans="1:10" x14ac:dyDescent="0.25">
      <c r="A467">
        <v>67294</v>
      </c>
      <c r="B467" t="s">
        <v>5080</v>
      </c>
      <c r="C467" t="s">
        <v>241</v>
      </c>
      <c r="D467" t="s">
        <v>2241</v>
      </c>
      <c r="E467" t="s">
        <v>2242</v>
      </c>
      <c r="F467">
        <v>7047</v>
      </c>
      <c r="G467">
        <v>2066</v>
      </c>
      <c r="H467" s="32">
        <f t="shared" si="7"/>
        <v>3.4109390125847048</v>
      </c>
      <c r="I467">
        <v>1</v>
      </c>
      <c r="J467" t="s">
        <v>21</v>
      </c>
    </row>
    <row r="468" spans="1:10" x14ac:dyDescent="0.25">
      <c r="A468">
        <v>61347</v>
      </c>
      <c r="B468" t="s">
        <v>3998</v>
      </c>
      <c r="C468" t="s">
        <v>708</v>
      </c>
      <c r="D468" t="s">
        <v>2241</v>
      </c>
      <c r="E468" t="s">
        <v>2242</v>
      </c>
      <c r="F468">
        <v>6167</v>
      </c>
      <c r="G468">
        <v>1808</v>
      </c>
      <c r="H468" s="32">
        <f t="shared" si="7"/>
        <v>3.4109513274336285</v>
      </c>
      <c r="I468">
        <v>1</v>
      </c>
      <c r="J468" t="s">
        <v>21</v>
      </c>
    </row>
    <row r="469" spans="1:10" x14ac:dyDescent="0.25">
      <c r="A469">
        <v>65029</v>
      </c>
      <c r="B469" t="s">
        <v>4673</v>
      </c>
      <c r="C469" t="s">
        <v>250</v>
      </c>
      <c r="D469" t="s">
        <v>2241</v>
      </c>
      <c r="E469" t="s">
        <v>2242</v>
      </c>
      <c r="F469">
        <v>3735</v>
      </c>
      <c r="G469">
        <v>1095</v>
      </c>
      <c r="H469" s="32">
        <f t="shared" si="7"/>
        <v>3.4109589041095889</v>
      </c>
      <c r="I469">
        <v>1</v>
      </c>
      <c r="J469" t="s">
        <v>21</v>
      </c>
    </row>
    <row r="470" spans="1:10" x14ac:dyDescent="0.25">
      <c r="A470">
        <v>66539</v>
      </c>
      <c r="B470" t="s">
        <v>4924</v>
      </c>
      <c r="C470" t="s">
        <v>307</v>
      </c>
      <c r="D470" t="s">
        <v>2241</v>
      </c>
      <c r="E470" t="s">
        <v>2242</v>
      </c>
      <c r="F470">
        <v>7221</v>
      </c>
      <c r="G470">
        <v>2117</v>
      </c>
      <c r="H470" s="32">
        <f t="shared" si="7"/>
        <v>3.4109589041095889</v>
      </c>
      <c r="I470">
        <v>1</v>
      </c>
      <c r="J470" t="s">
        <v>21</v>
      </c>
    </row>
    <row r="471" spans="1:10" x14ac:dyDescent="0.25">
      <c r="A471">
        <v>69033</v>
      </c>
      <c r="B471" t="s">
        <v>5302</v>
      </c>
      <c r="C471" t="s">
        <v>166</v>
      </c>
      <c r="D471" t="s">
        <v>2241</v>
      </c>
      <c r="E471" t="s">
        <v>2242</v>
      </c>
      <c r="F471">
        <v>747</v>
      </c>
      <c r="G471">
        <v>219</v>
      </c>
      <c r="H471" s="32">
        <f t="shared" si="7"/>
        <v>3.4109589041095889</v>
      </c>
      <c r="I471">
        <v>1</v>
      </c>
      <c r="J471" t="s">
        <v>21</v>
      </c>
    </row>
    <row r="472" spans="1:10" x14ac:dyDescent="0.25">
      <c r="A472">
        <v>69085</v>
      </c>
      <c r="B472" t="s">
        <v>5315</v>
      </c>
      <c r="C472" t="s">
        <v>143</v>
      </c>
      <c r="D472" t="s">
        <v>2241</v>
      </c>
      <c r="E472" t="s">
        <v>2242</v>
      </c>
      <c r="F472">
        <v>8142</v>
      </c>
      <c r="G472">
        <v>2387</v>
      </c>
      <c r="H472" s="32">
        <f t="shared" si="7"/>
        <v>3.4109761206535398</v>
      </c>
      <c r="I472">
        <v>1</v>
      </c>
      <c r="J472" t="s">
        <v>21</v>
      </c>
    </row>
    <row r="473" spans="1:10" x14ac:dyDescent="0.25">
      <c r="A473">
        <v>64918</v>
      </c>
      <c r="B473" t="s">
        <v>4662</v>
      </c>
      <c r="C473" t="s">
        <v>166</v>
      </c>
      <c r="D473" t="s">
        <v>2241</v>
      </c>
      <c r="E473" t="s">
        <v>2242</v>
      </c>
      <c r="F473">
        <v>5096</v>
      </c>
      <c r="G473">
        <v>1494</v>
      </c>
      <c r="H473" s="32">
        <f t="shared" si="7"/>
        <v>3.4109772423025433</v>
      </c>
      <c r="I473">
        <v>1</v>
      </c>
      <c r="J473" t="s">
        <v>21</v>
      </c>
    </row>
    <row r="474" spans="1:10" x14ac:dyDescent="0.25">
      <c r="A474">
        <v>57402</v>
      </c>
      <c r="B474" t="s">
        <v>2986</v>
      </c>
      <c r="C474" t="s">
        <v>708</v>
      </c>
      <c r="D474" t="s">
        <v>2241</v>
      </c>
      <c r="E474" t="s">
        <v>2242</v>
      </c>
      <c r="F474">
        <v>4100</v>
      </c>
      <c r="G474">
        <v>1202</v>
      </c>
      <c r="H474" s="32">
        <f t="shared" si="7"/>
        <v>3.4109816971713811</v>
      </c>
      <c r="I474">
        <v>1</v>
      </c>
      <c r="J474" t="s">
        <v>21</v>
      </c>
    </row>
    <row r="475" spans="1:10" x14ac:dyDescent="0.25">
      <c r="A475">
        <v>65896</v>
      </c>
      <c r="B475" t="s">
        <v>4811</v>
      </c>
      <c r="C475" t="s">
        <v>3055</v>
      </c>
      <c r="D475" t="s">
        <v>2241</v>
      </c>
      <c r="E475" t="s">
        <v>2242</v>
      </c>
      <c r="F475">
        <v>5901</v>
      </c>
      <c r="G475">
        <v>1730</v>
      </c>
      <c r="H475" s="32">
        <f t="shared" si="7"/>
        <v>3.4109826589595378</v>
      </c>
      <c r="I475">
        <v>1</v>
      </c>
      <c r="J475" t="s">
        <v>21</v>
      </c>
    </row>
    <row r="476" spans="1:10" x14ac:dyDescent="0.25">
      <c r="A476">
        <v>60017</v>
      </c>
      <c r="B476" t="s">
        <v>3650</v>
      </c>
      <c r="C476" t="s">
        <v>250</v>
      </c>
      <c r="D476" t="s">
        <v>2241</v>
      </c>
      <c r="E476" t="s">
        <v>2242</v>
      </c>
      <c r="F476">
        <v>3602</v>
      </c>
      <c r="G476">
        <v>1056</v>
      </c>
      <c r="H476" s="32">
        <f t="shared" si="7"/>
        <v>3.4109848484848486</v>
      </c>
      <c r="I476">
        <v>1</v>
      </c>
      <c r="J476" t="s">
        <v>21</v>
      </c>
    </row>
    <row r="477" spans="1:10" x14ac:dyDescent="0.25">
      <c r="A477">
        <v>60501</v>
      </c>
      <c r="B477" t="s">
        <v>3790</v>
      </c>
      <c r="C477" t="s">
        <v>241</v>
      </c>
      <c r="D477" t="s">
        <v>2241</v>
      </c>
      <c r="E477" t="s">
        <v>2242</v>
      </c>
      <c r="F477">
        <v>3817</v>
      </c>
      <c r="G477">
        <v>1119</v>
      </c>
      <c r="H477" s="32">
        <f t="shared" si="7"/>
        <v>3.4110813226094727</v>
      </c>
      <c r="I477">
        <v>1</v>
      </c>
      <c r="J477" t="s">
        <v>21</v>
      </c>
    </row>
    <row r="478" spans="1:10" x14ac:dyDescent="0.25">
      <c r="A478">
        <v>58241</v>
      </c>
      <c r="B478" t="s">
        <v>3132</v>
      </c>
      <c r="C478" t="s">
        <v>307</v>
      </c>
      <c r="D478" t="s">
        <v>2241</v>
      </c>
      <c r="E478" t="s">
        <v>2242</v>
      </c>
      <c r="F478">
        <v>5103</v>
      </c>
      <c r="G478">
        <v>1496</v>
      </c>
      <c r="H478" s="32">
        <f t="shared" si="7"/>
        <v>3.411096256684492</v>
      </c>
      <c r="I478">
        <v>1</v>
      </c>
      <c r="J478" t="s">
        <v>21</v>
      </c>
    </row>
    <row r="479" spans="1:10" x14ac:dyDescent="0.25">
      <c r="A479">
        <v>65959</v>
      </c>
      <c r="B479" t="s">
        <v>4819</v>
      </c>
      <c r="C479" t="s">
        <v>307</v>
      </c>
      <c r="D479" t="s">
        <v>2241</v>
      </c>
      <c r="E479" t="s">
        <v>2242</v>
      </c>
      <c r="F479">
        <v>8115</v>
      </c>
      <c r="G479">
        <v>2379</v>
      </c>
      <c r="H479" s="32">
        <f t="shared" si="7"/>
        <v>3.4110970996216898</v>
      </c>
      <c r="I479">
        <v>1</v>
      </c>
      <c r="J479" t="s">
        <v>21</v>
      </c>
    </row>
    <row r="480" spans="1:10" x14ac:dyDescent="0.25">
      <c r="A480">
        <v>59057</v>
      </c>
      <c r="B480" t="s">
        <v>3364</v>
      </c>
      <c r="C480" t="s">
        <v>241</v>
      </c>
      <c r="D480" t="s">
        <v>2241</v>
      </c>
      <c r="E480" t="s">
        <v>2242</v>
      </c>
      <c r="F480">
        <v>2456</v>
      </c>
      <c r="G480">
        <v>720</v>
      </c>
      <c r="H480" s="32">
        <f t="shared" si="7"/>
        <v>3.411111111111111</v>
      </c>
      <c r="I480">
        <v>1</v>
      </c>
      <c r="J480" t="s">
        <v>21</v>
      </c>
    </row>
    <row r="481" spans="1:10" x14ac:dyDescent="0.25">
      <c r="A481">
        <v>69914</v>
      </c>
      <c r="B481" t="s">
        <v>5410</v>
      </c>
      <c r="C481" t="s">
        <v>166</v>
      </c>
      <c r="D481" t="s">
        <v>2241</v>
      </c>
      <c r="E481" t="s">
        <v>2242</v>
      </c>
      <c r="F481">
        <v>10363</v>
      </c>
      <c r="G481">
        <v>3038</v>
      </c>
      <c r="H481" s="32">
        <f t="shared" si="7"/>
        <v>3.4111257406188282</v>
      </c>
      <c r="I481">
        <v>1</v>
      </c>
      <c r="J481" t="s">
        <v>21</v>
      </c>
    </row>
    <row r="482" spans="1:10" x14ac:dyDescent="0.25">
      <c r="A482">
        <v>59751</v>
      </c>
      <c r="B482" t="s">
        <v>3571</v>
      </c>
      <c r="C482" t="s">
        <v>241</v>
      </c>
      <c r="D482" t="s">
        <v>2241</v>
      </c>
      <c r="E482" t="s">
        <v>2242</v>
      </c>
      <c r="F482">
        <v>4414</v>
      </c>
      <c r="G482">
        <v>1294</v>
      </c>
      <c r="H482" s="32">
        <f t="shared" si="7"/>
        <v>3.4111282843894899</v>
      </c>
      <c r="I482">
        <v>1</v>
      </c>
      <c r="J482" t="s">
        <v>21</v>
      </c>
    </row>
    <row r="483" spans="1:10" x14ac:dyDescent="0.25">
      <c r="A483">
        <v>63296</v>
      </c>
      <c r="B483" t="s">
        <v>4321</v>
      </c>
      <c r="C483" t="s">
        <v>708</v>
      </c>
      <c r="D483" t="s">
        <v>2241</v>
      </c>
      <c r="E483" t="s">
        <v>2242</v>
      </c>
      <c r="F483">
        <v>7658</v>
      </c>
      <c r="G483">
        <v>2245</v>
      </c>
      <c r="H483" s="32">
        <f t="shared" si="7"/>
        <v>3.4111358574610247</v>
      </c>
      <c r="I483">
        <v>1</v>
      </c>
      <c r="J483" t="s">
        <v>21</v>
      </c>
    </row>
    <row r="484" spans="1:10" x14ac:dyDescent="0.25">
      <c r="A484">
        <v>67070</v>
      </c>
      <c r="B484" t="s">
        <v>5019</v>
      </c>
      <c r="C484" t="s">
        <v>241</v>
      </c>
      <c r="D484" t="s">
        <v>2241</v>
      </c>
      <c r="E484" t="s">
        <v>2242</v>
      </c>
      <c r="F484">
        <v>7948</v>
      </c>
      <c r="G484">
        <v>2330</v>
      </c>
      <c r="H484" s="32">
        <f t="shared" si="7"/>
        <v>3.4111587982832616</v>
      </c>
      <c r="I484">
        <v>1</v>
      </c>
      <c r="J484" t="s">
        <v>21</v>
      </c>
    </row>
    <row r="485" spans="1:10" x14ac:dyDescent="0.25">
      <c r="A485">
        <v>61934</v>
      </c>
      <c r="B485" t="s">
        <v>4088</v>
      </c>
      <c r="C485" t="s">
        <v>672</v>
      </c>
      <c r="D485" t="s">
        <v>2241</v>
      </c>
      <c r="E485" t="s">
        <v>2242</v>
      </c>
      <c r="F485">
        <v>5011</v>
      </c>
      <c r="G485">
        <v>1469</v>
      </c>
      <c r="H485" s="32">
        <f t="shared" si="7"/>
        <v>3.4111640571817561</v>
      </c>
      <c r="I485">
        <v>1</v>
      </c>
      <c r="J485" t="s">
        <v>21</v>
      </c>
    </row>
    <row r="486" spans="1:10" x14ac:dyDescent="0.25">
      <c r="A486">
        <v>69317</v>
      </c>
      <c r="B486" t="s">
        <v>5352</v>
      </c>
      <c r="C486" t="s">
        <v>166</v>
      </c>
      <c r="D486" t="s">
        <v>2241</v>
      </c>
      <c r="E486" t="s">
        <v>2242</v>
      </c>
      <c r="F486">
        <v>3783</v>
      </c>
      <c r="G486">
        <v>1109</v>
      </c>
      <c r="H486" s="32">
        <f t="shared" si="7"/>
        <v>3.4111812443642924</v>
      </c>
      <c r="I486">
        <v>1</v>
      </c>
      <c r="J486" t="s">
        <v>21</v>
      </c>
    </row>
    <row r="487" spans="1:10" x14ac:dyDescent="0.25">
      <c r="A487">
        <v>61206</v>
      </c>
      <c r="B487" t="s">
        <v>3959</v>
      </c>
      <c r="C487" t="s">
        <v>672</v>
      </c>
      <c r="D487" t="s">
        <v>2241</v>
      </c>
      <c r="E487" t="s">
        <v>2242</v>
      </c>
      <c r="F487">
        <v>5857</v>
      </c>
      <c r="G487">
        <v>1717</v>
      </c>
      <c r="H487" s="32">
        <f t="shared" si="7"/>
        <v>3.4111822947000583</v>
      </c>
      <c r="I487">
        <v>1</v>
      </c>
      <c r="J487" t="s">
        <v>21</v>
      </c>
    </row>
    <row r="488" spans="1:10" x14ac:dyDescent="0.25">
      <c r="A488">
        <v>58953</v>
      </c>
      <c r="B488" t="s">
        <v>3343</v>
      </c>
      <c r="C488" t="s">
        <v>131</v>
      </c>
      <c r="D488" t="s">
        <v>2241</v>
      </c>
      <c r="E488" t="s">
        <v>2242</v>
      </c>
      <c r="F488">
        <v>3111</v>
      </c>
      <c r="G488">
        <v>912</v>
      </c>
      <c r="H488" s="32">
        <f t="shared" si="7"/>
        <v>3.4111842105263159</v>
      </c>
      <c r="I488">
        <v>1</v>
      </c>
      <c r="J488" t="s">
        <v>21</v>
      </c>
    </row>
    <row r="489" spans="1:10" x14ac:dyDescent="0.25">
      <c r="A489">
        <v>64096</v>
      </c>
      <c r="B489" t="s">
        <v>4485</v>
      </c>
      <c r="C489" t="s">
        <v>241</v>
      </c>
      <c r="D489" t="s">
        <v>2241</v>
      </c>
      <c r="E489" t="s">
        <v>2242</v>
      </c>
      <c r="F489">
        <v>3111</v>
      </c>
      <c r="G489">
        <v>912</v>
      </c>
      <c r="H489" s="32">
        <f t="shared" si="7"/>
        <v>3.4111842105263159</v>
      </c>
      <c r="I489">
        <v>1</v>
      </c>
      <c r="J489" t="s">
        <v>21</v>
      </c>
    </row>
    <row r="490" spans="1:10" x14ac:dyDescent="0.25">
      <c r="A490">
        <v>58318</v>
      </c>
      <c r="B490" t="s">
        <v>3149</v>
      </c>
      <c r="C490" t="s">
        <v>708</v>
      </c>
      <c r="D490" t="s">
        <v>2241</v>
      </c>
      <c r="E490" t="s">
        <v>2242</v>
      </c>
      <c r="F490">
        <v>4878</v>
      </c>
      <c r="G490">
        <v>1430</v>
      </c>
      <c r="H490" s="32">
        <f t="shared" si="7"/>
        <v>3.4111888111888113</v>
      </c>
      <c r="I490">
        <v>1</v>
      </c>
      <c r="J490" t="s">
        <v>21</v>
      </c>
    </row>
    <row r="491" spans="1:10" x14ac:dyDescent="0.25">
      <c r="A491">
        <v>58491</v>
      </c>
      <c r="B491" t="s">
        <v>3203</v>
      </c>
      <c r="C491" t="s">
        <v>708</v>
      </c>
      <c r="D491" t="s">
        <v>2241</v>
      </c>
      <c r="E491" t="s">
        <v>2242</v>
      </c>
      <c r="F491">
        <v>4206</v>
      </c>
      <c r="G491">
        <v>1233</v>
      </c>
      <c r="H491" s="32">
        <f t="shared" si="7"/>
        <v>3.4111922141119222</v>
      </c>
      <c r="I491">
        <v>1</v>
      </c>
      <c r="J491" t="s">
        <v>21</v>
      </c>
    </row>
    <row r="492" spans="1:10" x14ac:dyDescent="0.25">
      <c r="A492">
        <v>70262</v>
      </c>
      <c r="B492" t="s">
        <v>5434</v>
      </c>
      <c r="C492" t="s">
        <v>307</v>
      </c>
      <c r="D492" t="s">
        <v>2241</v>
      </c>
      <c r="E492" t="s">
        <v>2242</v>
      </c>
      <c r="F492">
        <v>10295</v>
      </c>
      <c r="G492">
        <v>3018</v>
      </c>
      <c r="H492" s="32">
        <f t="shared" si="7"/>
        <v>3.4111994698475812</v>
      </c>
      <c r="I492">
        <v>1</v>
      </c>
      <c r="J492" t="s">
        <v>21</v>
      </c>
    </row>
    <row r="493" spans="1:10" x14ac:dyDescent="0.25">
      <c r="A493">
        <v>59367</v>
      </c>
      <c r="B493" t="s">
        <v>3439</v>
      </c>
      <c r="C493" t="s">
        <v>241</v>
      </c>
      <c r="D493" t="s">
        <v>2241</v>
      </c>
      <c r="E493" t="s">
        <v>2242</v>
      </c>
      <c r="F493">
        <v>2497</v>
      </c>
      <c r="G493">
        <v>732</v>
      </c>
      <c r="H493" s="32">
        <f t="shared" si="7"/>
        <v>3.4112021857923498</v>
      </c>
      <c r="I493">
        <v>1</v>
      </c>
      <c r="J493" t="s">
        <v>21</v>
      </c>
    </row>
    <row r="494" spans="1:10" x14ac:dyDescent="0.25">
      <c r="A494">
        <v>65611</v>
      </c>
      <c r="B494" t="s">
        <v>4779</v>
      </c>
      <c r="C494" t="s">
        <v>307</v>
      </c>
      <c r="D494" t="s">
        <v>2241</v>
      </c>
      <c r="E494" t="s">
        <v>2242</v>
      </c>
      <c r="F494">
        <v>9988</v>
      </c>
      <c r="G494">
        <v>2928</v>
      </c>
      <c r="H494" s="32">
        <f t="shared" si="7"/>
        <v>3.4112021857923498</v>
      </c>
      <c r="I494">
        <v>1</v>
      </c>
      <c r="J494" t="s">
        <v>21</v>
      </c>
    </row>
    <row r="495" spans="1:10" x14ac:dyDescent="0.25">
      <c r="A495">
        <v>69080</v>
      </c>
      <c r="B495" t="s">
        <v>5313</v>
      </c>
      <c r="C495" t="s">
        <v>307</v>
      </c>
      <c r="D495" t="s">
        <v>2241</v>
      </c>
      <c r="E495" t="s">
        <v>2242</v>
      </c>
      <c r="F495">
        <v>9797</v>
      </c>
      <c r="G495">
        <v>2872</v>
      </c>
      <c r="H495" s="32">
        <f t="shared" si="7"/>
        <v>3.4112116991643453</v>
      </c>
      <c r="I495">
        <v>1</v>
      </c>
      <c r="J495" t="s">
        <v>21</v>
      </c>
    </row>
    <row r="496" spans="1:10" x14ac:dyDescent="0.25">
      <c r="A496">
        <v>59904</v>
      </c>
      <c r="B496" t="s">
        <v>3613</v>
      </c>
      <c r="C496" t="s">
        <v>201</v>
      </c>
      <c r="D496" t="s">
        <v>2241</v>
      </c>
      <c r="E496" t="s">
        <v>2242</v>
      </c>
      <c r="F496">
        <v>730</v>
      </c>
      <c r="G496">
        <v>214</v>
      </c>
      <c r="H496" s="32">
        <f t="shared" si="7"/>
        <v>3.4112149532710281</v>
      </c>
      <c r="I496">
        <v>1</v>
      </c>
      <c r="J496" t="s">
        <v>21</v>
      </c>
    </row>
    <row r="497" spans="1:10" x14ac:dyDescent="0.25">
      <c r="A497">
        <v>59989</v>
      </c>
      <c r="B497" t="s">
        <v>3643</v>
      </c>
      <c r="C497" t="s">
        <v>131</v>
      </c>
      <c r="D497" t="s">
        <v>2241</v>
      </c>
      <c r="E497" t="s">
        <v>2242</v>
      </c>
      <c r="F497">
        <v>5110</v>
      </c>
      <c r="G497">
        <v>1498</v>
      </c>
      <c r="H497" s="32">
        <f t="shared" si="7"/>
        <v>3.4112149532710281</v>
      </c>
      <c r="I497">
        <v>1</v>
      </c>
      <c r="J497" t="s">
        <v>21</v>
      </c>
    </row>
    <row r="498" spans="1:10" x14ac:dyDescent="0.25">
      <c r="A498">
        <v>60666</v>
      </c>
      <c r="B498" t="s">
        <v>3835</v>
      </c>
      <c r="C498" t="s">
        <v>307</v>
      </c>
      <c r="D498" t="s">
        <v>2241</v>
      </c>
      <c r="E498" t="s">
        <v>2242</v>
      </c>
      <c r="F498">
        <v>9821</v>
      </c>
      <c r="G498">
        <v>2879</v>
      </c>
      <c r="H498" s="32">
        <f t="shared" si="7"/>
        <v>3.4112539076068078</v>
      </c>
      <c r="I498">
        <v>1</v>
      </c>
      <c r="J498" t="s">
        <v>21</v>
      </c>
    </row>
    <row r="499" spans="1:10" x14ac:dyDescent="0.25">
      <c r="A499">
        <v>59406</v>
      </c>
      <c r="B499" t="s">
        <v>3447</v>
      </c>
      <c r="C499" t="s">
        <v>708</v>
      </c>
      <c r="D499" t="s">
        <v>2241</v>
      </c>
      <c r="E499" t="s">
        <v>2242</v>
      </c>
      <c r="F499">
        <v>11994</v>
      </c>
      <c r="G499">
        <v>3516</v>
      </c>
      <c r="H499" s="32">
        <f t="shared" si="7"/>
        <v>3.4112627986348123</v>
      </c>
      <c r="I499">
        <v>1</v>
      </c>
      <c r="J499" t="s">
        <v>21</v>
      </c>
    </row>
    <row r="500" spans="1:10" x14ac:dyDescent="0.25">
      <c r="A500">
        <v>68755</v>
      </c>
      <c r="B500" t="s">
        <v>5256</v>
      </c>
      <c r="C500" t="s">
        <v>166</v>
      </c>
      <c r="D500" t="s">
        <v>2241</v>
      </c>
      <c r="E500" t="s">
        <v>2242</v>
      </c>
      <c r="F500">
        <v>4421</v>
      </c>
      <c r="G500">
        <v>1296</v>
      </c>
      <c r="H500" s="32">
        <f t="shared" si="7"/>
        <v>3.4112654320987654</v>
      </c>
      <c r="I500">
        <v>1</v>
      </c>
      <c r="J500" t="s">
        <v>21</v>
      </c>
    </row>
    <row r="501" spans="1:10" x14ac:dyDescent="0.25">
      <c r="A501">
        <v>62089</v>
      </c>
      <c r="B501" t="s">
        <v>4106</v>
      </c>
      <c r="C501" t="s">
        <v>708</v>
      </c>
      <c r="D501" t="s">
        <v>2241</v>
      </c>
      <c r="E501" t="s">
        <v>2242</v>
      </c>
      <c r="F501">
        <v>5632</v>
      </c>
      <c r="G501">
        <v>1651</v>
      </c>
      <c r="H501" s="32">
        <f t="shared" si="7"/>
        <v>3.4112658994548757</v>
      </c>
      <c r="I501">
        <v>1</v>
      </c>
      <c r="J501" t="s">
        <v>21</v>
      </c>
    </row>
    <row r="502" spans="1:10" x14ac:dyDescent="0.25">
      <c r="A502">
        <v>58360</v>
      </c>
      <c r="B502" t="s">
        <v>3179</v>
      </c>
      <c r="C502" t="s">
        <v>241</v>
      </c>
      <c r="D502" t="s">
        <v>2241</v>
      </c>
      <c r="E502" t="s">
        <v>2242</v>
      </c>
      <c r="F502">
        <v>8228</v>
      </c>
      <c r="G502">
        <v>2412</v>
      </c>
      <c r="H502" s="32">
        <f t="shared" si="7"/>
        <v>3.4112769485903813</v>
      </c>
      <c r="I502">
        <v>1</v>
      </c>
      <c r="J502" t="s">
        <v>21</v>
      </c>
    </row>
    <row r="503" spans="1:10" x14ac:dyDescent="0.25">
      <c r="A503">
        <v>62616</v>
      </c>
      <c r="B503" t="s">
        <v>4184</v>
      </c>
      <c r="C503" t="s">
        <v>241</v>
      </c>
      <c r="D503" t="s">
        <v>2241</v>
      </c>
      <c r="E503" t="s">
        <v>2242</v>
      </c>
      <c r="F503">
        <v>7498</v>
      </c>
      <c r="G503">
        <v>2198</v>
      </c>
      <c r="H503" s="32">
        <f t="shared" si="7"/>
        <v>3.4112829845313923</v>
      </c>
      <c r="I503">
        <v>1</v>
      </c>
      <c r="J503" t="s">
        <v>21</v>
      </c>
    </row>
    <row r="504" spans="1:10" x14ac:dyDescent="0.25">
      <c r="A504">
        <v>59324</v>
      </c>
      <c r="B504" t="s">
        <v>3431</v>
      </c>
      <c r="C504" t="s">
        <v>322</v>
      </c>
      <c r="D504" t="s">
        <v>2241</v>
      </c>
      <c r="E504" t="s">
        <v>2242</v>
      </c>
      <c r="F504">
        <v>3807</v>
      </c>
      <c r="G504">
        <v>1116</v>
      </c>
      <c r="H504" s="32">
        <f t="shared" si="7"/>
        <v>3.411290322580645</v>
      </c>
      <c r="I504">
        <v>1</v>
      </c>
      <c r="J504" t="s">
        <v>21</v>
      </c>
    </row>
    <row r="505" spans="1:10" x14ac:dyDescent="0.25">
      <c r="A505">
        <v>68393</v>
      </c>
      <c r="B505" t="s">
        <v>5231</v>
      </c>
      <c r="C505" t="s">
        <v>201</v>
      </c>
      <c r="D505" t="s">
        <v>2241</v>
      </c>
      <c r="E505" t="s">
        <v>2242</v>
      </c>
      <c r="F505">
        <v>7191</v>
      </c>
      <c r="G505">
        <v>2108</v>
      </c>
      <c r="H505" s="32">
        <f t="shared" si="7"/>
        <v>3.411290322580645</v>
      </c>
      <c r="I505">
        <v>1</v>
      </c>
      <c r="J505" t="s">
        <v>21</v>
      </c>
    </row>
    <row r="506" spans="1:10" x14ac:dyDescent="0.25">
      <c r="A506">
        <v>58187</v>
      </c>
      <c r="B506" t="s">
        <v>3125</v>
      </c>
      <c r="C506" t="s">
        <v>241</v>
      </c>
      <c r="D506" t="s">
        <v>2241</v>
      </c>
      <c r="E506" t="s">
        <v>2242</v>
      </c>
      <c r="F506">
        <v>7423</v>
      </c>
      <c r="G506">
        <v>2176</v>
      </c>
      <c r="H506" s="32">
        <f t="shared" si="7"/>
        <v>3.4113051470588234</v>
      </c>
      <c r="I506">
        <v>1</v>
      </c>
      <c r="J506" t="s">
        <v>21</v>
      </c>
    </row>
    <row r="507" spans="1:10" x14ac:dyDescent="0.25">
      <c r="A507">
        <v>64513</v>
      </c>
      <c r="B507" t="s">
        <v>4596</v>
      </c>
      <c r="C507" t="s">
        <v>708</v>
      </c>
      <c r="D507" t="s">
        <v>2241</v>
      </c>
      <c r="E507" t="s">
        <v>2242</v>
      </c>
      <c r="F507">
        <v>2712</v>
      </c>
      <c r="G507">
        <v>795</v>
      </c>
      <c r="H507" s="32">
        <f t="shared" si="7"/>
        <v>3.4113207547169813</v>
      </c>
      <c r="I507">
        <v>1</v>
      </c>
      <c r="J507" t="s">
        <v>21</v>
      </c>
    </row>
    <row r="508" spans="1:10" x14ac:dyDescent="0.25">
      <c r="A508">
        <v>58096</v>
      </c>
      <c r="B508" t="s">
        <v>3110</v>
      </c>
      <c r="C508" t="s">
        <v>241</v>
      </c>
      <c r="D508" t="s">
        <v>2241</v>
      </c>
      <c r="E508" t="s">
        <v>2242</v>
      </c>
      <c r="F508">
        <v>6925</v>
      </c>
      <c r="G508">
        <v>2030</v>
      </c>
      <c r="H508" s="32">
        <f t="shared" si="7"/>
        <v>3.4113300492610836</v>
      </c>
      <c r="I508">
        <v>1</v>
      </c>
      <c r="J508" t="s">
        <v>21</v>
      </c>
    </row>
    <row r="509" spans="1:10" x14ac:dyDescent="0.25">
      <c r="A509">
        <v>64422</v>
      </c>
      <c r="B509" t="s">
        <v>4560</v>
      </c>
      <c r="C509" t="s">
        <v>241</v>
      </c>
      <c r="D509" t="s">
        <v>2241</v>
      </c>
      <c r="E509" t="s">
        <v>2242</v>
      </c>
      <c r="F509">
        <v>4752</v>
      </c>
      <c r="G509">
        <v>1393</v>
      </c>
      <c r="H509" s="32">
        <f t="shared" si="7"/>
        <v>3.4113424264178032</v>
      </c>
      <c r="I509">
        <v>1</v>
      </c>
      <c r="J509" t="s">
        <v>21</v>
      </c>
    </row>
    <row r="510" spans="1:10" x14ac:dyDescent="0.25">
      <c r="A510">
        <v>65497</v>
      </c>
      <c r="B510" t="s">
        <v>4757</v>
      </c>
      <c r="C510" t="s">
        <v>250</v>
      </c>
      <c r="D510" t="s">
        <v>2241</v>
      </c>
      <c r="E510" t="s">
        <v>2242</v>
      </c>
      <c r="F510">
        <v>3848</v>
      </c>
      <c r="G510">
        <v>1128</v>
      </c>
      <c r="H510" s="32">
        <f t="shared" si="7"/>
        <v>3.4113475177304964</v>
      </c>
      <c r="I510">
        <v>1</v>
      </c>
      <c r="J510" t="s">
        <v>21</v>
      </c>
    </row>
    <row r="511" spans="1:10" x14ac:dyDescent="0.25">
      <c r="A511">
        <v>60036</v>
      </c>
      <c r="B511" t="s">
        <v>3655</v>
      </c>
      <c r="C511" t="s">
        <v>307</v>
      </c>
      <c r="D511" t="s">
        <v>2241</v>
      </c>
      <c r="E511" t="s">
        <v>2242</v>
      </c>
      <c r="F511">
        <v>8774</v>
      </c>
      <c r="G511">
        <v>2572</v>
      </c>
      <c r="H511" s="32">
        <f t="shared" si="7"/>
        <v>3.411353032659409</v>
      </c>
      <c r="I511">
        <v>1</v>
      </c>
      <c r="J511" t="s">
        <v>21</v>
      </c>
    </row>
    <row r="512" spans="1:10" x14ac:dyDescent="0.25">
      <c r="A512">
        <v>59835</v>
      </c>
      <c r="B512" t="s">
        <v>3595</v>
      </c>
      <c r="C512" t="s">
        <v>708</v>
      </c>
      <c r="D512" t="s">
        <v>2241</v>
      </c>
      <c r="E512" t="s">
        <v>2242</v>
      </c>
      <c r="F512">
        <v>10275</v>
      </c>
      <c r="G512">
        <v>3012</v>
      </c>
      <c r="H512" s="32">
        <f t="shared" si="7"/>
        <v>3.4113545816733066</v>
      </c>
      <c r="I512">
        <v>1</v>
      </c>
      <c r="J512" t="s">
        <v>21</v>
      </c>
    </row>
    <row r="513" spans="1:10" x14ac:dyDescent="0.25">
      <c r="A513">
        <v>61465</v>
      </c>
      <c r="B513" t="s">
        <v>4021</v>
      </c>
      <c r="C513" t="s">
        <v>307</v>
      </c>
      <c r="D513" t="s">
        <v>2241</v>
      </c>
      <c r="E513" t="s">
        <v>2242</v>
      </c>
      <c r="F513">
        <v>7870</v>
      </c>
      <c r="G513">
        <v>2307</v>
      </c>
      <c r="H513" s="32">
        <f t="shared" si="7"/>
        <v>3.4113567403554401</v>
      </c>
      <c r="I513">
        <v>1</v>
      </c>
      <c r="J513" t="s">
        <v>21</v>
      </c>
    </row>
    <row r="514" spans="1:10" x14ac:dyDescent="0.25">
      <c r="A514">
        <v>59019</v>
      </c>
      <c r="B514" t="s">
        <v>3353</v>
      </c>
      <c r="C514" t="s">
        <v>131</v>
      </c>
      <c r="D514" t="s">
        <v>2241</v>
      </c>
      <c r="E514" t="s">
        <v>2242</v>
      </c>
      <c r="F514">
        <v>8890</v>
      </c>
      <c r="G514">
        <v>2606</v>
      </c>
      <c r="H514" s="32">
        <f t="shared" ref="H514:H577" si="8">IF(AND(F514&gt;0,G514&gt;0),F514/G514,"")</f>
        <v>3.4113584036838067</v>
      </c>
      <c r="I514">
        <v>1</v>
      </c>
      <c r="J514" t="s">
        <v>21</v>
      </c>
    </row>
    <row r="515" spans="1:10" x14ac:dyDescent="0.25">
      <c r="A515">
        <v>68161</v>
      </c>
      <c r="B515" t="s">
        <v>5217</v>
      </c>
      <c r="C515" t="s">
        <v>322</v>
      </c>
      <c r="D515" t="s">
        <v>2241</v>
      </c>
      <c r="E515" t="s">
        <v>2242</v>
      </c>
      <c r="F515">
        <v>6410</v>
      </c>
      <c r="G515">
        <v>1879</v>
      </c>
      <c r="H515" s="32">
        <f t="shared" si="8"/>
        <v>3.4113890367216606</v>
      </c>
      <c r="I515">
        <v>1</v>
      </c>
      <c r="J515" t="s">
        <v>21</v>
      </c>
    </row>
    <row r="516" spans="1:10" x14ac:dyDescent="0.25">
      <c r="A516">
        <v>63523</v>
      </c>
      <c r="B516" t="s">
        <v>4367</v>
      </c>
      <c r="C516" t="s">
        <v>307</v>
      </c>
      <c r="D516" t="s">
        <v>2241</v>
      </c>
      <c r="E516" t="s">
        <v>2242</v>
      </c>
      <c r="F516">
        <v>8027</v>
      </c>
      <c r="G516">
        <v>2353</v>
      </c>
      <c r="H516" s="32">
        <f t="shared" si="8"/>
        <v>3.4113897152571186</v>
      </c>
      <c r="I516">
        <v>1</v>
      </c>
      <c r="J516" t="s">
        <v>21</v>
      </c>
    </row>
    <row r="517" spans="1:10" x14ac:dyDescent="0.25">
      <c r="A517">
        <v>57768</v>
      </c>
      <c r="B517" t="s">
        <v>3050</v>
      </c>
      <c r="C517" t="s">
        <v>143</v>
      </c>
      <c r="D517" t="s">
        <v>2241</v>
      </c>
      <c r="E517" t="s">
        <v>2242</v>
      </c>
      <c r="F517">
        <v>5929</v>
      </c>
      <c r="G517">
        <v>1738</v>
      </c>
      <c r="H517" s="32">
        <f t="shared" si="8"/>
        <v>3.4113924050632911</v>
      </c>
      <c r="I517">
        <v>1</v>
      </c>
      <c r="J517" t="s">
        <v>21</v>
      </c>
    </row>
    <row r="518" spans="1:10" x14ac:dyDescent="0.25">
      <c r="A518">
        <v>59984</v>
      </c>
      <c r="B518" t="s">
        <v>3638</v>
      </c>
      <c r="C518" t="s">
        <v>131</v>
      </c>
      <c r="D518" t="s">
        <v>2241</v>
      </c>
      <c r="E518" t="s">
        <v>2242</v>
      </c>
      <c r="F518">
        <v>1078</v>
      </c>
      <c r="G518">
        <v>316</v>
      </c>
      <c r="H518" s="32">
        <f t="shared" si="8"/>
        <v>3.4113924050632911</v>
      </c>
      <c r="I518">
        <v>1</v>
      </c>
      <c r="J518" t="s">
        <v>21</v>
      </c>
    </row>
    <row r="519" spans="1:10" x14ac:dyDescent="0.25">
      <c r="A519">
        <v>63200</v>
      </c>
      <c r="B519" t="s">
        <v>4304</v>
      </c>
      <c r="C519" t="s">
        <v>241</v>
      </c>
      <c r="D519" t="s">
        <v>2241</v>
      </c>
      <c r="E519" t="s">
        <v>2242</v>
      </c>
      <c r="F519">
        <v>5390</v>
      </c>
      <c r="G519">
        <v>1580</v>
      </c>
      <c r="H519" s="32">
        <f t="shared" si="8"/>
        <v>3.4113924050632911</v>
      </c>
      <c r="I519">
        <v>1</v>
      </c>
      <c r="J519" t="s">
        <v>21</v>
      </c>
    </row>
    <row r="520" spans="1:10" x14ac:dyDescent="0.25">
      <c r="A520">
        <v>68919</v>
      </c>
      <c r="B520" t="s">
        <v>5275</v>
      </c>
      <c r="C520" t="s">
        <v>166</v>
      </c>
      <c r="D520" t="s">
        <v>2241</v>
      </c>
      <c r="E520" t="s">
        <v>2242</v>
      </c>
      <c r="F520">
        <v>1078</v>
      </c>
      <c r="G520">
        <v>316</v>
      </c>
      <c r="H520" s="32">
        <f t="shared" si="8"/>
        <v>3.4113924050632911</v>
      </c>
      <c r="I520">
        <v>1</v>
      </c>
      <c r="J520" t="s">
        <v>21</v>
      </c>
    </row>
    <row r="521" spans="1:10" x14ac:dyDescent="0.25">
      <c r="A521">
        <v>63654</v>
      </c>
      <c r="B521" t="s">
        <v>4382</v>
      </c>
      <c r="C521" t="s">
        <v>307</v>
      </c>
      <c r="D521" t="s">
        <v>2241</v>
      </c>
      <c r="E521" t="s">
        <v>2242</v>
      </c>
      <c r="F521">
        <v>6045</v>
      </c>
      <c r="G521">
        <v>1772</v>
      </c>
      <c r="H521" s="32">
        <f t="shared" si="8"/>
        <v>3.4113995485327315</v>
      </c>
      <c r="I521">
        <v>1</v>
      </c>
      <c r="J521" t="s">
        <v>21</v>
      </c>
    </row>
    <row r="522" spans="1:10" x14ac:dyDescent="0.25">
      <c r="A522">
        <v>61883</v>
      </c>
      <c r="B522" t="s">
        <v>4080</v>
      </c>
      <c r="C522" t="s">
        <v>708</v>
      </c>
      <c r="D522" t="s">
        <v>2241</v>
      </c>
      <c r="E522" t="s">
        <v>2242</v>
      </c>
      <c r="F522">
        <v>6103</v>
      </c>
      <c r="G522">
        <v>1789</v>
      </c>
      <c r="H522" s="32">
        <f t="shared" si="8"/>
        <v>3.4114030184460593</v>
      </c>
      <c r="I522">
        <v>1</v>
      </c>
      <c r="J522" t="s">
        <v>21</v>
      </c>
    </row>
    <row r="523" spans="1:10" x14ac:dyDescent="0.25">
      <c r="A523">
        <v>60496</v>
      </c>
      <c r="B523" t="s">
        <v>3788</v>
      </c>
      <c r="C523" t="s">
        <v>307</v>
      </c>
      <c r="D523" t="s">
        <v>2241</v>
      </c>
      <c r="E523" t="s">
        <v>2242</v>
      </c>
      <c r="F523">
        <v>7952</v>
      </c>
      <c r="G523">
        <v>2331</v>
      </c>
      <c r="H523" s="32">
        <f t="shared" si="8"/>
        <v>3.4114114114114114</v>
      </c>
      <c r="I523">
        <v>1</v>
      </c>
      <c r="J523" t="s">
        <v>21</v>
      </c>
    </row>
    <row r="524" spans="1:10" x14ac:dyDescent="0.25">
      <c r="A524">
        <v>63085</v>
      </c>
      <c r="B524" t="s">
        <v>4293</v>
      </c>
      <c r="C524" t="s">
        <v>307</v>
      </c>
      <c r="D524" t="s">
        <v>2241</v>
      </c>
      <c r="E524" t="s">
        <v>2242</v>
      </c>
      <c r="F524">
        <v>9743</v>
      </c>
      <c r="G524">
        <v>2856</v>
      </c>
      <c r="H524" s="32">
        <f t="shared" si="8"/>
        <v>3.4114145658263304</v>
      </c>
      <c r="I524">
        <v>1</v>
      </c>
      <c r="J524" t="s">
        <v>21</v>
      </c>
    </row>
    <row r="525" spans="1:10" x14ac:dyDescent="0.25">
      <c r="A525">
        <v>57848</v>
      </c>
      <c r="B525" t="s">
        <v>3062</v>
      </c>
      <c r="C525" t="s">
        <v>241</v>
      </c>
      <c r="D525" t="s">
        <v>2241</v>
      </c>
      <c r="E525" t="s">
        <v>2242</v>
      </c>
      <c r="F525">
        <v>2330</v>
      </c>
      <c r="G525">
        <v>683</v>
      </c>
      <c r="H525" s="32">
        <f t="shared" si="8"/>
        <v>3.4114202049780382</v>
      </c>
      <c r="I525">
        <v>1</v>
      </c>
      <c r="J525" t="s">
        <v>21</v>
      </c>
    </row>
    <row r="526" spans="1:10" x14ac:dyDescent="0.25">
      <c r="A526">
        <v>68920</v>
      </c>
      <c r="B526" t="s">
        <v>5276</v>
      </c>
      <c r="C526" t="s">
        <v>166</v>
      </c>
      <c r="D526" t="s">
        <v>2241</v>
      </c>
      <c r="E526" t="s">
        <v>2242</v>
      </c>
      <c r="F526">
        <v>5854</v>
      </c>
      <c r="G526">
        <v>1716</v>
      </c>
      <c r="H526" s="32">
        <f t="shared" si="8"/>
        <v>3.4114219114219115</v>
      </c>
      <c r="I526">
        <v>1</v>
      </c>
      <c r="J526" t="s">
        <v>21</v>
      </c>
    </row>
    <row r="527" spans="1:10" x14ac:dyDescent="0.25">
      <c r="A527">
        <v>63524</v>
      </c>
      <c r="B527" t="s">
        <v>4368</v>
      </c>
      <c r="C527" t="s">
        <v>307</v>
      </c>
      <c r="D527" t="s">
        <v>2241</v>
      </c>
      <c r="E527" t="s">
        <v>2242</v>
      </c>
      <c r="F527">
        <v>9975</v>
      </c>
      <c r="G527">
        <v>2924</v>
      </c>
      <c r="H527" s="32">
        <f t="shared" si="8"/>
        <v>3.4114227086183311</v>
      </c>
      <c r="I527">
        <v>1</v>
      </c>
      <c r="J527" t="s">
        <v>21</v>
      </c>
    </row>
    <row r="528" spans="1:10" x14ac:dyDescent="0.25">
      <c r="A528">
        <v>59834</v>
      </c>
      <c r="B528" t="s">
        <v>3594</v>
      </c>
      <c r="C528" t="s">
        <v>131</v>
      </c>
      <c r="D528" t="s">
        <v>2241</v>
      </c>
      <c r="E528" t="s">
        <v>2242</v>
      </c>
      <c r="F528">
        <v>4179</v>
      </c>
      <c r="G528">
        <v>1225</v>
      </c>
      <c r="H528" s="32">
        <f t="shared" si="8"/>
        <v>3.4114285714285715</v>
      </c>
      <c r="I528">
        <v>1</v>
      </c>
      <c r="J528" t="s">
        <v>21</v>
      </c>
    </row>
    <row r="529" spans="1:10" x14ac:dyDescent="0.25">
      <c r="A529">
        <v>60808</v>
      </c>
      <c r="B529" t="s">
        <v>3881</v>
      </c>
      <c r="C529" t="s">
        <v>241</v>
      </c>
      <c r="D529" t="s">
        <v>2241</v>
      </c>
      <c r="E529" t="s">
        <v>2242</v>
      </c>
      <c r="F529">
        <v>597</v>
      </c>
      <c r="G529">
        <v>175</v>
      </c>
      <c r="H529" s="32">
        <f t="shared" si="8"/>
        <v>3.4114285714285715</v>
      </c>
      <c r="I529">
        <v>1</v>
      </c>
      <c r="J529" t="s">
        <v>21</v>
      </c>
    </row>
    <row r="530" spans="1:10" x14ac:dyDescent="0.25">
      <c r="A530">
        <v>68573</v>
      </c>
      <c r="B530" t="s">
        <v>5245</v>
      </c>
      <c r="C530" t="s">
        <v>166</v>
      </c>
      <c r="D530" t="s">
        <v>2241</v>
      </c>
      <c r="E530" t="s">
        <v>2242</v>
      </c>
      <c r="F530">
        <v>3582</v>
      </c>
      <c r="G530">
        <v>1050</v>
      </c>
      <c r="H530" s="32">
        <f t="shared" si="8"/>
        <v>3.4114285714285715</v>
      </c>
      <c r="I530">
        <v>1</v>
      </c>
      <c r="J530" t="s">
        <v>21</v>
      </c>
    </row>
    <row r="531" spans="1:10" x14ac:dyDescent="0.25">
      <c r="A531">
        <v>59956</v>
      </c>
      <c r="B531" t="s">
        <v>3632</v>
      </c>
      <c r="C531" t="s">
        <v>708</v>
      </c>
      <c r="D531" t="s">
        <v>2241</v>
      </c>
      <c r="E531" t="s">
        <v>2242</v>
      </c>
      <c r="F531">
        <v>6625</v>
      </c>
      <c r="G531">
        <v>1942</v>
      </c>
      <c r="H531" s="32">
        <f t="shared" si="8"/>
        <v>3.4114315139031928</v>
      </c>
      <c r="I531">
        <v>1</v>
      </c>
      <c r="J531" t="s">
        <v>21</v>
      </c>
    </row>
    <row r="532" spans="1:10" x14ac:dyDescent="0.25">
      <c r="A532">
        <v>64343</v>
      </c>
      <c r="B532" t="s">
        <v>4545</v>
      </c>
      <c r="C532" t="s">
        <v>307</v>
      </c>
      <c r="D532" t="s">
        <v>2241</v>
      </c>
      <c r="E532" t="s">
        <v>2242</v>
      </c>
      <c r="F532">
        <v>5431</v>
      </c>
      <c r="G532">
        <v>1592</v>
      </c>
      <c r="H532" s="32">
        <f t="shared" si="8"/>
        <v>3.4114321608040199</v>
      </c>
      <c r="I532">
        <v>1</v>
      </c>
      <c r="J532" t="s">
        <v>21</v>
      </c>
    </row>
    <row r="533" spans="1:10" x14ac:dyDescent="0.25">
      <c r="A533">
        <v>66121</v>
      </c>
      <c r="B533" t="s">
        <v>4862</v>
      </c>
      <c r="C533" t="s">
        <v>201</v>
      </c>
      <c r="D533" t="s">
        <v>2241</v>
      </c>
      <c r="E533" t="s">
        <v>2242</v>
      </c>
      <c r="F533">
        <v>12172</v>
      </c>
      <c r="G533">
        <v>3568</v>
      </c>
      <c r="H533" s="32">
        <f t="shared" si="8"/>
        <v>3.4114349775784754</v>
      </c>
      <c r="I533">
        <v>1</v>
      </c>
      <c r="J533" t="s">
        <v>21</v>
      </c>
    </row>
    <row r="534" spans="1:10" x14ac:dyDescent="0.25">
      <c r="A534">
        <v>66770</v>
      </c>
      <c r="B534" t="s">
        <v>4960</v>
      </c>
      <c r="C534" t="s">
        <v>307</v>
      </c>
      <c r="D534" t="s">
        <v>2241</v>
      </c>
      <c r="E534" t="s">
        <v>2242</v>
      </c>
      <c r="F534">
        <v>6915</v>
      </c>
      <c r="G534">
        <v>2027</v>
      </c>
      <c r="H534" s="32">
        <f t="shared" si="8"/>
        <v>3.4114454859398124</v>
      </c>
      <c r="I534">
        <v>1</v>
      </c>
      <c r="J534" t="s">
        <v>21</v>
      </c>
    </row>
    <row r="535" spans="1:10" x14ac:dyDescent="0.25">
      <c r="A535">
        <v>67397</v>
      </c>
      <c r="B535" t="s">
        <v>5091</v>
      </c>
      <c r="C535" t="s">
        <v>307</v>
      </c>
      <c r="D535" t="s">
        <v>2241</v>
      </c>
      <c r="E535" t="s">
        <v>2242</v>
      </c>
      <c r="F535">
        <v>12926</v>
      </c>
      <c r="G535">
        <v>3789</v>
      </c>
      <c r="H535" s="32">
        <f t="shared" si="8"/>
        <v>3.4114542095539719</v>
      </c>
      <c r="I535">
        <v>1</v>
      </c>
      <c r="J535" t="s">
        <v>21</v>
      </c>
    </row>
    <row r="536" spans="1:10" x14ac:dyDescent="0.25">
      <c r="A536">
        <v>57864</v>
      </c>
      <c r="B536" t="s">
        <v>3067</v>
      </c>
      <c r="C536" t="s">
        <v>241</v>
      </c>
      <c r="D536" t="s">
        <v>2241</v>
      </c>
      <c r="E536" t="s">
        <v>2242</v>
      </c>
      <c r="F536">
        <v>3930</v>
      </c>
      <c r="G536">
        <v>1152</v>
      </c>
      <c r="H536" s="32">
        <f t="shared" si="8"/>
        <v>3.4114583333333335</v>
      </c>
      <c r="I536">
        <v>1</v>
      </c>
      <c r="J536" t="s">
        <v>21</v>
      </c>
    </row>
    <row r="537" spans="1:10" x14ac:dyDescent="0.25">
      <c r="A537">
        <v>65167</v>
      </c>
      <c r="B537" t="s">
        <v>4694</v>
      </c>
      <c r="C537" t="s">
        <v>241</v>
      </c>
      <c r="D537" t="s">
        <v>2241</v>
      </c>
      <c r="E537" t="s">
        <v>2242</v>
      </c>
      <c r="F537">
        <v>6724</v>
      </c>
      <c r="G537">
        <v>1971</v>
      </c>
      <c r="H537" s="32">
        <f t="shared" si="8"/>
        <v>3.4114662607813293</v>
      </c>
      <c r="I537">
        <v>1</v>
      </c>
      <c r="J537" t="s">
        <v>21</v>
      </c>
    </row>
    <row r="538" spans="1:10" x14ac:dyDescent="0.25">
      <c r="A538">
        <v>59248</v>
      </c>
      <c r="B538" t="s">
        <v>3423</v>
      </c>
      <c r="C538" t="s">
        <v>241</v>
      </c>
      <c r="D538" t="s">
        <v>2241</v>
      </c>
      <c r="E538" t="s">
        <v>2242</v>
      </c>
      <c r="F538">
        <v>2023</v>
      </c>
      <c r="G538">
        <v>593</v>
      </c>
      <c r="H538" s="32">
        <f t="shared" si="8"/>
        <v>3.4114671163575041</v>
      </c>
      <c r="I538">
        <v>1</v>
      </c>
      <c r="J538" t="s">
        <v>21</v>
      </c>
    </row>
    <row r="539" spans="1:10" x14ac:dyDescent="0.25">
      <c r="A539">
        <v>62018</v>
      </c>
      <c r="B539" t="s">
        <v>4100</v>
      </c>
      <c r="C539" t="s">
        <v>708</v>
      </c>
      <c r="D539" t="s">
        <v>2241</v>
      </c>
      <c r="E539" t="s">
        <v>2242</v>
      </c>
      <c r="F539">
        <v>8266</v>
      </c>
      <c r="G539">
        <v>2423</v>
      </c>
      <c r="H539" s="32">
        <f t="shared" si="8"/>
        <v>3.4114733801073052</v>
      </c>
      <c r="I539">
        <v>1</v>
      </c>
      <c r="J539" t="s">
        <v>21</v>
      </c>
    </row>
    <row r="540" spans="1:10" x14ac:dyDescent="0.25">
      <c r="A540">
        <v>57879</v>
      </c>
      <c r="B540" t="s">
        <v>3070</v>
      </c>
      <c r="C540" t="s">
        <v>307</v>
      </c>
      <c r="D540" t="s">
        <v>2241</v>
      </c>
      <c r="E540" t="s">
        <v>2242</v>
      </c>
      <c r="F540">
        <v>4875</v>
      </c>
      <c r="G540">
        <v>1429</v>
      </c>
      <c r="H540" s="32">
        <f t="shared" si="8"/>
        <v>3.41147655703289</v>
      </c>
      <c r="I540">
        <v>1</v>
      </c>
      <c r="J540" t="s">
        <v>21</v>
      </c>
    </row>
    <row r="541" spans="1:10" x14ac:dyDescent="0.25">
      <c r="A541">
        <v>64516</v>
      </c>
      <c r="B541" t="s">
        <v>4598</v>
      </c>
      <c r="C541" t="s">
        <v>708</v>
      </c>
      <c r="D541" t="s">
        <v>2241</v>
      </c>
      <c r="E541" t="s">
        <v>2242</v>
      </c>
      <c r="F541">
        <v>12834</v>
      </c>
      <c r="G541">
        <v>3762</v>
      </c>
      <c r="H541" s="32">
        <f t="shared" si="8"/>
        <v>3.4114832535885169</v>
      </c>
      <c r="I541">
        <v>1</v>
      </c>
      <c r="J541" t="s">
        <v>21</v>
      </c>
    </row>
    <row r="542" spans="1:10" x14ac:dyDescent="0.25">
      <c r="A542">
        <v>67458</v>
      </c>
      <c r="B542" t="s">
        <v>5099</v>
      </c>
      <c r="C542" t="s">
        <v>307</v>
      </c>
      <c r="D542" t="s">
        <v>2241</v>
      </c>
      <c r="E542" t="s">
        <v>2242</v>
      </c>
      <c r="F542">
        <v>2139</v>
      </c>
      <c r="G542">
        <v>627</v>
      </c>
      <c r="H542" s="32">
        <f t="shared" si="8"/>
        <v>3.4114832535885169</v>
      </c>
      <c r="I542">
        <v>1</v>
      </c>
      <c r="J542" t="s">
        <v>21</v>
      </c>
    </row>
    <row r="543" spans="1:10" x14ac:dyDescent="0.25">
      <c r="A543">
        <v>58082</v>
      </c>
      <c r="B543" t="s">
        <v>3106</v>
      </c>
      <c r="C543" t="s">
        <v>322</v>
      </c>
      <c r="D543" t="s">
        <v>2241</v>
      </c>
      <c r="E543" t="s">
        <v>2242</v>
      </c>
      <c r="F543">
        <v>14376</v>
      </c>
      <c r="G543">
        <v>4214</v>
      </c>
      <c r="H543" s="32">
        <f t="shared" si="8"/>
        <v>3.4114855244423352</v>
      </c>
      <c r="I543">
        <v>1</v>
      </c>
      <c r="J543" t="s">
        <v>21</v>
      </c>
    </row>
    <row r="544" spans="1:10" x14ac:dyDescent="0.25">
      <c r="A544">
        <v>59189</v>
      </c>
      <c r="B544" t="s">
        <v>3417</v>
      </c>
      <c r="C544" t="s">
        <v>708</v>
      </c>
      <c r="D544" t="s">
        <v>2241</v>
      </c>
      <c r="E544" t="s">
        <v>2242</v>
      </c>
      <c r="F544">
        <v>13240</v>
      </c>
      <c r="G544">
        <v>3881</v>
      </c>
      <c r="H544" s="32">
        <f t="shared" si="8"/>
        <v>3.4114918835351715</v>
      </c>
      <c r="I544">
        <v>1</v>
      </c>
      <c r="J544" t="s">
        <v>21</v>
      </c>
    </row>
    <row r="545" spans="1:10" x14ac:dyDescent="0.25">
      <c r="A545">
        <v>69564</v>
      </c>
      <c r="B545" t="s">
        <v>5377</v>
      </c>
      <c r="C545" t="s">
        <v>708</v>
      </c>
      <c r="D545" t="s">
        <v>2241</v>
      </c>
      <c r="E545" t="s">
        <v>2242</v>
      </c>
      <c r="F545">
        <v>8846</v>
      </c>
      <c r="G545">
        <v>2593</v>
      </c>
      <c r="H545" s="32">
        <f t="shared" si="8"/>
        <v>3.4114924797531816</v>
      </c>
      <c r="I545">
        <v>1</v>
      </c>
      <c r="J545" t="s">
        <v>21</v>
      </c>
    </row>
    <row r="546" spans="1:10" x14ac:dyDescent="0.25">
      <c r="A546">
        <v>58359</v>
      </c>
      <c r="B546" t="s">
        <v>3178</v>
      </c>
      <c r="C546" t="s">
        <v>241</v>
      </c>
      <c r="D546" t="s">
        <v>2241</v>
      </c>
      <c r="E546" t="s">
        <v>2242</v>
      </c>
      <c r="F546">
        <v>7478</v>
      </c>
      <c r="G546">
        <v>2192</v>
      </c>
      <c r="H546" s="32">
        <f t="shared" si="8"/>
        <v>3.4114963503649633</v>
      </c>
      <c r="I546">
        <v>1</v>
      </c>
      <c r="J546" t="s">
        <v>21</v>
      </c>
    </row>
    <row r="547" spans="1:10" x14ac:dyDescent="0.25">
      <c r="A547">
        <v>58881</v>
      </c>
      <c r="B547" t="s">
        <v>3326</v>
      </c>
      <c r="C547" t="s">
        <v>241</v>
      </c>
      <c r="D547" t="s">
        <v>2241</v>
      </c>
      <c r="E547" t="s">
        <v>2242</v>
      </c>
      <c r="F547">
        <v>9849</v>
      </c>
      <c r="G547">
        <v>2887</v>
      </c>
      <c r="H547" s="32">
        <f t="shared" si="8"/>
        <v>3.4114998268098371</v>
      </c>
      <c r="I547">
        <v>1</v>
      </c>
      <c r="J547" t="s">
        <v>21</v>
      </c>
    </row>
    <row r="548" spans="1:10" x14ac:dyDescent="0.25">
      <c r="A548">
        <v>63825</v>
      </c>
      <c r="B548" t="s">
        <v>4417</v>
      </c>
      <c r="C548" t="s">
        <v>166</v>
      </c>
      <c r="D548" t="s">
        <v>2241</v>
      </c>
      <c r="E548" t="s">
        <v>2242</v>
      </c>
      <c r="F548">
        <v>6823</v>
      </c>
      <c r="G548">
        <v>2000</v>
      </c>
      <c r="H548" s="32">
        <f t="shared" si="8"/>
        <v>3.4115000000000002</v>
      </c>
      <c r="I548">
        <v>1</v>
      </c>
      <c r="J548" t="s">
        <v>21</v>
      </c>
    </row>
    <row r="549" spans="1:10" x14ac:dyDescent="0.25">
      <c r="A549">
        <v>67810</v>
      </c>
      <c r="B549" t="s">
        <v>5177</v>
      </c>
      <c r="C549" t="s">
        <v>241</v>
      </c>
      <c r="D549" t="s">
        <v>2241</v>
      </c>
      <c r="E549" t="s">
        <v>2242</v>
      </c>
      <c r="F549">
        <v>5397</v>
      </c>
      <c r="G549">
        <v>1582</v>
      </c>
      <c r="H549" s="32">
        <f t="shared" si="8"/>
        <v>3.4115044247787609</v>
      </c>
      <c r="I549">
        <v>1</v>
      </c>
      <c r="J549" t="s">
        <v>21</v>
      </c>
    </row>
    <row r="550" spans="1:10" x14ac:dyDescent="0.25">
      <c r="A550">
        <v>63260</v>
      </c>
      <c r="B550" t="s">
        <v>4313</v>
      </c>
      <c r="C550" t="s">
        <v>241</v>
      </c>
      <c r="D550" t="s">
        <v>2241</v>
      </c>
      <c r="E550" t="s">
        <v>2242</v>
      </c>
      <c r="F550">
        <v>6997</v>
      </c>
      <c r="G550">
        <v>2051</v>
      </c>
      <c r="H550" s="32">
        <f t="shared" si="8"/>
        <v>3.4115065821550461</v>
      </c>
      <c r="I550">
        <v>1</v>
      </c>
      <c r="J550" t="s">
        <v>21</v>
      </c>
    </row>
    <row r="551" spans="1:10" x14ac:dyDescent="0.25">
      <c r="A551">
        <v>57384</v>
      </c>
      <c r="B551" t="s">
        <v>2980</v>
      </c>
      <c r="C551" t="s">
        <v>241</v>
      </c>
      <c r="D551" t="s">
        <v>2241</v>
      </c>
      <c r="E551" t="s">
        <v>2242</v>
      </c>
      <c r="F551">
        <v>4684</v>
      </c>
      <c r="G551">
        <v>1373</v>
      </c>
      <c r="H551" s="32">
        <f t="shared" si="8"/>
        <v>3.4115076474872543</v>
      </c>
      <c r="I551">
        <v>1</v>
      </c>
      <c r="J551" t="s">
        <v>21</v>
      </c>
    </row>
    <row r="552" spans="1:10" x14ac:dyDescent="0.25">
      <c r="A552">
        <v>59553</v>
      </c>
      <c r="B552" t="s">
        <v>3509</v>
      </c>
      <c r="C552" t="s">
        <v>708</v>
      </c>
      <c r="D552" t="s">
        <v>2241</v>
      </c>
      <c r="E552" t="s">
        <v>2242</v>
      </c>
      <c r="F552">
        <v>4684</v>
      </c>
      <c r="G552">
        <v>1373</v>
      </c>
      <c r="H552" s="32">
        <f t="shared" si="8"/>
        <v>3.4115076474872543</v>
      </c>
      <c r="I552">
        <v>1</v>
      </c>
      <c r="J552" t="s">
        <v>21</v>
      </c>
    </row>
    <row r="553" spans="1:10" x14ac:dyDescent="0.25">
      <c r="A553">
        <v>69401</v>
      </c>
      <c r="B553" t="s">
        <v>5361</v>
      </c>
      <c r="C553" t="s">
        <v>166</v>
      </c>
      <c r="D553" t="s">
        <v>2241</v>
      </c>
      <c r="E553" t="s">
        <v>2242</v>
      </c>
      <c r="F553">
        <v>8597</v>
      </c>
      <c r="G553">
        <v>2520</v>
      </c>
      <c r="H553" s="32">
        <f t="shared" si="8"/>
        <v>3.4115079365079364</v>
      </c>
      <c r="I553">
        <v>1</v>
      </c>
      <c r="J553" t="s">
        <v>21</v>
      </c>
    </row>
    <row r="554" spans="1:10" x14ac:dyDescent="0.25">
      <c r="A554">
        <v>69141</v>
      </c>
      <c r="B554" t="s">
        <v>5328</v>
      </c>
      <c r="C554" t="s">
        <v>672</v>
      </c>
      <c r="D554" t="s">
        <v>2241</v>
      </c>
      <c r="E554" t="s">
        <v>2242</v>
      </c>
      <c r="F554">
        <v>7826</v>
      </c>
      <c r="G554">
        <v>2294</v>
      </c>
      <c r="H554" s="32">
        <f t="shared" si="8"/>
        <v>3.4115082824760243</v>
      </c>
      <c r="I554">
        <v>1</v>
      </c>
      <c r="J554" t="s">
        <v>21</v>
      </c>
    </row>
    <row r="555" spans="1:10" x14ac:dyDescent="0.25">
      <c r="A555">
        <v>62794</v>
      </c>
      <c r="B555" t="s">
        <v>4235</v>
      </c>
      <c r="C555" t="s">
        <v>131</v>
      </c>
      <c r="D555" t="s">
        <v>2241</v>
      </c>
      <c r="E555" t="s">
        <v>2242</v>
      </c>
      <c r="F555">
        <v>6342</v>
      </c>
      <c r="G555">
        <v>1859</v>
      </c>
      <c r="H555" s="32">
        <f t="shared" si="8"/>
        <v>3.4115115653577193</v>
      </c>
      <c r="I555">
        <v>1</v>
      </c>
      <c r="J555" t="s">
        <v>21</v>
      </c>
    </row>
    <row r="556" spans="1:10" x14ac:dyDescent="0.25">
      <c r="A556">
        <v>69221</v>
      </c>
      <c r="B556" t="s">
        <v>5340</v>
      </c>
      <c r="C556" t="s">
        <v>241</v>
      </c>
      <c r="D556" t="s">
        <v>2241</v>
      </c>
      <c r="E556" t="s">
        <v>2242</v>
      </c>
      <c r="F556">
        <v>1600</v>
      </c>
      <c r="G556">
        <v>469</v>
      </c>
      <c r="H556" s="32">
        <f t="shared" si="8"/>
        <v>3.4115138592750531</v>
      </c>
      <c r="I556">
        <v>1</v>
      </c>
      <c r="J556" t="s">
        <v>21</v>
      </c>
    </row>
    <row r="557" spans="1:10" x14ac:dyDescent="0.25">
      <c r="A557">
        <v>57677</v>
      </c>
      <c r="B557" t="s">
        <v>3032</v>
      </c>
      <c r="C557" t="s">
        <v>708</v>
      </c>
      <c r="D557" t="s">
        <v>2241</v>
      </c>
      <c r="E557" t="s">
        <v>2242</v>
      </c>
      <c r="F557">
        <v>4029</v>
      </c>
      <c r="G557">
        <v>1181</v>
      </c>
      <c r="H557" s="32">
        <f t="shared" si="8"/>
        <v>3.4115156646909397</v>
      </c>
      <c r="I557">
        <v>1</v>
      </c>
      <c r="J557" t="s">
        <v>21</v>
      </c>
    </row>
    <row r="558" spans="1:10" x14ac:dyDescent="0.25">
      <c r="A558">
        <v>68989</v>
      </c>
      <c r="B558" t="s">
        <v>5289</v>
      </c>
      <c r="C558" t="s">
        <v>307</v>
      </c>
      <c r="D558" t="s">
        <v>2241</v>
      </c>
      <c r="E558" t="s">
        <v>2242</v>
      </c>
      <c r="F558">
        <v>9716</v>
      </c>
      <c r="G558">
        <v>2848</v>
      </c>
      <c r="H558" s="32">
        <f t="shared" si="8"/>
        <v>3.4115168539325844</v>
      </c>
      <c r="I558">
        <v>1</v>
      </c>
      <c r="J558" t="s">
        <v>21</v>
      </c>
    </row>
    <row r="559" spans="1:10" x14ac:dyDescent="0.25">
      <c r="A559">
        <v>65498</v>
      </c>
      <c r="B559" t="s">
        <v>4758</v>
      </c>
      <c r="C559" t="s">
        <v>250</v>
      </c>
      <c r="D559" t="s">
        <v>2241</v>
      </c>
      <c r="E559" t="s">
        <v>2242</v>
      </c>
      <c r="F559">
        <v>9832</v>
      </c>
      <c r="G559">
        <v>2882</v>
      </c>
      <c r="H559" s="32">
        <f t="shared" si="8"/>
        <v>3.4115197779319915</v>
      </c>
      <c r="I559">
        <v>1</v>
      </c>
      <c r="J559" t="s">
        <v>21</v>
      </c>
    </row>
    <row r="560" spans="1:10" x14ac:dyDescent="0.25">
      <c r="A560">
        <v>58798</v>
      </c>
      <c r="B560" t="s">
        <v>3284</v>
      </c>
      <c r="C560" t="s">
        <v>241</v>
      </c>
      <c r="D560" t="s">
        <v>2241</v>
      </c>
      <c r="E560" t="s">
        <v>2242</v>
      </c>
      <c r="F560">
        <v>3316</v>
      </c>
      <c r="G560">
        <v>972</v>
      </c>
      <c r="H560" s="32">
        <f t="shared" si="8"/>
        <v>3.4115226337448559</v>
      </c>
      <c r="I560">
        <v>1</v>
      </c>
      <c r="J560" t="s">
        <v>21</v>
      </c>
    </row>
    <row r="561" spans="1:10" x14ac:dyDescent="0.25">
      <c r="A561">
        <v>59552</v>
      </c>
      <c r="B561" t="s">
        <v>3508</v>
      </c>
      <c r="C561" t="s">
        <v>708</v>
      </c>
      <c r="D561" t="s">
        <v>2241</v>
      </c>
      <c r="E561" t="s">
        <v>2242</v>
      </c>
      <c r="F561">
        <v>10777</v>
      </c>
      <c r="G561">
        <v>3159</v>
      </c>
      <c r="H561" s="32">
        <f t="shared" si="8"/>
        <v>3.4115226337448559</v>
      </c>
      <c r="I561">
        <v>1</v>
      </c>
      <c r="J561" t="s">
        <v>21</v>
      </c>
    </row>
    <row r="562" spans="1:10" x14ac:dyDescent="0.25">
      <c r="A562">
        <v>68603</v>
      </c>
      <c r="B562" t="s">
        <v>5249</v>
      </c>
      <c r="C562" t="s">
        <v>708</v>
      </c>
      <c r="D562" t="s">
        <v>2241</v>
      </c>
      <c r="E562" t="s">
        <v>2242</v>
      </c>
      <c r="F562">
        <v>7461</v>
      </c>
      <c r="G562">
        <v>2187</v>
      </c>
      <c r="H562" s="32">
        <f t="shared" si="8"/>
        <v>3.4115226337448559</v>
      </c>
      <c r="I562">
        <v>1</v>
      </c>
      <c r="J562" t="s">
        <v>21</v>
      </c>
    </row>
    <row r="563" spans="1:10" x14ac:dyDescent="0.25">
      <c r="A563">
        <v>60089</v>
      </c>
      <c r="B563" t="s">
        <v>3666</v>
      </c>
      <c r="C563" t="s">
        <v>307</v>
      </c>
      <c r="D563" t="s">
        <v>2241</v>
      </c>
      <c r="E563" t="s">
        <v>2242</v>
      </c>
      <c r="F563">
        <v>8348</v>
      </c>
      <c r="G563">
        <v>2447</v>
      </c>
      <c r="H563" s="32">
        <f t="shared" si="8"/>
        <v>3.4115243154883532</v>
      </c>
      <c r="I563">
        <v>1</v>
      </c>
      <c r="J563" t="s">
        <v>21</v>
      </c>
    </row>
    <row r="564" spans="1:10" x14ac:dyDescent="0.25">
      <c r="A564">
        <v>60782</v>
      </c>
      <c r="B564" t="s">
        <v>3871</v>
      </c>
      <c r="C564" t="s">
        <v>708</v>
      </c>
      <c r="D564" t="s">
        <v>2241</v>
      </c>
      <c r="E564" t="s">
        <v>2242</v>
      </c>
      <c r="F564">
        <v>8522</v>
      </c>
      <c r="G564">
        <v>2498</v>
      </c>
      <c r="H564" s="32">
        <f t="shared" si="8"/>
        <v>3.4115292233787029</v>
      </c>
      <c r="I564">
        <v>1</v>
      </c>
      <c r="J564" t="s">
        <v>21</v>
      </c>
    </row>
    <row r="565" spans="1:10" x14ac:dyDescent="0.25">
      <c r="A565">
        <v>64498</v>
      </c>
      <c r="B565" t="s">
        <v>4586</v>
      </c>
      <c r="C565" t="s">
        <v>250</v>
      </c>
      <c r="D565" t="s">
        <v>2241</v>
      </c>
      <c r="E565" t="s">
        <v>2242</v>
      </c>
      <c r="F565">
        <v>12783</v>
      </c>
      <c r="G565">
        <v>3747</v>
      </c>
      <c r="H565" s="32">
        <f t="shared" si="8"/>
        <v>3.4115292233787029</v>
      </c>
      <c r="I565">
        <v>1</v>
      </c>
      <c r="J565" t="s">
        <v>21</v>
      </c>
    </row>
    <row r="566" spans="1:10" x14ac:dyDescent="0.25">
      <c r="A566">
        <v>59106</v>
      </c>
      <c r="B566" t="s">
        <v>3373</v>
      </c>
      <c r="C566" t="s">
        <v>708</v>
      </c>
      <c r="D566" t="s">
        <v>2241</v>
      </c>
      <c r="E566" t="s">
        <v>2242</v>
      </c>
      <c r="F566">
        <v>12899</v>
      </c>
      <c r="G566">
        <v>3781</v>
      </c>
      <c r="H566" s="32">
        <f t="shared" si="8"/>
        <v>3.411531340915102</v>
      </c>
      <c r="I566">
        <v>1</v>
      </c>
      <c r="J566" t="s">
        <v>21</v>
      </c>
    </row>
    <row r="567" spans="1:10" x14ac:dyDescent="0.25">
      <c r="A567">
        <v>58231</v>
      </c>
      <c r="B567" t="s">
        <v>3130</v>
      </c>
      <c r="C567" t="s">
        <v>143</v>
      </c>
      <c r="D567" t="s">
        <v>2241</v>
      </c>
      <c r="E567" t="s">
        <v>2242</v>
      </c>
      <c r="F567">
        <v>10470</v>
      </c>
      <c r="G567">
        <v>3069</v>
      </c>
      <c r="H567" s="32">
        <f t="shared" si="8"/>
        <v>3.4115347018572826</v>
      </c>
      <c r="I567">
        <v>1</v>
      </c>
      <c r="J567" t="s">
        <v>21</v>
      </c>
    </row>
    <row r="568" spans="1:10" x14ac:dyDescent="0.25">
      <c r="A568">
        <v>62128</v>
      </c>
      <c r="B568" t="s">
        <v>4121</v>
      </c>
      <c r="C568" t="s">
        <v>708</v>
      </c>
      <c r="D568" t="s">
        <v>2241</v>
      </c>
      <c r="E568" t="s">
        <v>2242</v>
      </c>
      <c r="F568">
        <v>14192</v>
      </c>
      <c r="G568">
        <v>4160</v>
      </c>
      <c r="H568" s="32">
        <f t="shared" si="8"/>
        <v>3.4115384615384614</v>
      </c>
      <c r="I568">
        <v>1</v>
      </c>
      <c r="J568" t="s">
        <v>21</v>
      </c>
    </row>
    <row r="569" spans="1:10" x14ac:dyDescent="0.25">
      <c r="A569">
        <v>67292</v>
      </c>
      <c r="B569" t="s">
        <v>5079</v>
      </c>
      <c r="C569" t="s">
        <v>241</v>
      </c>
      <c r="D569" t="s">
        <v>2241</v>
      </c>
      <c r="E569" t="s">
        <v>2242</v>
      </c>
      <c r="F569">
        <v>8041</v>
      </c>
      <c r="G569">
        <v>2357</v>
      </c>
      <c r="H569" s="32">
        <f t="shared" si="8"/>
        <v>3.4115400933389903</v>
      </c>
      <c r="I569">
        <v>1</v>
      </c>
      <c r="J569" t="s">
        <v>21</v>
      </c>
    </row>
    <row r="570" spans="1:10" x14ac:dyDescent="0.25">
      <c r="A570">
        <v>61259</v>
      </c>
      <c r="B570" t="s">
        <v>3969</v>
      </c>
      <c r="C570" t="s">
        <v>708</v>
      </c>
      <c r="D570" t="s">
        <v>2241</v>
      </c>
      <c r="E570" t="s">
        <v>2242</v>
      </c>
      <c r="F570">
        <v>6267</v>
      </c>
      <c r="G570">
        <v>1837</v>
      </c>
      <c r="H570" s="32">
        <f t="shared" si="8"/>
        <v>3.4115405552531302</v>
      </c>
      <c r="I570">
        <v>1</v>
      </c>
      <c r="J570" t="s">
        <v>21</v>
      </c>
    </row>
    <row r="571" spans="1:10" x14ac:dyDescent="0.25">
      <c r="A571">
        <v>59166</v>
      </c>
      <c r="B571" t="s">
        <v>3403</v>
      </c>
      <c r="C571" t="s">
        <v>241</v>
      </c>
      <c r="D571" t="s">
        <v>2241</v>
      </c>
      <c r="E571" t="s">
        <v>2242</v>
      </c>
      <c r="F571">
        <v>5380</v>
      </c>
      <c r="G571">
        <v>1577</v>
      </c>
      <c r="H571" s="32">
        <f t="shared" si="8"/>
        <v>3.4115409004438808</v>
      </c>
      <c r="I571">
        <v>1</v>
      </c>
      <c r="J571" t="s">
        <v>21</v>
      </c>
    </row>
    <row r="572" spans="1:10" x14ac:dyDescent="0.25">
      <c r="A572">
        <v>68960</v>
      </c>
      <c r="B572" t="s">
        <v>5286</v>
      </c>
      <c r="C572" t="s">
        <v>166</v>
      </c>
      <c r="D572" t="s">
        <v>2241</v>
      </c>
      <c r="E572" t="s">
        <v>2242</v>
      </c>
      <c r="F572">
        <v>6383</v>
      </c>
      <c r="G572">
        <v>1871</v>
      </c>
      <c r="H572" s="32">
        <f t="shared" si="8"/>
        <v>3.411544628540887</v>
      </c>
      <c r="I572">
        <v>1</v>
      </c>
      <c r="J572" t="s">
        <v>21</v>
      </c>
    </row>
    <row r="573" spans="1:10" x14ac:dyDescent="0.25">
      <c r="A573">
        <v>61438</v>
      </c>
      <c r="B573" t="s">
        <v>4018</v>
      </c>
      <c r="C573" t="s">
        <v>322</v>
      </c>
      <c r="D573" t="s">
        <v>2241</v>
      </c>
      <c r="E573" t="s">
        <v>2242</v>
      </c>
      <c r="F573">
        <v>9276</v>
      </c>
      <c r="G573">
        <v>2719</v>
      </c>
      <c r="H573" s="32">
        <f t="shared" si="8"/>
        <v>3.4115483633688855</v>
      </c>
      <c r="I573">
        <v>1</v>
      </c>
      <c r="J573" t="s">
        <v>21</v>
      </c>
    </row>
    <row r="574" spans="1:10" x14ac:dyDescent="0.25">
      <c r="A574">
        <v>62997</v>
      </c>
      <c r="B574" t="s">
        <v>4272</v>
      </c>
      <c r="C574" t="s">
        <v>708</v>
      </c>
      <c r="D574" t="s">
        <v>2241</v>
      </c>
      <c r="E574" t="s">
        <v>2242</v>
      </c>
      <c r="F574">
        <v>21561</v>
      </c>
      <c r="G574">
        <v>6320</v>
      </c>
      <c r="H574" s="32">
        <f t="shared" si="8"/>
        <v>3.4115506329113923</v>
      </c>
      <c r="I574">
        <v>1</v>
      </c>
      <c r="J574" t="s">
        <v>21</v>
      </c>
    </row>
    <row r="575" spans="1:10" x14ac:dyDescent="0.25">
      <c r="A575">
        <v>66366</v>
      </c>
      <c r="B575" t="s">
        <v>4886</v>
      </c>
      <c r="C575" t="s">
        <v>131</v>
      </c>
      <c r="D575" t="s">
        <v>2241</v>
      </c>
      <c r="E575" t="s">
        <v>2242</v>
      </c>
      <c r="F575">
        <v>8447</v>
      </c>
      <c r="G575">
        <v>2476</v>
      </c>
      <c r="H575" s="32">
        <f t="shared" si="8"/>
        <v>3.4115508885298871</v>
      </c>
      <c r="I575">
        <v>1</v>
      </c>
      <c r="J575" t="s">
        <v>21</v>
      </c>
    </row>
    <row r="576" spans="1:10" x14ac:dyDescent="0.25">
      <c r="A576">
        <v>62629</v>
      </c>
      <c r="B576" t="s">
        <v>4190</v>
      </c>
      <c r="C576" t="s">
        <v>307</v>
      </c>
      <c r="D576" t="s">
        <v>2241</v>
      </c>
      <c r="E576" t="s">
        <v>2242</v>
      </c>
      <c r="F576">
        <v>13230</v>
      </c>
      <c r="G576">
        <v>3878</v>
      </c>
      <c r="H576" s="32">
        <f t="shared" si="8"/>
        <v>3.4115523465703972</v>
      </c>
      <c r="I576">
        <v>1</v>
      </c>
      <c r="J576" t="s">
        <v>21</v>
      </c>
    </row>
    <row r="577" spans="1:10" x14ac:dyDescent="0.25">
      <c r="A577">
        <v>62438</v>
      </c>
      <c r="B577" t="s">
        <v>4158</v>
      </c>
      <c r="C577" t="s">
        <v>241</v>
      </c>
      <c r="D577" t="s">
        <v>2241</v>
      </c>
      <c r="E577" t="s">
        <v>2242</v>
      </c>
      <c r="F577">
        <v>4783</v>
      </c>
      <c r="G577">
        <v>1402</v>
      </c>
      <c r="H577" s="32">
        <f t="shared" si="8"/>
        <v>3.4115549215406564</v>
      </c>
      <c r="I577">
        <v>1</v>
      </c>
      <c r="J577" t="s">
        <v>21</v>
      </c>
    </row>
    <row r="578" spans="1:10" x14ac:dyDescent="0.25">
      <c r="A578">
        <v>67809</v>
      </c>
      <c r="B578" t="s">
        <v>5176</v>
      </c>
      <c r="C578" t="s">
        <v>241</v>
      </c>
      <c r="D578" t="s">
        <v>2241</v>
      </c>
      <c r="E578" t="s">
        <v>2242</v>
      </c>
      <c r="F578">
        <v>4841</v>
      </c>
      <c r="G578">
        <v>1419</v>
      </c>
      <c r="H578" s="32">
        <f t="shared" ref="H578:H641" si="9">IF(AND(F578&gt;0,G578&gt;0),F578/G578,"")</f>
        <v>3.4115574348132487</v>
      </c>
      <c r="I578">
        <v>1</v>
      </c>
      <c r="J578" t="s">
        <v>21</v>
      </c>
    </row>
    <row r="579" spans="1:10" x14ac:dyDescent="0.25">
      <c r="A579">
        <v>67084</v>
      </c>
      <c r="B579" t="s">
        <v>5023</v>
      </c>
      <c r="C579" t="s">
        <v>322</v>
      </c>
      <c r="D579" t="s">
        <v>2241</v>
      </c>
      <c r="E579" t="s">
        <v>2242</v>
      </c>
      <c r="F579">
        <v>12691</v>
      </c>
      <c r="G579">
        <v>3720</v>
      </c>
      <c r="H579" s="32">
        <f t="shared" si="9"/>
        <v>3.4115591397849463</v>
      </c>
      <c r="I579">
        <v>1</v>
      </c>
      <c r="J579" t="s">
        <v>21</v>
      </c>
    </row>
    <row r="580" spans="1:10" x14ac:dyDescent="0.25">
      <c r="A580">
        <v>66937</v>
      </c>
      <c r="B580" t="s">
        <v>4990</v>
      </c>
      <c r="C580" t="s">
        <v>131</v>
      </c>
      <c r="D580" t="s">
        <v>2241</v>
      </c>
      <c r="E580" t="s">
        <v>2242</v>
      </c>
      <c r="F580">
        <v>11862</v>
      </c>
      <c r="G580">
        <v>3477</v>
      </c>
      <c r="H580" s="32">
        <f t="shared" si="9"/>
        <v>3.4115616911130284</v>
      </c>
      <c r="I580">
        <v>1</v>
      </c>
      <c r="J580" t="s">
        <v>21</v>
      </c>
    </row>
    <row r="581" spans="1:10" x14ac:dyDescent="0.25">
      <c r="A581">
        <v>62326</v>
      </c>
      <c r="B581" t="s">
        <v>4143</v>
      </c>
      <c r="C581" t="s">
        <v>241</v>
      </c>
      <c r="D581" t="s">
        <v>2241</v>
      </c>
      <c r="E581" t="s">
        <v>2242</v>
      </c>
      <c r="F581">
        <v>5015</v>
      </c>
      <c r="G581">
        <v>1470</v>
      </c>
      <c r="H581" s="32">
        <f t="shared" si="9"/>
        <v>3.4115646258503403</v>
      </c>
      <c r="I581">
        <v>1</v>
      </c>
      <c r="J581" t="s">
        <v>21</v>
      </c>
    </row>
    <row r="582" spans="1:10" x14ac:dyDescent="0.25">
      <c r="A582">
        <v>58094</v>
      </c>
      <c r="B582" t="s">
        <v>3109</v>
      </c>
      <c r="C582" t="s">
        <v>241</v>
      </c>
      <c r="D582" t="s">
        <v>2241</v>
      </c>
      <c r="E582" t="s">
        <v>2242</v>
      </c>
      <c r="F582">
        <v>9085</v>
      </c>
      <c r="G582">
        <v>2663</v>
      </c>
      <c r="H582" s="32">
        <f t="shared" si="9"/>
        <v>3.4115659031167858</v>
      </c>
      <c r="I582">
        <v>1</v>
      </c>
      <c r="J582" t="s">
        <v>21</v>
      </c>
    </row>
    <row r="583" spans="1:10" x14ac:dyDescent="0.25">
      <c r="A583">
        <v>65413</v>
      </c>
      <c r="B583" t="s">
        <v>4744</v>
      </c>
      <c r="C583" t="s">
        <v>166</v>
      </c>
      <c r="D583" t="s">
        <v>2241</v>
      </c>
      <c r="E583" t="s">
        <v>2242</v>
      </c>
      <c r="F583">
        <v>9085</v>
      </c>
      <c r="G583">
        <v>2663</v>
      </c>
      <c r="H583" s="32">
        <f t="shared" si="9"/>
        <v>3.4115659031167858</v>
      </c>
      <c r="I583">
        <v>1</v>
      </c>
      <c r="J583" t="s">
        <v>21</v>
      </c>
    </row>
    <row r="584" spans="1:10" x14ac:dyDescent="0.25">
      <c r="A584">
        <v>66802</v>
      </c>
      <c r="B584" t="s">
        <v>4965</v>
      </c>
      <c r="C584" t="s">
        <v>241</v>
      </c>
      <c r="D584" t="s">
        <v>2241</v>
      </c>
      <c r="E584" t="s">
        <v>2242</v>
      </c>
      <c r="F584">
        <v>7137</v>
      </c>
      <c r="G584">
        <v>2092</v>
      </c>
      <c r="H584" s="32">
        <f t="shared" si="9"/>
        <v>3.411567877629063</v>
      </c>
      <c r="I584">
        <v>1</v>
      </c>
      <c r="J584" t="s">
        <v>21</v>
      </c>
    </row>
    <row r="585" spans="1:10" x14ac:dyDescent="0.25">
      <c r="A585">
        <v>63989</v>
      </c>
      <c r="B585" t="s">
        <v>4462</v>
      </c>
      <c r="C585" t="s">
        <v>166</v>
      </c>
      <c r="D585" t="s">
        <v>2241</v>
      </c>
      <c r="E585" t="s">
        <v>2242</v>
      </c>
      <c r="F585">
        <v>12326</v>
      </c>
      <c r="G585">
        <v>3613</v>
      </c>
      <c r="H585" s="32">
        <f t="shared" si="9"/>
        <v>3.4115693329642958</v>
      </c>
      <c r="I585">
        <v>1</v>
      </c>
      <c r="J585" t="s">
        <v>21</v>
      </c>
    </row>
    <row r="586" spans="1:10" x14ac:dyDescent="0.25">
      <c r="A586">
        <v>67681</v>
      </c>
      <c r="B586" t="s">
        <v>5138</v>
      </c>
      <c r="C586" t="s">
        <v>166</v>
      </c>
      <c r="D586" t="s">
        <v>2241</v>
      </c>
      <c r="E586" t="s">
        <v>2242</v>
      </c>
      <c r="F586">
        <v>12442</v>
      </c>
      <c r="G586">
        <v>3647</v>
      </c>
      <c r="H586" s="32">
        <f t="shared" si="9"/>
        <v>3.4115711543734575</v>
      </c>
      <c r="I586">
        <v>1</v>
      </c>
      <c r="J586" t="s">
        <v>21</v>
      </c>
    </row>
    <row r="587" spans="1:10" x14ac:dyDescent="0.25">
      <c r="A587">
        <v>59760</v>
      </c>
      <c r="B587" t="s">
        <v>3573</v>
      </c>
      <c r="C587" t="s">
        <v>708</v>
      </c>
      <c r="D587" t="s">
        <v>2241</v>
      </c>
      <c r="E587" t="s">
        <v>2242</v>
      </c>
      <c r="F587">
        <v>22223</v>
      </c>
      <c r="G587">
        <v>6514</v>
      </c>
      <c r="H587" s="32">
        <f t="shared" si="9"/>
        <v>3.4115750690819775</v>
      </c>
      <c r="I587">
        <v>1</v>
      </c>
      <c r="J587" t="s">
        <v>21</v>
      </c>
    </row>
    <row r="588" spans="1:10" x14ac:dyDescent="0.25">
      <c r="A588">
        <v>63413</v>
      </c>
      <c r="B588" t="s">
        <v>4347</v>
      </c>
      <c r="C588" t="s">
        <v>241</v>
      </c>
      <c r="D588" t="s">
        <v>2241</v>
      </c>
      <c r="E588" t="s">
        <v>2242</v>
      </c>
      <c r="F588">
        <v>3183</v>
      </c>
      <c r="G588">
        <v>933</v>
      </c>
      <c r="H588" s="32">
        <f t="shared" si="9"/>
        <v>3.4115755627009645</v>
      </c>
      <c r="I588">
        <v>1</v>
      </c>
      <c r="J588" t="s">
        <v>21</v>
      </c>
    </row>
    <row r="589" spans="1:10" x14ac:dyDescent="0.25">
      <c r="A589">
        <v>65468</v>
      </c>
      <c r="B589" t="s">
        <v>4754</v>
      </c>
      <c r="C589" t="s">
        <v>241</v>
      </c>
      <c r="D589" t="s">
        <v>2241</v>
      </c>
      <c r="E589" t="s">
        <v>2242</v>
      </c>
      <c r="F589">
        <v>2122</v>
      </c>
      <c r="G589">
        <v>622</v>
      </c>
      <c r="H589" s="32">
        <f t="shared" si="9"/>
        <v>3.4115755627009645</v>
      </c>
      <c r="I589">
        <v>1</v>
      </c>
      <c r="J589" t="s">
        <v>21</v>
      </c>
    </row>
    <row r="590" spans="1:10" x14ac:dyDescent="0.25">
      <c r="A590">
        <v>62096</v>
      </c>
      <c r="B590" t="s">
        <v>4108</v>
      </c>
      <c r="C590" t="s">
        <v>708</v>
      </c>
      <c r="D590" t="s">
        <v>2241</v>
      </c>
      <c r="E590" t="s">
        <v>2242</v>
      </c>
      <c r="F590">
        <v>9607</v>
      </c>
      <c r="G590">
        <v>2816</v>
      </c>
      <c r="H590" s="32">
        <f t="shared" si="9"/>
        <v>3.4115767045454546</v>
      </c>
      <c r="I590">
        <v>1</v>
      </c>
      <c r="J590" t="s">
        <v>21</v>
      </c>
    </row>
    <row r="591" spans="1:10" x14ac:dyDescent="0.25">
      <c r="A591">
        <v>69088</v>
      </c>
      <c r="B591" t="s">
        <v>5317</v>
      </c>
      <c r="C591" t="s">
        <v>307</v>
      </c>
      <c r="D591" t="s">
        <v>2241</v>
      </c>
      <c r="E591" t="s">
        <v>2242</v>
      </c>
      <c r="F591">
        <v>8662</v>
      </c>
      <c r="G591">
        <v>2539</v>
      </c>
      <c r="H591" s="32">
        <f t="shared" si="9"/>
        <v>3.4115793619535251</v>
      </c>
      <c r="I591">
        <v>1</v>
      </c>
      <c r="J591" t="s">
        <v>21</v>
      </c>
    </row>
    <row r="592" spans="1:10" x14ac:dyDescent="0.25">
      <c r="A592">
        <v>64238</v>
      </c>
      <c r="B592" t="s">
        <v>4519</v>
      </c>
      <c r="C592" t="s">
        <v>708</v>
      </c>
      <c r="D592" t="s">
        <v>2241</v>
      </c>
      <c r="E592" t="s">
        <v>2242</v>
      </c>
      <c r="F592">
        <v>22380</v>
      </c>
      <c r="G592">
        <v>6560</v>
      </c>
      <c r="H592" s="32">
        <f t="shared" si="9"/>
        <v>3.4115853658536586</v>
      </c>
      <c r="I592">
        <v>1</v>
      </c>
      <c r="J592" t="s">
        <v>21</v>
      </c>
    </row>
    <row r="593" spans="1:10" x14ac:dyDescent="0.25">
      <c r="A593">
        <v>60747</v>
      </c>
      <c r="B593" t="s">
        <v>3856</v>
      </c>
      <c r="C593" t="s">
        <v>241</v>
      </c>
      <c r="D593" t="s">
        <v>2241</v>
      </c>
      <c r="E593" t="s">
        <v>2242</v>
      </c>
      <c r="F593">
        <v>15956</v>
      </c>
      <c r="G593">
        <v>4677</v>
      </c>
      <c r="H593" s="32">
        <f t="shared" si="9"/>
        <v>3.4115886251870857</v>
      </c>
      <c r="I593">
        <v>1</v>
      </c>
      <c r="J593" t="s">
        <v>21</v>
      </c>
    </row>
    <row r="594" spans="1:10" x14ac:dyDescent="0.25">
      <c r="A594">
        <v>64497</v>
      </c>
      <c r="B594" t="s">
        <v>4585</v>
      </c>
      <c r="C594" t="s">
        <v>250</v>
      </c>
      <c r="D594" t="s">
        <v>2241</v>
      </c>
      <c r="E594" t="s">
        <v>2242</v>
      </c>
      <c r="F594">
        <v>13834</v>
      </c>
      <c r="G594">
        <v>4055</v>
      </c>
      <c r="H594" s="32">
        <f t="shared" si="9"/>
        <v>3.4115906288532676</v>
      </c>
      <c r="I594">
        <v>1</v>
      </c>
      <c r="J594" t="s">
        <v>21</v>
      </c>
    </row>
    <row r="595" spans="1:10" x14ac:dyDescent="0.25">
      <c r="A595">
        <v>67124</v>
      </c>
      <c r="B595" t="s">
        <v>5036</v>
      </c>
      <c r="C595" t="s">
        <v>2029</v>
      </c>
      <c r="D595" t="s">
        <v>2241</v>
      </c>
      <c r="E595" t="s">
        <v>2242</v>
      </c>
      <c r="F595">
        <v>2412</v>
      </c>
      <c r="G595">
        <v>707</v>
      </c>
      <c r="H595" s="32">
        <f t="shared" si="9"/>
        <v>3.4115983026874117</v>
      </c>
      <c r="I595">
        <v>1</v>
      </c>
      <c r="J595" t="s">
        <v>21</v>
      </c>
    </row>
    <row r="596" spans="1:10" x14ac:dyDescent="0.25">
      <c r="A596">
        <v>64500</v>
      </c>
      <c r="B596" t="s">
        <v>4588</v>
      </c>
      <c r="C596" t="s">
        <v>250</v>
      </c>
      <c r="D596" t="s">
        <v>2241</v>
      </c>
      <c r="E596" t="s">
        <v>2242</v>
      </c>
      <c r="F596">
        <v>13527</v>
      </c>
      <c r="G596">
        <v>3965</v>
      </c>
      <c r="H596" s="32">
        <f t="shared" si="9"/>
        <v>3.4116015132408575</v>
      </c>
      <c r="I596">
        <v>1</v>
      </c>
      <c r="J596" t="s">
        <v>21</v>
      </c>
    </row>
    <row r="597" spans="1:10" x14ac:dyDescent="0.25">
      <c r="A597">
        <v>66868</v>
      </c>
      <c r="B597" t="s">
        <v>4984</v>
      </c>
      <c r="C597" t="s">
        <v>307</v>
      </c>
      <c r="D597" t="s">
        <v>2241</v>
      </c>
      <c r="E597" t="s">
        <v>2242</v>
      </c>
      <c r="F597">
        <v>12466</v>
      </c>
      <c r="G597">
        <v>3654</v>
      </c>
      <c r="H597" s="32">
        <f t="shared" si="9"/>
        <v>3.4116037219485493</v>
      </c>
      <c r="I597">
        <v>1</v>
      </c>
      <c r="J597" t="s">
        <v>21</v>
      </c>
    </row>
    <row r="598" spans="1:10" x14ac:dyDescent="0.25">
      <c r="A598">
        <v>59434</v>
      </c>
      <c r="B598" t="s">
        <v>3455</v>
      </c>
      <c r="C598" t="s">
        <v>131</v>
      </c>
      <c r="D598" t="s">
        <v>2241</v>
      </c>
      <c r="E598" t="s">
        <v>2242</v>
      </c>
      <c r="F598">
        <v>14994</v>
      </c>
      <c r="G598">
        <v>4395</v>
      </c>
      <c r="H598" s="32">
        <f t="shared" si="9"/>
        <v>3.4116040955631401</v>
      </c>
      <c r="I598">
        <v>1</v>
      </c>
      <c r="J598" t="s">
        <v>21</v>
      </c>
    </row>
    <row r="599" spans="1:10" x14ac:dyDescent="0.25">
      <c r="A599">
        <v>58896</v>
      </c>
      <c r="B599" t="s">
        <v>3330</v>
      </c>
      <c r="C599" t="s">
        <v>241</v>
      </c>
      <c r="D599" t="s">
        <v>2241</v>
      </c>
      <c r="E599" t="s">
        <v>2242</v>
      </c>
      <c r="F599">
        <v>3763</v>
      </c>
      <c r="G599">
        <v>1103</v>
      </c>
      <c r="H599" s="32">
        <f t="shared" si="9"/>
        <v>3.4116047144152311</v>
      </c>
      <c r="I599">
        <v>1</v>
      </c>
      <c r="J599" t="s">
        <v>21</v>
      </c>
    </row>
    <row r="600" spans="1:10" x14ac:dyDescent="0.25">
      <c r="A600">
        <v>58515</v>
      </c>
      <c r="B600" t="s">
        <v>3212</v>
      </c>
      <c r="C600" t="s">
        <v>2029</v>
      </c>
      <c r="D600" t="s">
        <v>2241</v>
      </c>
      <c r="E600" t="s">
        <v>2242</v>
      </c>
      <c r="F600">
        <v>8819</v>
      </c>
      <c r="G600">
        <v>2585</v>
      </c>
      <c r="H600" s="32">
        <f t="shared" si="9"/>
        <v>3.411605415860735</v>
      </c>
      <c r="I600">
        <v>1</v>
      </c>
      <c r="J600" t="s">
        <v>21</v>
      </c>
    </row>
    <row r="601" spans="1:10" x14ac:dyDescent="0.25">
      <c r="A601">
        <v>62126</v>
      </c>
      <c r="B601" t="s">
        <v>4119</v>
      </c>
      <c r="C601" t="s">
        <v>708</v>
      </c>
      <c r="D601" t="s">
        <v>2241</v>
      </c>
      <c r="E601" t="s">
        <v>2242</v>
      </c>
      <c r="F601">
        <v>7642</v>
      </c>
      <c r="G601">
        <v>2240</v>
      </c>
      <c r="H601" s="32">
        <f t="shared" si="9"/>
        <v>3.4116071428571431</v>
      </c>
      <c r="I601">
        <v>1</v>
      </c>
      <c r="J601" t="s">
        <v>21</v>
      </c>
    </row>
    <row r="602" spans="1:10" x14ac:dyDescent="0.25">
      <c r="A602">
        <v>65691</v>
      </c>
      <c r="B602" t="s">
        <v>4792</v>
      </c>
      <c r="C602" t="s">
        <v>322</v>
      </c>
      <c r="D602" t="s">
        <v>2241</v>
      </c>
      <c r="E602" t="s">
        <v>2242</v>
      </c>
      <c r="F602">
        <v>5230</v>
      </c>
      <c r="G602">
        <v>1533</v>
      </c>
      <c r="H602" s="32">
        <f t="shared" si="9"/>
        <v>3.4116112198303981</v>
      </c>
      <c r="I602">
        <v>1</v>
      </c>
      <c r="J602" t="s">
        <v>21</v>
      </c>
    </row>
    <row r="603" spans="1:10" x14ac:dyDescent="0.25">
      <c r="A603">
        <v>62043</v>
      </c>
      <c r="B603" t="s">
        <v>4103</v>
      </c>
      <c r="C603" t="s">
        <v>307</v>
      </c>
      <c r="D603" t="s">
        <v>2241</v>
      </c>
      <c r="E603" t="s">
        <v>2242</v>
      </c>
      <c r="F603">
        <v>9283</v>
      </c>
      <c r="G603">
        <v>2721</v>
      </c>
      <c r="H603" s="32">
        <f t="shared" si="9"/>
        <v>3.4116133774347666</v>
      </c>
      <c r="I603">
        <v>1</v>
      </c>
      <c r="J603" t="s">
        <v>21</v>
      </c>
    </row>
    <row r="604" spans="1:10" x14ac:dyDescent="0.25">
      <c r="A604">
        <v>62627</v>
      </c>
      <c r="B604" t="s">
        <v>4188</v>
      </c>
      <c r="C604" t="s">
        <v>708</v>
      </c>
      <c r="D604" t="s">
        <v>2241</v>
      </c>
      <c r="E604" t="s">
        <v>2242</v>
      </c>
      <c r="F604">
        <v>13278</v>
      </c>
      <c r="G604">
        <v>3892</v>
      </c>
      <c r="H604" s="32">
        <f t="shared" si="9"/>
        <v>3.4116135662898253</v>
      </c>
      <c r="I604">
        <v>1</v>
      </c>
      <c r="J604" t="s">
        <v>21</v>
      </c>
    </row>
    <row r="605" spans="1:10" x14ac:dyDescent="0.25">
      <c r="A605">
        <v>59277</v>
      </c>
      <c r="B605" t="s">
        <v>3425</v>
      </c>
      <c r="C605" t="s">
        <v>241</v>
      </c>
      <c r="D605" t="s">
        <v>2241</v>
      </c>
      <c r="E605" t="s">
        <v>2242</v>
      </c>
      <c r="F605">
        <v>6697</v>
      </c>
      <c r="G605">
        <v>1963</v>
      </c>
      <c r="H605" s="32">
        <f t="shared" si="9"/>
        <v>3.411614875191034</v>
      </c>
      <c r="I605">
        <v>1</v>
      </c>
      <c r="J605" t="s">
        <v>21</v>
      </c>
    </row>
    <row r="606" spans="1:10" x14ac:dyDescent="0.25">
      <c r="A606">
        <v>63888</v>
      </c>
      <c r="B606" t="s">
        <v>4432</v>
      </c>
      <c r="C606" t="s">
        <v>166</v>
      </c>
      <c r="D606" t="s">
        <v>2241</v>
      </c>
      <c r="E606" t="s">
        <v>2242</v>
      </c>
      <c r="F606">
        <v>6697</v>
      </c>
      <c r="G606">
        <v>1963</v>
      </c>
      <c r="H606" s="32">
        <f t="shared" si="9"/>
        <v>3.411614875191034</v>
      </c>
      <c r="I606">
        <v>1</v>
      </c>
      <c r="J606" t="s">
        <v>21</v>
      </c>
    </row>
    <row r="607" spans="1:10" x14ac:dyDescent="0.25">
      <c r="A607">
        <v>60840</v>
      </c>
      <c r="B607" t="s">
        <v>3886</v>
      </c>
      <c r="C607" t="s">
        <v>241</v>
      </c>
      <c r="D607" t="s">
        <v>2241</v>
      </c>
      <c r="E607" t="s">
        <v>2242</v>
      </c>
      <c r="F607">
        <v>8048</v>
      </c>
      <c r="G607">
        <v>2359</v>
      </c>
      <c r="H607" s="32">
        <f t="shared" si="9"/>
        <v>3.4116150911403138</v>
      </c>
      <c r="I607">
        <v>1</v>
      </c>
      <c r="J607" t="s">
        <v>21</v>
      </c>
    </row>
    <row r="608" spans="1:10" x14ac:dyDescent="0.25">
      <c r="A608">
        <v>67273</v>
      </c>
      <c r="B608" t="s">
        <v>5077</v>
      </c>
      <c r="C608" t="s">
        <v>241</v>
      </c>
      <c r="D608" t="s">
        <v>2241</v>
      </c>
      <c r="E608" t="s">
        <v>2242</v>
      </c>
      <c r="F608">
        <v>9515</v>
      </c>
      <c r="G608">
        <v>2789</v>
      </c>
      <c r="H608" s="32">
        <f t="shared" si="9"/>
        <v>3.4116170670491215</v>
      </c>
      <c r="I608">
        <v>1</v>
      </c>
      <c r="J608" t="s">
        <v>21</v>
      </c>
    </row>
    <row r="609" spans="1:10" x14ac:dyDescent="0.25">
      <c r="A609">
        <v>67063</v>
      </c>
      <c r="B609" t="s">
        <v>5013</v>
      </c>
      <c r="C609" t="s">
        <v>241</v>
      </c>
      <c r="D609" t="s">
        <v>2241</v>
      </c>
      <c r="E609" t="s">
        <v>2242</v>
      </c>
      <c r="F609">
        <v>5578</v>
      </c>
      <c r="G609">
        <v>1635</v>
      </c>
      <c r="H609" s="32">
        <f t="shared" si="9"/>
        <v>3.4116207951070336</v>
      </c>
      <c r="I609">
        <v>1</v>
      </c>
      <c r="J609" t="s">
        <v>21</v>
      </c>
    </row>
    <row r="610" spans="1:10" x14ac:dyDescent="0.25">
      <c r="A610">
        <v>67064</v>
      </c>
      <c r="B610" t="s">
        <v>5014</v>
      </c>
      <c r="C610" t="s">
        <v>241</v>
      </c>
      <c r="D610" t="s">
        <v>2241</v>
      </c>
      <c r="E610" t="s">
        <v>2242</v>
      </c>
      <c r="F610">
        <v>5578</v>
      </c>
      <c r="G610">
        <v>1635</v>
      </c>
      <c r="H610" s="32">
        <f t="shared" si="9"/>
        <v>3.4116207951070336</v>
      </c>
      <c r="I610">
        <v>1</v>
      </c>
      <c r="J610" t="s">
        <v>21</v>
      </c>
    </row>
    <row r="611" spans="1:10" x14ac:dyDescent="0.25">
      <c r="A611">
        <v>59297</v>
      </c>
      <c r="B611" t="s">
        <v>3428</v>
      </c>
      <c r="C611" t="s">
        <v>241</v>
      </c>
      <c r="D611" t="s">
        <v>2241</v>
      </c>
      <c r="E611" t="s">
        <v>2242</v>
      </c>
      <c r="F611">
        <v>5868</v>
      </c>
      <c r="G611">
        <v>1720</v>
      </c>
      <c r="H611" s="32">
        <f t="shared" si="9"/>
        <v>3.4116279069767441</v>
      </c>
      <c r="I611">
        <v>1</v>
      </c>
      <c r="J611" t="s">
        <v>21</v>
      </c>
    </row>
    <row r="612" spans="1:10" x14ac:dyDescent="0.25">
      <c r="A612">
        <v>69049</v>
      </c>
      <c r="B612" t="s">
        <v>5305</v>
      </c>
      <c r="C612" t="s">
        <v>307</v>
      </c>
      <c r="D612" t="s">
        <v>2241</v>
      </c>
      <c r="E612" t="s">
        <v>2242</v>
      </c>
      <c r="F612">
        <v>5926</v>
      </c>
      <c r="G612">
        <v>1737</v>
      </c>
      <c r="H612" s="32">
        <f t="shared" si="9"/>
        <v>3.4116292458261368</v>
      </c>
      <c r="I612">
        <v>1</v>
      </c>
      <c r="J612" t="s">
        <v>21</v>
      </c>
    </row>
    <row r="613" spans="1:10" x14ac:dyDescent="0.25">
      <c r="A613">
        <v>59504</v>
      </c>
      <c r="B613" t="s">
        <v>3480</v>
      </c>
      <c r="C613" t="s">
        <v>708</v>
      </c>
      <c r="D613" t="s">
        <v>2241</v>
      </c>
      <c r="E613" t="s">
        <v>2242</v>
      </c>
      <c r="F613">
        <v>19419</v>
      </c>
      <c r="G613">
        <v>5692</v>
      </c>
      <c r="H613" s="32">
        <f t="shared" si="9"/>
        <v>3.4116303583977512</v>
      </c>
      <c r="I613">
        <v>1</v>
      </c>
      <c r="J613" t="s">
        <v>21</v>
      </c>
    </row>
    <row r="614" spans="1:10" x14ac:dyDescent="0.25">
      <c r="A614">
        <v>68885</v>
      </c>
      <c r="B614" t="s">
        <v>5269</v>
      </c>
      <c r="C614" t="s">
        <v>201</v>
      </c>
      <c r="D614" t="s">
        <v>2241</v>
      </c>
      <c r="E614" t="s">
        <v>2242</v>
      </c>
      <c r="F614">
        <v>19883</v>
      </c>
      <c r="G614">
        <v>5828</v>
      </c>
      <c r="H614" s="32">
        <f t="shared" si="9"/>
        <v>3.4116334934797528</v>
      </c>
      <c r="I614">
        <v>1</v>
      </c>
      <c r="J614" t="s">
        <v>21</v>
      </c>
    </row>
    <row r="615" spans="1:10" x14ac:dyDescent="0.25">
      <c r="A615">
        <v>63390</v>
      </c>
      <c r="B615" t="s">
        <v>4343</v>
      </c>
      <c r="C615" t="s">
        <v>322</v>
      </c>
      <c r="D615" t="s">
        <v>2241</v>
      </c>
      <c r="E615" t="s">
        <v>2242</v>
      </c>
      <c r="F615">
        <v>10965</v>
      </c>
      <c r="G615">
        <v>3214</v>
      </c>
      <c r="H615" s="32">
        <f t="shared" si="9"/>
        <v>3.4116365899191039</v>
      </c>
      <c r="I615">
        <v>1</v>
      </c>
      <c r="J615" t="s">
        <v>21</v>
      </c>
    </row>
    <row r="616" spans="1:10" x14ac:dyDescent="0.25">
      <c r="A616">
        <v>63075</v>
      </c>
      <c r="B616" t="s">
        <v>4288</v>
      </c>
      <c r="C616" t="s">
        <v>307</v>
      </c>
      <c r="D616" t="s">
        <v>2241</v>
      </c>
      <c r="E616" t="s">
        <v>2242</v>
      </c>
      <c r="F616">
        <v>7915</v>
      </c>
      <c r="G616">
        <v>2320</v>
      </c>
      <c r="H616" s="32">
        <f t="shared" si="9"/>
        <v>3.4116379310344827</v>
      </c>
      <c r="I616">
        <v>1</v>
      </c>
      <c r="J616" t="s">
        <v>21</v>
      </c>
    </row>
    <row r="617" spans="1:10" x14ac:dyDescent="0.25">
      <c r="A617">
        <v>65415</v>
      </c>
      <c r="B617" t="s">
        <v>4746</v>
      </c>
      <c r="C617" t="s">
        <v>166</v>
      </c>
      <c r="D617" t="s">
        <v>2241</v>
      </c>
      <c r="E617" t="s">
        <v>2242</v>
      </c>
      <c r="F617">
        <v>12780</v>
      </c>
      <c r="G617">
        <v>3746</v>
      </c>
      <c r="H617" s="32">
        <f t="shared" si="9"/>
        <v>3.4116390816871331</v>
      </c>
      <c r="I617">
        <v>1</v>
      </c>
      <c r="J617" t="s">
        <v>21</v>
      </c>
    </row>
    <row r="618" spans="1:10" x14ac:dyDescent="0.25">
      <c r="A618">
        <v>64380</v>
      </c>
      <c r="B618" t="s">
        <v>4553</v>
      </c>
      <c r="C618" t="s">
        <v>241</v>
      </c>
      <c r="D618" t="s">
        <v>2241</v>
      </c>
      <c r="E618" t="s">
        <v>2242</v>
      </c>
      <c r="F618">
        <v>9730</v>
      </c>
      <c r="G618">
        <v>2852</v>
      </c>
      <c r="H618" s="32">
        <f t="shared" si="9"/>
        <v>3.4116409537166899</v>
      </c>
      <c r="I618">
        <v>1</v>
      </c>
      <c r="J618" t="s">
        <v>21</v>
      </c>
    </row>
    <row r="619" spans="1:10" x14ac:dyDescent="0.25">
      <c r="A619">
        <v>65982</v>
      </c>
      <c r="B619" t="s">
        <v>4823</v>
      </c>
      <c r="C619" t="s">
        <v>307</v>
      </c>
      <c r="D619" t="s">
        <v>2241</v>
      </c>
      <c r="E619" t="s">
        <v>2242</v>
      </c>
      <c r="F619">
        <v>11371</v>
      </c>
      <c r="G619">
        <v>3333</v>
      </c>
      <c r="H619" s="32">
        <f t="shared" si="9"/>
        <v>3.4116411641164115</v>
      </c>
      <c r="I619">
        <v>1</v>
      </c>
      <c r="J619" t="s">
        <v>21</v>
      </c>
    </row>
    <row r="620" spans="1:10" x14ac:dyDescent="0.25">
      <c r="A620">
        <v>58381</v>
      </c>
      <c r="B620" t="s">
        <v>3184</v>
      </c>
      <c r="C620" t="s">
        <v>322</v>
      </c>
      <c r="D620" t="s">
        <v>2241</v>
      </c>
      <c r="E620" t="s">
        <v>2242</v>
      </c>
      <c r="F620">
        <v>8147</v>
      </c>
      <c r="G620">
        <v>2388</v>
      </c>
      <c r="H620" s="32">
        <f t="shared" si="9"/>
        <v>3.4116415410385259</v>
      </c>
      <c r="I620">
        <v>1</v>
      </c>
      <c r="J620" t="s">
        <v>21</v>
      </c>
    </row>
    <row r="621" spans="1:10" x14ac:dyDescent="0.25">
      <c r="A621">
        <v>63355</v>
      </c>
      <c r="B621" t="s">
        <v>4334</v>
      </c>
      <c r="C621" t="s">
        <v>241</v>
      </c>
      <c r="D621" t="s">
        <v>2241</v>
      </c>
      <c r="E621" t="s">
        <v>2242</v>
      </c>
      <c r="F621">
        <v>9788</v>
      </c>
      <c r="G621">
        <v>2869</v>
      </c>
      <c r="H621" s="32">
        <f t="shared" si="9"/>
        <v>3.4116416869989545</v>
      </c>
      <c r="I621">
        <v>1</v>
      </c>
      <c r="J621" t="s">
        <v>21</v>
      </c>
    </row>
    <row r="622" spans="1:10" x14ac:dyDescent="0.25">
      <c r="A622">
        <v>64457</v>
      </c>
      <c r="B622" t="s">
        <v>4568</v>
      </c>
      <c r="C622" t="s">
        <v>250</v>
      </c>
      <c r="D622" t="s">
        <v>2241</v>
      </c>
      <c r="E622" t="s">
        <v>2242</v>
      </c>
      <c r="F622">
        <v>13186</v>
      </c>
      <c r="G622">
        <v>3865</v>
      </c>
      <c r="H622" s="32">
        <f t="shared" si="9"/>
        <v>3.4116429495472187</v>
      </c>
      <c r="I622">
        <v>1</v>
      </c>
      <c r="J622" t="s">
        <v>21</v>
      </c>
    </row>
    <row r="623" spans="1:10" x14ac:dyDescent="0.25">
      <c r="A623">
        <v>63399</v>
      </c>
      <c r="B623" t="s">
        <v>4345</v>
      </c>
      <c r="C623" t="s">
        <v>166</v>
      </c>
      <c r="D623" t="s">
        <v>2241</v>
      </c>
      <c r="E623" t="s">
        <v>2242</v>
      </c>
      <c r="F623">
        <v>10020</v>
      </c>
      <c r="G623">
        <v>2937</v>
      </c>
      <c r="H623" s="32">
        <f t="shared" si="9"/>
        <v>3.4116445352400411</v>
      </c>
      <c r="I623">
        <v>1</v>
      </c>
      <c r="J623" t="s">
        <v>21</v>
      </c>
    </row>
    <row r="624" spans="1:10" x14ac:dyDescent="0.25">
      <c r="A624">
        <v>65110</v>
      </c>
      <c r="B624" t="s">
        <v>4688</v>
      </c>
      <c r="C624" t="s">
        <v>708</v>
      </c>
      <c r="D624" t="s">
        <v>2241</v>
      </c>
      <c r="E624" t="s">
        <v>2242</v>
      </c>
      <c r="F624">
        <v>11777</v>
      </c>
      <c r="G624">
        <v>3452</v>
      </c>
      <c r="H624" s="32">
        <f t="shared" si="9"/>
        <v>3.4116454229432214</v>
      </c>
      <c r="I624">
        <v>1</v>
      </c>
      <c r="J624" t="s">
        <v>21</v>
      </c>
    </row>
    <row r="625" spans="1:10" x14ac:dyDescent="0.25">
      <c r="A625">
        <v>62948</v>
      </c>
      <c r="B625" t="s">
        <v>4262</v>
      </c>
      <c r="C625" t="s">
        <v>201</v>
      </c>
      <c r="D625" t="s">
        <v>2241</v>
      </c>
      <c r="E625" t="s">
        <v>2242</v>
      </c>
      <c r="F625">
        <v>18805</v>
      </c>
      <c r="G625">
        <v>5512</v>
      </c>
      <c r="H625" s="32">
        <f t="shared" si="9"/>
        <v>3.4116473149492017</v>
      </c>
      <c r="I625">
        <v>1</v>
      </c>
      <c r="J625" t="s">
        <v>21</v>
      </c>
    </row>
    <row r="626" spans="1:10" x14ac:dyDescent="0.25">
      <c r="A626">
        <v>62910</v>
      </c>
      <c r="B626" t="s">
        <v>4255</v>
      </c>
      <c r="C626" t="s">
        <v>307</v>
      </c>
      <c r="D626" t="s">
        <v>2241</v>
      </c>
      <c r="E626" t="s">
        <v>2242</v>
      </c>
      <c r="F626">
        <v>5155</v>
      </c>
      <c r="G626">
        <v>1511</v>
      </c>
      <c r="H626" s="32">
        <f t="shared" si="9"/>
        <v>3.4116479152878889</v>
      </c>
      <c r="I626">
        <v>1</v>
      </c>
      <c r="J626" t="s">
        <v>21</v>
      </c>
    </row>
    <row r="627" spans="1:10" x14ac:dyDescent="0.25">
      <c r="A627">
        <v>58134</v>
      </c>
      <c r="B627" t="s">
        <v>3117</v>
      </c>
      <c r="C627" t="s">
        <v>322</v>
      </c>
      <c r="D627" t="s">
        <v>2241</v>
      </c>
      <c r="E627" t="s">
        <v>2242</v>
      </c>
      <c r="F627">
        <v>8669</v>
      </c>
      <c r="G627">
        <v>2541</v>
      </c>
      <c r="H627" s="32">
        <f t="shared" si="9"/>
        <v>3.4116489571035027</v>
      </c>
      <c r="I627">
        <v>1</v>
      </c>
      <c r="J627" t="s">
        <v>21</v>
      </c>
    </row>
    <row r="628" spans="1:10" x14ac:dyDescent="0.25">
      <c r="A628">
        <v>66031</v>
      </c>
      <c r="B628" t="s">
        <v>4835</v>
      </c>
      <c r="C628" t="s">
        <v>166</v>
      </c>
      <c r="D628" t="s">
        <v>2241</v>
      </c>
      <c r="E628" t="s">
        <v>2242</v>
      </c>
      <c r="F628">
        <v>15639</v>
      </c>
      <c r="G628">
        <v>4584</v>
      </c>
      <c r="H628" s="32">
        <f t="shared" si="9"/>
        <v>3.4116492146596857</v>
      </c>
      <c r="I628">
        <v>1</v>
      </c>
      <c r="J628" t="s">
        <v>21</v>
      </c>
    </row>
    <row r="629" spans="1:10" x14ac:dyDescent="0.25">
      <c r="A629">
        <v>59479</v>
      </c>
      <c r="B629" t="s">
        <v>3464</v>
      </c>
      <c r="C629" t="s">
        <v>131</v>
      </c>
      <c r="D629" t="s">
        <v>2241</v>
      </c>
      <c r="E629" t="s">
        <v>2242</v>
      </c>
      <c r="F629">
        <v>3630</v>
      </c>
      <c r="G629">
        <v>1064</v>
      </c>
      <c r="H629" s="32">
        <f t="shared" si="9"/>
        <v>3.4116541353383458</v>
      </c>
      <c r="I629">
        <v>1</v>
      </c>
      <c r="J629" t="s">
        <v>21</v>
      </c>
    </row>
    <row r="630" spans="1:10" x14ac:dyDescent="0.25">
      <c r="A630">
        <v>59667</v>
      </c>
      <c r="B630" t="s">
        <v>3553</v>
      </c>
      <c r="C630" t="s">
        <v>708</v>
      </c>
      <c r="D630" t="s">
        <v>2241</v>
      </c>
      <c r="E630" t="s">
        <v>2242</v>
      </c>
      <c r="F630">
        <v>5503</v>
      </c>
      <c r="G630">
        <v>1613</v>
      </c>
      <c r="H630" s="32">
        <f t="shared" si="9"/>
        <v>3.411655300681959</v>
      </c>
      <c r="I630">
        <v>1</v>
      </c>
      <c r="J630" t="s">
        <v>21</v>
      </c>
    </row>
    <row r="631" spans="1:10" x14ac:dyDescent="0.25">
      <c r="A631">
        <v>67813</v>
      </c>
      <c r="B631" t="s">
        <v>5180</v>
      </c>
      <c r="C631" t="s">
        <v>166</v>
      </c>
      <c r="D631" t="s">
        <v>2241</v>
      </c>
      <c r="E631" t="s">
        <v>2242</v>
      </c>
      <c r="F631">
        <v>14868</v>
      </c>
      <c r="G631">
        <v>4358</v>
      </c>
      <c r="H631" s="32">
        <f t="shared" si="9"/>
        <v>3.4116567232675541</v>
      </c>
      <c r="I631">
        <v>1</v>
      </c>
      <c r="J631" t="s">
        <v>21</v>
      </c>
    </row>
    <row r="632" spans="1:10" x14ac:dyDescent="0.25">
      <c r="A632">
        <v>60121</v>
      </c>
      <c r="B632" t="s">
        <v>3677</v>
      </c>
      <c r="C632" t="s">
        <v>708</v>
      </c>
      <c r="D632" t="s">
        <v>2241</v>
      </c>
      <c r="E632" t="s">
        <v>2242</v>
      </c>
      <c r="F632">
        <v>7492</v>
      </c>
      <c r="G632">
        <v>2196</v>
      </c>
      <c r="H632" s="32">
        <f t="shared" si="9"/>
        <v>3.411657559198543</v>
      </c>
      <c r="I632">
        <v>1</v>
      </c>
      <c r="J632" t="s">
        <v>21</v>
      </c>
    </row>
    <row r="633" spans="1:10" x14ac:dyDescent="0.25">
      <c r="A633">
        <v>66652</v>
      </c>
      <c r="B633" t="s">
        <v>4938</v>
      </c>
      <c r="C633" t="s">
        <v>307</v>
      </c>
      <c r="D633" t="s">
        <v>2241</v>
      </c>
      <c r="E633" t="s">
        <v>2242</v>
      </c>
      <c r="F633">
        <v>11412</v>
      </c>
      <c r="G633">
        <v>3345</v>
      </c>
      <c r="H633" s="32">
        <f t="shared" si="9"/>
        <v>3.4116591928251121</v>
      </c>
      <c r="I633">
        <v>1</v>
      </c>
      <c r="J633" t="s">
        <v>21</v>
      </c>
    </row>
    <row r="634" spans="1:10" x14ac:dyDescent="0.25">
      <c r="A634">
        <v>61211</v>
      </c>
      <c r="B634" t="s">
        <v>3960</v>
      </c>
      <c r="C634" t="s">
        <v>2029</v>
      </c>
      <c r="D634" t="s">
        <v>2241</v>
      </c>
      <c r="E634" t="s">
        <v>2242</v>
      </c>
      <c r="F634">
        <v>3862</v>
      </c>
      <c r="G634">
        <v>1132</v>
      </c>
      <c r="H634" s="32">
        <f t="shared" si="9"/>
        <v>3.4116607773851588</v>
      </c>
      <c r="I634">
        <v>1</v>
      </c>
      <c r="J634" t="s">
        <v>21</v>
      </c>
    </row>
    <row r="635" spans="1:10" x14ac:dyDescent="0.25">
      <c r="A635">
        <v>59278</v>
      </c>
      <c r="B635" t="s">
        <v>3426</v>
      </c>
      <c r="C635" t="s">
        <v>241</v>
      </c>
      <c r="D635" t="s">
        <v>2241</v>
      </c>
      <c r="E635" t="s">
        <v>2242</v>
      </c>
      <c r="F635">
        <v>5851</v>
      </c>
      <c r="G635">
        <v>1715</v>
      </c>
      <c r="H635" s="32">
        <f t="shared" si="9"/>
        <v>3.4116618075801748</v>
      </c>
      <c r="I635">
        <v>1</v>
      </c>
      <c r="J635" t="s">
        <v>21</v>
      </c>
    </row>
    <row r="636" spans="1:10" x14ac:dyDescent="0.25">
      <c r="A636">
        <v>64229</v>
      </c>
      <c r="B636" t="s">
        <v>4516</v>
      </c>
      <c r="C636" t="s">
        <v>166</v>
      </c>
      <c r="D636" t="s">
        <v>2241</v>
      </c>
      <c r="E636" t="s">
        <v>2242</v>
      </c>
      <c r="F636">
        <v>13749</v>
      </c>
      <c r="G636">
        <v>4030</v>
      </c>
      <c r="H636" s="32">
        <f t="shared" si="9"/>
        <v>3.4116625310173698</v>
      </c>
      <c r="I636">
        <v>1</v>
      </c>
      <c r="J636" t="s">
        <v>21</v>
      </c>
    </row>
    <row r="637" spans="1:10" x14ac:dyDescent="0.25">
      <c r="A637">
        <v>59114</v>
      </c>
      <c r="B637" t="s">
        <v>3379</v>
      </c>
      <c r="C637" t="s">
        <v>708</v>
      </c>
      <c r="D637" t="s">
        <v>2241</v>
      </c>
      <c r="E637" t="s">
        <v>2242</v>
      </c>
      <c r="F637">
        <v>13807</v>
      </c>
      <c r="G637">
        <v>4047</v>
      </c>
      <c r="H637" s="32">
        <f t="shared" si="9"/>
        <v>3.4116629602174449</v>
      </c>
      <c r="I637">
        <v>1</v>
      </c>
      <c r="J637" t="s">
        <v>21</v>
      </c>
    </row>
    <row r="638" spans="1:10" x14ac:dyDescent="0.25">
      <c r="A638">
        <v>57868</v>
      </c>
      <c r="B638" t="s">
        <v>3068</v>
      </c>
      <c r="C638" t="s">
        <v>241</v>
      </c>
      <c r="D638" t="s">
        <v>2241</v>
      </c>
      <c r="E638" t="s">
        <v>2242</v>
      </c>
      <c r="F638">
        <v>4036</v>
      </c>
      <c r="G638">
        <v>1183</v>
      </c>
      <c r="H638" s="32">
        <f t="shared" si="9"/>
        <v>3.411665257819104</v>
      </c>
      <c r="I638">
        <v>1</v>
      </c>
      <c r="J638" t="s">
        <v>21</v>
      </c>
    </row>
    <row r="639" spans="1:10" x14ac:dyDescent="0.25">
      <c r="A639">
        <v>57750</v>
      </c>
      <c r="B639" t="s">
        <v>3046</v>
      </c>
      <c r="C639" t="s">
        <v>241</v>
      </c>
      <c r="D639" t="s">
        <v>2241</v>
      </c>
      <c r="E639" t="s">
        <v>2242</v>
      </c>
      <c r="F639">
        <v>12224</v>
      </c>
      <c r="G639">
        <v>3583</v>
      </c>
      <c r="H639" s="32">
        <f t="shared" si="9"/>
        <v>3.4116662015071171</v>
      </c>
      <c r="I639">
        <v>1</v>
      </c>
      <c r="J639" t="s">
        <v>21</v>
      </c>
    </row>
    <row r="640" spans="1:10" x14ac:dyDescent="0.25">
      <c r="A640">
        <v>60839</v>
      </c>
      <c r="B640" t="s">
        <v>3885</v>
      </c>
      <c r="C640" t="s">
        <v>241</v>
      </c>
      <c r="D640" t="s">
        <v>2241</v>
      </c>
      <c r="E640" t="s">
        <v>2242</v>
      </c>
      <c r="F640">
        <v>12224</v>
      </c>
      <c r="G640">
        <v>3583</v>
      </c>
      <c r="H640" s="32">
        <f t="shared" si="9"/>
        <v>3.4116662015071171</v>
      </c>
      <c r="I640">
        <v>1</v>
      </c>
      <c r="J640" t="s">
        <v>21</v>
      </c>
    </row>
    <row r="641" spans="1:10" x14ac:dyDescent="0.25">
      <c r="A641">
        <v>67368</v>
      </c>
      <c r="B641" t="s">
        <v>5085</v>
      </c>
      <c r="C641" t="s">
        <v>241</v>
      </c>
      <c r="D641" t="s">
        <v>2241</v>
      </c>
      <c r="E641" t="s">
        <v>2242</v>
      </c>
      <c r="F641">
        <v>8420</v>
      </c>
      <c r="G641">
        <v>2468</v>
      </c>
      <c r="H641" s="32">
        <f t="shared" si="9"/>
        <v>3.4116693679092385</v>
      </c>
      <c r="I641">
        <v>1</v>
      </c>
      <c r="J641" t="s">
        <v>21</v>
      </c>
    </row>
    <row r="642" spans="1:10" x14ac:dyDescent="0.25">
      <c r="A642">
        <v>60772</v>
      </c>
      <c r="B642" t="s">
        <v>3867</v>
      </c>
      <c r="C642" t="s">
        <v>241</v>
      </c>
      <c r="D642" t="s">
        <v>2241</v>
      </c>
      <c r="E642" t="s">
        <v>2242</v>
      </c>
      <c r="F642">
        <v>13094</v>
      </c>
      <c r="G642">
        <v>3838</v>
      </c>
      <c r="H642" s="32">
        <f t="shared" ref="H642:H705" si="10">IF(AND(F642&gt;0,G642&gt;0),F642/G642,"")</f>
        <v>3.4116727462219907</v>
      </c>
      <c r="I642">
        <v>1</v>
      </c>
      <c r="J642" t="s">
        <v>21</v>
      </c>
    </row>
    <row r="643" spans="1:10" x14ac:dyDescent="0.25">
      <c r="A643">
        <v>58665</v>
      </c>
      <c r="B643" t="s">
        <v>3245</v>
      </c>
      <c r="C643" t="s">
        <v>322</v>
      </c>
      <c r="D643" t="s">
        <v>2241</v>
      </c>
      <c r="E643" t="s">
        <v>2242</v>
      </c>
      <c r="F643">
        <v>22036</v>
      </c>
      <c r="G643">
        <v>6459</v>
      </c>
      <c r="H643" s="32">
        <f t="shared" si="10"/>
        <v>3.4116736336894258</v>
      </c>
      <c r="I643">
        <v>1</v>
      </c>
      <c r="J643" t="s">
        <v>21</v>
      </c>
    </row>
    <row r="644" spans="1:10" x14ac:dyDescent="0.25">
      <c r="A644">
        <v>67473</v>
      </c>
      <c r="B644" t="s">
        <v>5104</v>
      </c>
      <c r="C644" t="s">
        <v>266</v>
      </c>
      <c r="D644" t="s">
        <v>2241</v>
      </c>
      <c r="E644" t="s">
        <v>2242</v>
      </c>
      <c r="F644">
        <v>6663</v>
      </c>
      <c r="G644">
        <v>1953</v>
      </c>
      <c r="H644" s="32">
        <f t="shared" si="10"/>
        <v>3.4116743471582183</v>
      </c>
      <c r="I644">
        <v>1</v>
      </c>
      <c r="J644" t="s">
        <v>21</v>
      </c>
    </row>
    <row r="645" spans="1:10" x14ac:dyDescent="0.25">
      <c r="A645">
        <v>67720</v>
      </c>
      <c r="B645" t="s">
        <v>5161</v>
      </c>
      <c r="C645" t="s">
        <v>166</v>
      </c>
      <c r="D645" t="s">
        <v>2241</v>
      </c>
      <c r="E645" t="s">
        <v>2242</v>
      </c>
      <c r="F645">
        <v>13500</v>
      </c>
      <c r="G645">
        <v>3957</v>
      </c>
      <c r="H645" s="32">
        <f t="shared" si="10"/>
        <v>3.4116755117513269</v>
      </c>
      <c r="I645">
        <v>1</v>
      </c>
      <c r="J645" t="s">
        <v>21</v>
      </c>
    </row>
    <row r="646" spans="1:10" x14ac:dyDescent="0.25">
      <c r="A646">
        <v>66840</v>
      </c>
      <c r="B646" t="s">
        <v>4977</v>
      </c>
      <c r="C646" t="s">
        <v>307</v>
      </c>
      <c r="D646" t="s">
        <v>2241</v>
      </c>
      <c r="E646" t="s">
        <v>2242</v>
      </c>
      <c r="F646">
        <v>2279</v>
      </c>
      <c r="G646">
        <v>668</v>
      </c>
      <c r="H646" s="32">
        <f t="shared" si="10"/>
        <v>3.4116766467065869</v>
      </c>
      <c r="I646">
        <v>1</v>
      </c>
      <c r="J646" t="s">
        <v>21</v>
      </c>
    </row>
    <row r="647" spans="1:10" x14ac:dyDescent="0.25">
      <c r="A647">
        <v>67714</v>
      </c>
      <c r="B647" t="s">
        <v>5155</v>
      </c>
      <c r="C647" t="s">
        <v>166</v>
      </c>
      <c r="D647" t="s">
        <v>2241</v>
      </c>
      <c r="E647" t="s">
        <v>2242</v>
      </c>
      <c r="F647">
        <v>4616</v>
      </c>
      <c r="G647">
        <v>1353</v>
      </c>
      <c r="H647" s="32">
        <f t="shared" si="10"/>
        <v>3.4116777531411677</v>
      </c>
      <c r="I647">
        <v>1</v>
      </c>
      <c r="J647" t="s">
        <v>21</v>
      </c>
    </row>
    <row r="648" spans="1:10" x14ac:dyDescent="0.25">
      <c r="A648">
        <v>65357</v>
      </c>
      <c r="B648" t="s">
        <v>4736</v>
      </c>
      <c r="C648" t="s">
        <v>307</v>
      </c>
      <c r="D648" t="s">
        <v>2241</v>
      </c>
      <c r="E648" t="s">
        <v>2242</v>
      </c>
      <c r="F648">
        <v>11569</v>
      </c>
      <c r="G648">
        <v>3391</v>
      </c>
      <c r="H648" s="32">
        <f t="shared" si="10"/>
        <v>3.4116779710999707</v>
      </c>
      <c r="I648">
        <v>1</v>
      </c>
      <c r="J648" t="s">
        <v>21</v>
      </c>
    </row>
    <row r="649" spans="1:10" x14ac:dyDescent="0.25">
      <c r="A649">
        <v>65732</v>
      </c>
      <c r="B649" t="s">
        <v>4796</v>
      </c>
      <c r="C649" t="s">
        <v>166</v>
      </c>
      <c r="D649" t="s">
        <v>2241</v>
      </c>
      <c r="E649" t="s">
        <v>2242</v>
      </c>
      <c r="F649">
        <v>14080</v>
      </c>
      <c r="G649">
        <v>4127</v>
      </c>
      <c r="H649" s="32">
        <f t="shared" si="10"/>
        <v>3.4116791858492852</v>
      </c>
      <c r="I649">
        <v>1</v>
      </c>
      <c r="J649" t="s">
        <v>21</v>
      </c>
    </row>
    <row r="650" spans="1:10" x14ac:dyDescent="0.25">
      <c r="A650">
        <v>59542</v>
      </c>
      <c r="B650" t="s">
        <v>3503</v>
      </c>
      <c r="C650" t="s">
        <v>708</v>
      </c>
      <c r="D650" t="s">
        <v>2241</v>
      </c>
      <c r="E650" t="s">
        <v>2242</v>
      </c>
      <c r="F650">
        <v>16591</v>
      </c>
      <c r="G650">
        <v>4863</v>
      </c>
      <c r="H650" s="32">
        <f t="shared" si="10"/>
        <v>3.4116800329015011</v>
      </c>
      <c r="I650">
        <v>1</v>
      </c>
      <c r="J650" t="s">
        <v>21</v>
      </c>
    </row>
    <row r="651" spans="1:10" x14ac:dyDescent="0.25">
      <c r="A651">
        <v>68961</v>
      </c>
      <c r="B651" t="s">
        <v>5287</v>
      </c>
      <c r="C651" t="s">
        <v>166</v>
      </c>
      <c r="D651" t="s">
        <v>2241</v>
      </c>
      <c r="E651" t="s">
        <v>2242</v>
      </c>
      <c r="F651">
        <v>7127</v>
      </c>
      <c r="G651">
        <v>2089</v>
      </c>
      <c r="H651" s="32">
        <f t="shared" si="10"/>
        <v>3.411680229775012</v>
      </c>
      <c r="I651">
        <v>1</v>
      </c>
      <c r="J651" t="s">
        <v>21</v>
      </c>
    </row>
    <row r="652" spans="1:10" x14ac:dyDescent="0.25">
      <c r="A652">
        <v>59424</v>
      </c>
      <c r="B652" t="s">
        <v>3448</v>
      </c>
      <c r="C652" t="s">
        <v>131</v>
      </c>
      <c r="D652" t="s">
        <v>2241</v>
      </c>
      <c r="E652" t="s">
        <v>2242</v>
      </c>
      <c r="F652">
        <v>19160</v>
      </c>
      <c r="G652">
        <v>5616</v>
      </c>
      <c r="H652" s="32">
        <f t="shared" si="10"/>
        <v>3.4116809116809117</v>
      </c>
      <c r="I652">
        <v>1</v>
      </c>
      <c r="J652" t="s">
        <v>21</v>
      </c>
    </row>
    <row r="653" spans="1:10" x14ac:dyDescent="0.25">
      <c r="A653">
        <v>69922</v>
      </c>
      <c r="B653" t="s">
        <v>5418</v>
      </c>
      <c r="C653" t="s">
        <v>166</v>
      </c>
      <c r="D653" t="s">
        <v>2241</v>
      </c>
      <c r="E653" t="s">
        <v>2242</v>
      </c>
      <c r="F653">
        <v>14370</v>
      </c>
      <c r="G653">
        <v>4212</v>
      </c>
      <c r="H653" s="32">
        <f t="shared" si="10"/>
        <v>3.4116809116809117</v>
      </c>
      <c r="I653">
        <v>1</v>
      </c>
      <c r="J653" t="s">
        <v>21</v>
      </c>
    </row>
    <row r="654" spans="1:10" x14ac:dyDescent="0.25">
      <c r="A654">
        <v>63945</v>
      </c>
      <c r="B654" t="s">
        <v>4446</v>
      </c>
      <c r="C654" t="s">
        <v>166</v>
      </c>
      <c r="D654" t="s">
        <v>2241</v>
      </c>
      <c r="E654" t="s">
        <v>2242</v>
      </c>
      <c r="F654">
        <v>9986</v>
      </c>
      <c r="G654">
        <v>2927</v>
      </c>
      <c r="H654" s="32">
        <f t="shared" si="10"/>
        <v>3.4116843184147592</v>
      </c>
      <c r="I654">
        <v>1</v>
      </c>
      <c r="J654" t="s">
        <v>21</v>
      </c>
    </row>
    <row r="655" spans="1:10" x14ac:dyDescent="0.25">
      <c r="A655">
        <v>63357</v>
      </c>
      <c r="B655" t="s">
        <v>4336</v>
      </c>
      <c r="C655" t="s">
        <v>241</v>
      </c>
      <c r="D655" t="s">
        <v>2241</v>
      </c>
      <c r="E655" t="s">
        <v>2242</v>
      </c>
      <c r="F655">
        <v>7533</v>
      </c>
      <c r="G655">
        <v>2208</v>
      </c>
      <c r="H655" s="32">
        <f t="shared" si="10"/>
        <v>3.4116847826086958</v>
      </c>
      <c r="I655">
        <v>1</v>
      </c>
      <c r="J655" t="s">
        <v>21</v>
      </c>
    </row>
    <row r="656" spans="1:10" x14ac:dyDescent="0.25">
      <c r="A656">
        <v>64647</v>
      </c>
      <c r="B656" t="s">
        <v>4622</v>
      </c>
      <c r="C656" t="s">
        <v>307</v>
      </c>
      <c r="D656" t="s">
        <v>2241</v>
      </c>
      <c r="E656" t="s">
        <v>2242</v>
      </c>
      <c r="F656">
        <v>12555</v>
      </c>
      <c r="G656">
        <v>3680</v>
      </c>
      <c r="H656" s="32">
        <f t="shared" si="10"/>
        <v>3.4116847826086958</v>
      </c>
      <c r="I656">
        <v>1</v>
      </c>
      <c r="J656" t="s">
        <v>21</v>
      </c>
    </row>
    <row r="657" spans="1:10" x14ac:dyDescent="0.25">
      <c r="A657">
        <v>64643</v>
      </c>
      <c r="B657" t="s">
        <v>4618</v>
      </c>
      <c r="C657" t="s">
        <v>307</v>
      </c>
      <c r="D657" t="s">
        <v>2241</v>
      </c>
      <c r="E657" t="s">
        <v>2242</v>
      </c>
      <c r="F657">
        <v>12613</v>
      </c>
      <c r="G657">
        <v>3697</v>
      </c>
      <c r="H657" s="32">
        <f t="shared" si="10"/>
        <v>3.4116851501217202</v>
      </c>
      <c r="I657">
        <v>1</v>
      </c>
      <c r="J657" t="s">
        <v>21</v>
      </c>
    </row>
    <row r="658" spans="1:10" x14ac:dyDescent="0.25">
      <c r="A658">
        <v>59986</v>
      </c>
      <c r="B658" t="s">
        <v>3640</v>
      </c>
      <c r="C658" t="s">
        <v>131</v>
      </c>
      <c r="D658" t="s">
        <v>2241</v>
      </c>
      <c r="E658" t="s">
        <v>2242</v>
      </c>
      <c r="F658">
        <v>5080</v>
      </c>
      <c r="G658">
        <v>1489</v>
      </c>
      <c r="H658" s="32">
        <f t="shared" si="10"/>
        <v>3.4116856950973808</v>
      </c>
      <c r="I658">
        <v>1</v>
      </c>
      <c r="J658" t="s">
        <v>21</v>
      </c>
    </row>
    <row r="659" spans="1:10" x14ac:dyDescent="0.25">
      <c r="A659">
        <v>66033</v>
      </c>
      <c r="B659" t="s">
        <v>4837</v>
      </c>
      <c r="C659" t="s">
        <v>166</v>
      </c>
      <c r="D659" t="s">
        <v>2241</v>
      </c>
      <c r="E659" t="s">
        <v>2242</v>
      </c>
      <c r="F659">
        <v>15646</v>
      </c>
      <c r="G659">
        <v>4586</v>
      </c>
      <c r="H659" s="32">
        <f t="shared" si="10"/>
        <v>3.4116877453118186</v>
      </c>
      <c r="I659">
        <v>1</v>
      </c>
      <c r="J659" t="s">
        <v>21</v>
      </c>
    </row>
    <row r="660" spans="1:10" x14ac:dyDescent="0.25">
      <c r="A660">
        <v>64330</v>
      </c>
      <c r="B660" t="s">
        <v>4543</v>
      </c>
      <c r="C660" t="s">
        <v>166</v>
      </c>
      <c r="D660" t="s">
        <v>2241</v>
      </c>
      <c r="E660" t="s">
        <v>2242</v>
      </c>
      <c r="F660">
        <v>5254</v>
      </c>
      <c r="G660">
        <v>1540</v>
      </c>
      <c r="H660" s="32">
        <f t="shared" si="10"/>
        <v>3.4116883116883119</v>
      </c>
      <c r="I660">
        <v>1</v>
      </c>
      <c r="J660" t="s">
        <v>21</v>
      </c>
    </row>
    <row r="661" spans="1:10" x14ac:dyDescent="0.25">
      <c r="A661">
        <v>63967</v>
      </c>
      <c r="B661" t="s">
        <v>4454</v>
      </c>
      <c r="C661" t="s">
        <v>166</v>
      </c>
      <c r="D661" t="s">
        <v>2241</v>
      </c>
      <c r="E661" t="s">
        <v>2242</v>
      </c>
      <c r="F661">
        <v>7939</v>
      </c>
      <c r="G661">
        <v>2327</v>
      </c>
      <c r="H661" s="32">
        <f t="shared" si="10"/>
        <v>3.4116888697894283</v>
      </c>
      <c r="I661">
        <v>1</v>
      </c>
      <c r="J661" t="s">
        <v>21</v>
      </c>
    </row>
    <row r="662" spans="1:10" x14ac:dyDescent="0.25">
      <c r="A662">
        <v>59908</v>
      </c>
      <c r="B662" t="s">
        <v>3614</v>
      </c>
      <c r="C662" t="s">
        <v>708</v>
      </c>
      <c r="D662" t="s">
        <v>2241</v>
      </c>
      <c r="E662" t="s">
        <v>2242</v>
      </c>
      <c r="F662">
        <v>10682</v>
      </c>
      <c r="G662">
        <v>3131</v>
      </c>
      <c r="H662" s="32">
        <f t="shared" si="10"/>
        <v>3.4116895560523792</v>
      </c>
      <c r="I662">
        <v>1</v>
      </c>
      <c r="J662" t="s">
        <v>21</v>
      </c>
    </row>
    <row r="663" spans="1:10" x14ac:dyDescent="0.25">
      <c r="A663">
        <v>63621</v>
      </c>
      <c r="B663" t="s">
        <v>4379</v>
      </c>
      <c r="C663" t="s">
        <v>166</v>
      </c>
      <c r="D663" t="s">
        <v>2241</v>
      </c>
      <c r="E663" t="s">
        <v>2242</v>
      </c>
      <c r="F663">
        <v>14179</v>
      </c>
      <c r="G663">
        <v>4156</v>
      </c>
      <c r="H663" s="32">
        <f t="shared" si="10"/>
        <v>3.4116939364773819</v>
      </c>
      <c r="I663">
        <v>1</v>
      </c>
      <c r="J663" t="s">
        <v>21</v>
      </c>
    </row>
    <row r="664" spans="1:10" x14ac:dyDescent="0.25">
      <c r="A664">
        <v>69923</v>
      </c>
      <c r="B664" t="s">
        <v>5419</v>
      </c>
      <c r="C664" t="s">
        <v>166</v>
      </c>
      <c r="D664" t="s">
        <v>2241</v>
      </c>
      <c r="E664" t="s">
        <v>2242</v>
      </c>
      <c r="F664">
        <v>11900</v>
      </c>
      <c r="G664">
        <v>3488</v>
      </c>
      <c r="H664" s="32">
        <f t="shared" si="10"/>
        <v>3.4116972477064218</v>
      </c>
      <c r="I664">
        <v>1</v>
      </c>
      <c r="J664" t="s">
        <v>21</v>
      </c>
    </row>
    <row r="665" spans="1:10" x14ac:dyDescent="0.25">
      <c r="A665">
        <v>64328</v>
      </c>
      <c r="B665" t="s">
        <v>4541</v>
      </c>
      <c r="C665" t="s">
        <v>166</v>
      </c>
      <c r="D665" t="s">
        <v>2241</v>
      </c>
      <c r="E665" t="s">
        <v>2242</v>
      </c>
      <c r="F665">
        <v>12306</v>
      </c>
      <c r="G665">
        <v>3607</v>
      </c>
      <c r="H665" s="32">
        <f t="shared" si="10"/>
        <v>3.4116994732464652</v>
      </c>
      <c r="I665">
        <v>1</v>
      </c>
      <c r="J665" t="s">
        <v>21</v>
      </c>
    </row>
    <row r="666" spans="1:10" x14ac:dyDescent="0.25">
      <c r="A666">
        <v>59576</v>
      </c>
      <c r="B666" t="s">
        <v>3520</v>
      </c>
      <c r="C666" t="s">
        <v>708</v>
      </c>
      <c r="D666" t="s">
        <v>2241</v>
      </c>
      <c r="E666" t="s">
        <v>2242</v>
      </c>
      <c r="F666">
        <v>31258</v>
      </c>
      <c r="G666">
        <v>9162</v>
      </c>
      <c r="H666" s="32">
        <f t="shared" si="10"/>
        <v>3.4117005020737832</v>
      </c>
      <c r="I666">
        <v>1</v>
      </c>
      <c r="J666" t="s">
        <v>21</v>
      </c>
    </row>
    <row r="667" spans="1:10" x14ac:dyDescent="0.25">
      <c r="A667">
        <v>65552</v>
      </c>
      <c r="B667" t="s">
        <v>4769</v>
      </c>
      <c r="C667" t="s">
        <v>708</v>
      </c>
      <c r="D667" t="s">
        <v>2241</v>
      </c>
      <c r="E667" t="s">
        <v>2242</v>
      </c>
      <c r="F667">
        <v>28283</v>
      </c>
      <c r="G667">
        <v>8290</v>
      </c>
      <c r="H667" s="32">
        <f t="shared" si="10"/>
        <v>3.4117008443908325</v>
      </c>
      <c r="I667">
        <v>1</v>
      </c>
      <c r="J667" t="s">
        <v>21</v>
      </c>
    </row>
    <row r="668" spans="1:10" x14ac:dyDescent="0.25">
      <c r="A668">
        <v>66656</v>
      </c>
      <c r="B668" t="s">
        <v>4942</v>
      </c>
      <c r="C668" t="s">
        <v>307</v>
      </c>
      <c r="D668" t="s">
        <v>2241</v>
      </c>
      <c r="E668" t="s">
        <v>2242</v>
      </c>
      <c r="F668">
        <v>9505</v>
      </c>
      <c r="G668">
        <v>2786</v>
      </c>
      <c r="H668" s="32">
        <f t="shared" si="10"/>
        <v>3.4117013639626705</v>
      </c>
      <c r="I668">
        <v>1</v>
      </c>
      <c r="J668" t="s">
        <v>21</v>
      </c>
    </row>
    <row r="669" spans="1:10" x14ac:dyDescent="0.25">
      <c r="A669">
        <v>60629</v>
      </c>
      <c r="B669" t="s">
        <v>3823</v>
      </c>
      <c r="C669" t="s">
        <v>708</v>
      </c>
      <c r="D669" t="s">
        <v>2241</v>
      </c>
      <c r="E669" t="s">
        <v>2242</v>
      </c>
      <c r="F669">
        <v>12828</v>
      </c>
      <c r="G669">
        <v>3760</v>
      </c>
      <c r="H669" s="32">
        <f t="shared" si="10"/>
        <v>3.4117021276595745</v>
      </c>
      <c r="I669">
        <v>1</v>
      </c>
      <c r="J669" t="s">
        <v>21</v>
      </c>
    </row>
    <row r="670" spans="1:10" x14ac:dyDescent="0.25">
      <c r="A670">
        <v>58809</v>
      </c>
      <c r="B670" t="s">
        <v>3291</v>
      </c>
      <c r="C670" t="s">
        <v>708</v>
      </c>
      <c r="D670" t="s">
        <v>2241</v>
      </c>
      <c r="E670" t="s">
        <v>2242</v>
      </c>
      <c r="F670">
        <v>26874</v>
      </c>
      <c r="G670">
        <v>7877</v>
      </c>
      <c r="H670" s="32">
        <f t="shared" si="10"/>
        <v>3.4117049638187127</v>
      </c>
      <c r="I670">
        <v>1</v>
      </c>
      <c r="J670" t="s">
        <v>21</v>
      </c>
    </row>
    <row r="671" spans="1:10" x14ac:dyDescent="0.25">
      <c r="A671">
        <v>67822</v>
      </c>
      <c r="B671" t="s">
        <v>5183</v>
      </c>
      <c r="C671" t="s">
        <v>166</v>
      </c>
      <c r="D671" t="s">
        <v>2241</v>
      </c>
      <c r="E671" t="s">
        <v>2242</v>
      </c>
      <c r="F671">
        <v>13466</v>
      </c>
      <c r="G671">
        <v>3947</v>
      </c>
      <c r="H671" s="32">
        <f t="shared" si="10"/>
        <v>3.4117050924752976</v>
      </c>
      <c r="I671">
        <v>1</v>
      </c>
      <c r="J671" t="s">
        <v>21</v>
      </c>
    </row>
    <row r="672" spans="1:10" x14ac:dyDescent="0.25">
      <c r="A672">
        <v>64464</v>
      </c>
      <c r="B672" t="s">
        <v>4575</v>
      </c>
      <c r="C672" t="s">
        <v>166</v>
      </c>
      <c r="D672" t="s">
        <v>2241</v>
      </c>
      <c r="E672" t="s">
        <v>2242</v>
      </c>
      <c r="F672">
        <v>13814</v>
      </c>
      <c r="G672">
        <v>4049</v>
      </c>
      <c r="H672" s="32">
        <f t="shared" si="10"/>
        <v>3.4117065942207954</v>
      </c>
      <c r="I672">
        <v>1</v>
      </c>
      <c r="J672" t="s">
        <v>21</v>
      </c>
    </row>
    <row r="673" spans="1:10" x14ac:dyDescent="0.25">
      <c r="A673">
        <v>64254</v>
      </c>
      <c r="B673" t="s">
        <v>4531</v>
      </c>
      <c r="C673" t="s">
        <v>166</v>
      </c>
      <c r="D673" t="s">
        <v>2241</v>
      </c>
      <c r="E673" t="s">
        <v>2242</v>
      </c>
      <c r="F673">
        <v>11071</v>
      </c>
      <c r="G673">
        <v>3245</v>
      </c>
      <c r="H673" s="32">
        <f t="shared" si="10"/>
        <v>3.4117103235747304</v>
      </c>
      <c r="I673">
        <v>1</v>
      </c>
      <c r="J673" t="s">
        <v>21</v>
      </c>
    </row>
    <row r="674" spans="1:10" x14ac:dyDescent="0.25">
      <c r="A674">
        <v>60353</v>
      </c>
      <c r="B674" t="s">
        <v>3741</v>
      </c>
      <c r="C674" t="s">
        <v>307</v>
      </c>
      <c r="D674" t="s">
        <v>2241</v>
      </c>
      <c r="E674" t="s">
        <v>2242</v>
      </c>
      <c r="F674">
        <v>11245</v>
      </c>
      <c r="G674">
        <v>3296</v>
      </c>
      <c r="H674" s="32">
        <f t="shared" si="10"/>
        <v>3.4117111650485437</v>
      </c>
      <c r="I674">
        <v>1</v>
      </c>
      <c r="J674" t="s">
        <v>21</v>
      </c>
    </row>
    <row r="675" spans="1:10" x14ac:dyDescent="0.25">
      <c r="A675">
        <v>66082</v>
      </c>
      <c r="B675" t="s">
        <v>4843</v>
      </c>
      <c r="C675" t="s">
        <v>166</v>
      </c>
      <c r="D675" t="s">
        <v>2241</v>
      </c>
      <c r="E675" t="s">
        <v>2242</v>
      </c>
      <c r="F675">
        <v>15090</v>
      </c>
      <c r="G675">
        <v>4423</v>
      </c>
      <c r="H675" s="32">
        <f t="shared" si="10"/>
        <v>3.4117115080262264</v>
      </c>
      <c r="I675">
        <v>1</v>
      </c>
      <c r="J675" t="s">
        <v>21</v>
      </c>
    </row>
    <row r="676" spans="1:10" x14ac:dyDescent="0.25">
      <c r="A676">
        <v>57487</v>
      </c>
      <c r="B676" t="s">
        <v>3006</v>
      </c>
      <c r="C676" t="s">
        <v>241</v>
      </c>
      <c r="D676" t="s">
        <v>2241</v>
      </c>
      <c r="E676" t="s">
        <v>2242</v>
      </c>
      <c r="F676">
        <v>11883</v>
      </c>
      <c r="G676">
        <v>3483</v>
      </c>
      <c r="H676" s="32">
        <f t="shared" si="10"/>
        <v>3.4117140396210162</v>
      </c>
      <c r="I676">
        <v>1</v>
      </c>
      <c r="J676" t="s">
        <v>21</v>
      </c>
    </row>
    <row r="677" spans="1:10" x14ac:dyDescent="0.25">
      <c r="A677">
        <v>57724</v>
      </c>
      <c r="B677" t="s">
        <v>3036</v>
      </c>
      <c r="C677" t="s">
        <v>241</v>
      </c>
      <c r="D677" t="s">
        <v>2241</v>
      </c>
      <c r="E677" t="s">
        <v>2242</v>
      </c>
      <c r="F677">
        <v>12869</v>
      </c>
      <c r="G677">
        <v>3772</v>
      </c>
      <c r="H677" s="32">
        <f t="shared" si="10"/>
        <v>3.4117179215270412</v>
      </c>
      <c r="I677">
        <v>1</v>
      </c>
      <c r="J677" t="s">
        <v>21</v>
      </c>
    </row>
    <row r="678" spans="1:10" x14ac:dyDescent="0.25">
      <c r="A678">
        <v>67269</v>
      </c>
      <c r="B678" t="s">
        <v>5074</v>
      </c>
      <c r="C678" t="s">
        <v>241</v>
      </c>
      <c r="D678" t="s">
        <v>2241</v>
      </c>
      <c r="E678" t="s">
        <v>2242</v>
      </c>
      <c r="F678">
        <v>4599</v>
      </c>
      <c r="G678">
        <v>1348</v>
      </c>
      <c r="H678" s="32">
        <f t="shared" si="10"/>
        <v>3.4117210682492582</v>
      </c>
      <c r="I678">
        <v>1</v>
      </c>
      <c r="J678" t="s">
        <v>21</v>
      </c>
    </row>
    <row r="679" spans="1:10" x14ac:dyDescent="0.25">
      <c r="A679">
        <v>66653</v>
      </c>
      <c r="B679" t="s">
        <v>4939</v>
      </c>
      <c r="C679" t="s">
        <v>307</v>
      </c>
      <c r="D679" t="s">
        <v>2241</v>
      </c>
      <c r="E679" t="s">
        <v>2242</v>
      </c>
      <c r="F679">
        <v>9604</v>
      </c>
      <c r="G679">
        <v>2815</v>
      </c>
      <c r="H679" s="32">
        <f t="shared" si="10"/>
        <v>3.4117229129662521</v>
      </c>
      <c r="I679">
        <v>1</v>
      </c>
      <c r="J679" t="s">
        <v>21</v>
      </c>
    </row>
    <row r="680" spans="1:10" x14ac:dyDescent="0.25">
      <c r="A680">
        <v>63692</v>
      </c>
      <c r="B680" t="s">
        <v>4389</v>
      </c>
      <c r="C680" t="s">
        <v>708</v>
      </c>
      <c r="D680" t="s">
        <v>2241</v>
      </c>
      <c r="E680" t="s">
        <v>2242</v>
      </c>
      <c r="F680">
        <v>9778</v>
      </c>
      <c r="G680">
        <v>2866</v>
      </c>
      <c r="H680" s="32">
        <f t="shared" si="10"/>
        <v>3.4117236566643405</v>
      </c>
      <c r="I680">
        <v>1</v>
      </c>
      <c r="J680" t="s">
        <v>21</v>
      </c>
    </row>
    <row r="681" spans="1:10" x14ac:dyDescent="0.25">
      <c r="A681">
        <v>65799</v>
      </c>
      <c r="B681" t="s">
        <v>4805</v>
      </c>
      <c r="C681" t="s">
        <v>166</v>
      </c>
      <c r="D681" t="s">
        <v>2241</v>
      </c>
      <c r="E681" t="s">
        <v>2242</v>
      </c>
      <c r="F681">
        <v>15711</v>
      </c>
      <c r="G681">
        <v>4605</v>
      </c>
      <c r="H681" s="32">
        <f t="shared" si="10"/>
        <v>3.4117263843648207</v>
      </c>
      <c r="I681">
        <v>1</v>
      </c>
      <c r="J681" t="s">
        <v>21</v>
      </c>
    </row>
    <row r="682" spans="1:10" x14ac:dyDescent="0.25">
      <c r="A682">
        <v>60055</v>
      </c>
      <c r="B682" t="s">
        <v>3664</v>
      </c>
      <c r="C682" t="s">
        <v>708</v>
      </c>
      <c r="D682" t="s">
        <v>2241</v>
      </c>
      <c r="E682" t="s">
        <v>2242</v>
      </c>
      <c r="F682">
        <v>11460</v>
      </c>
      <c r="G682">
        <v>3359</v>
      </c>
      <c r="H682" s="32">
        <f t="shared" si="10"/>
        <v>3.4117296814528135</v>
      </c>
      <c r="I682">
        <v>1</v>
      </c>
      <c r="J682" t="s">
        <v>21</v>
      </c>
    </row>
    <row r="683" spans="1:10" x14ac:dyDescent="0.25">
      <c r="A683">
        <v>61031</v>
      </c>
      <c r="B683" t="s">
        <v>3925</v>
      </c>
      <c r="C683" t="s">
        <v>708</v>
      </c>
      <c r="D683" t="s">
        <v>2241</v>
      </c>
      <c r="E683" t="s">
        <v>2242</v>
      </c>
      <c r="F683">
        <v>28853</v>
      </c>
      <c r="G683">
        <v>8457</v>
      </c>
      <c r="H683" s="32">
        <f t="shared" si="10"/>
        <v>3.4117299278704034</v>
      </c>
      <c r="I683">
        <v>1</v>
      </c>
      <c r="J683" t="s">
        <v>21</v>
      </c>
    </row>
    <row r="684" spans="1:10" x14ac:dyDescent="0.25">
      <c r="A684">
        <v>65819</v>
      </c>
      <c r="B684" t="s">
        <v>4809</v>
      </c>
      <c r="C684" t="s">
        <v>708</v>
      </c>
      <c r="D684" t="s">
        <v>2241</v>
      </c>
      <c r="E684" t="s">
        <v>2242</v>
      </c>
      <c r="F684">
        <v>12040</v>
      </c>
      <c r="G684">
        <v>3529</v>
      </c>
      <c r="H684" s="32">
        <f t="shared" si="10"/>
        <v>3.4117313686596771</v>
      </c>
      <c r="I684">
        <v>1</v>
      </c>
      <c r="J684" t="s">
        <v>21</v>
      </c>
    </row>
    <row r="685" spans="1:10" x14ac:dyDescent="0.25">
      <c r="A685">
        <v>64364</v>
      </c>
      <c r="B685" t="s">
        <v>4549</v>
      </c>
      <c r="C685" t="s">
        <v>166</v>
      </c>
      <c r="D685" t="s">
        <v>2241</v>
      </c>
      <c r="E685" t="s">
        <v>2242</v>
      </c>
      <c r="F685">
        <v>6107</v>
      </c>
      <c r="G685">
        <v>1790</v>
      </c>
      <c r="H685" s="32">
        <f t="shared" si="10"/>
        <v>3.4117318435754189</v>
      </c>
      <c r="I685">
        <v>1</v>
      </c>
      <c r="J685" t="s">
        <v>21</v>
      </c>
    </row>
    <row r="686" spans="1:10" x14ac:dyDescent="0.25">
      <c r="A686">
        <v>67133</v>
      </c>
      <c r="B686" t="s">
        <v>5039</v>
      </c>
      <c r="C686" t="s">
        <v>2029</v>
      </c>
      <c r="D686" t="s">
        <v>2241</v>
      </c>
      <c r="E686" t="s">
        <v>2242</v>
      </c>
      <c r="F686">
        <v>6339</v>
      </c>
      <c r="G686">
        <v>1858</v>
      </c>
      <c r="H686" s="32">
        <f t="shared" si="10"/>
        <v>3.4117330462863293</v>
      </c>
      <c r="I686">
        <v>1</v>
      </c>
      <c r="J686" t="s">
        <v>21</v>
      </c>
    </row>
    <row r="687" spans="1:10" x14ac:dyDescent="0.25">
      <c r="A687">
        <v>64362</v>
      </c>
      <c r="B687" t="s">
        <v>4547</v>
      </c>
      <c r="C687" t="s">
        <v>166</v>
      </c>
      <c r="D687" t="s">
        <v>2241</v>
      </c>
      <c r="E687" t="s">
        <v>2242</v>
      </c>
      <c r="F687">
        <v>6513</v>
      </c>
      <c r="G687">
        <v>1909</v>
      </c>
      <c r="H687" s="32">
        <f t="shared" si="10"/>
        <v>3.4117338920900995</v>
      </c>
      <c r="I687">
        <v>1</v>
      </c>
      <c r="J687" t="s">
        <v>21</v>
      </c>
    </row>
    <row r="688" spans="1:10" x14ac:dyDescent="0.25">
      <c r="A688">
        <v>64499</v>
      </c>
      <c r="B688" t="s">
        <v>4587</v>
      </c>
      <c r="C688" t="s">
        <v>250</v>
      </c>
      <c r="D688" t="s">
        <v>2241</v>
      </c>
      <c r="E688" t="s">
        <v>2242</v>
      </c>
      <c r="F688">
        <v>13606</v>
      </c>
      <c r="G688">
        <v>3988</v>
      </c>
      <c r="H688" s="32">
        <f t="shared" si="10"/>
        <v>3.4117352056168504</v>
      </c>
      <c r="I688">
        <v>1</v>
      </c>
      <c r="J688" t="s">
        <v>21</v>
      </c>
    </row>
    <row r="689" spans="1:10" x14ac:dyDescent="0.25">
      <c r="A689">
        <v>64360</v>
      </c>
      <c r="B689" t="s">
        <v>4546</v>
      </c>
      <c r="C689" t="s">
        <v>241</v>
      </c>
      <c r="D689" t="s">
        <v>2241</v>
      </c>
      <c r="E689" t="s">
        <v>2242</v>
      </c>
      <c r="F689">
        <v>20641</v>
      </c>
      <c r="G689">
        <v>6050</v>
      </c>
      <c r="H689" s="32">
        <f t="shared" si="10"/>
        <v>3.4117355371900828</v>
      </c>
      <c r="I689">
        <v>1</v>
      </c>
      <c r="J689" t="s">
        <v>21</v>
      </c>
    </row>
    <row r="690" spans="1:10" x14ac:dyDescent="0.25">
      <c r="A690">
        <v>67270</v>
      </c>
      <c r="B690" t="s">
        <v>5075</v>
      </c>
      <c r="C690" t="s">
        <v>307</v>
      </c>
      <c r="D690" t="s">
        <v>2241</v>
      </c>
      <c r="E690" t="s">
        <v>2242</v>
      </c>
      <c r="F690">
        <v>20699</v>
      </c>
      <c r="G690">
        <v>6067</v>
      </c>
      <c r="H690" s="32">
        <f t="shared" si="10"/>
        <v>3.4117356189220374</v>
      </c>
      <c r="I690">
        <v>1</v>
      </c>
      <c r="J690" t="s">
        <v>21</v>
      </c>
    </row>
    <row r="691" spans="1:10" x14ac:dyDescent="0.25">
      <c r="A691">
        <v>64035</v>
      </c>
      <c r="B691" t="s">
        <v>4476</v>
      </c>
      <c r="C691" t="s">
        <v>708</v>
      </c>
      <c r="D691" t="s">
        <v>2241</v>
      </c>
      <c r="E691" t="s">
        <v>2242</v>
      </c>
      <c r="F691">
        <v>14476</v>
      </c>
      <c r="G691">
        <v>4243</v>
      </c>
      <c r="H691" s="32">
        <f t="shared" si="10"/>
        <v>3.4117369785529106</v>
      </c>
      <c r="I691">
        <v>1</v>
      </c>
      <c r="J691" t="s">
        <v>21</v>
      </c>
    </row>
    <row r="692" spans="1:10" x14ac:dyDescent="0.25">
      <c r="A692">
        <v>70282</v>
      </c>
      <c r="B692" t="s">
        <v>5444</v>
      </c>
      <c r="C692" t="s">
        <v>166</v>
      </c>
      <c r="D692" t="s">
        <v>2241</v>
      </c>
      <c r="E692" t="s">
        <v>2242</v>
      </c>
      <c r="F692">
        <v>14650</v>
      </c>
      <c r="G692">
        <v>4294</v>
      </c>
      <c r="H692" s="32">
        <f t="shared" si="10"/>
        <v>3.4117373078714484</v>
      </c>
      <c r="I692">
        <v>1</v>
      </c>
      <c r="J692" t="s">
        <v>21</v>
      </c>
    </row>
    <row r="693" spans="1:10" x14ac:dyDescent="0.25">
      <c r="A693">
        <v>69070</v>
      </c>
      <c r="B693" t="s">
        <v>5310</v>
      </c>
      <c r="C693" t="s">
        <v>166</v>
      </c>
      <c r="D693" t="s">
        <v>2241</v>
      </c>
      <c r="E693" t="s">
        <v>2242</v>
      </c>
      <c r="F693">
        <v>7847</v>
      </c>
      <c r="G693">
        <v>2300</v>
      </c>
      <c r="H693" s="32">
        <f t="shared" si="10"/>
        <v>3.4117391304347828</v>
      </c>
      <c r="I693">
        <v>1</v>
      </c>
      <c r="J693" t="s">
        <v>21</v>
      </c>
    </row>
    <row r="694" spans="1:10" x14ac:dyDescent="0.25">
      <c r="A694">
        <v>61256</v>
      </c>
      <c r="B694" t="s">
        <v>3966</v>
      </c>
      <c r="C694" t="s">
        <v>708</v>
      </c>
      <c r="D694" t="s">
        <v>2241</v>
      </c>
      <c r="E694" t="s">
        <v>2242</v>
      </c>
      <c r="F694">
        <v>32084</v>
      </c>
      <c r="G694">
        <v>9404</v>
      </c>
      <c r="H694" s="32">
        <f t="shared" si="10"/>
        <v>3.4117396852403234</v>
      </c>
      <c r="I694">
        <v>1</v>
      </c>
      <c r="J694" t="s">
        <v>21</v>
      </c>
    </row>
    <row r="695" spans="1:10" x14ac:dyDescent="0.25">
      <c r="A695">
        <v>63971</v>
      </c>
      <c r="B695" t="s">
        <v>4456</v>
      </c>
      <c r="C695" t="s">
        <v>241</v>
      </c>
      <c r="D695" t="s">
        <v>2241</v>
      </c>
      <c r="E695" t="s">
        <v>2242</v>
      </c>
      <c r="F695">
        <v>8253</v>
      </c>
      <c r="G695">
        <v>2419</v>
      </c>
      <c r="H695" s="32">
        <f t="shared" si="10"/>
        <v>3.4117403885903266</v>
      </c>
      <c r="I695">
        <v>1</v>
      </c>
      <c r="J695" t="s">
        <v>21</v>
      </c>
    </row>
    <row r="696" spans="1:10" x14ac:dyDescent="0.25">
      <c r="A696">
        <v>65466</v>
      </c>
      <c r="B696" t="s">
        <v>4752</v>
      </c>
      <c r="C696" t="s">
        <v>241</v>
      </c>
      <c r="D696" t="s">
        <v>2241</v>
      </c>
      <c r="E696" t="s">
        <v>2242</v>
      </c>
      <c r="F696">
        <v>18478</v>
      </c>
      <c r="G696">
        <v>5416</v>
      </c>
      <c r="H696" s="32">
        <f t="shared" si="10"/>
        <v>3.4117429837518465</v>
      </c>
      <c r="I696">
        <v>1</v>
      </c>
      <c r="J696" t="s">
        <v>21</v>
      </c>
    </row>
    <row r="697" spans="1:10" x14ac:dyDescent="0.25">
      <c r="A697">
        <v>61258</v>
      </c>
      <c r="B697" t="s">
        <v>3968</v>
      </c>
      <c r="C697" t="s">
        <v>708</v>
      </c>
      <c r="D697" t="s">
        <v>2241</v>
      </c>
      <c r="E697" t="s">
        <v>2242</v>
      </c>
      <c r="F697">
        <v>9471</v>
      </c>
      <c r="G697">
        <v>2776</v>
      </c>
      <c r="H697" s="32">
        <f t="shared" si="10"/>
        <v>3.4117435158501439</v>
      </c>
      <c r="I697">
        <v>1</v>
      </c>
      <c r="J697" t="s">
        <v>21</v>
      </c>
    </row>
    <row r="698" spans="1:10" x14ac:dyDescent="0.25">
      <c r="A698">
        <v>61196</v>
      </c>
      <c r="B698" t="s">
        <v>3957</v>
      </c>
      <c r="C698" t="s">
        <v>708</v>
      </c>
      <c r="D698" t="s">
        <v>2241</v>
      </c>
      <c r="E698" t="s">
        <v>2242</v>
      </c>
      <c r="F698">
        <v>19638</v>
      </c>
      <c r="G698">
        <v>5756</v>
      </c>
      <c r="H698" s="32">
        <f t="shared" si="10"/>
        <v>3.4117442668519806</v>
      </c>
      <c r="I698">
        <v>1</v>
      </c>
      <c r="J698" t="s">
        <v>21</v>
      </c>
    </row>
    <row r="699" spans="1:10" x14ac:dyDescent="0.25">
      <c r="A699">
        <v>65005</v>
      </c>
      <c r="B699" t="s">
        <v>4668</v>
      </c>
      <c r="C699" t="s">
        <v>166</v>
      </c>
      <c r="D699" t="s">
        <v>2241</v>
      </c>
      <c r="E699" t="s">
        <v>2242</v>
      </c>
      <c r="F699">
        <v>10167</v>
      </c>
      <c r="G699">
        <v>2980</v>
      </c>
      <c r="H699" s="32">
        <f t="shared" si="10"/>
        <v>3.4117449664429529</v>
      </c>
      <c r="I699">
        <v>1</v>
      </c>
      <c r="J699" t="s">
        <v>21</v>
      </c>
    </row>
    <row r="700" spans="1:10" x14ac:dyDescent="0.25">
      <c r="A700">
        <v>60737</v>
      </c>
      <c r="B700" t="s">
        <v>3851</v>
      </c>
      <c r="C700" t="s">
        <v>307</v>
      </c>
      <c r="D700" t="s">
        <v>2241</v>
      </c>
      <c r="E700" t="s">
        <v>2242</v>
      </c>
      <c r="F700">
        <v>21784</v>
      </c>
      <c r="G700">
        <v>6385</v>
      </c>
      <c r="H700" s="32">
        <f t="shared" si="10"/>
        <v>3.4117462803445577</v>
      </c>
      <c r="I700">
        <v>1</v>
      </c>
      <c r="J700" t="s">
        <v>21</v>
      </c>
    </row>
    <row r="701" spans="1:10" x14ac:dyDescent="0.25">
      <c r="A701">
        <v>60843</v>
      </c>
      <c r="B701" t="s">
        <v>3888</v>
      </c>
      <c r="C701" t="s">
        <v>241</v>
      </c>
      <c r="D701" t="s">
        <v>2241</v>
      </c>
      <c r="E701" t="s">
        <v>2242</v>
      </c>
      <c r="F701">
        <v>11849</v>
      </c>
      <c r="G701">
        <v>3473</v>
      </c>
      <c r="H701" s="32">
        <f t="shared" si="10"/>
        <v>3.4117477684998558</v>
      </c>
      <c r="I701">
        <v>1</v>
      </c>
      <c r="J701" t="s">
        <v>21</v>
      </c>
    </row>
    <row r="702" spans="1:10" x14ac:dyDescent="0.25">
      <c r="A702">
        <v>66079</v>
      </c>
      <c r="B702" t="s">
        <v>4842</v>
      </c>
      <c r="C702" t="s">
        <v>166</v>
      </c>
      <c r="D702" t="s">
        <v>2241</v>
      </c>
      <c r="E702" t="s">
        <v>2242</v>
      </c>
      <c r="F702">
        <v>12139</v>
      </c>
      <c r="G702">
        <v>3558</v>
      </c>
      <c r="H702" s="32">
        <f t="shared" si="10"/>
        <v>3.4117481731309725</v>
      </c>
      <c r="I702">
        <v>1</v>
      </c>
      <c r="J702" t="s">
        <v>21</v>
      </c>
    </row>
    <row r="703" spans="1:10" x14ac:dyDescent="0.25">
      <c r="A703">
        <v>64646</v>
      </c>
      <c r="B703" t="s">
        <v>4621</v>
      </c>
      <c r="C703" t="s">
        <v>307</v>
      </c>
      <c r="D703" t="s">
        <v>2241</v>
      </c>
      <c r="E703" t="s">
        <v>2242</v>
      </c>
      <c r="F703">
        <v>12545</v>
      </c>
      <c r="G703">
        <v>3677</v>
      </c>
      <c r="H703" s="32">
        <f t="shared" si="10"/>
        <v>3.4117487081860212</v>
      </c>
      <c r="I703">
        <v>1</v>
      </c>
      <c r="J703" t="s">
        <v>21</v>
      </c>
    </row>
    <row r="704" spans="1:10" x14ac:dyDescent="0.25">
      <c r="A704">
        <v>65969</v>
      </c>
      <c r="B704" t="s">
        <v>4822</v>
      </c>
      <c r="C704" t="s">
        <v>166</v>
      </c>
      <c r="D704" t="s">
        <v>2241</v>
      </c>
      <c r="E704" t="s">
        <v>2242</v>
      </c>
      <c r="F704">
        <v>13879</v>
      </c>
      <c r="G704">
        <v>4068</v>
      </c>
      <c r="H704" s="32">
        <f t="shared" si="10"/>
        <v>3.4117502458210422</v>
      </c>
      <c r="I704">
        <v>1</v>
      </c>
      <c r="J704" t="s">
        <v>21</v>
      </c>
    </row>
    <row r="705" spans="1:10" x14ac:dyDescent="0.25">
      <c r="A705">
        <v>63952</v>
      </c>
      <c r="B705" t="s">
        <v>4451</v>
      </c>
      <c r="C705" t="s">
        <v>166</v>
      </c>
      <c r="D705" t="s">
        <v>2241</v>
      </c>
      <c r="E705" t="s">
        <v>2242</v>
      </c>
      <c r="F705">
        <v>14111</v>
      </c>
      <c r="G705">
        <v>4136</v>
      </c>
      <c r="H705" s="32">
        <f t="shared" si="10"/>
        <v>3.4117504835589942</v>
      </c>
      <c r="I705">
        <v>1</v>
      </c>
      <c r="J705" t="s">
        <v>21</v>
      </c>
    </row>
    <row r="706" spans="1:10" x14ac:dyDescent="0.25">
      <c r="A706">
        <v>60189</v>
      </c>
      <c r="B706" t="s">
        <v>3702</v>
      </c>
      <c r="C706" t="s">
        <v>708</v>
      </c>
      <c r="D706" t="s">
        <v>2241</v>
      </c>
      <c r="E706" t="s">
        <v>2242</v>
      </c>
      <c r="F706">
        <v>28280</v>
      </c>
      <c r="G706">
        <v>8289</v>
      </c>
      <c r="H706" s="32">
        <f t="shared" ref="H706:H769" si="11">IF(AND(F706&gt;0,G706&gt;0),F706/G706,"")</f>
        <v>3.4117505127277115</v>
      </c>
      <c r="I706">
        <v>1</v>
      </c>
      <c r="J706" t="s">
        <v>21</v>
      </c>
    </row>
    <row r="707" spans="1:10" x14ac:dyDescent="0.25">
      <c r="A707">
        <v>64874</v>
      </c>
      <c r="B707" t="s">
        <v>4658</v>
      </c>
      <c r="C707" t="s">
        <v>143</v>
      </c>
      <c r="D707" t="s">
        <v>2241</v>
      </c>
      <c r="E707" t="s">
        <v>2242</v>
      </c>
      <c r="F707">
        <v>14343</v>
      </c>
      <c r="G707">
        <v>4204</v>
      </c>
      <c r="H707" s="32">
        <f t="shared" si="11"/>
        <v>3.4117507136060894</v>
      </c>
      <c r="I707">
        <v>1</v>
      </c>
      <c r="J707" t="s">
        <v>21</v>
      </c>
    </row>
    <row r="708" spans="1:10" x14ac:dyDescent="0.25">
      <c r="A708">
        <v>57746</v>
      </c>
      <c r="B708" t="s">
        <v>3045</v>
      </c>
      <c r="C708" t="s">
        <v>241</v>
      </c>
      <c r="D708" t="s">
        <v>2241</v>
      </c>
      <c r="E708" t="s">
        <v>2242</v>
      </c>
      <c r="F708">
        <v>16373</v>
      </c>
      <c r="G708">
        <v>4799</v>
      </c>
      <c r="H708" s="32">
        <f t="shared" si="11"/>
        <v>3.4117524484267556</v>
      </c>
      <c r="I708">
        <v>1</v>
      </c>
      <c r="J708" t="s">
        <v>21</v>
      </c>
    </row>
    <row r="709" spans="1:10" x14ac:dyDescent="0.25">
      <c r="A709">
        <v>57728</v>
      </c>
      <c r="B709" t="s">
        <v>3039</v>
      </c>
      <c r="C709" t="s">
        <v>241</v>
      </c>
      <c r="D709" t="s">
        <v>2241</v>
      </c>
      <c r="E709" t="s">
        <v>2242</v>
      </c>
      <c r="F709">
        <v>16721</v>
      </c>
      <c r="G709">
        <v>4901</v>
      </c>
      <c r="H709" s="32">
        <f t="shared" si="11"/>
        <v>3.411752703529892</v>
      </c>
      <c r="I709">
        <v>1</v>
      </c>
      <c r="J709" t="s">
        <v>21</v>
      </c>
    </row>
    <row r="710" spans="1:10" x14ac:dyDescent="0.25">
      <c r="A710">
        <v>58739</v>
      </c>
      <c r="B710" t="s">
        <v>3270</v>
      </c>
      <c r="C710" t="s">
        <v>708</v>
      </c>
      <c r="D710" t="s">
        <v>2241</v>
      </c>
      <c r="E710" t="s">
        <v>2242</v>
      </c>
      <c r="F710">
        <v>16837</v>
      </c>
      <c r="G710">
        <v>4935</v>
      </c>
      <c r="H710" s="32">
        <f t="shared" si="11"/>
        <v>3.4117527862208714</v>
      </c>
      <c r="I710">
        <v>1</v>
      </c>
      <c r="J710" t="s">
        <v>21</v>
      </c>
    </row>
    <row r="711" spans="1:10" x14ac:dyDescent="0.25">
      <c r="A711">
        <v>63353</v>
      </c>
      <c r="B711" t="s">
        <v>4333</v>
      </c>
      <c r="C711" t="s">
        <v>241</v>
      </c>
      <c r="D711" t="s">
        <v>2241</v>
      </c>
      <c r="E711" t="s">
        <v>2242</v>
      </c>
      <c r="F711">
        <v>17243</v>
      </c>
      <c r="G711">
        <v>5054</v>
      </c>
      <c r="H711" s="32">
        <f t="shared" si="11"/>
        <v>3.4117530668777207</v>
      </c>
      <c r="I711">
        <v>1</v>
      </c>
      <c r="J711" t="s">
        <v>21</v>
      </c>
    </row>
    <row r="712" spans="1:10" x14ac:dyDescent="0.25">
      <c r="A712">
        <v>66724</v>
      </c>
      <c r="B712" t="s">
        <v>4954</v>
      </c>
      <c r="C712" t="s">
        <v>708</v>
      </c>
      <c r="D712" t="s">
        <v>2241</v>
      </c>
      <c r="E712" t="s">
        <v>2242</v>
      </c>
      <c r="F712">
        <v>19853</v>
      </c>
      <c r="G712">
        <v>5819</v>
      </c>
      <c r="H712" s="32">
        <f t="shared" si="11"/>
        <v>3.4117545970097956</v>
      </c>
      <c r="I712">
        <v>1</v>
      </c>
      <c r="J712" t="s">
        <v>21</v>
      </c>
    </row>
    <row r="713" spans="1:10" x14ac:dyDescent="0.25">
      <c r="A713">
        <v>58805</v>
      </c>
      <c r="B713" t="s">
        <v>3287</v>
      </c>
      <c r="C713" t="s">
        <v>708</v>
      </c>
      <c r="D713" t="s">
        <v>2241</v>
      </c>
      <c r="E713" t="s">
        <v>2242</v>
      </c>
      <c r="F713">
        <v>24319</v>
      </c>
      <c r="G713">
        <v>7128</v>
      </c>
      <c r="H713" s="32">
        <f t="shared" si="11"/>
        <v>3.41175645342312</v>
      </c>
      <c r="I713">
        <v>1</v>
      </c>
      <c r="J713" t="s">
        <v>21</v>
      </c>
    </row>
    <row r="714" spans="1:10" x14ac:dyDescent="0.25">
      <c r="A714">
        <v>59120</v>
      </c>
      <c r="B714" t="s">
        <v>3383</v>
      </c>
      <c r="C714" t="s">
        <v>708</v>
      </c>
      <c r="D714" t="s">
        <v>2241</v>
      </c>
      <c r="E714" t="s">
        <v>2242</v>
      </c>
      <c r="F714">
        <v>11310</v>
      </c>
      <c r="G714">
        <v>3315</v>
      </c>
      <c r="H714" s="32">
        <f t="shared" si="11"/>
        <v>3.4117647058823528</v>
      </c>
      <c r="I714">
        <v>1</v>
      </c>
      <c r="J714" t="s">
        <v>21</v>
      </c>
    </row>
    <row r="715" spans="1:10" x14ac:dyDescent="0.25">
      <c r="A715">
        <v>59125</v>
      </c>
      <c r="B715" t="s">
        <v>3386</v>
      </c>
      <c r="C715" t="s">
        <v>708</v>
      </c>
      <c r="D715" t="s">
        <v>2241</v>
      </c>
      <c r="E715" t="s">
        <v>2242</v>
      </c>
      <c r="F715">
        <v>13224</v>
      </c>
      <c r="G715">
        <v>3876</v>
      </c>
      <c r="H715" s="32">
        <f t="shared" si="11"/>
        <v>3.4117647058823528</v>
      </c>
      <c r="I715">
        <v>1</v>
      </c>
      <c r="J715" t="s">
        <v>21</v>
      </c>
    </row>
    <row r="716" spans="1:10" x14ac:dyDescent="0.25">
      <c r="A716">
        <v>59432</v>
      </c>
      <c r="B716" t="s">
        <v>3453</v>
      </c>
      <c r="C716" t="s">
        <v>131</v>
      </c>
      <c r="D716" t="s">
        <v>2241</v>
      </c>
      <c r="E716" t="s">
        <v>2242</v>
      </c>
      <c r="F716">
        <v>11716</v>
      </c>
      <c r="G716">
        <v>3434</v>
      </c>
      <c r="H716" s="32">
        <f t="shared" si="11"/>
        <v>3.4117647058823528</v>
      </c>
      <c r="I716">
        <v>1</v>
      </c>
      <c r="J716" t="s">
        <v>21</v>
      </c>
    </row>
    <row r="717" spans="1:10" x14ac:dyDescent="0.25">
      <c r="A717">
        <v>59505</v>
      </c>
      <c r="B717" t="s">
        <v>3481</v>
      </c>
      <c r="C717" t="s">
        <v>708</v>
      </c>
      <c r="D717" t="s">
        <v>2241</v>
      </c>
      <c r="E717" t="s">
        <v>2242</v>
      </c>
      <c r="F717">
        <v>25462</v>
      </c>
      <c r="G717">
        <v>7463</v>
      </c>
      <c r="H717" s="32">
        <f t="shared" si="11"/>
        <v>3.4117647058823528</v>
      </c>
      <c r="I717">
        <v>1</v>
      </c>
      <c r="J717" t="s">
        <v>21</v>
      </c>
    </row>
    <row r="718" spans="1:10" x14ac:dyDescent="0.25">
      <c r="A718">
        <v>60190</v>
      </c>
      <c r="B718" t="s">
        <v>3703</v>
      </c>
      <c r="C718" t="s">
        <v>322</v>
      </c>
      <c r="D718" t="s">
        <v>2241</v>
      </c>
      <c r="E718" t="s">
        <v>2242</v>
      </c>
      <c r="F718">
        <v>26216</v>
      </c>
      <c r="G718">
        <v>7684</v>
      </c>
      <c r="H718" s="32">
        <f t="shared" si="11"/>
        <v>3.4117647058823528</v>
      </c>
      <c r="I718">
        <v>1</v>
      </c>
      <c r="J718" t="s">
        <v>21</v>
      </c>
    </row>
    <row r="719" spans="1:10" x14ac:dyDescent="0.25">
      <c r="A719">
        <v>60327</v>
      </c>
      <c r="B719" t="s">
        <v>3735</v>
      </c>
      <c r="C719" t="s">
        <v>241</v>
      </c>
      <c r="D719" t="s">
        <v>2241</v>
      </c>
      <c r="E719" t="s">
        <v>2242</v>
      </c>
      <c r="F719">
        <v>8526</v>
      </c>
      <c r="G719">
        <v>2499</v>
      </c>
      <c r="H719" s="32">
        <f t="shared" si="11"/>
        <v>3.4117647058823528</v>
      </c>
      <c r="I719">
        <v>1</v>
      </c>
      <c r="J719" t="s">
        <v>21</v>
      </c>
    </row>
    <row r="720" spans="1:10" x14ac:dyDescent="0.25">
      <c r="A720">
        <v>60602</v>
      </c>
      <c r="B720" t="s">
        <v>3816</v>
      </c>
      <c r="C720" t="s">
        <v>708</v>
      </c>
      <c r="D720" t="s">
        <v>2241</v>
      </c>
      <c r="E720" t="s">
        <v>2242</v>
      </c>
      <c r="F720">
        <v>5162</v>
      </c>
      <c r="G720">
        <v>1513</v>
      </c>
      <c r="H720" s="32">
        <f t="shared" si="11"/>
        <v>3.4117647058823528</v>
      </c>
      <c r="I720">
        <v>1</v>
      </c>
      <c r="J720" t="s">
        <v>21</v>
      </c>
    </row>
    <row r="721" spans="1:10" x14ac:dyDescent="0.25">
      <c r="A721">
        <v>60664</v>
      </c>
      <c r="B721" t="s">
        <v>3833</v>
      </c>
      <c r="C721" t="s">
        <v>307</v>
      </c>
      <c r="D721" t="s">
        <v>2241</v>
      </c>
      <c r="E721" t="s">
        <v>2242</v>
      </c>
      <c r="F721">
        <v>10150</v>
      </c>
      <c r="G721">
        <v>2975</v>
      </c>
      <c r="H721" s="32">
        <f t="shared" si="11"/>
        <v>3.4117647058823528</v>
      </c>
      <c r="I721">
        <v>1</v>
      </c>
      <c r="J721" t="s">
        <v>21</v>
      </c>
    </row>
    <row r="722" spans="1:10" x14ac:dyDescent="0.25">
      <c r="A722">
        <v>60665</v>
      </c>
      <c r="B722" t="s">
        <v>3834</v>
      </c>
      <c r="C722" t="s">
        <v>307</v>
      </c>
      <c r="D722" t="s">
        <v>2241</v>
      </c>
      <c r="E722" t="s">
        <v>2242</v>
      </c>
      <c r="F722">
        <v>10208</v>
      </c>
      <c r="G722">
        <v>2992</v>
      </c>
      <c r="H722" s="32">
        <f t="shared" si="11"/>
        <v>3.4117647058823528</v>
      </c>
      <c r="I722">
        <v>1</v>
      </c>
      <c r="J722" t="s">
        <v>21</v>
      </c>
    </row>
    <row r="723" spans="1:10" x14ac:dyDescent="0.25">
      <c r="A723">
        <v>60980</v>
      </c>
      <c r="B723" t="s">
        <v>3914</v>
      </c>
      <c r="C723" t="s">
        <v>708</v>
      </c>
      <c r="D723" t="s">
        <v>2241</v>
      </c>
      <c r="E723" t="s">
        <v>2242</v>
      </c>
      <c r="F723">
        <v>11078</v>
      </c>
      <c r="G723">
        <v>3247</v>
      </c>
      <c r="H723" s="32">
        <f t="shared" si="11"/>
        <v>3.4117647058823528</v>
      </c>
      <c r="I723">
        <v>1</v>
      </c>
      <c r="J723" t="s">
        <v>21</v>
      </c>
    </row>
    <row r="724" spans="1:10" x14ac:dyDescent="0.25">
      <c r="A724">
        <v>61185</v>
      </c>
      <c r="B724" t="s">
        <v>3953</v>
      </c>
      <c r="C724" t="s">
        <v>307</v>
      </c>
      <c r="D724" t="s">
        <v>2241</v>
      </c>
      <c r="E724" t="s">
        <v>2242</v>
      </c>
      <c r="F724">
        <v>6496</v>
      </c>
      <c r="G724">
        <v>1904</v>
      </c>
      <c r="H724" s="32">
        <f t="shared" si="11"/>
        <v>3.4117647058823528</v>
      </c>
      <c r="I724">
        <v>1</v>
      </c>
      <c r="J724" t="s">
        <v>21</v>
      </c>
    </row>
    <row r="725" spans="1:10" x14ac:dyDescent="0.25">
      <c r="A725">
        <v>61195</v>
      </c>
      <c r="B725" t="s">
        <v>3956</v>
      </c>
      <c r="C725" t="s">
        <v>708</v>
      </c>
      <c r="D725" t="s">
        <v>2241</v>
      </c>
      <c r="E725" t="s">
        <v>2242</v>
      </c>
      <c r="F725">
        <v>9686</v>
      </c>
      <c r="G725">
        <v>2839</v>
      </c>
      <c r="H725" s="32">
        <f t="shared" si="11"/>
        <v>3.4117647058823528</v>
      </c>
      <c r="I725">
        <v>1</v>
      </c>
      <c r="J725" t="s">
        <v>21</v>
      </c>
    </row>
    <row r="726" spans="1:10" x14ac:dyDescent="0.25">
      <c r="A726">
        <v>61359</v>
      </c>
      <c r="B726" t="s">
        <v>4003</v>
      </c>
      <c r="C726" t="s">
        <v>241</v>
      </c>
      <c r="D726" t="s">
        <v>2241</v>
      </c>
      <c r="E726" t="s">
        <v>2242</v>
      </c>
      <c r="F726">
        <v>12180</v>
      </c>
      <c r="G726">
        <v>3570</v>
      </c>
      <c r="H726" s="32">
        <f t="shared" si="11"/>
        <v>3.4117647058823528</v>
      </c>
      <c r="I726">
        <v>1</v>
      </c>
      <c r="J726" t="s">
        <v>21</v>
      </c>
    </row>
    <row r="727" spans="1:10" x14ac:dyDescent="0.25">
      <c r="A727">
        <v>61534</v>
      </c>
      <c r="B727" t="s">
        <v>4033</v>
      </c>
      <c r="C727" t="s">
        <v>708</v>
      </c>
      <c r="D727" t="s">
        <v>2241</v>
      </c>
      <c r="E727" t="s">
        <v>2242</v>
      </c>
      <c r="F727">
        <v>8816</v>
      </c>
      <c r="G727">
        <v>2584</v>
      </c>
      <c r="H727" s="32">
        <f t="shared" si="11"/>
        <v>3.4117647058823528</v>
      </c>
      <c r="I727">
        <v>1</v>
      </c>
      <c r="J727" t="s">
        <v>21</v>
      </c>
    </row>
    <row r="728" spans="1:10" x14ac:dyDescent="0.25">
      <c r="A728">
        <v>62454</v>
      </c>
      <c r="B728" t="s">
        <v>4161</v>
      </c>
      <c r="C728" t="s">
        <v>241</v>
      </c>
      <c r="D728" t="s">
        <v>2241</v>
      </c>
      <c r="E728" t="s">
        <v>2242</v>
      </c>
      <c r="F728">
        <v>2146</v>
      </c>
      <c r="G728">
        <v>629</v>
      </c>
      <c r="H728" s="32">
        <f t="shared" si="11"/>
        <v>3.4117647058823528</v>
      </c>
      <c r="I728">
        <v>1</v>
      </c>
      <c r="J728" t="s">
        <v>21</v>
      </c>
    </row>
    <row r="729" spans="1:10" x14ac:dyDescent="0.25">
      <c r="A729">
        <v>62712</v>
      </c>
      <c r="B729" t="s">
        <v>4212</v>
      </c>
      <c r="C729" t="s">
        <v>241</v>
      </c>
      <c r="D729" t="s">
        <v>2241</v>
      </c>
      <c r="E729" t="s">
        <v>2242</v>
      </c>
      <c r="F729">
        <v>15312</v>
      </c>
      <c r="G729">
        <v>4488</v>
      </c>
      <c r="H729" s="32">
        <f t="shared" si="11"/>
        <v>3.4117647058823528</v>
      </c>
      <c r="I729">
        <v>1</v>
      </c>
      <c r="J729" t="s">
        <v>21</v>
      </c>
    </row>
    <row r="730" spans="1:10" x14ac:dyDescent="0.25">
      <c r="A730">
        <v>62776</v>
      </c>
      <c r="B730" t="s">
        <v>4228</v>
      </c>
      <c r="C730" t="s">
        <v>131</v>
      </c>
      <c r="D730" t="s">
        <v>2241</v>
      </c>
      <c r="E730" t="s">
        <v>2242</v>
      </c>
      <c r="F730">
        <v>11716</v>
      </c>
      <c r="G730">
        <v>3434</v>
      </c>
      <c r="H730" s="32">
        <f t="shared" si="11"/>
        <v>3.4117647058823528</v>
      </c>
      <c r="I730">
        <v>1</v>
      </c>
      <c r="J730" t="s">
        <v>21</v>
      </c>
    </row>
    <row r="731" spans="1:10" x14ac:dyDescent="0.25">
      <c r="A731">
        <v>62904</v>
      </c>
      <c r="B731" t="s">
        <v>4252</v>
      </c>
      <c r="C731" t="s">
        <v>241</v>
      </c>
      <c r="D731" t="s">
        <v>2241</v>
      </c>
      <c r="E731" t="s">
        <v>2242</v>
      </c>
      <c r="F731">
        <v>4756</v>
      </c>
      <c r="G731">
        <v>1394</v>
      </c>
      <c r="H731" s="32">
        <f t="shared" si="11"/>
        <v>3.4117647058823528</v>
      </c>
      <c r="I731">
        <v>1</v>
      </c>
      <c r="J731" t="s">
        <v>21</v>
      </c>
    </row>
    <row r="732" spans="1:10" x14ac:dyDescent="0.25">
      <c r="A732">
        <v>62958</v>
      </c>
      <c r="B732" t="s">
        <v>4266</v>
      </c>
      <c r="C732" t="s">
        <v>241</v>
      </c>
      <c r="D732" t="s">
        <v>2241</v>
      </c>
      <c r="E732" t="s">
        <v>2242</v>
      </c>
      <c r="F732">
        <v>8004</v>
      </c>
      <c r="G732">
        <v>2346</v>
      </c>
      <c r="H732" s="32">
        <f t="shared" si="11"/>
        <v>3.4117647058823528</v>
      </c>
      <c r="I732">
        <v>1</v>
      </c>
      <c r="J732" t="s">
        <v>21</v>
      </c>
    </row>
    <row r="733" spans="1:10" x14ac:dyDescent="0.25">
      <c r="A733">
        <v>63185</v>
      </c>
      <c r="B733" t="s">
        <v>4301</v>
      </c>
      <c r="C733" t="s">
        <v>241</v>
      </c>
      <c r="D733" t="s">
        <v>2241</v>
      </c>
      <c r="E733" t="s">
        <v>2242</v>
      </c>
      <c r="F733">
        <v>17748</v>
      </c>
      <c r="G733">
        <v>5202</v>
      </c>
      <c r="H733" s="32">
        <f t="shared" si="11"/>
        <v>3.4117647058823528</v>
      </c>
      <c r="I733">
        <v>1</v>
      </c>
      <c r="J733" t="s">
        <v>21</v>
      </c>
    </row>
    <row r="734" spans="1:10" x14ac:dyDescent="0.25">
      <c r="A734">
        <v>63229</v>
      </c>
      <c r="B734" t="s">
        <v>4307</v>
      </c>
      <c r="C734" t="s">
        <v>241</v>
      </c>
      <c r="D734" t="s">
        <v>2241</v>
      </c>
      <c r="E734" t="s">
        <v>2242</v>
      </c>
      <c r="F734">
        <v>11252</v>
      </c>
      <c r="G734">
        <v>3298</v>
      </c>
      <c r="H734" s="32">
        <f t="shared" si="11"/>
        <v>3.4117647058823528</v>
      </c>
      <c r="I734">
        <v>1</v>
      </c>
      <c r="J734" t="s">
        <v>21</v>
      </c>
    </row>
    <row r="735" spans="1:10" x14ac:dyDescent="0.25">
      <c r="A735">
        <v>63656</v>
      </c>
      <c r="B735" t="s">
        <v>4383</v>
      </c>
      <c r="C735" t="s">
        <v>166</v>
      </c>
      <c r="D735" t="s">
        <v>2241</v>
      </c>
      <c r="E735" t="s">
        <v>2242</v>
      </c>
      <c r="F735">
        <v>13688</v>
      </c>
      <c r="G735">
        <v>4012</v>
      </c>
      <c r="H735" s="32">
        <f t="shared" si="11"/>
        <v>3.4117647058823528</v>
      </c>
      <c r="I735">
        <v>1</v>
      </c>
      <c r="J735" t="s">
        <v>21</v>
      </c>
    </row>
    <row r="736" spans="1:10" x14ac:dyDescent="0.25">
      <c r="A736">
        <v>63948</v>
      </c>
      <c r="B736" t="s">
        <v>4448</v>
      </c>
      <c r="C736" t="s">
        <v>166</v>
      </c>
      <c r="D736" t="s">
        <v>2241</v>
      </c>
      <c r="E736" t="s">
        <v>2242</v>
      </c>
      <c r="F736">
        <v>812</v>
      </c>
      <c r="G736">
        <v>238</v>
      </c>
      <c r="H736" s="32">
        <f t="shared" si="11"/>
        <v>3.4117647058823528</v>
      </c>
      <c r="I736">
        <v>1</v>
      </c>
      <c r="J736" t="s">
        <v>21</v>
      </c>
    </row>
    <row r="737" spans="1:10" x14ac:dyDescent="0.25">
      <c r="A737">
        <v>64016</v>
      </c>
      <c r="B737" t="s">
        <v>4471</v>
      </c>
      <c r="C737" t="s">
        <v>166</v>
      </c>
      <c r="D737" t="s">
        <v>2241</v>
      </c>
      <c r="E737" t="s">
        <v>2242</v>
      </c>
      <c r="F737">
        <v>14036</v>
      </c>
      <c r="G737">
        <v>4114</v>
      </c>
      <c r="H737" s="32">
        <f t="shared" si="11"/>
        <v>3.4117647058823528</v>
      </c>
      <c r="I737">
        <v>1</v>
      </c>
      <c r="J737" t="s">
        <v>21</v>
      </c>
    </row>
    <row r="738" spans="1:10" x14ac:dyDescent="0.25">
      <c r="A738">
        <v>65359</v>
      </c>
      <c r="B738" t="s">
        <v>4738</v>
      </c>
      <c r="C738" t="s">
        <v>307</v>
      </c>
      <c r="D738" t="s">
        <v>2241</v>
      </c>
      <c r="E738" t="s">
        <v>2242</v>
      </c>
      <c r="F738">
        <v>10324</v>
      </c>
      <c r="G738">
        <v>3026</v>
      </c>
      <c r="H738" s="32">
        <f t="shared" si="11"/>
        <v>3.4117647058823528</v>
      </c>
      <c r="I738">
        <v>1</v>
      </c>
      <c r="J738" t="s">
        <v>21</v>
      </c>
    </row>
    <row r="739" spans="1:10" x14ac:dyDescent="0.25">
      <c r="A739">
        <v>66069</v>
      </c>
      <c r="B739" t="s">
        <v>4840</v>
      </c>
      <c r="C739" t="s">
        <v>322</v>
      </c>
      <c r="D739" t="s">
        <v>2241</v>
      </c>
      <c r="E739" t="s">
        <v>2242</v>
      </c>
      <c r="F739">
        <v>6496</v>
      </c>
      <c r="G739">
        <v>1904</v>
      </c>
      <c r="H739" s="32">
        <f t="shared" si="11"/>
        <v>3.4117647058823528</v>
      </c>
      <c r="I739">
        <v>1</v>
      </c>
      <c r="J739" t="s">
        <v>21</v>
      </c>
    </row>
    <row r="740" spans="1:10" x14ac:dyDescent="0.25">
      <c r="A740">
        <v>66796</v>
      </c>
      <c r="B740" t="s">
        <v>4963</v>
      </c>
      <c r="C740" t="s">
        <v>241</v>
      </c>
      <c r="D740" t="s">
        <v>2241</v>
      </c>
      <c r="E740" t="s">
        <v>2242</v>
      </c>
      <c r="F740">
        <v>4002</v>
      </c>
      <c r="G740">
        <v>1173</v>
      </c>
      <c r="H740" s="32">
        <f t="shared" si="11"/>
        <v>3.4117647058823528</v>
      </c>
      <c r="I740">
        <v>1</v>
      </c>
      <c r="J740" t="s">
        <v>21</v>
      </c>
    </row>
    <row r="741" spans="1:10" x14ac:dyDescent="0.25">
      <c r="A741">
        <v>66963</v>
      </c>
      <c r="B741" t="s">
        <v>4995</v>
      </c>
      <c r="C741" t="s">
        <v>241</v>
      </c>
      <c r="D741" t="s">
        <v>2241</v>
      </c>
      <c r="E741" t="s">
        <v>2242</v>
      </c>
      <c r="F741">
        <v>14384</v>
      </c>
      <c r="G741">
        <v>4216</v>
      </c>
      <c r="H741" s="32">
        <f t="shared" si="11"/>
        <v>3.4117647058823528</v>
      </c>
      <c r="I741">
        <v>1</v>
      </c>
      <c r="J741" t="s">
        <v>21</v>
      </c>
    </row>
    <row r="742" spans="1:10" x14ac:dyDescent="0.25">
      <c r="A742">
        <v>67086</v>
      </c>
      <c r="B742" t="s">
        <v>5024</v>
      </c>
      <c r="C742" t="s">
        <v>241</v>
      </c>
      <c r="D742" t="s">
        <v>2241</v>
      </c>
      <c r="E742" t="s">
        <v>2242</v>
      </c>
      <c r="F742">
        <v>870</v>
      </c>
      <c r="G742">
        <v>255</v>
      </c>
      <c r="H742" s="32">
        <f t="shared" si="11"/>
        <v>3.4117647058823528</v>
      </c>
      <c r="I742">
        <v>1</v>
      </c>
      <c r="J742" t="s">
        <v>21</v>
      </c>
    </row>
    <row r="743" spans="1:10" x14ac:dyDescent="0.25">
      <c r="A743">
        <v>67393</v>
      </c>
      <c r="B743" t="s">
        <v>5090</v>
      </c>
      <c r="C743" t="s">
        <v>307</v>
      </c>
      <c r="D743" t="s">
        <v>2241</v>
      </c>
      <c r="E743" t="s">
        <v>2242</v>
      </c>
      <c r="F743">
        <v>3422</v>
      </c>
      <c r="G743">
        <v>1003</v>
      </c>
      <c r="H743" s="32">
        <f t="shared" si="11"/>
        <v>3.4117647058823528</v>
      </c>
      <c r="I743">
        <v>1</v>
      </c>
      <c r="J743" t="s">
        <v>21</v>
      </c>
    </row>
    <row r="744" spans="1:10" x14ac:dyDescent="0.25">
      <c r="A744">
        <v>68942</v>
      </c>
      <c r="B744" t="s">
        <v>5279</v>
      </c>
      <c r="C744" t="s">
        <v>307</v>
      </c>
      <c r="D744" t="s">
        <v>2241</v>
      </c>
      <c r="E744" t="s">
        <v>2242</v>
      </c>
      <c r="F744">
        <v>13166</v>
      </c>
      <c r="G744">
        <v>3859</v>
      </c>
      <c r="H744" s="32">
        <f t="shared" si="11"/>
        <v>3.4117647058823528</v>
      </c>
      <c r="I744">
        <v>1</v>
      </c>
      <c r="J744" t="s">
        <v>21</v>
      </c>
    </row>
    <row r="745" spans="1:10" x14ac:dyDescent="0.25">
      <c r="A745">
        <v>69193</v>
      </c>
      <c r="B745" t="s">
        <v>5338</v>
      </c>
      <c r="C745" t="s">
        <v>166</v>
      </c>
      <c r="D745" t="s">
        <v>2241</v>
      </c>
      <c r="E745" t="s">
        <v>2242</v>
      </c>
      <c r="F745">
        <v>3480</v>
      </c>
      <c r="G745">
        <v>1020</v>
      </c>
      <c r="H745" s="32">
        <f t="shared" si="11"/>
        <v>3.4117647058823528</v>
      </c>
      <c r="I745">
        <v>1</v>
      </c>
      <c r="J745" t="s">
        <v>21</v>
      </c>
    </row>
    <row r="746" spans="1:10" x14ac:dyDescent="0.25">
      <c r="A746">
        <v>69382</v>
      </c>
      <c r="B746" t="s">
        <v>5358</v>
      </c>
      <c r="C746" t="s">
        <v>307</v>
      </c>
      <c r="D746" t="s">
        <v>2241</v>
      </c>
      <c r="E746" t="s">
        <v>2242</v>
      </c>
      <c r="F746">
        <v>3074</v>
      </c>
      <c r="G746">
        <v>901</v>
      </c>
      <c r="H746" s="32">
        <f t="shared" si="11"/>
        <v>3.4117647058823528</v>
      </c>
      <c r="I746">
        <v>1</v>
      </c>
      <c r="J746" t="s">
        <v>21</v>
      </c>
    </row>
    <row r="747" spans="1:10" x14ac:dyDescent="0.25">
      <c r="A747">
        <v>69440</v>
      </c>
      <c r="B747" t="s">
        <v>5366</v>
      </c>
      <c r="C747" t="s">
        <v>166</v>
      </c>
      <c r="D747" t="s">
        <v>2241</v>
      </c>
      <c r="E747" t="s">
        <v>2242</v>
      </c>
      <c r="F747">
        <v>580</v>
      </c>
      <c r="G747">
        <v>170</v>
      </c>
      <c r="H747" s="32">
        <f t="shared" si="11"/>
        <v>3.4117647058823528</v>
      </c>
      <c r="I747">
        <v>1</v>
      </c>
      <c r="J747" t="s">
        <v>21</v>
      </c>
    </row>
    <row r="748" spans="1:10" x14ac:dyDescent="0.25">
      <c r="A748">
        <v>69526</v>
      </c>
      <c r="B748" t="s">
        <v>5372</v>
      </c>
      <c r="C748" t="s">
        <v>166</v>
      </c>
      <c r="D748" t="s">
        <v>2241</v>
      </c>
      <c r="E748" t="s">
        <v>2242</v>
      </c>
      <c r="F748">
        <v>2958</v>
      </c>
      <c r="G748">
        <v>867</v>
      </c>
      <c r="H748" s="32">
        <f t="shared" si="11"/>
        <v>3.4117647058823528</v>
      </c>
      <c r="I748">
        <v>1</v>
      </c>
      <c r="J748" t="s">
        <v>21</v>
      </c>
    </row>
    <row r="749" spans="1:10" x14ac:dyDescent="0.25">
      <c r="A749">
        <v>69863</v>
      </c>
      <c r="B749" t="s">
        <v>5399</v>
      </c>
      <c r="C749" t="s">
        <v>166</v>
      </c>
      <c r="D749" t="s">
        <v>2241</v>
      </c>
      <c r="E749" t="s">
        <v>2242</v>
      </c>
      <c r="F749">
        <v>348</v>
      </c>
      <c r="G749">
        <v>102</v>
      </c>
      <c r="H749" s="32">
        <f t="shared" si="11"/>
        <v>3.4117647058823528</v>
      </c>
      <c r="I749">
        <v>1</v>
      </c>
      <c r="J749" t="s">
        <v>21</v>
      </c>
    </row>
    <row r="750" spans="1:10" x14ac:dyDescent="0.25">
      <c r="A750">
        <v>70110</v>
      </c>
      <c r="B750" t="s">
        <v>5421</v>
      </c>
      <c r="C750" t="s">
        <v>307</v>
      </c>
      <c r="D750" t="s">
        <v>2241</v>
      </c>
      <c r="E750" t="s">
        <v>2242</v>
      </c>
      <c r="F750">
        <v>464</v>
      </c>
      <c r="G750">
        <v>136</v>
      </c>
      <c r="H750" s="32">
        <f t="shared" si="11"/>
        <v>3.4117647058823528</v>
      </c>
      <c r="I750">
        <v>1</v>
      </c>
      <c r="J750" t="s">
        <v>21</v>
      </c>
    </row>
    <row r="751" spans="1:10" x14ac:dyDescent="0.25">
      <c r="A751">
        <v>64363</v>
      </c>
      <c r="B751" t="s">
        <v>4548</v>
      </c>
      <c r="C751" t="s">
        <v>708</v>
      </c>
      <c r="D751" t="s">
        <v>2241</v>
      </c>
      <c r="E751" t="s">
        <v>2242</v>
      </c>
      <c r="F751">
        <v>29911</v>
      </c>
      <c r="G751">
        <v>8767</v>
      </c>
      <c r="H751" s="32">
        <f t="shared" si="11"/>
        <v>3.4117714155355308</v>
      </c>
      <c r="I751">
        <v>1</v>
      </c>
      <c r="J751" t="s">
        <v>21</v>
      </c>
    </row>
    <row r="752" spans="1:10" x14ac:dyDescent="0.25">
      <c r="A752">
        <v>61218</v>
      </c>
      <c r="B752" t="s">
        <v>3961</v>
      </c>
      <c r="C752" t="s">
        <v>708</v>
      </c>
      <c r="D752" t="s">
        <v>2241</v>
      </c>
      <c r="E752" t="s">
        <v>2242</v>
      </c>
      <c r="F752">
        <v>23299</v>
      </c>
      <c r="G752">
        <v>6829</v>
      </c>
      <c r="H752" s="32">
        <f t="shared" si="11"/>
        <v>3.4117733196661297</v>
      </c>
      <c r="I752">
        <v>1</v>
      </c>
      <c r="J752" t="s">
        <v>21</v>
      </c>
    </row>
    <row r="753" spans="1:10" x14ac:dyDescent="0.25">
      <c r="A753">
        <v>58740</v>
      </c>
      <c r="B753" t="s">
        <v>3271</v>
      </c>
      <c r="C753" t="s">
        <v>708</v>
      </c>
      <c r="D753" t="s">
        <v>2241</v>
      </c>
      <c r="E753" t="s">
        <v>2242</v>
      </c>
      <c r="F753">
        <v>14889</v>
      </c>
      <c r="G753">
        <v>4364</v>
      </c>
      <c r="H753" s="32">
        <f t="shared" si="11"/>
        <v>3.4117781851512374</v>
      </c>
      <c r="I753">
        <v>1</v>
      </c>
      <c r="J753" t="s">
        <v>21</v>
      </c>
    </row>
    <row r="754" spans="1:10" x14ac:dyDescent="0.25">
      <c r="A754">
        <v>58847</v>
      </c>
      <c r="B754" t="s">
        <v>3305</v>
      </c>
      <c r="C754" t="s">
        <v>708</v>
      </c>
      <c r="D754" t="s">
        <v>2241</v>
      </c>
      <c r="E754" t="s">
        <v>2242</v>
      </c>
      <c r="F754">
        <v>27922</v>
      </c>
      <c r="G754">
        <v>8184</v>
      </c>
      <c r="H754" s="32">
        <f t="shared" si="11"/>
        <v>3.4117790811339197</v>
      </c>
      <c r="I754">
        <v>1</v>
      </c>
      <c r="J754" t="s">
        <v>21</v>
      </c>
    </row>
    <row r="755" spans="1:10" x14ac:dyDescent="0.25">
      <c r="A755">
        <v>64159</v>
      </c>
      <c r="B755" t="s">
        <v>4501</v>
      </c>
      <c r="C755" t="s">
        <v>166</v>
      </c>
      <c r="D755" t="s">
        <v>2241</v>
      </c>
      <c r="E755" t="s">
        <v>2242</v>
      </c>
      <c r="F755">
        <v>13903</v>
      </c>
      <c r="G755">
        <v>4075</v>
      </c>
      <c r="H755" s="32">
        <f t="shared" si="11"/>
        <v>3.4117791411042946</v>
      </c>
      <c r="I755">
        <v>1</v>
      </c>
      <c r="J755" t="s">
        <v>21</v>
      </c>
    </row>
    <row r="756" spans="1:10" x14ac:dyDescent="0.25">
      <c r="A756">
        <v>69651</v>
      </c>
      <c r="B756" t="s">
        <v>5388</v>
      </c>
      <c r="C756" t="s">
        <v>166</v>
      </c>
      <c r="D756" t="s">
        <v>2241</v>
      </c>
      <c r="E756" t="s">
        <v>2242</v>
      </c>
      <c r="F756">
        <v>12221</v>
      </c>
      <c r="G756">
        <v>3582</v>
      </c>
      <c r="H756" s="32">
        <f t="shared" si="11"/>
        <v>3.4117811278615298</v>
      </c>
      <c r="I756">
        <v>1</v>
      </c>
      <c r="J756" t="s">
        <v>21</v>
      </c>
    </row>
    <row r="757" spans="1:10" x14ac:dyDescent="0.25">
      <c r="A757">
        <v>64331</v>
      </c>
      <c r="B757" t="s">
        <v>4544</v>
      </c>
      <c r="C757" t="s">
        <v>166</v>
      </c>
      <c r="D757" t="s">
        <v>2241</v>
      </c>
      <c r="E757" t="s">
        <v>2242</v>
      </c>
      <c r="F757">
        <v>12047</v>
      </c>
      <c r="G757">
        <v>3531</v>
      </c>
      <c r="H757" s="32">
        <f t="shared" si="11"/>
        <v>3.4117813650523932</v>
      </c>
      <c r="I757">
        <v>1</v>
      </c>
      <c r="J757" t="s">
        <v>21</v>
      </c>
    </row>
    <row r="758" spans="1:10" x14ac:dyDescent="0.25">
      <c r="A758">
        <v>59670</v>
      </c>
      <c r="B758" t="s">
        <v>3555</v>
      </c>
      <c r="C758" t="s">
        <v>708</v>
      </c>
      <c r="D758" t="s">
        <v>2241</v>
      </c>
      <c r="E758" t="s">
        <v>2242</v>
      </c>
      <c r="F758">
        <v>11815</v>
      </c>
      <c r="G758">
        <v>3463</v>
      </c>
      <c r="H758" s="32">
        <f t="shared" si="11"/>
        <v>3.4117816921744151</v>
      </c>
      <c r="I758">
        <v>1</v>
      </c>
      <c r="J758" t="s">
        <v>21</v>
      </c>
    </row>
    <row r="759" spans="1:10" x14ac:dyDescent="0.25">
      <c r="A759">
        <v>67816</v>
      </c>
      <c r="B759" t="s">
        <v>5182</v>
      </c>
      <c r="C759" t="s">
        <v>166</v>
      </c>
      <c r="D759" t="s">
        <v>2241</v>
      </c>
      <c r="E759" t="s">
        <v>2242</v>
      </c>
      <c r="F759">
        <v>11815</v>
      </c>
      <c r="G759">
        <v>3463</v>
      </c>
      <c r="H759" s="32">
        <f t="shared" si="11"/>
        <v>3.4117816921744151</v>
      </c>
      <c r="I759">
        <v>1</v>
      </c>
      <c r="J759" t="s">
        <v>21</v>
      </c>
    </row>
    <row r="760" spans="1:10" x14ac:dyDescent="0.25">
      <c r="A760">
        <v>68886</v>
      </c>
      <c r="B760" t="s">
        <v>5270</v>
      </c>
      <c r="C760" t="s">
        <v>201</v>
      </c>
      <c r="D760" t="s">
        <v>2241</v>
      </c>
      <c r="E760" t="s">
        <v>2242</v>
      </c>
      <c r="F760">
        <v>11815</v>
      </c>
      <c r="G760">
        <v>3463</v>
      </c>
      <c r="H760" s="32">
        <f t="shared" si="11"/>
        <v>3.4117816921744151</v>
      </c>
      <c r="I760">
        <v>1</v>
      </c>
      <c r="J760" t="s">
        <v>21</v>
      </c>
    </row>
    <row r="761" spans="1:10" x14ac:dyDescent="0.25">
      <c r="A761">
        <v>60134</v>
      </c>
      <c r="B761" t="s">
        <v>3684</v>
      </c>
      <c r="C761" t="s">
        <v>708</v>
      </c>
      <c r="D761" t="s">
        <v>2241</v>
      </c>
      <c r="E761" t="s">
        <v>2242</v>
      </c>
      <c r="F761">
        <v>10887</v>
      </c>
      <c r="G761">
        <v>3191</v>
      </c>
      <c r="H761" s="32">
        <f t="shared" si="11"/>
        <v>3.4117831400814791</v>
      </c>
      <c r="I761">
        <v>1</v>
      </c>
      <c r="J761" t="s">
        <v>21</v>
      </c>
    </row>
    <row r="762" spans="1:10" x14ac:dyDescent="0.25">
      <c r="A762">
        <v>64973</v>
      </c>
      <c r="B762" t="s">
        <v>4667</v>
      </c>
      <c r="C762" t="s">
        <v>166</v>
      </c>
      <c r="D762" t="s">
        <v>2241</v>
      </c>
      <c r="E762" t="s">
        <v>2242</v>
      </c>
      <c r="F762">
        <v>10655</v>
      </c>
      <c r="G762">
        <v>3123</v>
      </c>
      <c r="H762" s="32">
        <f t="shared" si="11"/>
        <v>3.4117835414665385</v>
      </c>
      <c r="I762">
        <v>1</v>
      </c>
      <c r="J762" t="s">
        <v>21</v>
      </c>
    </row>
    <row r="763" spans="1:10" x14ac:dyDescent="0.25">
      <c r="A763">
        <v>67152</v>
      </c>
      <c r="B763" t="s">
        <v>5044</v>
      </c>
      <c r="C763" t="s">
        <v>166</v>
      </c>
      <c r="D763" t="s">
        <v>2241</v>
      </c>
      <c r="E763" t="s">
        <v>2242</v>
      </c>
      <c r="F763">
        <v>10655</v>
      </c>
      <c r="G763">
        <v>3123</v>
      </c>
      <c r="H763" s="32">
        <f t="shared" si="11"/>
        <v>3.4117835414665385</v>
      </c>
      <c r="I763">
        <v>1</v>
      </c>
      <c r="J763" t="s">
        <v>21</v>
      </c>
    </row>
    <row r="764" spans="1:10" x14ac:dyDescent="0.25">
      <c r="A764">
        <v>59825</v>
      </c>
      <c r="B764" t="s">
        <v>3588</v>
      </c>
      <c r="C764" t="s">
        <v>708</v>
      </c>
      <c r="D764" t="s">
        <v>2241</v>
      </c>
      <c r="E764" t="s">
        <v>2242</v>
      </c>
      <c r="F764">
        <v>29935</v>
      </c>
      <c r="G764">
        <v>8774</v>
      </c>
      <c r="H764" s="32">
        <f t="shared" si="11"/>
        <v>3.4117848187827673</v>
      </c>
      <c r="I764">
        <v>1</v>
      </c>
      <c r="J764" t="s">
        <v>21</v>
      </c>
    </row>
    <row r="765" spans="1:10" x14ac:dyDescent="0.25">
      <c r="A765">
        <v>58735</v>
      </c>
      <c r="B765" t="s">
        <v>3269</v>
      </c>
      <c r="C765" t="s">
        <v>708</v>
      </c>
      <c r="D765" t="s">
        <v>2241</v>
      </c>
      <c r="E765" t="s">
        <v>2242</v>
      </c>
      <c r="F765">
        <v>19628</v>
      </c>
      <c r="G765">
        <v>5753</v>
      </c>
      <c r="H765" s="32">
        <f t="shared" si="11"/>
        <v>3.4117851555710064</v>
      </c>
      <c r="I765">
        <v>1</v>
      </c>
      <c r="J765" t="s">
        <v>21</v>
      </c>
    </row>
    <row r="766" spans="1:10" x14ac:dyDescent="0.25">
      <c r="A766">
        <v>61805</v>
      </c>
      <c r="B766" t="s">
        <v>4067</v>
      </c>
      <c r="C766" t="s">
        <v>322</v>
      </c>
      <c r="D766" t="s">
        <v>2241</v>
      </c>
      <c r="E766" t="s">
        <v>2242</v>
      </c>
      <c r="F766">
        <v>8683</v>
      </c>
      <c r="G766">
        <v>2545</v>
      </c>
      <c r="H766" s="32">
        <f t="shared" si="11"/>
        <v>3.4117878192534383</v>
      </c>
      <c r="I766">
        <v>1</v>
      </c>
      <c r="J766" t="s">
        <v>21</v>
      </c>
    </row>
    <row r="767" spans="1:10" x14ac:dyDescent="0.25">
      <c r="A767">
        <v>64644</v>
      </c>
      <c r="B767" t="s">
        <v>4619</v>
      </c>
      <c r="C767" t="s">
        <v>307</v>
      </c>
      <c r="D767" t="s">
        <v>2241</v>
      </c>
      <c r="E767" t="s">
        <v>2242</v>
      </c>
      <c r="F767">
        <v>8683</v>
      </c>
      <c r="G767">
        <v>2545</v>
      </c>
      <c r="H767" s="32">
        <f t="shared" si="11"/>
        <v>3.4117878192534383</v>
      </c>
      <c r="I767">
        <v>1</v>
      </c>
      <c r="J767" t="s">
        <v>21</v>
      </c>
    </row>
    <row r="768" spans="1:10" x14ac:dyDescent="0.25">
      <c r="A768">
        <v>58531</v>
      </c>
      <c r="B768" t="s">
        <v>3217</v>
      </c>
      <c r="C768" t="s">
        <v>708</v>
      </c>
      <c r="D768" t="s">
        <v>2241</v>
      </c>
      <c r="E768" t="s">
        <v>2242</v>
      </c>
      <c r="F768">
        <v>8625</v>
      </c>
      <c r="G768">
        <v>2528</v>
      </c>
      <c r="H768" s="32">
        <f t="shared" si="11"/>
        <v>3.4117879746835444</v>
      </c>
      <c r="I768">
        <v>1</v>
      </c>
      <c r="J768" t="s">
        <v>21</v>
      </c>
    </row>
    <row r="769" spans="1:10" x14ac:dyDescent="0.25">
      <c r="A769">
        <v>63904</v>
      </c>
      <c r="B769" t="s">
        <v>4435</v>
      </c>
      <c r="C769" t="s">
        <v>307</v>
      </c>
      <c r="D769" t="s">
        <v>2241</v>
      </c>
      <c r="E769" t="s">
        <v>2242</v>
      </c>
      <c r="F769">
        <v>8567</v>
      </c>
      <c r="G769">
        <v>2511</v>
      </c>
      <c r="H769" s="32">
        <f t="shared" si="11"/>
        <v>3.41178813221824</v>
      </c>
      <c r="I769">
        <v>1</v>
      </c>
      <c r="J769" t="s">
        <v>21</v>
      </c>
    </row>
    <row r="770" spans="1:10" x14ac:dyDescent="0.25">
      <c r="A770">
        <v>58336</v>
      </c>
      <c r="B770" t="s">
        <v>3159</v>
      </c>
      <c r="C770" t="s">
        <v>708</v>
      </c>
      <c r="D770" t="s">
        <v>2241</v>
      </c>
      <c r="E770" t="s">
        <v>2242</v>
      </c>
      <c r="F770">
        <v>24541</v>
      </c>
      <c r="G770">
        <v>7193</v>
      </c>
      <c r="H770" s="32">
        <f t="shared" ref="H770:H833" si="12">IF(AND(F770&gt;0,G770&gt;0),F770/G770,"")</f>
        <v>3.4117892395384399</v>
      </c>
      <c r="I770">
        <v>1</v>
      </c>
      <c r="J770" t="s">
        <v>21</v>
      </c>
    </row>
    <row r="771" spans="1:10" x14ac:dyDescent="0.25">
      <c r="A771">
        <v>59853</v>
      </c>
      <c r="B771" t="s">
        <v>3601</v>
      </c>
      <c r="C771" t="s">
        <v>250</v>
      </c>
      <c r="D771" t="s">
        <v>2241</v>
      </c>
      <c r="E771" t="s">
        <v>2242</v>
      </c>
      <c r="F771">
        <v>24425</v>
      </c>
      <c r="G771">
        <v>7159</v>
      </c>
      <c r="H771" s="32">
        <f t="shared" si="12"/>
        <v>3.4117893560553152</v>
      </c>
      <c r="I771">
        <v>1</v>
      </c>
      <c r="J771" t="s">
        <v>21</v>
      </c>
    </row>
    <row r="772" spans="1:10" x14ac:dyDescent="0.25">
      <c r="A772">
        <v>67114</v>
      </c>
      <c r="B772" t="s">
        <v>5033</v>
      </c>
      <c r="C772" t="s">
        <v>166</v>
      </c>
      <c r="D772" t="s">
        <v>2241</v>
      </c>
      <c r="E772" t="s">
        <v>2242</v>
      </c>
      <c r="F772">
        <v>15684</v>
      </c>
      <c r="G772">
        <v>4597</v>
      </c>
      <c r="H772" s="32">
        <f t="shared" si="12"/>
        <v>3.4117902980204482</v>
      </c>
      <c r="I772">
        <v>1</v>
      </c>
      <c r="J772" t="s">
        <v>21</v>
      </c>
    </row>
    <row r="773" spans="1:10" x14ac:dyDescent="0.25">
      <c r="A773">
        <v>62876</v>
      </c>
      <c r="B773" t="s">
        <v>4246</v>
      </c>
      <c r="C773" t="s">
        <v>307</v>
      </c>
      <c r="D773" t="s">
        <v>2241</v>
      </c>
      <c r="E773" t="s">
        <v>2242</v>
      </c>
      <c r="F773">
        <v>7697</v>
      </c>
      <c r="G773">
        <v>2256</v>
      </c>
      <c r="H773" s="32">
        <f t="shared" si="12"/>
        <v>3.4117907801418439</v>
      </c>
      <c r="I773">
        <v>1</v>
      </c>
      <c r="J773" t="s">
        <v>21</v>
      </c>
    </row>
    <row r="774" spans="1:10" x14ac:dyDescent="0.25">
      <c r="A774">
        <v>58643</v>
      </c>
      <c r="B774" t="s">
        <v>3242</v>
      </c>
      <c r="C774" t="s">
        <v>166</v>
      </c>
      <c r="D774" t="s">
        <v>2241</v>
      </c>
      <c r="E774" t="s">
        <v>2242</v>
      </c>
      <c r="F774">
        <v>13463</v>
      </c>
      <c r="G774">
        <v>3946.02</v>
      </c>
      <c r="H774" s="32">
        <f t="shared" si="12"/>
        <v>3.4117921348599349</v>
      </c>
      <c r="I774">
        <v>1</v>
      </c>
      <c r="J774" t="s">
        <v>21</v>
      </c>
    </row>
    <row r="775" spans="1:10" x14ac:dyDescent="0.25">
      <c r="A775">
        <v>59500</v>
      </c>
      <c r="B775" t="s">
        <v>3476</v>
      </c>
      <c r="C775" t="s">
        <v>708</v>
      </c>
      <c r="D775" t="s">
        <v>2241</v>
      </c>
      <c r="E775" t="s">
        <v>2242</v>
      </c>
      <c r="F775">
        <v>21467</v>
      </c>
      <c r="G775">
        <v>6292</v>
      </c>
      <c r="H775" s="32">
        <f t="shared" si="12"/>
        <v>3.4117927527018437</v>
      </c>
      <c r="I775">
        <v>1</v>
      </c>
      <c r="J775" t="s">
        <v>21</v>
      </c>
    </row>
    <row r="776" spans="1:10" x14ac:dyDescent="0.25">
      <c r="A776">
        <v>64971</v>
      </c>
      <c r="B776" t="s">
        <v>4665</v>
      </c>
      <c r="C776" t="s">
        <v>166</v>
      </c>
      <c r="D776" t="s">
        <v>2241</v>
      </c>
      <c r="E776" t="s">
        <v>2242</v>
      </c>
      <c r="F776">
        <v>14292</v>
      </c>
      <c r="G776">
        <v>4189</v>
      </c>
      <c r="H776" s="32">
        <f t="shared" si="12"/>
        <v>3.4117927906421581</v>
      </c>
      <c r="I776">
        <v>1</v>
      </c>
      <c r="J776" t="s">
        <v>21</v>
      </c>
    </row>
    <row r="777" spans="1:10" x14ac:dyDescent="0.25">
      <c r="A777">
        <v>61126</v>
      </c>
      <c r="B777" t="s">
        <v>3943</v>
      </c>
      <c r="C777" t="s">
        <v>201</v>
      </c>
      <c r="D777" t="s">
        <v>2241</v>
      </c>
      <c r="E777" t="s">
        <v>2242</v>
      </c>
      <c r="F777">
        <v>13886</v>
      </c>
      <c r="G777">
        <v>4070</v>
      </c>
      <c r="H777" s="32">
        <f t="shared" si="12"/>
        <v>3.4117936117936116</v>
      </c>
      <c r="I777">
        <v>1</v>
      </c>
      <c r="J777" t="s">
        <v>21</v>
      </c>
    </row>
    <row r="778" spans="1:10" x14ac:dyDescent="0.25">
      <c r="A778">
        <v>64269</v>
      </c>
      <c r="B778" t="s">
        <v>4533</v>
      </c>
      <c r="C778" t="s">
        <v>166</v>
      </c>
      <c r="D778" t="s">
        <v>2241</v>
      </c>
      <c r="E778" t="s">
        <v>2242</v>
      </c>
      <c r="F778">
        <v>13828</v>
      </c>
      <c r="G778">
        <v>4053</v>
      </c>
      <c r="H778" s="32">
        <f t="shared" si="12"/>
        <v>3.4117937330372565</v>
      </c>
      <c r="I778">
        <v>1</v>
      </c>
      <c r="J778" t="s">
        <v>21</v>
      </c>
    </row>
    <row r="779" spans="1:10" x14ac:dyDescent="0.25">
      <c r="A779">
        <v>68881</v>
      </c>
      <c r="B779" t="s">
        <v>5267</v>
      </c>
      <c r="C779" t="s">
        <v>166</v>
      </c>
      <c r="D779" t="s">
        <v>2241</v>
      </c>
      <c r="E779" t="s">
        <v>2242</v>
      </c>
      <c r="F779">
        <v>13828</v>
      </c>
      <c r="G779">
        <v>4053</v>
      </c>
      <c r="H779" s="32">
        <f t="shared" si="12"/>
        <v>3.4117937330372565</v>
      </c>
      <c r="I779">
        <v>1</v>
      </c>
      <c r="J779" t="s">
        <v>21</v>
      </c>
    </row>
    <row r="780" spans="1:10" x14ac:dyDescent="0.25">
      <c r="A780">
        <v>61637</v>
      </c>
      <c r="B780" t="s">
        <v>4045</v>
      </c>
      <c r="C780" t="s">
        <v>322</v>
      </c>
      <c r="D780" t="s">
        <v>2241</v>
      </c>
      <c r="E780" t="s">
        <v>2242</v>
      </c>
      <c r="F780">
        <v>6885</v>
      </c>
      <c r="G780">
        <v>2018</v>
      </c>
      <c r="H780" s="32">
        <f t="shared" si="12"/>
        <v>3.4117938553022795</v>
      </c>
      <c r="I780">
        <v>1</v>
      </c>
      <c r="J780" t="s">
        <v>21</v>
      </c>
    </row>
    <row r="781" spans="1:10" x14ac:dyDescent="0.25">
      <c r="A781">
        <v>68051</v>
      </c>
      <c r="B781" t="s">
        <v>5203</v>
      </c>
      <c r="C781" t="s">
        <v>166</v>
      </c>
      <c r="D781" t="s">
        <v>2241</v>
      </c>
      <c r="E781" t="s">
        <v>2242</v>
      </c>
      <c r="F781">
        <v>13654</v>
      </c>
      <c r="G781">
        <v>4002</v>
      </c>
      <c r="H781" s="32">
        <f t="shared" si="12"/>
        <v>3.4117941029485257</v>
      </c>
      <c r="I781">
        <v>1</v>
      </c>
      <c r="J781" t="s">
        <v>21</v>
      </c>
    </row>
    <row r="782" spans="1:10" x14ac:dyDescent="0.25">
      <c r="A782">
        <v>61351</v>
      </c>
      <c r="B782" t="s">
        <v>3999</v>
      </c>
      <c r="C782" t="s">
        <v>708</v>
      </c>
      <c r="D782" t="s">
        <v>2241</v>
      </c>
      <c r="E782" t="s">
        <v>2242</v>
      </c>
      <c r="F782">
        <v>13364</v>
      </c>
      <c r="G782">
        <v>3917</v>
      </c>
      <c r="H782" s="32">
        <f t="shared" si="12"/>
        <v>3.4117947408731171</v>
      </c>
      <c r="I782">
        <v>1</v>
      </c>
      <c r="J782" t="s">
        <v>21</v>
      </c>
    </row>
    <row r="783" spans="1:10" x14ac:dyDescent="0.25">
      <c r="A783">
        <v>56915</v>
      </c>
      <c r="B783" t="s">
        <v>2921</v>
      </c>
      <c r="C783" t="s">
        <v>708</v>
      </c>
      <c r="D783" t="s">
        <v>2241</v>
      </c>
      <c r="E783" t="s">
        <v>2242</v>
      </c>
      <c r="F783">
        <v>6421</v>
      </c>
      <c r="G783">
        <v>1882</v>
      </c>
      <c r="H783" s="32">
        <f t="shared" si="12"/>
        <v>3.4117959617428268</v>
      </c>
      <c r="I783">
        <v>1</v>
      </c>
      <c r="J783" t="s">
        <v>21</v>
      </c>
    </row>
    <row r="784" spans="1:10" x14ac:dyDescent="0.25">
      <c r="A784">
        <v>64194</v>
      </c>
      <c r="B784" t="s">
        <v>4510</v>
      </c>
      <c r="C784" t="s">
        <v>241</v>
      </c>
      <c r="D784" t="s">
        <v>2241</v>
      </c>
      <c r="E784" t="s">
        <v>2242</v>
      </c>
      <c r="F784">
        <v>6421</v>
      </c>
      <c r="G784">
        <v>1882</v>
      </c>
      <c r="H784" s="32">
        <f t="shared" si="12"/>
        <v>3.4117959617428268</v>
      </c>
      <c r="I784">
        <v>1</v>
      </c>
      <c r="J784" t="s">
        <v>21</v>
      </c>
    </row>
    <row r="785" spans="1:10" x14ac:dyDescent="0.25">
      <c r="A785">
        <v>59318</v>
      </c>
      <c r="B785" t="s">
        <v>3429</v>
      </c>
      <c r="C785" t="s">
        <v>241</v>
      </c>
      <c r="D785" t="s">
        <v>2241</v>
      </c>
      <c r="E785" t="s">
        <v>2242</v>
      </c>
      <c r="F785">
        <v>24872</v>
      </c>
      <c r="G785">
        <v>7290</v>
      </c>
      <c r="H785" s="32">
        <f t="shared" si="12"/>
        <v>3.4117969821673526</v>
      </c>
      <c r="I785">
        <v>1</v>
      </c>
      <c r="J785" t="s">
        <v>21</v>
      </c>
    </row>
    <row r="786" spans="1:10" x14ac:dyDescent="0.25">
      <c r="A786">
        <v>69087</v>
      </c>
      <c r="B786" t="s">
        <v>5316</v>
      </c>
      <c r="C786" t="s">
        <v>143</v>
      </c>
      <c r="D786" t="s">
        <v>2241</v>
      </c>
      <c r="E786" t="s">
        <v>2242</v>
      </c>
      <c r="F786">
        <v>12204</v>
      </c>
      <c r="G786">
        <v>3577</v>
      </c>
      <c r="H786" s="32">
        <f t="shared" si="12"/>
        <v>3.4117975957506288</v>
      </c>
      <c r="I786">
        <v>1</v>
      </c>
      <c r="J786" t="s">
        <v>21</v>
      </c>
    </row>
    <row r="787" spans="1:10" x14ac:dyDescent="0.25">
      <c r="A787">
        <v>62786</v>
      </c>
      <c r="B787" t="s">
        <v>4230</v>
      </c>
      <c r="C787" t="s">
        <v>708</v>
      </c>
      <c r="D787" t="s">
        <v>2241</v>
      </c>
      <c r="E787" t="s">
        <v>2242</v>
      </c>
      <c r="F787">
        <v>12146</v>
      </c>
      <c r="G787">
        <v>3560</v>
      </c>
      <c r="H787" s="32">
        <f t="shared" si="12"/>
        <v>3.4117977528089889</v>
      </c>
      <c r="I787">
        <v>1</v>
      </c>
      <c r="J787" t="s">
        <v>21</v>
      </c>
    </row>
    <row r="788" spans="1:10" x14ac:dyDescent="0.25">
      <c r="A788">
        <v>64736</v>
      </c>
      <c r="B788" t="s">
        <v>4638</v>
      </c>
      <c r="C788" t="s">
        <v>166</v>
      </c>
      <c r="D788" t="s">
        <v>2241</v>
      </c>
      <c r="E788" t="s">
        <v>2242</v>
      </c>
      <c r="F788">
        <v>12030</v>
      </c>
      <c r="G788">
        <v>3526</v>
      </c>
      <c r="H788" s="32">
        <f t="shared" si="12"/>
        <v>3.4117980714690868</v>
      </c>
      <c r="I788">
        <v>1</v>
      </c>
      <c r="J788" t="s">
        <v>21</v>
      </c>
    </row>
    <row r="789" spans="1:10" x14ac:dyDescent="0.25">
      <c r="A789">
        <v>62439</v>
      </c>
      <c r="B789" t="s">
        <v>4159</v>
      </c>
      <c r="C789" t="s">
        <v>241</v>
      </c>
      <c r="D789" t="s">
        <v>2241</v>
      </c>
      <c r="E789" t="s">
        <v>2242</v>
      </c>
      <c r="F789">
        <v>11914</v>
      </c>
      <c r="G789">
        <v>3492</v>
      </c>
      <c r="H789" s="32">
        <f t="shared" si="12"/>
        <v>3.4117983963344787</v>
      </c>
      <c r="I789">
        <v>1</v>
      </c>
      <c r="J789" t="s">
        <v>21</v>
      </c>
    </row>
    <row r="790" spans="1:10" x14ac:dyDescent="0.25">
      <c r="A790">
        <v>67635</v>
      </c>
      <c r="B790" t="s">
        <v>5129</v>
      </c>
      <c r="C790" t="s">
        <v>166</v>
      </c>
      <c r="D790" t="s">
        <v>2241</v>
      </c>
      <c r="E790" t="s">
        <v>2242</v>
      </c>
      <c r="F790">
        <v>23828</v>
      </c>
      <c r="G790">
        <v>6984</v>
      </c>
      <c r="H790" s="32">
        <f t="shared" si="12"/>
        <v>3.4117983963344787</v>
      </c>
      <c r="I790">
        <v>1</v>
      </c>
      <c r="J790" t="s">
        <v>21</v>
      </c>
    </row>
    <row r="791" spans="1:10" x14ac:dyDescent="0.25">
      <c r="A791">
        <v>57726</v>
      </c>
      <c r="B791" t="s">
        <v>3037</v>
      </c>
      <c r="C791" t="s">
        <v>241</v>
      </c>
      <c r="D791" t="s">
        <v>2241</v>
      </c>
      <c r="E791" t="s">
        <v>2242</v>
      </c>
      <c r="F791">
        <v>5841</v>
      </c>
      <c r="G791">
        <v>1712</v>
      </c>
      <c r="H791" s="32">
        <f t="shared" si="12"/>
        <v>3.4117990654205608</v>
      </c>
      <c r="I791">
        <v>1</v>
      </c>
      <c r="J791" t="s">
        <v>21</v>
      </c>
    </row>
    <row r="792" spans="1:10" x14ac:dyDescent="0.25">
      <c r="A792">
        <v>58882</v>
      </c>
      <c r="B792" t="s">
        <v>3327</v>
      </c>
      <c r="C792" t="s">
        <v>241</v>
      </c>
      <c r="D792" t="s">
        <v>2241</v>
      </c>
      <c r="E792" t="s">
        <v>2242</v>
      </c>
      <c r="F792">
        <v>34118</v>
      </c>
      <c r="G792">
        <v>10000</v>
      </c>
      <c r="H792" s="32">
        <f t="shared" si="12"/>
        <v>3.4117999999999999</v>
      </c>
      <c r="I792">
        <v>1</v>
      </c>
      <c r="J792" t="s">
        <v>21</v>
      </c>
    </row>
    <row r="793" spans="1:10" x14ac:dyDescent="0.25">
      <c r="A793">
        <v>63286</v>
      </c>
      <c r="B793" t="s">
        <v>4318</v>
      </c>
      <c r="C793" t="s">
        <v>241</v>
      </c>
      <c r="D793" t="s">
        <v>2241</v>
      </c>
      <c r="E793" t="s">
        <v>2242</v>
      </c>
      <c r="F793">
        <v>16247</v>
      </c>
      <c r="G793">
        <v>4762</v>
      </c>
      <c r="H793" s="32">
        <f t="shared" si="12"/>
        <v>3.4118017639647209</v>
      </c>
      <c r="I793">
        <v>1</v>
      </c>
      <c r="J793" t="s">
        <v>21</v>
      </c>
    </row>
    <row r="794" spans="1:10" x14ac:dyDescent="0.25">
      <c r="A794">
        <v>62205</v>
      </c>
      <c r="B794" t="s">
        <v>4132</v>
      </c>
      <c r="C794" t="s">
        <v>708</v>
      </c>
      <c r="D794" t="s">
        <v>2241</v>
      </c>
      <c r="E794" t="s">
        <v>2242</v>
      </c>
      <c r="F794">
        <v>26305</v>
      </c>
      <c r="G794">
        <v>7710</v>
      </c>
      <c r="H794" s="32">
        <f t="shared" si="12"/>
        <v>3.4118028534370946</v>
      </c>
      <c r="I794">
        <v>1</v>
      </c>
      <c r="J794" t="s">
        <v>21</v>
      </c>
    </row>
    <row r="795" spans="1:10" x14ac:dyDescent="0.25">
      <c r="A795">
        <v>69006</v>
      </c>
      <c r="B795" t="s">
        <v>5294</v>
      </c>
      <c r="C795" t="s">
        <v>166</v>
      </c>
      <c r="D795" t="s">
        <v>2241</v>
      </c>
      <c r="E795" t="s">
        <v>2242</v>
      </c>
      <c r="F795">
        <v>5145</v>
      </c>
      <c r="G795">
        <v>1508</v>
      </c>
      <c r="H795" s="32">
        <f t="shared" si="12"/>
        <v>3.4118037135278514</v>
      </c>
      <c r="I795">
        <v>1</v>
      </c>
      <c r="J795" t="s">
        <v>21</v>
      </c>
    </row>
    <row r="796" spans="1:10" x14ac:dyDescent="0.25">
      <c r="A796">
        <v>59855</v>
      </c>
      <c r="B796" t="s">
        <v>3603</v>
      </c>
      <c r="C796" t="s">
        <v>131</v>
      </c>
      <c r="D796" t="s">
        <v>2241</v>
      </c>
      <c r="E796" t="s">
        <v>2242</v>
      </c>
      <c r="F796">
        <v>10116</v>
      </c>
      <c r="G796">
        <v>2965</v>
      </c>
      <c r="H796" s="32">
        <f t="shared" si="12"/>
        <v>3.411804384485666</v>
      </c>
      <c r="I796">
        <v>1</v>
      </c>
      <c r="J796" t="s">
        <v>21</v>
      </c>
    </row>
    <row r="797" spans="1:10" x14ac:dyDescent="0.25">
      <c r="A797">
        <v>62996</v>
      </c>
      <c r="B797" t="s">
        <v>4271</v>
      </c>
      <c r="C797" t="s">
        <v>708</v>
      </c>
      <c r="D797" t="s">
        <v>2241</v>
      </c>
      <c r="E797" t="s">
        <v>2242</v>
      </c>
      <c r="F797">
        <v>10000</v>
      </c>
      <c r="G797">
        <v>2931</v>
      </c>
      <c r="H797" s="32">
        <f t="shared" si="12"/>
        <v>3.4118048447628797</v>
      </c>
      <c r="I797">
        <v>1</v>
      </c>
      <c r="J797" t="s">
        <v>21</v>
      </c>
    </row>
    <row r="798" spans="1:10" x14ac:dyDescent="0.25">
      <c r="A798">
        <v>66655</v>
      </c>
      <c r="B798" t="s">
        <v>4941</v>
      </c>
      <c r="C798" t="s">
        <v>307</v>
      </c>
      <c r="D798" t="s">
        <v>2241</v>
      </c>
      <c r="E798" t="s">
        <v>2242</v>
      </c>
      <c r="F798">
        <v>9884</v>
      </c>
      <c r="G798">
        <v>2897</v>
      </c>
      <c r="H798" s="32">
        <f t="shared" si="12"/>
        <v>3.4118053158439765</v>
      </c>
      <c r="I798">
        <v>1</v>
      </c>
      <c r="J798" t="s">
        <v>21</v>
      </c>
    </row>
    <row r="799" spans="1:10" x14ac:dyDescent="0.25">
      <c r="A799">
        <v>65368</v>
      </c>
      <c r="B799" t="s">
        <v>4739</v>
      </c>
      <c r="C799" t="s">
        <v>241</v>
      </c>
      <c r="D799" t="s">
        <v>2241</v>
      </c>
      <c r="E799" t="s">
        <v>2242</v>
      </c>
      <c r="F799">
        <v>19652</v>
      </c>
      <c r="G799">
        <v>5760</v>
      </c>
      <c r="H799" s="32">
        <f t="shared" si="12"/>
        <v>3.4118055555555555</v>
      </c>
      <c r="I799">
        <v>1</v>
      </c>
      <c r="J799" t="s">
        <v>21</v>
      </c>
    </row>
    <row r="800" spans="1:10" x14ac:dyDescent="0.25">
      <c r="A800">
        <v>59593</v>
      </c>
      <c r="B800" t="s">
        <v>3532</v>
      </c>
      <c r="C800" t="s">
        <v>708</v>
      </c>
      <c r="D800" t="s">
        <v>2241</v>
      </c>
      <c r="E800" t="s">
        <v>2242</v>
      </c>
      <c r="F800">
        <v>28898</v>
      </c>
      <c r="G800">
        <v>8470</v>
      </c>
      <c r="H800" s="32">
        <f t="shared" si="12"/>
        <v>3.411806375442739</v>
      </c>
      <c r="I800">
        <v>1</v>
      </c>
      <c r="J800" t="s">
        <v>21</v>
      </c>
    </row>
    <row r="801" spans="1:10" x14ac:dyDescent="0.25">
      <c r="A801">
        <v>67685</v>
      </c>
      <c r="B801" t="s">
        <v>5142</v>
      </c>
      <c r="C801" t="s">
        <v>166</v>
      </c>
      <c r="D801" t="s">
        <v>2241</v>
      </c>
      <c r="E801" t="s">
        <v>2242</v>
      </c>
      <c r="F801">
        <v>14449</v>
      </c>
      <c r="G801">
        <v>4235</v>
      </c>
      <c r="H801" s="32">
        <f t="shared" si="12"/>
        <v>3.411806375442739</v>
      </c>
      <c r="I801">
        <v>1</v>
      </c>
      <c r="J801" t="s">
        <v>21</v>
      </c>
    </row>
    <row r="802" spans="1:10" x14ac:dyDescent="0.25">
      <c r="A802">
        <v>66371</v>
      </c>
      <c r="B802" t="s">
        <v>4888</v>
      </c>
      <c r="C802" t="s">
        <v>708</v>
      </c>
      <c r="D802" t="s">
        <v>2241</v>
      </c>
      <c r="E802" t="s">
        <v>2242</v>
      </c>
      <c r="F802">
        <v>14275</v>
      </c>
      <c r="G802">
        <v>4184</v>
      </c>
      <c r="H802" s="32">
        <f t="shared" si="12"/>
        <v>3.4118068833652009</v>
      </c>
      <c r="I802">
        <v>1</v>
      </c>
      <c r="J802" t="s">
        <v>21</v>
      </c>
    </row>
    <row r="803" spans="1:10" x14ac:dyDescent="0.25">
      <c r="A803">
        <v>62204</v>
      </c>
      <c r="B803" t="s">
        <v>4131</v>
      </c>
      <c r="C803" t="s">
        <v>708</v>
      </c>
      <c r="D803" t="s">
        <v>2241</v>
      </c>
      <c r="E803" t="s">
        <v>2242</v>
      </c>
      <c r="F803">
        <v>14101</v>
      </c>
      <c r="G803">
        <v>4133</v>
      </c>
      <c r="H803" s="32">
        <f t="shared" si="12"/>
        <v>3.4118074038228889</v>
      </c>
      <c r="I803">
        <v>1</v>
      </c>
      <c r="J803" t="s">
        <v>21</v>
      </c>
    </row>
    <row r="804" spans="1:10" x14ac:dyDescent="0.25">
      <c r="A804">
        <v>63693</v>
      </c>
      <c r="B804" t="s">
        <v>4390</v>
      </c>
      <c r="C804" t="s">
        <v>708</v>
      </c>
      <c r="D804" t="s">
        <v>2241</v>
      </c>
      <c r="E804" t="s">
        <v>2242</v>
      </c>
      <c r="F804">
        <v>14101</v>
      </c>
      <c r="G804">
        <v>4133</v>
      </c>
      <c r="H804" s="32">
        <f t="shared" si="12"/>
        <v>3.4118074038228889</v>
      </c>
      <c r="I804">
        <v>1</v>
      </c>
      <c r="J804" t="s">
        <v>21</v>
      </c>
    </row>
    <row r="805" spans="1:10" x14ac:dyDescent="0.25">
      <c r="A805">
        <v>67461</v>
      </c>
      <c r="B805" t="s">
        <v>5102</v>
      </c>
      <c r="C805" t="s">
        <v>241</v>
      </c>
      <c r="D805" t="s">
        <v>2241</v>
      </c>
      <c r="E805" t="s">
        <v>2242</v>
      </c>
      <c r="F805">
        <v>4681</v>
      </c>
      <c r="G805">
        <v>1372</v>
      </c>
      <c r="H805" s="32">
        <f t="shared" si="12"/>
        <v>3.4118075801749272</v>
      </c>
      <c r="I805">
        <v>1</v>
      </c>
      <c r="J805" t="s">
        <v>21</v>
      </c>
    </row>
    <row r="806" spans="1:10" x14ac:dyDescent="0.25">
      <c r="A806">
        <v>61507</v>
      </c>
      <c r="B806" t="s">
        <v>4024</v>
      </c>
      <c r="C806" t="s">
        <v>241</v>
      </c>
      <c r="D806" t="s">
        <v>2241</v>
      </c>
      <c r="E806" t="s">
        <v>2242</v>
      </c>
      <c r="F806">
        <v>13927</v>
      </c>
      <c r="G806">
        <v>4082</v>
      </c>
      <c r="H806" s="32">
        <f t="shared" si="12"/>
        <v>3.4118079372856442</v>
      </c>
      <c r="I806">
        <v>1</v>
      </c>
      <c r="J806" t="s">
        <v>21</v>
      </c>
    </row>
    <row r="807" spans="1:10" x14ac:dyDescent="0.25">
      <c r="A807">
        <v>59533</v>
      </c>
      <c r="B807" t="s">
        <v>3501</v>
      </c>
      <c r="C807" t="s">
        <v>708</v>
      </c>
      <c r="D807" t="s">
        <v>2241</v>
      </c>
      <c r="E807" t="s">
        <v>2242</v>
      </c>
      <c r="F807">
        <v>23115</v>
      </c>
      <c r="G807">
        <v>6775</v>
      </c>
      <c r="H807" s="32">
        <f t="shared" si="12"/>
        <v>3.411808118081181</v>
      </c>
      <c r="I807">
        <v>1</v>
      </c>
      <c r="J807" t="s">
        <v>21</v>
      </c>
    </row>
    <row r="808" spans="1:10" x14ac:dyDescent="0.25">
      <c r="A808">
        <v>68136</v>
      </c>
      <c r="B808" t="s">
        <v>5214</v>
      </c>
      <c r="C808" t="s">
        <v>166</v>
      </c>
      <c r="D808" t="s">
        <v>2241</v>
      </c>
      <c r="E808" t="s">
        <v>2242</v>
      </c>
      <c r="F808">
        <v>4565</v>
      </c>
      <c r="G808">
        <v>1338</v>
      </c>
      <c r="H808" s="32">
        <f t="shared" si="12"/>
        <v>3.4118086696562031</v>
      </c>
      <c r="I808">
        <v>1</v>
      </c>
      <c r="J808" t="s">
        <v>21</v>
      </c>
    </row>
    <row r="809" spans="1:10" x14ac:dyDescent="0.25">
      <c r="A809">
        <v>59052</v>
      </c>
      <c r="B809" t="s">
        <v>3361</v>
      </c>
      <c r="C809" t="s">
        <v>708</v>
      </c>
      <c r="D809" t="s">
        <v>2241</v>
      </c>
      <c r="E809" t="s">
        <v>2242</v>
      </c>
      <c r="F809">
        <v>22767</v>
      </c>
      <c r="G809">
        <v>6673</v>
      </c>
      <c r="H809" s="32">
        <f t="shared" si="12"/>
        <v>3.4118087816574256</v>
      </c>
      <c r="I809">
        <v>1</v>
      </c>
      <c r="J809" t="s">
        <v>21</v>
      </c>
    </row>
    <row r="810" spans="1:10" x14ac:dyDescent="0.25">
      <c r="A810">
        <v>57341</v>
      </c>
      <c r="B810" t="s">
        <v>2970</v>
      </c>
      <c r="C810" t="s">
        <v>241</v>
      </c>
      <c r="D810" t="s">
        <v>2241</v>
      </c>
      <c r="E810" t="s">
        <v>2242</v>
      </c>
      <c r="F810">
        <v>8550</v>
      </c>
      <c r="G810">
        <v>2506</v>
      </c>
      <c r="H810" s="32">
        <f t="shared" si="12"/>
        <v>3.4118116520351158</v>
      </c>
      <c r="I810">
        <v>1</v>
      </c>
      <c r="J810" t="s">
        <v>21</v>
      </c>
    </row>
    <row r="811" spans="1:10" x14ac:dyDescent="0.25">
      <c r="A811">
        <v>57488</v>
      </c>
      <c r="B811" t="s">
        <v>3007</v>
      </c>
      <c r="C811" t="s">
        <v>241</v>
      </c>
      <c r="D811" t="s">
        <v>2241</v>
      </c>
      <c r="E811" t="s">
        <v>2242</v>
      </c>
      <c r="F811">
        <v>7912</v>
      </c>
      <c r="G811">
        <v>2319</v>
      </c>
      <c r="H811" s="32">
        <f t="shared" si="12"/>
        <v>3.4118154376886589</v>
      </c>
      <c r="I811">
        <v>1</v>
      </c>
      <c r="J811" t="s">
        <v>21</v>
      </c>
    </row>
    <row r="812" spans="1:10" x14ac:dyDescent="0.25">
      <c r="A812">
        <v>58803</v>
      </c>
      <c r="B812" t="s">
        <v>3286</v>
      </c>
      <c r="C812" t="s">
        <v>708</v>
      </c>
      <c r="D812" t="s">
        <v>2241</v>
      </c>
      <c r="E812" t="s">
        <v>2242</v>
      </c>
      <c r="F812">
        <v>11781</v>
      </c>
      <c r="G812">
        <v>3453</v>
      </c>
      <c r="H812" s="32">
        <f t="shared" si="12"/>
        <v>3.4118158123370983</v>
      </c>
      <c r="I812">
        <v>1</v>
      </c>
      <c r="J812" t="s">
        <v>21</v>
      </c>
    </row>
    <row r="813" spans="1:10" x14ac:dyDescent="0.25">
      <c r="A813">
        <v>68779</v>
      </c>
      <c r="B813" t="s">
        <v>5262</v>
      </c>
      <c r="C813" t="s">
        <v>307</v>
      </c>
      <c r="D813" t="s">
        <v>2241</v>
      </c>
      <c r="E813" t="s">
        <v>2242</v>
      </c>
      <c r="F813">
        <v>7854</v>
      </c>
      <c r="G813">
        <v>2302</v>
      </c>
      <c r="H813" s="32">
        <f t="shared" si="12"/>
        <v>3.4118158123370983</v>
      </c>
      <c r="I813">
        <v>1</v>
      </c>
      <c r="J813" t="s">
        <v>21</v>
      </c>
    </row>
    <row r="814" spans="1:10" x14ac:dyDescent="0.25">
      <c r="A814">
        <v>60994</v>
      </c>
      <c r="B814" t="s">
        <v>3919</v>
      </c>
      <c r="C814" t="s">
        <v>241</v>
      </c>
      <c r="D814" t="s">
        <v>2241</v>
      </c>
      <c r="E814" t="s">
        <v>2242</v>
      </c>
      <c r="F814">
        <v>19171</v>
      </c>
      <c r="G814">
        <v>5619</v>
      </c>
      <c r="H814" s="32">
        <f t="shared" si="12"/>
        <v>3.4118170492970279</v>
      </c>
      <c r="I814">
        <v>1</v>
      </c>
      <c r="J814" t="s">
        <v>21</v>
      </c>
    </row>
    <row r="815" spans="1:10" x14ac:dyDescent="0.25">
      <c r="A815">
        <v>67832</v>
      </c>
      <c r="B815" t="s">
        <v>5184</v>
      </c>
      <c r="C815" t="s">
        <v>166</v>
      </c>
      <c r="D815" t="s">
        <v>2241</v>
      </c>
      <c r="E815" t="s">
        <v>2242</v>
      </c>
      <c r="F815">
        <v>15128</v>
      </c>
      <c r="G815">
        <v>4434</v>
      </c>
      <c r="H815" s="32">
        <f t="shared" si="12"/>
        <v>3.4118177717636446</v>
      </c>
      <c r="I815">
        <v>1</v>
      </c>
      <c r="J815" t="s">
        <v>21</v>
      </c>
    </row>
    <row r="816" spans="1:10" x14ac:dyDescent="0.25">
      <c r="A816">
        <v>59156</v>
      </c>
      <c r="B816" t="s">
        <v>3397</v>
      </c>
      <c r="C816" t="s">
        <v>708</v>
      </c>
      <c r="D816" t="s">
        <v>2241</v>
      </c>
      <c r="E816" t="s">
        <v>2242</v>
      </c>
      <c r="F816">
        <v>30082</v>
      </c>
      <c r="G816">
        <v>8817</v>
      </c>
      <c r="H816" s="32">
        <f t="shared" si="12"/>
        <v>3.4118180787115797</v>
      </c>
      <c r="I816">
        <v>1</v>
      </c>
      <c r="J816" t="s">
        <v>21</v>
      </c>
    </row>
    <row r="817" spans="1:10" x14ac:dyDescent="0.25">
      <c r="A817">
        <v>67401</v>
      </c>
      <c r="B817" t="s">
        <v>5093</v>
      </c>
      <c r="C817" t="s">
        <v>241</v>
      </c>
      <c r="D817" t="s">
        <v>2241</v>
      </c>
      <c r="E817" t="s">
        <v>2242</v>
      </c>
      <c r="F817">
        <v>7448</v>
      </c>
      <c r="G817">
        <v>2183</v>
      </c>
      <c r="H817" s="32">
        <f t="shared" si="12"/>
        <v>3.4118185982592761</v>
      </c>
      <c r="I817">
        <v>1</v>
      </c>
      <c r="J817" t="s">
        <v>21</v>
      </c>
    </row>
    <row r="818" spans="1:10" x14ac:dyDescent="0.25">
      <c r="A818">
        <v>59663</v>
      </c>
      <c r="B818" t="s">
        <v>3550</v>
      </c>
      <c r="C818" t="s">
        <v>708</v>
      </c>
      <c r="D818" t="s">
        <v>2241</v>
      </c>
      <c r="E818" t="s">
        <v>2242</v>
      </c>
      <c r="F818">
        <v>29618</v>
      </c>
      <c r="G818">
        <v>8681</v>
      </c>
      <c r="H818" s="32">
        <f t="shared" si="12"/>
        <v>3.4118189148715587</v>
      </c>
      <c r="I818">
        <v>1</v>
      </c>
      <c r="J818" t="s">
        <v>21</v>
      </c>
    </row>
    <row r="819" spans="1:10" x14ac:dyDescent="0.25">
      <c r="A819">
        <v>70291</v>
      </c>
      <c r="B819" t="s">
        <v>5452</v>
      </c>
      <c r="C819" t="s">
        <v>166</v>
      </c>
      <c r="D819" t="s">
        <v>2241</v>
      </c>
      <c r="E819" t="s">
        <v>2242</v>
      </c>
      <c r="F819">
        <v>14664</v>
      </c>
      <c r="G819">
        <v>4298</v>
      </c>
      <c r="H819" s="32">
        <f t="shared" si="12"/>
        <v>3.4118194509073989</v>
      </c>
      <c r="I819">
        <v>1</v>
      </c>
      <c r="J819" t="s">
        <v>21</v>
      </c>
    </row>
    <row r="820" spans="1:10" x14ac:dyDescent="0.25">
      <c r="A820">
        <v>57727</v>
      </c>
      <c r="B820" t="s">
        <v>3038</v>
      </c>
      <c r="C820" t="s">
        <v>241</v>
      </c>
      <c r="D820" t="s">
        <v>2241</v>
      </c>
      <c r="E820" t="s">
        <v>2242</v>
      </c>
      <c r="F820">
        <v>10969</v>
      </c>
      <c r="G820">
        <v>3215</v>
      </c>
      <c r="H820" s="32">
        <f t="shared" si="12"/>
        <v>3.411819595645412</v>
      </c>
      <c r="I820">
        <v>1</v>
      </c>
      <c r="J820" t="s">
        <v>21</v>
      </c>
    </row>
    <row r="821" spans="1:10" x14ac:dyDescent="0.25">
      <c r="A821">
        <v>64201</v>
      </c>
      <c r="B821" t="s">
        <v>4513</v>
      </c>
      <c r="C821" t="s">
        <v>166</v>
      </c>
      <c r="D821" t="s">
        <v>2241</v>
      </c>
      <c r="E821" t="s">
        <v>2242</v>
      </c>
      <c r="F821">
        <v>13330</v>
      </c>
      <c r="G821">
        <v>3907</v>
      </c>
      <c r="H821" s="32">
        <f t="shared" si="12"/>
        <v>3.4118249296135144</v>
      </c>
      <c r="I821">
        <v>1</v>
      </c>
      <c r="J821" t="s">
        <v>21</v>
      </c>
    </row>
    <row r="822" spans="1:10" x14ac:dyDescent="0.25">
      <c r="A822">
        <v>60131</v>
      </c>
      <c r="B822" t="s">
        <v>3681</v>
      </c>
      <c r="C822" t="s">
        <v>708</v>
      </c>
      <c r="D822" t="s">
        <v>2241</v>
      </c>
      <c r="E822" t="s">
        <v>2242</v>
      </c>
      <c r="F822">
        <v>19908</v>
      </c>
      <c r="G822">
        <v>5835</v>
      </c>
      <c r="H822" s="32">
        <f t="shared" si="12"/>
        <v>3.4118251928020564</v>
      </c>
      <c r="I822">
        <v>1</v>
      </c>
      <c r="J822" t="s">
        <v>21</v>
      </c>
    </row>
    <row r="823" spans="1:10" x14ac:dyDescent="0.25">
      <c r="A823">
        <v>59646</v>
      </c>
      <c r="B823" t="s">
        <v>3548</v>
      </c>
      <c r="C823" t="s">
        <v>708</v>
      </c>
      <c r="D823" t="s">
        <v>2241</v>
      </c>
      <c r="E823" t="s">
        <v>2242</v>
      </c>
      <c r="F823">
        <v>26428</v>
      </c>
      <c r="G823">
        <v>7746</v>
      </c>
      <c r="H823" s="32">
        <f t="shared" si="12"/>
        <v>3.4118254583010588</v>
      </c>
      <c r="I823">
        <v>1</v>
      </c>
      <c r="J823" t="s">
        <v>21</v>
      </c>
    </row>
    <row r="824" spans="1:10" x14ac:dyDescent="0.25">
      <c r="A824">
        <v>59583</v>
      </c>
      <c r="B824" t="s">
        <v>3525</v>
      </c>
      <c r="C824" t="s">
        <v>708</v>
      </c>
      <c r="D824" t="s">
        <v>2241</v>
      </c>
      <c r="E824" t="s">
        <v>2242</v>
      </c>
      <c r="F824">
        <v>29543</v>
      </c>
      <c r="G824">
        <v>8659</v>
      </c>
      <c r="H824" s="32">
        <f t="shared" si="12"/>
        <v>3.4118258459406396</v>
      </c>
      <c r="I824">
        <v>1</v>
      </c>
      <c r="J824" t="s">
        <v>21</v>
      </c>
    </row>
    <row r="825" spans="1:10" x14ac:dyDescent="0.25">
      <c r="A825">
        <v>61520</v>
      </c>
      <c r="B825" t="s">
        <v>4028</v>
      </c>
      <c r="C825" t="s">
        <v>708</v>
      </c>
      <c r="D825" t="s">
        <v>2241</v>
      </c>
      <c r="E825" t="s">
        <v>2242</v>
      </c>
      <c r="F825">
        <v>12808</v>
      </c>
      <c r="G825">
        <v>3754</v>
      </c>
      <c r="H825" s="32">
        <f t="shared" si="12"/>
        <v>3.4118273841236015</v>
      </c>
      <c r="I825">
        <v>1</v>
      </c>
      <c r="J825" t="s">
        <v>21</v>
      </c>
    </row>
    <row r="826" spans="1:10" x14ac:dyDescent="0.25">
      <c r="A826">
        <v>58356</v>
      </c>
      <c r="B826" t="s">
        <v>3175</v>
      </c>
      <c r="C826" t="s">
        <v>241</v>
      </c>
      <c r="D826" t="s">
        <v>2241</v>
      </c>
      <c r="E826" t="s">
        <v>2242</v>
      </c>
      <c r="F826">
        <v>22385</v>
      </c>
      <c r="G826">
        <v>6561</v>
      </c>
      <c r="H826" s="32">
        <f t="shared" si="12"/>
        <v>3.4118274653254077</v>
      </c>
      <c r="I826">
        <v>1</v>
      </c>
      <c r="J826" t="s">
        <v>21</v>
      </c>
    </row>
    <row r="827" spans="1:10" x14ac:dyDescent="0.25">
      <c r="A827">
        <v>60438</v>
      </c>
      <c r="B827" t="s">
        <v>3777</v>
      </c>
      <c r="C827" t="s">
        <v>708</v>
      </c>
      <c r="D827" t="s">
        <v>2241</v>
      </c>
      <c r="E827" t="s">
        <v>2242</v>
      </c>
      <c r="F827">
        <v>19154</v>
      </c>
      <c r="G827">
        <v>5614</v>
      </c>
      <c r="H827" s="32">
        <f t="shared" si="12"/>
        <v>3.4118275739223369</v>
      </c>
      <c r="I827">
        <v>1</v>
      </c>
      <c r="J827" t="s">
        <v>21</v>
      </c>
    </row>
    <row r="828" spans="1:10" x14ac:dyDescent="0.25">
      <c r="A828">
        <v>66465</v>
      </c>
      <c r="B828" t="s">
        <v>4914</v>
      </c>
      <c r="C828" t="s">
        <v>708</v>
      </c>
      <c r="D828" t="s">
        <v>2241</v>
      </c>
      <c r="E828" t="s">
        <v>2242</v>
      </c>
      <c r="F828">
        <v>31904</v>
      </c>
      <c r="G828">
        <v>9351</v>
      </c>
      <c r="H828" s="32">
        <f t="shared" si="12"/>
        <v>3.411827612020105</v>
      </c>
      <c r="I828">
        <v>1</v>
      </c>
      <c r="J828" t="s">
        <v>21</v>
      </c>
    </row>
    <row r="829" spans="1:10" x14ac:dyDescent="0.25">
      <c r="A829">
        <v>57362</v>
      </c>
      <c r="B829" t="s">
        <v>2974</v>
      </c>
      <c r="C829" t="s">
        <v>143</v>
      </c>
      <c r="D829" t="s">
        <v>2241</v>
      </c>
      <c r="E829" t="s">
        <v>2242</v>
      </c>
      <c r="F829">
        <v>3173</v>
      </c>
      <c r="G829">
        <v>930</v>
      </c>
      <c r="H829" s="32">
        <f t="shared" si="12"/>
        <v>3.4118279569892471</v>
      </c>
      <c r="I829">
        <v>1</v>
      </c>
      <c r="J829" t="s">
        <v>21</v>
      </c>
    </row>
    <row r="830" spans="1:10" x14ac:dyDescent="0.25">
      <c r="A830">
        <v>58853</v>
      </c>
      <c r="B830" t="s">
        <v>3309</v>
      </c>
      <c r="C830" t="s">
        <v>708</v>
      </c>
      <c r="D830" t="s">
        <v>2241</v>
      </c>
      <c r="E830" t="s">
        <v>2242</v>
      </c>
      <c r="F830">
        <v>31730</v>
      </c>
      <c r="G830">
        <v>9300</v>
      </c>
      <c r="H830" s="32">
        <f t="shared" si="12"/>
        <v>3.4118279569892471</v>
      </c>
      <c r="I830">
        <v>1</v>
      </c>
      <c r="J830" t="s">
        <v>21</v>
      </c>
    </row>
    <row r="831" spans="1:10" x14ac:dyDescent="0.25">
      <c r="A831">
        <v>58496</v>
      </c>
      <c r="B831" t="s">
        <v>3208</v>
      </c>
      <c r="C831" t="s">
        <v>131</v>
      </c>
      <c r="D831" t="s">
        <v>2241</v>
      </c>
      <c r="E831" t="s">
        <v>2242</v>
      </c>
      <c r="F831">
        <v>6288</v>
      </c>
      <c r="G831">
        <v>1843</v>
      </c>
      <c r="H831" s="32">
        <f t="shared" si="12"/>
        <v>3.4118285404232229</v>
      </c>
      <c r="I831">
        <v>1</v>
      </c>
      <c r="J831" t="s">
        <v>21</v>
      </c>
    </row>
    <row r="832" spans="1:10" x14ac:dyDescent="0.25">
      <c r="A832">
        <v>68893</v>
      </c>
      <c r="B832" t="s">
        <v>5272</v>
      </c>
      <c r="C832" t="s">
        <v>166</v>
      </c>
      <c r="D832" t="s">
        <v>2241</v>
      </c>
      <c r="E832" t="s">
        <v>2242</v>
      </c>
      <c r="F832">
        <v>9345</v>
      </c>
      <c r="G832">
        <v>2739</v>
      </c>
      <c r="H832" s="32">
        <f t="shared" si="12"/>
        <v>3.4118291347207008</v>
      </c>
      <c r="I832">
        <v>1</v>
      </c>
      <c r="J832" t="s">
        <v>21</v>
      </c>
    </row>
    <row r="833" spans="1:10" x14ac:dyDescent="0.25">
      <c r="A833">
        <v>63946</v>
      </c>
      <c r="B833" t="s">
        <v>4447</v>
      </c>
      <c r="C833" t="s">
        <v>166</v>
      </c>
      <c r="D833" t="s">
        <v>2241</v>
      </c>
      <c r="E833" t="s">
        <v>2242</v>
      </c>
      <c r="F833">
        <v>12112</v>
      </c>
      <c r="G833">
        <v>3550</v>
      </c>
      <c r="H833" s="32">
        <f t="shared" si="12"/>
        <v>3.4118309859154929</v>
      </c>
      <c r="I833">
        <v>1</v>
      </c>
      <c r="J833" t="s">
        <v>21</v>
      </c>
    </row>
    <row r="834" spans="1:10" x14ac:dyDescent="0.25">
      <c r="A834">
        <v>67834</v>
      </c>
      <c r="B834" t="s">
        <v>5186</v>
      </c>
      <c r="C834" t="s">
        <v>322</v>
      </c>
      <c r="D834" t="s">
        <v>2241</v>
      </c>
      <c r="E834" t="s">
        <v>2242</v>
      </c>
      <c r="F834">
        <v>9055</v>
      </c>
      <c r="G834">
        <v>2654</v>
      </c>
      <c r="H834" s="32">
        <f t="shared" ref="H834:H897" si="13">IF(AND(F834&gt;0,G834&gt;0),F834/G834,"")</f>
        <v>3.4118311981914093</v>
      </c>
      <c r="I834">
        <v>1</v>
      </c>
      <c r="J834" t="s">
        <v>21</v>
      </c>
    </row>
    <row r="835" spans="1:10" x14ac:dyDescent="0.25">
      <c r="A835">
        <v>61192</v>
      </c>
      <c r="B835" t="s">
        <v>3954</v>
      </c>
      <c r="C835" t="s">
        <v>166</v>
      </c>
      <c r="D835" t="s">
        <v>2241</v>
      </c>
      <c r="E835" t="s">
        <v>2242</v>
      </c>
      <c r="F835">
        <v>2999</v>
      </c>
      <c r="G835">
        <v>879</v>
      </c>
      <c r="H835" s="32">
        <f t="shared" si="13"/>
        <v>3.4118316268486919</v>
      </c>
      <c r="I835">
        <v>1</v>
      </c>
      <c r="J835" t="s">
        <v>21</v>
      </c>
    </row>
    <row r="836" spans="1:10" x14ac:dyDescent="0.25">
      <c r="A836">
        <v>64329</v>
      </c>
      <c r="B836" t="s">
        <v>4542</v>
      </c>
      <c r="C836" t="s">
        <v>166</v>
      </c>
      <c r="D836" t="s">
        <v>2241</v>
      </c>
      <c r="E836" t="s">
        <v>2242</v>
      </c>
      <c r="F836">
        <v>11996</v>
      </c>
      <c r="G836">
        <v>3516</v>
      </c>
      <c r="H836" s="32">
        <f t="shared" si="13"/>
        <v>3.4118316268486919</v>
      </c>
      <c r="I836">
        <v>1</v>
      </c>
      <c r="J836" t="s">
        <v>21</v>
      </c>
    </row>
    <row r="837" spans="1:10" x14ac:dyDescent="0.25">
      <c r="A837">
        <v>64511</v>
      </c>
      <c r="B837" t="s">
        <v>4594</v>
      </c>
      <c r="C837" t="s">
        <v>708</v>
      </c>
      <c r="D837" t="s">
        <v>2241</v>
      </c>
      <c r="E837" t="s">
        <v>2242</v>
      </c>
      <c r="F837">
        <v>11996</v>
      </c>
      <c r="G837">
        <v>3516</v>
      </c>
      <c r="H837" s="32">
        <f t="shared" si="13"/>
        <v>3.4118316268486919</v>
      </c>
      <c r="I837">
        <v>1</v>
      </c>
      <c r="J837" t="s">
        <v>21</v>
      </c>
    </row>
    <row r="838" spans="1:10" x14ac:dyDescent="0.25">
      <c r="A838">
        <v>58274</v>
      </c>
      <c r="B838" t="s">
        <v>3140</v>
      </c>
      <c r="C838" t="s">
        <v>708</v>
      </c>
      <c r="D838" t="s">
        <v>2241</v>
      </c>
      <c r="E838" t="s">
        <v>2242</v>
      </c>
      <c r="F838">
        <v>26875</v>
      </c>
      <c r="G838">
        <v>7877</v>
      </c>
      <c r="H838" s="32">
        <f t="shared" si="13"/>
        <v>3.4118319157039481</v>
      </c>
      <c r="I838">
        <v>1</v>
      </c>
      <c r="J838" t="s">
        <v>21</v>
      </c>
    </row>
    <row r="839" spans="1:10" x14ac:dyDescent="0.25">
      <c r="A839">
        <v>58955</v>
      </c>
      <c r="B839" t="s">
        <v>3344</v>
      </c>
      <c r="C839" t="s">
        <v>708</v>
      </c>
      <c r="D839" t="s">
        <v>2241</v>
      </c>
      <c r="E839" t="s">
        <v>2242</v>
      </c>
      <c r="F839">
        <v>13893</v>
      </c>
      <c r="G839">
        <v>4072</v>
      </c>
      <c r="H839" s="32">
        <f t="shared" si="13"/>
        <v>3.4118369351669942</v>
      </c>
      <c r="I839">
        <v>1</v>
      </c>
      <c r="J839" t="s">
        <v>21</v>
      </c>
    </row>
    <row r="840" spans="1:10" x14ac:dyDescent="0.25">
      <c r="A840">
        <v>67066</v>
      </c>
      <c r="B840" t="s">
        <v>5016</v>
      </c>
      <c r="C840" t="s">
        <v>241</v>
      </c>
      <c r="D840" t="s">
        <v>2241</v>
      </c>
      <c r="E840" t="s">
        <v>2242</v>
      </c>
      <c r="F840">
        <v>5418</v>
      </c>
      <c r="G840">
        <v>1588</v>
      </c>
      <c r="H840" s="32">
        <f t="shared" si="13"/>
        <v>3.4118387909319901</v>
      </c>
      <c r="I840">
        <v>1</v>
      </c>
      <c r="J840" t="s">
        <v>21</v>
      </c>
    </row>
    <row r="841" spans="1:10" x14ac:dyDescent="0.25">
      <c r="A841">
        <v>67199</v>
      </c>
      <c r="B841" t="s">
        <v>5058</v>
      </c>
      <c r="C841" t="s">
        <v>250</v>
      </c>
      <c r="D841" t="s">
        <v>2241</v>
      </c>
      <c r="E841" t="s">
        <v>2242</v>
      </c>
      <c r="F841">
        <v>13487</v>
      </c>
      <c r="G841">
        <v>3953</v>
      </c>
      <c r="H841" s="32">
        <f t="shared" si="13"/>
        <v>3.4118391095370604</v>
      </c>
      <c r="I841">
        <v>1</v>
      </c>
      <c r="J841" t="s">
        <v>21</v>
      </c>
    </row>
    <row r="842" spans="1:10" x14ac:dyDescent="0.25">
      <c r="A842">
        <v>60597</v>
      </c>
      <c r="B842" t="s">
        <v>3811</v>
      </c>
      <c r="C842" t="s">
        <v>708</v>
      </c>
      <c r="D842" t="s">
        <v>2241</v>
      </c>
      <c r="E842" t="s">
        <v>2242</v>
      </c>
      <c r="F842">
        <v>13313</v>
      </c>
      <c r="G842">
        <v>3902</v>
      </c>
      <c r="H842" s="32">
        <f t="shared" si="13"/>
        <v>3.4118400820092258</v>
      </c>
      <c r="I842">
        <v>1</v>
      </c>
      <c r="J842" t="s">
        <v>21</v>
      </c>
    </row>
    <row r="843" spans="1:10" x14ac:dyDescent="0.25">
      <c r="A843">
        <v>68990</v>
      </c>
      <c r="B843" t="s">
        <v>5290</v>
      </c>
      <c r="C843" t="s">
        <v>307</v>
      </c>
      <c r="D843" t="s">
        <v>2241</v>
      </c>
      <c r="E843" t="s">
        <v>2242</v>
      </c>
      <c r="F843">
        <v>10546</v>
      </c>
      <c r="G843">
        <v>3091</v>
      </c>
      <c r="H843" s="32">
        <f t="shared" si="13"/>
        <v>3.4118408282109352</v>
      </c>
      <c r="I843">
        <v>1</v>
      </c>
      <c r="J843" t="s">
        <v>21</v>
      </c>
    </row>
    <row r="844" spans="1:10" x14ac:dyDescent="0.25">
      <c r="A844">
        <v>59507</v>
      </c>
      <c r="B844" t="s">
        <v>3483</v>
      </c>
      <c r="C844" t="s">
        <v>708</v>
      </c>
      <c r="D844" t="s">
        <v>2241</v>
      </c>
      <c r="E844" t="s">
        <v>2242</v>
      </c>
      <c r="F844">
        <v>15674</v>
      </c>
      <c r="G844">
        <v>4594</v>
      </c>
      <c r="H844" s="32">
        <f t="shared" si="13"/>
        <v>3.4118415324336091</v>
      </c>
      <c r="I844">
        <v>1</v>
      </c>
      <c r="J844" t="s">
        <v>21</v>
      </c>
    </row>
    <row r="845" spans="1:10" x14ac:dyDescent="0.25">
      <c r="A845">
        <v>59488</v>
      </c>
      <c r="B845" t="s">
        <v>3471</v>
      </c>
      <c r="C845" t="s">
        <v>708</v>
      </c>
      <c r="D845" t="s">
        <v>2241</v>
      </c>
      <c r="E845" t="s">
        <v>2242</v>
      </c>
      <c r="F845">
        <v>31174</v>
      </c>
      <c r="G845">
        <v>9137</v>
      </c>
      <c r="H845" s="32">
        <f t="shared" si="13"/>
        <v>3.4118419612564299</v>
      </c>
      <c r="I845">
        <v>1</v>
      </c>
      <c r="J845" t="s">
        <v>21</v>
      </c>
    </row>
    <row r="846" spans="1:10" x14ac:dyDescent="0.25">
      <c r="A846">
        <v>69015</v>
      </c>
      <c r="B846" t="s">
        <v>5297</v>
      </c>
      <c r="C846" t="s">
        <v>166</v>
      </c>
      <c r="D846" t="s">
        <v>2241</v>
      </c>
      <c r="E846" t="s">
        <v>2242</v>
      </c>
      <c r="F846">
        <v>7721</v>
      </c>
      <c r="G846">
        <v>2263</v>
      </c>
      <c r="H846" s="32">
        <f t="shared" si="13"/>
        <v>3.4118426866990719</v>
      </c>
      <c r="I846">
        <v>1</v>
      </c>
      <c r="J846" t="s">
        <v>21</v>
      </c>
    </row>
    <row r="847" spans="1:10" x14ac:dyDescent="0.25">
      <c r="A847">
        <v>58036</v>
      </c>
      <c r="B847" t="s">
        <v>3095</v>
      </c>
      <c r="C847" t="s">
        <v>241</v>
      </c>
      <c r="D847" t="s">
        <v>2241</v>
      </c>
      <c r="E847" t="s">
        <v>2242</v>
      </c>
      <c r="F847">
        <v>38373</v>
      </c>
      <c r="G847">
        <v>11247</v>
      </c>
      <c r="H847" s="32">
        <f t="shared" si="13"/>
        <v>3.4118431581755133</v>
      </c>
      <c r="I847">
        <v>1</v>
      </c>
      <c r="J847" t="s">
        <v>21</v>
      </c>
    </row>
    <row r="848" spans="1:10" x14ac:dyDescent="0.25">
      <c r="A848">
        <v>62628</v>
      </c>
      <c r="B848" t="s">
        <v>4189</v>
      </c>
      <c r="C848" t="s">
        <v>307</v>
      </c>
      <c r="D848" t="s">
        <v>2241</v>
      </c>
      <c r="E848" t="s">
        <v>2242</v>
      </c>
      <c r="F848">
        <v>10198</v>
      </c>
      <c r="G848">
        <v>2989</v>
      </c>
      <c r="H848" s="32">
        <f t="shared" si="13"/>
        <v>3.4118434258949479</v>
      </c>
      <c r="I848">
        <v>1</v>
      </c>
      <c r="J848" t="s">
        <v>21</v>
      </c>
    </row>
    <row r="849" spans="1:10" x14ac:dyDescent="0.25">
      <c r="A849">
        <v>59337</v>
      </c>
      <c r="B849" t="s">
        <v>3435</v>
      </c>
      <c r="C849" t="s">
        <v>708</v>
      </c>
      <c r="D849" t="s">
        <v>2241</v>
      </c>
      <c r="E849" t="s">
        <v>2242</v>
      </c>
      <c r="F849">
        <v>25408</v>
      </c>
      <c r="G849">
        <v>7447</v>
      </c>
      <c r="H849" s="32">
        <f t="shared" si="13"/>
        <v>3.4118436954478315</v>
      </c>
      <c r="I849">
        <v>1</v>
      </c>
      <c r="J849" t="s">
        <v>21</v>
      </c>
    </row>
    <row r="850" spans="1:10" x14ac:dyDescent="0.25">
      <c r="A850">
        <v>59365</v>
      </c>
      <c r="B850" t="s">
        <v>3437</v>
      </c>
      <c r="C850" t="s">
        <v>241</v>
      </c>
      <c r="D850" t="s">
        <v>2241</v>
      </c>
      <c r="E850" t="s">
        <v>2242</v>
      </c>
      <c r="F850">
        <v>12675</v>
      </c>
      <c r="G850">
        <v>3715</v>
      </c>
      <c r="H850" s="32">
        <f t="shared" si="13"/>
        <v>3.4118438761776582</v>
      </c>
      <c r="I850">
        <v>1</v>
      </c>
      <c r="J850" t="s">
        <v>21</v>
      </c>
    </row>
    <row r="851" spans="1:10" x14ac:dyDescent="0.25">
      <c r="A851">
        <v>60409</v>
      </c>
      <c r="B851" t="s">
        <v>3768</v>
      </c>
      <c r="C851" t="s">
        <v>708</v>
      </c>
      <c r="D851" t="s">
        <v>2241</v>
      </c>
      <c r="E851" t="s">
        <v>2242</v>
      </c>
      <c r="F851">
        <v>27363</v>
      </c>
      <c r="G851">
        <v>8020</v>
      </c>
      <c r="H851" s="32">
        <f t="shared" si="13"/>
        <v>3.411845386533666</v>
      </c>
      <c r="I851">
        <v>1</v>
      </c>
      <c r="J851" t="s">
        <v>21</v>
      </c>
    </row>
    <row r="852" spans="1:10" x14ac:dyDescent="0.25">
      <c r="A852">
        <v>63137</v>
      </c>
      <c r="B852" t="s">
        <v>4296</v>
      </c>
      <c r="C852" t="s">
        <v>131</v>
      </c>
      <c r="D852" t="s">
        <v>2241</v>
      </c>
      <c r="E852" t="s">
        <v>2242</v>
      </c>
      <c r="F852">
        <v>7431</v>
      </c>
      <c r="G852">
        <v>2178</v>
      </c>
      <c r="H852" s="32">
        <f t="shared" si="13"/>
        <v>3.4118457300275482</v>
      </c>
      <c r="I852">
        <v>1</v>
      </c>
      <c r="J852" t="s">
        <v>21</v>
      </c>
    </row>
    <row r="853" spans="1:10" x14ac:dyDescent="0.25">
      <c r="A853">
        <v>67272</v>
      </c>
      <c r="B853" t="s">
        <v>5076</v>
      </c>
      <c r="C853" t="s">
        <v>201</v>
      </c>
      <c r="D853" t="s">
        <v>2241</v>
      </c>
      <c r="E853" t="s">
        <v>2242</v>
      </c>
      <c r="F853">
        <v>7431</v>
      </c>
      <c r="G853">
        <v>2178</v>
      </c>
      <c r="H853" s="32">
        <f t="shared" si="13"/>
        <v>3.4118457300275482</v>
      </c>
      <c r="I853">
        <v>1</v>
      </c>
      <c r="J853" t="s">
        <v>21</v>
      </c>
    </row>
    <row r="854" spans="1:10" x14ac:dyDescent="0.25">
      <c r="A854">
        <v>67460</v>
      </c>
      <c r="B854" t="s">
        <v>5101</v>
      </c>
      <c r="C854" t="s">
        <v>241</v>
      </c>
      <c r="D854" t="s">
        <v>2241</v>
      </c>
      <c r="E854" t="s">
        <v>2242</v>
      </c>
      <c r="F854">
        <v>4954</v>
      </c>
      <c r="G854">
        <v>1452</v>
      </c>
      <c r="H854" s="32">
        <f t="shared" si="13"/>
        <v>3.4118457300275482</v>
      </c>
      <c r="I854">
        <v>1</v>
      </c>
      <c r="J854" t="s">
        <v>21</v>
      </c>
    </row>
    <row r="855" spans="1:10" x14ac:dyDescent="0.25">
      <c r="A855">
        <v>59829</v>
      </c>
      <c r="B855" t="s">
        <v>3590</v>
      </c>
      <c r="C855" t="s">
        <v>708</v>
      </c>
      <c r="D855" t="s">
        <v>2241</v>
      </c>
      <c r="E855" t="s">
        <v>2242</v>
      </c>
      <c r="F855">
        <v>22119</v>
      </c>
      <c r="G855">
        <v>6483</v>
      </c>
      <c r="H855" s="32">
        <f t="shared" si="13"/>
        <v>3.4118463674224895</v>
      </c>
      <c r="I855">
        <v>1</v>
      </c>
      <c r="J855" t="s">
        <v>21</v>
      </c>
    </row>
    <row r="856" spans="1:10" x14ac:dyDescent="0.25">
      <c r="A856">
        <v>62691</v>
      </c>
      <c r="B856" t="s">
        <v>4208</v>
      </c>
      <c r="C856" t="s">
        <v>708</v>
      </c>
      <c r="D856" t="s">
        <v>2241</v>
      </c>
      <c r="E856" t="s">
        <v>2242</v>
      </c>
      <c r="F856">
        <v>29376</v>
      </c>
      <c r="G856">
        <v>8610</v>
      </c>
      <c r="H856" s="32">
        <f t="shared" si="13"/>
        <v>3.4118466898954702</v>
      </c>
      <c r="I856">
        <v>1</v>
      </c>
      <c r="J856" t="s">
        <v>21</v>
      </c>
    </row>
    <row r="857" spans="1:10" x14ac:dyDescent="0.25">
      <c r="A857">
        <v>61818</v>
      </c>
      <c r="B857" t="s">
        <v>4069</v>
      </c>
      <c r="C857" t="s">
        <v>322</v>
      </c>
      <c r="D857" t="s">
        <v>2241</v>
      </c>
      <c r="E857" t="s">
        <v>2242</v>
      </c>
      <c r="F857">
        <v>7257</v>
      </c>
      <c r="G857">
        <v>2127</v>
      </c>
      <c r="H857" s="32">
        <f t="shared" si="13"/>
        <v>3.4118476727785612</v>
      </c>
      <c r="I857">
        <v>1</v>
      </c>
      <c r="J857" t="s">
        <v>21</v>
      </c>
    </row>
    <row r="858" spans="1:10" x14ac:dyDescent="0.25">
      <c r="A858">
        <v>59606</v>
      </c>
      <c r="B858" t="s">
        <v>3538</v>
      </c>
      <c r="C858" t="s">
        <v>708</v>
      </c>
      <c r="D858" t="s">
        <v>2241</v>
      </c>
      <c r="E858" t="s">
        <v>2242</v>
      </c>
      <c r="F858">
        <v>16817</v>
      </c>
      <c r="G858">
        <v>4929</v>
      </c>
      <c r="H858" s="32">
        <f t="shared" si="13"/>
        <v>3.411848245080138</v>
      </c>
      <c r="I858">
        <v>1</v>
      </c>
      <c r="J858" t="s">
        <v>21</v>
      </c>
    </row>
    <row r="859" spans="1:10" x14ac:dyDescent="0.25">
      <c r="A859">
        <v>63070</v>
      </c>
      <c r="B859" t="s">
        <v>4284</v>
      </c>
      <c r="C859" t="s">
        <v>166</v>
      </c>
      <c r="D859" t="s">
        <v>2241</v>
      </c>
      <c r="E859" t="s">
        <v>2242</v>
      </c>
      <c r="F859">
        <v>7199</v>
      </c>
      <c r="G859">
        <v>2110</v>
      </c>
      <c r="H859" s="32">
        <f t="shared" si="13"/>
        <v>3.4118483412322274</v>
      </c>
      <c r="I859">
        <v>1</v>
      </c>
      <c r="J859" t="s">
        <v>21</v>
      </c>
    </row>
    <row r="860" spans="1:10" x14ac:dyDescent="0.25">
      <c r="A860">
        <v>67532</v>
      </c>
      <c r="B860" t="s">
        <v>5112</v>
      </c>
      <c r="C860" t="s">
        <v>201</v>
      </c>
      <c r="D860" t="s">
        <v>2241</v>
      </c>
      <c r="E860" t="s">
        <v>2242</v>
      </c>
      <c r="F860">
        <v>37660</v>
      </c>
      <c r="G860">
        <v>11038</v>
      </c>
      <c r="H860" s="32">
        <f t="shared" si="13"/>
        <v>3.4118499728211633</v>
      </c>
      <c r="I860">
        <v>1</v>
      </c>
      <c r="J860" t="s">
        <v>21</v>
      </c>
    </row>
    <row r="861" spans="1:10" x14ac:dyDescent="0.25">
      <c r="A861">
        <v>59929</v>
      </c>
      <c r="B861" t="s">
        <v>3623</v>
      </c>
      <c r="C861" t="s">
        <v>708</v>
      </c>
      <c r="D861" t="s">
        <v>2241</v>
      </c>
      <c r="E861" t="s">
        <v>2242</v>
      </c>
      <c r="F861">
        <v>25449</v>
      </c>
      <c r="G861">
        <v>7459</v>
      </c>
      <c r="H861" s="32">
        <f t="shared" si="13"/>
        <v>3.4118514546185814</v>
      </c>
      <c r="I861">
        <v>1</v>
      </c>
      <c r="J861" t="s">
        <v>21</v>
      </c>
    </row>
    <row r="862" spans="1:10" x14ac:dyDescent="0.25">
      <c r="A862">
        <v>66776</v>
      </c>
      <c r="B862" t="s">
        <v>4961</v>
      </c>
      <c r="C862" t="s">
        <v>241</v>
      </c>
      <c r="D862" t="s">
        <v>2241</v>
      </c>
      <c r="E862" t="s">
        <v>2242</v>
      </c>
      <c r="F862">
        <v>16005</v>
      </c>
      <c r="G862">
        <v>4691</v>
      </c>
      <c r="H862" s="32">
        <f t="shared" si="13"/>
        <v>3.4118524834790023</v>
      </c>
      <c r="I862">
        <v>1</v>
      </c>
      <c r="J862" t="s">
        <v>21</v>
      </c>
    </row>
    <row r="863" spans="1:10" x14ac:dyDescent="0.25">
      <c r="A863">
        <v>67068</v>
      </c>
      <c r="B863" t="s">
        <v>5018</v>
      </c>
      <c r="C863" t="s">
        <v>241</v>
      </c>
      <c r="D863" t="s">
        <v>2241</v>
      </c>
      <c r="E863" t="s">
        <v>2242</v>
      </c>
      <c r="F863">
        <v>6851</v>
      </c>
      <c r="G863">
        <v>2008</v>
      </c>
      <c r="H863" s="32">
        <f t="shared" si="13"/>
        <v>3.4118525896414345</v>
      </c>
      <c r="I863">
        <v>1</v>
      </c>
      <c r="J863" t="s">
        <v>21</v>
      </c>
    </row>
    <row r="864" spans="1:10" x14ac:dyDescent="0.25">
      <c r="A864">
        <v>61842</v>
      </c>
      <c r="B864" t="s">
        <v>4073</v>
      </c>
      <c r="C864" t="s">
        <v>708</v>
      </c>
      <c r="D864" t="s">
        <v>2241</v>
      </c>
      <c r="E864" t="s">
        <v>2242</v>
      </c>
      <c r="F864">
        <v>31430</v>
      </c>
      <c r="G864">
        <v>9212</v>
      </c>
      <c r="H864" s="32">
        <f t="shared" si="13"/>
        <v>3.4118541033434648</v>
      </c>
      <c r="I864">
        <v>1</v>
      </c>
      <c r="J864" t="s">
        <v>21</v>
      </c>
    </row>
    <row r="865" spans="1:10" x14ac:dyDescent="0.25">
      <c r="A865">
        <v>64411</v>
      </c>
      <c r="B865" t="s">
        <v>4556</v>
      </c>
      <c r="C865" t="s">
        <v>241</v>
      </c>
      <c r="D865" t="s">
        <v>2241</v>
      </c>
      <c r="E865" t="s">
        <v>2242</v>
      </c>
      <c r="F865">
        <v>13470</v>
      </c>
      <c r="G865">
        <v>3948</v>
      </c>
      <c r="H865" s="32">
        <f t="shared" si="13"/>
        <v>3.4118541033434648</v>
      </c>
      <c r="I865">
        <v>1</v>
      </c>
      <c r="J865" t="s">
        <v>21</v>
      </c>
    </row>
    <row r="866" spans="1:10" x14ac:dyDescent="0.25">
      <c r="A866">
        <v>64789</v>
      </c>
      <c r="B866" t="s">
        <v>4645</v>
      </c>
      <c r="C866" t="s">
        <v>166</v>
      </c>
      <c r="D866" t="s">
        <v>2241</v>
      </c>
      <c r="E866" t="s">
        <v>2242</v>
      </c>
      <c r="F866">
        <v>15657</v>
      </c>
      <c r="G866">
        <v>4589</v>
      </c>
      <c r="H866" s="32">
        <f t="shared" si="13"/>
        <v>3.4118544345173238</v>
      </c>
      <c r="I866">
        <v>1</v>
      </c>
      <c r="J866" t="s">
        <v>21</v>
      </c>
    </row>
    <row r="867" spans="1:10" x14ac:dyDescent="0.25">
      <c r="A867">
        <v>63954</v>
      </c>
      <c r="B867" t="s">
        <v>4452</v>
      </c>
      <c r="C867" t="s">
        <v>166</v>
      </c>
      <c r="D867" t="s">
        <v>2241</v>
      </c>
      <c r="E867" t="s">
        <v>2242</v>
      </c>
      <c r="F867">
        <v>11167</v>
      </c>
      <c r="G867">
        <v>3273</v>
      </c>
      <c r="H867" s="32">
        <f t="shared" si="13"/>
        <v>3.4118545676749159</v>
      </c>
      <c r="I867">
        <v>1</v>
      </c>
      <c r="J867" t="s">
        <v>21</v>
      </c>
    </row>
    <row r="868" spans="1:10" x14ac:dyDescent="0.25">
      <c r="A868">
        <v>59520</v>
      </c>
      <c r="B868" t="s">
        <v>3496</v>
      </c>
      <c r="C868" t="s">
        <v>708</v>
      </c>
      <c r="D868" t="s">
        <v>2241</v>
      </c>
      <c r="E868" t="s">
        <v>2242</v>
      </c>
      <c r="F868">
        <v>31198</v>
      </c>
      <c r="G868">
        <v>9144</v>
      </c>
      <c r="H868" s="32">
        <f t="shared" si="13"/>
        <v>3.4118547681539808</v>
      </c>
      <c r="I868">
        <v>1</v>
      </c>
      <c r="J868" t="s">
        <v>21</v>
      </c>
    </row>
    <row r="869" spans="1:10" x14ac:dyDescent="0.25">
      <c r="A869">
        <v>61093</v>
      </c>
      <c r="B869" t="s">
        <v>3938</v>
      </c>
      <c r="C869" t="s">
        <v>708</v>
      </c>
      <c r="D869" t="s">
        <v>2241</v>
      </c>
      <c r="E869" t="s">
        <v>2242</v>
      </c>
      <c r="F869">
        <v>28953</v>
      </c>
      <c r="G869">
        <v>8486</v>
      </c>
      <c r="H869" s="32">
        <f t="shared" si="13"/>
        <v>3.4118548197030405</v>
      </c>
      <c r="I869">
        <v>1</v>
      </c>
      <c r="J869" t="s">
        <v>21</v>
      </c>
    </row>
    <row r="870" spans="1:10" x14ac:dyDescent="0.25">
      <c r="A870">
        <v>64245</v>
      </c>
      <c r="B870" t="s">
        <v>4523</v>
      </c>
      <c r="C870" t="s">
        <v>131</v>
      </c>
      <c r="D870" t="s">
        <v>2241</v>
      </c>
      <c r="E870" t="s">
        <v>2242</v>
      </c>
      <c r="F870">
        <v>19799</v>
      </c>
      <c r="G870">
        <v>5803</v>
      </c>
      <c r="H870" s="32">
        <f t="shared" si="13"/>
        <v>3.4118559365845251</v>
      </c>
      <c r="I870">
        <v>1</v>
      </c>
      <c r="J870" t="s">
        <v>21</v>
      </c>
    </row>
    <row r="871" spans="1:10" x14ac:dyDescent="0.25">
      <c r="A871">
        <v>66010</v>
      </c>
      <c r="B871" t="s">
        <v>4829</v>
      </c>
      <c r="C871" t="s">
        <v>322</v>
      </c>
      <c r="D871" t="s">
        <v>2241</v>
      </c>
      <c r="E871" t="s">
        <v>2242</v>
      </c>
      <c r="F871">
        <v>21870</v>
      </c>
      <c r="G871">
        <v>6410</v>
      </c>
      <c r="H871" s="32">
        <f t="shared" si="13"/>
        <v>3.4118564742589705</v>
      </c>
      <c r="I871">
        <v>1</v>
      </c>
      <c r="J871" t="s">
        <v>21</v>
      </c>
    </row>
    <row r="872" spans="1:10" x14ac:dyDescent="0.25">
      <c r="A872">
        <v>65622</v>
      </c>
      <c r="B872" t="s">
        <v>4781</v>
      </c>
      <c r="C872" t="s">
        <v>241</v>
      </c>
      <c r="D872" t="s">
        <v>2241</v>
      </c>
      <c r="E872" t="s">
        <v>2242</v>
      </c>
      <c r="F872">
        <v>10819</v>
      </c>
      <c r="G872">
        <v>3171</v>
      </c>
      <c r="H872" s="32">
        <f t="shared" si="13"/>
        <v>3.4118574582150742</v>
      </c>
      <c r="I872">
        <v>1</v>
      </c>
      <c r="J872" t="s">
        <v>21</v>
      </c>
    </row>
    <row r="873" spans="1:10" x14ac:dyDescent="0.25">
      <c r="A873">
        <v>59577</v>
      </c>
      <c r="B873" t="s">
        <v>3521</v>
      </c>
      <c r="C873" t="s">
        <v>708</v>
      </c>
      <c r="D873" t="s">
        <v>2241</v>
      </c>
      <c r="E873" t="s">
        <v>2242</v>
      </c>
      <c r="F873">
        <v>30270</v>
      </c>
      <c r="G873">
        <v>8872</v>
      </c>
      <c r="H873" s="32">
        <f t="shared" si="13"/>
        <v>3.411857529305681</v>
      </c>
      <c r="I873">
        <v>1</v>
      </c>
      <c r="J873" t="s">
        <v>21</v>
      </c>
    </row>
    <row r="874" spans="1:10" x14ac:dyDescent="0.25">
      <c r="A874">
        <v>61458</v>
      </c>
      <c r="B874" t="s">
        <v>4020</v>
      </c>
      <c r="C874" t="s">
        <v>201</v>
      </c>
      <c r="D874" t="s">
        <v>2241</v>
      </c>
      <c r="E874" t="s">
        <v>2242</v>
      </c>
      <c r="F874">
        <v>27851</v>
      </c>
      <c r="G874">
        <v>8163</v>
      </c>
      <c r="H874" s="32">
        <f t="shared" si="13"/>
        <v>3.4118583853975255</v>
      </c>
      <c r="I874">
        <v>1</v>
      </c>
      <c r="J874" t="s">
        <v>21</v>
      </c>
    </row>
    <row r="875" spans="1:10" x14ac:dyDescent="0.25">
      <c r="A875">
        <v>59103</v>
      </c>
      <c r="B875" t="s">
        <v>3371</v>
      </c>
      <c r="C875" t="s">
        <v>708</v>
      </c>
      <c r="D875" t="s">
        <v>2241</v>
      </c>
      <c r="E875" t="s">
        <v>2242</v>
      </c>
      <c r="F875">
        <v>32109</v>
      </c>
      <c r="G875">
        <v>9411</v>
      </c>
      <c r="H875" s="32">
        <f t="shared" si="13"/>
        <v>3.4118584635001592</v>
      </c>
      <c r="I875">
        <v>1</v>
      </c>
      <c r="J875" t="s">
        <v>21</v>
      </c>
    </row>
    <row r="876" spans="1:10" x14ac:dyDescent="0.25">
      <c r="A876">
        <v>59050</v>
      </c>
      <c r="B876" t="s">
        <v>3359</v>
      </c>
      <c r="C876" t="s">
        <v>708</v>
      </c>
      <c r="D876" t="s">
        <v>2241</v>
      </c>
      <c r="E876" t="s">
        <v>2242</v>
      </c>
      <c r="F876">
        <v>10529</v>
      </c>
      <c r="G876">
        <v>3086</v>
      </c>
      <c r="H876" s="32">
        <f t="shared" si="13"/>
        <v>3.4118600129617627</v>
      </c>
      <c r="I876">
        <v>1</v>
      </c>
      <c r="J876" t="s">
        <v>21</v>
      </c>
    </row>
    <row r="877" spans="1:10" x14ac:dyDescent="0.25">
      <c r="A877">
        <v>58312</v>
      </c>
      <c r="B877" t="s">
        <v>3143</v>
      </c>
      <c r="C877" t="s">
        <v>708</v>
      </c>
      <c r="D877" t="s">
        <v>2241</v>
      </c>
      <c r="E877" t="s">
        <v>2242</v>
      </c>
      <c r="F877">
        <v>21000</v>
      </c>
      <c r="G877">
        <v>6155</v>
      </c>
      <c r="H877" s="32">
        <f t="shared" si="13"/>
        <v>3.4118602761982126</v>
      </c>
      <c r="I877">
        <v>1</v>
      </c>
      <c r="J877" t="s">
        <v>21</v>
      </c>
    </row>
    <row r="878" spans="1:10" x14ac:dyDescent="0.25">
      <c r="A878">
        <v>67715</v>
      </c>
      <c r="B878" t="s">
        <v>5156</v>
      </c>
      <c r="C878" t="s">
        <v>166</v>
      </c>
      <c r="D878" t="s">
        <v>2241</v>
      </c>
      <c r="E878" t="s">
        <v>2242</v>
      </c>
      <c r="F878">
        <v>1218</v>
      </c>
      <c r="G878">
        <v>356.99</v>
      </c>
      <c r="H878" s="32">
        <f t="shared" si="13"/>
        <v>3.4118602761982126</v>
      </c>
      <c r="I878">
        <v>1</v>
      </c>
      <c r="J878" t="s">
        <v>21</v>
      </c>
    </row>
    <row r="879" spans="1:10" x14ac:dyDescent="0.25">
      <c r="A879">
        <v>70249</v>
      </c>
      <c r="B879" t="s">
        <v>5427</v>
      </c>
      <c r="C879" t="s">
        <v>166</v>
      </c>
      <c r="D879" t="s">
        <v>2241</v>
      </c>
      <c r="E879" t="s">
        <v>2242</v>
      </c>
      <c r="F879">
        <v>8400</v>
      </c>
      <c r="G879">
        <v>2462</v>
      </c>
      <c r="H879" s="32">
        <f t="shared" si="13"/>
        <v>3.4118602761982126</v>
      </c>
      <c r="I879">
        <v>1</v>
      </c>
      <c r="J879" t="s">
        <v>21</v>
      </c>
    </row>
    <row r="880" spans="1:10" x14ac:dyDescent="0.25">
      <c r="A880">
        <v>64784</v>
      </c>
      <c r="B880" t="s">
        <v>4641</v>
      </c>
      <c r="C880" t="s">
        <v>166</v>
      </c>
      <c r="D880" t="s">
        <v>2241</v>
      </c>
      <c r="E880" t="s">
        <v>2242</v>
      </c>
      <c r="F880">
        <v>14613</v>
      </c>
      <c r="G880">
        <v>4283</v>
      </c>
      <c r="H880" s="32">
        <f t="shared" si="13"/>
        <v>3.4118608452019612</v>
      </c>
      <c r="I880">
        <v>1</v>
      </c>
      <c r="J880" t="s">
        <v>21</v>
      </c>
    </row>
    <row r="881" spans="1:10" x14ac:dyDescent="0.25">
      <c r="A881">
        <v>67792</v>
      </c>
      <c r="B881" t="s">
        <v>5169</v>
      </c>
      <c r="C881" t="s">
        <v>166</v>
      </c>
      <c r="D881" t="s">
        <v>2241</v>
      </c>
      <c r="E881" t="s">
        <v>2242</v>
      </c>
      <c r="F881">
        <v>14613</v>
      </c>
      <c r="G881">
        <v>4283</v>
      </c>
      <c r="H881" s="32">
        <f t="shared" si="13"/>
        <v>3.4118608452019612</v>
      </c>
      <c r="I881">
        <v>1</v>
      </c>
      <c r="J881" t="s">
        <v>21</v>
      </c>
    </row>
    <row r="882" spans="1:10" x14ac:dyDescent="0.25">
      <c r="A882">
        <v>60364</v>
      </c>
      <c r="B882" t="s">
        <v>3745</v>
      </c>
      <c r="C882" t="s">
        <v>708</v>
      </c>
      <c r="D882" t="s">
        <v>2241</v>
      </c>
      <c r="E882" t="s">
        <v>2242</v>
      </c>
      <c r="F882">
        <v>20710</v>
      </c>
      <c r="G882">
        <v>6070</v>
      </c>
      <c r="H882" s="32">
        <f t="shared" si="13"/>
        <v>3.4118616144975289</v>
      </c>
      <c r="I882">
        <v>1</v>
      </c>
      <c r="J882" t="s">
        <v>21</v>
      </c>
    </row>
    <row r="883" spans="1:10" x14ac:dyDescent="0.25">
      <c r="A883">
        <v>60732</v>
      </c>
      <c r="B883" t="s">
        <v>3847</v>
      </c>
      <c r="C883" t="s">
        <v>241</v>
      </c>
      <c r="D883" t="s">
        <v>2241</v>
      </c>
      <c r="E883" t="s">
        <v>2242</v>
      </c>
      <c r="F883">
        <v>28994</v>
      </c>
      <c r="G883">
        <v>8498</v>
      </c>
      <c r="H883" s="32">
        <f t="shared" si="13"/>
        <v>3.4118616144975289</v>
      </c>
      <c r="I883">
        <v>1</v>
      </c>
      <c r="J883" t="s">
        <v>21</v>
      </c>
    </row>
    <row r="884" spans="1:10" x14ac:dyDescent="0.25">
      <c r="A884">
        <v>69008</v>
      </c>
      <c r="B884" t="s">
        <v>5296</v>
      </c>
      <c r="C884" t="s">
        <v>307</v>
      </c>
      <c r="D884" t="s">
        <v>2241</v>
      </c>
      <c r="E884" t="s">
        <v>2242</v>
      </c>
      <c r="F884">
        <v>6213</v>
      </c>
      <c r="G884">
        <v>1821</v>
      </c>
      <c r="H884" s="32">
        <f t="shared" si="13"/>
        <v>3.4118616144975289</v>
      </c>
      <c r="I884">
        <v>1</v>
      </c>
      <c r="J884" t="s">
        <v>21</v>
      </c>
    </row>
    <row r="885" spans="1:10" x14ac:dyDescent="0.25">
      <c r="A885">
        <v>57588</v>
      </c>
      <c r="B885" t="s">
        <v>3013</v>
      </c>
      <c r="C885" t="s">
        <v>241</v>
      </c>
      <c r="D885" t="s">
        <v>2241</v>
      </c>
      <c r="E885" t="s">
        <v>2242</v>
      </c>
      <c r="F885">
        <v>12368</v>
      </c>
      <c r="G885">
        <v>3625</v>
      </c>
      <c r="H885" s="32">
        <f t="shared" si="13"/>
        <v>3.411862068965517</v>
      </c>
      <c r="I885">
        <v>1</v>
      </c>
      <c r="J885" t="s">
        <v>21</v>
      </c>
    </row>
    <row r="886" spans="1:10" x14ac:dyDescent="0.25">
      <c r="A886">
        <v>65094</v>
      </c>
      <c r="B886" t="s">
        <v>4684</v>
      </c>
      <c r="C886" t="s">
        <v>241</v>
      </c>
      <c r="D886" t="s">
        <v>2241</v>
      </c>
      <c r="E886" t="s">
        <v>2242</v>
      </c>
      <c r="F886">
        <v>14381</v>
      </c>
      <c r="G886">
        <v>4215</v>
      </c>
      <c r="H886" s="32">
        <f t="shared" si="13"/>
        <v>3.4118623962040333</v>
      </c>
      <c r="I886">
        <v>1</v>
      </c>
      <c r="J886" t="s">
        <v>21</v>
      </c>
    </row>
    <row r="887" spans="1:10" x14ac:dyDescent="0.25">
      <c r="A887">
        <v>59506</v>
      </c>
      <c r="B887" t="s">
        <v>3482</v>
      </c>
      <c r="C887" t="s">
        <v>708</v>
      </c>
      <c r="D887" t="s">
        <v>2241</v>
      </c>
      <c r="E887" t="s">
        <v>2242</v>
      </c>
      <c r="F887">
        <v>24620</v>
      </c>
      <c r="G887">
        <v>7216</v>
      </c>
      <c r="H887" s="32">
        <f t="shared" si="13"/>
        <v>3.411862527716186</v>
      </c>
      <c r="I887">
        <v>1</v>
      </c>
      <c r="J887" t="s">
        <v>21</v>
      </c>
    </row>
    <row r="888" spans="1:10" x14ac:dyDescent="0.25">
      <c r="A888">
        <v>70269</v>
      </c>
      <c r="B888" t="s">
        <v>5440</v>
      </c>
      <c r="C888" t="s">
        <v>166</v>
      </c>
      <c r="D888" t="s">
        <v>2241</v>
      </c>
      <c r="E888" t="s">
        <v>2242</v>
      </c>
      <c r="F888">
        <v>14323</v>
      </c>
      <c r="G888">
        <v>4198</v>
      </c>
      <c r="H888" s="32">
        <f t="shared" si="13"/>
        <v>3.4118627918056217</v>
      </c>
      <c r="I888">
        <v>1</v>
      </c>
      <c r="J888" t="s">
        <v>21</v>
      </c>
    </row>
    <row r="889" spans="1:10" x14ac:dyDescent="0.25">
      <c r="A889">
        <v>61738</v>
      </c>
      <c r="B889" t="s">
        <v>4055</v>
      </c>
      <c r="C889" t="s">
        <v>307</v>
      </c>
      <c r="D889" t="s">
        <v>2241</v>
      </c>
      <c r="E889" t="s">
        <v>2242</v>
      </c>
      <c r="F889">
        <v>8110</v>
      </c>
      <c r="G889">
        <v>2377</v>
      </c>
      <c r="H889" s="32">
        <f t="shared" si="13"/>
        <v>3.4118636937315943</v>
      </c>
      <c r="I889">
        <v>1</v>
      </c>
      <c r="J889" t="s">
        <v>21</v>
      </c>
    </row>
    <row r="890" spans="1:10" x14ac:dyDescent="0.25">
      <c r="A890">
        <v>60784</v>
      </c>
      <c r="B890" t="s">
        <v>3873</v>
      </c>
      <c r="C890" t="s">
        <v>708</v>
      </c>
      <c r="D890" t="s">
        <v>2241</v>
      </c>
      <c r="E890" t="s">
        <v>2242</v>
      </c>
      <c r="F890">
        <v>22201</v>
      </c>
      <c r="G890">
        <v>6507</v>
      </c>
      <c r="H890" s="32">
        <f t="shared" si="13"/>
        <v>3.4118641463039805</v>
      </c>
      <c r="I890">
        <v>1</v>
      </c>
      <c r="J890" t="s">
        <v>21</v>
      </c>
    </row>
    <row r="891" spans="1:10" x14ac:dyDescent="0.25">
      <c r="A891">
        <v>61280</v>
      </c>
      <c r="B891" t="s">
        <v>3979</v>
      </c>
      <c r="C891" t="s">
        <v>708</v>
      </c>
      <c r="D891" t="s">
        <v>2241</v>
      </c>
      <c r="E891" t="s">
        <v>2242</v>
      </c>
      <c r="F891">
        <v>48196</v>
      </c>
      <c r="G891">
        <v>14126</v>
      </c>
      <c r="H891" s="32">
        <f t="shared" si="13"/>
        <v>3.4118646467506726</v>
      </c>
      <c r="I891">
        <v>1</v>
      </c>
      <c r="J891" t="s">
        <v>21</v>
      </c>
    </row>
    <row r="892" spans="1:10" x14ac:dyDescent="0.25">
      <c r="A892">
        <v>60461</v>
      </c>
      <c r="B892" t="s">
        <v>3780</v>
      </c>
      <c r="C892" t="s">
        <v>307</v>
      </c>
      <c r="D892" t="s">
        <v>2241</v>
      </c>
      <c r="E892" t="s">
        <v>2242</v>
      </c>
      <c r="F892">
        <v>7994</v>
      </c>
      <c r="G892">
        <v>2343</v>
      </c>
      <c r="H892" s="32">
        <f t="shared" si="13"/>
        <v>3.4118651301749892</v>
      </c>
      <c r="I892">
        <v>1</v>
      </c>
      <c r="J892" t="s">
        <v>21</v>
      </c>
    </row>
    <row r="893" spans="1:10" x14ac:dyDescent="0.25">
      <c r="A893">
        <v>66507</v>
      </c>
      <c r="B893" t="s">
        <v>4919</v>
      </c>
      <c r="C893" t="s">
        <v>166</v>
      </c>
      <c r="D893" t="s">
        <v>2241</v>
      </c>
      <c r="E893" t="s">
        <v>2242</v>
      </c>
      <c r="F893">
        <v>13975</v>
      </c>
      <c r="G893">
        <v>4096</v>
      </c>
      <c r="H893" s="32">
        <f t="shared" si="13"/>
        <v>3.411865234375</v>
      </c>
      <c r="I893">
        <v>1</v>
      </c>
      <c r="J893" t="s">
        <v>21</v>
      </c>
    </row>
    <row r="894" spans="1:10" x14ac:dyDescent="0.25">
      <c r="A894">
        <v>66085</v>
      </c>
      <c r="B894" t="s">
        <v>4845</v>
      </c>
      <c r="C894" t="s">
        <v>166</v>
      </c>
      <c r="D894" t="s">
        <v>2241</v>
      </c>
      <c r="E894" t="s">
        <v>2242</v>
      </c>
      <c r="F894">
        <v>11962</v>
      </c>
      <c r="G894">
        <v>3506</v>
      </c>
      <c r="H894" s="32">
        <f t="shared" si="13"/>
        <v>3.4118653736451798</v>
      </c>
      <c r="I894">
        <v>1</v>
      </c>
      <c r="J894" t="s">
        <v>21</v>
      </c>
    </row>
    <row r="895" spans="1:10" x14ac:dyDescent="0.25">
      <c r="A895">
        <v>58730</v>
      </c>
      <c r="B895" t="s">
        <v>3266</v>
      </c>
      <c r="C895" t="s">
        <v>708</v>
      </c>
      <c r="D895" t="s">
        <v>2241</v>
      </c>
      <c r="E895" t="s">
        <v>2242</v>
      </c>
      <c r="F895">
        <v>13917</v>
      </c>
      <c r="G895">
        <v>4079</v>
      </c>
      <c r="H895" s="32">
        <f t="shared" si="13"/>
        <v>3.4118656533464082</v>
      </c>
      <c r="I895">
        <v>1</v>
      </c>
      <c r="J895" t="s">
        <v>21</v>
      </c>
    </row>
    <row r="896" spans="1:10" x14ac:dyDescent="0.25">
      <c r="A896">
        <v>60180</v>
      </c>
      <c r="B896" t="s">
        <v>3699</v>
      </c>
      <c r="C896" t="s">
        <v>708</v>
      </c>
      <c r="D896" t="s">
        <v>2241</v>
      </c>
      <c r="E896" t="s">
        <v>2242</v>
      </c>
      <c r="F896">
        <v>31686</v>
      </c>
      <c r="G896">
        <v>9287</v>
      </c>
      <c r="H896" s="32">
        <f t="shared" si="13"/>
        <v>3.4118660493162487</v>
      </c>
      <c r="I896">
        <v>1</v>
      </c>
      <c r="J896" t="s">
        <v>21</v>
      </c>
    </row>
    <row r="897" spans="1:10" x14ac:dyDescent="0.25">
      <c r="A897">
        <v>66989</v>
      </c>
      <c r="B897" t="s">
        <v>5000</v>
      </c>
      <c r="C897" t="s">
        <v>708</v>
      </c>
      <c r="D897" t="s">
        <v>2241</v>
      </c>
      <c r="E897" t="s">
        <v>2242</v>
      </c>
      <c r="F897">
        <v>13859</v>
      </c>
      <c r="G897">
        <v>4062</v>
      </c>
      <c r="H897" s="32">
        <f t="shared" si="13"/>
        <v>3.411866075824717</v>
      </c>
      <c r="I897">
        <v>1</v>
      </c>
      <c r="J897" t="s">
        <v>21</v>
      </c>
    </row>
    <row r="898" spans="1:10" x14ac:dyDescent="0.25">
      <c r="A898">
        <v>59185</v>
      </c>
      <c r="B898" t="s">
        <v>3414</v>
      </c>
      <c r="C898" t="s">
        <v>241</v>
      </c>
      <c r="D898" t="s">
        <v>2241</v>
      </c>
      <c r="E898" t="s">
        <v>2242</v>
      </c>
      <c r="F898">
        <v>25589</v>
      </c>
      <c r="G898">
        <v>7500</v>
      </c>
      <c r="H898" s="32">
        <f t="shared" ref="H898:H961" si="14">IF(AND(F898&gt;0,G898&gt;0),F898/G898,"")</f>
        <v>3.4118666666666666</v>
      </c>
      <c r="I898">
        <v>1</v>
      </c>
      <c r="J898" t="s">
        <v>21</v>
      </c>
    </row>
    <row r="899" spans="1:10" x14ac:dyDescent="0.25">
      <c r="A899">
        <v>64741</v>
      </c>
      <c r="B899" t="s">
        <v>4639</v>
      </c>
      <c r="C899" t="s">
        <v>166</v>
      </c>
      <c r="D899" t="s">
        <v>2241</v>
      </c>
      <c r="E899" t="s">
        <v>2242</v>
      </c>
      <c r="F899">
        <v>13685</v>
      </c>
      <c r="G899">
        <v>4011</v>
      </c>
      <c r="H899" s="32">
        <f t="shared" si="14"/>
        <v>3.411867364746946</v>
      </c>
      <c r="I899">
        <v>1</v>
      </c>
      <c r="J899" t="s">
        <v>21</v>
      </c>
    </row>
    <row r="900" spans="1:10" x14ac:dyDescent="0.25">
      <c r="A900">
        <v>61292</v>
      </c>
      <c r="B900" t="s">
        <v>3985</v>
      </c>
      <c r="C900" t="s">
        <v>708</v>
      </c>
      <c r="D900" t="s">
        <v>2241</v>
      </c>
      <c r="E900" t="s">
        <v>2242</v>
      </c>
      <c r="F900">
        <v>44849</v>
      </c>
      <c r="G900">
        <v>13145</v>
      </c>
      <c r="H900" s="32">
        <f t="shared" si="14"/>
        <v>3.4118676302776723</v>
      </c>
      <c r="I900">
        <v>1</v>
      </c>
      <c r="J900" t="s">
        <v>21</v>
      </c>
    </row>
    <row r="901" spans="1:10" x14ac:dyDescent="0.25">
      <c r="A901">
        <v>59451</v>
      </c>
      <c r="B901" t="s">
        <v>3459</v>
      </c>
      <c r="C901" t="s">
        <v>708</v>
      </c>
      <c r="D901" t="s">
        <v>2241</v>
      </c>
      <c r="E901" t="s">
        <v>2242</v>
      </c>
      <c r="F901">
        <v>13569</v>
      </c>
      <c r="G901">
        <v>3977</v>
      </c>
      <c r="H901" s="32">
        <f t="shared" si="14"/>
        <v>3.4118682423937643</v>
      </c>
      <c r="I901">
        <v>1</v>
      </c>
      <c r="J901" t="s">
        <v>21</v>
      </c>
    </row>
    <row r="902" spans="1:10" x14ac:dyDescent="0.25">
      <c r="A902">
        <v>60394</v>
      </c>
      <c r="B902" t="s">
        <v>3757</v>
      </c>
      <c r="C902" t="s">
        <v>708</v>
      </c>
      <c r="D902" t="s">
        <v>2241</v>
      </c>
      <c r="E902" t="s">
        <v>2242</v>
      </c>
      <c r="F902">
        <v>23228</v>
      </c>
      <c r="G902">
        <v>6808</v>
      </c>
      <c r="H902" s="32">
        <f t="shared" si="14"/>
        <v>3.4118683901292597</v>
      </c>
      <c r="I902">
        <v>1</v>
      </c>
      <c r="J902" t="s">
        <v>21</v>
      </c>
    </row>
    <row r="903" spans="1:10" x14ac:dyDescent="0.25">
      <c r="A903">
        <v>59898</v>
      </c>
      <c r="B903" t="s">
        <v>3609</v>
      </c>
      <c r="C903" t="s">
        <v>708</v>
      </c>
      <c r="D903" t="s">
        <v>2241</v>
      </c>
      <c r="E903" t="s">
        <v>2242</v>
      </c>
      <c r="F903">
        <v>17305</v>
      </c>
      <c r="G903">
        <v>5072</v>
      </c>
      <c r="H903" s="32">
        <f t="shared" si="14"/>
        <v>3.4118690851735014</v>
      </c>
      <c r="I903">
        <v>1</v>
      </c>
      <c r="J903" t="s">
        <v>21</v>
      </c>
    </row>
    <row r="904" spans="1:10" x14ac:dyDescent="0.25">
      <c r="A904">
        <v>58323</v>
      </c>
      <c r="B904" t="s">
        <v>3150</v>
      </c>
      <c r="C904" t="s">
        <v>708</v>
      </c>
      <c r="D904" t="s">
        <v>2241</v>
      </c>
      <c r="E904" t="s">
        <v>2242</v>
      </c>
      <c r="F904">
        <v>21099</v>
      </c>
      <c r="G904">
        <v>6184</v>
      </c>
      <c r="H904" s="32">
        <f t="shared" si="14"/>
        <v>3.411869340232859</v>
      </c>
      <c r="I904">
        <v>1</v>
      </c>
      <c r="J904" t="s">
        <v>21</v>
      </c>
    </row>
    <row r="905" spans="1:10" x14ac:dyDescent="0.25">
      <c r="A905">
        <v>66021</v>
      </c>
      <c r="B905" t="s">
        <v>4832</v>
      </c>
      <c r="C905" t="s">
        <v>241</v>
      </c>
      <c r="D905" t="s">
        <v>2241</v>
      </c>
      <c r="E905" t="s">
        <v>2242</v>
      </c>
      <c r="F905">
        <v>13395</v>
      </c>
      <c r="G905">
        <v>3926</v>
      </c>
      <c r="H905" s="32">
        <f t="shared" si="14"/>
        <v>3.4118695873662763</v>
      </c>
      <c r="I905">
        <v>1</v>
      </c>
      <c r="J905" t="s">
        <v>21</v>
      </c>
    </row>
    <row r="906" spans="1:10" x14ac:dyDescent="0.25">
      <c r="A906">
        <v>66375</v>
      </c>
      <c r="B906" t="s">
        <v>4892</v>
      </c>
      <c r="C906" t="s">
        <v>708</v>
      </c>
      <c r="D906" t="s">
        <v>2241</v>
      </c>
      <c r="E906" t="s">
        <v>2242</v>
      </c>
      <c r="F906">
        <v>35637</v>
      </c>
      <c r="G906">
        <v>10445</v>
      </c>
      <c r="H906" s="32">
        <f t="shared" si="14"/>
        <v>3.4118717089516517</v>
      </c>
      <c r="I906">
        <v>1</v>
      </c>
      <c r="J906" t="s">
        <v>21</v>
      </c>
    </row>
    <row r="907" spans="1:10" x14ac:dyDescent="0.25">
      <c r="A907">
        <v>63448</v>
      </c>
      <c r="B907" t="s">
        <v>4353</v>
      </c>
      <c r="C907" t="s">
        <v>708</v>
      </c>
      <c r="D907" t="s">
        <v>2241</v>
      </c>
      <c r="E907" t="s">
        <v>2242</v>
      </c>
      <c r="F907">
        <v>27759</v>
      </c>
      <c r="G907">
        <v>8136</v>
      </c>
      <c r="H907" s="32">
        <f t="shared" si="14"/>
        <v>3.4118731563421827</v>
      </c>
      <c r="I907">
        <v>1</v>
      </c>
      <c r="J907" t="s">
        <v>21</v>
      </c>
    </row>
    <row r="908" spans="1:10" x14ac:dyDescent="0.25">
      <c r="A908">
        <v>66730</v>
      </c>
      <c r="B908" t="s">
        <v>4956</v>
      </c>
      <c r="C908" t="s">
        <v>143</v>
      </c>
      <c r="D908" t="s">
        <v>2241</v>
      </c>
      <c r="E908" t="s">
        <v>2242</v>
      </c>
      <c r="F908">
        <v>5517</v>
      </c>
      <c r="G908">
        <v>1617</v>
      </c>
      <c r="H908" s="32">
        <f t="shared" si="14"/>
        <v>3.4118738404452689</v>
      </c>
      <c r="I908">
        <v>1</v>
      </c>
      <c r="J908" t="s">
        <v>21</v>
      </c>
    </row>
    <row r="909" spans="1:10" x14ac:dyDescent="0.25">
      <c r="A909">
        <v>63734</v>
      </c>
      <c r="B909" t="s">
        <v>4402</v>
      </c>
      <c r="C909" t="s">
        <v>708</v>
      </c>
      <c r="D909" t="s">
        <v>2241</v>
      </c>
      <c r="E909" t="s">
        <v>2242</v>
      </c>
      <c r="F909">
        <v>34593</v>
      </c>
      <c r="G909">
        <v>10139</v>
      </c>
      <c r="H909" s="32">
        <f t="shared" si="14"/>
        <v>3.4118749383568399</v>
      </c>
      <c r="I909">
        <v>1</v>
      </c>
      <c r="J909" t="s">
        <v>21</v>
      </c>
    </row>
    <row r="910" spans="1:10" x14ac:dyDescent="0.25">
      <c r="A910">
        <v>58675</v>
      </c>
      <c r="B910" t="s">
        <v>3252</v>
      </c>
      <c r="C910" t="s">
        <v>708</v>
      </c>
      <c r="D910" t="s">
        <v>2241</v>
      </c>
      <c r="E910" t="s">
        <v>2242</v>
      </c>
      <c r="F910">
        <v>16377</v>
      </c>
      <c r="G910">
        <v>4800</v>
      </c>
      <c r="H910" s="32">
        <f t="shared" si="14"/>
        <v>3.4118750000000002</v>
      </c>
      <c r="I910">
        <v>1</v>
      </c>
      <c r="J910" t="s">
        <v>21</v>
      </c>
    </row>
    <row r="911" spans="1:10" x14ac:dyDescent="0.25">
      <c r="A911">
        <v>59112</v>
      </c>
      <c r="B911" t="s">
        <v>3377</v>
      </c>
      <c r="C911" t="s">
        <v>708</v>
      </c>
      <c r="D911" t="s">
        <v>2241</v>
      </c>
      <c r="E911" t="s">
        <v>2242</v>
      </c>
      <c r="F911">
        <v>32348</v>
      </c>
      <c r="G911">
        <v>9481</v>
      </c>
      <c r="H911" s="32">
        <f t="shared" si="14"/>
        <v>3.4118763843476425</v>
      </c>
      <c r="I911">
        <v>1</v>
      </c>
      <c r="J911" t="s">
        <v>21</v>
      </c>
    </row>
    <row r="912" spans="1:10" x14ac:dyDescent="0.25">
      <c r="A912">
        <v>63072</v>
      </c>
      <c r="B912" t="s">
        <v>4286</v>
      </c>
      <c r="C912" t="s">
        <v>307</v>
      </c>
      <c r="D912" t="s">
        <v>2241</v>
      </c>
      <c r="E912" t="s">
        <v>2242</v>
      </c>
      <c r="F912">
        <v>12525</v>
      </c>
      <c r="G912">
        <v>3671</v>
      </c>
      <c r="H912" s="32">
        <f t="shared" si="14"/>
        <v>3.4118768727867068</v>
      </c>
      <c r="I912">
        <v>1</v>
      </c>
      <c r="J912" t="s">
        <v>21</v>
      </c>
    </row>
    <row r="913" spans="1:10" x14ac:dyDescent="0.25">
      <c r="A913">
        <v>58313</v>
      </c>
      <c r="B913" t="s">
        <v>3144</v>
      </c>
      <c r="C913" t="s">
        <v>708</v>
      </c>
      <c r="D913" t="s">
        <v>2241</v>
      </c>
      <c r="E913" t="s">
        <v>2242</v>
      </c>
      <c r="F913">
        <v>30335</v>
      </c>
      <c r="G913">
        <v>8891</v>
      </c>
      <c r="H913" s="32">
        <f t="shared" si="14"/>
        <v>3.4118771791699469</v>
      </c>
      <c r="I913">
        <v>1</v>
      </c>
      <c r="J913" t="s">
        <v>21</v>
      </c>
    </row>
    <row r="914" spans="1:10" x14ac:dyDescent="0.25">
      <c r="A914">
        <v>66602</v>
      </c>
      <c r="B914" t="s">
        <v>4927</v>
      </c>
      <c r="C914" t="s">
        <v>708</v>
      </c>
      <c r="D914" t="s">
        <v>2241</v>
      </c>
      <c r="E914" t="s">
        <v>2242</v>
      </c>
      <c r="F914">
        <v>14248</v>
      </c>
      <c r="G914">
        <v>4176</v>
      </c>
      <c r="H914" s="32">
        <f t="shared" si="14"/>
        <v>3.4118773946360155</v>
      </c>
      <c r="I914">
        <v>1</v>
      </c>
      <c r="J914" t="s">
        <v>21</v>
      </c>
    </row>
    <row r="915" spans="1:10" x14ac:dyDescent="0.25">
      <c r="A915">
        <v>68408</v>
      </c>
      <c r="B915" t="s">
        <v>5232</v>
      </c>
      <c r="C915" t="s">
        <v>241</v>
      </c>
      <c r="D915" t="s">
        <v>2241</v>
      </c>
      <c r="E915" t="s">
        <v>2242</v>
      </c>
      <c r="F915">
        <v>10628</v>
      </c>
      <c r="G915">
        <v>3115</v>
      </c>
      <c r="H915" s="32">
        <f t="shared" si="14"/>
        <v>3.4118780096308186</v>
      </c>
      <c r="I915">
        <v>1</v>
      </c>
      <c r="J915" t="s">
        <v>21</v>
      </c>
    </row>
    <row r="916" spans="1:10" x14ac:dyDescent="0.25">
      <c r="A916">
        <v>62989</v>
      </c>
      <c r="B916" t="s">
        <v>4268</v>
      </c>
      <c r="C916" t="s">
        <v>143</v>
      </c>
      <c r="D916" t="s">
        <v>2241</v>
      </c>
      <c r="E916" t="s">
        <v>2242</v>
      </c>
      <c r="F916">
        <v>75945</v>
      </c>
      <c r="G916">
        <v>22259</v>
      </c>
      <c r="H916" s="32">
        <f t="shared" si="14"/>
        <v>3.4118783413450737</v>
      </c>
      <c r="I916">
        <v>1</v>
      </c>
      <c r="J916" t="s">
        <v>21</v>
      </c>
    </row>
    <row r="917" spans="1:10" x14ac:dyDescent="0.25">
      <c r="A917">
        <v>58340</v>
      </c>
      <c r="B917" t="s">
        <v>3163</v>
      </c>
      <c r="C917" t="s">
        <v>708</v>
      </c>
      <c r="D917" t="s">
        <v>2241</v>
      </c>
      <c r="E917" t="s">
        <v>2242</v>
      </c>
      <c r="F917">
        <v>29987</v>
      </c>
      <c r="G917">
        <v>8789</v>
      </c>
      <c r="H917" s="32">
        <f t="shared" si="14"/>
        <v>3.4118784844692227</v>
      </c>
      <c r="I917">
        <v>1</v>
      </c>
      <c r="J917" t="s">
        <v>21</v>
      </c>
    </row>
    <row r="918" spans="1:10" x14ac:dyDescent="0.25">
      <c r="A918">
        <v>64176</v>
      </c>
      <c r="B918" t="s">
        <v>4506</v>
      </c>
      <c r="C918" t="s">
        <v>708</v>
      </c>
      <c r="D918" t="s">
        <v>2241</v>
      </c>
      <c r="E918" t="s">
        <v>2242</v>
      </c>
      <c r="F918">
        <v>22921</v>
      </c>
      <c r="G918">
        <v>6718</v>
      </c>
      <c r="H918" s="32">
        <f t="shared" si="14"/>
        <v>3.4118785352783565</v>
      </c>
      <c r="I918">
        <v>1</v>
      </c>
      <c r="J918" t="s">
        <v>21</v>
      </c>
    </row>
    <row r="919" spans="1:10" x14ac:dyDescent="0.25">
      <c r="A919">
        <v>61796</v>
      </c>
      <c r="B919" t="s">
        <v>4064</v>
      </c>
      <c r="C919" t="s">
        <v>307</v>
      </c>
      <c r="D919" t="s">
        <v>2241</v>
      </c>
      <c r="E919" t="s">
        <v>2242</v>
      </c>
      <c r="F919">
        <v>10570</v>
      </c>
      <c r="G919">
        <v>3098</v>
      </c>
      <c r="H919" s="32">
        <f t="shared" si="14"/>
        <v>3.4118786313750809</v>
      </c>
      <c r="I919">
        <v>1</v>
      </c>
      <c r="J919" t="s">
        <v>21</v>
      </c>
    </row>
    <row r="920" spans="1:10" x14ac:dyDescent="0.25">
      <c r="A920">
        <v>70247</v>
      </c>
      <c r="B920" t="s">
        <v>5425</v>
      </c>
      <c r="C920" t="s">
        <v>166</v>
      </c>
      <c r="D920" t="s">
        <v>2241</v>
      </c>
      <c r="E920" t="s">
        <v>2242</v>
      </c>
      <c r="F920">
        <v>15797</v>
      </c>
      <c r="G920">
        <v>4630</v>
      </c>
      <c r="H920" s="32">
        <f t="shared" si="14"/>
        <v>3.4118790496760258</v>
      </c>
      <c r="I920">
        <v>1</v>
      </c>
      <c r="J920" t="s">
        <v>21</v>
      </c>
    </row>
    <row r="921" spans="1:10" x14ac:dyDescent="0.25">
      <c r="A921">
        <v>58331</v>
      </c>
      <c r="B921" t="s">
        <v>3154</v>
      </c>
      <c r="C921" t="s">
        <v>708</v>
      </c>
      <c r="D921" t="s">
        <v>2241</v>
      </c>
      <c r="E921" t="s">
        <v>2242</v>
      </c>
      <c r="F921">
        <v>27742</v>
      </c>
      <c r="G921">
        <v>8131</v>
      </c>
      <c r="H921" s="32">
        <f t="shared" si="14"/>
        <v>3.4118804575083015</v>
      </c>
      <c r="I921">
        <v>1</v>
      </c>
      <c r="J921" t="s">
        <v>21</v>
      </c>
    </row>
    <row r="922" spans="1:10" x14ac:dyDescent="0.25">
      <c r="A922">
        <v>59157</v>
      </c>
      <c r="B922" t="s">
        <v>3398</v>
      </c>
      <c r="C922" t="s">
        <v>708</v>
      </c>
      <c r="D922" t="s">
        <v>2241</v>
      </c>
      <c r="E922" t="s">
        <v>2242</v>
      </c>
      <c r="F922">
        <v>31014</v>
      </c>
      <c r="G922">
        <v>9090</v>
      </c>
      <c r="H922" s="32">
        <f t="shared" si="14"/>
        <v>3.4118811881188118</v>
      </c>
      <c r="I922">
        <v>1</v>
      </c>
      <c r="J922" t="s">
        <v>21</v>
      </c>
    </row>
    <row r="923" spans="1:10" x14ac:dyDescent="0.25">
      <c r="A923">
        <v>67531</v>
      </c>
      <c r="B923" t="s">
        <v>5111</v>
      </c>
      <c r="C923" t="s">
        <v>201</v>
      </c>
      <c r="D923" t="s">
        <v>2241</v>
      </c>
      <c r="E923" t="s">
        <v>2242</v>
      </c>
      <c r="F923">
        <v>24122</v>
      </c>
      <c r="G923">
        <v>7070</v>
      </c>
      <c r="H923" s="32">
        <f t="shared" si="14"/>
        <v>3.4118811881188118</v>
      </c>
      <c r="I923">
        <v>1</v>
      </c>
      <c r="J923" t="s">
        <v>21</v>
      </c>
    </row>
    <row r="924" spans="1:10" x14ac:dyDescent="0.25">
      <c r="A924">
        <v>60863</v>
      </c>
      <c r="B924" t="s">
        <v>3894</v>
      </c>
      <c r="C924" t="s">
        <v>266</v>
      </c>
      <c r="D924" t="s">
        <v>2241</v>
      </c>
      <c r="E924" t="s">
        <v>2242</v>
      </c>
      <c r="F924">
        <v>44682</v>
      </c>
      <c r="G924">
        <v>13096</v>
      </c>
      <c r="H924" s="32">
        <f t="shared" si="14"/>
        <v>3.4118814905314601</v>
      </c>
      <c r="I924">
        <v>1</v>
      </c>
      <c r="J924" t="s">
        <v>21</v>
      </c>
    </row>
    <row r="925" spans="1:10" x14ac:dyDescent="0.25">
      <c r="A925">
        <v>60052</v>
      </c>
      <c r="B925" t="s">
        <v>3662</v>
      </c>
      <c r="C925" t="s">
        <v>708</v>
      </c>
      <c r="D925" t="s">
        <v>2241</v>
      </c>
      <c r="E925" t="s">
        <v>2242</v>
      </c>
      <c r="F925">
        <v>12003</v>
      </c>
      <c r="G925">
        <v>3518</v>
      </c>
      <c r="H925" s="32">
        <f t="shared" si="14"/>
        <v>3.4118817509948833</v>
      </c>
      <c r="I925">
        <v>1</v>
      </c>
      <c r="J925" t="s">
        <v>21</v>
      </c>
    </row>
    <row r="926" spans="1:10" x14ac:dyDescent="0.25">
      <c r="A926">
        <v>59126</v>
      </c>
      <c r="B926" t="s">
        <v>3387</v>
      </c>
      <c r="C926" t="s">
        <v>708</v>
      </c>
      <c r="D926" t="s">
        <v>2241</v>
      </c>
      <c r="E926" t="s">
        <v>2242</v>
      </c>
      <c r="F926">
        <v>30840</v>
      </c>
      <c r="G926">
        <v>9039</v>
      </c>
      <c r="H926" s="32">
        <f t="shared" si="14"/>
        <v>3.4118818453368736</v>
      </c>
      <c r="I926">
        <v>1</v>
      </c>
      <c r="J926" t="s">
        <v>21</v>
      </c>
    </row>
    <row r="927" spans="1:10" x14ac:dyDescent="0.25">
      <c r="A927">
        <v>59914</v>
      </c>
      <c r="B927" t="s">
        <v>3617</v>
      </c>
      <c r="C927" t="s">
        <v>708</v>
      </c>
      <c r="D927" t="s">
        <v>2241</v>
      </c>
      <c r="E927" t="s">
        <v>2242</v>
      </c>
      <c r="F927">
        <v>20386</v>
      </c>
      <c r="G927">
        <v>5975</v>
      </c>
      <c r="H927" s="32">
        <f t="shared" si="14"/>
        <v>3.4118828451882846</v>
      </c>
      <c r="I927">
        <v>1</v>
      </c>
      <c r="J927" t="s">
        <v>21</v>
      </c>
    </row>
    <row r="928" spans="1:10" x14ac:dyDescent="0.25">
      <c r="A928">
        <v>65502</v>
      </c>
      <c r="B928" t="s">
        <v>4759</v>
      </c>
      <c r="C928" t="s">
        <v>708</v>
      </c>
      <c r="D928" t="s">
        <v>2241</v>
      </c>
      <c r="E928" t="s">
        <v>2242</v>
      </c>
      <c r="F928">
        <v>32273</v>
      </c>
      <c r="G928">
        <v>9459</v>
      </c>
      <c r="H928" s="32">
        <f t="shared" si="14"/>
        <v>3.4118828628819116</v>
      </c>
      <c r="I928">
        <v>1</v>
      </c>
      <c r="J928" t="s">
        <v>21</v>
      </c>
    </row>
    <row r="929" spans="1:10" x14ac:dyDescent="0.25">
      <c r="A929">
        <v>63377</v>
      </c>
      <c r="B929" t="s">
        <v>4338</v>
      </c>
      <c r="C929" t="s">
        <v>708</v>
      </c>
      <c r="D929" t="s">
        <v>2241</v>
      </c>
      <c r="E929" t="s">
        <v>2242</v>
      </c>
      <c r="F929">
        <v>20270</v>
      </c>
      <c r="G929">
        <v>5941</v>
      </c>
      <c r="H929" s="32">
        <f t="shared" si="14"/>
        <v>3.4118835212927117</v>
      </c>
      <c r="I929">
        <v>1</v>
      </c>
      <c r="J929" t="s">
        <v>21</v>
      </c>
    </row>
    <row r="930" spans="1:10" x14ac:dyDescent="0.25">
      <c r="A930">
        <v>60288</v>
      </c>
      <c r="B930" t="s">
        <v>3725</v>
      </c>
      <c r="C930" t="s">
        <v>708</v>
      </c>
      <c r="D930" t="s">
        <v>2241</v>
      </c>
      <c r="E930" t="s">
        <v>2242</v>
      </c>
      <c r="F930">
        <v>6718</v>
      </c>
      <c r="G930">
        <v>1969</v>
      </c>
      <c r="H930" s="32">
        <f t="shared" si="14"/>
        <v>3.4118842051802947</v>
      </c>
      <c r="I930">
        <v>1</v>
      </c>
      <c r="J930" t="s">
        <v>21</v>
      </c>
    </row>
    <row r="931" spans="1:10" x14ac:dyDescent="0.25">
      <c r="A931">
        <v>64058</v>
      </c>
      <c r="B931" t="s">
        <v>4480</v>
      </c>
      <c r="C931" t="s">
        <v>166</v>
      </c>
      <c r="D931" t="s">
        <v>2241</v>
      </c>
      <c r="E931" t="s">
        <v>2242</v>
      </c>
      <c r="F931">
        <v>10048</v>
      </c>
      <c r="G931">
        <v>2945</v>
      </c>
      <c r="H931" s="32">
        <f t="shared" si="14"/>
        <v>3.4118845500848898</v>
      </c>
      <c r="I931">
        <v>1</v>
      </c>
      <c r="J931" t="s">
        <v>21</v>
      </c>
    </row>
    <row r="932" spans="1:10" x14ac:dyDescent="0.25">
      <c r="A932">
        <v>58864</v>
      </c>
      <c r="B932" t="s">
        <v>3317</v>
      </c>
      <c r="C932" t="s">
        <v>708</v>
      </c>
      <c r="D932" t="s">
        <v>2241</v>
      </c>
      <c r="E932" t="s">
        <v>2242</v>
      </c>
      <c r="F932">
        <v>21761</v>
      </c>
      <c r="G932">
        <v>6378</v>
      </c>
      <c r="H932" s="32">
        <f t="shared" si="14"/>
        <v>3.4118846033239261</v>
      </c>
      <c r="I932">
        <v>1</v>
      </c>
      <c r="J932" t="s">
        <v>21</v>
      </c>
    </row>
    <row r="933" spans="1:10" x14ac:dyDescent="0.25">
      <c r="A933">
        <v>60577</v>
      </c>
      <c r="B933" t="s">
        <v>3804</v>
      </c>
      <c r="C933" t="s">
        <v>708</v>
      </c>
      <c r="D933" t="s">
        <v>2241</v>
      </c>
      <c r="E933" t="s">
        <v>2242</v>
      </c>
      <c r="F933">
        <v>30086</v>
      </c>
      <c r="G933">
        <v>8818</v>
      </c>
      <c r="H933" s="32">
        <f t="shared" si="14"/>
        <v>3.4118847811295079</v>
      </c>
      <c r="I933">
        <v>1</v>
      </c>
      <c r="J933" t="s">
        <v>21</v>
      </c>
    </row>
    <row r="934" spans="1:10" x14ac:dyDescent="0.25">
      <c r="A934">
        <v>60348</v>
      </c>
      <c r="B934" t="s">
        <v>3740</v>
      </c>
      <c r="C934" t="s">
        <v>250</v>
      </c>
      <c r="D934" t="s">
        <v>2241</v>
      </c>
      <c r="E934" t="s">
        <v>2242</v>
      </c>
      <c r="F934">
        <v>9990</v>
      </c>
      <c r="G934">
        <v>2928</v>
      </c>
      <c r="H934" s="32">
        <f t="shared" si="14"/>
        <v>3.4118852459016393</v>
      </c>
      <c r="I934">
        <v>1</v>
      </c>
      <c r="J934" t="s">
        <v>21</v>
      </c>
    </row>
    <row r="935" spans="1:10" x14ac:dyDescent="0.25">
      <c r="A935">
        <v>67192</v>
      </c>
      <c r="B935" t="s">
        <v>5055</v>
      </c>
      <c r="C935" t="s">
        <v>2029</v>
      </c>
      <c r="D935" t="s">
        <v>2241</v>
      </c>
      <c r="E935" t="s">
        <v>2242</v>
      </c>
      <c r="F935">
        <v>14985</v>
      </c>
      <c r="G935">
        <v>4392</v>
      </c>
      <c r="H935" s="32">
        <f t="shared" si="14"/>
        <v>3.4118852459016393</v>
      </c>
      <c r="I935">
        <v>1</v>
      </c>
      <c r="J935" t="s">
        <v>21</v>
      </c>
    </row>
    <row r="936" spans="1:10" x14ac:dyDescent="0.25">
      <c r="A936">
        <v>67065</v>
      </c>
      <c r="B936" t="s">
        <v>5015</v>
      </c>
      <c r="C936" t="s">
        <v>241</v>
      </c>
      <c r="D936" t="s">
        <v>2241</v>
      </c>
      <c r="E936" t="s">
        <v>2242</v>
      </c>
      <c r="F936">
        <v>11597</v>
      </c>
      <c r="G936">
        <v>3399</v>
      </c>
      <c r="H936" s="32">
        <f t="shared" si="14"/>
        <v>3.4118858487790527</v>
      </c>
      <c r="I936">
        <v>1</v>
      </c>
      <c r="J936" t="s">
        <v>21</v>
      </c>
    </row>
    <row r="937" spans="1:10" x14ac:dyDescent="0.25">
      <c r="A937">
        <v>60961</v>
      </c>
      <c r="B937" t="s">
        <v>3911</v>
      </c>
      <c r="C937" t="s">
        <v>708</v>
      </c>
      <c r="D937" t="s">
        <v>2241</v>
      </c>
      <c r="E937" t="s">
        <v>2242</v>
      </c>
      <c r="F937">
        <v>33126</v>
      </c>
      <c r="G937">
        <v>9709</v>
      </c>
      <c r="H937" s="32">
        <f t="shared" si="14"/>
        <v>3.4118858790812649</v>
      </c>
      <c r="I937">
        <v>1</v>
      </c>
      <c r="J937" t="s">
        <v>21</v>
      </c>
    </row>
    <row r="938" spans="1:10" x14ac:dyDescent="0.25">
      <c r="A938">
        <v>60480</v>
      </c>
      <c r="B938" t="s">
        <v>3784</v>
      </c>
      <c r="C938" t="s">
        <v>708</v>
      </c>
      <c r="D938" t="s">
        <v>2241</v>
      </c>
      <c r="E938" t="s">
        <v>2242</v>
      </c>
      <c r="F938">
        <v>9932</v>
      </c>
      <c r="G938">
        <v>2911</v>
      </c>
      <c r="H938" s="32">
        <f t="shared" si="14"/>
        <v>3.4118859498454142</v>
      </c>
      <c r="I938">
        <v>1</v>
      </c>
      <c r="J938" t="s">
        <v>21</v>
      </c>
    </row>
    <row r="939" spans="1:10" x14ac:dyDescent="0.25">
      <c r="A939">
        <v>59483</v>
      </c>
      <c r="B939" t="s">
        <v>3468</v>
      </c>
      <c r="C939" t="s">
        <v>131</v>
      </c>
      <c r="D939" t="s">
        <v>2241</v>
      </c>
      <c r="E939" t="s">
        <v>2242</v>
      </c>
      <c r="F939">
        <v>14869</v>
      </c>
      <c r="G939">
        <v>4358</v>
      </c>
      <c r="H939" s="32">
        <f t="shared" si="14"/>
        <v>3.411886186324002</v>
      </c>
      <c r="I939">
        <v>1</v>
      </c>
      <c r="J939" t="s">
        <v>21</v>
      </c>
    </row>
    <row r="940" spans="1:10" x14ac:dyDescent="0.25">
      <c r="A940">
        <v>59517</v>
      </c>
      <c r="B940" t="s">
        <v>3493</v>
      </c>
      <c r="C940" t="s">
        <v>708</v>
      </c>
      <c r="D940" t="s">
        <v>2241</v>
      </c>
      <c r="E940" t="s">
        <v>2242</v>
      </c>
      <c r="F940">
        <v>21413</v>
      </c>
      <c r="G940">
        <v>6276</v>
      </c>
      <c r="H940" s="32">
        <f t="shared" si="14"/>
        <v>3.4118865519439132</v>
      </c>
      <c r="I940">
        <v>1</v>
      </c>
      <c r="J940" t="s">
        <v>21</v>
      </c>
    </row>
    <row r="941" spans="1:10" x14ac:dyDescent="0.25">
      <c r="A941">
        <v>60627</v>
      </c>
      <c r="B941" t="s">
        <v>3822</v>
      </c>
      <c r="C941" t="s">
        <v>708</v>
      </c>
      <c r="D941" t="s">
        <v>2241</v>
      </c>
      <c r="E941" t="s">
        <v>2242</v>
      </c>
      <c r="F941">
        <v>32836</v>
      </c>
      <c r="G941">
        <v>9624</v>
      </c>
      <c r="H941" s="32">
        <f t="shared" si="14"/>
        <v>3.4118869492934332</v>
      </c>
      <c r="I941">
        <v>1</v>
      </c>
      <c r="J941" t="s">
        <v>21</v>
      </c>
    </row>
    <row r="942" spans="1:10" x14ac:dyDescent="0.25">
      <c r="A942">
        <v>63698</v>
      </c>
      <c r="B942" t="s">
        <v>4393</v>
      </c>
      <c r="C942" t="s">
        <v>241</v>
      </c>
      <c r="D942" t="s">
        <v>2241</v>
      </c>
      <c r="E942" t="s">
        <v>2242</v>
      </c>
      <c r="F942">
        <v>14753</v>
      </c>
      <c r="G942">
        <v>4324</v>
      </c>
      <c r="H942" s="32">
        <f t="shared" si="14"/>
        <v>3.4118871415356153</v>
      </c>
      <c r="I942">
        <v>1</v>
      </c>
      <c r="J942" t="s">
        <v>21</v>
      </c>
    </row>
    <row r="943" spans="1:10" x14ac:dyDescent="0.25">
      <c r="A943">
        <v>57367</v>
      </c>
      <c r="B943" t="s">
        <v>2976</v>
      </c>
      <c r="C943" t="s">
        <v>143</v>
      </c>
      <c r="D943" t="s">
        <v>2241</v>
      </c>
      <c r="E943" t="s">
        <v>2242</v>
      </c>
      <c r="F943">
        <v>9816</v>
      </c>
      <c r="G943">
        <v>2877</v>
      </c>
      <c r="H943" s="32">
        <f t="shared" si="14"/>
        <v>3.4118873826903022</v>
      </c>
      <c r="I943">
        <v>1</v>
      </c>
      <c r="J943" t="s">
        <v>21</v>
      </c>
    </row>
    <row r="944" spans="1:10" x14ac:dyDescent="0.25">
      <c r="A944">
        <v>62328</v>
      </c>
      <c r="B944" t="s">
        <v>4145</v>
      </c>
      <c r="C944" t="s">
        <v>708</v>
      </c>
      <c r="D944" t="s">
        <v>2241</v>
      </c>
      <c r="E944" t="s">
        <v>2242</v>
      </c>
      <c r="F944">
        <v>19632</v>
      </c>
      <c r="G944">
        <v>5754</v>
      </c>
      <c r="H944" s="32">
        <f t="shared" si="14"/>
        <v>3.4118873826903022</v>
      </c>
      <c r="I944">
        <v>1</v>
      </c>
      <c r="J944" t="s">
        <v>21</v>
      </c>
    </row>
    <row r="945" spans="1:10" x14ac:dyDescent="0.25">
      <c r="A945">
        <v>59508</v>
      </c>
      <c r="B945" t="s">
        <v>3484</v>
      </c>
      <c r="C945" t="s">
        <v>708</v>
      </c>
      <c r="D945" t="s">
        <v>2241</v>
      </c>
      <c r="E945" t="s">
        <v>2242</v>
      </c>
      <c r="F945">
        <v>17967</v>
      </c>
      <c r="G945">
        <v>5266</v>
      </c>
      <c r="H945" s="32">
        <f t="shared" si="14"/>
        <v>3.4118875807064186</v>
      </c>
      <c r="I945">
        <v>1</v>
      </c>
      <c r="J945" t="s">
        <v>21</v>
      </c>
    </row>
    <row r="946" spans="1:10" x14ac:dyDescent="0.25">
      <c r="A946">
        <v>59163</v>
      </c>
      <c r="B946" t="s">
        <v>3401</v>
      </c>
      <c r="C946" t="s">
        <v>708</v>
      </c>
      <c r="D946" t="s">
        <v>2241</v>
      </c>
      <c r="E946" t="s">
        <v>2242</v>
      </c>
      <c r="F946">
        <v>29390</v>
      </c>
      <c r="G946">
        <v>8614</v>
      </c>
      <c r="H946" s="32">
        <f t="shared" si="14"/>
        <v>3.4118876247968424</v>
      </c>
      <c r="I946">
        <v>1</v>
      </c>
      <c r="J946" t="s">
        <v>21</v>
      </c>
    </row>
    <row r="947" spans="1:10" x14ac:dyDescent="0.25">
      <c r="A947">
        <v>64385</v>
      </c>
      <c r="B947" t="s">
        <v>4555</v>
      </c>
      <c r="C947" t="s">
        <v>708</v>
      </c>
      <c r="D947" t="s">
        <v>2241</v>
      </c>
      <c r="E947" t="s">
        <v>2242</v>
      </c>
      <c r="F947">
        <v>37367</v>
      </c>
      <c r="G947">
        <v>10952</v>
      </c>
      <c r="H947" s="32">
        <f t="shared" si="14"/>
        <v>3.4118882395909425</v>
      </c>
      <c r="I947">
        <v>1</v>
      </c>
      <c r="J947" t="s">
        <v>21</v>
      </c>
    </row>
    <row r="948" spans="1:10" x14ac:dyDescent="0.25">
      <c r="A948">
        <v>63089</v>
      </c>
      <c r="B948" t="s">
        <v>4295</v>
      </c>
      <c r="C948" t="s">
        <v>307</v>
      </c>
      <c r="D948" t="s">
        <v>2241</v>
      </c>
      <c r="E948" t="s">
        <v>2242</v>
      </c>
      <c r="F948">
        <v>9584</v>
      </c>
      <c r="G948">
        <v>2809</v>
      </c>
      <c r="H948" s="32">
        <f t="shared" si="14"/>
        <v>3.4118903524385904</v>
      </c>
      <c r="I948">
        <v>1</v>
      </c>
      <c r="J948" t="s">
        <v>21</v>
      </c>
    </row>
    <row r="949" spans="1:10" x14ac:dyDescent="0.25">
      <c r="A949">
        <v>66116</v>
      </c>
      <c r="B949" t="s">
        <v>4857</v>
      </c>
      <c r="C949" t="s">
        <v>201</v>
      </c>
      <c r="D949" t="s">
        <v>2241</v>
      </c>
      <c r="E949" t="s">
        <v>2242</v>
      </c>
      <c r="F949">
        <v>23931</v>
      </c>
      <c r="G949">
        <v>7014</v>
      </c>
      <c r="H949" s="32">
        <f t="shared" si="14"/>
        <v>3.4118905047048758</v>
      </c>
      <c r="I949">
        <v>1</v>
      </c>
      <c r="J949" t="s">
        <v>21</v>
      </c>
    </row>
    <row r="950" spans="1:10" x14ac:dyDescent="0.25">
      <c r="A950">
        <v>59930</v>
      </c>
      <c r="B950" t="s">
        <v>3624</v>
      </c>
      <c r="C950" t="s">
        <v>708</v>
      </c>
      <c r="D950" t="s">
        <v>2241</v>
      </c>
      <c r="E950" t="s">
        <v>2242</v>
      </c>
      <c r="F950">
        <v>31444</v>
      </c>
      <c r="G950">
        <v>9216</v>
      </c>
      <c r="H950" s="32">
        <f t="shared" si="14"/>
        <v>3.4118923611111112</v>
      </c>
      <c r="I950">
        <v>1</v>
      </c>
      <c r="J950" t="s">
        <v>21</v>
      </c>
    </row>
    <row r="951" spans="1:10" x14ac:dyDescent="0.25">
      <c r="A951">
        <v>64302</v>
      </c>
      <c r="B951" t="s">
        <v>4536</v>
      </c>
      <c r="C951" t="s">
        <v>166</v>
      </c>
      <c r="D951" t="s">
        <v>2241</v>
      </c>
      <c r="E951" t="s">
        <v>2242</v>
      </c>
      <c r="F951">
        <v>14115</v>
      </c>
      <c r="G951">
        <v>4137</v>
      </c>
      <c r="H951" s="32">
        <f t="shared" si="14"/>
        <v>3.4118926758520667</v>
      </c>
      <c r="I951">
        <v>1</v>
      </c>
      <c r="J951" t="s">
        <v>21</v>
      </c>
    </row>
    <row r="952" spans="1:10" x14ac:dyDescent="0.25">
      <c r="A952">
        <v>64193</v>
      </c>
      <c r="B952" t="s">
        <v>4509</v>
      </c>
      <c r="C952" t="s">
        <v>708</v>
      </c>
      <c r="D952" t="s">
        <v>2241</v>
      </c>
      <c r="E952" t="s">
        <v>2242</v>
      </c>
      <c r="F952">
        <v>32877</v>
      </c>
      <c r="G952">
        <v>9636</v>
      </c>
      <c r="H952" s="32">
        <f t="shared" si="14"/>
        <v>3.4118929016189292</v>
      </c>
      <c r="I952">
        <v>1</v>
      </c>
      <c r="J952" t="s">
        <v>21</v>
      </c>
    </row>
    <row r="953" spans="1:10" x14ac:dyDescent="0.25">
      <c r="A953">
        <v>68336</v>
      </c>
      <c r="B953" t="s">
        <v>5229</v>
      </c>
      <c r="C953" t="s">
        <v>166</v>
      </c>
      <c r="D953" t="s">
        <v>2241</v>
      </c>
      <c r="E953" t="s">
        <v>2242</v>
      </c>
      <c r="F953">
        <v>10959</v>
      </c>
      <c r="G953">
        <v>3212</v>
      </c>
      <c r="H953" s="32">
        <f t="shared" si="14"/>
        <v>3.4118929016189292</v>
      </c>
      <c r="I953">
        <v>1</v>
      </c>
      <c r="J953" t="s">
        <v>21</v>
      </c>
    </row>
    <row r="954" spans="1:10" x14ac:dyDescent="0.25">
      <c r="A954">
        <v>62662</v>
      </c>
      <c r="B954" t="s">
        <v>4198</v>
      </c>
      <c r="C954" t="s">
        <v>708</v>
      </c>
      <c r="D954" t="s">
        <v>2241</v>
      </c>
      <c r="E954" t="s">
        <v>2242</v>
      </c>
      <c r="F954">
        <v>18588</v>
      </c>
      <c r="G954">
        <v>5448</v>
      </c>
      <c r="H954" s="32">
        <f t="shared" si="14"/>
        <v>3.4118942731277535</v>
      </c>
      <c r="I954">
        <v>1</v>
      </c>
      <c r="J954" t="s">
        <v>21</v>
      </c>
    </row>
    <row r="955" spans="1:10" x14ac:dyDescent="0.25">
      <c r="A955">
        <v>61157</v>
      </c>
      <c r="B955" t="s">
        <v>3950</v>
      </c>
      <c r="C955" t="s">
        <v>708</v>
      </c>
      <c r="D955" t="s">
        <v>2241</v>
      </c>
      <c r="E955" t="s">
        <v>2242</v>
      </c>
      <c r="F955">
        <v>27824</v>
      </c>
      <c r="G955">
        <v>8155</v>
      </c>
      <c r="H955" s="32">
        <f t="shared" si="14"/>
        <v>3.4118945432250154</v>
      </c>
      <c r="I955">
        <v>1</v>
      </c>
      <c r="J955" t="s">
        <v>21</v>
      </c>
    </row>
    <row r="956" spans="1:10" x14ac:dyDescent="0.25">
      <c r="A956">
        <v>62720</v>
      </c>
      <c r="B956" t="s">
        <v>4214</v>
      </c>
      <c r="C956" t="s">
        <v>307</v>
      </c>
      <c r="D956" t="s">
        <v>2241</v>
      </c>
      <c r="E956" t="s">
        <v>2242</v>
      </c>
      <c r="F956">
        <v>13825</v>
      </c>
      <c r="G956">
        <v>4052</v>
      </c>
      <c r="H956" s="32">
        <f t="shared" si="14"/>
        <v>3.4118953603158935</v>
      </c>
      <c r="I956">
        <v>1</v>
      </c>
      <c r="J956" t="s">
        <v>21</v>
      </c>
    </row>
    <row r="957" spans="1:10" x14ac:dyDescent="0.25">
      <c r="A957">
        <v>61220</v>
      </c>
      <c r="B957" t="s">
        <v>3963</v>
      </c>
      <c r="C957" t="s">
        <v>708</v>
      </c>
      <c r="D957" t="s">
        <v>2241</v>
      </c>
      <c r="E957" t="s">
        <v>2242</v>
      </c>
      <c r="F957">
        <v>30574</v>
      </c>
      <c r="G957">
        <v>8961</v>
      </c>
      <c r="H957" s="32">
        <f t="shared" si="14"/>
        <v>3.4118959937506976</v>
      </c>
      <c r="I957">
        <v>1</v>
      </c>
      <c r="J957" t="s">
        <v>21</v>
      </c>
    </row>
    <row r="958" spans="1:10" x14ac:dyDescent="0.25">
      <c r="A958">
        <v>60363</v>
      </c>
      <c r="B958" t="s">
        <v>3744</v>
      </c>
      <c r="C958" t="s">
        <v>708</v>
      </c>
      <c r="D958" t="s">
        <v>2241</v>
      </c>
      <c r="E958" t="s">
        <v>2242</v>
      </c>
      <c r="F958">
        <v>25985</v>
      </c>
      <c r="G958">
        <v>7616</v>
      </c>
      <c r="H958" s="32">
        <f t="shared" si="14"/>
        <v>3.4118960084033612</v>
      </c>
      <c r="I958">
        <v>1</v>
      </c>
      <c r="J958" t="s">
        <v>21</v>
      </c>
    </row>
    <row r="959" spans="1:10" x14ac:dyDescent="0.25">
      <c r="A959">
        <v>59645</v>
      </c>
      <c r="B959" t="s">
        <v>3547</v>
      </c>
      <c r="C959" t="s">
        <v>708</v>
      </c>
      <c r="D959" t="s">
        <v>2241</v>
      </c>
      <c r="E959" t="s">
        <v>2242</v>
      </c>
      <c r="F959">
        <v>19847</v>
      </c>
      <c r="G959">
        <v>5817</v>
      </c>
      <c r="H959" s="32">
        <f t="shared" si="14"/>
        <v>3.4118961664088019</v>
      </c>
      <c r="I959">
        <v>1</v>
      </c>
      <c r="J959" t="s">
        <v>21</v>
      </c>
    </row>
    <row r="960" spans="1:10" x14ac:dyDescent="0.25">
      <c r="A960">
        <v>63991</v>
      </c>
      <c r="B960" t="s">
        <v>4464</v>
      </c>
      <c r="C960" t="s">
        <v>166</v>
      </c>
      <c r="D960" t="s">
        <v>2241</v>
      </c>
      <c r="E960" t="s">
        <v>2242</v>
      </c>
      <c r="F960">
        <v>15258</v>
      </c>
      <c r="G960">
        <v>4472</v>
      </c>
      <c r="H960" s="32">
        <f t="shared" si="14"/>
        <v>3.4118962432915922</v>
      </c>
      <c r="I960">
        <v>1</v>
      </c>
      <c r="J960" t="s">
        <v>21</v>
      </c>
    </row>
    <row r="961" spans="1:10" x14ac:dyDescent="0.25">
      <c r="A961">
        <v>67125</v>
      </c>
      <c r="B961" t="s">
        <v>5037</v>
      </c>
      <c r="C961" t="s">
        <v>2029</v>
      </c>
      <c r="D961" t="s">
        <v>2241</v>
      </c>
      <c r="E961" t="s">
        <v>2242</v>
      </c>
      <c r="F961">
        <v>9120</v>
      </c>
      <c r="G961">
        <v>2673</v>
      </c>
      <c r="H961" s="32">
        <f t="shared" si="14"/>
        <v>3.4118967452300786</v>
      </c>
      <c r="I961">
        <v>1</v>
      </c>
      <c r="J961" t="s">
        <v>21</v>
      </c>
    </row>
    <row r="962" spans="1:10" x14ac:dyDescent="0.25">
      <c r="A962">
        <v>59503</v>
      </c>
      <c r="B962" t="s">
        <v>3479</v>
      </c>
      <c r="C962" t="s">
        <v>708</v>
      </c>
      <c r="D962" t="s">
        <v>2241</v>
      </c>
      <c r="E962" t="s">
        <v>2242</v>
      </c>
      <c r="F962">
        <v>28851</v>
      </c>
      <c r="G962">
        <v>8456</v>
      </c>
      <c r="H962" s="32">
        <f t="shared" ref="H962:H1025" si="15">IF(AND(F962&gt;0,G962&gt;0),F962/G962,"")</f>
        <v>3.4118968779564804</v>
      </c>
      <c r="I962">
        <v>1</v>
      </c>
      <c r="J962" t="s">
        <v>21</v>
      </c>
    </row>
    <row r="963" spans="1:10" x14ac:dyDescent="0.25">
      <c r="A963">
        <v>58311</v>
      </c>
      <c r="B963" t="s">
        <v>3142</v>
      </c>
      <c r="C963" t="s">
        <v>708</v>
      </c>
      <c r="D963" t="s">
        <v>2241</v>
      </c>
      <c r="E963" t="s">
        <v>2242</v>
      </c>
      <c r="F963">
        <v>27302</v>
      </c>
      <c r="G963">
        <v>8002</v>
      </c>
      <c r="H963" s="32">
        <f t="shared" si="15"/>
        <v>3.4118970257435639</v>
      </c>
      <c r="I963">
        <v>1</v>
      </c>
      <c r="J963" t="s">
        <v>21</v>
      </c>
    </row>
    <row r="964" spans="1:10" x14ac:dyDescent="0.25">
      <c r="A964">
        <v>60761</v>
      </c>
      <c r="B964" t="s">
        <v>3860</v>
      </c>
      <c r="C964" t="s">
        <v>708</v>
      </c>
      <c r="D964" t="s">
        <v>2241</v>
      </c>
      <c r="E964" t="s">
        <v>2242</v>
      </c>
      <c r="F964">
        <v>33266</v>
      </c>
      <c r="G964">
        <v>9750</v>
      </c>
      <c r="H964" s="32">
        <f t="shared" si="15"/>
        <v>3.4118974358974361</v>
      </c>
      <c r="I964">
        <v>1</v>
      </c>
      <c r="J964" t="s">
        <v>21</v>
      </c>
    </row>
    <row r="965" spans="1:10" x14ac:dyDescent="0.25">
      <c r="A965">
        <v>58401</v>
      </c>
      <c r="B965" t="s">
        <v>3187</v>
      </c>
      <c r="C965" t="s">
        <v>2029</v>
      </c>
      <c r="D965" t="s">
        <v>2241</v>
      </c>
      <c r="E965" t="s">
        <v>2242</v>
      </c>
      <c r="F965">
        <v>42328</v>
      </c>
      <c r="G965">
        <v>12406</v>
      </c>
      <c r="H965" s="32">
        <f t="shared" si="15"/>
        <v>3.4118974689666293</v>
      </c>
      <c r="I965">
        <v>1</v>
      </c>
      <c r="J965" t="s">
        <v>21</v>
      </c>
    </row>
    <row r="966" spans="1:10" x14ac:dyDescent="0.25">
      <c r="A966">
        <v>65548</v>
      </c>
      <c r="B966" t="s">
        <v>4765</v>
      </c>
      <c r="C966" t="s">
        <v>708</v>
      </c>
      <c r="D966" t="s">
        <v>2241</v>
      </c>
      <c r="E966" t="s">
        <v>2242</v>
      </c>
      <c r="F966">
        <v>31543</v>
      </c>
      <c r="G966">
        <v>9245</v>
      </c>
      <c r="H966" s="32">
        <f t="shared" si="15"/>
        <v>3.4118983234180638</v>
      </c>
      <c r="I966">
        <v>1</v>
      </c>
      <c r="J966" t="s">
        <v>21</v>
      </c>
    </row>
    <row r="967" spans="1:10" x14ac:dyDescent="0.25">
      <c r="A967">
        <v>59177</v>
      </c>
      <c r="B967" t="s">
        <v>3411</v>
      </c>
      <c r="C967" t="s">
        <v>708</v>
      </c>
      <c r="D967" t="s">
        <v>2241</v>
      </c>
      <c r="E967" t="s">
        <v>2242</v>
      </c>
      <c r="F967">
        <v>28329</v>
      </c>
      <c r="G967">
        <v>8303</v>
      </c>
      <c r="H967" s="32">
        <f t="shared" si="15"/>
        <v>3.4118993135011442</v>
      </c>
      <c r="I967">
        <v>1</v>
      </c>
      <c r="J967" t="s">
        <v>21</v>
      </c>
    </row>
    <row r="968" spans="1:10" x14ac:dyDescent="0.25">
      <c r="A968">
        <v>69326</v>
      </c>
      <c r="B968" t="s">
        <v>5354</v>
      </c>
      <c r="C968" t="s">
        <v>166</v>
      </c>
      <c r="D968" t="s">
        <v>2241</v>
      </c>
      <c r="E968" t="s">
        <v>2242</v>
      </c>
      <c r="F968">
        <v>4473</v>
      </c>
      <c r="G968">
        <v>1311</v>
      </c>
      <c r="H968" s="32">
        <f t="shared" si="15"/>
        <v>3.4118993135011442</v>
      </c>
      <c r="I968">
        <v>1</v>
      </c>
      <c r="J968" t="s">
        <v>21</v>
      </c>
    </row>
    <row r="969" spans="1:10" x14ac:dyDescent="0.25">
      <c r="A969">
        <v>70284</v>
      </c>
      <c r="B969" t="s">
        <v>5446</v>
      </c>
      <c r="C969" t="s">
        <v>307</v>
      </c>
      <c r="D969" t="s">
        <v>2241</v>
      </c>
      <c r="E969" t="s">
        <v>2242</v>
      </c>
      <c r="F969">
        <v>16343</v>
      </c>
      <c r="G969">
        <v>4790</v>
      </c>
      <c r="H969" s="32">
        <f t="shared" si="15"/>
        <v>3.4118997912317326</v>
      </c>
      <c r="I969">
        <v>1</v>
      </c>
      <c r="J969" t="s">
        <v>21</v>
      </c>
    </row>
    <row r="970" spans="1:10" x14ac:dyDescent="0.25">
      <c r="A970">
        <v>65984</v>
      </c>
      <c r="B970" t="s">
        <v>4825</v>
      </c>
      <c r="C970" t="s">
        <v>307</v>
      </c>
      <c r="D970" t="s">
        <v>2241</v>
      </c>
      <c r="E970" t="s">
        <v>2242</v>
      </c>
      <c r="F970">
        <v>11812</v>
      </c>
      <c r="G970">
        <v>3462</v>
      </c>
      <c r="H970" s="32">
        <f t="shared" si="15"/>
        <v>3.4119006354708259</v>
      </c>
      <c r="I970">
        <v>1</v>
      </c>
      <c r="J970" t="s">
        <v>21</v>
      </c>
    </row>
    <row r="971" spans="1:10" x14ac:dyDescent="0.25">
      <c r="A971">
        <v>63526</v>
      </c>
      <c r="B971" t="s">
        <v>4370</v>
      </c>
      <c r="C971" t="s">
        <v>307</v>
      </c>
      <c r="D971" t="s">
        <v>2241</v>
      </c>
      <c r="E971" t="s">
        <v>2242</v>
      </c>
      <c r="F971">
        <v>8830</v>
      </c>
      <c r="G971">
        <v>2588</v>
      </c>
      <c r="H971" s="32">
        <f t="shared" si="15"/>
        <v>3.4119010819165378</v>
      </c>
      <c r="I971">
        <v>1</v>
      </c>
      <c r="J971" t="s">
        <v>21</v>
      </c>
    </row>
    <row r="972" spans="1:10" x14ac:dyDescent="0.25">
      <c r="A972">
        <v>68602</v>
      </c>
      <c r="B972" t="s">
        <v>5248</v>
      </c>
      <c r="C972" t="s">
        <v>708</v>
      </c>
      <c r="D972" t="s">
        <v>2241</v>
      </c>
      <c r="E972" t="s">
        <v>2242</v>
      </c>
      <c r="F972">
        <v>16169</v>
      </c>
      <c r="G972">
        <v>4739</v>
      </c>
      <c r="H972" s="32">
        <f t="shared" si="15"/>
        <v>3.4119012449883943</v>
      </c>
      <c r="I972">
        <v>1</v>
      </c>
      <c r="J972" t="s">
        <v>21</v>
      </c>
    </row>
    <row r="973" spans="1:10" x14ac:dyDescent="0.25">
      <c r="A973">
        <v>70245</v>
      </c>
      <c r="B973" t="s">
        <v>5423</v>
      </c>
      <c r="C973" t="s">
        <v>166</v>
      </c>
      <c r="D973" t="s">
        <v>2241</v>
      </c>
      <c r="E973" t="s">
        <v>2242</v>
      </c>
      <c r="F973">
        <v>11754</v>
      </c>
      <c r="G973">
        <v>3445</v>
      </c>
      <c r="H973" s="32">
        <f t="shared" si="15"/>
        <v>3.4119013062409289</v>
      </c>
      <c r="I973">
        <v>1</v>
      </c>
      <c r="J973" t="s">
        <v>21</v>
      </c>
    </row>
    <row r="974" spans="1:10" x14ac:dyDescent="0.25">
      <c r="A974">
        <v>58673</v>
      </c>
      <c r="B974" t="s">
        <v>3250</v>
      </c>
      <c r="C974" t="s">
        <v>708</v>
      </c>
      <c r="D974" t="s">
        <v>2241</v>
      </c>
      <c r="E974" t="s">
        <v>2242</v>
      </c>
      <c r="F974">
        <v>21901</v>
      </c>
      <c r="G974">
        <v>6419</v>
      </c>
      <c r="H974" s="32">
        <f t="shared" si="15"/>
        <v>3.4119021654463313</v>
      </c>
      <c r="I974">
        <v>1</v>
      </c>
      <c r="J974" t="s">
        <v>21</v>
      </c>
    </row>
    <row r="975" spans="1:10" x14ac:dyDescent="0.25">
      <c r="A975">
        <v>69374</v>
      </c>
      <c r="B975" t="s">
        <v>5356</v>
      </c>
      <c r="C975" t="s">
        <v>143</v>
      </c>
      <c r="D975" t="s">
        <v>2241</v>
      </c>
      <c r="E975" t="s">
        <v>2242</v>
      </c>
      <c r="F975">
        <v>7281</v>
      </c>
      <c r="G975">
        <v>2134</v>
      </c>
      <c r="H975" s="32">
        <f t="shared" si="15"/>
        <v>3.4119025304592316</v>
      </c>
      <c r="I975">
        <v>1</v>
      </c>
      <c r="J975" t="s">
        <v>21</v>
      </c>
    </row>
    <row r="976" spans="1:10" x14ac:dyDescent="0.25">
      <c r="A976">
        <v>65800</v>
      </c>
      <c r="B976" t="s">
        <v>4806</v>
      </c>
      <c r="C976" t="s">
        <v>166</v>
      </c>
      <c r="D976" t="s">
        <v>2241</v>
      </c>
      <c r="E976" t="s">
        <v>2242</v>
      </c>
      <c r="F976">
        <v>15995</v>
      </c>
      <c r="G976">
        <v>4688</v>
      </c>
      <c r="H976" s="32">
        <f t="shared" si="15"/>
        <v>3.4119027303754268</v>
      </c>
      <c r="I976">
        <v>1</v>
      </c>
      <c r="J976" t="s">
        <v>21</v>
      </c>
    </row>
    <row r="977" spans="1:10" x14ac:dyDescent="0.25">
      <c r="A977">
        <v>62173</v>
      </c>
      <c r="B977" t="s">
        <v>4128</v>
      </c>
      <c r="C977" t="s">
        <v>2029</v>
      </c>
      <c r="D977" t="s">
        <v>2241</v>
      </c>
      <c r="E977" t="s">
        <v>2242</v>
      </c>
      <c r="F977">
        <v>24709</v>
      </c>
      <c r="G977">
        <v>7242</v>
      </c>
      <c r="H977" s="32">
        <f t="shared" si="15"/>
        <v>3.4119027892847278</v>
      </c>
      <c r="I977">
        <v>1</v>
      </c>
      <c r="J977" t="s">
        <v>21</v>
      </c>
    </row>
    <row r="978" spans="1:10" x14ac:dyDescent="0.25">
      <c r="A978">
        <v>67107</v>
      </c>
      <c r="B978" t="s">
        <v>5031</v>
      </c>
      <c r="C978" t="s">
        <v>166</v>
      </c>
      <c r="D978" t="s">
        <v>2241</v>
      </c>
      <c r="E978" t="s">
        <v>2242</v>
      </c>
      <c r="F978">
        <v>13071</v>
      </c>
      <c r="G978">
        <v>3831</v>
      </c>
      <c r="H978" s="32">
        <f t="shared" si="15"/>
        <v>3.4119028974158185</v>
      </c>
      <c r="I978">
        <v>1</v>
      </c>
      <c r="J978" t="s">
        <v>21</v>
      </c>
    </row>
    <row r="979" spans="1:10" x14ac:dyDescent="0.25">
      <c r="A979">
        <v>61535</v>
      </c>
      <c r="B979" t="s">
        <v>4034</v>
      </c>
      <c r="C979" t="s">
        <v>708</v>
      </c>
      <c r="D979" t="s">
        <v>2241</v>
      </c>
      <c r="E979" t="s">
        <v>2242</v>
      </c>
      <c r="F979">
        <v>30441</v>
      </c>
      <c r="G979">
        <v>8922</v>
      </c>
      <c r="H979" s="32">
        <f t="shared" si="15"/>
        <v>3.4119031607262946</v>
      </c>
      <c r="I979">
        <v>1</v>
      </c>
      <c r="J979" t="s">
        <v>21</v>
      </c>
    </row>
    <row r="980" spans="1:10" x14ac:dyDescent="0.25">
      <c r="A980">
        <v>67688</v>
      </c>
      <c r="B980" t="s">
        <v>5145</v>
      </c>
      <c r="C980" t="s">
        <v>166</v>
      </c>
      <c r="D980" t="s">
        <v>2241</v>
      </c>
      <c r="E980" t="s">
        <v>2242</v>
      </c>
      <c r="F980">
        <v>15937</v>
      </c>
      <c r="G980">
        <v>4671</v>
      </c>
      <c r="H980" s="32">
        <f t="shared" si="15"/>
        <v>3.4119032327124814</v>
      </c>
      <c r="I980">
        <v>1</v>
      </c>
      <c r="J980" t="s">
        <v>21</v>
      </c>
    </row>
    <row r="981" spans="1:10" x14ac:dyDescent="0.25">
      <c r="A981">
        <v>67689</v>
      </c>
      <c r="B981" t="s">
        <v>5146</v>
      </c>
      <c r="C981" t="s">
        <v>166</v>
      </c>
      <c r="D981" t="s">
        <v>2241</v>
      </c>
      <c r="E981" t="s">
        <v>2242</v>
      </c>
      <c r="F981">
        <v>15937</v>
      </c>
      <c r="G981">
        <v>4671</v>
      </c>
      <c r="H981" s="32">
        <f t="shared" si="15"/>
        <v>3.4119032327124814</v>
      </c>
      <c r="I981">
        <v>1</v>
      </c>
      <c r="J981" t="s">
        <v>21</v>
      </c>
    </row>
    <row r="982" spans="1:10" x14ac:dyDescent="0.25">
      <c r="A982">
        <v>58846</v>
      </c>
      <c r="B982" t="s">
        <v>3304</v>
      </c>
      <c r="C982" t="s">
        <v>708</v>
      </c>
      <c r="D982" t="s">
        <v>2241</v>
      </c>
      <c r="E982" t="s">
        <v>2242</v>
      </c>
      <c r="F982">
        <v>27459</v>
      </c>
      <c r="G982">
        <v>8048</v>
      </c>
      <c r="H982" s="32">
        <f t="shared" si="15"/>
        <v>3.4119035785288272</v>
      </c>
      <c r="I982">
        <v>1</v>
      </c>
      <c r="J982" t="s">
        <v>21</v>
      </c>
    </row>
    <row r="983" spans="1:10" x14ac:dyDescent="0.25">
      <c r="A983">
        <v>64117</v>
      </c>
      <c r="B983" t="s">
        <v>4489</v>
      </c>
      <c r="C983" t="s">
        <v>708</v>
      </c>
      <c r="D983" t="s">
        <v>2241</v>
      </c>
      <c r="E983" t="s">
        <v>2242</v>
      </c>
      <c r="F983">
        <v>31758</v>
      </c>
      <c r="G983">
        <v>9308</v>
      </c>
      <c r="H983" s="32">
        <f t="shared" si="15"/>
        <v>3.4119037387193814</v>
      </c>
      <c r="I983">
        <v>1</v>
      </c>
      <c r="J983" t="s">
        <v>21</v>
      </c>
    </row>
    <row r="984" spans="1:10" x14ac:dyDescent="0.25">
      <c r="A984">
        <v>63974</v>
      </c>
      <c r="B984" t="s">
        <v>4457</v>
      </c>
      <c r="C984" t="s">
        <v>708</v>
      </c>
      <c r="D984" t="s">
        <v>2241</v>
      </c>
      <c r="E984" t="s">
        <v>2242</v>
      </c>
      <c r="F984">
        <v>21611</v>
      </c>
      <c r="G984">
        <v>6334</v>
      </c>
      <c r="H984" s="32">
        <f t="shared" si="15"/>
        <v>3.4119040101041995</v>
      </c>
      <c r="I984">
        <v>1</v>
      </c>
      <c r="J984" t="s">
        <v>21</v>
      </c>
    </row>
    <row r="985" spans="1:10" x14ac:dyDescent="0.25">
      <c r="A985">
        <v>58793</v>
      </c>
      <c r="B985" t="s">
        <v>3280</v>
      </c>
      <c r="C985" t="s">
        <v>241</v>
      </c>
      <c r="D985" t="s">
        <v>2241</v>
      </c>
      <c r="E985" t="s">
        <v>2242</v>
      </c>
      <c r="F985">
        <v>37316</v>
      </c>
      <c r="G985">
        <v>10937</v>
      </c>
      <c r="H985" s="32">
        <f t="shared" si="15"/>
        <v>3.4119045442077351</v>
      </c>
      <c r="I985">
        <v>1</v>
      </c>
      <c r="J985" t="s">
        <v>21</v>
      </c>
    </row>
    <row r="986" spans="1:10" x14ac:dyDescent="0.25">
      <c r="A986">
        <v>60396</v>
      </c>
      <c r="B986" t="s">
        <v>3759</v>
      </c>
      <c r="C986" t="s">
        <v>708</v>
      </c>
      <c r="D986" t="s">
        <v>2241</v>
      </c>
      <c r="E986" t="s">
        <v>2242</v>
      </c>
      <c r="F986">
        <v>24303</v>
      </c>
      <c r="G986">
        <v>7123</v>
      </c>
      <c r="H986" s="32">
        <f t="shared" si="15"/>
        <v>3.4119050961673452</v>
      </c>
      <c r="I986">
        <v>1</v>
      </c>
      <c r="J986" t="s">
        <v>21</v>
      </c>
    </row>
    <row r="987" spans="1:10" x14ac:dyDescent="0.25">
      <c r="A987">
        <v>59446</v>
      </c>
      <c r="B987" t="s">
        <v>3458</v>
      </c>
      <c r="C987" t="s">
        <v>241</v>
      </c>
      <c r="D987" t="s">
        <v>2241</v>
      </c>
      <c r="E987" t="s">
        <v>2242</v>
      </c>
      <c r="F987">
        <v>22870</v>
      </c>
      <c r="G987">
        <v>6703</v>
      </c>
      <c r="H987" s="32">
        <f t="shared" si="15"/>
        <v>3.4119051171117412</v>
      </c>
      <c r="I987">
        <v>1</v>
      </c>
      <c r="J987" t="s">
        <v>21</v>
      </c>
    </row>
    <row r="988" spans="1:10" x14ac:dyDescent="0.25">
      <c r="A988">
        <v>64450</v>
      </c>
      <c r="B988" t="s">
        <v>4565</v>
      </c>
      <c r="C988" t="s">
        <v>708</v>
      </c>
      <c r="D988" t="s">
        <v>2241</v>
      </c>
      <c r="E988" t="s">
        <v>2242</v>
      </c>
      <c r="F988">
        <v>32843</v>
      </c>
      <c r="G988">
        <v>9626</v>
      </c>
      <c r="H988" s="32">
        <f t="shared" si="15"/>
        <v>3.4119052565967172</v>
      </c>
      <c r="I988">
        <v>1</v>
      </c>
      <c r="J988" t="s">
        <v>21</v>
      </c>
    </row>
    <row r="989" spans="1:10" x14ac:dyDescent="0.25">
      <c r="A989">
        <v>58862</v>
      </c>
      <c r="B989" t="s">
        <v>3315</v>
      </c>
      <c r="C989" t="s">
        <v>708</v>
      </c>
      <c r="D989" t="s">
        <v>2241</v>
      </c>
      <c r="E989" t="s">
        <v>2242</v>
      </c>
      <c r="F989">
        <v>29977</v>
      </c>
      <c r="G989">
        <v>8786</v>
      </c>
      <c r="H989" s="32">
        <f t="shared" si="15"/>
        <v>3.4119053038925564</v>
      </c>
      <c r="I989">
        <v>1</v>
      </c>
      <c r="J989" t="s">
        <v>21</v>
      </c>
    </row>
    <row r="990" spans="1:10" x14ac:dyDescent="0.25">
      <c r="A990">
        <v>63299</v>
      </c>
      <c r="B990" t="s">
        <v>4323</v>
      </c>
      <c r="C990" t="s">
        <v>708</v>
      </c>
      <c r="D990" t="s">
        <v>2241</v>
      </c>
      <c r="E990" t="s">
        <v>2242</v>
      </c>
      <c r="F990">
        <v>9973</v>
      </c>
      <c r="G990">
        <v>2923</v>
      </c>
      <c r="H990" s="32">
        <f t="shared" si="15"/>
        <v>3.4119055764625386</v>
      </c>
      <c r="I990">
        <v>1</v>
      </c>
      <c r="J990" t="s">
        <v>21</v>
      </c>
    </row>
    <row r="991" spans="1:10" x14ac:dyDescent="0.25">
      <c r="A991">
        <v>62325</v>
      </c>
      <c r="B991" t="s">
        <v>4142</v>
      </c>
      <c r="C991" t="s">
        <v>241</v>
      </c>
      <c r="D991" t="s">
        <v>2241</v>
      </c>
      <c r="E991" t="s">
        <v>2242</v>
      </c>
      <c r="F991">
        <v>8540</v>
      </c>
      <c r="G991">
        <v>2503</v>
      </c>
      <c r="H991" s="32">
        <f t="shared" si="15"/>
        <v>3.4119057131442267</v>
      </c>
      <c r="I991">
        <v>1</v>
      </c>
      <c r="J991" t="s">
        <v>21</v>
      </c>
    </row>
    <row r="992" spans="1:10" x14ac:dyDescent="0.25">
      <c r="A992">
        <v>60779</v>
      </c>
      <c r="B992" t="s">
        <v>3870</v>
      </c>
      <c r="C992" t="s">
        <v>708</v>
      </c>
      <c r="D992" t="s">
        <v>2241</v>
      </c>
      <c r="E992" t="s">
        <v>2242</v>
      </c>
      <c r="F992">
        <v>31294</v>
      </c>
      <c r="G992">
        <v>9172</v>
      </c>
      <c r="H992" s="32">
        <f t="shared" si="15"/>
        <v>3.4119058002616658</v>
      </c>
      <c r="I992">
        <v>1</v>
      </c>
      <c r="J992" t="s">
        <v>21</v>
      </c>
    </row>
    <row r="993" spans="1:10" x14ac:dyDescent="0.25">
      <c r="A993">
        <v>58810</v>
      </c>
      <c r="B993" t="s">
        <v>3292</v>
      </c>
      <c r="C993" t="s">
        <v>708</v>
      </c>
      <c r="D993" t="s">
        <v>2241</v>
      </c>
      <c r="E993" t="s">
        <v>2242</v>
      </c>
      <c r="F993">
        <v>26705</v>
      </c>
      <c r="G993">
        <v>7827</v>
      </c>
      <c r="H993" s="32">
        <f t="shared" si="15"/>
        <v>3.4119074996805927</v>
      </c>
      <c r="I993">
        <v>1</v>
      </c>
      <c r="J993" t="s">
        <v>21</v>
      </c>
    </row>
    <row r="994" spans="1:10" x14ac:dyDescent="0.25">
      <c r="A994">
        <v>70287</v>
      </c>
      <c r="B994" t="s">
        <v>5449</v>
      </c>
      <c r="C994" t="s">
        <v>166</v>
      </c>
      <c r="D994" t="s">
        <v>2241</v>
      </c>
      <c r="E994" t="s">
        <v>2242</v>
      </c>
      <c r="F994">
        <v>5616</v>
      </c>
      <c r="G994">
        <v>1646</v>
      </c>
      <c r="H994" s="32">
        <f t="shared" si="15"/>
        <v>3.4119076549210208</v>
      </c>
      <c r="I994">
        <v>1</v>
      </c>
      <c r="J994" t="s">
        <v>21</v>
      </c>
    </row>
    <row r="995" spans="1:10" x14ac:dyDescent="0.25">
      <c r="A995">
        <v>59831</v>
      </c>
      <c r="B995" t="s">
        <v>3591</v>
      </c>
      <c r="C995" t="s">
        <v>708</v>
      </c>
      <c r="D995" t="s">
        <v>2241</v>
      </c>
      <c r="E995" t="s">
        <v>2242</v>
      </c>
      <c r="F995">
        <v>30772</v>
      </c>
      <c r="G995">
        <v>9019</v>
      </c>
      <c r="H995" s="32">
        <f t="shared" si="15"/>
        <v>3.4119081938130611</v>
      </c>
      <c r="I995">
        <v>1</v>
      </c>
      <c r="J995" t="s">
        <v>21</v>
      </c>
    </row>
    <row r="996" spans="1:10" x14ac:dyDescent="0.25">
      <c r="A996">
        <v>61085</v>
      </c>
      <c r="B996" t="s">
        <v>3931</v>
      </c>
      <c r="C996" t="s">
        <v>708</v>
      </c>
      <c r="D996" t="s">
        <v>2241</v>
      </c>
      <c r="E996" t="s">
        <v>2242</v>
      </c>
      <c r="F996">
        <v>27906</v>
      </c>
      <c r="G996">
        <v>8179</v>
      </c>
      <c r="H996" s="32">
        <f t="shared" si="15"/>
        <v>3.4119085462770511</v>
      </c>
      <c r="I996">
        <v>1</v>
      </c>
      <c r="J996" t="s">
        <v>21</v>
      </c>
    </row>
    <row r="997" spans="1:10" x14ac:dyDescent="0.25">
      <c r="A997">
        <v>58856</v>
      </c>
      <c r="B997" t="s">
        <v>3312</v>
      </c>
      <c r="C997" t="s">
        <v>708</v>
      </c>
      <c r="D997" t="s">
        <v>2241</v>
      </c>
      <c r="E997" t="s">
        <v>2242</v>
      </c>
      <c r="F997">
        <v>30656</v>
      </c>
      <c r="G997">
        <v>8985</v>
      </c>
      <c r="H997" s="32">
        <f t="shared" si="15"/>
        <v>3.4119087367835279</v>
      </c>
      <c r="I997">
        <v>1</v>
      </c>
      <c r="J997" t="s">
        <v>21</v>
      </c>
    </row>
    <row r="998" spans="1:10" x14ac:dyDescent="0.25">
      <c r="A998">
        <v>60783</v>
      </c>
      <c r="B998" t="s">
        <v>3872</v>
      </c>
      <c r="C998" t="s">
        <v>708</v>
      </c>
      <c r="D998" t="s">
        <v>2241</v>
      </c>
      <c r="E998" t="s">
        <v>2242</v>
      </c>
      <c r="F998">
        <v>25040</v>
      </c>
      <c r="G998">
        <v>7339</v>
      </c>
      <c r="H998" s="32">
        <f t="shared" si="15"/>
        <v>3.4119089794249899</v>
      </c>
      <c r="I998">
        <v>1</v>
      </c>
      <c r="J998" t="s">
        <v>21</v>
      </c>
    </row>
    <row r="999" spans="1:10" x14ac:dyDescent="0.25">
      <c r="A999">
        <v>66117</v>
      </c>
      <c r="B999" t="s">
        <v>4858</v>
      </c>
      <c r="C999" t="s">
        <v>201</v>
      </c>
      <c r="D999" t="s">
        <v>2241</v>
      </c>
      <c r="E999" t="s">
        <v>2242</v>
      </c>
      <c r="F999">
        <v>19192</v>
      </c>
      <c r="G999">
        <v>5625</v>
      </c>
      <c r="H999" s="32">
        <f t="shared" si="15"/>
        <v>3.4119111111111109</v>
      </c>
      <c r="I999">
        <v>1</v>
      </c>
      <c r="J999" t="s">
        <v>21</v>
      </c>
    </row>
    <row r="1000" spans="1:10" x14ac:dyDescent="0.25">
      <c r="A1000">
        <v>66078</v>
      </c>
      <c r="B1000" t="s">
        <v>4841</v>
      </c>
      <c r="C1000" t="s">
        <v>166</v>
      </c>
      <c r="D1000" t="s">
        <v>2241</v>
      </c>
      <c r="E1000" t="s">
        <v>2242</v>
      </c>
      <c r="F1000">
        <v>12317</v>
      </c>
      <c r="G1000">
        <v>3610</v>
      </c>
      <c r="H1000" s="32">
        <f t="shared" si="15"/>
        <v>3.41191135734072</v>
      </c>
      <c r="I1000">
        <v>1</v>
      </c>
      <c r="J1000" t="s">
        <v>21</v>
      </c>
    </row>
    <row r="1001" spans="1:10" x14ac:dyDescent="0.25">
      <c r="A1001">
        <v>59823</v>
      </c>
      <c r="B1001" t="s">
        <v>3586</v>
      </c>
      <c r="C1001" t="s">
        <v>131</v>
      </c>
      <c r="D1001" t="s">
        <v>2241</v>
      </c>
      <c r="E1001" t="s">
        <v>2242</v>
      </c>
      <c r="F1001">
        <v>10942</v>
      </c>
      <c r="G1001">
        <v>3207</v>
      </c>
      <c r="H1001" s="32">
        <f t="shared" si="15"/>
        <v>3.4119114437168694</v>
      </c>
      <c r="I1001">
        <v>1</v>
      </c>
      <c r="J1001" t="s">
        <v>21</v>
      </c>
    </row>
    <row r="1002" spans="1:10" x14ac:dyDescent="0.25">
      <c r="A1002">
        <v>67399</v>
      </c>
      <c r="B1002" t="s">
        <v>5092</v>
      </c>
      <c r="C1002" t="s">
        <v>307</v>
      </c>
      <c r="D1002" t="s">
        <v>2241</v>
      </c>
      <c r="E1002" t="s">
        <v>2242</v>
      </c>
      <c r="F1002">
        <v>10942</v>
      </c>
      <c r="G1002">
        <v>3207</v>
      </c>
      <c r="H1002" s="32">
        <f t="shared" si="15"/>
        <v>3.4119114437168694</v>
      </c>
      <c r="I1002">
        <v>1</v>
      </c>
      <c r="J1002" t="s">
        <v>21</v>
      </c>
    </row>
    <row r="1003" spans="1:10" x14ac:dyDescent="0.25">
      <c r="A1003">
        <v>65086</v>
      </c>
      <c r="B1003" t="s">
        <v>4683</v>
      </c>
      <c r="C1003" t="s">
        <v>131</v>
      </c>
      <c r="D1003" t="s">
        <v>2241</v>
      </c>
      <c r="E1003" t="s">
        <v>2242</v>
      </c>
      <c r="F1003">
        <v>43710</v>
      </c>
      <c r="G1003">
        <v>12811</v>
      </c>
      <c r="H1003" s="32">
        <f t="shared" si="15"/>
        <v>3.4119116384357193</v>
      </c>
      <c r="I1003">
        <v>1</v>
      </c>
      <c r="J1003" t="s">
        <v>21</v>
      </c>
    </row>
    <row r="1004" spans="1:10" x14ac:dyDescent="0.25">
      <c r="A1004">
        <v>68469</v>
      </c>
      <c r="B1004" t="s">
        <v>5237</v>
      </c>
      <c r="C1004" t="s">
        <v>166</v>
      </c>
      <c r="D1004" t="s">
        <v>2241</v>
      </c>
      <c r="E1004" t="s">
        <v>2242</v>
      </c>
      <c r="F1004">
        <v>15009</v>
      </c>
      <c r="G1004">
        <v>4399</v>
      </c>
      <c r="H1004" s="32">
        <f t="shared" si="15"/>
        <v>3.4119117981359399</v>
      </c>
      <c r="I1004">
        <v>1</v>
      </c>
      <c r="J1004" t="s">
        <v>21</v>
      </c>
    </row>
    <row r="1005" spans="1:10" x14ac:dyDescent="0.25">
      <c r="A1005">
        <v>59115</v>
      </c>
      <c r="B1005" t="s">
        <v>3380</v>
      </c>
      <c r="C1005" t="s">
        <v>708</v>
      </c>
      <c r="D1005" t="s">
        <v>2241</v>
      </c>
      <c r="E1005" t="s">
        <v>2242</v>
      </c>
      <c r="F1005">
        <v>13576</v>
      </c>
      <c r="G1005">
        <v>3979</v>
      </c>
      <c r="H1005" s="32">
        <f t="shared" si="15"/>
        <v>3.4119125408394071</v>
      </c>
      <c r="I1005">
        <v>1</v>
      </c>
      <c r="J1005" t="s">
        <v>21</v>
      </c>
    </row>
    <row r="1006" spans="1:10" x14ac:dyDescent="0.25">
      <c r="A1006">
        <v>63733</v>
      </c>
      <c r="B1006" t="s">
        <v>4401</v>
      </c>
      <c r="C1006" t="s">
        <v>708</v>
      </c>
      <c r="D1006" t="s">
        <v>2241</v>
      </c>
      <c r="E1006" t="s">
        <v>2242</v>
      </c>
      <c r="F1006">
        <v>32536</v>
      </c>
      <c r="G1006">
        <v>9536</v>
      </c>
      <c r="H1006" s="32">
        <f t="shared" si="15"/>
        <v>3.4119127516778525</v>
      </c>
      <c r="I1006">
        <v>1</v>
      </c>
      <c r="J1006" t="s">
        <v>21</v>
      </c>
    </row>
    <row r="1007" spans="1:10" x14ac:dyDescent="0.25">
      <c r="A1007">
        <v>59631</v>
      </c>
      <c r="B1007" t="s">
        <v>3542</v>
      </c>
      <c r="C1007" t="s">
        <v>241</v>
      </c>
      <c r="D1007" t="s">
        <v>2241</v>
      </c>
      <c r="E1007" t="s">
        <v>2242</v>
      </c>
      <c r="F1007">
        <v>35170</v>
      </c>
      <c r="G1007">
        <v>10308</v>
      </c>
      <c r="H1007" s="32">
        <f t="shared" si="15"/>
        <v>3.4119130772215756</v>
      </c>
      <c r="I1007">
        <v>1</v>
      </c>
      <c r="J1007" t="s">
        <v>21</v>
      </c>
    </row>
    <row r="1008" spans="1:10" x14ac:dyDescent="0.25">
      <c r="A1008">
        <v>60347</v>
      </c>
      <c r="B1008" t="s">
        <v>3739</v>
      </c>
      <c r="C1008" t="s">
        <v>250</v>
      </c>
      <c r="D1008" t="s">
        <v>2241</v>
      </c>
      <c r="E1008" t="s">
        <v>2242</v>
      </c>
      <c r="F1008">
        <v>68965</v>
      </c>
      <c r="G1008">
        <v>20213</v>
      </c>
      <c r="H1008" s="32">
        <f t="shared" si="15"/>
        <v>3.411913125216445</v>
      </c>
      <c r="I1008">
        <v>1</v>
      </c>
      <c r="J1008" t="s">
        <v>21</v>
      </c>
    </row>
    <row r="1009" spans="1:10" x14ac:dyDescent="0.25">
      <c r="A1009">
        <v>69316</v>
      </c>
      <c r="B1009" t="s">
        <v>5351</v>
      </c>
      <c r="C1009" t="s">
        <v>166</v>
      </c>
      <c r="D1009" t="s">
        <v>2241</v>
      </c>
      <c r="E1009" t="s">
        <v>2242</v>
      </c>
      <c r="F1009">
        <v>9451</v>
      </c>
      <c r="G1009">
        <v>2770</v>
      </c>
      <c r="H1009" s="32">
        <f t="shared" si="15"/>
        <v>3.4119133574007221</v>
      </c>
      <c r="I1009">
        <v>1</v>
      </c>
      <c r="J1009" t="s">
        <v>21</v>
      </c>
    </row>
    <row r="1010" spans="1:10" x14ac:dyDescent="0.25">
      <c r="A1010">
        <v>59105</v>
      </c>
      <c r="B1010" t="s">
        <v>3372</v>
      </c>
      <c r="C1010" t="s">
        <v>708</v>
      </c>
      <c r="D1010" t="s">
        <v>2241</v>
      </c>
      <c r="E1010" t="s">
        <v>2242</v>
      </c>
      <c r="F1010">
        <v>25603</v>
      </c>
      <c r="G1010">
        <v>7504</v>
      </c>
      <c r="H1010" s="32">
        <f t="shared" si="15"/>
        <v>3.4119136460554369</v>
      </c>
      <c r="I1010">
        <v>1</v>
      </c>
      <c r="J1010" t="s">
        <v>21</v>
      </c>
    </row>
    <row r="1011" spans="1:10" x14ac:dyDescent="0.25">
      <c r="A1011">
        <v>57640</v>
      </c>
      <c r="B1011" t="s">
        <v>3024</v>
      </c>
      <c r="C1011" t="s">
        <v>143</v>
      </c>
      <c r="D1011" t="s">
        <v>2241</v>
      </c>
      <c r="E1011" t="s">
        <v>2242</v>
      </c>
      <c r="F1011">
        <v>2692</v>
      </c>
      <c r="G1011">
        <v>789</v>
      </c>
      <c r="H1011" s="32">
        <f t="shared" si="15"/>
        <v>3.4119138149556401</v>
      </c>
      <c r="I1011">
        <v>1</v>
      </c>
      <c r="J1011" t="s">
        <v>21</v>
      </c>
    </row>
    <row r="1012" spans="1:10" x14ac:dyDescent="0.25">
      <c r="A1012">
        <v>67529</v>
      </c>
      <c r="B1012" t="s">
        <v>5109</v>
      </c>
      <c r="C1012" t="s">
        <v>201</v>
      </c>
      <c r="D1012" t="s">
        <v>2241</v>
      </c>
      <c r="E1012" t="s">
        <v>2242</v>
      </c>
      <c r="F1012">
        <v>18786</v>
      </c>
      <c r="G1012">
        <v>5506</v>
      </c>
      <c r="H1012" s="32">
        <f t="shared" si="15"/>
        <v>3.411914275335997</v>
      </c>
      <c r="I1012">
        <v>1</v>
      </c>
      <c r="J1012" t="s">
        <v>21</v>
      </c>
    </row>
    <row r="1013" spans="1:10" x14ac:dyDescent="0.25">
      <c r="A1013">
        <v>60252</v>
      </c>
      <c r="B1013" t="s">
        <v>3717</v>
      </c>
      <c r="C1013" t="s">
        <v>131</v>
      </c>
      <c r="D1013" t="s">
        <v>2241</v>
      </c>
      <c r="E1013" t="s">
        <v>2242</v>
      </c>
      <c r="F1013">
        <v>13402</v>
      </c>
      <c r="G1013">
        <v>3928</v>
      </c>
      <c r="H1013" s="32">
        <f t="shared" si="15"/>
        <v>3.4119144602851326</v>
      </c>
      <c r="I1013">
        <v>1</v>
      </c>
      <c r="J1013" t="s">
        <v>21</v>
      </c>
    </row>
    <row r="1014" spans="1:10" x14ac:dyDescent="0.25">
      <c r="A1014">
        <v>64439</v>
      </c>
      <c r="B1014" t="s">
        <v>4563</v>
      </c>
      <c r="C1014" t="s">
        <v>166</v>
      </c>
      <c r="D1014" t="s">
        <v>2241</v>
      </c>
      <c r="E1014" t="s">
        <v>2242</v>
      </c>
      <c r="F1014">
        <v>14719</v>
      </c>
      <c r="G1014">
        <v>4314</v>
      </c>
      <c r="H1014" s="32">
        <f t="shared" si="15"/>
        <v>3.4119146963375058</v>
      </c>
      <c r="I1014">
        <v>1</v>
      </c>
      <c r="J1014" t="s">
        <v>21</v>
      </c>
    </row>
    <row r="1015" spans="1:10" x14ac:dyDescent="0.25">
      <c r="A1015">
        <v>70253</v>
      </c>
      <c r="B1015" t="s">
        <v>5431</v>
      </c>
      <c r="C1015" t="s">
        <v>166</v>
      </c>
      <c r="D1015" t="s">
        <v>2241</v>
      </c>
      <c r="E1015" t="s">
        <v>2242</v>
      </c>
      <c r="F1015">
        <v>14719</v>
      </c>
      <c r="G1015">
        <v>4314</v>
      </c>
      <c r="H1015" s="32">
        <f t="shared" si="15"/>
        <v>3.4119146963375058</v>
      </c>
      <c r="I1015">
        <v>1</v>
      </c>
      <c r="J1015" t="s">
        <v>21</v>
      </c>
    </row>
    <row r="1016" spans="1:10" x14ac:dyDescent="0.25">
      <c r="A1016">
        <v>58453</v>
      </c>
      <c r="B1016" t="s">
        <v>3197</v>
      </c>
      <c r="C1016" t="s">
        <v>708</v>
      </c>
      <c r="D1016" t="s">
        <v>2241</v>
      </c>
      <c r="E1016" t="s">
        <v>2242</v>
      </c>
      <c r="F1016">
        <v>20045</v>
      </c>
      <c r="G1016">
        <v>5875</v>
      </c>
      <c r="H1016" s="32">
        <f t="shared" si="15"/>
        <v>3.4119148936170212</v>
      </c>
      <c r="I1016">
        <v>1</v>
      </c>
      <c r="J1016" t="s">
        <v>21</v>
      </c>
    </row>
    <row r="1017" spans="1:10" x14ac:dyDescent="0.25">
      <c r="A1017">
        <v>65803</v>
      </c>
      <c r="B1017" t="s">
        <v>4807</v>
      </c>
      <c r="C1017" t="s">
        <v>166</v>
      </c>
      <c r="D1017" t="s">
        <v>2241</v>
      </c>
      <c r="E1017" t="s">
        <v>2242</v>
      </c>
      <c r="F1017">
        <v>16036</v>
      </c>
      <c r="G1017">
        <v>4700</v>
      </c>
      <c r="H1017" s="32">
        <f t="shared" si="15"/>
        <v>3.4119148936170212</v>
      </c>
      <c r="I1017">
        <v>1</v>
      </c>
      <c r="J1017" t="s">
        <v>21</v>
      </c>
    </row>
    <row r="1018" spans="1:10" x14ac:dyDescent="0.25">
      <c r="A1018">
        <v>60393</v>
      </c>
      <c r="B1018" t="s">
        <v>3756</v>
      </c>
      <c r="C1018" t="s">
        <v>708</v>
      </c>
      <c r="D1018" t="s">
        <v>2241</v>
      </c>
      <c r="E1018" t="s">
        <v>2242</v>
      </c>
      <c r="F1018">
        <v>25371</v>
      </c>
      <c r="G1018">
        <v>7436</v>
      </c>
      <c r="H1018" s="32">
        <f t="shared" si="15"/>
        <v>3.4119150080688541</v>
      </c>
      <c r="I1018">
        <v>1</v>
      </c>
      <c r="J1018" t="s">
        <v>21</v>
      </c>
    </row>
    <row r="1019" spans="1:10" x14ac:dyDescent="0.25">
      <c r="A1019">
        <v>63445</v>
      </c>
      <c r="B1019" t="s">
        <v>4350</v>
      </c>
      <c r="C1019" t="s">
        <v>708</v>
      </c>
      <c r="D1019" t="s">
        <v>2241</v>
      </c>
      <c r="E1019" t="s">
        <v>2242</v>
      </c>
      <c r="F1019">
        <v>25313</v>
      </c>
      <c r="G1019">
        <v>7419</v>
      </c>
      <c r="H1019" s="32">
        <f t="shared" si="15"/>
        <v>3.411915352473379</v>
      </c>
      <c r="I1019">
        <v>1</v>
      </c>
      <c r="J1019" t="s">
        <v>21</v>
      </c>
    </row>
    <row r="1020" spans="1:10" x14ac:dyDescent="0.25">
      <c r="A1020">
        <v>57448</v>
      </c>
      <c r="B1020" t="s">
        <v>2995</v>
      </c>
      <c r="C1020" t="s">
        <v>241</v>
      </c>
      <c r="D1020" t="s">
        <v>2241</v>
      </c>
      <c r="E1020" t="s">
        <v>2242</v>
      </c>
      <c r="F1020">
        <v>41291</v>
      </c>
      <c r="G1020">
        <v>12102</v>
      </c>
      <c r="H1020" s="32">
        <f t="shared" si="15"/>
        <v>3.4119153858866302</v>
      </c>
      <c r="I1020">
        <v>1</v>
      </c>
      <c r="J1020" t="s">
        <v>21</v>
      </c>
    </row>
    <row r="1021" spans="1:10" x14ac:dyDescent="0.25">
      <c r="A1021">
        <v>64243</v>
      </c>
      <c r="B1021" t="s">
        <v>4521</v>
      </c>
      <c r="C1021" t="s">
        <v>166</v>
      </c>
      <c r="D1021" t="s">
        <v>2241</v>
      </c>
      <c r="E1021" t="s">
        <v>2242</v>
      </c>
      <c r="F1021">
        <v>13286</v>
      </c>
      <c r="G1021">
        <v>3894</v>
      </c>
      <c r="H1021" s="32">
        <f t="shared" si="15"/>
        <v>3.4119157678479715</v>
      </c>
      <c r="I1021">
        <v>1</v>
      </c>
      <c r="J1021" t="s">
        <v>21</v>
      </c>
    </row>
    <row r="1022" spans="1:10" x14ac:dyDescent="0.25">
      <c r="A1022">
        <v>60437</v>
      </c>
      <c r="B1022" t="s">
        <v>3776</v>
      </c>
      <c r="C1022" t="s">
        <v>241</v>
      </c>
      <c r="D1022" t="s">
        <v>2241</v>
      </c>
      <c r="E1022" t="s">
        <v>2242</v>
      </c>
      <c r="F1022">
        <v>14603</v>
      </c>
      <c r="G1022">
        <v>4280</v>
      </c>
      <c r="H1022" s="32">
        <f t="shared" si="15"/>
        <v>3.4119158878504674</v>
      </c>
      <c r="I1022">
        <v>1</v>
      </c>
      <c r="J1022" t="s">
        <v>21</v>
      </c>
    </row>
    <row r="1023" spans="1:10" x14ac:dyDescent="0.25">
      <c r="A1023">
        <v>56883</v>
      </c>
      <c r="B1023" t="s">
        <v>2916</v>
      </c>
      <c r="C1023" t="s">
        <v>241</v>
      </c>
      <c r="D1023" t="s">
        <v>2241</v>
      </c>
      <c r="E1023" t="s">
        <v>2242</v>
      </c>
      <c r="F1023">
        <v>15862</v>
      </c>
      <c r="G1023">
        <v>4649</v>
      </c>
      <c r="H1023" s="32">
        <f t="shared" si="15"/>
        <v>3.4119165411916543</v>
      </c>
      <c r="I1023">
        <v>1</v>
      </c>
      <c r="J1023" t="s">
        <v>21</v>
      </c>
    </row>
    <row r="1024" spans="1:10" x14ac:dyDescent="0.25">
      <c r="A1024">
        <v>59551</v>
      </c>
      <c r="B1024" t="s">
        <v>3507</v>
      </c>
      <c r="C1024" t="s">
        <v>708</v>
      </c>
      <c r="D1024" t="s">
        <v>2241</v>
      </c>
      <c r="E1024" t="s">
        <v>2242</v>
      </c>
      <c r="F1024">
        <v>19813</v>
      </c>
      <c r="G1024">
        <v>5807</v>
      </c>
      <c r="H1024" s="32">
        <f t="shared" si="15"/>
        <v>3.4119166523161701</v>
      </c>
      <c r="I1024">
        <v>1</v>
      </c>
      <c r="J1024" t="s">
        <v>21</v>
      </c>
    </row>
    <row r="1025" spans="1:10" x14ac:dyDescent="0.25">
      <c r="A1025">
        <v>63071</v>
      </c>
      <c r="B1025" t="s">
        <v>4285</v>
      </c>
      <c r="C1025" t="s">
        <v>166</v>
      </c>
      <c r="D1025" t="s">
        <v>2241</v>
      </c>
      <c r="E1025" t="s">
        <v>2242</v>
      </c>
      <c r="F1025">
        <v>6585</v>
      </c>
      <c r="G1025">
        <v>1930</v>
      </c>
      <c r="H1025" s="32">
        <f t="shared" si="15"/>
        <v>3.411917098445596</v>
      </c>
      <c r="I1025">
        <v>1</v>
      </c>
      <c r="J1025" t="s">
        <v>21</v>
      </c>
    </row>
    <row r="1026" spans="1:10" x14ac:dyDescent="0.25">
      <c r="A1026">
        <v>63198</v>
      </c>
      <c r="B1026" t="s">
        <v>4303</v>
      </c>
      <c r="C1026" t="s">
        <v>241</v>
      </c>
      <c r="D1026" t="s">
        <v>2241</v>
      </c>
      <c r="E1026" t="s">
        <v>2242</v>
      </c>
      <c r="F1026">
        <v>6585</v>
      </c>
      <c r="G1026">
        <v>1930</v>
      </c>
      <c r="H1026" s="32">
        <f t="shared" ref="H1026:H1089" si="16">IF(AND(F1026&gt;0,G1026&gt;0),F1026/G1026,"")</f>
        <v>3.411917098445596</v>
      </c>
      <c r="I1026">
        <v>1</v>
      </c>
      <c r="J1026" t="s">
        <v>21</v>
      </c>
    </row>
    <row r="1027" spans="1:10" x14ac:dyDescent="0.25">
      <c r="A1027">
        <v>68921</v>
      </c>
      <c r="B1027" t="s">
        <v>5277</v>
      </c>
      <c r="C1027" t="s">
        <v>166</v>
      </c>
      <c r="D1027" t="s">
        <v>2241</v>
      </c>
      <c r="E1027" t="s">
        <v>2242</v>
      </c>
      <c r="F1027">
        <v>1317</v>
      </c>
      <c r="G1027">
        <v>386</v>
      </c>
      <c r="H1027" s="32">
        <f t="shared" si="16"/>
        <v>3.411917098445596</v>
      </c>
      <c r="I1027">
        <v>1</v>
      </c>
      <c r="J1027" t="s">
        <v>21</v>
      </c>
    </row>
    <row r="1028" spans="1:10" x14ac:dyDescent="0.25">
      <c r="A1028">
        <v>63150</v>
      </c>
      <c r="B1028" t="s">
        <v>4298</v>
      </c>
      <c r="C1028" t="s">
        <v>241</v>
      </c>
      <c r="D1028" t="s">
        <v>2241</v>
      </c>
      <c r="E1028" t="s">
        <v>2242</v>
      </c>
      <c r="F1028">
        <v>42086</v>
      </c>
      <c r="G1028">
        <v>12335</v>
      </c>
      <c r="H1028" s="32">
        <f t="shared" si="16"/>
        <v>3.4119173084718279</v>
      </c>
      <c r="I1028">
        <v>1</v>
      </c>
      <c r="J1028" t="s">
        <v>21</v>
      </c>
    </row>
    <row r="1029" spans="1:10" x14ac:dyDescent="0.25">
      <c r="A1029">
        <v>59899</v>
      </c>
      <c r="B1029" t="s">
        <v>3610</v>
      </c>
      <c r="C1029" t="s">
        <v>708</v>
      </c>
      <c r="D1029" t="s">
        <v>2241</v>
      </c>
      <c r="E1029" t="s">
        <v>2242</v>
      </c>
      <c r="F1029">
        <v>32867</v>
      </c>
      <c r="G1029">
        <v>9633</v>
      </c>
      <c r="H1029" s="32">
        <f t="shared" si="16"/>
        <v>3.4119173673829546</v>
      </c>
      <c r="I1029">
        <v>1</v>
      </c>
      <c r="J1029" t="s">
        <v>21</v>
      </c>
    </row>
    <row r="1030" spans="1:10" x14ac:dyDescent="0.25">
      <c r="A1030">
        <v>65658</v>
      </c>
      <c r="B1030" t="s">
        <v>4790</v>
      </c>
      <c r="C1030" t="s">
        <v>241</v>
      </c>
      <c r="D1030" t="s">
        <v>2241</v>
      </c>
      <c r="E1030" t="s">
        <v>2242</v>
      </c>
      <c r="F1030">
        <v>31260</v>
      </c>
      <c r="G1030">
        <v>9162</v>
      </c>
      <c r="H1030" s="32">
        <f t="shared" si="16"/>
        <v>3.4119187950229208</v>
      </c>
      <c r="I1030">
        <v>1</v>
      </c>
      <c r="J1030" t="s">
        <v>21</v>
      </c>
    </row>
    <row r="1031" spans="1:10" x14ac:dyDescent="0.25">
      <c r="A1031">
        <v>69645</v>
      </c>
      <c r="B1031" t="s">
        <v>5386</v>
      </c>
      <c r="C1031" t="s">
        <v>166</v>
      </c>
      <c r="D1031" t="s">
        <v>2241</v>
      </c>
      <c r="E1031" t="s">
        <v>2242</v>
      </c>
      <c r="F1031">
        <v>3084</v>
      </c>
      <c r="G1031">
        <v>903.89</v>
      </c>
      <c r="H1031" s="32">
        <f t="shared" si="16"/>
        <v>3.4119195919857503</v>
      </c>
      <c r="I1031">
        <v>1</v>
      </c>
      <c r="J1031" t="s">
        <v>21</v>
      </c>
    </row>
    <row r="1032" spans="1:10" x14ac:dyDescent="0.25">
      <c r="A1032">
        <v>64002</v>
      </c>
      <c r="B1032" t="s">
        <v>4466</v>
      </c>
      <c r="C1032" t="s">
        <v>708</v>
      </c>
      <c r="D1032" t="s">
        <v>2241</v>
      </c>
      <c r="E1032" t="s">
        <v>2242</v>
      </c>
      <c r="F1032">
        <v>36238</v>
      </c>
      <c r="G1032">
        <v>10621</v>
      </c>
      <c r="H1032" s="32">
        <f t="shared" si="16"/>
        <v>3.4119197815648246</v>
      </c>
      <c r="I1032">
        <v>1</v>
      </c>
      <c r="J1032" t="s">
        <v>21</v>
      </c>
    </row>
    <row r="1033" spans="1:10" x14ac:dyDescent="0.25">
      <c r="A1033">
        <v>69097</v>
      </c>
      <c r="B1033" t="s">
        <v>5318</v>
      </c>
      <c r="C1033" t="s">
        <v>241</v>
      </c>
      <c r="D1033" t="s">
        <v>2241</v>
      </c>
      <c r="E1033" t="s">
        <v>2242</v>
      </c>
      <c r="F1033">
        <v>11621</v>
      </c>
      <c r="G1033">
        <v>3406</v>
      </c>
      <c r="H1033" s="32">
        <f t="shared" si="16"/>
        <v>3.4119201409277746</v>
      </c>
      <c r="I1033">
        <v>1</v>
      </c>
      <c r="J1033" t="s">
        <v>21</v>
      </c>
    </row>
    <row r="1034" spans="1:10" x14ac:dyDescent="0.25">
      <c r="A1034">
        <v>59561</v>
      </c>
      <c r="B1034" t="s">
        <v>3511</v>
      </c>
      <c r="C1034" t="s">
        <v>708</v>
      </c>
      <c r="D1034" t="s">
        <v>2241</v>
      </c>
      <c r="E1034" t="s">
        <v>2242</v>
      </c>
      <c r="F1034">
        <v>30854</v>
      </c>
      <c r="G1034">
        <v>9043</v>
      </c>
      <c r="H1034" s="32">
        <f t="shared" si="16"/>
        <v>3.4119208227358175</v>
      </c>
      <c r="I1034">
        <v>1</v>
      </c>
      <c r="J1034" t="s">
        <v>21</v>
      </c>
    </row>
    <row r="1035" spans="1:10" x14ac:dyDescent="0.25">
      <c r="A1035">
        <v>59627</v>
      </c>
      <c r="B1035" t="s">
        <v>3539</v>
      </c>
      <c r="C1035" t="s">
        <v>241</v>
      </c>
      <c r="D1035" t="s">
        <v>2241</v>
      </c>
      <c r="E1035" t="s">
        <v>2242</v>
      </c>
      <c r="F1035">
        <v>14139</v>
      </c>
      <c r="G1035">
        <v>4144</v>
      </c>
      <c r="H1035" s="32">
        <f t="shared" si="16"/>
        <v>3.4119208494208495</v>
      </c>
      <c r="I1035">
        <v>1</v>
      </c>
      <c r="J1035" t="s">
        <v>21</v>
      </c>
    </row>
    <row r="1036" spans="1:10" x14ac:dyDescent="0.25">
      <c r="A1036">
        <v>69909</v>
      </c>
      <c r="B1036" t="s">
        <v>5405</v>
      </c>
      <c r="C1036" t="s">
        <v>166</v>
      </c>
      <c r="D1036" t="s">
        <v>2241</v>
      </c>
      <c r="E1036" t="s">
        <v>2242</v>
      </c>
      <c r="F1036">
        <v>14139</v>
      </c>
      <c r="G1036">
        <v>4144</v>
      </c>
      <c r="H1036" s="32">
        <f t="shared" si="16"/>
        <v>3.4119208494208495</v>
      </c>
      <c r="I1036">
        <v>1</v>
      </c>
      <c r="J1036" t="s">
        <v>21</v>
      </c>
    </row>
    <row r="1037" spans="1:10" x14ac:dyDescent="0.25">
      <c r="A1037">
        <v>59604</v>
      </c>
      <c r="B1037" t="s">
        <v>3536</v>
      </c>
      <c r="C1037" t="s">
        <v>708</v>
      </c>
      <c r="D1037" t="s">
        <v>2241</v>
      </c>
      <c r="E1037" t="s">
        <v>2242</v>
      </c>
      <c r="F1037">
        <v>29537</v>
      </c>
      <c r="G1037">
        <v>8657</v>
      </c>
      <c r="H1037" s="32">
        <f t="shared" si="16"/>
        <v>3.4119209887951945</v>
      </c>
      <c r="I1037">
        <v>1</v>
      </c>
      <c r="J1037" t="s">
        <v>21</v>
      </c>
    </row>
    <row r="1038" spans="1:10" x14ac:dyDescent="0.25">
      <c r="A1038">
        <v>64843</v>
      </c>
      <c r="B1038" t="s">
        <v>4652</v>
      </c>
      <c r="C1038" t="s">
        <v>2029</v>
      </c>
      <c r="D1038" t="s">
        <v>2241</v>
      </c>
      <c r="E1038" t="s">
        <v>2242</v>
      </c>
      <c r="F1038">
        <v>67945</v>
      </c>
      <c r="G1038">
        <v>19914</v>
      </c>
      <c r="H1038" s="32">
        <f t="shared" si="16"/>
        <v>3.4119212614241237</v>
      </c>
      <c r="I1038">
        <v>1</v>
      </c>
      <c r="J1038" t="s">
        <v>21</v>
      </c>
    </row>
    <row r="1039" spans="1:10" x14ac:dyDescent="0.25">
      <c r="A1039">
        <v>63830</v>
      </c>
      <c r="B1039" t="s">
        <v>4421</v>
      </c>
      <c r="C1039" t="s">
        <v>166</v>
      </c>
      <c r="D1039" t="s">
        <v>2241</v>
      </c>
      <c r="E1039" t="s">
        <v>2242</v>
      </c>
      <c r="F1039">
        <v>10246</v>
      </c>
      <c r="G1039">
        <v>3003</v>
      </c>
      <c r="H1039" s="32">
        <f t="shared" si="16"/>
        <v>3.4119214119214121</v>
      </c>
      <c r="I1039">
        <v>1</v>
      </c>
      <c r="J1039" t="s">
        <v>21</v>
      </c>
    </row>
    <row r="1040" spans="1:10" x14ac:dyDescent="0.25">
      <c r="A1040">
        <v>67633</v>
      </c>
      <c r="B1040" t="s">
        <v>5128</v>
      </c>
      <c r="C1040" t="s">
        <v>166</v>
      </c>
      <c r="D1040" t="s">
        <v>2241</v>
      </c>
      <c r="E1040" t="s">
        <v>2242</v>
      </c>
      <c r="F1040">
        <v>14081</v>
      </c>
      <c r="G1040">
        <v>4127</v>
      </c>
      <c r="H1040" s="32">
        <f t="shared" si="16"/>
        <v>3.4119214926096437</v>
      </c>
      <c r="I1040">
        <v>1</v>
      </c>
      <c r="J1040" t="s">
        <v>21</v>
      </c>
    </row>
    <row r="1041" spans="1:10" x14ac:dyDescent="0.25">
      <c r="A1041">
        <v>61601</v>
      </c>
      <c r="B1041" t="s">
        <v>4041</v>
      </c>
      <c r="C1041" t="s">
        <v>241</v>
      </c>
      <c r="D1041" t="s">
        <v>2241</v>
      </c>
      <c r="E1041" t="s">
        <v>2242</v>
      </c>
      <c r="F1041">
        <v>39667</v>
      </c>
      <c r="G1041">
        <v>11626</v>
      </c>
      <c r="H1041" s="32">
        <f t="shared" si="16"/>
        <v>3.4119215551350424</v>
      </c>
      <c r="I1041">
        <v>1</v>
      </c>
      <c r="J1041" t="s">
        <v>21</v>
      </c>
    </row>
    <row r="1042" spans="1:10" x14ac:dyDescent="0.25">
      <c r="A1042">
        <v>66083</v>
      </c>
      <c r="B1042" t="s">
        <v>4844</v>
      </c>
      <c r="C1042" t="s">
        <v>166</v>
      </c>
      <c r="D1042" t="s">
        <v>2241</v>
      </c>
      <c r="E1042" t="s">
        <v>2242</v>
      </c>
      <c r="F1042">
        <v>15282</v>
      </c>
      <c r="G1042">
        <v>4479</v>
      </c>
      <c r="H1042" s="32">
        <f t="shared" si="16"/>
        <v>3.4119223040857336</v>
      </c>
      <c r="I1042">
        <v>1</v>
      </c>
      <c r="J1042" t="s">
        <v>21</v>
      </c>
    </row>
    <row r="1043" spans="1:10" x14ac:dyDescent="0.25">
      <c r="A1043">
        <v>63267</v>
      </c>
      <c r="B1043" t="s">
        <v>4315</v>
      </c>
      <c r="C1043" t="s">
        <v>708</v>
      </c>
      <c r="D1043" t="s">
        <v>2241</v>
      </c>
      <c r="E1043" t="s">
        <v>2242</v>
      </c>
      <c r="F1043">
        <v>11447</v>
      </c>
      <c r="G1043">
        <v>3355</v>
      </c>
      <c r="H1043" s="32">
        <f t="shared" si="16"/>
        <v>3.4119225037257825</v>
      </c>
      <c r="I1043">
        <v>1</v>
      </c>
      <c r="J1043" t="s">
        <v>21</v>
      </c>
    </row>
    <row r="1044" spans="1:10" x14ac:dyDescent="0.25">
      <c r="A1044">
        <v>60157</v>
      </c>
      <c r="B1044" t="s">
        <v>3693</v>
      </c>
      <c r="C1044" t="s">
        <v>708</v>
      </c>
      <c r="D1044" t="s">
        <v>2241</v>
      </c>
      <c r="E1044" t="s">
        <v>2242</v>
      </c>
      <c r="F1044">
        <v>21577</v>
      </c>
      <c r="G1044">
        <v>6324</v>
      </c>
      <c r="H1044" s="32">
        <f t="shared" si="16"/>
        <v>3.411922833649589</v>
      </c>
      <c r="I1044">
        <v>1</v>
      </c>
      <c r="J1044" t="s">
        <v>21</v>
      </c>
    </row>
    <row r="1045" spans="1:10" x14ac:dyDescent="0.25">
      <c r="A1045">
        <v>60416</v>
      </c>
      <c r="B1045" t="s">
        <v>3771</v>
      </c>
      <c r="C1045" t="s">
        <v>708</v>
      </c>
      <c r="D1045" t="s">
        <v>2241</v>
      </c>
      <c r="E1045" t="s">
        <v>2242</v>
      </c>
      <c r="F1045">
        <v>7612</v>
      </c>
      <c r="G1045">
        <v>2231</v>
      </c>
      <c r="H1045" s="32">
        <f t="shared" si="16"/>
        <v>3.4119229045271178</v>
      </c>
      <c r="I1045">
        <v>1</v>
      </c>
      <c r="J1045" t="s">
        <v>21</v>
      </c>
    </row>
    <row r="1046" spans="1:10" x14ac:dyDescent="0.25">
      <c r="A1046">
        <v>69069</v>
      </c>
      <c r="B1046" t="s">
        <v>5309</v>
      </c>
      <c r="C1046" t="s">
        <v>307</v>
      </c>
      <c r="D1046" t="s">
        <v>2241</v>
      </c>
      <c r="E1046" t="s">
        <v>2242</v>
      </c>
      <c r="F1046">
        <v>12648</v>
      </c>
      <c r="G1046">
        <v>3707</v>
      </c>
      <c r="H1046" s="32">
        <f t="shared" si="16"/>
        <v>3.4119233881845159</v>
      </c>
      <c r="I1046">
        <v>1</v>
      </c>
      <c r="J1046" t="s">
        <v>21</v>
      </c>
    </row>
    <row r="1047" spans="1:10" x14ac:dyDescent="0.25">
      <c r="A1047">
        <v>59761</v>
      </c>
      <c r="B1047" t="s">
        <v>3574</v>
      </c>
      <c r="C1047" t="s">
        <v>708</v>
      </c>
      <c r="D1047" t="s">
        <v>2241</v>
      </c>
      <c r="E1047" t="s">
        <v>2242</v>
      </c>
      <c r="F1047">
        <v>30274</v>
      </c>
      <c r="G1047">
        <v>8873</v>
      </c>
      <c r="H1047" s="32">
        <f t="shared" si="16"/>
        <v>3.4119238138171983</v>
      </c>
      <c r="I1047">
        <v>1</v>
      </c>
      <c r="J1047" t="s">
        <v>21</v>
      </c>
    </row>
    <row r="1048" spans="1:10" x14ac:dyDescent="0.25">
      <c r="A1048">
        <v>60820</v>
      </c>
      <c r="B1048" t="s">
        <v>3884</v>
      </c>
      <c r="C1048" t="s">
        <v>307</v>
      </c>
      <c r="D1048" t="s">
        <v>2241</v>
      </c>
      <c r="E1048" t="s">
        <v>2242</v>
      </c>
      <c r="F1048">
        <v>5036</v>
      </c>
      <c r="G1048">
        <v>1476</v>
      </c>
      <c r="H1048" s="32">
        <f t="shared" si="16"/>
        <v>3.4119241192411924</v>
      </c>
      <c r="I1048">
        <v>1</v>
      </c>
      <c r="J1048" t="s">
        <v>21</v>
      </c>
    </row>
    <row r="1049" spans="1:10" x14ac:dyDescent="0.25">
      <c r="A1049">
        <v>67719</v>
      </c>
      <c r="B1049" t="s">
        <v>5160</v>
      </c>
      <c r="C1049" t="s">
        <v>166</v>
      </c>
      <c r="D1049" t="s">
        <v>2241</v>
      </c>
      <c r="E1049" t="s">
        <v>2242</v>
      </c>
      <c r="F1049">
        <v>1259</v>
      </c>
      <c r="G1049">
        <v>369</v>
      </c>
      <c r="H1049" s="32">
        <f t="shared" si="16"/>
        <v>3.4119241192411924</v>
      </c>
      <c r="I1049">
        <v>1</v>
      </c>
      <c r="J1049" t="s">
        <v>21</v>
      </c>
    </row>
    <row r="1050" spans="1:10" x14ac:dyDescent="0.25">
      <c r="A1050">
        <v>60361</v>
      </c>
      <c r="B1050" t="s">
        <v>3743</v>
      </c>
      <c r="C1050" t="s">
        <v>708</v>
      </c>
      <c r="D1050" t="s">
        <v>2241</v>
      </c>
      <c r="E1050" t="s">
        <v>2242</v>
      </c>
      <c r="F1050">
        <v>30158</v>
      </c>
      <c r="G1050">
        <v>8839</v>
      </c>
      <c r="H1050" s="32">
        <f t="shared" si="16"/>
        <v>3.4119244258400272</v>
      </c>
      <c r="I1050">
        <v>1</v>
      </c>
      <c r="J1050" t="s">
        <v>21</v>
      </c>
    </row>
    <row r="1051" spans="1:10" x14ac:dyDescent="0.25">
      <c r="A1051">
        <v>57081</v>
      </c>
      <c r="B1051" t="s">
        <v>2935</v>
      </c>
      <c r="C1051" t="s">
        <v>241</v>
      </c>
      <c r="D1051" t="s">
        <v>2241</v>
      </c>
      <c r="E1051" t="s">
        <v>2242</v>
      </c>
      <c r="F1051">
        <v>17568</v>
      </c>
      <c r="G1051">
        <v>5149</v>
      </c>
      <c r="H1051" s="32">
        <f t="shared" si="16"/>
        <v>3.411924645562245</v>
      </c>
      <c r="I1051">
        <v>1</v>
      </c>
      <c r="J1051" t="s">
        <v>21</v>
      </c>
    </row>
    <row r="1052" spans="1:10" x14ac:dyDescent="0.25">
      <c r="A1052">
        <v>59584</v>
      </c>
      <c r="B1052" t="s">
        <v>3526</v>
      </c>
      <c r="C1052" t="s">
        <v>708</v>
      </c>
      <c r="D1052" t="s">
        <v>2241</v>
      </c>
      <c r="E1052" t="s">
        <v>2242</v>
      </c>
      <c r="F1052">
        <v>27466</v>
      </c>
      <c r="G1052">
        <v>8050</v>
      </c>
      <c r="H1052" s="32">
        <f t="shared" si="16"/>
        <v>3.4119254658385092</v>
      </c>
      <c r="I1052">
        <v>1</v>
      </c>
      <c r="J1052" t="s">
        <v>21</v>
      </c>
    </row>
    <row r="1053" spans="1:10" x14ac:dyDescent="0.25">
      <c r="A1053">
        <v>64822</v>
      </c>
      <c r="B1053" t="s">
        <v>4649</v>
      </c>
      <c r="C1053" t="s">
        <v>708</v>
      </c>
      <c r="D1053" t="s">
        <v>2241</v>
      </c>
      <c r="E1053" t="s">
        <v>2242</v>
      </c>
      <c r="F1053">
        <v>12474</v>
      </c>
      <c r="G1053">
        <v>3656</v>
      </c>
      <c r="H1053" s="32">
        <f t="shared" si="16"/>
        <v>3.4119256017505473</v>
      </c>
      <c r="I1053">
        <v>1</v>
      </c>
      <c r="J1053" t="s">
        <v>21</v>
      </c>
    </row>
    <row r="1054" spans="1:10" x14ac:dyDescent="0.25">
      <c r="A1054">
        <v>61023</v>
      </c>
      <c r="B1054" t="s">
        <v>3924</v>
      </c>
      <c r="C1054" t="s">
        <v>201</v>
      </c>
      <c r="D1054" t="s">
        <v>2241</v>
      </c>
      <c r="E1054" t="s">
        <v>2242</v>
      </c>
      <c r="F1054">
        <v>98185</v>
      </c>
      <c r="G1054">
        <v>28777</v>
      </c>
      <c r="H1054" s="32">
        <f t="shared" si="16"/>
        <v>3.4119261910553567</v>
      </c>
      <c r="I1054">
        <v>1</v>
      </c>
      <c r="J1054" t="s">
        <v>21</v>
      </c>
    </row>
    <row r="1055" spans="1:10" x14ac:dyDescent="0.25">
      <c r="A1055">
        <v>1355</v>
      </c>
      <c r="B1055" t="s">
        <v>2276</v>
      </c>
      <c r="C1055" t="s">
        <v>266</v>
      </c>
      <c r="D1055" t="s">
        <v>2241</v>
      </c>
      <c r="E1055" t="s">
        <v>2242</v>
      </c>
      <c r="F1055">
        <v>53441</v>
      </c>
      <c r="G1055">
        <v>15663</v>
      </c>
      <c r="H1055" s="32">
        <f t="shared" si="16"/>
        <v>3.4119261954925619</v>
      </c>
      <c r="I1055">
        <v>1</v>
      </c>
      <c r="J1055" t="s">
        <v>21</v>
      </c>
    </row>
    <row r="1056" spans="1:10" x14ac:dyDescent="0.25">
      <c r="A1056">
        <v>59818</v>
      </c>
      <c r="B1056" t="s">
        <v>3585</v>
      </c>
      <c r="C1056" t="s">
        <v>708</v>
      </c>
      <c r="D1056" t="s">
        <v>2241</v>
      </c>
      <c r="E1056" t="s">
        <v>2242</v>
      </c>
      <c r="F1056">
        <v>3719</v>
      </c>
      <c r="G1056">
        <v>1090</v>
      </c>
      <c r="H1056" s="32">
        <f t="shared" si="16"/>
        <v>3.4119266055045872</v>
      </c>
      <c r="I1056">
        <v>1</v>
      </c>
      <c r="J1056" t="s">
        <v>21</v>
      </c>
    </row>
    <row r="1057" spans="1:10" x14ac:dyDescent="0.25">
      <c r="A1057">
        <v>58402</v>
      </c>
      <c r="B1057" t="s">
        <v>3188</v>
      </c>
      <c r="C1057" t="s">
        <v>241</v>
      </c>
      <c r="D1057" t="s">
        <v>2241</v>
      </c>
      <c r="E1057" t="s">
        <v>2242</v>
      </c>
      <c r="F1057">
        <v>6179</v>
      </c>
      <c r="G1057">
        <v>1811</v>
      </c>
      <c r="H1057" s="32">
        <f t="shared" si="16"/>
        <v>3.4119271120927666</v>
      </c>
      <c r="I1057">
        <v>1</v>
      </c>
      <c r="J1057" t="s">
        <v>21</v>
      </c>
    </row>
    <row r="1058" spans="1:10" x14ac:dyDescent="0.25">
      <c r="A1058">
        <v>59180</v>
      </c>
      <c r="B1058" t="s">
        <v>3412</v>
      </c>
      <c r="C1058" t="s">
        <v>131</v>
      </c>
      <c r="D1058" t="s">
        <v>2241</v>
      </c>
      <c r="E1058" t="s">
        <v>2242</v>
      </c>
      <c r="F1058">
        <v>6179</v>
      </c>
      <c r="G1058">
        <v>1811</v>
      </c>
      <c r="H1058" s="32">
        <f t="shared" si="16"/>
        <v>3.4119271120927666</v>
      </c>
      <c r="I1058">
        <v>1</v>
      </c>
      <c r="J1058" t="s">
        <v>21</v>
      </c>
    </row>
    <row r="1059" spans="1:10" x14ac:dyDescent="0.25">
      <c r="A1059">
        <v>59856</v>
      </c>
      <c r="B1059" t="s">
        <v>3604</v>
      </c>
      <c r="C1059" t="s">
        <v>708</v>
      </c>
      <c r="D1059" t="s">
        <v>2241</v>
      </c>
      <c r="E1059" t="s">
        <v>2242</v>
      </c>
      <c r="F1059">
        <v>34498</v>
      </c>
      <c r="G1059">
        <v>10111</v>
      </c>
      <c r="H1059" s="32">
        <f t="shared" si="16"/>
        <v>3.4119276036000397</v>
      </c>
      <c r="I1059">
        <v>1</v>
      </c>
      <c r="J1059" t="s">
        <v>21</v>
      </c>
    </row>
    <row r="1060" spans="1:10" x14ac:dyDescent="0.25">
      <c r="A1060">
        <v>59795</v>
      </c>
      <c r="B1060" t="s">
        <v>3582</v>
      </c>
      <c r="C1060" t="s">
        <v>708</v>
      </c>
      <c r="D1060" t="s">
        <v>2241</v>
      </c>
      <c r="E1060" t="s">
        <v>2242</v>
      </c>
      <c r="F1060">
        <v>4920</v>
      </c>
      <c r="G1060">
        <v>1442</v>
      </c>
      <c r="H1060" s="32">
        <f t="shared" si="16"/>
        <v>3.4119278779472952</v>
      </c>
      <c r="I1060">
        <v>1</v>
      </c>
      <c r="J1060" t="s">
        <v>21</v>
      </c>
    </row>
    <row r="1061" spans="1:10" x14ac:dyDescent="0.25">
      <c r="A1061">
        <v>62769</v>
      </c>
      <c r="B1061" t="s">
        <v>4225</v>
      </c>
      <c r="C1061" t="s">
        <v>131</v>
      </c>
      <c r="D1061" t="s">
        <v>2241</v>
      </c>
      <c r="E1061" t="s">
        <v>2242</v>
      </c>
      <c r="F1061">
        <v>23341</v>
      </c>
      <c r="G1061">
        <v>6841</v>
      </c>
      <c r="H1061" s="32">
        <f t="shared" si="16"/>
        <v>3.4119280806899575</v>
      </c>
      <c r="I1061">
        <v>1</v>
      </c>
      <c r="J1061" t="s">
        <v>21</v>
      </c>
    </row>
    <row r="1062" spans="1:10" x14ac:dyDescent="0.25">
      <c r="A1062">
        <v>58669</v>
      </c>
      <c r="B1062" t="s">
        <v>3248</v>
      </c>
      <c r="C1062" t="s">
        <v>708</v>
      </c>
      <c r="D1062" t="s">
        <v>2241</v>
      </c>
      <c r="E1062" t="s">
        <v>2242</v>
      </c>
      <c r="F1062">
        <v>26038</v>
      </c>
      <c r="G1062">
        <v>7631.46</v>
      </c>
      <c r="H1062" s="32">
        <f t="shared" si="16"/>
        <v>3.4119290411009167</v>
      </c>
      <c r="I1062">
        <v>1</v>
      </c>
      <c r="J1062" t="s">
        <v>21</v>
      </c>
    </row>
    <row r="1063" spans="1:10" x14ac:dyDescent="0.25">
      <c r="A1063">
        <v>60549</v>
      </c>
      <c r="B1063" t="s">
        <v>3795</v>
      </c>
      <c r="C1063" t="s">
        <v>708</v>
      </c>
      <c r="D1063" t="s">
        <v>2241</v>
      </c>
      <c r="E1063" t="s">
        <v>2242</v>
      </c>
      <c r="F1063">
        <v>29288</v>
      </c>
      <c r="G1063">
        <v>8584</v>
      </c>
      <c r="H1063" s="32">
        <f t="shared" si="16"/>
        <v>3.4119291705498602</v>
      </c>
      <c r="I1063">
        <v>1</v>
      </c>
      <c r="J1063" t="s">
        <v>21</v>
      </c>
    </row>
    <row r="1064" spans="1:10" x14ac:dyDescent="0.25">
      <c r="A1064">
        <v>58338</v>
      </c>
      <c r="B1064" t="s">
        <v>3161</v>
      </c>
      <c r="C1064" t="s">
        <v>708</v>
      </c>
      <c r="D1064" t="s">
        <v>2241</v>
      </c>
      <c r="E1064" t="s">
        <v>2242</v>
      </c>
      <c r="F1064">
        <v>26828</v>
      </c>
      <c r="G1064">
        <v>7863</v>
      </c>
      <c r="H1064" s="32">
        <f t="shared" si="16"/>
        <v>3.4119292890754167</v>
      </c>
      <c r="I1064">
        <v>1</v>
      </c>
      <c r="J1064" t="s">
        <v>21</v>
      </c>
    </row>
    <row r="1065" spans="1:10" x14ac:dyDescent="0.25">
      <c r="A1065">
        <v>67267</v>
      </c>
      <c r="B1065" t="s">
        <v>5073</v>
      </c>
      <c r="C1065" t="s">
        <v>250</v>
      </c>
      <c r="D1065" t="s">
        <v>2241</v>
      </c>
      <c r="E1065" t="s">
        <v>2242</v>
      </c>
      <c r="F1065">
        <v>66983</v>
      </c>
      <c r="G1065">
        <v>19632</v>
      </c>
      <c r="H1065" s="32">
        <f t="shared" si="16"/>
        <v>3.4119295028524856</v>
      </c>
      <c r="I1065">
        <v>1</v>
      </c>
      <c r="J1065" t="s">
        <v>21</v>
      </c>
    </row>
    <row r="1066" spans="1:10" x14ac:dyDescent="0.25">
      <c r="A1066">
        <v>63691</v>
      </c>
      <c r="B1066" t="s">
        <v>4388</v>
      </c>
      <c r="C1066" t="s">
        <v>143</v>
      </c>
      <c r="D1066" t="s">
        <v>2241</v>
      </c>
      <c r="E1066" t="s">
        <v>2242</v>
      </c>
      <c r="F1066">
        <v>15787</v>
      </c>
      <c r="G1066">
        <v>4627</v>
      </c>
      <c r="H1066" s="32">
        <f t="shared" si="16"/>
        <v>3.4119299762264967</v>
      </c>
      <c r="I1066">
        <v>1</v>
      </c>
      <c r="J1066" t="s">
        <v>21</v>
      </c>
    </row>
    <row r="1067" spans="1:10" x14ac:dyDescent="0.25">
      <c r="A1067">
        <v>59595</v>
      </c>
      <c r="B1067" t="s">
        <v>3533</v>
      </c>
      <c r="C1067" t="s">
        <v>708</v>
      </c>
      <c r="D1067" t="s">
        <v>2241</v>
      </c>
      <c r="E1067" t="s">
        <v>2242</v>
      </c>
      <c r="F1067">
        <v>30315</v>
      </c>
      <c r="G1067">
        <v>8885</v>
      </c>
      <c r="H1067" s="32">
        <f t="shared" si="16"/>
        <v>3.4119302194710186</v>
      </c>
      <c r="I1067">
        <v>1</v>
      </c>
      <c r="J1067" t="s">
        <v>21</v>
      </c>
    </row>
    <row r="1068" spans="1:10" x14ac:dyDescent="0.25">
      <c r="A1068">
        <v>60429</v>
      </c>
      <c r="B1068" t="s">
        <v>3774</v>
      </c>
      <c r="C1068" t="s">
        <v>708</v>
      </c>
      <c r="D1068" t="s">
        <v>2241</v>
      </c>
      <c r="E1068" t="s">
        <v>2242</v>
      </c>
      <c r="F1068">
        <v>24252</v>
      </c>
      <c r="G1068">
        <v>7108</v>
      </c>
      <c r="H1068" s="32">
        <f t="shared" si="16"/>
        <v>3.4119302194710186</v>
      </c>
      <c r="I1068">
        <v>1</v>
      </c>
      <c r="J1068" t="s">
        <v>21</v>
      </c>
    </row>
    <row r="1069" spans="1:10" x14ac:dyDescent="0.25">
      <c r="A1069">
        <v>62223</v>
      </c>
      <c r="B1069" t="s">
        <v>4134</v>
      </c>
      <c r="C1069" t="s">
        <v>708</v>
      </c>
      <c r="D1069" t="s">
        <v>2241</v>
      </c>
      <c r="E1069" t="s">
        <v>2242</v>
      </c>
      <c r="F1069">
        <v>36262</v>
      </c>
      <c r="G1069">
        <v>10628</v>
      </c>
      <c r="H1069" s="32">
        <f t="shared" si="16"/>
        <v>3.4119307489649979</v>
      </c>
      <c r="I1069">
        <v>1</v>
      </c>
      <c r="J1069" t="s">
        <v>21</v>
      </c>
    </row>
    <row r="1070" spans="1:10" x14ac:dyDescent="0.25">
      <c r="A1070">
        <v>57772</v>
      </c>
      <c r="B1070" t="s">
        <v>3052</v>
      </c>
      <c r="C1070" t="s">
        <v>672</v>
      </c>
      <c r="D1070" t="s">
        <v>2241</v>
      </c>
      <c r="E1070" t="s">
        <v>2242</v>
      </c>
      <c r="F1070">
        <v>6005</v>
      </c>
      <c r="G1070">
        <v>1760</v>
      </c>
      <c r="H1070" s="32">
        <f t="shared" si="16"/>
        <v>3.4119318181818183</v>
      </c>
      <c r="I1070">
        <v>1</v>
      </c>
      <c r="J1070" t="s">
        <v>21</v>
      </c>
    </row>
    <row r="1071" spans="1:10" x14ac:dyDescent="0.25">
      <c r="A1071">
        <v>61277</v>
      </c>
      <c r="B1071" t="s">
        <v>3976</v>
      </c>
      <c r="C1071" t="s">
        <v>708</v>
      </c>
      <c r="D1071" t="s">
        <v>2241</v>
      </c>
      <c r="E1071" t="s">
        <v>2242</v>
      </c>
      <c r="F1071">
        <v>49241</v>
      </c>
      <c r="G1071">
        <v>14432</v>
      </c>
      <c r="H1071" s="32">
        <f t="shared" si="16"/>
        <v>3.4119318181818183</v>
      </c>
      <c r="I1071">
        <v>1</v>
      </c>
      <c r="J1071" t="s">
        <v>21</v>
      </c>
    </row>
    <row r="1072" spans="1:10" x14ac:dyDescent="0.25">
      <c r="A1072">
        <v>58345</v>
      </c>
      <c r="B1072" t="s">
        <v>3168</v>
      </c>
      <c r="C1072" t="s">
        <v>708</v>
      </c>
      <c r="D1072" t="s">
        <v>2241</v>
      </c>
      <c r="E1072" t="s">
        <v>2242</v>
      </c>
      <c r="F1072">
        <v>31110</v>
      </c>
      <c r="G1072">
        <v>9118</v>
      </c>
      <c r="H1072" s="32">
        <f t="shared" si="16"/>
        <v>3.411932441324852</v>
      </c>
      <c r="I1072">
        <v>1</v>
      </c>
      <c r="J1072" t="s">
        <v>21</v>
      </c>
    </row>
    <row r="1073" spans="1:10" x14ac:dyDescent="0.25">
      <c r="A1073">
        <v>61525</v>
      </c>
      <c r="B1073" t="s">
        <v>4029</v>
      </c>
      <c r="C1073" t="s">
        <v>708</v>
      </c>
      <c r="D1073" t="s">
        <v>2241</v>
      </c>
      <c r="E1073" t="s">
        <v>2242</v>
      </c>
      <c r="F1073">
        <v>31110</v>
      </c>
      <c r="G1073">
        <v>9118</v>
      </c>
      <c r="H1073" s="32">
        <f t="shared" si="16"/>
        <v>3.411932441324852</v>
      </c>
      <c r="I1073">
        <v>1</v>
      </c>
      <c r="J1073" t="s">
        <v>21</v>
      </c>
    </row>
    <row r="1074" spans="1:10" x14ac:dyDescent="0.25">
      <c r="A1074">
        <v>61533</v>
      </c>
      <c r="B1074" t="s">
        <v>4032</v>
      </c>
      <c r="C1074" t="s">
        <v>708</v>
      </c>
      <c r="D1074" t="s">
        <v>2241</v>
      </c>
      <c r="E1074" t="s">
        <v>2242</v>
      </c>
      <c r="F1074">
        <v>33454</v>
      </c>
      <c r="G1074">
        <v>9805</v>
      </c>
      <c r="H1074" s="32">
        <f t="shared" si="16"/>
        <v>3.4119326874043856</v>
      </c>
      <c r="I1074">
        <v>1</v>
      </c>
      <c r="J1074" t="s">
        <v>21</v>
      </c>
    </row>
    <row r="1075" spans="1:10" x14ac:dyDescent="0.25">
      <c r="A1075">
        <v>61087</v>
      </c>
      <c r="B1075" t="s">
        <v>3933</v>
      </c>
      <c r="C1075" t="s">
        <v>708</v>
      </c>
      <c r="D1075" t="s">
        <v>2241</v>
      </c>
      <c r="E1075" t="s">
        <v>2242</v>
      </c>
      <c r="F1075">
        <v>29851</v>
      </c>
      <c r="G1075">
        <v>8749</v>
      </c>
      <c r="H1075" s="32">
        <f t="shared" si="16"/>
        <v>3.4119327923191221</v>
      </c>
      <c r="I1075">
        <v>1</v>
      </c>
      <c r="J1075" t="s">
        <v>21</v>
      </c>
    </row>
    <row r="1076" spans="1:10" x14ac:dyDescent="0.25">
      <c r="A1076">
        <v>63732</v>
      </c>
      <c r="B1076" t="s">
        <v>4400</v>
      </c>
      <c r="C1076" t="s">
        <v>708</v>
      </c>
      <c r="D1076" t="s">
        <v>2241</v>
      </c>
      <c r="E1076" t="s">
        <v>2242</v>
      </c>
      <c r="F1076">
        <v>17899</v>
      </c>
      <c r="G1076">
        <v>5246</v>
      </c>
      <c r="H1076" s="32">
        <f t="shared" si="16"/>
        <v>3.4119329012581012</v>
      </c>
      <c r="I1076">
        <v>1</v>
      </c>
      <c r="J1076" t="s">
        <v>21</v>
      </c>
    </row>
    <row r="1077" spans="1:10" x14ac:dyDescent="0.25">
      <c r="A1077">
        <v>59482</v>
      </c>
      <c r="B1077" t="s">
        <v>3467</v>
      </c>
      <c r="C1077" t="s">
        <v>131</v>
      </c>
      <c r="D1077" t="s">
        <v>2241</v>
      </c>
      <c r="E1077" t="s">
        <v>2242</v>
      </c>
      <c r="F1077">
        <v>15497</v>
      </c>
      <c r="G1077">
        <v>4542</v>
      </c>
      <c r="H1077" s="32">
        <f t="shared" si="16"/>
        <v>3.4119330691325409</v>
      </c>
      <c r="I1077">
        <v>1</v>
      </c>
      <c r="J1077" t="s">
        <v>21</v>
      </c>
    </row>
    <row r="1078" spans="1:10" x14ac:dyDescent="0.25">
      <c r="A1078">
        <v>66710</v>
      </c>
      <c r="B1078" t="s">
        <v>4945</v>
      </c>
      <c r="C1078" t="s">
        <v>708</v>
      </c>
      <c r="D1078" t="s">
        <v>2241</v>
      </c>
      <c r="E1078" t="s">
        <v>2242</v>
      </c>
      <c r="F1078">
        <v>30994</v>
      </c>
      <c r="G1078">
        <v>9084</v>
      </c>
      <c r="H1078" s="32">
        <f t="shared" si="16"/>
        <v>3.4119330691325409</v>
      </c>
      <c r="I1078">
        <v>1</v>
      </c>
      <c r="J1078" t="s">
        <v>21</v>
      </c>
    </row>
    <row r="1079" spans="1:10" x14ac:dyDescent="0.25">
      <c r="A1079">
        <v>63951</v>
      </c>
      <c r="B1079" t="s">
        <v>4450</v>
      </c>
      <c r="C1079" t="s">
        <v>166</v>
      </c>
      <c r="D1079" t="s">
        <v>2241</v>
      </c>
      <c r="E1079" t="s">
        <v>2242</v>
      </c>
      <c r="F1079">
        <v>13095</v>
      </c>
      <c r="G1079">
        <v>3838</v>
      </c>
      <c r="H1079" s="32">
        <f t="shared" si="16"/>
        <v>3.4119332985930173</v>
      </c>
      <c r="I1079">
        <v>1</v>
      </c>
      <c r="J1079" t="s">
        <v>21</v>
      </c>
    </row>
    <row r="1080" spans="1:10" x14ac:dyDescent="0.25">
      <c r="A1080">
        <v>60553</v>
      </c>
      <c r="B1080" t="s">
        <v>3797</v>
      </c>
      <c r="C1080" t="s">
        <v>708</v>
      </c>
      <c r="D1080" t="s">
        <v>2241</v>
      </c>
      <c r="E1080" t="s">
        <v>2242</v>
      </c>
      <c r="F1080">
        <v>29677</v>
      </c>
      <c r="G1080">
        <v>8698</v>
      </c>
      <c r="H1080" s="32">
        <f t="shared" si="16"/>
        <v>3.4119337778799723</v>
      </c>
      <c r="I1080">
        <v>1</v>
      </c>
      <c r="J1080" t="s">
        <v>21</v>
      </c>
    </row>
    <row r="1081" spans="1:10" x14ac:dyDescent="0.25">
      <c r="A1081">
        <v>63459</v>
      </c>
      <c r="B1081" t="s">
        <v>4358</v>
      </c>
      <c r="C1081" t="s">
        <v>241</v>
      </c>
      <c r="D1081" t="s">
        <v>2241</v>
      </c>
      <c r="E1081" t="s">
        <v>2242</v>
      </c>
      <c r="F1081">
        <v>13037</v>
      </c>
      <c r="G1081">
        <v>3821</v>
      </c>
      <c r="H1081" s="32">
        <f t="shared" si="16"/>
        <v>3.4119340486783565</v>
      </c>
      <c r="I1081">
        <v>1</v>
      </c>
      <c r="J1081" t="s">
        <v>21</v>
      </c>
    </row>
    <row r="1082" spans="1:10" x14ac:dyDescent="0.25">
      <c r="A1082">
        <v>61096</v>
      </c>
      <c r="B1082" t="s">
        <v>3941</v>
      </c>
      <c r="C1082" t="s">
        <v>708</v>
      </c>
      <c r="D1082" t="s">
        <v>2241</v>
      </c>
      <c r="E1082" t="s">
        <v>2242</v>
      </c>
      <c r="F1082">
        <v>12979</v>
      </c>
      <c r="G1082">
        <v>3804</v>
      </c>
      <c r="H1082" s="32">
        <f t="shared" si="16"/>
        <v>3.4119348054679284</v>
      </c>
      <c r="I1082">
        <v>1</v>
      </c>
      <c r="J1082" t="s">
        <v>21</v>
      </c>
    </row>
    <row r="1083" spans="1:10" x14ac:dyDescent="0.25">
      <c r="A1083">
        <v>61800</v>
      </c>
      <c r="B1083" t="s">
        <v>4066</v>
      </c>
      <c r="C1083" t="s">
        <v>672</v>
      </c>
      <c r="D1083" t="s">
        <v>2241</v>
      </c>
      <c r="E1083" t="s">
        <v>2242</v>
      </c>
      <c r="F1083">
        <v>5889</v>
      </c>
      <c r="G1083">
        <v>1726</v>
      </c>
      <c r="H1083" s="32">
        <f t="shared" si="16"/>
        <v>3.4119351100811124</v>
      </c>
      <c r="I1083">
        <v>1</v>
      </c>
      <c r="J1083" t="s">
        <v>21</v>
      </c>
    </row>
    <row r="1084" spans="1:10" x14ac:dyDescent="0.25">
      <c r="A1084">
        <v>63768</v>
      </c>
      <c r="B1084" t="s">
        <v>4405</v>
      </c>
      <c r="C1084" t="s">
        <v>143</v>
      </c>
      <c r="D1084" t="s">
        <v>2241</v>
      </c>
      <c r="E1084" t="s">
        <v>2242</v>
      </c>
      <c r="F1084">
        <v>84732</v>
      </c>
      <c r="G1084">
        <v>24834</v>
      </c>
      <c r="H1084" s="32">
        <f t="shared" si="16"/>
        <v>3.411935250060401</v>
      </c>
      <c r="I1084">
        <v>1</v>
      </c>
      <c r="J1084" t="s">
        <v>21</v>
      </c>
    </row>
    <row r="1085" spans="1:10" x14ac:dyDescent="0.25">
      <c r="A1085">
        <v>60600</v>
      </c>
      <c r="B1085" t="s">
        <v>3814</v>
      </c>
      <c r="C1085" t="s">
        <v>708</v>
      </c>
      <c r="D1085" t="s">
        <v>2241</v>
      </c>
      <c r="E1085" t="s">
        <v>2242</v>
      </c>
      <c r="F1085">
        <v>30472</v>
      </c>
      <c r="G1085">
        <v>8931</v>
      </c>
      <c r="H1085" s="32">
        <f t="shared" si="16"/>
        <v>3.4119359534206697</v>
      </c>
      <c r="I1085">
        <v>1</v>
      </c>
      <c r="J1085" t="s">
        <v>21</v>
      </c>
    </row>
    <row r="1086" spans="1:10" x14ac:dyDescent="0.25">
      <c r="A1086">
        <v>65567</v>
      </c>
      <c r="B1086" t="s">
        <v>4775</v>
      </c>
      <c r="C1086" t="s">
        <v>708</v>
      </c>
      <c r="D1086" t="s">
        <v>2241</v>
      </c>
      <c r="E1086" t="s">
        <v>2242</v>
      </c>
      <c r="F1086">
        <v>35160</v>
      </c>
      <c r="G1086">
        <v>10305</v>
      </c>
      <c r="H1086" s="32">
        <f t="shared" si="16"/>
        <v>3.4119359534206697</v>
      </c>
      <c r="I1086">
        <v>1</v>
      </c>
      <c r="J1086" t="s">
        <v>21</v>
      </c>
    </row>
    <row r="1087" spans="1:10" x14ac:dyDescent="0.25">
      <c r="A1087">
        <v>60318</v>
      </c>
      <c r="B1087" t="s">
        <v>3733</v>
      </c>
      <c r="C1087" t="s">
        <v>201</v>
      </c>
      <c r="D1087" t="s">
        <v>2241</v>
      </c>
      <c r="E1087" t="s">
        <v>2242</v>
      </c>
      <c r="F1087">
        <v>112396</v>
      </c>
      <c r="G1087">
        <v>32942</v>
      </c>
      <c r="H1087" s="32">
        <f t="shared" si="16"/>
        <v>3.4119361301681743</v>
      </c>
      <c r="I1087">
        <v>1</v>
      </c>
      <c r="J1087" t="s">
        <v>21</v>
      </c>
    </row>
    <row r="1088" spans="1:10" x14ac:dyDescent="0.25">
      <c r="A1088">
        <v>59124</v>
      </c>
      <c r="B1088" t="s">
        <v>3385</v>
      </c>
      <c r="C1088" t="s">
        <v>708</v>
      </c>
      <c r="D1088" t="s">
        <v>2241</v>
      </c>
      <c r="E1088" t="s">
        <v>2242</v>
      </c>
      <c r="F1088">
        <v>18694</v>
      </c>
      <c r="G1088">
        <v>5479</v>
      </c>
      <c r="H1088" s="32">
        <f t="shared" si="16"/>
        <v>3.4119364847599929</v>
      </c>
      <c r="I1088">
        <v>1</v>
      </c>
      <c r="J1088" t="s">
        <v>21</v>
      </c>
    </row>
    <row r="1089" spans="1:10" x14ac:dyDescent="0.25">
      <c r="A1089">
        <v>61053</v>
      </c>
      <c r="B1089" t="s">
        <v>3926</v>
      </c>
      <c r="C1089" t="s">
        <v>131</v>
      </c>
      <c r="D1089" t="s">
        <v>2241</v>
      </c>
      <c r="E1089" t="s">
        <v>2242</v>
      </c>
      <c r="F1089">
        <v>16350</v>
      </c>
      <c r="G1089">
        <v>4792</v>
      </c>
      <c r="H1089" s="32">
        <f t="shared" si="16"/>
        <v>3.4119365609348913</v>
      </c>
      <c r="I1089">
        <v>1</v>
      </c>
      <c r="J1089" t="s">
        <v>21</v>
      </c>
    </row>
    <row r="1090" spans="1:10" x14ac:dyDescent="0.25">
      <c r="A1090">
        <v>58667</v>
      </c>
      <c r="B1090" t="s">
        <v>3246</v>
      </c>
      <c r="C1090" t="s">
        <v>708</v>
      </c>
      <c r="D1090" t="s">
        <v>2241</v>
      </c>
      <c r="E1090" t="s">
        <v>2242</v>
      </c>
      <c r="F1090">
        <v>30298</v>
      </c>
      <c r="G1090">
        <v>8880</v>
      </c>
      <c r="H1090" s="32">
        <f t="shared" ref="H1090:H1153" si="17">IF(AND(F1090&gt;0,G1090&gt;0),F1090/G1090,"")</f>
        <v>3.4119369369369368</v>
      </c>
      <c r="I1090">
        <v>1</v>
      </c>
      <c r="J1090" t="s">
        <v>21</v>
      </c>
    </row>
    <row r="1091" spans="1:10" x14ac:dyDescent="0.25">
      <c r="A1091">
        <v>61311</v>
      </c>
      <c r="B1091" t="s">
        <v>3988</v>
      </c>
      <c r="C1091" t="s">
        <v>266</v>
      </c>
      <c r="D1091" t="s">
        <v>2241</v>
      </c>
      <c r="E1091" t="s">
        <v>2242</v>
      </c>
      <c r="F1091">
        <v>9318</v>
      </c>
      <c r="G1091">
        <v>2731</v>
      </c>
      <c r="H1091" s="32">
        <f t="shared" si="17"/>
        <v>3.4119370194068108</v>
      </c>
      <c r="I1091">
        <v>1</v>
      </c>
      <c r="J1091" t="s">
        <v>21</v>
      </c>
    </row>
    <row r="1092" spans="1:10" x14ac:dyDescent="0.25">
      <c r="A1092">
        <v>64732</v>
      </c>
      <c r="B1092" t="s">
        <v>4634</v>
      </c>
      <c r="C1092" t="s">
        <v>166</v>
      </c>
      <c r="D1092" t="s">
        <v>2241</v>
      </c>
      <c r="E1092" t="s">
        <v>2242</v>
      </c>
      <c r="F1092">
        <v>16292</v>
      </c>
      <c r="G1092">
        <v>4775</v>
      </c>
      <c r="H1092" s="32">
        <f t="shared" si="17"/>
        <v>3.4119371727748691</v>
      </c>
      <c r="I1092">
        <v>1</v>
      </c>
      <c r="J1092" t="s">
        <v>21</v>
      </c>
    </row>
    <row r="1093" spans="1:10" x14ac:dyDescent="0.25">
      <c r="A1093">
        <v>61457</v>
      </c>
      <c r="B1093" t="s">
        <v>4019</v>
      </c>
      <c r="C1093" t="s">
        <v>201</v>
      </c>
      <c r="D1093" t="s">
        <v>2241</v>
      </c>
      <c r="E1093" t="s">
        <v>2242</v>
      </c>
      <c r="F1093">
        <v>34754</v>
      </c>
      <c r="G1093">
        <v>10186</v>
      </c>
      <c r="H1093" s="32">
        <f t="shared" si="17"/>
        <v>3.4119379540545847</v>
      </c>
      <c r="I1093">
        <v>1</v>
      </c>
      <c r="J1093" t="s">
        <v>21</v>
      </c>
    </row>
    <row r="1094" spans="1:10" x14ac:dyDescent="0.25">
      <c r="A1094">
        <v>66120</v>
      </c>
      <c r="B1094" t="s">
        <v>4861</v>
      </c>
      <c r="C1094" t="s">
        <v>201</v>
      </c>
      <c r="D1094" t="s">
        <v>2241</v>
      </c>
      <c r="E1094" t="s">
        <v>2242</v>
      </c>
      <c r="F1094">
        <v>31209</v>
      </c>
      <c r="G1094">
        <v>9147</v>
      </c>
      <c r="H1094" s="32">
        <f t="shared" si="17"/>
        <v>3.4119383404394883</v>
      </c>
      <c r="I1094">
        <v>1</v>
      </c>
      <c r="J1094" t="s">
        <v>21</v>
      </c>
    </row>
    <row r="1095" spans="1:10" x14ac:dyDescent="0.25">
      <c r="A1095">
        <v>59433</v>
      </c>
      <c r="B1095" t="s">
        <v>3454</v>
      </c>
      <c r="C1095" t="s">
        <v>131</v>
      </c>
      <c r="D1095" t="s">
        <v>2241</v>
      </c>
      <c r="E1095" t="s">
        <v>2242</v>
      </c>
      <c r="F1095">
        <v>13832</v>
      </c>
      <c r="G1095">
        <v>4054</v>
      </c>
      <c r="H1095" s="32">
        <f t="shared" si="17"/>
        <v>3.4119388258510113</v>
      </c>
      <c r="I1095">
        <v>1</v>
      </c>
      <c r="J1095" t="s">
        <v>21</v>
      </c>
    </row>
    <row r="1096" spans="1:10" x14ac:dyDescent="0.25">
      <c r="A1096">
        <v>58391</v>
      </c>
      <c r="B1096" t="s">
        <v>3186</v>
      </c>
      <c r="C1096" t="s">
        <v>131</v>
      </c>
      <c r="D1096" t="s">
        <v>2241</v>
      </c>
      <c r="E1096" t="s">
        <v>2242</v>
      </c>
      <c r="F1096">
        <v>46068</v>
      </c>
      <c r="G1096">
        <v>13502</v>
      </c>
      <c r="H1096" s="32">
        <f t="shared" si="17"/>
        <v>3.4119389720041475</v>
      </c>
      <c r="I1096">
        <v>1</v>
      </c>
      <c r="J1096" t="s">
        <v>21</v>
      </c>
    </row>
    <row r="1097" spans="1:10" x14ac:dyDescent="0.25">
      <c r="A1097">
        <v>59487</v>
      </c>
      <c r="B1097" t="s">
        <v>3470</v>
      </c>
      <c r="C1097" t="s">
        <v>708</v>
      </c>
      <c r="D1097" t="s">
        <v>2241</v>
      </c>
      <c r="E1097" t="s">
        <v>2242</v>
      </c>
      <c r="F1097">
        <v>32236</v>
      </c>
      <c r="G1097">
        <v>9448</v>
      </c>
      <c r="H1097" s="32">
        <f t="shared" si="17"/>
        <v>3.4119390347163421</v>
      </c>
      <c r="I1097">
        <v>1</v>
      </c>
      <c r="J1097" t="s">
        <v>21</v>
      </c>
    </row>
    <row r="1098" spans="1:10" x14ac:dyDescent="0.25">
      <c r="A1098">
        <v>56993</v>
      </c>
      <c r="B1098" t="s">
        <v>2929</v>
      </c>
      <c r="C1098" t="s">
        <v>143</v>
      </c>
      <c r="D1098" t="s">
        <v>2241</v>
      </c>
      <c r="E1098" t="s">
        <v>2242</v>
      </c>
      <c r="F1098">
        <v>11488</v>
      </c>
      <c r="G1098">
        <v>3367</v>
      </c>
      <c r="H1098" s="32">
        <f t="shared" si="17"/>
        <v>3.4119394119394117</v>
      </c>
      <c r="I1098">
        <v>1</v>
      </c>
      <c r="J1098" t="s">
        <v>21</v>
      </c>
    </row>
    <row r="1099" spans="1:10" x14ac:dyDescent="0.25">
      <c r="A1099">
        <v>62941</v>
      </c>
      <c r="B1099" t="s">
        <v>4258</v>
      </c>
      <c r="C1099" t="s">
        <v>322</v>
      </c>
      <c r="D1099" t="s">
        <v>2241</v>
      </c>
      <c r="E1099" t="s">
        <v>2242</v>
      </c>
      <c r="F1099">
        <v>11488</v>
      </c>
      <c r="G1099">
        <v>3367</v>
      </c>
      <c r="H1099" s="32">
        <f t="shared" si="17"/>
        <v>3.4119394119394117</v>
      </c>
      <c r="I1099">
        <v>1</v>
      </c>
      <c r="J1099" t="s">
        <v>21</v>
      </c>
    </row>
    <row r="1100" spans="1:10" x14ac:dyDescent="0.25">
      <c r="A1100">
        <v>64010</v>
      </c>
      <c r="B1100" t="s">
        <v>4467</v>
      </c>
      <c r="C1100" t="s">
        <v>201</v>
      </c>
      <c r="D1100" t="s">
        <v>2241</v>
      </c>
      <c r="E1100" t="s">
        <v>2242</v>
      </c>
      <c r="F1100">
        <v>86073</v>
      </c>
      <c r="G1100">
        <v>25227</v>
      </c>
      <c r="H1100" s="32">
        <f t="shared" si="17"/>
        <v>3.4119395885360921</v>
      </c>
      <c r="I1100">
        <v>1</v>
      </c>
      <c r="J1100" t="s">
        <v>21</v>
      </c>
    </row>
    <row r="1101" spans="1:10" x14ac:dyDescent="0.25">
      <c r="A1101">
        <v>59643</v>
      </c>
      <c r="B1101" t="s">
        <v>3546</v>
      </c>
      <c r="C1101" t="s">
        <v>708</v>
      </c>
      <c r="D1101" t="s">
        <v>2241</v>
      </c>
      <c r="E1101" t="s">
        <v>2242</v>
      </c>
      <c r="F1101">
        <v>27490</v>
      </c>
      <c r="G1101">
        <v>8057</v>
      </c>
      <c r="H1101" s="32">
        <f t="shared" si="17"/>
        <v>3.4119399280129081</v>
      </c>
      <c r="I1101">
        <v>1</v>
      </c>
      <c r="J1101" t="s">
        <v>21</v>
      </c>
    </row>
    <row r="1102" spans="1:10" x14ac:dyDescent="0.25">
      <c r="A1102">
        <v>62408</v>
      </c>
      <c r="B1102" t="s">
        <v>4155</v>
      </c>
      <c r="C1102" t="s">
        <v>143</v>
      </c>
      <c r="D1102" t="s">
        <v>2241</v>
      </c>
      <c r="E1102" t="s">
        <v>2242</v>
      </c>
      <c r="F1102">
        <v>16002</v>
      </c>
      <c r="G1102">
        <v>4690</v>
      </c>
      <c r="H1102" s="32">
        <f t="shared" si="17"/>
        <v>3.4119402985074627</v>
      </c>
      <c r="I1102">
        <v>1</v>
      </c>
      <c r="J1102" t="s">
        <v>21</v>
      </c>
    </row>
    <row r="1103" spans="1:10" x14ac:dyDescent="0.25">
      <c r="A1103">
        <v>66352</v>
      </c>
      <c r="B1103" t="s">
        <v>4881</v>
      </c>
      <c r="C1103" t="s">
        <v>708</v>
      </c>
      <c r="D1103" t="s">
        <v>2241</v>
      </c>
      <c r="E1103" t="s">
        <v>2242</v>
      </c>
      <c r="F1103">
        <v>11430</v>
      </c>
      <c r="G1103">
        <v>3350</v>
      </c>
      <c r="H1103" s="32">
        <f t="shared" si="17"/>
        <v>3.4119402985074627</v>
      </c>
      <c r="I1103">
        <v>1</v>
      </c>
      <c r="J1103" t="s">
        <v>21</v>
      </c>
    </row>
    <row r="1104" spans="1:10" x14ac:dyDescent="0.25">
      <c r="A1104">
        <v>59563</v>
      </c>
      <c r="B1104" t="s">
        <v>3513</v>
      </c>
      <c r="C1104" t="s">
        <v>708</v>
      </c>
      <c r="D1104" t="s">
        <v>2241</v>
      </c>
      <c r="E1104" t="s">
        <v>2242</v>
      </c>
      <c r="F1104">
        <v>31946</v>
      </c>
      <c r="G1104">
        <v>9363</v>
      </c>
      <c r="H1104" s="32">
        <f t="shared" si="17"/>
        <v>3.4119406173235074</v>
      </c>
      <c r="I1104">
        <v>1</v>
      </c>
      <c r="J1104" t="s">
        <v>21</v>
      </c>
    </row>
    <row r="1105" spans="1:10" x14ac:dyDescent="0.25">
      <c r="A1105">
        <v>59514</v>
      </c>
      <c r="B1105" t="s">
        <v>3490</v>
      </c>
      <c r="C1105" t="s">
        <v>708</v>
      </c>
      <c r="D1105" t="s">
        <v>2241</v>
      </c>
      <c r="E1105" t="s">
        <v>2242</v>
      </c>
      <c r="F1105">
        <v>29660</v>
      </c>
      <c r="G1105">
        <v>8693</v>
      </c>
      <c r="H1105" s="32">
        <f t="shared" si="17"/>
        <v>3.4119406418957783</v>
      </c>
      <c r="I1105">
        <v>1</v>
      </c>
      <c r="J1105" t="s">
        <v>21</v>
      </c>
    </row>
    <row r="1106" spans="1:10" x14ac:dyDescent="0.25">
      <c r="A1106">
        <v>58090</v>
      </c>
      <c r="B1106" t="s">
        <v>3107</v>
      </c>
      <c r="C1106" t="s">
        <v>241</v>
      </c>
      <c r="D1106" t="s">
        <v>2241</v>
      </c>
      <c r="E1106" t="s">
        <v>2242</v>
      </c>
      <c r="F1106">
        <v>20516</v>
      </c>
      <c r="G1106">
        <v>6013</v>
      </c>
      <c r="H1106" s="32">
        <f t="shared" si="17"/>
        <v>3.4119407949442873</v>
      </c>
      <c r="I1106">
        <v>1</v>
      </c>
      <c r="J1106" t="s">
        <v>21</v>
      </c>
    </row>
    <row r="1107" spans="1:10" x14ac:dyDescent="0.25">
      <c r="A1107">
        <v>60739</v>
      </c>
      <c r="B1107" t="s">
        <v>3852</v>
      </c>
      <c r="C1107" t="s">
        <v>241</v>
      </c>
      <c r="D1107" t="s">
        <v>2241</v>
      </c>
      <c r="E1107" t="s">
        <v>2242</v>
      </c>
      <c r="F1107">
        <v>19373</v>
      </c>
      <c r="G1107">
        <v>5678</v>
      </c>
      <c r="H1107" s="32">
        <f t="shared" si="17"/>
        <v>3.4119408242338851</v>
      </c>
      <c r="I1107">
        <v>1</v>
      </c>
      <c r="J1107" t="s">
        <v>21</v>
      </c>
    </row>
    <row r="1108" spans="1:10" x14ac:dyDescent="0.25">
      <c r="A1108">
        <v>61352</v>
      </c>
      <c r="B1108" t="s">
        <v>4000</v>
      </c>
      <c r="C1108" t="s">
        <v>708</v>
      </c>
      <c r="D1108" t="s">
        <v>2241</v>
      </c>
      <c r="E1108" t="s">
        <v>2242</v>
      </c>
      <c r="F1108">
        <v>31888</v>
      </c>
      <c r="G1108">
        <v>9346</v>
      </c>
      <c r="H1108" s="32">
        <f t="shared" si="17"/>
        <v>3.4119409372993794</v>
      </c>
      <c r="I1108">
        <v>1</v>
      </c>
      <c r="J1108" t="s">
        <v>21</v>
      </c>
    </row>
    <row r="1109" spans="1:10" x14ac:dyDescent="0.25">
      <c r="A1109">
        <v>62331</v>
      </c>
      <c r="B1109" t="s">
        <v>4148</v>
      </c>
      <c r="C1109" t="s">
        <v>307</v>
      </c>
      <c r="D1109" t="s">
        <v>2241</v>
      </c>
      <c r="E1109" t="s">
        <v>2242</v>
      </c>
      <c r="F1109">
        <v>12515</v>
      </c>
      <c r="G1109">
        <v>3668</v>
      </c>
      <c r="H1109" s="32">
        <f t="shared" si="17"/>
        <v>3.4119411123227916</v>
      </c>
      <c r="I1109">
        <v>1</v>
      </c>
      <c r="J1109" t="s">
        <v>21</v>
      </c>
    </row>
    <row r="1110" spans="1:10" x14ac:dyDescent="0.25">
      <c r="A1110">
        <v>59017</v>
      </c>
      <c r="B1110" t="s">
        <v>3351</v>
      </c>
      <c r="C1110" t="s">
        <v>708</v>
      </c>
      <c r="D1110" t="s">
        <v>2241</v>
      </c>
      <c r="E1110" t="s">
        <v>2242</v>
      </c>
      <c r="F1110">
        <v>21601</v>
      </c>
      <c r="G1110">
        <v>6331</v>
      </c>
      <c r="H1110" s="32">
        <f t="shared" si="17"/>
        <v>3.4119412415100299</v>
      </c>
      <c r="I1110">
        <v>1</v>
      </c>
      <c r="J1110" t="s">
        <v>21</v>
      </c>
    </row>
    <row r="1111" spans="1:10" x14ac:dyDescent="0.25">
      <c r="A1111">
        <v>63069</v>
      </c>
      <c r="B1111" t="s">
        <v>4283</v>
      </c>
      <c r="C1111" t="s">
        <v>166</v>
      </c>
      <c r="D1111" t="s">
        <v>2241</v>
      </c>
      <c r="E1111" t="s">
        <v>2242</v>
      </c>
      <c r="F1111">
        <v>9028</v>
      </c>
      <c r="G1111">
        <v>2646</v>
      </c>
      <c r="H1111" s="32">
        <f t="shared" si="17"/>
        <v>3.4119425547996975</v>
      </c>
      <c r="I1111">
        <v>1</v>
      </c>
      <c r="J1111" t="s">
        <v>21</v>
      </c>
    </row>
    <row r="1112" spans="1:10" x14ac:dyDescent="0.25">
      <c r="A1112">
        <v>59762</v>
      </c>
      <c r="B1112" t="s">
        <v>3575</v>
      </c>
      <c r="C1112" t="s">
        <v>708</v>
      </c>
      <c r="D1112" t="s">
        <v>2241</v>
      </c>
      <c r="E1112" t="s">
        <v>2242</v>
      </c>
      <c r="F1112">
        <v>25941</v>
      </c>
      <c r="G1112">
        <v>7603</v>
      </c>
      <c r="H1112" s="32">
        <f t="shared" si="17"/>
        <v>3.4119426542154412</v>
      </c>
      <c r="I1112">
        <v>1</v>
      </c>
      <c r="J1112" t="s">
        <v>21</v>
      </c>
    </row>
    <row r="1113" spans="1:10" x14ac:dyDescent="0.25">
      <c r="A1113">
        <v>59119</v>
      </c>
      <c r="B1113" t="s">
        <v>3382</v>
      </c>
      <c r="C1113" t="s">
        <v>708</v>
      </c>
      <c r="D1113" t="s">
        <v>2241</v>
      </c>
      <c r="E1113" t="s">
        <v>2242</v>
      </c>
      <c r="F1113">
        <v>11256</v>
      </c>
      <c r="G1113">
        <v>3299</v>
      </c>
      <c r="H1113" s="32">
        <f t="shared" si="17"/>
        <v>3.4119430130342527</v>
      </c>
      <c r="I1113">
        <v>1</v>
      </c>
      <c r="J1113" t="s">
        <v>21</v>
      </c>
    </row>
    <row r="1114" spans="1:10" x14ac:dyDescent="0.25">
      <c r="A1114">
        <v>59173</v>
      </c>
      <c r="B1114" t="s">
        <v>3407</v>
      </c>
      <c r="C1114" t="s">
        <v>708</v>
      </c>
      <c r="D1114" t="s">
        <v>2241</v>
      </c>
      <c r="E1114" t="s">
        <v>2242</v>
      </c>
      <c r="F1114">
        <v>24740</v>
      </c>
      <c r="G1114">
        <v>7251</v>
      </c>
      <c r="H1114" s="32">
        <f t="shared" si="17"/>
        <v>3.4119431802509999</v>
      </c>
      <c r="I1114">
        <v>1</v>
      </c>
      <c r="J1114" t="s">
        <v>21</v>
      </c>
    </row>
    <row r="1115" spans="1:10" x14ac:dyDescent="0.25">
      <c r="A1115">
        <v>57667</v>
      </c>
      <c r="B1115" t="s">
        <v>3030</v>
      </c>
      <c r="C1115" t="s">
        <v>241</v>
      </c>
      <c r="D1115" t="s">
        <v>2241</v>
      </c>
      <c r="E1115" t="s">
        <v>2242</v>
      </c>
      <c r="F1115">
        <v>28111</v>
      </c>
      <c r="G1115">
        <v>8239</v>
      </c>
      <c r="H1115" s="32">
        <f t="shared" si="17"/>
        <v>3.4119431969899261</v>
      </c>
      <c r="I1115">
        <v>1</v>
      </c>
      <c r="J1115" t="s">
        <v>21</v>
      </c>
    </row>
    <row r="1116" spans="1:10" x14ac:dyDescent="0.25">
      <c r="A1116">
        <v>57383</v>
      </c>
      <c r="B1116" t="s">
        <v>2979</v>
      </c>
      <c r="C1116" t="s">
        <v>241</v>
      </c>
      <c r="D1116" t="s">
        <v>2241</v>
      </c>
      <c r="E1116" t="s">
        <v>2242</v>
      </c>
      <c r="F1116">
        <v>6742</v>
      </c>
      <c r="G1116">
        <v>1976</v>
      </c>
      <c r="H1116" s="32">
        <f t="shared" si="17"/>
        <v>3.4119433198380569</v>
      </c>
      <c r="I1116">
        <v>1</v>
      </c>
      <c r="J1116" t="s">
        <v>21</v>
      </c>
    </row>
    <row r="1117" spans="1:10" x14ac:dyDescent="0.25">
      <c r="A1117">
        <v>58742</v>
      </c>
      <c r="B1117" t="s">
        <v>3273</v>
      </c>
      <c r="C1117" t="s">
        <v>708</v>
      </c>
      <c r="D1117" t="s">
        <v>2241</v>
      </c>
      <c r="E1117" t="s">
        <v>2242</v>
      </c>
      <c r="F1117">
        <v>23597</v>
      </c>
      <c r="G1117">
        <v>6916</v>
      </c>
      <c r="H1117" s="32">
        <f t="shared" si="17"/>
        <v>3.4119433198380569</v>
      </c>
      <c r="I1117">
        <v>1</v>
      </c>
      <c r="J1117" t="s">
        <v>21</v>
      </c>
    </row>
    <row r="1118" spans="1:10" x14ac:dyDescent="0.25">
      <c r="A1118">
        <v>59901</v>
      </c>
      <c r="B1118" t="s">
        <v>3611</v>
      </c>
      <c r="C1118" t="s">
        <v>708</v>
      </c>
      <c r="D1118" t="s">
        <v>2241</v>
      </c>
      <c r="E1118" t="s">
        <v>2242</v>
      </c>
      <c r="F1118">
        <v>33710</v>
      </c>
      <c r="G1118">
        <v>9880</v>
      </c>
      <c r="H1118" s="32">
        <f t="shared" si="17"/>
        <v>3.4119433198380569</v>
      </c>
      <c r="I1118">
        <v>1</v>
      </c>
      <c r="J1118" t="s">
        <v>21</v>
      </c>
    </row>
    <row r="1119" spans="1:10" x14ac:dyDescent="0.25">
      <c r="A1119">
        <v>57465</v>
      </c>
      <c r="B1119" t="s">
        <v>3001</v>
      </c>
      <c r="C1119" t="s">
        <v>143</v>
      </c>
      <c r="D1119" t="s">
        <v>2241</v>
      </c>
      <c r="E1119" t="s">
        <v>2242</v>
      </c>
      <c r="F1119">
        <v>5599</v>
      </c>
      <c r="G1119">
        <v>1641</v>
      </c>
      <c r="H1119" s="32">
        <f t="shared" si="17"/>
        <v>3.4119439366240099</v>
      </c>
      <c r="I1119">
        <v>1</v>
      </c>
      <c r="J1119" t="s">
        <v>21</v>
      </c>
    </row>
    <row r="1120" spans="1:10" x14ac:dyDescent="0.25">
      <c r="A1120">
        <v>60435</v>
      </c>
      <c r="B1120" t="s">
        <v>3775</v>
      </c>
      <c r="C1120" t="s">
        <v>131</v>
      </c>
      <c r="D1120" t="s">
        <v>2241</v>
      </c>
      <c r="E1120" t="s">
        <v>2242</v>
      </c>
      <c r="F1120">
        <v>91812</v>
      </c>
      <c r="G1120">
        <v>26909</v>
      </c>
      <c r="H1120" s="32">
        <f t="shared" si="17"/>
        <v>3.4119439592701326</v>
      </c>
      <c r="I1120">
        <v>1</v>
      </c>
      <c r="J1120" t="s">
        <v>21</v>
      </c>
    </row>
    <row r="1121" spans="1:10" x14ac:dyDescent="0.25">
      <c r="A1121">
        <v>63272</v>
      </c>
      <c r="B1121" t="s">
        <v>4317</v>
      </c>
      <c r="C1121" t="s">
        <v>708</v>
      </c>
      <c r="D1121" t="s">
        <v>2241</v>
      </c>
      <c r="E1121" t="s">
        <v>2242</v>
      </c>
      <c r="F1121">
        <v>11140</v>
      </c>
      <c r="G1121">
        <v>3265</v>
      </c>
      <c r="H1121" s="32">
        <f t="shared" si="17"/>
        <v>3.4119448698315469</v>
      </c>
      <c r="I1121">
        <v>1</v>
      </c>
      <c r="J1121" t="s">
        <v>21</v>
      </c>
    </row>
    <row r="1122" spans="1:10" x14ac:dyDescent="0.25">
      <c r="A1122">
        <v>67554</v>
      </c>
      <c r="B1122" t="s">
        <v>5113</v>
      </c>
      <c r="C1122" t="s">
        <v>166</v>
      </c>
      <c r="D1122" t="s">
        <v>2241</v>
      </c>
      <c r="E1122" t="s">
        <v>2242</v>
      </c>
      <c r="F1122">
        <v>13368</v>
      </c>
      <c r="G1122">
        <v>3918</v>
      </c>
      <c r="H1122" s="32">
        <f t="shared" si="17"/>
        <v>3.4119448698315469</v>
      </c>
      <c r="I1122">
        <v>1</v>
      </c>
      <c r="J1122" t="s">
        <v>21</v>
      </c>
    </row>
    <row r="1123" spans="1:10" x14ac:dyDescent="0.25">
      <c r="A1123">
        <v>60965</v>
      </c>
      <c r="B1123" t="s">
        <v>3912</v>
      </c>
      <c r="C1123" t="s">
        <v>708</v>
      </c>
      <c r="D1123" t="s">
        <v>2241</v>
      </c>
      <c r="E1123" t="s">
        <v>2242</v>
      </c>
      <c r="F1123">
        <v>30049</v>
      </c>
      <c r="G1123">
        <v>8807</v>
      </c>
      <c r="H1123" s="32">
        <f t="shared" si="17"/>
        <v>3.4119450437152263</v>
      </c>
      <c r="I1123">
        <v>1</v>
      </c>
      <c r="J1123" t="s">
        <v>21</v>
      </c>
    </row>
    <row r="1124" spans="1:10" x14ac:dyDescent="0.25">
      <c r="A1124">
        <v>58957</v>
      </c>
      <c r="B1124" t="s">
        <v>3346</v>
      </c>
      <c r="C1124" t="s">
        <v>708</v>
      </c>
      <c r="D1124" t="s">
        <v>2241</v>
      </c>
      <c r="E1124" t="s">
        <v>2242</v>
      </c>
      <c r="F1124">
        <v>14453</v>
      </c>
      <c r="G1124">
        <v>4236</v>
      </c>
      <c r="H1124" s="32">
        <f t="shared" si="17"/>
        <v>3.4119452313503307</v>
      </c>
      <c r="I1124">
        <v>1</v>
      </c>
      <c r="J1124" t="s">
        <v>21</v>
      </c>
    </row>
    <row r="1125" spans="1:10" x14ac:dyDescent="0.25">
      <c r="A1125">
        <v>60287</v>
      </c>
      <c r="B1125" t="s">
        <v>3724</v>
      </c>
      <c r="C1125" t="s">
        <v>708</v>
      </c>
      <c r="D1125" t="s">
        <v>2241</v>
      </c>
      <c r="E1125" t="s">
        <v>2242</v>
      </c>
      <c r="F1125">
        <v>26678</v>
      </c>
      <c r="G1125">
        <v>7819</v>
      </c>
      <c r="H1125" s="32">
        <f t="shared" si="17"/>
        <v>3.4119452615423969</v>
      </c>
      <c r="I1125">
        <v>1</v>
      </c>
      <c r="J1125" t="s">
        <v>21</v>
      </c>
    </row>
    <row r="1126" spans="1:10" x14ac:dyDescent="0.25">
      <c r="A1126">
        <v>58463</v>
      </c>
      <c r="B1126" t="s">
        <v>3198</v>
      </c>
      <c r="C1126" t="s">
        <v>307</v>
      </c>
      <c r="D1126" t="s">
        <v>2241</v>
      </c>
      <c r="E1126" t="s">
        <v>2242</v>
      </c>
      <c r="F1126">
        <v>22222</v>
      </c>
      <c r="G1126">
        <v>6513</v>
      </c>
      <c r="H1126" s="32">
        <f t="shared" si="17"/>
        <v>3.4119453400890527</v>
      </c>
      <c r="I1126">
        <v>1</v>
      </c>
      <c r="J1126" t="s">
        <v>21</v>
      </c>
    </row>
    <row r="1127" spans="1:10" x14ac:dyDescent="0.25">
      <c r="A1127">
        <v>63790</v>
      </c>
      <c r="B1127" t="s">
        <v>4410</v>
      </c>
      <c r="C1127" t="s">
        <v>166</v>
      </c>
      <c r="D1127" t="s">
        <v>2241</v>
      </c>
      <c r="E1127" t="s">
        <v>2242</v>
      </c>
      <c r="F1127">
        <v>13310</v>
      </c>
      <c r="G1127">
        <v>3901</v>
      </c>
      <c r="H1127" s="32">
        <f t="shared" si="17"/>
        <v>3.4119456549602667</v>
      </c>
      <c r="I1127">
        <v>1</v>
      </c>
      <c r="J1127" t="s">
        <v>21</v>
      </c>
    </row>
    <row r="1128" spans="1:10" x14ac:dyDescent="0.25">
      <c r="A1128">
        <v>62305</v>
      </c>
      <c r="B1128" t="s">
        <v>4139</v>
      </c>
      <c r="C1128" t="s">
        <v>131</v>
      </c>
      <c r="D1128" t="s">
        <v>2241</v>
      </c>
      <c r="E1128" t="s">
        <v>2242</v>
      </c>
      <c r="F1128">
        <v>29817</v>
      </c>
      <c r="G1128">
        <v>8739</v>
      </c>
      <c r="H1128" s="32">
        <f t="shared" si="17"/>
        <v>3.411946446961895</v>
      </c>
      <c r="I1128">
        <v>1</v>
      </c>
      <c r="J1128" t="s">
        <v>21</v>
      </c>
    </row>
    <row r="1129" spans="1:10" x14ac:dyDescent="0.25">
      <c r="A1129">
        <v>60147</v>
      </c>
      <c r="B1129" t="s">
        <v>3690</v>
      </c>
      <c r="C1129" t="s">
        <v>708</v>
      </c>
      <c r="D1129" t="s">
        <v>2241</v>
      </c>
      <c r="E1129" t="s">
        <v>2242</v>
      </c>
      <c r="F1129">
        <v>31987</v>
      </c>
      <c r="G1129">
        <v>9375</v>
      </c>
      <c r="H1129" s="32">
        <f t="shared" si="17"/>
        <v>3.4119466666666667</v>
      </c>
      <c r="I1129">
        <v>1</v>
      </c>
      <c r="J1129" t="s">
        <v>21</v>
      </c>
    </row>
    <row r="1130" spans="1:10" x14ac:dyDescent="0.25">
      <c r="A1130">
        <v>61729</v>
      </c>
      <c r="B1130" t="s">
        <v>4051</v>
      </c>
      <c r="C1130" t="s">
        <v>131</v>
      </c>
      <c r="D1130" t="s">
        <v>2241</v>
      </c>
      <c r="E1130" t="s">
        <v>2242</v>
      </c>
      <c r="F1130">
        <v>43922</v>
      </c>
      <c r="G1130">
        <v>12873</v>
      </c>
      <c r="H1130" s="32">
        <f t="shared" si="17"/>
        <v>3.4119474869882702</v>
      </c>
      <c r="I1130">
        <v>1</v>
      </c>
      <c r="J1130" t="s">
        <v>21</v>
      </c>
    </row>
    <row r="1131" spans="1:10" x14ac:dyDescent="0.25">
      <c r="A1131">
        <v>61907</v>
      </c>
      <c r="B1131" t="s">
        <v>4083</v>
      </c>
      <c r="C1131" t="s">
        <v>241</v>
      </c>
      <c r="D1131" t="s">
        <v>2241</v>
      </c>
      <c r="E1131" t="s">
        <v>2242</v>
      </c>
      <c r="F1131">
        <v>39524</v>
      </c>
      <c r="G1131">
        <v>11584</v>
      </c>
      <c r="H1131" s="32">
        <f t="shared" si="17"/>
        <v>3.4119475138121547</v>
      </c>
      <c r="I1131">
        <v>1</v>
      </c>
      <c r="J1131" t="s">
        <v>21</v>
      </c>
    </row>
    <row r="1132" spans="1:10" x14ac:dyDescent="0.25">
      <c r="A1132">
        <v>69235</v>
      </c>
      <c r="B1132" t="s">
        <v>5344</v>
      </c>
      <c r="C1132" t="s">
        <v>143</v>
      </c>
      <c r="D1132" t="s">
        <v>2241</v>
      </c>
      <c r="E1132" t="s">
        <v>2242</v>
      </c>
      <c r="F1132">
        <v>35010</v>
      </c>
      <c r="G1132">
        <v>10261</v>
      </c>
      <c r="H1132" s="32">
        <f t="shared" si="17"/>
        <v>3.4119481532014424</v>
      </c>
      <c r="I1132">
        <v>1</v>
      </c>
      <c r="J1132" t="s">
        <v>21</v>
      </c>
    </row>
    <row r="1133" spans="1:10" x14ac:dyDescent="0.25">
      <c r="A1133">
        <v>59530</v>
      </c>
      <c r="B1133" t="s">
        <v>3500</v>
      </c>
      <c r="C1133" t="s">
        <v>708</v>
      </c>
      <c r="D1133" t="s">
        <v>2241</v>
      </c>
      <c r="E1133" t="s">
        <v>2242</v>
      </c>
      <c r="F1133">
        <v>115938</v>
      </c>
      <c r="G1133">
        <v>33980</v>
      </c>
      <c r="H1133" s="32">
        <f t="shared" si="17"/>
        <v>3.4119482048263685</v>
      </c>
      <c r="I1133">
        <v>1</v>
      </c>
      <c r="J1133" t="s">
        <v>21</v>
      </c>
    </row>
    <row r="1134" spans="1:10" x14ac:dyDescent="0.25">
      <c r="A1134">
        <v>64910</v>
      </c>
      <c r="B1134" t="s">
        <v>4661</v>
      </c>
      <c r="C1134" t="s">
        <v>708</v>
      </c>
      <c r="D1134" t="s">
        <v>2241</v>
      </c>
      <c r="E1134" t="s">
        <v>2242</v>
      </c>
      <c r="F1134">
        <v>71047</v>
      </c>
      <c r="G1134">
        <v>20823</v>
      </c>
      <c r="H1134" s="32">
        <f t="shared" si="17"/>
        <v>3.4119483263698793</v>
      </c>
      <c r="I1134">
        <v>1</v>
      </c>
      <c r="J1134" t="s">
        <v>21</v>
      </c>
    </row>
    <row r="1135" spans="1:10" x14ac:dyDescent="0.25">
      <c r="A1135">
        <v>60985</v>
      </c>
      <c r="B1135" t="s">
        <v>3916</v>
      </c>
      <c r="C1135" t="s">
        <v>143</v>
      </c>
      <c r="D1135" t="s">
        <v>2241</v>
      </c>
      <c r="E1135" t="s">
        <v>2242</v>
      </c>
      <c r="F1135">
        <v>9823</v>
      </c>
      <c r="G1135">
        <v>2879</v>
      </c>
      <c r="H1135" s="32">
        <f t="shared" si="17"/>
        <v>3.411948593261549</v>
      </c>
      <c r="I1135">
        <v>1</v>
      </c>
      <c r="J1135" t="s">
        <v>21</v>
      </c>
    </row>
    <row r="1136" spans="1:10" x14ac:dyDescent="0.25">
      <c r="A1136">
        <v>65418</v>
      </c>
      <c r="B1136" t="s">
        <v>4748</v>
      </c>
      <c r="C1136" t="s">
        <v>241</v>
      </c>
      <c r="D1136" t="s">
        <v>2241</v>
      </c>
      <c r="E1136" t="s">
        <v>2242</v>
      </c>
      <c r="F1136">
        <v>10908</v>
      </c>
      <c r="G1136">
        <v>3197</v>
      </c>
      <c r="H1136" s="32">
        <f t="shared" si="17"/>
        <v>3.411948701908039</v>
      </c>
      <c r="I1136">
        <v>1</v>
      </c>
      <c r="J1136" t="s">
        <v>21</v>
      </c>
    </row>
    <row r="1137" spans="1:10" x14ac:dyDescent="0.25">
      <c r="A1137">
        <v>61849</v>
      </c>
      <c r="B1137" t="s">
        <v>4074</v>
      </c>
      <c r="C1137" t="s">
        <v>201</v>
      </c>
      <c r="D1137" t="s">
        <v>2241</v>
      </c>
      <c r="E1137" t="s">
        <v>2242</v>
      </c>
      <c r="F1137">
        <v>41230</v>
      </c>
      <c r="G1137">
        <v>12084</v>
      </c>
      <c r="H1137" s="32">
        <f t="shared" si="17"/>
        <v>3.4119496855345912</v>
      </c>
      <c r="I1137">
        <v>1</v>
      </c>
      <c r="J1137" t="s">
        <v>21</v>
      </c>
    </row>
    <row r="1138" spans="1:10" x14ac:dyDescent="0.25">
      <c r="A1138">
        <v>64820</v>
      </c>
      <c r="B1138" t="s">
        <v>4648</v>
      </c>
      <c r="C1138" t="s">
        <v>708</v>
      </c>
      <c r="D1138" t="s">
        <v>2241</v>
      </c>
      <c r="E1138" t="s">
        <v>2242</v>
      </c>
      <c r="F1138">
        <v>13020</v>
      </c>
      <c r="G1138">
        <v>3816</v>
      </c>
      <c r="H1138" s="32">
        <f t="shared" si="17"/>
        <v>3.4119496855345912</v>
      </c>
      <c r="I1138">
        <v>1</v>
      </c>
      <c r="J1138" t="s">
        <v>21</v>
      </c>
    </row>
    <row r="1139" spans="1:10" x14ac:dyDescent="0.25">
      <c r="A1139">
        <v>67255</v>
      </c>
      <c r="B1139" t="s">
        <v>5071</v>
      </c>
      <c r="C1139" t="s">
        <v>166</v>
      </c>
      <c r="D1139" t="s">
        <v>2241</v>
      </c>
      <c r="E1139" t="s">
        <v>2242</v>
      </c>
      <c r="F1139">
        <v>7595</v>
      </c>
      <c r="G1139">
        <v>2226</v>
      </c>
      <c r="H1139" s="32">
        <f t="shared" si="17"/>
        <v>3.4119496855345912</v>
      </c>
      <c r="I1139">
        <v>1</v>
      </c>
      <c r="J1139" t="s">
        <v>21</v>
      </c>
    </row>
    <row r="1140" spans="1:10" x14ac:dyDescent="0.25">
      <c r="A1140">
        <v>67374</v>
      </c>
      <c r="B1140" t="s">
        <v>5087</v>
      </c>
      <c r="C1140" t="s">
        <v>201</v>
      </c>
      <c r="D1140" t="s">
        <v>2241</v>
      </c>
      <c r="E1140" t="s">
        <v>2242</v>
      </c>
      <c r="F1140">
        <v>33635</v>
      </c>
      <c r="G1140">
        <v>9858</v>
      </c>
      <c r="H1140" s="32">
        <f t="shared" si="17"/>
        <v>3.4119496855345912</v>
      </c>
      <c r="I1140">
        <v>1</v>
      </c>
      <c r="J1140" t="s">
        <v>21</v>
      </c>
    </row>
    <row r="1141" spans="1:10" x14ac:dyDescent="0.25">
      <c r="A1141">
        <v>63836</v>
      </c>
      <c r="B1141" t="s">
        <v>4424</v>
      </c>
      <c r="C1141" t="s">
        <v>708</v>
      </c>
      <c r="D1141" t="s">
        <v>2241</v>
      </c>
      <c r="E1141" t="s">
        <v>2242</v>
      </c>
      <c r="F1141">
        <v>28152</v>
      </c>
      <c r="G1141">
        <v>8251</v>
      </c>
      <c r="H1141" s="32">
        <f t="shared" si="17"/>
        <v>3.4119500666585867</v>
      </c>
      <c r="I1141">
        <v>1</v>
      </c>
      <c r="J1141" t="s">
        <v>21</v>
      </c>
    </row>
    <row r="1142" spans="1:10" x14ac:dyDescent="0.25">
      <c r="A1142">
        <v>63503</v>
      </c>
      <c r="B1142" t="s">
        <v>4364</v>
      </c>
      <c r="C1142" t="s">
        <v>241</v>
      </c>
      <c r="D1142" t="s">
        <v>2241</v>
      </c>
      <c r="E1142" t="s">
        <v>2242</v>
      </c>
      <c r="F1142">
        <v>49736</v>
      </c>
      <c r="G1142">
        <v>14577</v>
      </c>
      <c r="H1142" s="32">
        <f t="shared" si="17"/>
        <v>3.4119503327159224</v>
      </c>
      <c r="I1142">
        <v>1</v>
      </c>
      <c r="J1142" t="s">
        <v>21</v>
      </c>
    </row>
    <row r="1143" spans="1:10" x14ac:dyDescent="0.25">
      <c r="A1143">
        <v>60401</v>
      </c>
      <c r="B1143" t="s">
        <v>3764</v>
      </c>
      <c r="C1143" t="s">
        <v>708</v>
      </c>
      <c r="D1143" t="s">
        <v>2241</v>
      </c>
      <c r="E1143" t="s">
        <v>2242</v>
      </c>
      <c r="F1143">
        <v>30264</v>
      </c>
      <c r="G1143">
        <v>8870</v>
      </c>
      <c r="H1143" s="32">
        <f t="shared" si="17"/>
        <v>3.4119503945885006</v>
      </c>
      <c r="I1143">
        <v>1</v>
      </c>
      <c r="J1143" t="s">
        <v>21</v>
      </c>
    </row>
    <row r="1144" spans="1:10" x14ac:dyDescent="0.25">
      <c r="A1144">
        <v>67225</v>
      </c>
      <c r="B1144" t="s">
        <v>5065</v>
      </c>
      <c r="C1144" t="s">
        <v>201</v>
      </c>
      <c r="D1144" t="s">
        <v>2241</v>
      </c>
      <c r="E1144" t="s">
        <v>2242</v>
      </c>
      <c r="F1144">
        <v>34488</v>
      </c>
      <c r="G1144">
        <v>10108</v>
      </c>
      <c r="H1144" s="32">
        <f t="shared" si="17"/>
        <v>3.4119509299564701</v>
      </c>
      <c r="I1144">
        <v>1</v>
      </c>
      <c r="J1144" t="s">
        <v>21</v>
      </c>
    </row>
    <row r="1145" spans="1:10" x14ac:dyDescent="0.25">
      <c r="A1145">
        <v>57948</v>
      </c>
      <c r="B1145" t="s">
        <v>3079</v>
      </c>
      <c r="C1145" t="s">
        <v>241</v>
      </c>
      <c r="D1145" t="s">
        <v>2241</v>
      </c>
      <c r="E1145" t="s">
        <v>2242</v>
      </c>
      <c r="F1145">
        <v>54929</v>
      </c>
      <c r="G1145">
        <v>16099</v>
      </c>
      <c r="H1145" s="32">
        <f t="shared" si="17"/>
        <v>3.411951052860426</v>
      </c>
      <c r="I1145">
        <v>1</v>
      </c>
      <c r="J1145" t="s">
        <v>21</v>
      </c>
    </row>
    <row r="1146" spans="1:10" x14ac:dyDescent="0.25">
      <c r="A1146">
        <v>65321</v>
      </c>
      <c r="B1146" t="s">
        <v>4721</v>
      </c>
      <c r="C1146" t="s">
        <v>201</v>
      </c>
      <c r="D1146" t="s">
        <v>2241</v>
      </c>
      <c r="E1146" t="s">
        <v>2242</v>
      </c>
      <c r="F1146">
        <v>108541</v>
      </c>
      <c r="G1146">
        <v>31812</v>
      </c>
      <c r="H1146" s="32">
        <f t="shared" si="17"/>
        <v>3.411951464856029</v>
      </c>
      <c r="I1146">
        <v>1</v>
      </c>
      <c r="J1146" t="s">
        <v>21</v>
      </c>
    </row>
    <row r="1147" spans="1:10" x14ac:dyDescent="0.25">
      <c r="A1147">
        <v>66365</v>
      </c>
      <c r="B1147" t="s">
        <v>4885</v>
      </c>
      <c r="C1147" t="s">
        <v>143</v>
      </c>
      <c r="D1147" t="s">
        <v>2241</v>
      </c>
      <c r="E1147" t="s">
        <v>2242</v>
      </c>
      <c r="F1147">
        <v>79420</v>
      </c>
      <c r="G1147">
        <v>23277</v>
      </c>
      <c r="H1147" s="32">
        <f t="shared" si="17"/>
        <v>3.4119517119903766</v>
      </c>
      <c r="I1147">
        <v>1</v>
      </c>
      <c r="J1147" t="s">
        <v>21</v>
      </c>
    </row>
    <row r="1148" spans="1:10" x14ac:dyDescent="0.25">
      <c r="A1148">
        <v>59192</v>
      </c>
      <c r="B1148" t="s">
        <v>3420</v>
      </c>
      <c r="C1148" t="s">
        <v>708</v>
      </c>
      <c r="D1148" t="s">
        <v>2241</v>
      </c>
      <c r="E1148" t="s">
        <v>2242</v>
      </c>
      <c r="F1148">
        <v>31117</v>
      </c>
      <c r="G1148">
        <v>9120</v>
      </c>
      <c r="H1148" s="32">
        <f t="shared" si="17"/>
        <v>3.411951754385965</v>
      </c>
      <c r="I1148">
        <v>1</v>
      </c>
      <c r="J1148" t="s">
        <v>21</v>
      </c>
    </row>
    <row r="1149" spans="1:10" x14ac:dyDescent="0.25">
      <c r="A1149">
        <v>67022</v>
      </c>
      <c r="B1149" t="s">
        <v>5006</v>
      </c>
      <c r="C1149" t="s">
        <v>307</v>
      </c>
      <c r="D1149" t="s">
        <v>2241</v>
      </c>
      <c r="E1149" t="s">
        <v>2242</v>
      </c>
      <c r="F1149">
        <v>25750</v>
      </c>
      <c r="G1149">
        <v>7547</v>
      </c>
      <c r="H1149" s="32">
        <f t="shared" si="17"/>
        <v>3.4119517689148005</v>
      </c>
      <c r="I1149">
        <v>1</v>
      </c>
      <c r="J1149" t="s">
        <v>21</v>
      </c>
    </row>
    <row r="1150" spans="1:10" x14ac:dyDescent="0.25">
      <c r="A1150">
        <v>67297</v>
      </c>
      <c r="B1150" t="s">
        <v>5081</v>
      </c>
      <c r="C1150" t="s">
        <v>307</v>
      </c>
      <c r="D1150" t="s">
        <v>2241</v>
      </c>
      <c r="E1150" t="s">
        <v>2242</v>
      </c>
      <c r="F1150">
        <v>13931</v>
      </c>
      <c r="G1150">
        <v>4083</v>
      </c>
      <c r="H1150" s="32">
        <f t="shared" si="17"/>
        <v>3.4119519960813127</v>
      </c>
      <c r="I1150">
        <v>1</v>
      </c>
      <c r="J1150" t="s">
        <v>21</v>
      </c>
    </row>
    <row r="1151" spans="1:10" x14ac:dyDescent="0.25">
      <c r="A1151">
        <v>69917</v>
      </c>
      <c r="B1151" t="s">
        <v>5413</v>
      </c>
      <c r="C1151" t="s">
        <v>166</v>
      </c>
      <c r="D1151" t="s">
        <v>2241</v>
      </c>
      <c r="E1151" t="s">
        <v>2242</v>
      </c>
      <c r="F1151">
        <v>18213</v>
      </c>
      <c r="G1151">
        <v>5338</v>
      </c>
      <c r="H1151" s="32">
        <f t="shared" si="17"/>
        <v>3.4119520419632821</v>
      </c>
      <c r="I1151">
        <v>1</v>
      </c>
      <c r="J1151" t="s">
        <v>21</v>
      </c>
    </row>
    <row r="1152" spans="1:10" x14ac:dyDescent="0.25">
      <c r="A1152">
        <v>59109</v>
      </c>
      <c r="B1152" t="s">
        <v>3375</v>
      </c>
      <c r="C1152" t="s">
        <v>708</v>
      </c>
      <c r="D1152" t="s">
        <v>2241</v>
      </c>
      <c r="E1152" t="s">
        <v>2242</v>
      </c>
      <c r="F1152">
        <v>31059</v>
      </c>
      <c r="G1152">
        <v>9103</v>
      </c>
      <c r="H1152" s="32">
        <f t="shared" si="17"/>
        <v>3.4119521037020761</v>
      </c>
      <c r="I1152">
        <v>1</v>
      </c>
      <c r="J1152" t="s">
        <v>21</v>
      </c>
    </row>
    <row r="1153" spans="1:10" x14ac:dyDescent="0.25">
      <c r="A1153">
        <v>66725</v>
      </c>
      <c r="B1153" t="s">
        <v>4955</v>
      </c>
      <c r="C1153" t="s">
        <v>708</v>
      </c>
      <c r="D1153" t="s">
        <v>2241</v>
      </c>
      <c r="E1153" t="s">
        <v>2242</v>
      </c>
      <c r="F1153">
        <v>39623</v>
      </c>
      <c r="G1153">
        <v>11613</v>
      </c>
      <c r="H1153" s="32">
        <f t="shared" si="17"/>
        <v>3.4119521226212002</v>
      </c>
      <c r="I1153">
        <v>1</v>
      </c>
      <c r="J1153" t="s">
        <v>21</v>
      </c>
    </row>
    <row r="1154" spans="1:10" x14ac:dyDescent="0.25">
      <c r="A1154">
        <v>63975</v>
      </c>
      <c r="B1154" t="s">
        <v>4458</v>
      </c>
      <c r="C1154" t="s">
        <v>708</v>
      </c>
      <c r="D1154" t="s">
        <v>2241</v>
      </c>
      <c r="E1154" t="s">
        <v>2242</v>
      </c>
      <c r="F1154">
        <v>34198</v>
      </c>
      <c r="G1154">
        <v>10023</v>
      </c>
      <c r="H1154" s="32">
        <f t="shared" ref="H1154:H1217" si="18">IF(AND(F1154&gt;0,G1154&gt;0),F1154/G1154,"")</f>
        <v>3.4119525092287737</v>
      </c>
      <c r="I1154">
        <v>1</v>
      </c>
      <c r="J1154" t="s">
        <v>21</v>
      </c>
    </row>
    <row r="1155" spans="1:10" x14ac:dyDescent="0.25">
      <c r="A1155">
        <v>64366</v>
      </c>
      <c r="B1155" t="s">
        <v>4550</v>
      </c>
      <c r="C1155" t="s">
        <v>708</v>
      </c>
      <c r="D1155" t="s">
        <v>2241</v>
      </c>
      <c r="E1155" t="s">
        <v>2242</v>
      </c>
      <c r="F1155">
        <v>22437</v>
      </c>
      <c r="G1155">
        <v>6576</v>
      </c>
      <c r="H1155" s="32">
        <f t="shared" si="18"/>
        <v>3.4119525547445257</v>
      </c>
      <c r="I1155">
        <v>1</v>
      </c>
      <c r="J1155" t="s">
        <v>21</v>
      </c>
    </row>
    <row r="1156" spans="1:10" x14ac:dyDescent="0.25">
      <c r="A1156">
        <v>58350</v>
      </c>
      <c r="B1156" t="s">
        <v>3173</v>
      </c>
      <c r="C1156" t="s">
        <v>708</v>
      </c>
      <c r="D1156" t="s">
        <v>2241</v>
      </c>
      <c r="E1156" t="s">
        <v>2242</v>
      </c>
      <c r="F1156">
        <v>28715</v>
      </c>
      <c r="G1156">
        <v>8416</v>
      </c>
      <c r="H1156" s="32">
        <f t="shared" si="18"/>
        <v>3.4119534220532319</v>
      </c>
      <c r="I1156">
        <v>1</v>
      </c>
      <c r="J1156" t="s">
        <v>21</v>
      </c>
    </row>
    <row r="1157" spans="1:10" x14ac:dyDescent="0.25">
      <c r="A1157">
        <v>62746</v>
      </c>
      <c r="B1157" t="s">
        <v>4219</v>
      </c>
      <c r="C1157" t="s">
        <v>241</v>
      </c>
      <c r="D1157" t="s">
        <v>2241</v>
      </c>
      <c r="E1157" t="s">
        <v>2242</v>
      </c>
      <c r="F1157">
        <v>15927</v>
      </c>
      <c r="G1157">
        <v>4668</v>
      </c>
      <c r="H1157" s="32">
        <f t="shared" si="18"/>
        <v>3.4119537275064267</v>
      </c>
      <c r="I1157">
        <v>1</v>
      </c>
      <c r="J1157" t="s">
        <v>21</v>
      </c>
    </row>
    <row r="1158" spans="1:10" x14ac:dyDescent="0.25">
      <c r="A1158">
        <v>60161</v>
      </c>
      <c r="B1158" t="s">
        <v>3695</v>
      </c>
      <c r="C1158" t="s">
        <v>708</v>
      </c>
      <c r="D1158" t="s">
        <v>2241</v>
      </c>
      <c r="E1158" t="s">
        <v>2242</v>
      </c>
      <c r="F1158">
        <v>26487</v>
      </c>
      <c r="G1158">
        <v>7763</v>
      </c>
      <c r="H1158" s="32">
        <f t="shared" si="18"/>
        <v>3.4119541414401651</v>
      </c>
      <c r="I1158">
        <v>1</v>
      </c>
      <c r="J1158" t="s">
        <v>21</v>
      </c>
    </row>
    <row r="1159" spans="1:10" x14ac:dyDescent="0.25">
      <c r="A1159">
        <v>63356</v>
      </c>
      <c r="B1159" t="s">
        <v>4335</v>
      </c>
      <c r="C1159" t="s">
        <v>241</v>
      </c>
      <c r="D1159" t="s">
        <v>2241</v>
      </c>
      <c r="E1159" t="s">
        <v>2242</v>
      </c>
      <c r="F1159">
        <v>9533</v>
      </c>
      <c r="G1159">
        <v>2794</v>
      </c>
      <c r="H1159" s="32">
        <f t="shared" si="18"/>
        <v>3.4119541875447386</v>
      </c>
      <c r="I1159">
        <v>1</v>
      </c>
      <c r="J1159" t="s">
        <v>21</v>
      </c>
    </row>
    <row r="1160" spans="1:10" x14ac:dyDescent="0.25">
      <c r="A1160">
        <v>66813</v>
      </c>
      <c r="B1160" t="s">
        <v>4967</v>
      </c>
      <c r="C1160" t="s">
        <v>241</v>
      </c>
      <c r="D1160" t="s">
        <v>2241</v>
      </c>
      <c r="E1160" t="s">
        <v>2242</v>
      </c>
      <c r="F1160">
        <v>4224</v>
      </c>
      <c r="G1160">
        <v>1238</v>
      </c>
      <c r="H1160" s="32">
        <f t="shared" si="18"/>
        <v>3.4119547657512115</v>
      </c>
      <c r="I1160">
        <v>1</v>
      </c>
      <c r="J1160" t="s">
        <v>21</v>
      </c>
    </row>
    <row r="1161" spans="1:10" x14ac:dyDescent="0.25">
      <c r="A1161">
        <v>63087</v>
      </c>
      <c r="B1161" t="s">
        <v>4294</v>
      </c>
      <c r="C1161" t="s">
        <v>201</v>
      </c>
      <c r="D1161" t="s">
        <v>2241</v>
      </c>
      <c r="E1161" t="s">
        <v>2242</v>
      </c>
      <c r="F1161">
        <v>99090</v>
      </c>
      <c r="G1161">
        <v>29042</v>
      </c>
      <c r="H1161" s="32">
        <f t="shared" si="18"/>
        <v>3.411955099511053</v>
      </c>
      <c r="I1161">
        <v>1</v>
      </c>
      <c r="J1161" t="s">
        <v>21</v>
      </c>
    </row>
    <row r="1162" spans="1:10" x14ac:dyDescent="0.25">
      <c r="A1162">
        <v>65082</v>
      </c>
      <c r="B1162" t="s">
        <v>4682</v>
      </c>
      <c r="C1162" t="s">
        <v>143</v>
      </c>
      <c r="D1162" t="s">
        <v>2241</v>
      </c>
      <c r="E1162" t="s">
        <v>2242</v>
      </c>
      <c r="F1162">
        <v>122148</v>
      </c>
      <c r="G1162">
        <v>35800</v>
      </c>
      <c r="H1162" s="32">
        <f t="shared" si="18"/>
        <v>3.4119553072625699</v>
      </c>
      <c r="I1162">
        <v>1</v>
      </c>
      <c r="J1162" t="s">
        <v>21</v>
      </c>
    </row>
    <row r="1163" spans="1:10" x14ac:dyDescent="0.25">
      <c r="A1163">
        <v>65412</v>
      </c>
      <c r="B1163" t="s">
        <v>4743</v>
      </c>
      <c r="C1163" t="s">
        <v>166</v>
      </c>
      <c r="D1163" t="s">
        <v>2241</v>
      </c>
      <c r="E1163" t="s">
        <v>2242</v>
      </c>
      <c r="F1163">
        <v>65182</v>
      </c>
      <c r="G1163">
        <v>19104</v>
      </c>
      <c r="H1163" s="32">
        <f t="shared" si="18"/>
        <v>3.4119556113902849</v>
      </c>
      <c r="I1163">
        <v>1</v>
      </c>
      <c r="J1163" t="s">
        <v>21</v>
      </c>
    </row>
    <row r="1164" spans="1:10" x14ac:dyDescent="0.25">
      <c r="A1164">
        <v>59554</v>
      </c>
      <c r="B1164" t="s">
        <v>3510</v>
      </c>
      <c r="C1164" t="s">
        <v>708</v>
      </c>
      <c r="D1164" t="s">
        <v>2241</v>
      </c>
      <c r="E1164" t="s">
        <v>2242</v>
      </c>
      <c r="F1164">
        <v>10502</v>
      </c>
      <c r="G1164">
        <v>3078</v>
      </c>
      <c r="H1164" s="32">
        <f t="shared" si="18"/>
        <v>3.4119558154645873</v>
      </c>
      <c r="I1164">
        <v>1</v>
      </c>
      <c r="J1164" t="s">
        <v>21</v>
      </c>
    </row>
    <row r="1165" spans="1:10" x14ac:dyDescent="0.25">
      <c r="A1165">
        <v>67808</v>
      </c>
      <c r="B1165" t="s">
        <v>5175</v>
      </c>
      <c r="C1165" t="s">
        <v>241</v>
      </c>
      <c r="D1165" t="s">
        <v>2241</v>
      </c>
      <c r="E1165" t="s">
        <v>2242</v>
      </c>
      <c r="F1165">
        <v>5251</v>
      </c>
      <c r="G1165">
        <v>1539</v>
      </c>
      <c r="H1165" s="32">
        <f t="shared" si="18"/>
        <v>3.4119558154645873</v>
      </c>
      <c r="I1165">
        <v>1</v>
      </c>
      <c r="J1165" t="s">
        <v>21</v>
      </c>
    </row>
    <row r="1166" spans="1:10" x14ac:dyDescent="0.25">
      <c r="A1166">
        <v>64514</v>
      </c>
      <c r="B1166" t="s">
        <v>4597</v>
      </c>
      <c r="C1166" t="s">
        <v>708</v>
      </c>
      <c r="D1166" t="s">
        <v>2241</v>
      </c>
      <c r="E1166" t="s">
        <v>2242</v>
      </c>
      <c r="F1166">
        <v>11529</v>
      </c>
      <c r="G1166">
        <v>3379</v>
      </c>
      <c r="H1166" s="32">
        <f t="shared" si="18"/>
        <v>3.4119562000591892</v>
      </c>
      <c r="I1166">
        <v>1</v>
      </c>
      <c r="J1166" t="s">
        <v>21</v>
      </c>
    </row>
    <row r="1167" spans="1:10" x14ac:dyDescent="0.25">
      <c r="A1167">
        <v>60728</v>
      </c>
      <c r="B1167" t="s">
        <v>3845</v>
      </c>
      <c r="C1167" t="s">
        <v>241</v>
      </c>
      <c r="D1167" t="s">
        <v>2241</v>
      </c>
      <c r="E1167" t="s">
        <v>2242</v>
      </c>
      <c r="F1167">
        <v>26197</v>
      </c>
      <c r="G1167">
        <v>7678</v>
      </c>
      <c r="H1167" s="32">
        <f t="shared" si="18"/>
        <v>3.4119562386038029</v>
      </c>
      <c r="I1167">
        <v>1</v>
      </c>
      <c r="J1167" t="s">
        <v>21</v>
      </c>
    </row>
    <row r="1168" spans="1:10" x14ac:dyDescent="0.25">
      <c r="A1168">
        <v>62011</v>
      </c>
      <c r="B1168" t="s">
        <v>4096</v>
      </c>
      <c r="C1168" t="s">
        <v>201</v>
      </c>
      <c r="D1168" t="s">
        <v>2241</v>
      </c>
      <c r="E1168" t="s">
        <v>2242</v>
      </c>
      <c r="F1168">
        <v>123622</v>
      </c>
      <c r="G1168">
        <v>36232</v>
      </c>
      <c r="H1168" s="32">
        <f t="shared" si="18"/>
        <v>3.4119562817398985</v>
      </c>
      <c r="I1168">
        <v>1</v>
      </c>
      <c r="J1168" t="s">
        <v>21</v>
      </c>
    </row>
    <row r="1169" spans="1:10" x14ac:dyDescent="0.25">
      <c r="A1169">
        <v>66720</v>
      </c>
      <c r="B1169" t="s">
        <v>4950</v>
      </c>
      <c r="C1169" t="s">
        <v>708</v>
      </c>
      <c r="D1169" t="s">
        <v>2241</v>
      </c>
      <c r="E1169" t="s">
        <v>2242</v>
      </c>
      <c r="F1169">
        <v>33502</v>
      </c>
      <c r="G1169">
        <v>9819</v>
      </c>
      <c r="H1169" s="32">
        <f t="shared" si="18"/>
        <v>3.4119564110398208</v>
      </c>
      <c r="I1169">
        <v>1</v>
      </c>
      <c r="J1169" t="s">
        <v>21</v>
      </c>
    </row>
    <row r="1170" spans="1:10" x14ac:dyDescent="0.25">
      <c r="A1170">
        <v>65638</v>
      </c>
      <c r="B1170" t="s">
        <v>4785</v>
      </c>
      <c r="C1170" t="s">
        <v>2029</v>
      </c>
      <c r="D1170" t="s">
        <v>2241</v>
      </c>
      <c r="E1170" t="s">
        <v>2242</v>
      </c>
      <c r="F1170">
        <v>34529</v>
      </c>
      <c r="G1170">
        <v>10120</v>
      </c>
      <c r="H1170" s="32">
        <f t="shared" si="18"/>
        <v>3.4119565217391306</v>
      </c>
      <c r="I1170">
        <v>1</v>
      </c>
      <c r="J1170" t="s">
        <v>21</v>
      </c>
    </row>
    <row r="1171" spans="1:10" x14ac:dyDescent="0.25">
      <c r="A1171">
        <v>60864</v>
      </c>
      <c r="B1171" t="s">
        <v>3895</v>
      </c>
      <c r="C1171" t="s">
        <v>131</v>
      </c>
      <c r="D1171" t="s">
        <v>2241</v>
      </c>
      <c r="E1171" t="s">
        <v>2242</v>
      </c>
      <c r="F1171">
        <v>24027</v>
      </c>
      <c r="G1171">
        <v>7042</v>
      </c>
      <c r="H1171" s="32">
        <f t="shared" si="18"/>
        <v>3.411956830445896</v>
      </c>
      <c r="I1171">
        <v>1</v>
      </c>
      <c r="J1171" t="s">
        <v>21</v>
      </c>
    </row>
    <row r="1172" spans="1:10" x14ac:dyDescent="0.25">
      <c r="A1172">
        <v>59628</v>
      </c>
      <c r="B1172" t="s">
        <v>3540</v>
      </c>
      <c r="C1172" t="s">
        <v>241</v>
      </c>
      <c r="D1172" t="s">
        <v>2241</v>
      </c>
      <c r="E1172" t="s">
        <v>2242</v>
      </c>
      <c r="F1172">
        <v>25054</v>
      </c>
      <c r="G1172">
        <v>7343</v>
      </c>
      <c r="H1172" s="32">
        <f t="shared" si="18"/>
        <v>3.4119569658177857</v>
      </c>
      <c r="I1172">
        <v>1</v>
      </c>
      <c r="J1172" t="s">
        <v>21</v>
      </c>
    </row>
    <row r="1173" spans="1:10" x14ac:dyDescent="0.25">
      <c r="A1173">
        <v>60107</v>
      </c>
      <c r="B1173" t="s">
        <v>3672</v>
      </c>
      <c r="C1173" t="s">
        <v>708</v>
      </c>
      <c r="D1173" t="s">
        <v>2241</v>
      </c>
      <c r="E1173" t="s">
        <v>2242</v>
      </c>
      <c r="F1173">
        <v>11471</v>
      </c>
      <c r="G1173">
        <v>3362</v>
      </c>
      <c r="H1173" s="32">
        <f t="shared" si="18"/>
        <v>3.4119571683521714</v>
      </c>
      <c r="I1173">
        <v>1</v>
      </c>
      <c r="J1173" t="s">
        <v>21</v>
      </c>
    </row>
    <row r="1174" spans="1:10" x14ac:dyDescent="0.25">
      <c r="A1174">
        <v>64642</v>
      </c>
      <c r="B1174" t="s">
        <v>4617</v>
      </c>
      <c r="C1174" t="s">
        <v>307</v>
      </c>
      <c r="D1174" t="s">
        <v>2241</v>
      </c>
      <c r="E1174" t="s">
        <v>2242</v>
      </c>
      <c r="F1174">
        <v>11471</v>
      </c>
      <c r="G1174">
        <v>3362</v>
      </c>
      <c r="H1174" s="32">
        <f t="shared" si="18"/>
        <v>3.4119571683521714</v>
      </c>
      <c r="I1174">
        <v>1</v>
      </c>
      <c r="J1174" t="s">
        <v>21</v>
      </c>
    </row>
    <row r="1175" spans="1:10" x14ac:dyDescent="0.25">
      <c r="A1175">
        <v>61955</v>
      </c>
      <c r="B1175" t="s">
        <v>4090</v>
      </c>
      <c r="C1175" t="s">
        <v>250</v>
      </c>
      <c r="D1175" t="s">
        <v>2241</v>
      </c>
      <c r="E1175" t="s">
        <v>2242</v>
      </c>
      <c r="F1175">
        <v>86401</v>
      </c>
      <c r="G1175">
        <v>25323</v>
      </c>
      <c r="H1175" s="32">
        <f t="shared" si="18"/>
        <v>3.4119575089839276</v>
      </c>
      <c r="I1175">
        <v>1</v>
      </c>
      <c r="J1175" t="s">
        <v>21</v>
      </c>
    </row>
    <row r="1176" spans="1:10" x14ac:dyDescent="0.25">
      <c r="A1176">
        <v>64972</v>
      </c>
      <c r="B1176" t="s">
        <v>4666</v>
      </c>
      <c r="C1176" t="s">
        <v>166</v>
      </c>
      <c r="D1176" t="s">
        <v>2241</v>
      </c>
      <c r="E1176" t="s">
        <v>2242</v>
      </c>
      <c r="F1176">
        <v>13525</v>
      </c>
      <c r="G1176">
        <v>3964</v>
      </c>
      <c r="H1176" s="32">
        <f t="shared" si="18"/>
        <v>3.4119576185671039</v>
      </c>
      <c r="I1176">
        <v>1</v>
      </c>
      <c r="J1176" t="s">
        <v>21</v>
      </c>
    </row>
    <row r="1177" spans="1:10" x14ac:dyDescent="0.25">
      <c r="A1177">
        <v>66900</v>
      </c>
      <c r="B1177" t="s">
        <v>4988</v>
      </c>
      <c r="C1177" t="s">
        <v>118</v>
      </c>
      <c r="D1177" t="s">
        <v>2241</v>
      </c>
      <c r="E1177" t="s">
        <v>2242</v>
      </c>
      <c r="F1177">
        <v>27050</v>
      </c>
      <c r="G1177">
        <v>7928</v>
      </c>
      <c r="H1177" s="32">
        <f t="shared" si="18"/>
        <v>3.4119576185671039</v>
      </c>
      <c r="I1177">
        <v>1</v>
      </c>
      <c r="J1177" t="s">
        <v>21</v>
      </c>
    </row>
    <row r="1178" spans="1:10" x14ac:dyDescent="0.25">
      <c r="A1178">
        <v>63077</v>
      </c>
      <c r="B1178" t="s">
        <v>4290</v>
      </c>
      <c r="C1178" t="s">
        <v>201</v>
      </c>
      <c r="D1178" t="s">
        <v>2241</v>
      </c>
      <c r="E1178" t="s">
        <v>2242</v>
      </c>
      <c r="F1178">
        <v>81713</v>
      </c>
      <c r="G1178">
        <v>23949</v>
      </c>
      <c r="H1178" s="32">
        <f t="shared" si="18"/>
        <v>3.4119587456678775</v>
      </c>
      <c r="I1178">
        <v>1</v>
      </c>
      <c r="J1178" t="s">
        <v>21</v>
      </c>
    </row>
    <row r="1179" spans="1:10" x14ac:dyDescent="0.25">
      <c r="A1179">
        <v>64602</v>
      </c>
      <c r="B1179" t="s">
        <v>4607</v>
      </c>
      <c r="C1179" t="s">
        <v>307</v>
      </c>
      <c r="D1179" t="s">
        <v>2241</v>
      </c>
      <c r="E1179" t="s">
        <v>2242</v>
      </c>
      <c r="F1179">
        <v>8274</v>
      </c>
      <c r="G1179">
        <v>2425</v>
      </c>
      <c r="H1179" s="32">
        <f t="shared" si="18"/>
        <v>3.4119587628865977</v>
      </c>
      <c r="I1179">
        <v>1</v>
      </c>
      <c r="J1179" t="s">
        <v>21</v>
      </c>
    </row>
    <row r="1180" spans="1:10" x14ac:dyDescent="0.25">
      <c r="A1180">
        <v>66415</v>
      </c>
      <c r="B1180" t="s">
        <v>4897</v>
      </c>
      <c r="C1180" t="s">
        <v>131</v>
      </c>
      <c r="D1180" t="s">
        <v>2241</v>
      </c>
      <c r="E1180" t="s">
        <v>2242</v>
      </c>
      <c r="F1180">
        <v>8274</v>
      </c>
      <c r="G1180">
        <v>2425</v>
      </c>
      <c r="H1180" s="32">
        <f t="shared" si="18"/>
        <v>3.4119587628865977</v>
      </c>
      <c r="I1180">
        <v>1</v>
      </c>
      <c r="J1180" t="s">
        <v>21</v>
      </c>
    </row>
    <row r="1181" spans="1:10" x14ac:dyDescent="0.25">
      <c r="A1181">
        <v>65258</v>
      </c>
      <c r="B1181" t="s">
        <v>4706</v>
      </c>
      <c r="C1181" t="s">
        <v>322</v>
      </c>
      <c r="D1181" t="s">
        <v>2241</v>
      </c>
      <c r="E1181" t="s">
        <v>2242</v>
      </c>
      <c r="F1181">
        <v>76520</v>
      </c>
      <c r="G1181">
        <v>22427</v>
      </c>
      <c r="H1181" s="32">
        <f t="shared" si="18"/>
        <v>3.4119587996611229</v>
      </c>
      <c r="I1181">
        <v>1</v>
      </c>
      <c r="J1181" t="s">
        <v>21</v>
      </c>
    </row>
    <row r="1182" spans="1:10" x14ac:dyDescent="0.25">
      <c r="A1182">
        <v>58552</v>
      </c>
      <c r="B1182" t="s">
        <v>3222</v>
      </c>
      <c r="C1182" t="s">
        <v>131</v>
      </c>
      <c r="D1182" t="s">
        <v>2241</v>
      </c>
      <c r="E1182" t="s">
        <v>2242</v>
      </c>
      <c r="F1182">
        <v>53694</v>
      </c>
      <c r="G1182">
        <v>15737</v>
      </c>
      <c r="H1182" s="32">
        <f t="shared" si="18"/>
        <v>3.4119590773336723</v>
      </c>
      <c r="I1182">
        <v>1</v>
      </c>
      <c r="J1182" t="s">
        <v>21</v>
      </c>
    </row>
    <row r="1183" spans="1:10" x14ac:dyDescent="0.25">
      <c r="A1183">
        <v>60762</v>
      </c>
      <c r="B1183" t="s">
        <v>3861</v>
      </c>
      <c r="C1183" t="s">
        <v>241</v>
      </c>
      <c r="D1183" t="s">
        <v>2241</v>
      </c>
      <c r="E1183" t="s">
        <v>2242</v>
      </c>
      <c r="F1183">
        <v>26818</v>
      </c>
      <c r="G1183">
        <v>7860</v>
      </c>
      <c r="H1183" s="32">
        <f t="shared" si="18"/>
        <v>3.4119592875318068</v>
      </c>
      <c r="I1183">
        <v>1</v>
      </c>
      <c r="J1183" t="s">
        <v>21</v>
      </c>
    </row>
    <row r="1184" spans="1:10" x14ac:dyDescent="0.25">
      <c r="A1184">
        <v>63787</v>
      </c>
      <c r="B1184" t="s">
        <v>4408</v>
      </c>
      <c r="C1184" t="s">
        <v>708</v>
      </c>
      <c r="D1184" t="s">
        <v>2241</v>
      </c>
      <c r="E1184" t="s">
        <v>2242</v>
      </c>
      <c r="F1184">
        <v>136086</v>
      </c>
      <c r="G1184">
        <v>39885</v>
      </c>
      <c r="H1184" s="32">
        <f t="shared" si="18"/>
        <v>3.4119593832267769</v>
      </c>
      <c r="I1184">
        <v>1</v>
      </c>
      <c r="J1184" t="s">
        <v>21</v>
      </c>
    </row>
    <row r="1185" spans="1:10" x14ac:dyDescent="0.25">
      <c r="A1185">
        <v>59486</v>
      </c>
      <c r="B1185" t="s">
        <v>3469</v>
      </c>
      <c r="C1185" t="s">
        <v>708</v>
      </c>
      <c r="D1185" t="s">
        <v>2241</v>
      </c>
      <c r="E1185" t="s">
        <v>2242</v>
      </c>
      <c r="F1185">
        <v>32980</v>
      </c>
      <c r="G1185">
        <v>9666</v>
      </c>
      <c r="H1185" s="32">
        <f t="shared" si="18"/>
        <v>3.4119594454789985</v>
      </c>
      <c r="I1185">
        <v>1</v>
      </c>
      <c r="J1185" t="s">
        <v>21</v>
      </c>
    </row>
    <row r="1186" spans="1:10" x14ac:dyDescent="0.25">
      <c r="A1186">
        <v>62596</v>
      </c>
      <c r="B1186" t="s">
        <v>4176</v>
      </c>
      <c r="C1186" t="s">
        <v>708</v>
      </c>
      <c r="D1186" t="s">
        <v>2241</v>
      </c>
      <c r="E1186" t="s">
        <v>2242</v>
      </c>
      <c r="F1186">
        <v>29841</v>
      </c>
      <c r="G1186">
        <v>8746</v>
      </c>
      <c r="H1186" s="32">
        <f t="shared" si="18"/>
        <v>3.4119597530299566</v>
      </c>
      <c r="I1186">
        <v>1</v>
      </c>
      <c r="J1186" t="s">
        <v>21</v>
      </c>
    </row>
    <row r="1187" spans="1:10" x14ac:dyDescent="0.25">
      <c r="A1187">
        <v>61405</v>
      </c>
      <c r="B1187" t="s">
        <v>4011</v>
      </c>
      <c r="C1187" t="s">
        <v>708</v>
      </c>
      <c r="D1187" t="s">
        <v>2241</v>
      </c>
      <c r="E1187" t="s">
        <v>2242</v>
      </c>
      <c r="F1187">
        <v>30868</v>
      </c>
      <c r="G1187">
        <v>9047</v>
      </c>
      <c r="H1187" s="32">
        <f t="shared" si="18"/>
        <v>3.4119597656681773</v>
      </c>
      <c r="I1187">
        <v>1</v>
      </c>
      <c r="J1187" t="s">
        <v>21</v>
      </c>
    </row>
    <row r="1188" spans="1:10" x14ac:dyDescent="0.25">
      <c r="A1188">
        <v>65705</v>
      </c>
      <c r="B1188" t="s">
        <v>4794</v>
      </c>
      <c r="C1188" t="s">
        <v>241</v>
      </c>
      <c r="D1188" t="s">
        <v>2241</v>
      </c>
      <c r="E1188" t="s">
        <v>2242</v>
      </c>
      <c r="F1188">
        <v>36003</v>
      </c>
      <c r="G1188">
        <v>10552</v>
      </c>
      <c r="H1188" s="32">
        <f t="shared" si="18"/>
        <v>3.4119598180439725</v>
      </c>
      <c r="I1188">
        <v>1</v>
      </c>
      <c r="J1188" t="s">
        <v>21</v>
      </c>
    </row>
    <row r="1189" spans="1:10" x14ac:dyDescent="0.25">
      <c r="A1189">
        <v>60046</v>
      </c>
      <c r="B1189" t="s">
        <v>3657</v>
      </c>
      <c r="C1189" t="s">
        <v>131</v>
      </c>
      <c r="D1189" t="s">
        <v>2241</v>
      </c>
      <c r="E1189" t="s">
        <v>2242</v>
      </c>
      <c r="F1189">
        <v>6162</v>
      </c>
      <c r="G1189">
        <v>1806</v>
      </c>
      <c r="H1189" s="32">
        <f t="shared" si="18"/>
        <v>3.4119601328903655</v>
      </c>
      <c r="I1189">
        <v>1</v>
      </c>
      <c r="J1189" t="s">
        <v>21</v>
      </c>
    </row>
    <row r="1190" spans="1:10" x14ac:dyDescent="0.25">
      <c r="A1190">
        <v>61288</v>
      </c>
      <c r="B1190" t="s">
        <v>3984</v>
      </c>
      <c r="C1190" t="s">
        <v>708</v>
      </c>
      <c r="D1190" t="s">
        <v>2241</v>
      </c>
      <c r="E1190" t="s">
        <v>2242</v>
      </c>
      <c r="F1190">
        <v>29725</v>
      </c>
      <c r="G1190">
        <v>8712</v>
      </c>
      <c r="H1190" s="32">
        <f t="shared" si="18"/>
        <v>3.4119605142332414</v>
      </c>
      <c r="I1190">
        <v>1</v>
      </c>
      <c r="J1190" t="s">
        <v>21</v>
      </c>
    </row>
    <row r="1191" spans="1:10" x14ac:dyDescent="0.25">
      <c r="A1191">
        <v>65555</v>
      </c>
      <c r="B1191" t="s">
        <v>4772</v>
      </c>
      <c r="C1191" t="s">
        <v>708</v>
      </c>
      <c r="D1191" t="s">
        <v>2241</v>
      </c>
      <c r="E1191" t="s">
        <v>2242</v>
      </c>
      <c r="F1191">
        <v>32748</v>
      </c>
      <c r="G1191">
        <v>9598</v>
      </c>
      <c r="H1191" s="32">
        <f t="shared" si="18"/>
        <v>3.4119608251719109</v>
      </c>
      <c r="I1191">
        <v>1</v>
      </c>
      <c r="J1191" t="s">
        <v>21</v>
      </c>
    </row>
    <row r="1192" spans="1:10" x14ac:dyDescent="0.25">
      <c r="A1192">
        <v>65550</v>
      </c>
      <c r="B1192" t="s">
        <v>4767</v>
      </c>
      <c r="C1192" t="s">
        <v>708</v>
      </c>
      <c r="D1192" t="s">
        <v>2241</v>
      </c>
      <c r="E1192" t="s">
        <v>2242</v>
      </c>
      <c r="F1192">
        <v>29667</v>
      </c>
      <c r="G1192">
        <v>8695</v>
      </c>
      <c r="H1192" s="32">
        <f t="shared" si="18"/>
        <v>3.4119608970672801</v>
      </c>
      <c r="I1192">
        <v>1</v>
      </c>
      <c r="J1192" t="s">
        <v>21</v>
      </c>
    </row>
    <row r="1193" spans="1:10" x14ac:dyDescent="0.25">
      <c r="A1193">
        <v>60735</v>
      </c>
      <c r="B1193" t="s">
        <v>3850</v>
      </c>
      <c r="C1193" t="s">
        <v>307</v>
      </c>
      <c r="D1193" t="s">
        <v>2241</v>
      </c>
      <c r="E1193" t="s">
        <v>2242</v>
      </c>
      <c r="F1193">
        <v>76677</v>
      </c>
      <c r="G1193">
        <v>22473</v>
      </c>
      <c r="H1193" s="32">
        <f t="shared" si="18"/>
        <v>3.4119610198905352</v>
      </c>
      <c r="I1193">
        <v>1</v>
      </c>
      <c r="J1193" t="s">
        <v>21</v>
      </c>
    </row>
    <row r="1194" spans="1:10" x14ac:dyDescent="0.25">
      <c r="A1194">
        <v>59042</v>
      </c>
      <c r="B1194" t="s">
        <v>3358</v>
      </c>
      <c r="C1194" t="s">
        <v>708</v>
      </c>
      <c r="D1194" t="s">
        <v>2241</v>
      </c>
      <c r="E1194" t="s">
        <v>2242</v>
      </c>
      <c r="F1194">
        <v>11239</v>
      </c>
      <c r="G1194">
        <v>3294</v>
      </c>
      <c r="H1194" s="32">
        <f t="shared" si="18"/>
        <v>3.4119611414693383</v>
      </c>
      <c r="I1194">
        <v>1</v>
      </c>
      <c r="J1194" t="s">
        <v>21</v>
      </c>
    </row>
    <row r="1195" spans="1:10" x14ac:dyDescent="0.25">
      <c r="A1195">
        <v>59811</v>
      </c>
      <c r="B1195" t="s">
        <v>3584</v>
      </c>
      <c r="C1195" t="s">
        <v>307</v>
      </c>
      <c r="D1195" t="s">
        <v>2241</v>
      </c>
      <c r="E1195" t="s">
        <v>2242</v>
      </c>
      <c r="F1195">
        <v>46952</v>
      </c>
      <c r="G1195">
        <v>13761</v>
      </c>
      <c r="H1195" s="32">
        <f t="shared" si="18"/>
        <v>3.4119613400188942</v>
      </c>
      <c r="I1195">
        <v>1</v>
      </c>
      <c r="J1195" t="s">
        <v>21</v>
      </c>
    </row>
    <row r="1196" spans="1:10" x14ac:dyDescent="0.25">
      <c r="A1196">
        <v>65224</v>
      </c>
      <c r="B1196" t="s">
        <v>4703</v>
      </c>
      <c r="C1196" t="s">
        <v>201</v>
      </c>
      <c r="D1196" t="s">
        <v>2241</v>
      </c>
      <c r="E1196" t="s">
        <v>2242</v>
      </c>
      <c r="F1196">
        <v>101830</v>
      </c>
      <c r="G1196">
        <v>29845</v>
      </c>
      <c r="H1196" s="32">
        <f t="shared" si="18"/>
        <v>3.4119618026470095</v>
      </c>
      <c r="I1196">
        <v>1</v>
      </c>
      <c r="J1196" t="s">
        <v>21</v>
      </c>
    </row>
    <row r="1197" spans="1:10" x14ac:dyDescent="0.25">
      <c r="A1197">
        <v>60622</v>
      </c>
      <c r="B1197" t="s">
        <v>3819</v>
      </c>
      <c r="C1197" t="s">
        <v>322</v>
      </c>
      <c r="D1197" t="s">
        <v>2241</v>
      </c>
      <c r="E1197" t="s">
        <v>2242</v>
      </c>
      <c r="F1197">
        <v>132002</v>
      </c>
      <c r="G1197">
        <v>38688</v>
      </c>
      <c r="H1197" s="32">
        <f t="shared" si="18"/>
        <v>3.411962365591398</v>
      </c>
      <c r="I1197">
        <v>1</v>
      </c>
      <c r="J1197" t="s">
        <v>21</v>
      </c>
    </row>
    <row r="1198" spans="1:10" x14ac:dyDescent="0.25">
      <c r="A1198">
        <v>70283</v>
      </c>
      <c r="B1198" t="s">
        <v>5445</v>
      </c>
      <c r="C1198" t="s">
        <v>166</v>
      </c>
      <c r="D1198" t="s">
        <v>2241</v>
      </c>
      <c r="E1198" t="s">
        <v>2242</v>
      </c>
      <c r="F1198">
        <v>15231</v>
      </c>
      <c r="G1198">
        <v>4464</v>
      </c>
      <c r="H1198" s="32">
        <f t="shared" si="18"/>
        <v>3.411962365591398</v>
      </c>
      <c r="I1198">
        <v>1</v>
      </c>
      <c r="J1198" t="s">
        <v>21</v>
      </c>
    </row>
    <row r="1199" spans="1:10" x14ac:dyDescent="0.25">
      <c r="A1199">
        <v>58880</v>
      </c>
      <c r="B1199" t="s">
        <v>3325</v>
      </c>
      <c r="C1199" t="s">
        <v>708</v>
      </c>
      <c r="D1199" t="s">
        <v>2241</v>
      </c>
      <c r="E1199" t="s">
        <v>2242</v>
      </c>
      <c r="F1199">
        <v>28408</v>
      </c>
      <c r="G1199">
        <v>8326</v>
      </c>
      <c r="H1199" s="32">
        <f t="shared" si="18"/>
        <v>3.411962527023781</v>
      </c>
      <c r="I1199">
        <v>1</v>
      </c>
      <c r="J1199" t="s">
        <v>21</v>
      </c>
    </row>
    <row r="1200" spans="1:10" x14ac:dyDescent="0.25">
      <c r="A1200">
        <v>60948</v>
      </c>
      <c r="B1200" t="s">
        <v>3910</v>
      </c>
      <c r="C1200" t="s">
        <v>708</v>
      </c>
      <c r="D1200" t="s">
        <v>2241</v>
      </c>
      <c r="E1200" t="s">
        <v>2242</v>
      </c>
      <c r="F1200">
        <v>38504</v>
      </c>
      <c r="G1200">
        <v>11285</v>
      </c>
      <c r="H1200" s="32">
        <f t="shared" si="18"/>
        <v>3.411962782454586</v>
      </c>
      <c r="I1200">
        <v>1</v>
      </c>
      <c r="J1200" t="s">
        <v>21</v>
      </c>
    </row>
    <row r="1201" spans="1:10" x14ac:dyDescent="0.25">
      <c r="A1201">
        <v>59186</v>
      </c>
      <c r="B1201" t="s">
        <v>3415</v>
      </c>
      <c r="C1201" t="s">
        <v>241</v>
      </c>
      <c r="D1201" t="s">
        <v>2241</v>
      </c>
      <c r="E1201" t="s">
        <v>2242</v>
      </c>
      <c r="F1201">
        <v>38446</v>
      </c>
      <c r="G1201">
        <v>11268</v>
      </c>
      <c r="H1201" s="32">
        <f t="shared" si="18"/>
        <v>3.4119630812921549</v>
      </c>
      <c r="I1201">
        <v>1</v>
      </c>
      <c r="J1201" t="s">
        <v>21</v>
      </c>
    </row>
    <row r="1202" spans="1:10" x14ac:dyDescent="0.25">
      <c r="A1202">
        <v>58553</v>
      </c>
      <c r="B1202" t="s">
        <v>3223</v>
      </c>
      <c r="C1202" t="s">
        <v>131</v>
      </c>
      <c r="D1202" t="s">
        <v>2241</v>
      </c>
      <c r="E1202" t="s">
        <v>2242</v>
      </c>
      <c r="F1202">
        <v>44492</v>
      </c>
      <c r="G1202">
        <v>13040</v>
      </c>
      <c r="H1202" s="32">
        <f t="shared" si="18"/>
        <v>3.411963190184049</v>
      </c>
      <c r="I1202">
        <v>1</v>
      </c>
      <c r="J1202" t="s">
        <v>21</v>
      </c>
    </row>
    <row r="1203" spans="1:10" x14ac:dyDescent="0.25">
      <c r="A1203">
        <v>62330</v>
      </c>
      <c r="B1203" t="s">
        <v>4147</v>
      </c>
      <c r="C1203" t="s">
        <v>708</v>
      </c>
      <c r="D1203" t="s">
        <v>2241</v>
      </c>
      <c r="E1203" t="s">
        <v>2242</v>
      </c>
      <c r="F1203">
        <v>29319</v>
      </c>
      <c r="G1203">
        <v>8593</v>
      </c>
      <c r="H1203" s="32">
        <f t="shared" si="18"/>
        <v>3.4119632258815313</v>
      </c>
      <c r="I1203">
        <v>1</v>
      </c>
      <c r="J1203" t="s">
        <v>21</v>
      </c>
    </row>
    <row r="1204" spans="1:10" x14ac:dyDescent="0.25">
      <c r="A1204">
        <v>61089</v>
      </c>
      <c r="B1204" t="s">
        <v>3935</v>
      </c>
      <c r="C1204" t="s">
        <v>708</v>
      </c>
      <c r="D1204" t="s">
        <v>2241</v>
      </c>
      <c r="E1204" t="s">
        <v>2242</v>
      </c>
      <c r="F1204">
        <v>32342</v>
      </c>
      <c r="G1204">
        <v>9479</v>
      </c>
      <c r="H1204" s="32">
        <f t="shared" si="18"/>
        <v>3.4119632872665893</v>
      </c>
      <c r="I1204">
        <v>1</v>
      </c>
      <c r="J1204" t="s">
        <v>21</v>
      </c>
    </row>
    <row r="1205" spans="1:10" x14ac:dyDescent="0.25">
      <c r="A1205">
        <v>59887</v>
      </c>
      <c r="B1205" t="s">
        <v>3608</v>
      </c>
      <c r="C1205" t="s">
        <v>708</v>
      </c>
      <c r="D1205" t="s">
        <v>2241</v>
      </c>
      <c r="E1205" t="s">
        <v>2242</v>
      </c>
      <c r="F1205">
        <v>92976</v>
      </c>
      <c r="G1205">
        <v>27250</v>
      </c>
      <c r="H1205" s="32">
        <f t="shared" si="18"/>
        <v>3.4119633027522935</v>
      </c>
      <c r="I1205">
        <v>1</v>
      </c>
      <c r="J1205" t="s">
        <v>21</v>
      </c>
    </row>
    <row r="1206" spans="1:10" x14ac:dyDescent="0.25">
      <c r="A1206">
        <v>64512</v>
      </c>
      <c r="B1206" t="s">
        <v>4595</v>
      </c>
      <c r="C1206" t="s">
        <v>708</v>
      </c>
      <c r="D1206" t="s">
        <v>2241</v>
      </c>
      <c r="E1206" t="s">
        <v>2242</v>
      </c>
      <c r="F1206">
        <v>3023</v>
      </c>
      <c r="G1206">
        <v>886</v>
      </c>
      <c r="H1206" s="32">
        <f t="shared" si="18"/>
        <v>3.4119638826185104</v>
      </c>
      <c r="I1206">
        <v>1</v>
      </c>
      <c r="J1206" t="s">
        <v>21</v>
      </c>
    </row>
    <row r="1207" spans="1:10" x14ac:dyDescent="0.25">
      <c r="A1207">
        <v>66118</v>
      </c>
      <c r="B1207" t="s">
        <v>4859</v>
      </c>
      <c r="C1207" t="s">
        <v>201</v>
      </c>
      <c r="D1207" t="s">
        <v>2241</v>
      </c>
      <c r="E1207" t="s">
        <v>2242</v>
      </c>
      <c r="F1207">
        <v>6046</v>
      </c>
      <c r="G1207">
        <v>1772</v>
      </c>
      <c r="H1207" s="32">
        <f t="shared" si="18"/>
        <v>3.4119638826185104</v>
      </c>
      <c r="I1207">
        <v>1</v>
      </c>
      <c r="J1207" t="s">
        <v>21</v>
      </c>
    </row>
    <row r="1208" spans="1:10" x14ac:dyDescent="0.25">
      <c r="A1208">
        <v>62680</v>
      </c>
      <c r="B1208" t="s">
        <v>4205</v>
      </c>
      <c r="C1208" t="s">
        <v>241</v>
      </c>
      <c r="D1208" t="s">
        <v>2241</v>
      </c>
      <c r="E1208" t="s">
        <v>2242</v>
      </c>
      <c r="F1208">
        <v>20134</v>
      </c>
      <c r="G1208">
        <v>5901</v>
      </c>
      <c r="H1208" s="32">
        <f t="shared" si="18"/>
        <v>3.4119640738857822</v>
      </c>
      <c r="I1208">
        <v>1</v>
      </c>
      <c r="J1208" t="s">
        <v>21</v>
      </c>
    </row>
    <row r="1209" spans="1:10" x14ac:dyDescent="0.25">
      <c r="A1209">
        <v>67930</v>
      </c>
      <c r="B1209" t="s">
        <v>5193</v>
      </c>
      <c r="C1209" t="s">
        <v>131</v>
      </c>
      <c r="D1209" t="s">
        <v>2241</v>
      </c>
      <c r="E1209" t="s">
        <v>2242</v>
      </c>
      <c r="F1209">
        <v>20134</v>
      </c>
      <c r="G1209">
        <v>5901</v>
      </c>
      <c r="H1209" s="32">
        <f t="shared" si="18"/>
        <v>3.4119640738857822</v>
      </c>
      <c r="I1209">
        <v>1</v>
      </c>
      <c r="J1209" t="s">
        <v>21</v>
      </c>
    </row>
    <row r="1210" spans="1:10" x14ac:dyDescent="0.25">
      <c r="A1210">
        <v>60369</v>
      </c>
      <c r="B1210" t="s">
        <v>3748</v>
      </c>
      <c r="C1210" t="s">
        <v>708</v>
      </c>
      <c r="D1210" t="s">
        <v>2241</v>
      </c>
      <c r="E1210" t="s">
        <v>2242</v>
      </c>
      <c r="F1210">
        <v>26122</v>
      </c>
      <c r="G1210">
        <v>7656</v>
      </c>
      <c r="H1210" s="32">
        <f t="shared" si="18"/>
        <v>3.4119644723092999</v>
      </c>
      <c r="I1210">
        <v>1</v>
      </c>
      <c r="J1210" t="s">
        <v>21</v>
      </c>
    </row>
    <row r="1211" spans="1:10" x14ac:dyDescent="0.25">
      <c r="A1211">
        <v>60207</v>
      </c>
      <c r="B1211" t="s">
        <v>3708</v>
      </c>
      <c r="C1211" t="s">
        <v>708</v>
      </c>
      <c r="D1211" t="s">
        <v>2241</v>
      </c>
      <c r="E1211" t="s">
        <v>2242</v>
      </c>
      <c r="F1211">
        <v>32110</v>
      </c>
      <c r="G1211">
        <v>9411</v>
      </c>
      <c r="H1211" s="32">
        <f t="shared" si="18"/>
        <v>3.4119647221336735</v>
      </c>
      <c r="I1211">
        <v>1</v>
      </c>
      <c r="J1211" t="s">
        <v>21</v>
      </c>
    </row>
    <row r="1212" spans="1:10" x14ac:dyDescent="0.25">
      <c r="A1212">
        <v>63016</v>
      </c>
      <c r="B1212" t="s">
        <v>4275</v>
      </c>
      <c r="C1212" t="s">
        <v>708</v>
      </c>
      <c r="D1212" t="s">
        <v>2241</v>
      </c>
      <c r="E1212" t="s">
        <v>2242</v>
      </c>
      <c r="F1212">
        <v>22072</v>
      </c>
      <c r="G1212">
        <v>6469</v>
      </c>
      <c r="H1212" s="32">
        <f t="shared" si="18"/>
        <v>3.4119647549853145</v>
      </c>
      <c r="I1212">
        <v>1</v>
      </c>
      <c r="J1212" t="s">
        <v>21</v>
      </c>
    </row>
    <row r="1213" spans="1:10" x14ac:dyDescent="0.25">
      <c r="A1213">
        <v>60265</v>
      </c>
      <c r="B1213" t="s">
        <v>3720</v>
      </c>
      <c r="C1213" t="s">
        <v>241</v>
      </c>
      <c r="D1213" t="s">
        <v>2241</v>
      </c>
      <c r="E1213" t="s">
        <v>2242</v>
      </c>
      <c r="F1213">
        <v>21045</v>
      </c>
      <c r="G1213">
        <v>6168</v>
      </c>
      <c r="H1213" s="32">
        <f t="shared" si="18"/>
        <v>3.411964980544747</v>
      </c>
      <c r="I1213">
        <v>1</v>
      </c>
      <c r="J1213" t="s">
        <v>21</v>
      </c>
    </row>
    <row r="1214" spans="1:10" x14ac:dyDescent="0.25">
      <c r="A1214">
        <v>68992</v>
      </c>
      <c r="B1214" t="s">
        <v>5291</v>
      </c>
      <c r="C1214" t="s">
        <v>307</v>
      </c>
      <c r="D1214" t="s">
        <v>2241</v>
      </c>
      <c r="E1214" t="s">
        <v>2242</v>
      </c>
      <c r="F1214">
        <v>7015</v>
      </c>
      <c r="G1214">
        <v>2056</v>
      </c>
      <c r="H1214" s="32">
        <f t="shared" si="18"/>
        <v>3.411964980544747</v>
      </c>
      <c r="I1214">
        <v>1</v>
      </c>
      <c r="J1214" t="s">
        <v>21</v>
      </c>
    </row>
    <row r="1215" spans="1:10" x14ac:dyDescent="0.25">
      <c r="A1215">
        <v>57216</v>
      </c>
      <c r="B1215" t="s">
        <v>2955</v>
      </c>
      <c r="C1215" t="s">
        <v>143</v>
      </c>
      <c r="D1215" t="s">
        <v>2241</v>
      </c>
      <c r="E1215" t="s">
        <v>2242</v>
      </c>
      <c r="F1215">
        <v>7984</v>
      </c>
      <c r="G1215">
        <v>2340</v>
      </c>
      <c r="H1215" s="32">
        <f t="shared" si="18"/>
        <v>3.4119658119658118</v>
      </c>
      <c r="I1215">
        <v>1</v>
      </c>
      <c r="J1215" t="s">
        <v>21</v>
      </c>
    </row>
    <row r="1216" spans="1:10" x14ac:dyDescent="0.25">
      <c r="A1216">
        <v>60580</v>
      </c>
      <c r="B1216" t="s">
        <v>3807</v>
      </c>
      <c r="C1216" t="s">
        <v>708</v>
      </c>
      <c r="D1216" t="s">
        <v>2241</v>
      </c>
      <c r="E1216" t="s">
        <v>2242</v>
      </c>
      <c r="F1216">
        <v>31936</v>
      </c>
      <c r="G1216">
        <v>9360</v>
      </c>
      <c r="H1216" s="32">
        <f t="shared" si="18"/>
        <v>3.4119658119658118</v>
      </c>
      <c r="I1216">
        <v>1</v>
      </c>
      <c r="J1216" t="s">
        <v>21</v>
      </c>
    </row>
    <row r="1217" spans="1:10" x14ac:dyDescent="0.25">
      <c r="A1217">
        <v>65508</v>
      </c>
      <c r="B1217" t="s">
        <v>4763</v>
      </c>
      <c r="C1217" t="s">
        <v>166</v>
      </c>
      <c r="D1217" t="s">
        <v>2241</v>
      </c>
      <c r="E1217" t="s">
        <v>2242</v>
      </c>
      <c r="F1217">
        <v>13972</v>
      </c>
      <c r="G1217">
        <v>4095</v>
      </c>
      <c r="H1217" s="32">
        <f t="shared" si="18"/>
        <v>3.4119658119658118</v>
      </c>
      <c r="I1217">
        <v>1</v>
      </c>
      <c r="J1217" t="s">
        <v>21</v>
      </c>
    </row>
    <row r="1218" spans="1:10" x14ac:dyDescent="0.25">
      <c r="A1218">
        <v>68279</v>
      </c>
      <c r="B1218" t="s">
        <v>5225</v>
      </c>
      <c r="C1218" t="s">
        <v>3055</v>
      </c>
      <c r="D1218" t="s">
        <v>2241</v>
      </c>
      <c r="E1218" t="s">
        <v>2242</v>
      </c>
      <c r="F1218">
        <v>3992</v>
      </c>
      <c r="G1218">
        <v>1170</v>
      </c>
      <c r="H1218" s="32">
        <f t="shared" ref="H1218:H1281" si="19">IF(AND(F1218&gt;0,G1218&gt;0),F1218/G1218,"")</f>
        <v>3.4119658119658118</v>
      </c>
      <c r="I1218">
        <v>1</v>
      </c>
      <c r="J1218" t="s">
        <v>21</v>
      </c>
    </row>
    <row r="1219" spans="1:10" x14ac:dyDescent="0.25">
      <c r="A1219">
        <v>65348</v>
      </c>
      <c r="B1219" t="s">
        <v>4733</v>
      </c>
      <c r="C1219" t="s">
        <v>241</v>
      </c>
      <c r="D1219" t="s">
        <v>2241</v>
      </c>
      <c r="E1219" t="s">
        <v>2242</v>
      </c>
      <c r="F1219">
        <v>107552</v>
      </c>
      <c r="G1219">
        <v>31522</v>
      </c>
      <c r="H1219" s="32">
        <f t="shared" si="19"/>
        <v>3.4119662457965867</v>
      </c>
      <c r="I1219">
        <v>1</v>
      </c>
      <c r="J1219" t="s">
        <v>21</v>
      </c>
    </row>
    <row r="1220" spans="1:10" x14ac:dyDescent="0.25">
      <c r="A1220">
        <v>67115</v>
      </c>
      <c r="B1220" t="s">
        <v>5034</v>
      </c>
      <c r="C1220" t="s">
        <v>166</v>
      </c>
      <c r="D1220" t="s">
        <v>2241</v>
      </c>
      <c r="E1220" t="s">
        <v>2242</v>
      </c>
      <c r="F1220">
        <v>13914</v>
      </c>
      <c r="G1220">
        <v>4078</v>
      </c>
      <c r="H1220" s="32">
        <f t="shared" si="19"/>
        <v>3.4119666503187838</v>
      </c>
      <c r="I1220">
        <v>1</v>
      </c>
      <c r="J1220" t="s">
        <v>21</v>
      </c>
    </row>
    <row r="1221" spans="1:10" x14ac:dyDescent="0.25">
      <c r="A1221">
        <v>69078</v>
      </c>
      <c r="B1221" t="s">
        <v>5311</v>
      </c>
      <c r="C1221" t="s">
        <v>201</v>
      </c>
      <c r="D1221" t="s">
        <v>2241</v>
      </c>
      <c r="E1221" t="s">
        <v>2242</v>
      </c>
      <c r="F1221">
        <v>32789</v>
      </c>
      <c r="G1221">
        <v>9610</v>
      </c>
      <c r="H1221" s="32">
        <f t="shared" si="19"/>
        <v>3.4119667013527577</v>
      </c>
      <c r="I1221">
        <v>1</v>
      </c>
      <c r="J1221" t="s">
        <v>21</v>
      </c>
    </row>
    <row r="1222" spans="1:10" x14ac:dyDescent="0.25">
      <c r="A1222">
        <v>60400</v>
      </c>
      <c r="B1222" t="s">
        <v>3763</v>
      </c>
      <c r="C1222" t="s">
        <v>708</v>
      </c>
      <c r="D1222" t="s">
        <v>2241</v>
      </c>
      <c r="E1222" t="s">
        <v>2242</v>
      </c>
      <c r="F1222">
        <v>31762</v>
      </c>
      <c r="G1222">
        <v>9309</v>
      </c>
      <c r="H1222" s="32">
        <f t="shared" si="19"/>
        <v>3.4119669137393922</v>
      </c>
      <c r="I1222">
        <v>1</v>
      </c>
      <c r="J1222" t="s">
        <v>21</v>
      </c>
    </row>
    <row r="1223" spans="1:10" x14ac:dyDescent="0.25">
      <c r="A1223">
        <v>59426</v>
      </c>
      <c r="B1223" t="s">
        <v>3450</v>
      </c>
      <c r="C1223" t="s">
        <v>708</v>
      </c>
      <c r="D1223" t="s">
        <v>2241</v>
      </c>
      <c r="E1223" t="s">
        <v>2242</v>
      </c>
      <c r="F1223">
        <v>26743</v>
      </c>
      <c r="G1223">
        <v>7838</v>
      </c>
      <c r="H1223" s="32">
        <f t="shared" si="19"/>
        <v>3.4119673386067872</v>
      </c>
      <c r="I1223">
        <v>1</v>
      </c>
      <c r="J1223" t="s">
        <v>21</v>
      </c>
    </row>
    <row r="1224" spans="1:10" x14ac:dyDescent="0.25">
      <c r="A1224">
        <v>64271</v>
      </c>
      <c r="B1224" t="s">
        <v>4534</v>
      </c>
      <c r="C1224" t="s">
        <v>708</v>
      </c>
      <c r="D1224" t="s">
        <v>2241</v>
      </c>
      <c r="E1224" t="s">
        <v>2242</v>
      </c>
      <c r="F1224">
        <v>13856</v>
      </c>
      <c r="G1224">
        <v>4061</v>
      </c>
      <c r="H1224" s="32">
        <f t="shared" si="19"/>
        <v>3.4119674956907167</v>
      </c>
      <c r="I1224">
        <v>1</v>
      </c>
      <c r="J1224" t="s">
        <v>21</v>
      </c>
    </row>
    <row r="1225" spans="1:10" x14ac:dyDescent="0.25">
      <c r="A1225">
        <v>65318</v>
      </c>
      <c r="B1225" t="s">
        <v>4718</v>
      </c>
      <c r="C1225" t="s">
        <v>201</v>
      </c>
      <c r="D1225" t="s">
        <v>2241</v>
      </c>
      <c r="E1225" t="s">
        <v>2242</v>
      </c>
      <c r="F1225">
        <v>118716</v>
      </c>
      <c r="G1225">
        <v>34794</v>
      </c>
      <c r="H1225" s="32">
        <f t="shared" si="19"/>
        <v>3.4119675806173477</v>
      </c>
      <c r="I1225">
        <v>1</v>
      </c>
      <c r="J1225" t="s">
        <v>21</v>
      </c>
    </row>
    <row r="1226" spans="1:10" x14ac:dyDescent="0.25">
      <c r="A1226">
        <v>57994</v>
      </c>
      <c r="B1226" t="s">
        <v>3086</v>
      </c>
      <c r="C1226" t="s">
        <v>708</v>
      </c>
      <c r="D1226" t="s">
        <v>2241</v>
      </c>
      <c r="E1226" t="s">
        <v>2242</v>
      </c>
      <c r="F1226">
        <v>99899</v>
      </c>
      <c r="G1226">
        <v>29279</v>
      </c>
      <c r="H1226" s="32">
        <f t="shared" si="19"/>
        <v>3.4119676218450086</v>
      </c>
      <c r="I1226">
        <v>1</v>
      </c>
      <c r="J1226" t="s">
        <v>21</v>
      </c>
    </row>
    <row r="1227" spans="1:10" x14ac:dyDescent="0.25">
      <c r="A1227">
        <v>60359</v>
      </c>
      <c r="B1227" t="s">
        <v>3742</v>
      </c>
      <c r="C1227" t="s">
        <v>708</v>
      </c>
      <c r="D1227" t="s">
        <v>2241</v>
      </c>
      <c r="E1227" t="s">
        <v>2242</v>
      </c>
      <c r="F1227">
        <v>27654</v>
      </c>
      <c r="G1227">
        <v>8105</v>
      </c>
      <c r="H1227" s="32">
        <f t="shared" si="19"/>
        <v>3.4119679210363971</v>
      </c>
      <c r="I1227">
        <v>1</v>
      </c>
      <c r="J1227" t="s">
        <v>21</v>
      </c>
    </row>
    <row r="1228" spans="1:10" x14ac:dyDescent="0.25">
      <c r="A1228">
        <v>61733</v>
      </c>
      <c r="B1228" t="s">
        <v>4052</v>
      </c>
      <c r="C1228" t="s">
        <v>2029</v>
      </c>
      <c r="D1228" t="s">
        <v>2241</v>
      </c>
      <c r="E1228" t="s">
        <v>2242</v>
      </c>
      <c r="F1228">
        <v>18759</v>
      </c>
      <c r="G1228">
        <v>5498</v>
      </c>
      <c r="H1228" s="32">
        <f t="shared" si="19"/>
        <v>3.4119679883594034</v>
      </c>
      <c r="I1228">
        <v>1</v>
      </c>
      <c r="J1228" t="s">
        <v>21</v>
      </c>
    </row>
    <row r="1229" spans="1:10" x14ac:dyDescent="0.25">
      <c r="A1229">
        <v>59630</v>
      </c>
      <c r="B1229" t="s">
        <v>3541</v>
      </c>
      <c r="C1229" t="s">
        <v>241</v>
      </c>
      <c r="D1229" t="s">
        <v>2241</v>
      </c>
      <c r="E1229" t="s">
        <v>2242</v>
      </c>
      <c r="F1229">
        <v>12829</v>
      </c>
      <c r="G1229">
        <v>3760</v>
      </c>
      <c r="H1229" s="32">
        <f t="shared" si="19"/>
        <v>3.4119680851063832</v>
      </c>
      <c r="I1229">
        <v>1</v>
      </c>
      <c r="J1229" t="s">
        <v>21</v>
      </c>
    </row>
    <row r="1230" spans="1:10" x14ac:dyDescent="0.25">
      <c r="A1230">
        <v>64510</v>
      </c>
      <c r="B1230" t="s">
        <v>4593</v>
      </c>
      <c r="C1230" t="s">
        <v>708</v>
      </c>
      <c r="D1230" t="s">
        <v>2241</v>
      </c>
      <c r="E1230" t="s">
        <v>2242</v>
      </c>
      <c r="F1230">
        <v>24631</v>
      </c>
      <c r="G1230">
        <v>7219</v>
      </c>
      <c r="H1230" s="32">
        <f t="shared" si="19"/>
        <v>3.4119684166782105</v>
      </c>
      <c r="I1230">
        <v>1</v>
      </c>
      <c r="J1230" t="s">
        <v>21</v>
      </c>
    </row>
    <row r="1231" spans="1:10" x14ac:dyDescent="0.25">
      <c r="A1231">
        <v>64711</v>
      </c>
      <c r="B1231" t="s">
        <v>4632</v>
      </c>
      <c r="C1231" t="s">
        <v>143</v>
      </c>
      <c r="D1231" t="s">
        <v>2241</v>
      </c>
      <c r="E1231" t="s">
        <v>2242</v>
      </c>
      <c r="F1231">
        <v>99435</v>
      </c>
      <c r="G1231">
        <v>29143</v>
      </c>
      <c r="H1231" s="32">
        <f t="shared" si="19"/>
        <v>3.4119685687815258</v>
      </c>
      <c r="I1231">
        <v>1</v>
      </c>
      <c r="J1231" t="s">
        <v>21</v>
      </c>
    </row>
    <row r="1232" spans="1:10" x14ac:dyDescent="0.25">
      <c r="A1232">
        <v>66943</v>
      </c>
      <c r="B1232" t="s">
        <v>4993</v>
      </c>
      <c r="C1232" t="s">
        <v>143</v>
      </c>
      <c r="D1232" t="s">
        <v>2241</v>
      </c>
      <c r="E1232" t="s">
        <v>2242</v>
      </c>
      <c r="F1232">
        <v>97381</v>
      </c>
      <c r="G1232">
        <v>28541</v>
      </c>
      <c r="H1232" s="32">
        <f t="shared" si="19"/>
        <v>3.4119687467152517</v>
      </c>
      <c r="I1232">
        <v>1</v>
      </c>
      <c r="J1232" t="s">
        <v>21</v>
      </c>
    </row>
    <row r="1233" spans="1:10" x14ac:dyDescent="0.25">
      <c r="A1233">
        <v>61276</v>
      </c>
      <c r="B1233" t="s">
        <v>3975</v>
      </c>
      <c r="C1233" t="s">
        <v>708</v>
      </c>
      <c r="D1233" t="s">
        <v>2241</v>
      </c>
      <c r="E1233" t="s">
        <v>2242</v>
      </c>
      <c r="F1233">
        <v>48119</v>
      </c>
      <c r="G1233">
        <v>14103</v>
      </c>
      <c r="H1233" s="32">
        <f t="shared" si="19"/>
        <v>3.4119690845919308</v>
      </c>
      <c r="I1233">
        <v>1</v>
      </c>
      <c r="J1233" t="s">
        <v>21</v>
      </c>
    </row>
    <row r="1234" spans="1:10" x14ac:dyDescent="0.25">
      <c r="A1234">
        <v>64093</v>
      </c>
      <c r="B1234" t="s">
        <v>4484</v>
      </c>
      <c r="C1234" t="s">
        <v>201</v>
      </c>
      <c r="D1234" t="s">
        <v>2241</v>
      </c>
      <c r="E1234" t="s">
        <v>2242</v>
      </c>
      <c r="F1234">
        <v>127652</v>
      </c>
      <c r="G1234">
        <v>37413</v>
      </c>
      <c r="H1234" s="32">
        <f t="shared" si="19"/>
        <v>3.4119691016491593</v>
      </c>
      <c r="I1234">
        <v>1</v>
      </c>
      <c r="J1234" t="s">
        <v>21</v>
      </c>
    </row>
    <row r="1235" spans="1:10" x14ac:dyDescent="0.25">
      <c r="A1235">
        <v>66416</v>
      </c>
      <c r="B1235" t="s">
        <v>4898</v>
      </c>
      <c r="C1235" t="s">
        <v>131</v>
      </c>
      <c r="D1235" t="s">
        <v>2241</v>
      </c>
      <c r="E1235" t="s">
        <v>2242</v>
      </c>
      <c r="F1235">
        <v>63797</v>
      </c>
      <c r="G1235">
        <v>18698</v>
      </c>
      <c r="H1235" s="32">
        <f t="shared" si="19"/>
        <v>3.4119691945662636</v>
      </c>
      <c r="I1235">
        <v>1</v>
      </c>
      <c r="J1235" t="s">
        <v>21</v>
      </c>
    </row>
    <row r="1236" spans="1:10" x14ac:dyDescent="0.25">
      <c r="A1236">
        <v>64327</v>
      </c>
      <c r="B1236" t="s">
        <v>4540</v>
      </c>
      <c r="C1236" t="s">
        <v>241</v>
      </c>
      <c r="D1236" t="s">
        <v>2241</v>
      </c>
      <c r="E1236" t="s">
        <v>2242</v>
      </c>
      <c r="F1236">
        <v>124629</v>
      </c>
      <c r="G1236">
        <v>36527</v>
      </c>
      <c r="H1236" s="32">
        <f t="shared" si="19"/>
        <v>3.4119692282421221</v>
      </c>
      <c r="I1236">
        <v>1</v>
      </c>
      <c r="J1236" t="s">
        <v>21</v>
      </c>
    </row>
    <row r="1237" spans="1:10" x14ac:dyDescent="0.25">
      <c r="A1237">
        <v>58855</v>
      </c>
      <c r="B1237" t="s">
        <v>3311</v>
      </c>
      <c r="C1237" t="s">
        <v>708</v>
      </c>
      <c r="D1237" t="s">
        <v>2241</v>
      </c>
      <c r="E1237" t="s">
        <v>2242</v>
      </c>
      <c r="F1237">
        <v>23546</v>
      </c>
      <c r="G1237">
        <v>6901</v>
      </c>
      <c r="H1237" s="32">
        <f t="shared" si="19"/>
        <v>3.4119692798145196</v>
      </c>
      <c r="I1237">
        <v>1</v>
      </c>
      <c r="J1237" t="s">
        <v>21</v>
      </c>
    </row>
    <row r="1238" spans="1:10" x14ac:dyDescent="0.25">
      <c r="A1238">
        <v>61054</v>
      </c>
      <c r="B1238" t="s">
        <v>3927</v>
      </c>
      <c r="C1238" t="s">
        <v>131</v>
      </c>
      <c r="D1238" t="s">
        <v>2241</v>
      </c>
      <c r="E1238" t="s">
        <v>2242</v>
      </c>
      <c r="F1238">
        <v>41046</v>
      </c>
      <c r="G1238">
        <v>12030</v>
      </c>
      <c r="H1238" s="32">
        <f t="shared" si="19"/>
        <v>3.4119700748129675</v>
      </c>
      <c r="I1238">
        <v>1</v>
      </c>
      <c r="J1238" t="s">
        <v>21</v>
      </c>
    </row>
    <row r="1239" spans="1:10" x14ac:dyDescent="0.25">
      <c r="A1239">
        <v>64478</v>
      </c>
      <c r="B1239" t="s">
        <v>4583</v>
      </c>
      <c r="C1239" t="s">
        <v>708</v>
      </c>
      <c r="D1239" t="s">
        <v>2241</v>
      </c>
      <c r="E1239" t="s">
        <v>2242</v>
      </c>
      <c r="F1239">
        <v>22461</v>
      </c>
      <c r="G1239">
        <v>6583</v>
      </c>
      <c r="H1239" s="32">
        <f t="shared" si="19"/>
        <v>3.411970226340574</v>
      </c>
      <c r="I1239">
        <v>1</v>
      </c>
      <c r="J1239" t="s">
        <v>21</v>
      </c>
    </row>
    <row r="1240" spans="1:10" x14ac:dyDescent="0.25">
      <c r="A1240">
        <v>66374</v>
      </c>
      <c r="B1240" t="s">
        <v>4891</v>
      </c>
      <c r="C1240" t="s">
        <v>708</v>
      </c>
      <c r="D1240" t="s">
        <v>2241</v>
      </c>
      <c r="E1240" t="s">
        <v>2242</v>
      </c>
      <c r="F1240">
        <v>34147</v>
      </c>
      <c r="G1240">
        <v>10008</v>
      </c>
      <c r="H1240" s="32">
        <f t="shared" si="19"/>
        <v>3.4119704236610713</v>
      </c>
      <c r="I1240">
        <v>1</v>
      </c>
      <c r="J1240" t="s">
        <v>21</v>
      </c>
    </row>
    <row r="1241" spans="1:10" x14ac:dyDescent="0.25">
      <c r="A1241">
        <v>61278</v>
      </c>
      <c r="B1241" t="s">
        <v>3977</v>
      </c>
      <c r="C1241" t="s">
        <v>708</v>
      </c>
      <c r="D1241" t="s">
        <v>2241</v>
      </c>
      <c r="E1241" t="s">
        <v>2242</v>
      </c>
      <c r="F1241">
        <v>51705</v>
      </c>
      <c r="G1241">
        <v>15154</v>
      </c>
      <c r="H1241" s="32">
        <f t="shared" si="19"/>
        <v>3.4119704368483568</v>
      </c>
      <c r="I1241">
        <v>1</v>
      </c>
      <c r="J1241" t="s">
        <v>21</v>
      </c>
    </row>
    <row r="1242" spans="1:10" x14ac:dyDescent="0.25">
      <c r="A1242">
        <v>60395</v>
      </c>
      <c r="B1242" t="s">
        <v>3758</v>
      </c>
      <c r="C1242" t="s">
        <v>708</v>
      </c>
      <c r="D1242" t="s">
        <v>2241</v>
      </c>
      <c r="E1242" t="s">
        <v>2242</v>
      </c>
      <c r="F1242">
        <v>26337</v>
      </c>
      <c r="G1242">
        <v>7719</v>
      </c>
      <c r="H1242" s="32">
        <f t="shared" si="19"/>
        <v>3.4119704624951419</v>
      </c>
      <c r="I1242">
        <v>1</v>
      </c>
      <c r="J1242" t="s">
        <v>21</v>
      </c>
    </row>
    <row r="1243" spans="1:10" x14ac:dyDescent="0.25">
      <c r="A1243">
        <v>64568</v>
      </c>
      <c r="B1243" t="s">
        <v>4605</v>
      </c>
      <c r="C1243" t="s">
        <v>250</v>
      </c>
      <c r="D1243" t="s">
        <v>2241</v>
      </c>
      <c r="E1243" t="s">
        <v>2242</v>
      </c>
      <c r="F1243">
        <v>84825</v>
      </c>
      <c r="G1243">
        <v>24861</v>
      </c>
      <c r="H1243" s="32">
        <f t="shared" si="19"/>
        <v>3.4119705562929892</v>
      </c>
      <c r="I1243">
        <v>1</v>
      </c>
      <c r="J1243" t="s">
        <v>21</v>
      </c>
    </row>
    <row r="1244" spans="1:10" x14ac:dyDescent="0.25">
      <c r="A1244">
        <v>60239</v>
      </c>
      <c r="B1244" t="s">
        <v>3714</v>
      </c>
      <c r="C1244" t="s">
        <v>131</v>
      </c>
      <c r="D1244" t="s">
        <v>2241</v>
      </c>
      <c r="E1244" t="s">
        <v>2242</v>
      </c>
      <c r="F1244">
        <v>30213</v>
      </c>
      <c r="G1244">
        <v>8855</v>
      </c>
      <c r="H1244" s="32">
        <f t="shared" si="19"/>
        <v>3.4119706380575945</v>
      </c>
      <c r="I1244">
        <v>1</v>
      </c>
      <c r="J1244" t="s">
        <v>21</v>
      </c>
    </row>
    <row r="1245" spans="1:10" x14ac:dyDescent="0.25">
      <c r="A1245">
        <v>63345</v>
      </c>
      <c r="B1245" t="s">
        <v>4330</v>
      </c>
      <c r="C1245" t="s">
        <v>708</v>
      </c>
      <c r="D1245" t="s">
        <v>2241</v>
      </c>
      <c r="E1245" t="s">
        <v>2242</v>
      </c>
      <c r="F1245">
        <v>20465</v>
      </c>
      <c r="G1245">
        <v>5998</v>
      </c>
      <c r="H1245" s="32">
        <f t="shared" si="19"/>
        <v>3.4119706568856287</v>
      </c>
      <c r="I1245">
        <v>1</v>
      </c>
      <c r="J1245" t="s">
        <v>21</v>
      </c>
    </row>
    <row r="1246" spans="1:10" x14ac:dyDescent="0.25">
      <c r="A1246">
        <v>61466</v>
      </c>
      <c r="B1246" t="s">
        <v>4022</v>
      </c>
      <c r="C1246" t="s">
        <v>241</v>
      </c>
      <c r="D1246" t="s">
        <v>2241</v>
      </c>
      <c r="E1246" t="s">
        <v>2242</v>
      </c>
      <c r="F1246">
        <v>21434</v>
      </c>
      <c r="G1246">
        <v>6282</v>
      </c>
      <c r="H1246" s="32">
        <f t="shared" si="19"/>
        <v>3.4119707099649794</v>
      </c>
      <c r="I1246">
        <v>1</v>
      </c>
      <c r="J1246" t="s">
        <v>21</v>
      </c>
    </row>
    <row r="1247" spans="1:10" x14ac:dyDescent="0.25">
      <c r="A1247">
        <v>59570</v>
      </c>
      <c r="B1247" t="s">
        <v>3518</v>
      </c>
      <c r="C1247" t="s">
        <v>708</v>
      </c>
      <c r="D1247" t="s">
        <v>2241</v>
      </c>
      <c r="E1247" t="s">
        <v>2242</v>
      </c>
      <c r="F1247">
        <v>88121</v>
      </c>
      <c r="G1247">
        <v>25827</v>
      </c>
      <c r="H1247" s="32">
        <f t="shared" si="19"/>
        <v>3.4119719673210205</v>
      </c>
      <c r="I1247">
        <v>1</v>
      </c>
      <c r="J1247" t="s">
        <v>21</v>
      </c>
    </row>
    <row r="1248" spans="1:10" x14ac:dyDescent="0.25">
      <c r="A1248">
        <v>60000</v>
      </c>
      <c r="B1248" t="s">
        <v>3648</v>
      </c>
      <c r="C1248" t="s">
        <v>708</v>
      </c>
      <c r="D1248" t="s">
        <v>2241</v>
      </c>
      <c r="E1248" t="s">
        <v>2242</v>
      </c>
      <c r="F1248">
        <v>60020</v>
      </c>
      <c r="G1248">
        <v>17591</v>
      </c>
      <c r="H1248" s="32">
        <f t="shared" si="19"/>
        <v>3.4119720311522936</v>
      </c>
      <c r="I1248">
        <v>1</v>
      </c>
      <c r="J1248" t="s">
        <v>21</v>
      </c>
    </row>
    <row r="1249" spans="1:10" x14ac:dyDescent="0.25">
      <c r="A1249">
        <v>66102</v>
      </c>
      <c r="B1249" t="s">
        <v>4849</v>
      </c>
      <c r="C1249" t="s">
        <v>250</v>
      </c>
      <c r="D1249" t="s">
        <v>2241</v>
      </c>
      <c r="E1249" t="s">
        <v>2242</v>
      </c>
      <c r="F1249">
        <v>127734</v>
      </c>
      <c r="G1249">
        <v>37437</v>
      </c>
      <c r="H1249" s="32">
        <f t="shared" si="19"/>
        <v>3.411972113150092</v>
      </c>
      <c r="I1249">
        <v>1</v>
      </c>
      <c r="J1249" t="s">
        <v>21</v>
      </c>
    </row>
    <row r="1250" spans="1:10" x14ac:dyDescent="0.25">
      <c r="A1250">
        <v>67636</v>
      </c>
      <c r="B1250" t="s">
        <v>5130</v>
      </c>
      <c r="C1250" t="s">
        <v>166</v>
      </c>
      <c r="D1250" t="s">
        <v>2241</v>
      </c>
      <c r="E1250" t="s">
        <v>2242</v>
      </c>
      <c r="F1250">
        <v>30950</v>
      </c>
      <c r="G1250">
        <v>9071</v>
      </c>
      <c r="H1250" s="32">
        <f t="shared" si="19"/>
        <v>3.4119722191599604</v>
      </c>
      <c r="I1250">
        <v>1</v>
      </c>
      <c r="J1250" t="s">
        <v>21</v>
      </c>
    </row>
    <row r="1251" spans="1:10" x14ac:dyDescent="0.25">
      <c r="A1251">
        <v>59499</v>
      </c>
      <c r="B1251" t="s">
        <v>3475</v>
      </c>
      <c r="C1251" t="s">
        <v>708</v>
      </c>
      <c r="D1251" t="s">
        <v>2241</v>
      </c>
      <c r="E1251" t="s">
        <v>2242</v>
      </c>
      <c r="F1251">
        <v>29012</v>
      </c>
      <c r="G1251">
        <v>8503</v>
      </c>
      <c r="H1251" s="32">
        <f t="shared" si="19"/>
        <v>3.4119722450899683</v>
      </c>
      <c r="I1251">
        <v>1</v>
      </c>
      <c r="J1251" t="s">
        <v>21</v>
      </c>
    </row>
    <row r="1252" spans="1:10" x14ac:dyDescent="0.25">
      <c r="A1252">
        <v>61813</v>
      </c>
      <c r="B1252" t="s">
        <v>4068</v>
      </c>
      <c r="C1252" t="s">
        <v>708</v>
      </c>
      <c r="D1252" t="s">
        <v>2241</v>
      </c>
      <c r="E1252" t="s">
        <v>2242</v>
      </c>
      <c r="F1252">
        <v>339017</v>
      </c>
      <c r="G1252">
        <v>99361</v>
      </c>
      <c r="H1252" s="32">
        <f t="shared" si="19"/>
        <v>3.4119725043024931</v>
      </c>
      <c r="I1252">
        <v>1</v>
      </c>
      <c r="J1252" t="s">
        <v>21</v>
      </c>
    </row>
    <row r="1253" spans="1:10" x14ac:dyDescent="0.25">
      <c r="A1253">
        <v>59427</v>
      </c>
      <c r="B1253" t="s">
        <v>3451</v>
      </c>
      <c r="C1253" t="s">
        <v>708</v>
      </c>
      <c r="D1253" t="s">
        <v>2241</v>
      </c>
      <c r="E1253" t="s">
        <v>2242</v>
      </c>
      <c r="F1253">
        <v>25078</v>
      </c>
      <c r="G1253">
        <v>7350</v>
      </c>
      <c r="H1253" s="32">
        <f t="shared" si="19"/>
        <v>3.4119727891156462</v>
      </c>
      <c r="I1253">
        <v>1</v>
      </c>
      <c r="J1253" t="s">
        <v>21</v>
      </c>
    </row>
    <row r="1254" spans="1:10" x14ac:dyDescent="0.25">
      <c r="A1254">
        <v>64136</v>
      </c>
      <c r="B1254" t="s">
        <v>4496</v>
      </c>
      <c r="C1254" t="s">
        <v>201</v>
      </c>
      <c r="D1254" t="s">
        <v>2241</v>
      </c>
      <c r="E1254" t="s">
        <v>2242</v>
      </c>
      <c r="F1254">
        <v>293068</v>
      </c>
      <c r="G1254">
        <v>85894</v>
      </c>
      <c r="H1254" s="32">
        <f t="shared" si="19"/>
        <v>3.4119728968263208</v>
      </c>
      <c r="I1254">
        <v>1</v>
      </c>
      <c r="J1254" t="s">
        <v>21</v>
      </c>
    </row>
    <row r="1255" spans="1:10" x14ac:dyDescent="0.25">
      <c r="A1255">
        <v>59549</v>
      </c>
      <c r="B1255" t="s">
        <v>3506</v>
      </c>
      <c r="C1255" t="s">
        <v>708</v>
      </c>
      <c r="D1255" t="s">
        <v>2241</v>
      </c>
      <c r="E1255" t="s">
        <v>2242</v>
      </c>
      <c r="F1255">
        <v>33741</v>
      </c>
      <c r="G1255">
        <v>9889</v>
      </c>
      <c r="H1255" s="32">
        <f t="shared" si="19"/>
        <v>3.411972899180908</v>
      </c>
      <c r="I1255">
        <v>1</v>
      </c>
      <c r="J1255" t="s">
        <v>21</v>
      </c>
    </row>
    <row r="1256" spans="1:10" x14ac:dyDescent="0.25">
      <c r="A1256">
        <v>67060</v>
      </c>
      <c r="B1256" t="s">
        <v>5011</v>
      </c>
      <c r="C1256" t="s">
        <v>131</v>
      </c>
      <c r="D1256" t="s">
        <v>2241</v>
      </c>
      <c r="E1256" t="s">
        <v>2242</v>
      </c>
      <c r="F1256">
        <v>41435</v>
      </c>
      <c r="G1256">
        <v>12144</v>
      </c>
      <c r="H1256" s="32">
        <f t="shared" si="19"/>
        <v>3.4119729907773384</v>
      </c>
      <c r="I1256">
        <v>1</v>
      </c>
      <c r="J1256" t="s">
        <v>21</v>
      </c>
    </row>
    <row r="1257" spans="1:10" x14ac:dyDescent="0.25">
      <c r="A1257">
        <v>58674</v>
      </c>
      <c r="B1257" t="s">
        <v>3251</v>
      </c>
      <c r="C1257" t="s">
        <v>708</v>
      </c>
      <c r="D1257" t="s">
        <v>2241</v>
      </c>
      <c r="E1257" t="s">
        <v>2242</v>
      </c>
      <c r="F1257">
        <v>20233</v>
      </c>
      <c r="G1257">
        <v>5930</v>
      </c>
      <c r="H1257" s="32">
        <f t="shared" si="19"/>
        <v>3.4119730185497472</v>
      </c>
      <c r="I1257">
        <v>1</v>
      </c>
      <c r="J1257" t="s">
        <v>21</v>
      </c>
    </row>
    <row r="1258" spans="1:10" x14ac:dyDescent="0.25">
      <c r="A1258">
        <v>60319</v>
      </c>
      <c r="B1258" t="s">
        <v>3734</v>
      </c>
      <c r="C1258" t="s">
        <v>201</v>
      </c>
      <c r="D1258" t="s">
        <v>2241</v>
      </c>
      <c r="E1258" t="s">
        <v>2242</v>
      </c>
      <c r="F1258">
        <v>113646</v>
      </c>
      <c r="G1258">
        <v>33308</v>
      </c>
      <c r="H1258" s="32">
        <f t="shared" si="19"/>
        <v>3.4119730995556625</v>
      </c>
      <c r="I1258">
        <v>1</v>
      </c>
      <c r="J1258" t="s">
        <v>21</v>
      </c>
    </row>
    <row r="1259" spans="1:10" x14ac:dyDescent="0.25">
      <c r="A1259">
        <v>59153</v>
      </c>
      <c r="B1259" t="s">
        <v>3394</v>
      </c>
      <c r="C1259" t="s">
        <v>708</v>
      </c>
      <c r="D1259" t="s">
        <v>2241</v>
      </c>
      <c r="E1259" t="s">
        <v>2242</v>
      </c>
      <c r="F1259">
        <v>101844</v>
      </c>
      <c r="G1259">
        <v>29849</v>
      </c>
      <c r="H1259" s="32">
        <f t="shared" si="19"/>
        <v>3.4119736004556267</v>
      </c>
      <c r="I1259">
        <v>1</v>
      </c>
      <c r="J1259" t="s">
        <v>21</v>
      </c>
    </row>
    <row r="1260" spans="1:10" x14ac:dyDescent="0.25">
      <c r="A1260">
        <v>58349</v>
      </c>
      <c r="B1260" t="s">
        <v>3172</v>
      </c>
      <c r="C1260" t="s">
        <v>708</v>
      </c>
      <c r="D1260" t="s">
        <v>2241</v>
      </c>
      <c r="E1260" t="s">
        <v>2242</v>
      </c>
      <c r="F1260">
        <v>24962</v>
      </c>
      <c r="G1260">
        <v>7316</v>
      </c>
      <c r="H1260" s="32">
        <f t="shared" si="19"/>
        <v>3.411973756150902</v>
      </c>
      <c r="I1260">
        <v>1</v>
      </c>
      <c r="J1260" t="s">
        <v>21</v>
      </c>
    </row>
    <row r="1261" spans="1:10" x14ac:dyDescent="0.25">
      <c r="A1261">
        <v>60538</v>
      </c>
      <c r="B1261" t="s">
        <v>3792</v>
      </c>
      <c r="C1261" t="s">
        <v>708</v>
      </c>
      <c r="D1261" t="s">
        <v>2241</v>
      </c>
      <c r="E1261" t="s">
        <v>2242</v>
      </c>
      <c r="F1261">
        <v>30660</v>
      </c>
      <c r="G1261">
        <v>8986</v>
      </c>
      <c r="H1261" s="32">
        <f t="shared" si="19"/>
        <v>3.4119741820609839</v>
      </c>
      <c r="I1261">
        <v>1</v>
      </c>
      <c r="J1261" t="s">
        <v>21</v>
      </c>
    </row>
    <row r="1262" spans="1:10" x14ac:dyDescent="0.25">
      <c r="A1262">
        <v>64459</v>
      </c>
      <c r="B1262" t="s">
        <v>4570</v>
      </c>
      <c r="C1262" t="s">
        <v>250</v>
      </c>
      <c r="D1262" t="s">
        <v>2241</v>
      </c>
      <c r="E1262" t="s">
        <v>2242</v>
      </c>
      <c r="F1262">
        <v>14361</v>
      </c>
      <c r="G1262">
        <v>4209</v>
      </c>
      <c r="H1262" s="32">
        <f t="shared" si="19"/>
        <v>3.411974340698503</v>
      </c>
      <c r="I1262">
        <v>1</v>
      </c>
      <c r="J1262" t="s">
        <v>21</v>
      </c>
    </row>
    <row r="1263" spans="1:10" x14ac:dyDescent="0.25">
      <c r="A1263">
        <v>57485</v>
      </c>
      <c r="B1263" t="s">
        <v>3004</v>
      </c>
      <c r="C1263" t="s">
        <v>241</v>
      </c>
      <c r="D1263" t="s">
        <v>2241</v>
      </c>
      <c r="E1263" t="s">
        <v>2242</v>
      </c>
      <c r="F1263">
        <v>36358</v>
      </c>
      <c r="G1263">
        <v>10656</v>
      </c>
      <c r="H1263" s="32">
        <f t="shared" si="19"/>
        <v>3.4119744744744747</v>
      </c>
      <c r="I1263">
        <v>1</v>
      </c>
      <c r="J1263" t="s">
        <v>21</v>
      </c>
    </row>
    <row r="1264" spans="1:10" x14ac:dyDescent="0.25">
      <c r="A1264">
        <v>65387</v>
      </c>
      <c r="B1264" t="s">
        <v>4740</v>
      </c>
      <c r="C1264" t="s">
        <v>241</v>
      </c>
      <c r="D1264" t="s">
        <v>2241</v>
      </c>
      <c r="E1264" t="s">
        <v>2242</v>
      </c>
      <c r="F1264">
        <v>31513</v>
      </c>
      <c r="G1264">
        <v>9236</v>
      </c>
      <c r="H1264" s="32">
        <f t="shared" si="19"/>
        <v>3.4119748809008228</v>
      </c>
      <c r="I1264">
        <v>1</v>
      </c>
      <c r="J1264" t="s">
        <v>21</v>
      </c>
    </row>
    <row r="1265" spans="1:10" x14ac:dyDescent="0.25">
      <c r="A1265">
        <v>60316</v>
      </c>
      <c r="B1265" t="s">
        <v>3732</v>
      </c>
      <c r="C1265" t="s">
        <v>201</v>
      </c>
      <c r="D1265" t="s">
        <v>2241</v>
      </c>
      <c r="E1265" t="s">
        <v>2242</v>
      </c>
      <c r="F1265">
        <v>87698</v>
      </c>
      <c r="G1265">
        <v>25703</v>
      </c>
      <c r="H1265" s="32">
        <f t="shared" si="19"/>
        <v>3.4119752558067153</v>
      </c>
      <c r="I1265">
        <v>1</v>
      </c>
      <c r="J1265" t="s">
        <v>21</v>
      </c>
    </row>
    <row r="1266" spans="1:10" x14ac:dyDescent="0.25">
      <c r="A1266">
        <v>62208</v>
      </c>
      <c r="B1266" t="s">
        <v>4133</v>
      </c>
      <c r="C1266" t="s">
        <v>307</v>
      </c>
      <c r="D1266" t="s">
        <v>2241</v>
      </c>
      <c r="E1266" t="s">
        <v>2242</v>
      </c>
      <c r="F1266">
        <v>20970</v>
      </c>
      <c r="G1266">
        <v>6146</v>
      </c>
      <c r="H1266" s="32">
        <f t="shared" si="19"/>
        <v>3.4119752684672959</v>
      </c>
      <c r="I1266">
        <v>1</v>
      </c>
      <c r="J1266" t="s">
        <v>21</v>
      </c>
    </row>
    <row r="1267" spans="1:10" x14ac:dyDescent="0.25">
      <c r="A1267">
        <v>58725</v>
      </c>
      <c r="B1267" t="s">
        <v>3264</v>
      </c>
      <c r="C1267" t="s">
        <v>708</v>
      </c>
      <c r="D1267" t="s">
        <v>2241</v>
      </c>
      <c r="E1267" t="s">
        <v>2242</v>
      </c>
      <c r="F1267">
        <v>25699</v>
      </c>
      <c r="G1267">
        <v>7532</v>
      </c>
      <c r="H1267" s="32">
        <f t="shared" si="19"/>
        <v>3.4119755708975039</v>
      </c>
      <c r="I1267">
        <v>1</v>
      </c>
      <c r="J1267" t="s">
        <v>21</v>
      </c>
    </row>
    <row r="1268" spans="1:10" x14ac:dyDescent="0.25">
      <c r="A1268">
        <v>67214</v>
      </c>
      <c r="B1268" t="s">
        <v>5060</v>
      </c>
      <c r="C1268" t="s">
        <v>307</v>
      </c>
      <c r="D1268" t="s">
        <v>2241</v>
      </c>
      <c r="E1268" t="s">
        <v>2242</v>
      </c>
      <c r="F1268">
        <v>109405</v>
      </c>
      <c r="G1268">
        <v>32065</v>
      </c>
      <c r="H1268" s="32">
        <f t="shared" si="19"/>
        <v>3.4119756744113521</v>
      </c>
      <c r="I1268">
        <v>1</v>
      </c>
      <c r="J1268" t="s">
        <v>21</v>
      </c>
    </row>
    <row r="1269" spans="1:10" x14ac:dyDescent="0.25">
      <c r="A1269">
        <v>62820</v>
      </c>
      <c r="B1269" t="s">
        <v>4241</v>
      </c>
      <c r="C1269" t="s">
        <v>708</v>
      </c>
      <c r="D1269" t="s">
        <v>2241</v>
      </c>
      <c r="E1269" t="s">
        <v>2242</v>
      </c>
      <c r="F1269">
        <v>150086</v>
      </c>
      <c r="G1269">
        <v>43988</v>
      </c>
      <c r="H1269" s="32">
        <f t="shared" si="19"/>
        <v>3.41197599345276</v>
      </c>
      <c r="I1269">
        <v>1</v>
      </c>
      <c r="J1269" t="s">
        <v>21</v>
      </c>
    </row>
    <row r="1270" spans="1:10" x14ac:dyDescent="0.25">
      <c r="A1270">
        <v>64476</v>
      </c>
      <c r="B1270" t="s">
        <v>4581</v>
      </c>
      <c r="C1270" t="s">
        <v>708</v>
      </c>
      <c r="D1270" t="s">
        <v>2241</v>
      </c>
      <c r="E1270" t="s">
        <v>2242</v>
      </c>
      <c r="F1270">
        <v>21823</v>
      </c>
      <c r="G1270">
        <v>6396</v>
      </c>
      <c r="H1270" s="32">
        <f t="shared" si="19"/>
        <v>3.4119762351469669</v>
      </c>
      <c r="I1270">
        <v>1</v>
      </c>
      <c r="J1270" t="s">
        <v>21</v>
      </c>
    </row>
    <row r="1271" spans="1:10" x14ac:dyDescent="0.25">
      <c r="A1271">
        <v>63827</v>
      </c>
      <c r="B1271" t="s">
        <v>4418</v>
      </c>
      <c r="C1271" t="s">
        <v>708</v>
      </c>
      <c r="D1271" t="s">
        <v>2241</v>
      </c>
      <c r="E1271" t="s">
        <v>2242</v>
      </c>
      <c r="F1271">
        <v>291898</v>
      </c>
      <c r="G1271">
        <v>85551</v>
      </c>
      <c r="H1271" s="32">
        <f t="shared" si="19"/>
        <v>3.4119764818646185</v>
      </c>
      <c r="I1271">
        <v>1</v>
      </c>
      <c r="J1271" t="s">
        <v>21</v>
      </c>
    </row>
    <row r="1272" spans="1:10" x14ac:dyDescent="0.25">
      <c r="A1272">
        <v>59164</v>
      </c>
      <c r="B1272" t="s">
        <v>3402</v>
      </c>
      <c r="C1272" t="s">
        <v>708</v>
      </c>
      <c r="D1272" t="s">
        <v>2241</v>
      </c>
      <c r="E1272" t="s">
        <v>2242</v>
      </c>
      <c r="F1272">
        <v>196175</v>
      </c>
      <c r="G1272">
        <v>57496</v>
      </c>
      <c r="H1272" s="32">
        <f t="shared" si="19"/>
        <v>3.411976485320718</v>
      </c>
      <c r="I1272">
        <v>1</v>
      </c>
      <c r="J1272" t="s">
        <v>21</v>
      </c>
    </row>
    <row r="1273" spans="1:10" x14ac:dyDescent="0.25">
      <c r="A1273">
        <v>69604</v>
      </c>
      <c r="B1273" t="s">
        <v>5384</v>
      </c>
      <c r="C1273" t="s">
        <v>322</v>
      </c>
      <c r="D1273" t="s">
        <v>2241</v>
      </c>
      <c r="E1273" t="s">
        <v>2242</v>
      </c>
      <c r="F1273">
        <v>109910</v>
      </c>
      <c r="G1273">
        <v>32213</v>
      </c>
      <c r="H1273" s="32">
        <f t="shared" si="19"/>
        <v>3.4119765312141062</v>
      </c>
      <c r="I1273">
        <v>1</v>
      </c>
      <c r="J1273" t="s">
        <v>21</v>
      </c>
    </row>
    <row r="1274" spans="1:10" x14ac:dyDescent="0.25">
      <c r="A1274">
        <v>58564</v>
      </c>
      <c r="B1274" t="s">
        <v>3229</v>
      </c>
      <c r="C1274" t="s">
        <v>241</v>
      </c>
      <c r="D1274" t="s">
        <v>2241</v>
      </c>
      <c r="E1274" t="s">
        <v>2242</v>
      </c>
      <c r="F1274">
        <v>40681</v>
      </c>
      <c r="G1274">
        <v>11923</v>
      </c>
      <c r="H1274" s="32">
        <f t="shared" si="19"/>
        <v>3.411976851463558</v>
      </c>
      <c r="I1274">
        <v>1</v>
      </c>
      <c r="J1274" t="s">
        <v>21</v>
      </c>
    </row>
    <row r="1275" spans="1:10" x14ac:dyDescent="0.25">
      <c r="A1275">
        <v>64430</v>
      </c>
      <c r="B1275" t="s">
        <v>4561</v>
      </c>
      <c r="C1275" t="s">
        <v>708</v>
      </c>
      <c r="D1275" t="s">
        <v>2241</v>
      </c>
      <c r="E1275" t="s">
        <v>2242</v>
      </c>
      <c r="F1275">
        <v>123865</v>
      </c>
      <c r="G1275">
        <v>36303</v>
      </c>
      <c r="H1275" s="32">
        <f t="shared" si="19"/>
        <v>3.4119769716001431</v>
      </c>
      <c r="I1275">
        <v>1</v>
      </c>
      <c r="J1275" t="s">
        <v>21</v>
      </c>
    </row>
    <row r="1276" spans="1:10" x14ac:dyDescent="0.25">
      <c r="A1276">
        <v>59516</v>
      </c>
      <c r="B1276" t="s">
        <v>3492</v>
      </c>
      <c r="C1276" t="s">
        <v>708</v>
      </c>
      <c r="D1276" t="s">
        <v>2241</v>
      </c>
      <c r="E1276" t="s">
        <v>2242</v>
      </c>
      <c r="F1276">
        <v>80335</v>
      </c>
      <c r="G1276">
        <v>23545</v>
      </c>
      <c r="H1276" s="32">
        <f t="shared" si="19"/>
        <v>3.4119770651943089</v>
      </c>
      <c r="I1276">
        <v>1</v>
      </c>
      <c r="J1276" t="s">
        <v>21</v>
      </c>
    </row>
    <row r="1277" spans="1:10" x14ac:dyDescent="0.25">
      <c r="A1277">
        <v>62603</v>
      </c>
      <c r="B1277" t="s">
        <v>4181</v>
      </c>
      <c r="C1277" t="s">
        <v>708</v>
      </c>
      <c r="D1277" t="s">
        <v>2241</v>
      </c>
      <c r="E1277" t="s">
        <v>2242</v>
      </c>
      <c r="F1277">
        <v>34014</v>
      </c>
      <c r="G1277">
        <v>9969</v>
      </c>
      <c r="H1277" s="32">
        <f t="shared" si="19"/>
        <v>3.4119771291002108</v>
      </c>
      <c r="I1277">
        <v>1</v>
      </c>
      <c r="J1277" t="s">
        <v>21</v>
      </c>
    </row>
    <row r="1278" spans="1:10" x14ac:dyDescent="0.25">
      <c r="A1278">
        <v>63298</v>
      </c>
      <c r="B1278" t="s">
        <v>4322</v>
      </c>
      <c r="C1278" t="s">
        <v>241</v>
      </c>
      <c r="D1278" t="s">
        <v>2241</v>
      </c>
      <c r="E1278" t="s">
        <v>2242</v>
      </c>
      <c r="F1278">
        <v>8489</v>
      </c>
      <c r="G1278">
        <v>2488</v>
      </c>
      <c r="H1278" s="32">
        <f t="shared" si="19"/>
        <v>3.411977491961415</v>
      </c>
      <c r="I1278">
        <v>1</v>
      </c>
      <c r="J1278" t="s">
        <v>21</v>
      </c>
    </row>
    <row r="1279" spans="1:10" x14ac:dyDescent="0.25">
      <c r="A1279">
        <v>64252</v>
      </c>
      <c r="B1279" t="s">
        <v>4530</v>
      </c>
      <c r="C1279" t="s">
        <v>131</v>
      </c>
      <c r="D1279" t="s">
        <v>2241</v>
      </c>
      <c r="E1279" t="s">
        <v>2242</v>
      </c>
      <c r="F1279">
        <v>32018</v>
      </c>
      <c r="G1279">
        <v>9384</v>
      </c>
      <c r="H1279" s="32">
        <f t="shared" si="19"/>
        <v>3.4119778346121059</v>
      </c>
      <c r="I1279">
        <v>1</v>
      </c>
      <c r="J1279" t="s">
        <v>21</v>
      </c>
    </row>
    <row r="1280" spans="1:10" x14ac:dyDescent="0.25">
      <c r="A1280">
        <v>58943</v>
      </c>
      <c r="B1280" t="s">
        <v>3339</v>
      </c>
      <c r="C1280" t="s">
        <v>708</v>
      </c>
      <c r="D1280" t="s">
        <v>2241</v>
      </c>
      <c r="E1280" t="s">
        <v>2242</v>
      </c>
      <c r="F1280">
        <v>113885</v>
      </c>
      <c r="G1280">
        <v>33378</v>
      </c>
      <c r="H1280" s="32">
        <f t="shared" si="19"/>
        <v>3.4119779495476061</v>
      </c>
      <c r="I1280">
        <v>1</v>
      </c>
      <c r="J1280" t="s">
        <v>21</v>
      </c>
    </row>
    <row r="1281" spans="1:10" x14ac:dyDescent="0.25">
      <c r="A1281">
        <v>66964</v>
      </c>
      <c r="B1281" t="s">
        <v>4996</v>
      </c>
      <c r="C1281" t="s">
        <v>241</v>
      </c>
      <c r="D1281" t="s">
        <v>2241</v>
      </c>
      <c r="E1281" t="s">
        <v>2242</v>
      </c>
      <c r="F1281">
        <v>19711</v>
      </c>
      <c r="G1281">
        <v>5777</v>
      </c>
      <c r="H1281" s="32">
        <f t="shared" si="19"/>
        <v>3.4119785355720964</v>
      </c>
      <c r="I1281">
        <v>1</v>
      </c>
      <c r="J1281" t="s">
        <v>21</v>
      </c>
    </row>
    <row r="1282" spans="1:10" x14ac:dyDescent="0.25">
      <c r="A1282">
        <v>59778</v>
      </c>
      <c r="B1282" t="s">
        <v>3579</v>
      </c>
      <c r="C1282" t="s">
        <v>708</v>
      </c>
      <c r="D1282" t="s">
        <v>2241</v>
      </c>
      <c r="E1282" t="s">
        <v>2242</v>
      </c>
      <c r="F1282">
        <v>272583</v>
      </c>
      <c r="G1282">
        <v>79890</v>
      </c>
      <c r="H1282" s="32">
        <f t="shared" ref="H1282:H1345" si="20">IF(AND(F1282&gt;0,G1282&gt;0),F1282/G1282,"")</f>
        <v>3.4119789710852424</v>
      </c>
      <c r="I1282">
        <v>1</v>
      </c>
      <c r="J1282" t="s">
        <v>21</v>
      </c>
    </row>
    <row r="1283" spans="1:10" x14ac:dyDescent="0.25">
      <c r="A1283">
        <v>66203</v>
      </c>
      <c r="B1283" t="s">
        <v>4871</v>
      </c>
      <c r="C1283" t="s">
        <v>307</v>
      </c>
      <c r="D1283" t="s">
        <v>2241</v>
      </c>
      <c r="E1283" t="s">
        <v>2242</v>
      </c>
      <c r="F1283">
        <v>150731</v>
      </c>
      <c r="G1283">
        <v>44177</v>
      </c>
      <c r="H1283" s="32">
        <f t="shared" si="20"/>
        <v>3.4119790841388054</v>
      </c>
      <c r="I1283">
        <v>1</v>
      </c>
      <c r="J1283" t="s">
        <v>21</v>
      </c>
    </row>
    <row r="1284" spans="1:10" x14ac:dyDescent="0.25">
      <c r="A1284">
        <v>59548</v>
      </c>
      <c r="B1284" t="s">
        <v>3505</v>
      </c>
      <c r="C1284" t="s">
        <v>708</v>
      </c>
      <c r="D1284" t="s">
        <v>2241</v>
      </c>
      <c r="E1284" t="s">
        <v>2242</v>
      </c>
      <c r="F1284">
        <v>91714</v>
      </c>
      <c r="G1284">
        <v>26880</v>
      </c>
      <c r="H1284" s="32">
        <f t="shared" si="20"/>
        <v>3.4119791666666668</v>
      </c>
      <c r="I1284">
        <v>1</v>
      </c>
      <c r="J1284" t="s">
        <v>21</v>
      </c>
    </row>
    <row r="1285" spans="1:10" x14ac:dyDescent="0.25">
      <c r="A1285">
        <v>61435</v>
      </c>
      <c r="B1285" t="s">
        <v>4015</v>
      </c>
      <c r="C1285" t="s">
        <v>250</v>
      </c>
      <c r="D1285" t="s">
        <v>2241</v>
      </c>
      <c r="E1285" t="s">
        <v>2242</v>
      </c>
      <c r="F1285">
        <v>6551</v>
      </c>
      <c r="G1285">
        <v>1920</v>
      </c>
      <c r="H1285" s="32">
        <f t="shared" si="20"/>
        <v>3.4119791666666668</v>
      </c>
      <c r="I1285">
        <v>1</v>
      </c>
      <c r="J1285" t="s">
        <v>21</v>
      </c>
    </row>
    <row r="1286" spans="1:10" x14ac:dyDescent="0.25">
      <c r="A1286">
        <v>67163</v>
      </c>
      <c r="B1286" t="s">
        <v>5048</v>
      </c>
      <c r="C1286" t="s">
        <v>131</v>
      </c>
      <c r="D1286" t="s">
        <v>2241</v>
      </c>
      <c r="E1286" t="s">
        <v>2242</v>
      </c>
      <c r="F1286">
        <v>57079</v>
      </c>
      <c r="G1286">
        <v>16729</v>
      </c>
      <c r="H1286" s="32">
        <f t="shared" si="20"/>
        <v>3.411979197800227</v>
      </c>
      <c r="I1286">
        <v>1</v>
      </c>
      <c r="J1286" t="s">
        <v>21</v>
      </c>
    </row>
    <row r="1287" spans="1:10" x14ac:dyDescent="0.25">
      <c r="A1287">
        <v>60787</v>
      </c>
      <c r="B1287" t="s">
        <v>3874</v>
      </c>
      <c r="C1287" t="s">
        <v>708</v>
      </c>
      <c r="D1287" t="s">
        <v>2241</v>
      </c>
      <c r="E1287" t="s">
        <v>2242</v>
      </c>
      <c r="F1287">
        <v>86074</v>
      </c>
      <c r="G1287">
        <v>25227</v>
      </c>
      <c r="H1287" s="32">
        <f t="shared" si="20"/>
        <v>3.4119792286042734</v>
      </c>
      <c r="I1287">
        <v>1</v>
      </c>
      <c r="J1287" t="s">
        <v>21</v>
      </c>
    </row>
    <row r="1288" spans="1:10" x14ac:dyDescent="0.25">
      <c r="A1288">
        <v>63696</v>
      </c>
      <c r="B1288" t="s">
        <v>4392</v>
      </c>
      <c r="C1288" t="s">
        <v>201</v>
      </c>
      <c r="D1288" t="s">
        <v>2241</v>
      </c>
      <c r="E1288" t="s">
        <v>2242</v>
      </c>
      <c r="F1288">
        <v>146565</v>
      </c>
      <c r="G1288">
        <v>42956</v>
      </c>
      <c r="H1288" s="32">
        <f t="shared" si="20"/>
        <v>3.4119797001583017</v>
      </c>
      <c r="I1288">
        <v>1</v>
      </c>
      <c r="J1288" t="s">
        <v>21</v>
      </c>
    </row>
    <row r="1289" spans="1:10" x14ac:dyDescent="0.25">
      <c r="A1289">
        <v>62669</v>
      </c>
      <c r="B1289" t="s">
        <v>4200</v>
      </c>
      <c r="C1289" t="s">
        <v>708</v>
      </c>
      <c r="D1289" t="s">
        <v>2241</v>
      </c>
      <c r="E1289" t="s">
        <v>2242</v>
      </c>
      <c r="F1289">
        <v>151120</v>
      </c>
      <c r="G1289">
        <v>44291</v>
      </c>
      <c r="H1289" s="32">
        <f t="shared" si="20"/>
        <v>3.4119798604682665</v>
      </c>
      <c r="I1289">
        <v>1</v>
      </c>
      <c r="J1289" t="s">
        <v>21</v>
      </c>
    </row>
    <row r="1290" spans="1:10" x14ac:dyDescent="0.25">
      <c r="A1290">
        <v>60346</v>
      </c>
      <c r="B1290" t="s">
        <v>3738</v>
      </c>
      <c r="C1290" t="s">
        <v>250</v>
      </c>
      <c r="D1290" t="s">
        <v>2241</v>
      </c>
      <c r="E1290" t="s">
        <v>2242</v>
      </c>
      <c r="F1290">
        <v>122183</v>
      </c>
      <c r="G1290">
        <v>35810</v>
      </c>
      <c r="H1290" s="32">
        <f t="shared" si="20"/>
        <v>3.4119798938843897</v>
      </c>
      <c r="I1290">
        <v>1</v>
      </c>
      <c r="J1290" t="s">
        <v>21</v>
      </c>
    </row>
    <row r="1291" spans="1:10" x14ac:dyDescent="0.25">
      <c r="A1291">
        <v>67235</v>
      </c>
      <c r="B1291" t="s">
        <v>5066</v>
      </c>
      <c r="C1291" t="s">
        <v>201</v>
      </c>
      <c r="D1291" t="s">
        <v>2241</v>
      </c>
      <c r="E1291" t="s">
        <v>2242</v>
      </c>
      <c r="F1291">
        <v>27968</v>
      </c>
      <c r="G1291">
        <v>8197</v>
      </c>
      <c r="H1291" s="32">
        <f t="shared" si="20"/>
        <v>3.4119799926802488</v>
      </c>
      <c r="I1291">
        <v>1</v>
      </c>
      <c r="J1291" t="s">
        <v>21</v>
      </c>
    </row>
    <row r="1292" spans="1:10" x14ac:dyDescent="0.25">
      <c r="A1292">
        <v>60539</v>
      </c>
      <c r="B1292" t="s">
        <v>3793</v>
      </c>
      <c r="C1292" t="s">
        <v>708</v>
      </c>
      <c r="D1292" t="s">
        <v>2241</v>
      </c>
      <c r="E1292" t="s">
        <v>2242</v>
      </c>
      <c r="F1292">
        <v>322903</v>
      </c>
      <c r="G1292">
        <v>94638</v>
      </c>
      <c r="H1292" s="32">
        <f t="shared" si="20"/>
        <v>3.4119803884274815</v>
      </c>
      <c r="I1292">
        <v>1</v>
      </c>
      <c r="J1292" t="s">
        <v>21</v>
      </c>
    </row>
    <row r="1293" spans="1:10" x14ac:dyDescent="0.25">
      <c r="A1293">
        <v>60298</v>
      </c>
      <c r="B1293" t="s">
        <v>3728</v>
      </c>
      <c r="C1293" t="s">
        <v>708</v>
      </c>
      <c r="D1293" t="s">
        <v>2241</v>
      </c>
      <c r="E1293" t="s">
        <v>2242</v>
      </c>
      <c r="F1293">
        <v>31612</v>
      </c>
      <c r="G1293">
        <v>9265</v>
      </c>
      <c r="H1293" s="32">
        <f t="shared" si="20"/>
        <v>3.4119805720453318</v>
      </c>
      <c r="I1293">
        <v>1</v>
      </c>
      <c r="J1293" t="s">
        <v>21</v>
      </c>
    </row>
    <row r="1294" spans="1:10" x14ac:dyDescent="0.25">
      <c r="A1294">
        <v>59190</v>
      </c>
      <c r="B1294" t="s">
        <v>3418</v>
      </c>
      <c r="C1294" t="s">
        <v>708</v>
      </c>
      <c r="D1294" t="s">
        <v>2241</v>
      </c>
      <c r="E1294" t="s">
        <v>2242</v>
      </c>
      <c r="F1294">
        <v>12075</v>
      </c>
      <c r="G1294">
        <v>3539</v>
      </c>
      <c r="H1294" s="32">
        <f t="shared" si="20"/>
        <v>3.4119807855326365</v>
      </c>
      <c r="I1294">
        <v>1</v>
      </c>
      <c r="J1294" t="s">
        <v>21</v>
      </c>
    </row>
    <row r="1295" spans="1:10" x14ac:dyDescent="0.25">
      <c r="A1295">
        <v>62484</v>
      </c>
      <c r="B1295" t="s">
        <v>4164</v>
      </c>
      <c r="C1295" t="s">
        <v>131</v>
      </c>
      <c r="D1295" t="s">
        <v>2241</v>
      </c>
      <c r="E1295" t="s">
        <v>2242</v>
      </c>
      <c r="F1295">
        <v>45509</v>
      </c>
      <c r="G1295">
        <v>13338</v>
      </c>
      <c r="H1295" s="32">
        <f t="shared" si="20"/>
        <v>3.4119808067176489</v>
      </c>
      <c r="I1295">
        <v>1</v>
      </c>
      <c r="J1295" t="s">
        <v>21</v>
      </c>
    </row>
    <row r="1296" spans="1:10" x14ac:dyDescent="0.25">
      <c r="A1296">
        <v>63076</v>
      </c>
      <c r="B1296" t="s">
        <v>4289</v>
      </c>
      <c r="C1296" t="s">
        <v>708</v>
      </c>
      <c r="D1296" t="s">
        <v>2241</v>
      </c>
      <c r="E1296" t="s">
        <v>2242</v>
      </c>
      <c r="F1296">
        <v>504301</v>
      </c>
      <c r="G1296">
        <v>147803</v>
      </c>
      <c r="H1296" s="32">
        <f t="shared" si="20"/>
        <v>3.41198081229745</v>
      </c>
      <c r="I1296">
        <v>1</v>
      </c>
      <c r="J1296" t="s">
        <v>21</v>
      </c>
    </row>
    <row r="1297" spans="1:10" x14ac:dyDescent="0.25">
      <c r="A1297">
        <v>58273</v>
      </c>
      <c r="B1297" t="s">
        <v>3139</v>
      </c>
      <c r="C1297" t="s">
        <v>708</v>
      </c>
      <c r="D1297" t="s">
        <v>2241</v>
      </c>
      <c r="E1297" t="s">
        <v>2242</v>
      </c>
      <c r="F1297">
        <v>22270</v>
      </c>
      <c r="G1297">
        <v>6527</v>
      </c>
      <c r="H1297" s="32">
        <f t="shared" si="20"/>
        <v>3.4119810019917267</v>
      </c>
      <c r="I1297">
        <v>1</v>
      </c>
      <c r="J1297" t="s">
        <v>21</v>
      </c>
    </row>
    <row r="1298" spans="1:10" x14ac:dyDescent="0.25">
      <c r="A1298">
        <v>60598</v>
      </c>
      <c r="B1298" t="s">
        <v>3812</v>
      </c>
      <c r="C1298" t="s">
        <v>708</v>
      </c>
      <c r="D1298" t="s">
        <v>2241</v>
      </c>
      <c r="E1298" t="s">
        <v>2242</v>
      </c>
      <c r="F1298">
        <v>6493</v>
      </c>
      <c r="G1298">
        <v>1903</v>
      </c>
      <c r="H1298" s="32">
        <f t="shared" si="20"/>
        <v>3.4119810825013137</v>
      </c>
      <c r="I1298">
        <v>1</v>
      </c>
      <c r="J1298" t="s">
        <v>21</v>
      </c>
    </row>
    <row r="1299" spans="1:10" x14ac:dyDescent="0.25">
      <c r="A1299">
        <v>64467</v>
      </c>
      <c r="B1299" t="s">
        <v>4578</v>
      </c>
      <c r="C1299" t="s">
        <v>166</v>
      </c>
      <c r="D1299" t="s">
        <v>2241</v>
      </c>
      <c r="E1299" t="s">
        <v>2242</v>
      </c>
      <c r="F1299">
        <v>12986</v>
      </c>
      <c r="G1299">
        <v>3806</v>
      </c>
      <c r="H1299" s="32">
        <f t="shared" si="20"/>
        <v>3.4119810825013137</v>
      </c>
      <c r="I1299">
        <v>1</v>
      </c>
      <c r="J1299" t="s">
        <v>21</v>
      </c>
    </row>
    <row r="1300" spans="1:10" x14ac:dyDescent="0.25">
      <c r="A1300">
        <v>66842</v>
      </c>
      <c r="B1300" t="s">
        <v>4979</v>
      </c>
      <c r="C1300" t="s">
        <v>307</v>
      </c>
      <c r="D1300" t="s">
        <v>2241</v>
      </c>
      <c r="E1300" t="s">
        <v>2242</v>
      </c>
      <c r="F1300">
        <v>242568</v>
      </c>
      <c r="G1300">
        <v>71093</v>
      </c>
      <c r="H1300" s="32">
        <f t="shared" si="20"/>
        <v>3.4119814890354889</v>
      </c>
      <c r="I1300">
        <v>1</v>
      </c>
      <c r="J1300" t="s">
        <v>21</v>
      </c>
    </row>
    <row r="1301" spans="1:10" x14ac:dyDescent="0.25">
      <c r="A1301">
        <v>59708</v>
      </c>
      <c r="B1301" t="s">
        <v>3567</v>
      </c>
      <c r="C1301" t="s">
        <v>708</v>
      </c>
      <c r="D1301" t="s">
        <v>2241</v>
      </c>
      <c r="E1301" t="s">
        <v>2242</v>
      </c>
      <c r="F1301">
        <v>30527</v>
      </c>
      <c r="G1301">
        <v>8947</v>
      </c>
      <c r="H1301" s="32">
        <f t="shared" si="20"/>
        <v>3.4119816698334637</v>
      </c>
      <c r="I1301">
        <v>1</v>
      </c>
      <c r="J1301" t="s">
        <v>21</v>
      </c>
    </row>
    <row r="1302" spans="1:10" x14ac:dyDescent="0.25">
      <c r="A1302">
        <v>62912</v>
      </c>
      <c r="B1302" t="s">
        <v>4256</v>
      </c>
      <c r="C1302" t="s">
        <v>307</v>
      </c>
      <c r="D1302" t="s">
        <v>2241</v>
      </c>
      <c r="E1302" t="s">
        <v>2242</v>
      </c>
      <c r="F1302">
        <v>49948</v>
      </c>
      <c r="G1302">
        <v>14639</v>
      </c>
      <c r="H1302" s="32">
        <f t="shared" si="20"/>
        <v>3.4119816927385749</v>
      </c>
      <c r="I1302">
        <v>1</v>
      </c>
      <c r="J1302" t="s">
        <v>21</v>
      </c>
    </row>
    <row r="1303" spans="1:10" x14ac:dyDescent="0.25">
      <c r="A1303">
        <v>63083</v>
      </c>
      <c r="B1303" t="s">
        <v>4291</v>
      </c>
      <c r="C1303" t="s">
        <v>201</v>
      </c>
      <c r="D1303" t="s">
        <v>2241</v>
      </c>
      <c r="E1303" t="s">
        <v>2242</v>
      </c>
      <c r="F1303">
        <v>104219</v>
      </c>
      <c r="G1303">
        <v>30545</v>
      </c>
      <c r="H1303" s="32">
        <f t="shared" si="20"/>
        <v>3.4119823211654934</v>
      </c>
      <c r="I1303">
        <v>1</v>
      </c>
      <c r="J1303" t="s">
        <v>21</v>
      </c>
    </row>
    <row r="1304" spans="1:10" x14ac:dyDescent="0.25">
      <c r="A1304">
        <v>63786</v>
      </c>
      <c r="B1304" t="s">
        <v>4407</v>
      </c>
      <c r="C1304" t="s">
        <v>241</v>
      </c>
      <c r="D1304" t="s">
        <v>2241</v>
      </c>
      <c r="E1304" t="s">
        <v>2242</v>
      </c>
      <c r="F1304">
        <v>117884</v>
      </c>
      <c r="G1304">
        <v>34550</v>
      </c>
      <c r="H1304" s="32">
        <f t="shared" si="20"/>
        <v>3.4119826338639654</v>
      </c>
      <c r="I1304">
        <v>1</v>
      </c>
      <c r="J1304" t="s">
        <v>21</v>
      </c>
    </row>
    <row r="1305" spans="1:10" x14ac:dyDescent="0.25">
      <c r="A1305">
        <v>59213</v>
      </c>
      <c r="B1305" t="s">
        <v>3421</v>
      </c>
      <c r="C1305" t="s">
        <v>708</v>
      </c>
      <c r="D1305" t="s">
        <v>2241</v>
      </c>
      <c r="E1305" t="s">
        <v>2242</v>
      </c>
      <c r="F1305">
        <v>32233</v>
      </c>
      <c r="G1305">
        <v>9447</v>
      </c>
      <c r="H1305" s="32">
        <f t="shared" si="20"/>
        <v>3.4119826399915318</v>
      </c>
      <c r="I1305">
        <v>1</v>
      </c>
      <c r="J1305" t="s">
        <v>21</v>
      </c>
    </row>
    <row r="1306" spans="1:10" x14ac:dyDescent="0.25">
      <c r="A1306">
        <v>63031</v>
      </c>
      <c r="B1306" t="s">
        <v>4282</v>
      </c>
      <c r="C1306" t="s">
        <v>201</v>
      </c>
      <c r="D1306" t="s">
        <v>2241</v>
      </c>
      <c r="E1306" t="s">
        <v>2242</v>
      </c>
      <c r="F1306">
        <v>129843</v>
      </c>
      <c r="G1306">
        <v>38055</v>
      </c>
      <c r="H1306" s="32">
        <f t="shared" si="20"/>
        <v>3.4119826566811193</v>
      </c>
      <c r="I1306">
        <v>1</v>
      </c>
      <c r="J1306" t="s">
        <v>21</v>
      </c>
    </row>
    <row r="1307" spans="1:10" x14ac:dyDescent="0.25">
      <c r="A1307">
        <v>58615</v>
      </c>
      <c r="B1307" t="s">
        <v>3237</v>
      </c>
      <c r="C1307" t="s">
        <v>131</v>
      </c>
      <c r="D1307" t="s">
        <v>2241</v>
      </c>
      <c r="E1307" t="s">
        <v>2242</v>
      </c>
      <c r="F1307">
        <v>43223</v>
      </c>
      <c r="G1307">
        <v>12668</v>
      </c>
      <c r="H1307" s="32">
        <f t="shared" si="20"/>
        <v>3.4119829491632458</v>
      </c>
      <c r="I1307">
        <v>1</v>
      </c>
      <c r="J1307" t="s">
        <v>21</v>
      </c>
    </row>
    <row r="1308" spans="1:10" x14ac:dyDescent="0.25">
      <c r="A1308">
        <v>63566</v>
      </c>
      <c r="B1308" t="s">
        <v>4375</v>
      </c>
      <c r="C1308" t="s">
        <v>708</v>
      </c>
      <c r="D1308" t="s">
        <v>2241</v>
      </c>
      <c r="E1308" t="s">
        <v>2242</v>
      </c>
      <c r="F1308">
        <v>56093</v>
      </c>
      <c r="G1308">
        <v>16440</v>
      </c>
      <c r="H1308" s="32">
        <f t="shared" si="20"/>
        <v>3.4119829683698297</v>
      </c>
      <c r="I1308">
        <v>1</v>
      </c>
      <c r="J1308" t="s">
        <v>21</v>
      </c>
    </row>
    <row r="1309" spans="1:10" x14ac:dyDescent="0.25">
      <c r="A1309">
        <v>60755</v>
      </c>
      <c r="B1309" t="s">
        <v>3858</v>
      </c>
      <c r="C1309" t="s">
        <v>241</v>
      </c>
      <c r="D1309" t="s">
        <v>2241</v>
      </c>
      <c r="E1309" t="s">
        <v>2242</v>
      </c>
      <c r="F1309">
        <v>45956</v>
      </c>
      <c r="G1309">
        <v>13469</v>
      </c>
      <c r="H1309" s="32">
        <f t="shared" si="20"/>
        <v>3.4119830722399582</v>
      </c>
      <c r="I1309">
        <v>1</v>
      </c>
      <c r="J1309" t="s">
        <v>21</v>
      </c>
    </row>
    <row r="1310" spans="1:10" x14ac:dyDescent="0.25">
      <c r="A1310">
        <v>64248</v>
      </c>
      <c r="B1310" t="s">
        <v>4526</v>
      </c>
      <c r="C1310" t="s">
        <v>131</v>
      </c>
      <c r="D1310" t="s">
        <v>2241</v>
      </c>
      <c r="E1310" t="s">
        <v>2242</v>
      </c>
      <c r="F1310">
        <v>49600</v>
      </c>
      <c r="G1310">
        <v>14537</v>
      </c>
      <c r="H1310" s="32">
        <f t="shared" si="20"/>
        <v>3.4119832152438603</v>
      </c>
      <c r="I1310">
        <v>1</v>
      </c>
      <c r="J1310" t="s">
        <v>21</v>
      </c>
    </row>
    <row r="1311" spans="1:10" x14ac:dyDescent="0.25">
      <c r="A1311">
        <v>63845</v>
      </c>
      <c r="B1311" t="s">
        <v>4428</v>
      </c>
      <c r="C1311" t="s">
        <v>166</v>
      </c>
      <c r="D1311" t="s">
        <v>2241</v>
      </c>
      <c r="E1311" t="s">
        <v>2242</v>
      </c>
      <c r="F1311">
        <v>119358</v>
      </c>
      <c r="G1311">
        <v>34982</v>
      </c>
      <c r="H1311" s="32">
        <f t="shared" si="20"/>
        <v>3.4119833057000744</v>
      </c>
      <c r="I1311">
        <v>1</v>
      </c>
      <c r="J1311" t="s">
        <v>21</v>
      </c>
    </row>
    <row r="1312" spans="1:10" x14ac:dyDescent="0.25">
      <c r="A1312">
        <v>62686</v>
      </c>
      <c r="B1312" t="s">
        <v>4207</v>
      </c>
      <c r="C1312" t="s">
        <v>143</v>
      </c>
      <c r="D1312" t="s">
        <v>2241</v>
      </c>
      <c r="E1312" t="s">
        <v>2242</v>
      </c>
      <c r="F1312">
        <v>9168</v>
      </c>
      <c r="G1312">
        <v>2687</v>
      </c>
      <c r="H1312" s="32">
        <f t="shared" si="20"/>
        <v>3.4119836248604392</v>
      </c>
      <c r="I1312">
        <v>1</v>
      </c>
      <c r="J1312" t="s">
        <v>21</v>
      </c>
    </row>
    <row r="1313" spans="1:10" x14ac:dyDescent="0.25">
      <c r="A1313">
        <v>61406</v>
      </c>
      <c r="B1313" t="s">
        <v>4012</v>
      </c>
      <c r="C1313" t="s">
        <v>201</v>
      </c>
      <c r="D1313" t="s">
        <v>2241</v>
      </c>
      <c r="E1313" t="s">
        <v>2242</v>
      </c>
      <c r="F1313">
        <v>131996</v>
      </c>
      <c r="G1313">
        <v>38686</v>
      </c>
      <c r="H1313" s="32">
        <f t="shared" si="20"/>
        <v>3.4119836633407434</v>
      </c>
      <c r="I1313">
        <v>1</v>
      </c>
      <c r="J1313" t="s">
        <v>21</v>
      </c>
    </row>
    <row r="1314" spans="1:10" x14ac:dyDescent="0.25">
      <c r="A1314">
        <v>67216</v>
      </c>
      <c r="B1314" t="s">
        <v>5061</v>
      </c>
      <c r="C1314" t="s">
        <v>201</v>
      </c>
      <c r="D1314" t="s">
        <v>2241</v>
      </c>
      <c r="E1314" t="s">
        <v>2242</v>
      </c>
      <c r="F1314">
        <v>85245</v>
      </c>
      <c r="G1314">
        <v>24984</v>
      </c>
      <c r="H1314" s="32">
        <f t="shared" si="20"/>
        <v>3.4119836695485111</v>
      </c>
      <c r="I1314">
        <v>1</v>
      </c>
      <c r="J1314" t="s">
        <v>21</v>
      </c>
    </row>
    <row r="1315" spans="1:10" x14ac:dyDescent="0.25">
      <c r="A1315">
        <v>61691</v>
      </c>
      <c r="B1315" t="s">
        <v>4049</v>
      </c>
      <c r="C1315" t="s">
        <v>201</v>
      </c>
      <c r="D1315" t="s">
        <v>2241</v>
      </c>
      <c r="E1315" t="s">
        <v>2242</v>
      </c>
      <c r="F1315">
        <v>83307</v>
      </c>
      <c r="G1315">
        <v>24416</v>
      </c>
      <c r="H1315" s="32">
        <f t="shared" si="20"/>
        <v>3.4119839449541285</v>
      </c>
      <c r="I1315">
        <v>1</v>
      </c>
      <c r="J1315" t="s">
        <v>21</v>
      </c>
    </row>
    <row r="1316" spans="1:10" x14ac:dyDescent="0.25">
      <c r="A1316">
        <v>63084</v>
      </c>
      <c r="B1316" t="s">
        <v>4292</v>
      </c>
      <c r="C1316" t="s">
        <v>201</v>
      </c>
      <c r="D1316" t="s">
        <v>2241</v>
      </c>
      <c r="E1316" t="s">
        <v>2242</v>
      </c>
      <c r="F1316">
        <v>194971</v>
      </c>
      <c r="G1316">
        <v>57143</v>
      </c>
      <c r="H1316" s="32">
        <f t="shared" si="20"/>
        <v>3.4119839700400747</v>
      </c>
      <c r="I1316">
        <v>1</v>
      </c>
      <c r="J1316" t="s">
        <v>21</v>
      </c>
    </row>
    <row r="1317" spans="1:10" x14ac:dyDescent="0.25">
      <c r="A1317">
        <v>65016</v>
      </c>
      <c r="B1317" t="s">
        <v>4670</v>
      </c>
      <c r="C1317" t="s">
        <v>201</v>
      </c>
      <c r="D1317" t="s">
        <v>2241</v>
      </c>
      <c r="E1317" t="s">
        <v>2242</v>
      </c>
      <c r="F1317">
        <v>59447</v>
      </c>
      <c r="G1317">
        <v>17423</v>
      </c>
      <c r="H1317" s="32">
        <f t="shared" si="20"/>
        <v>3.4119841588704585</v>
      </c>
      <c r="I1317">
        <v>1</v>
      </c>
      <c r="J1317" t="s">
        <v>21</v>
      </c>
    </row>
    <row r="1318" spans="1:10" x14ac:dyDescent="0.25">
      <c r="A1318">
        <v>58951</v>
      </c>
      <c r="B1318" t="s">
        <v>3341</v>
      </c>
      <c r="C1318" t="s">
        <v>241</v>
      </c>
      <c r="D1318" t="s">
        <v>2241</v>
      </c>
      <c r="E1318" t="s">
        <v>2242</v>
      </c>
      <c r="F1318">
        <v>40995</v>
      </c>
      <c r="G1318">
        <v>12015</v>
      </c>
      <c r="H1318" s="32">
        <f t="shared" si="20"/>
        <v>3.4119850187265919</v>
      </c>
      <c r="I1318">
        <v>1</v>
      </c>
      <c r="J1318" t="s">
        <v>21</v>
      </c>
    </row>
    <row r="1319" spans="1:10" x14ac:dyDescent="0.25">
      <c r="A1319">
        <v>59861</v>
      </c>
      <c r="B1319" t="s">
        <v>3607</v>
      </c>
      <c r="C1319" t="s">
        <v>131</v>
      </c>
      <c r="D1319" t="s">
        <v>2241</v>
      </c>
      <c r="E1319" t="s">
        <v>2242</v>
      </c>
      <c r="F1319">
        <v>13665</v>
      </c>
      <c r="G1319">
        <v>4005</v>
      </c>
      <c r="H1319" s="32">
        <f t="shared" si="20"/>
        <v>3.4119850187265919</v>
      </c>
      <c r="I1319">
        <v>1</v>
      </c>
      <c r="J1319" t="s">
        <v>21</v>
      </c>
    </row>
    <row r="1320" spans="1:10" x14ac:dyDescent="0.25">
      <c r="A1320">
        <v>60916</v>
      </c>
      <c r="B1320" t="s">
        <v>3901</v>
      </c>
      <c r="C1320" t="s">
        <v>201</v>
      </c>
      <c r="D1320" t="s">
        <v>2241</v>
      </c>
      <c r="E1320" t="s">
        <v>2242</v>
      </c>
      <c r="F1320">
        <v>133917</v>
      </c>
      <c r="G1320">
        <v>39249</v>
      </c>
      <c r="H1320" s="32">
        <f t="shared" si="20"/>
        <v>3.4119850187265919</v>
      </c>
      <c r="I1320">
        <v>1</v>
      </c>
      <c r="J1320" t="s">
        <v>21</v>
      </c>
    </row>
    <row r="1321" spans="1:10" x14ac:dyDescent="0.25">
      <c r="A1321">
        <v>63745</v>
      </c>
      <c r="B1321" t="s">
        <v>4403</v>
      </c>
      <c r="C1321" t="s">
        <v>201</v>
      </c>
      <c r="D1321" t="s">
        <v>2241</v>
      </c>
      <c r="E1321" t="s">
        <v>2242</v>
      </c>
      <c r="F1321">
        <v>473877</v>
      </c>
      <c r="G1321">
        <v>138886</v>
      </c>
      <c r="H1321" s="32">
        <f t="shared" si="20"/>
        <v>3.4119853692956812</v>
      </c>
      <c r="I1321">
        <v>1</v>
      </c>
      <c r="J1321" t="s">
        <v>21</v>
      </c>
    </row>
    <row r="1322" spans="1:10" x14ac:dyDescent="0.25">
      <c r="A1322">
        <v>59832</v>
      </c>
      <c r="B1322" t="s">
        <v>3592</v>
      </c>
      <c r="C1322" t="s">
        <v>708</v>
      </c>
      <c r="D1322" t="s">
        <v>2241</v>
      </c>
      <c r="E1322" t="s">
        <v>2242</v>
      </c>
      <c r="F1322">
        <v>28183</v>
      </c>
      <c r="G1322">
        <v>8260</v>
      </c>
      <c r="H1322" s="32">
        <f t="shared" si="20"/>
        <v>3.4119854721549636</v>
      </c>
      <c r="I1322">
        <v>1</v>
      </c>
      <c r="J1322" t="s">
        <v>21</v>
      </c>
    </row>
    <row r="1323" spans="1:10" x14ac:dyDescent="0.25">
      <c r="A1323">
        <v>58029</v>
      </c>
      <c r="B1323" t="s">
        <v>3093</v>
      </c>
      <c r="C1323" t="s">
        <v>241</v>
      </c>
      <c r="D1323" t="s">
        <v>2241</v>
      </c>
      <c r="E1323" t="s">
        <v>2242</v>
      </c>
      <c r="F1323">
        <v>16340</v>
      </c>
      <c r="G1323">
        <v>4789</v>
      </c>
      <c r="H1323" s="32">
        <f t="shared" si="20"/>
        <v>3.4119858007934849</v>
      </c>
      <c r="I1323">
        <v>1</v>
      </c>
      <c r="J1323" t="s">
        <v>21</v>
      </c>
    </row>
    <row r="1324" spans="1:10" x14ac:dyDescent="0.25">
      <c r="A1324">
        <v>60001</v>
      </c>
      <c r="B1324" t="s">
        <v>3649</v>
      </c>
      <c r="C1324" t="s">
        <v>708</v>
      </c>
      <c r="D1324" t="s">
        <v>2241</v>
      </c>
      <c r="E1324" t="s">
        <v>2242</v>
      </c>
      <c r="F1324">
        <v>124227</v>
      </c>
      <c r="G1324">
        <v>36409</v>
      </c>
      <c r="H1324" s="32">
        <f t="shared" si="20"/>
        <v>3.4119860474058612</v>
      </c>
      <c r="I1324">
        <v>1</v>
      </c>
      <c r="J1324" t="s">
        <v>21</v>
      </c>
    </row>
    <row r="1325" spans="1:10" x14ac:dyDescent="0.25">
      <c r="A1325">
        <v>65077</v>
      </c>
      <c r="B1325" t="s">
        <v>4678</v>
      </c>
      <c r="C1325" t="s">
        <v>143</v>
      </c>
      <c r="D1325" t="s">
        <v>2241</v>
      </c>
      <c r="E1325" t="s">
        <v>2242</v>
      </c>
      <c r="F1325">
        <v>141362</v>
      </c>
      <c r="G1325">
        <v>41431</v>
      </c>
      <c r="H1325" s="32">
        <f t="shared" si="20"/>
        <v>3.4119861939127705</v>
      </c>
      <c r="I1325">
        <v>1</v>
      </c>
      <c r="J1325" t="s">
        <v>21</v>
      </c>
    </row>
    <row r="1326" spans="1:10" x14ac:dyDescent="0.25">
      <c r="A1326">
        <v>67757</v>
      </c>
      <c r="B1326" t="s">
        <v>5165</v>
      </c>
      <c r="C1326" t="s">
        <v>250</v>
      </c>
      <c r="D1326" t="s">
        <v>2241</v>
      </c>
      <c r="E1326" t="s">
        <v>2242</v>
      </c>
      <c r="F1326">
        <v>201140</v>
      </c>
      <c r="G1326">
        <v>58951</v>
      </c>
      <c r="H1326" s="32">
        <f t="shared" si="20"/>
        <v>3.4119862258485862</v>
      </c>
      <c r="I1326">
        <v>1</v>
      </c>
      <c r="J1326" t="s">
        <v>21</v>
      </c>
    </row>
    <row r="1327" spans="1:10" x14ac:dyDescent="0.25">
      <c r="A1327">
        <v>58808</v>
      </c>
      <c r="B1327" t="s">
        <v>3290</v>
      </c>
      <c r="C1327" t="s">
        <v>708</v>
      </c>
      <c r="D1327" t="s">
        <v>2241</v>
      </c>
      <c r="E1327" t="s">
        <v>2242</v>
      </c>
      <c r="F1327">
        <v>28067</v>
      </c>
      <c r="G1327">
        <v>8226</v>
      </c>
      <c r="H1327" s="32">
        <f t="shared" si="20"/>
        <v>3.411986384634087</v>
      </c>
      <c r="I1327">
        <v>1</v>
      </c>
      <c r="J1327" t="s">
        <v>21</v>
      </c>
    </row>
    <row r="1328" spans="1:10" x14ac:dyDescent="0.25">
      <c r="A1328">
        <v>58339</v>
      </c>
      <c r="B1328" t="s">
        <v>3162</v>
      </c>
      <c r="C1328" t="s">
        <v>708</v>
      </c>
      <c r="D1328" t="s">
        <v>2241</v>
      </c>
      <c r="E1328" t="s">
        <v>2242</v>
      </c>
      <c r="F1328">
        <v>28009</v>
      </c>
      <c r="G1328">
        <v>8209</v>
      </c>
      <c r="H1328" s="32">
        <f t="shared" si="20"/>
        <v>3.4119868437081253</v>
      </c>
      <c r="I1328">
        <v>1</v>
      </c>
      <c r="J1328" t="s">
        <v>21</v>
      </c>
    </row>
    <row r="1329" spans="1:10" x14ac:dyDescent="0.25">
      <c r="A1329">
        <v>60623</v>
      </c>
      <c r="B1329" t="s">
        <v>3820</v>
      </c>
      <c r="C1329" t="s">
        <v>708</v>
      </c>
      <c r="D1329" t="s">
        <v>2241</v>
      </c>
      <c r="E1329" t="s">
        <v>2242</v>
      </c>
      <c r="F1329">
        <v>335818</v>
      </c>
      <c r="G1329">
        <v>98423</v>
      </c>
      <c r="H1329" s="32">
        <f t="shared" si="20"/>
        <v>3.4119870355506334</v>
      </c>
      <c r="I1329">
        <v>1</v>
      </c>
      <c r="J1329" t="s">
        <v>21</v>
      </c>
    </row>
    <row r="1330" spans="1:10" x14ac:dyDescent="0.25">
      <c r="A1330">
        <v>65220</v>
      </c>
      <c r="B1330" t="s">
        <v>4701</v>
      </c>
      <c r="C1330" t="s">
        <v>201</v>
      </c>
      <c r="D1330" t="s">
        <v>2241</v>
      </c>
      <c r="E1330" t="s">
        <v>2242</v>
      </c>
      <c r="F1330">
        <v>143457</v>
      </c>
      <c r="G1330">
        <v>42045</v>
      </c>
      <c r="H1330" s="32">
        <f t="shared" si="20"/>
        <v>3.4119871566179092</v>
      </c>
      <c r="I1330">
        <v>1</v>
      </c>
      <c r="J1330" t="s">
        <v>21</v>
      </c>
    </row>
    <row r="1331" spans="1:10" x14ac:dyDescent="0.25">
      <c r="A1331">
        <v>60556</v>
      </c>
      <c r="B1331" t="s">
        <v>3799</v>
      </c>
      <c r="C1331" t="s">
        <v>2029</v>
      </c>
      <c r="D1331" t="s">
        <v>2241</v>
      </c>
      <c r="E1331" t="s">
        <v>2242</v>
      </c>
      <c r="F1331">
        <v>51347</v>
      </c>
      <c r="G1331">
        <v>15049</v>
      </c>
      <c r="H1331" s="32">
        <f t="shared" si="20"/>
        <v>3.4119875074755797</v>
      </c>
      <c r="I1331">
        <v>1</v>
      </c>
      <c r="J1331" t="s">
        <v>21</v>
      </c>
    </row>
    <row r="1332" spans="1:10" x14ac:dyDescent="0.25">
      <c r="A1332">
        <v>60624</v>
      </c>
      <c r="B1332" t="s">
        <v>3821</v>
      </c>
      <c r="C1332" t="s">
        <v>708</v>
      </c>
      <c r="D1332" t="s">
        <v>2241</v>
      </c>
      <c r="E1332" t="s">
        <v>2242</v>
      </c>
      <c r="F1332">
        <v>289978</v>
      </c>
      <c r="G1332">
        <v>84988</v>
      </c>
      <c r="H1332" s="32">
        <f t="shared" si="20"/>
        <v>3.4119875747164308</v>
      </c>
      <c r="I1332">
        <v>1</v>
      </c>
      <c r="J1332" t="s">
        <v>21</v>
      </c>
    </row>
    <row r="1333" spans="1:10" x14ac:dyDescent="0.25">
      <c r="A1333">
        <v>59671</v>
      </c>
      <c r="B1333" t="s">
        <v>3556</v>
      </c>
      <c r="C1333" t="s">
        <v>708</v>
      </c>
      <c r="D1333" t="s">
        <v>2241</v>
      </c>
      <c r="E1333" t="s">
        <v>2242</v>
      </c>
      <c r="F1333">
        <v>436731</v>
      </c>
      <c r="G1333">
        <v>127999</v>
      </c>
      <c r="H1333" s="32">
        <f t="shared" si="20"/>
        <v>3.4119875936530755</v>
      </c>
      <c r="I1333">
        <v>1</v>
      </c>
      <c r="J1333" t="s">
        <v>21</v>
      </c>
    </row>
    <row r="1334" spans="1:10" x14ac:dyDescent="0.25">
      <c r="A1334">
        <v>61283</v>
      </c>
      <c r="B1334" t="s">
        <v>3981</v>
      </c>
      <c r="C1334" t="s">
        <v>708</v>
      </c>
      <c r="D1334" t="s">
        <v>2241</v>
      </c>
      <c r="E1334" t="s">
        <v>2242</v>
      </c>
      <c r="F1334">
        <v>33301</v>
      </c>
      <c r="G1334">
        <v>9760</v>
      </c>
      <c r="H1334" s="32">
        <f t="shared" si="20"/>
        <v>3.4119877049180327</v>
      </c>
      <c r="I1334">
        <v>1</v>
      </c>
      <c r="J1334" t="s">
        <v>21</v>
      </c>
    </row>
    <row r="1335" spans="1:10" x14ac:dyDescent="0.25">
      <c r="A1335">
        <v>61965</v>
      </c>
      <c r="B1335" t="s">
        <v>4091</v>
      </c>
      <c r="C1335" t="s">
        <v>241</v>
      </c>
      <c r="D1335" t="s">
        <v>2241</v>
      </c>
      <c r="E1335" t="s">
        <v>2242</v>
      </c>
      <c r="F1335">
        <v>37798</v>
      </c>
      <c r="G1335">
        <v>11078</v>
      </c>
      <c r="H1335" s="32">
        <f t="shared" si="20"/>
        <v>3.4119877234157792</v>
      </c>
      <c r="I1335">
        <v>1</v>
      </c>
      <c r="J1335" t="s">
        <v>21</v>
      </c>
    </row>
    <row r="1336" spans="1:10" x14ac:dyDescent="0.25">
      <c r="A1336">
        <v>68775</v>
      </c>
      <c r="B1336" t="s">
        <v>5261</v>
      </c>
      <c r="C1336" t="s">
        <v>201</v>
      </c>
      <c r="D1336" t="s">
        <v>2241</v>
      </c>
      <c r="E1336" t="s">
        <v>2242</v>
      </c>
      <c r="F1336">
        <v>123241</v>
      </c>
      <c r="G1336">
        <v>36120</v>
      </c>
      <c r="H1336" s="32">
        <f t="shared" si="20"/>
        <v>3.4119878183831673</v>
      </c>
      <c r="I1336">
        <v>1</v>
      </c>
      <c r="J1336" t="s">
        <v>21</v>
      </c>
    </row>
    <row r="1337" spans="1:10" x14ac:dyDescent="0.25">
      <c r="A1337">
        <v>67572</v>
      </c>
      <c r="B1337" t="s">
        <v>5116</v>
      </c>
      <c r="C1337" t="s">
        <v>672</v>
      </c>
      <c r="D1337" t="s">
        <v>2241</v>
      </c>
      <c r="E1337" t="s">
        <v>2242</v>
      </c>
      <c r="F1337">
        <v>17988</v>
      </c>
      <c r="G1337">
        <v>5272</v>
      </c>
      <c r="H1337" s="32">
        <f t="shared" si="20"/>
        <v>3.4119878603945373</v>
      </c>
      <c r="I1337">
        <v>1</v>
      </c>
      <c r="J1337" t="s">
        <v>21</v>
      </c>
    </row>
    <row r="1338" spans="1:10" x14ac:dyDescent="0.25">
      <c r="A1338">
        <v>67804</v>
      </c>
      <c r="B1338" t="s">
        <v>5172</v>
      </c>
      <c r="C1338" t="s">
        <v>166</v>
      </c>
      <c r="D1338" t="s">
        <v>2241</v>
      </c>
      <c r="E1338" t="s">
        <v>2242</v>
      </c>
      <c r="F1338">
        <v>13491</v>
      </c>
      <c r="G1338">
        <v>3954</v>
      </c>
      <c r="H1338" s="32">
        <f t="shared" si="20"/>
        <v>3.4119878603945373</v>
      </c>
      <c r="I1338">
        <v>1</v>
      </c>
      <c r="J1338" t="s">
        <v>21</v>
      </c>
    </row>
    <row r="1339" spans="1:10" x14ac:dyDescent="0.25">
      <c r="A1339">
        <v>65467</v>
      </c>
      <c r="B1339" t="s">
        <v>4753</v>
      </c>
      <c r="C1339" t="s">
        <v>241</v>
      </c>
      <c r="D1339" t="s">
        <v>2241</v>
      </c>
      <c r="E1339" t="s">
        <v>2242</v>
      </c>
      <c r="F1339">
        <v>54817</v>
      </c>
      <c r="G1339">
        <v>16066</v>
      </c>
      <c r="H1339" s="32">
        <f t="shared" si="20"/>
        <v>3.4119880492966512</v>
      </c>
      <c r="I1339">
        <v>1</v>
      </c>
      <c r="J1339" t="s">
        <v>21</v>
      </c>
    </row>
    <row r="1340" spans="1:10" x14ac:dyDescent="0.25">
      <c r="A1340">
        <v>64709</v>
      </c>
      <c r="B1340" t="s">
        <v>4631</v>
      </c>
      <c r="C1340" t="s">
        <v>143</v>
      </c>
      <c r="D1340" t="s">
        <v>2241</v>
      </c>
      <c r="E1340" t="s">
        <v>2242</v>
      </c>
      <c r="F1340">
        <v>104052</v>
      </c>
      <c r="G1340">
        <v>30496</v>
      </c>
      <c r="H1340" s="32">
        <f t="shared" si="20"/>
        <v>3.4119884575026234</v>
      </c>
      <c r="I1340">
        <v>1</v>
      </c>
      <c r="J1340" t="s">
        <v>21</v>
      </c>
    </row>
    <row r="1341" spans="1:10" x14ac:dyDescent="0.25">
      <c r="A1341">
        <v>59997</v>
      </c>
      <c r="B1341" t="s">
        <v>3646</v>
      </c>
      <c r="C1341" t="s">
        <v>708</v>
      </c>
      <c r="D1341" t="s">
        <v>2241</v>
      </c>
      <c r="E1341" t="s">
        <v>2242</v>
      </c>
      <c r="F1341">
        <v>104789</v>
      </c>
      <c r="G1341">
        <v>30712</v>
      </c>
      <c r="H1341" s="32">
        <f t="shared" si="20"/>
        <v>3.4119887991664495</v>
      </c>
      <c r="I1341">
        <v>1</v>
      </c>
      <c r="J1341" t="s">
        <v>21</v>
      </c>
    </row>
    <row r="1342" spans="1:10" x14ac:dyDescent="0.25">
      <c r="A1342">
        <v>61412</v>
      </c>
      <c r="B1342" t="s">
        <v>4013</v>
      </c>
      <c r="C1342" t="s">
        <v>2029</v>
      </c>
      <c r="D1342" t="s">
        <v>2241</v>
      </c>
      <c r="E1342" t="s">
        <v>2242</v>
      </c>
      <c r="F1342">
        <v>87770</v>
      </c>
      <c r="G1342">
        <v>25724</v>
      </c>
      <c r="H1342" s="32">
        <f t="shared" si="20"/>
        <v>3.4119888042295132</v>
      </c>
      <c r="I1342">
        <v>1</v>
      </c>
      <c r="J1342" t="s">
        <v>21</v>
      </c>
    </row>
    <row r="1343" spans="1:10" x14ac:dyDescent="0.25">
      <c r="A1343">
        <v>58335</v>
      </c>
      <c r="B1343" t="s">
        <v>3158</v>
      </c>
      <c r="C1343" t="s">
        <v>708</v>
      </c>
      <c r="D1343" t="s">
        <v>2241</v>
      </c>
      <c r="E1343" t="s">
        <v>2242</v>
      </c>
      <c r="F1343">
        <v>26866</v>
      </c>
      <c r="G1343">
        <v>7874</v>
      </c>
      <c r="H1343" s="32">
        <f t="shared" si="20"/>
        <v>3.4119888239776479</v>
      </c>
      <c r="I1343">
        <v>1</v>
      </c>
      <c r="J1343" t="s">
        <v>21</v>
      </c>
    </row>
    <row r="1344" spans="1:10" x14ac:dyDescent="0.25">
      <c r="A1344">
        <v>61011</v>
      </c>
      <c r="B1344" t="s">
        <v>3922</v>
      </c>
      <c r="C1344" t="s">
        <v>708</v>
      </c>
      <c r="D1344" t="s">
        <v>2241</v>
      </c>
      <c r="E1344" t="s">
        <v>2242</v>
      </c>
      <c r="F1344">
        <v>501054</v>
      </c>
      <c r="G1344">
        <v>146851</v>
      </c>
      <c r="H1344" s="32">
        <f t="shared" si="20"/>
        <v>3.4119890228871439</v>
      </c>
      <c r="I1344">
        <v>1</v>
      </c>
      <c r="J1344" t="s">
        <v>21</v>
      </c>
    </row>
    <row r="1345" spans="1:10" x14ac:dyDescent="0.25">
      <c r="A1345">
        <v>67145</v>
      </c>
      <c r="B1345" t="s">
        <v>5043</v>
      </c>
      <c r="C1345" t="s">
        <v>307</v>
      </c>
      <c r="D1345" t="s">
        <v>2241</v>
      </c>
      <c r="E1345" t="s">
        <v>2242</v>
      </c>
      <c r="F1345">
        <v>40241</v>
      </c>
      <c r="G1345">
        <v>11794</v>
      </c>
      <c r="H1345" s="32">
        <f t="shared" si="20"/>
        <v>3.4119891470239105</v>
      </c>
      <c r="I1345">
        <v>1</v>
      </c>
      <c r="J1345" t="s">
        <v>21</v>
      </c>
    </row>
    <row r="1346" spans="1:10" x14ac:dyDescent="0.25">
      <c r="A1346">
        <v>66999</v>
      </c>
      <c r="B1346" t="s">
        <v>5003</v>
      </c>
      <c r="C1346" t="s">
        <v>201</v>
      </c>
      <c r="D1346" t="s">
        <v>2241</v>
      </c>
      <c r="E1346" t="s">
        <v>2242</v>
      </c>
      <c r="F1346">
        <v>117990</v>
      </c>
      <c r="G1346">
        <v>34581</v>
      </c>
      <c r="H1346" s="32">
        <f t="shared" ref="H1346:H1409" si="21">IF(AND(F1346&gt;0,G1346&gt;0),F1346/G1346,"")</f>
        <v>3.4119892426476968</v>
      </c>
      <c r="I1346">
        <v>1</v>
      </c>
      <c r="J1346" t="s">
        <v>21</v>
      </c>
    </row>
    <row r="1347" spans="1:10" x14ac:dyDescent="0.25">
      <c r="A1347">
        <v>67171</v>
      </c>
      <c r="B1347" t="s">
        <v>5052</v>
      </c>
      <c r="C1347" t="s">
        <v>201</v>
      </c>
      <c r="D1347" t="s">
        <v>2241</v>
      </c>
      <c r="E1347" t="s">
        <v>2242</v>
      </c>
      <c r="F1347">
        <v>531837</v>
      </c>
      <c r="G1347">
        <v>155873</v>
      </c>
      <c r="H1347" s="32">
        <f t="shared" si="21"/>
        <v>3.4119892476567464</v>
      </c>
      <c r="I1347">
        <v>1</v>
      </c>
      <c r="J1347" t="s">
        <v>21</v>
      </c>
    </row>
    <row r="1348" spans="1:10" x14ac:dyDescent="0.25">
      <c r="A1348">
        <v>64135</v>
      </c>
      <c r="B1348" t="s">
        <v>4495</v>
      </c>
      <c r="C1348" t="s">
        <v>201</v>
      </c>
      <c r="D1348" t="s">
        <v>2241</v>
      </c>
      <c r="E1348" t="s">
        <v>2242</v>
      </c>
      <c r="F1348">
        <v>141212</v>
      </c>
      <c r="G1348">
        <v>41387</v>
      </c>
      <c r="H1348" s="32">
        <f t="shared" si="21"/>
        <v>3.4119892719936211</v>
      </c>
      <c r="I1348">
        <v>1</v>
      </c>
      <c r="J1348" t="s">
        <v>21</v>
      </c>
    </row>
    <row r="1349" spans="1:10" x14ac:dyDescent="0.25">
      <c r="A1349">
        <v>60136</v>
      </c>
      <c r="B1349" t="s">
        <v>3686</v>
      </c>
      <c r="C1349" t="s">
        <v>708</v>
      </c>
      <c r="D1349" t="s">
        <v>2241</v>
      </c>
      <c r="E1349" t="s">
        <v>2242</v>
      </c>
      <c r="F1349">
        <v>32158</v>
      </c>
      <c r="G1349">
        <v>9425</v>
      </c>
      <c r="H1349" s="32">
        <f t="shared" si="21"/>
        <v>3.4119893899204246</v>
      </c>
      <c r="I1349">
        <v>1</v>
      </c>
      <c r="J1349" t="s">
        <v>21</v>
      </c>
    </row>
    <row r="1350" spans="1:10" x14ac:dyDescent="0.25">
      <c r="A1350">
        <v>61404</v>
      </c>
      <c r="B1350" t="s">
        <v>4010</v>
      </c>
      <c r="C1350" t="s">
        <v>708</v>
      </c>
      <c r="D1350" t="s">
        <v>2241</v>
      </c>
      <c r="E1350" t="s">
        <v>2242</v>
      </c>
      <c r="F1350">
        <v>31247</v>
      </c>
      <c r="G1350">
        <v>9158</v>
      </c>
      <c r="H1350" s="32">
        <f t="shared" si="21"/>
        <v>3.4119895173618695</v>
      </c>
      <c r="I1350">
        <v>1</v>
      </c>
      <c r="J1350" t="s">
        <v>21</v>
      </c>
    </row>
    <row r="1351" spans="1:10" x14ac:dyDescent="0.25">
      <c r="A1351">
        <v>60729</v>
      </c>
      <c r="B1351" t="s">
        <v>3846</v>
      </c>
      <c r="C1351" t="s">
        <v>241</v>
      </c>
      <c r="D1351" t="s">
        <v>2241</v>
      </c>
      <c r="E1351" t="s">
        <v>2242</v>
      </c>
      <c r="F1351">
        <v>39272</v>
      </c>
      <c r="G1351">
        <v>11510</v>
      </c>
      <c r="H1351" s="32">
        <f t="shared" si="21"/>
        <v>3.4119895742832318</v>
      </c>
      <c r="I1351">
        <v>1</v>
      </c>
      <c r="J1351" t="s">
        <v>21</v>
      </c>
    </row>
    <row r="1352" spans="1:10" x14ac:dyDescent="0.25">
      <c r="A1352">
        <v>66631</v>
      </c>
      <c r="B1352" t="s">
        <v>4931</v>
      </c>
      <c r="C1352" t="s">
        <v>166</v>
      </c>
      <c r="D1352" t="s">
        <v>2241</v>
      </c>
      <c r="E1352" t="s">
        <v>2242</v>
      </c>
      <c r="F1352">
        <v>258796</v>
      </c>
      <c r="G1352">
        <v>75849</v>
      </c>
      <c r="H1352" s="32">
        <f t="shared" si="21"/>
        <v>3.4119896109375207</v>
      </c>
      <c r="I1352">
        <v>1</v>
      </c>
      <c r="J1352" t="s">
        <v>21</v>
      </c>
    </row>
    <row r="1353" spans="1:10" x14ac:dyDescent="0.25">
      <c r="A1353">
        <v>68148</v>
      </c>
      <c r="B1353" t="s">
        <v>5216</v>
      </c>
      <c r="C1353" t="s">
        <v>166</v>
      </c>
      <c r="D1353" t="s">
        <v>2241</v>
      </c>
      <c r="E1353" t="s">
        <v>2242</v>
      </c>
      <c r="F1353">
        <v>477351</v>
      </c>
      <c r="G1353">
        <v>139904</v>
      </c>
      <c r="H1353" s="32">
        <f t="shared" si="21"/>
        <v>3.4119896500457458</v>
      </c>
      <c r="I1353">
        <v>1</v>
      </c>
      <c r="J1353" t="s">
        <v>21</v>
      </c>
    </row>
    <row r="1354" spans="1:10" x14ac:dyDescent="0.25">
      <c r="A1354">
        <v>58649</v>
      </c>
      <c r="B1354" t="s">
        <v>3243</v>
      </c>
      <c r="C1354" t="s">
        <v>708</v>
      </c>
      <c r="D1354" t="s">
        <v>2241</v>
      </c>
      <c r="E1354" t="s">
        <v>2242</v>
      </c>
      <c r="F1354">
        <v>124019</v>
      </c>
      <c r="G1354">
        <v>36348</v>
      </c>
      <c r="H1354" s="32">
        <f t="shared" si="21"/>
        <v>3.4119896555518872</v>
      </c>
      <c r="I1354">
        <v>1</v>
      </c>
      <c r="J1354" t="s">
        <v>21</v>
      </c>
    </row>
    <row r="1355" spans="1:10" x14ac:dyDescent="0.25">
      <c r="A1355">
        <v>64086</v>
      </c>
      <c r="B1355" t="s">
        <v>4482</v>
      </c>
      <c r="C1355" t="s">
        <v>201</v>
      </c>
      <c r="D1355" t="s">
        <v>2241</v>
      </c>
      <c r="E1355" t="s">
        <v>2242</v>
      </c>
      <c r="F1355">
        <v>120433</v>
      </c>
      <c r="G1355">
        <v>35297</v>
      </c>
      <c r="H1355" s="32">
        <f t="shared" si="21"/>
        <v>3.4119896875088536</v>
      </c>
      <c r="I1355">
        <v>1</v>
      </c>
      <c r="J1355" t="s">
        <v>21</v>
      </c>
    </row>
    <row r="1356" spans="1:10" x14ac:dyDescent="0.25">
      <c r="A1356">
        <v>59665</v>
      </c>
      <c r="B1356" t="s">
        <v>3551</v>
      </c>
      <c r="C1356" t="s">
        <v>708</v>
      </c>
      <c r="D1356" t="s">
        <v>2241</v>
      </c>
      <c r="E1356" t="s">
        <v>2242</v>
      </c>
      <c r="F1356">
        <v>469152</v>
      </c>
      <c r="G1356">
        <v>137501</v>
      </c>
      <c r="H1356" s="32">
        <f t="shared" si="21"/>
        <v>3.4119897309837746</v>
      </c>
      <c r="I1356">
        <v>1</v>
      </c>
      <c r="J1356" t="s">
        <v>21</v>
      </c>
    </row>
    <row r="1357" spans="1:10" x14ac:dyDescent="0.25">
      <c r="A1357">
        <v>66837</v>
      </c>
      <c r="B1357" t="s">
        <v>4974</v>
      </c>
      <c r="C1357" t="s">
        <v>201</v>
      </c>
      <c r="D1357" t="s">
        <v>2241</v>
      </c>
      <c r="E1357" t="s">
        <v>2242</v>
      </c>
      <c r="F1357">
        <v>467330</v>
      </c>
      <c r="G1357">
        <v>136967</v>
      </c>
      <c r="H1357" s="32">
        <f t="shared" si="21"/>
        <v>3.4119897493556843</v>
      </c>
      <c r="I1357">
        <v>1</v>
      </c>
      <c r="J1357" t="s">
        <v>21</v>
      </c>
    </row>
    <row r="1358" spans="1:10" x14ac:dyDescent="0.25">
      <c r="A1358">
        <v>61375</v>
      </c>
      <c r="B1358" t="s">
        <v>4006</v>
      </c>
      <c r="C1358" t="s">
        <v>201</v>
      </c>
      <c r="D1358" t="s">
        <v>2241</v>
      </c>
      <c r="E1358" t="s">
        <v>2242</v>
      </c>
      <c r="F1358">
        <v>113261</v>
      </c>
      <c r="G1358">
        <v>33195</v>
      </c>
      <c r="H1358" s="32">
        <f t="shared" si="21"/>
        <v>3.4119897574935982</v>
      </c>
      <c r="I1358">
        <v>1</v>
      </c>
      <c r="J1358" t="s">
        <v>21</v>
      </c>
    </row>
    <row r="1359" spans="1:10" x14ac:dyDescent="0.25">
      <c r="A1359">
        <v>64012</v>
      </c>
      <c r="B1359" t="s">
        <v>4468</v>
      </c>
      <c r="C1359" t="s">
        <v>201</v>
      </c>
      <c r="D1359" t="s">
        <v>2241</v>
      </c>
      <c r="E1359" t="s">
        <v>2242</v>
      </c>
      <c r="F1359">
        <v>132839</v>
      </c>
      <c r="G1359">
        <v>38933</v>
      </c>
      <c r="H1359" s="32">
        <f t="shared" si="21"/>
        <v>3.4119898286800399</v>
      </c>
      <c r="I1359">
        <v>1</v>
      </c>
      <c r="J1359" t="s">
        <v>21</v>
      </c>
    </row>
    <row r="1360" spans="1:10" x14ac:dyDescent="0.25">
      <c r="A1360">
        <v>62793</v>
      </c>
      <c r="B1360" t="s">
        <v>4234</v>
      </c>
      <c r="C1360" t="s">
        <v>131</v>
      </c>
      <c r="D1360" t="s">
        <v>2241</v>
      </c>
      <c r="E1360" t="s">
        <v>2242</v>
      </c>
      <c r="F1360">
        <v>55264</v>
      </c>
      <c r="G1360">
        <v>16197</v>
      </c>
      <c r="H1360" s="32">
        <f t="shared" si="21"/>
        <v>3.4119898746681483</v>
      </c>
      <c r="I1360">
        <v>1</v>
      </c>
      <c r="J1360" t="s">
        <v>21</v>
      </c>
    </row>
    <row r="1361" spans="1:10" x14ac:dyDescent="0.25">
      <c r="A1361">
        <v>64842</v>
      </c>
      <c r="B1361" t="s">
        <v>4651</v>
      </c>
      <c r="C1361" t="s">
        <v>266</v>
      </c>
      <c r="D1361" t="s">
        <v>2241</v>
      </c>
      <c r="E1361" t="s">
        <v>2242</v>
      </c>
      <c r="F1361">
        <v>361398</v>
      </c>
      <c r="G1361">
        <v>105920</v>
      </c>
      <c r="H1361" s="32">
        <f t="shared" si="21"/>
        <v>3.411990181268882</v>
      </c>
      <c r="I1361">
        <v>1</v>
      </c>
      <c r="J1361" t="s">
        <v>21</v>
      </c>
    </row>
    <row r="1362" spans="1:10" x14ac:dyDescent="0.25">
      <c r="A1362">
        <v>61552</v>
      </c>
      <c r="B1362" t="s">
        <v>4036</v>
      </c>
      <c r="C1362" t="s">
        <v>307</v>
      </c>
      <c r="D1362" t="s">
        <v>2241</v>
      </c>
      <c r="E1362" t="s">
        <v>2242</v>
      </c>
      <c r="F1362">
        <v>70287</v>
      </c>
      <c r="G1362">
        <v>20600</v>
      </c>
      <c r="H1362" s="32">
        <f t="shared" si="21"/>
        <v>3.411990291262136</v>
      </c>
      <c r="I1362">
        <v>1</v>
      </c>
      <c r="J1362" t="s">
        <v>21</v>
      </c>
    </row>
    <row r="1363" spans="1:10" x14ac:dyDescent="0.25">
      <c r="A1363">
        <v>65022</v>
      </c>
      <c r="B1363" t="s">
        <v>4671</v>
      </c>
      <c r="C1363" t="s">
        <v>201</v>
      </c>
      <c r="D1363" t="s">
        <v>2241</v>
      </c>
      <c r="E1363" t="s">
        <v>2242</v>
      </c>
      <c r="F1363">
        <v>123613</v>
      </c>
      <c r="G1363">
        <v>36229</v>
      </c>
      <c r="H1363" s="32">
        <f t="shared" si="21"/>
        <v>3.4119903944353971</v>
      </c>
      <c r="I1363">
        <v>1</v>
      </c>
      <c r="J1363" t="s">
        <v>21</v>
      </c>
    </row>
    <row r="1364" spans="1:10" x14ac:dyDescent="0.25">
      <c r="A1364">
        <v>65107</v>
      </c>
      <c r="B1364" t="s">
        <v>4687</v>
      </c>
      <c r="C1364" t="s">
        <v>708</v>
      </c>
      <c r="D1364" t="s">
        <v>2241</v>
      </c>
      <c r="E1364" t="s">
        <v>2242</v>
      </c>
      <c r="F1364">
        <v>555455</v>
      </c>
      <c r="G1364">
        <v>162795</v>
      </c>
      <c r="H1364" s="32">
        <f t="shared" si="21"/>
        <v>3.4119905402500077</v>
      </c>
      <c r="I1364">
        <v>1</v>
      </c>
      <c r="J1364" t="s">
        <v>21</v>
      </c>
    </row>
    <row r="1365" spans="1:10" x14ac:dyDescent="0.25">
      <c r="A1365">
        <v>63512</v>
      </c>
      <c r="B1365" t="s">
        <v>4365</v>
      </c>
      <c r="C1365" t="s">
        <v>307</v>
      </c>
      <c r="D1365" t="s">
        <v>2241</v>
      </c>
      <c r="E1365" t="s">
        <v>2242</v>
      </c>
      <c r="F1365">
        <v>11553</v>
      </c>
      <c r="G1365">
        <v>3386</v>
      </c>
      <c r="H1365" s="32">
        <f t="shared" si="21"/>
        <v>3.4119905493207323</v>
      </c>
      <c r="I1365">
        <v>1</v>
      </c>
      <c r="J1365" t="s">
        <v>21</v>
      </c>
    </row>
    <row r="1366" spans="1:10" x14ac:dyDescent="0.25">
      <c r="A1366">
        <v>66487</v>
      </c>
      <c r="B1366" t="s">
        <v>4917</v>
      </c>
      <c r="C1366" t="s">
        <v>708</v>
      </c>
      <c r="D1366" t="s">
        <v>2241</v>
      </c>
      <c r="E1366" t="s">
        <v>2242</v>
      </c>
      <c r="F1366">
        <v>33748</v>
      </c>
      <c r="G1366">
        <v>9891</v>
      </c>
      <c r="H1366" s="32">
        <f t="shared" si="21"/>
        <v>3.4119906986149022</v>
      </c>
      <c r="I1366">
        <v>1</v>
      </c>
      <c r="J1366" t="s">
        <v>21</v>
      </c>
    </row>
    <row r="1367" spans="1:10" x14ac:dyDescent="0.25">
      <c r="A1367">
        <v>64581</v>
      </c>
      <c r="B1367" t="s">
        <v>4606</v>
      </c>
      <c r="C1367" t="s">
        <v>250</v>
      </c>
      <c r="D1367" t="s">
        <v>2241</v>
      </c>
      <c r="E1367" t="s">
        <v>2242</v>
      </c>
      <c r="F1367">
        <v>111886</v>
      </c>
      <c r="G1367">
        <v>32792</v>
      </c>
      <c r="H1367" s="32">
        <f t="shared" si="21"/>
        <v>3.4119907294462064</v>
      </c>
      <c r="I1367">
        <v>1</v>
      </c>
      <c r="J1367" t="s">
        <v>21</v>
      </c>
    </row>
    <row r="1368" spans="1:10" x14ac:dyDescent="0.25">
      <c r="A1368">
        <v>64249</v>
      </c>
      <c r="B1368" t="s">
        <v>4527</v>
      </c>
      <c r="C1368" t="s">
        <v>131</v>
      </c>
      <c r="D1368" t="s">
        <v>2241</v>
      </c>
      <c r="E1368" t="s">
        <v>2242</v>
      </c>
      <c r="F1368">
        <v>45243</v>
      </c>
      <c r="G1368">
        <v>13260</v>
      </c>
      <c r="H1368" s="32">
        <f t="shared" si="21"/>
        <v>3.4119909502262442</v>
      </c>
      <c r="I1368">
        <v>1</v>
      </c>
      <c r="J1368" t="s">
        <v>21</v>
      </c>
    </row>
    <row r="1369" spans="1:10" x14ac:dyDescent="0.25">
      <c r="A1369">
        <v>65332</v>
      </c>
      <c r="B1369" t="s">
        <v>4727</v>
      </c>
      <c r="C1369" t="s">
        <v>143</v>
      </c>
      <c r="D1369" t="s">
        <v>2241</v>
      </c>
      <c r="E1369" t="s">
        <v>2242</v>
      </c>
      <c r="F1369">
        <v>531305</v>
      </c>
      <c r="G1369">
        <v>155717</v>
      </c>
      <c r="H1369" s="32">
        <f t="shared" si="21"/>
        <v>3.4119909836434044</v>
      </c>
      <c r="I1369">
        <v>1</v>
      </c>
      <c r="J1369" t="s">
        <v>21</v>
      </c>
    </row>
    <row r="1370" spans="1:10" x14ac:dyDescent="0.25">
      <c r="A1370">
        <v>59591</v>
      </c>
      <c r="B1370" t="s">
        <v>3530</v>
      </c>
      <c r="C1370" t="s">
        <v>708</v>
      </c>
      <c r="D1370" t="s">
        <v>2241</v>
      </c>
      <c r="E1370" t="s">
        <v>2242</v>
      </c>
      <c r="F1370">
        <v>27487</v>
      </c>
      <c r="G1370">
        <v>8056</v>
      </c>
      <c r="H1370" s="32">
        <f t="shared" si="21"/>
        <v>3.4119910625620657</v>
      </c>
      <c r="I1370">
        <v>1</v>
      </c>
      <c r="J1370" t="s">
        <v>21</v>
      </c>
    </row>
    <row r="1371" spans="1:10" x14ac:dyDescent="0.25">
      <c r="A1371">
        <v>64678</v>
      </c>
      <c r="B1371" t="s">
        <v>4626</v>
      </c>
      <c r="C1371" t="s">
        <v>708</v>
      </c>
      <c r="D1371" t="s">
        <v>2241</v>
      </c>
      <c r="E1371" t="s">
        <v>2242</v>
      </c>
      <c r="F1371">
        <v>37218</v>
      </c>
      <c r="G1371">
        <v>10908</v>
      </c>
      <c r="H1371" s="32">
        <f t="shared" si="21"/>
        <v>3.4119911991199121</v>
      </c>
      <c r="I1371">
        <v>1</v>
      </c>
      <c r="J1371" t="s">
        <v>21</v>
      </c>
    </row>
    <row r="1372" spans="1:10" x14ac:dyDescent="0.25">
      <c r="A1372">
        <v>66988</v>
      </c>
      <c r="B1372" t="s">
        <v>4999</v>
      </c>
      <c r="C1372" t="s">
        <v>708</v>
      </c>
      <c r="D1372" t="s">
        <v>2241</v>
      </c>
      <c r="E1372" t="s">
        <v>2242</v>
      </c>
      <c r="F1372">
        <v>12406</v>
      </c>
      <c r="G1372">
        <v>3636</v>
      </c>
      <c r="H1372" s="32">
        <f t="shared" si="21"/>
        <v>3.4119911991199121</v>
      </c>
      <c r="I1372">
        <v>1</v>
      </c>
      <c r="J1372" t="s">
        <v>21</v>
      </c>
    </row>
    <row r="1373" spans="1:10" x14ac:dyDescent="0.25">
      <c r="A1373">
        <v>61864</v>
      </c>
      <c r="B1373" t="s">
        <v>4075</v>
      </c>
      <c r="C1373" t="s">
        <v>241</v>
      </c>
      <c r="D1373" t="s">
        <v>2241</v>
      </c>
      <c r="E1373" t="s">
        <v>2242</v>
      </c>
      <c r="F1373">
        <v>64647</v>
      </c>
      <c r="G1373">
        <v>18947</v>
      </c>
      <c r="H1373" s="32">
        <f t="shared" si="21"/>
        <v>3.4119913442761387</v>
      </c>
      <c r="I1373">
        <v>1</v>
      </c>
      <c r="J1373" t="s">
        <v>21</v>
      </c>
    </row>
    <row r="1374" spans="1:10" x14ac:dyDescent="0.25">
      <c r="A1374">
        <v>65346</v>
      </c>
      <c r="B1374" t="s">
        <v>4731</v>
      </c>
      <c r="C1374" t="s">
        <v>250</v>
      </c>
      <c r="D1374" t="s">
        <v>2241</v>
      </c>
      <c r="E1374" t="s">
        <v>2242</v>
      </c>
      <c r="F1374">
        <v>128383</v>
      </c>
      <c r="G1374">
        <v>37627</v>
      </c>
      <c r="H1374" s="32">
        <f t="shared" si="21"/>
        <v>3.4119913891620377</v>
      </c>
      <c r="I1374">
        <v>1</v>
      </c>
      <c r="J1374" t="s">
        <v>21</v>
      </c>
    </row>
    <row r="1375" spans="1:10" x14ac:dyDescent="0.25">
      <c r="A1375">
        <v>66140</v>
      </c>
      <c r="B1375" t="s">
        <v>4865</v>
      </c>
      <c r="C1375" t="s">
        <v>322</v>
      </c>
      <c r="D1375" t="s">
        <v>2241</v>
      </c>
      <c r="E1375" t="s">
        <v>2242</v>
      </c>
      <c r="F1375">
        <v>7967</v>
      </c>
      <c r="G1375">
        <v>2335</v>
      </c>
      <c r="H1375" s="32">
        <f t="shared" si="21"/>
        <v>3.4119914346895075</v>
      </c>
      <c r="I1375">
        <v>1</v>
      </c>
      <c r="J1375" t="s">
        <v>21</v>
      </c>
    </row>
    <row r="1376" spans="1:10" x14ac:dyDescent="0.25">
      <c r="A1376">
        <v>65902</v>
      </c>
      <c r="B1376" t="s">
        <v>4812</v>
      </c>
      <c r="C1376" t="s">
        <v>143</v>
      </c>
      <c r="D1376" t="s">
        <v>2241</v>
      </c>
      <c r="E1376" t="s">
        <v>2242</v>
      </c>
      <c r="F1376">
        <v>74320</v>
      </c>
      <c r="G1376">
        <v>21782</v>
      </c>
      <c r="H1376" s="32">
        <f t="shared" si="21"/>
        <v>3.4119915526581579</v>
      </c>
      <c r="I1376">
        <v>1</v>
      </c>
      <c r="J1376" t="s">
        <v>21</v>
      </c>
    </row>
    <row r="1377" spans="1:10" x14ac:dyDescent="0.25">
      <c r="A1377">
        <v>69143</v>
      </c>
      <c r="B1377" t="s">
        <v>5329</v>
      </c>
      <c r="C1377" t="s">
        <v>166</v>
      </c>
      <c r="D1377" t="s">
        <v>2241</v>
      </c>
      <c r="E1377" t="s">
        <v>2242</v>
      </c>
      <c r="F1377">
        <v>134412</v>
      </c>
      <c r="G1377">
        <v>39394</v>
      </c>
      <c r="H1377" s="32">
        <f t="shared" si="21"/>
        <v>3.4119916738589633</v>
      </c>
      <c r="I1377">
        <v>1</v>
      </c>
      <c r="J1377" t="s">
        <v>21</v>
      </c>
    </row>
    <row r="1378" spans="1:10" x14ac:dyDescent="0.25">
      <c r="A1378">
        <v>57662</v>
      </c>
      <c r="B1378" t="s">
        <v>3029</v>
      </c>
      <c r="C1378" t="s">
        <v>241</v>
      </c>
      <c r="D1378" t="s">
        <v>2241</v>
      </c>
      <c r="E1378" t="s">
        <v>2242</v>
      </c>
      <c r="F1378">
        <v>54800</v>
      </c>
      <c r="G1378">
        <v>16061</v>
      </c>
      <c r="H1378" s="32">
        <f t="shared" si="21"/>
        <v>3.4119917813336653</v>
      </c>
      <c r="I1378">
        <v>1</v>
      </c>
      <c r="J1378" t="s">
        <v>21</v>
      </c>
    </row>
    <row r="1379" spans="1:10" x14ac:dyDescent="0.25">
      <c r="A1379">
        <v>60417</v>
      </c>
      <c r="B1379" t="s">
        <v>3772</v>
      </c>
      <c r="C1379" t="s">
        <v>708</v>
      </c>
      <c r="D1379" t="s">
        <v>2241</v>
      </c>
      <c r="E1379" t="s">
        <v>2242</v>
      </c>
      <c r="F1379">
        <v>31810</v>
      </c>
      <c r="G1379">
        <v>9323</v>
      </c>
      <c r="H1379" s="32">
        <f t="shared" si="21"/>
        <v>3.4119918481175588</v>
      </c>
      <c r="I1379">
        <v>1</v>
      </c>
      <c r="J1379" t="s">
        <v>21</v>
      </c>
    </row>
    <row r="1380" spans="1:10" x14ac:dyDescent="0.25">
      <c r="A1380">
        <v>65225</v>
      </c>
      <c r="B1380" t="s">
        <v>4704</v>
      </c>
      <c r="C1380" t="s">
        <v>201</v>
      </c>
      <c r="D1380" t="s">
        <v>2241</v>
      </c>
      <c r="E1380" t="s">
        <v>2242</v>
      </c>
      <c r="F1380">
        <v>701973</v>
      </c>
      <c r="G1380">
        <v>205737</v>
      </c>
      <c r="H1380" s="32">
        <f t="shared" si="21"/>
        <v>3.4119920092156493</v>
      </c>
      <c r="I1380">
        <v>1</v>
      </c>
      <c r="J1380" t="s">
        <v>21</v>
      </c>
    </row>
    <row r="1381" spans="1:10" x14ac:dyDescent="0.25">
      <c r="A1381">
        <v>60257</v>
      </c>
      <c r="B1381" t="s">
        <v>3719</v>
      </c>
      <c r="C1381" t="s">
        <v>708</v>
      </c>
      <c r="D1381" t="s">
        <v>2241</v>
      </c>
      <c r="E1381" t="s">
        <v>2242</v>
      </c>
      <c r="F1381">
        <v>32663</v>
      </c>
      <c r="G1381">
        <v>9573</v>
      </c>
      <c r="H1381" s="32">
        <f t="shared" si="21"/>
        <v>3.4119920610049097</v>
      </c>
      <c r="I1381">
        <v>1</v>
      </c>
      <c r="J1381" t="s">
        <v>21</v>
      </c>
    </row>
    <row r="1382" spans="1:10" x14ac:dyDescent="0.25">
      <c r="A1382">
        <v>62340</v>
      </c>
      <c r="B1382" t="s">
        <v>4150</v>
      </c>
      <c r="C1382" t="s">
        <v>708</v>
      </c>
      <c r="D1382" t="s">
        <v>2241</v>
      </c>
      <c r="E1382" t="s">
        <v>2242</v>
      </c>
      <c r="F1382">
        <v>573358</v>
      </c>
      <c r="G1382">
        <v>168042</v>
      </c>
      <c r="H1382" s="32">
        <f t="shared" si="21"/>
        <v>3.4119922400352292</v>
      </c>
      <c r="I1382">
        <v>1</v>
      </c>
      <c r="J1382" t="s">
        <v>21</v>
      </c>
    </row>
    <row r="1383" spans="1:10" x14ac:dyDescent="0.25">
      <c r="A1383">
        <v>61321</v>
      </c>
      <c r="B1383" t="s">
        <v>3991</v>
      </c>
      <c r="C1383" t="s">
        <v>307</v>
      </c>
      <c r="D1383" t="s">
        <v>2241</v>
      </c>
      <c r="E1383" t="s">
        <v>2242</v>
      </c>
      <c r="F1383">
        <v>34369</v>
      </c>
      <c r="G1383">
        <v>10073</v>
      </c>
      <c r="H1383" s="32">
        <f t="shared" si="21"/>
        <v>3.411992455077931</v>
      </c>
      <c r="I1383">
        <v>1</v>
      </c>
      <c r="J1383" t="s">
        <v>21</v>
      </c>
    </row>
    <row r="1384" spans="1:10" x14ac:dyDescent="0.25">
      <c r="A1384">
        <v>62951</v>
      </c>
      <c r="B1384" t="s">
        <v>4264</v>
      </c>
      <c r="C1384" t="s">
        <v>708</v>
      </c>
      <c r="D1384" t="s">
        <v>2241</v>
      </c>
      <c r="E1384" t="s">
        <v>2242</v>
      </c>
      <c r="F1384">
        <v>429720</v>
      </c>
      <c r="G1384">
        <v>125944</v>
      </c>
      <c r="H1384" s="32">
        <f t="shared" si="21"/>
        <v>3.4119926316458109</v>
      </c>
      <c r="I1384">
        <v>1</v>
      </c>
      <c r="J1384" t="s">
        <v>21</v>
      </c>
    </row>
    <row r="1385" spans="1:10" x14ac:dyDescent="0.25">
      <c r="A1385">
        <v>66711</v>
      </c>
      <c r="B1385" t="s">
        <v>4946</v>
      </c>
      <c r="C1385" t="s">
        <v>708</v>
      </c>
      <c r="D1385" t="s">
        <v>2241</v>
      </c>
      <c r="E1385" t="s">
        <v>2242</v>
      </c>
      <c r="F1385">
        <v>31694</v>
      </c>
      <c r="G1385">
        <v>9289</v>
      </c>
      <c r="H1385" s="32">
        <f t="shared" si="21"/>
        <v>3.411992679513403</v>
      </c>
      <c r="I1385">
        <v>1</v>
      </c>
      <c r="J1385" t="s">
        <v>21</v>
      </c>
    </row>
    <row r="1386" spans="1:10" x14ac:dyDescent="0.25">
      <c r="A1386">
        <v>68233</v>
      </c>
      <c r="B1386" t="s">
        <v>5222</v>
      </c>
      <c r="C1386" t="s">
        <v>166</v>
      </c>
      <c r="D1386" t="s">
        <v>2241</v>
      </c>
      <c r="E1386" t="s">
        <v>2242</v>
      </c>
      <c r="F1386">
        <v>11437</v>
      </c>
      <c r="G1386">
        <v>3352</v>
      </c>
      <c r="H1386" s="32">
        <f t="shared" si="21"/>
        <v>3.4119928400954653</v>
      </c>
      <c r="I1386">
        <v>1</v>
      </c>
      <c r="J1386" t="s">
        <v>21</v>
      </c>
    </row>
    <row r="1387" spans="1:10" x14ac:dyDescent="0.25">
      <c r="A1387">
        <v>57256</v>
      </c>
      <c r="B1387" t="s">
        <v>2960</v>
      </c>
      <c r="C1387" t="s">
        <v>143</v>
      </c>
      <c r="D1387" t="s">
        <v>2241</v>
      </c>
      <c r="E1387" t="s">
        <v>2242</v>
      </c>
      <c r="F1387">
        <v>40456</v>
      </c>
      <c r="G1387">
        <v>11857</v>
      </c>
      <c r="H1387" s="32">
        <f t="shared" si="21"/>
        <v>3.4119929155772959</v>
      </c>
      <c r="I1387">
        <v>1</v>
      </c>
      <c r="J1387" t="s">
        <v>21</v>
      </c>
    </row>
    <row r="1388" spans="1:10" x14ac:dyDescent="0.25">
      <c r="A1388">
        <v>66838</v>
      </c>
      <c r="B1388" t="s">
        <v>4975</v>
      </c>
      <c r="C1388" t="s">
        <v>143</v>
      </c>
      <c r="D1388" t="s">
        <v>2241</v>
      </c>
      <c r="E1388" t="s">
        <v>2242</v>
      </c>
      <c r="F1388">
        <v>556305</v>
      </c>
      <c r="G1388">
        <v>163044</v>
      </c>
      <c r="H1388" s="32">
        <f t="shared" si="21"/>
        <v>3.4119930816221387</v>
      </c>
      <c r="I1388">
        <v>1</v>
      </c>
      <c r="J1388" t="s">
        <v>21</v>
      </c>
    </row>
    <row r="1389" spans="1:10" x14ac:dyDescent="0.25">
      <c r="A1389">
        <v>64702</v>
      </c>
      <c r="B1389" t="s">
        <v>4630</v>
      </c>
      <c r="C1389" t="s">
        <v>708</v>
      </c>
      <c r="D1389" t="s">
        <v>2241</v>
      </c>
      <c r="E1389" t="s">
        <v>2242</v>
      </c>
      <c r="F1389">
        <v>304923</v>
      </c>
      <c r="G1389">
        <v>89368</v>
      </c>
      <c r="H1389" s="32">
        <f t="shared" si="21"/>
        <v>3.4119931071524485</v>
      </c>
      <c r="I1389">
        <v>1</v>
      </c>
      <c r="J1389" t="s">
        <v>21</v>
      </c>
    </row>
    <row r="1390" spans="1:10" x14ac:dyDescent="0.25">
      <c r="A1390">
        <v>67137</v>
      </c>
      <c r="B1390" t="s">
        <v>5040</v>
      </c>
      <c r="C1390" t="s">
        <v>143</v>
      </c>
      <c r="D1390" t="s">
        <v>2241</v>
      </c>
      <c r="E1390" t="s">
        <v>2242</v>
      </c>
      <c r="F1390">
        <v>835331</v>
      </c>
      <c r="G1390">
        <v>244822</v>
      </c>
      <c r="H1390" s="32">
        <f t="shared" si="21"/>
        <v>3.4119932032252005</v>
      </c>
      <c r="I1390">
        <v>1</v>
      </c>
      <c r="J1390" t="s">
        <v>21</v>
      </c>
    </row>
    <row r="1391" spans="1:10" x14ac:dyDescent="0.25">
      <c r="A1391">
        <v>66634</v>
      </c>
      <c r="B1391" t="s">
        <v>4934</v>
      </c>
      <c r="C1391" t="s">
        <v>143</v>
      </c>
      <c r="D1391" t="s">
        <v>2241</v>
      </c>
      <c r="E1391" t="s">
        <v>2242</v>
      </c>
      <c r="F1391">
        <v>481695</v>
      </c>
      <c r="G1391">
        <v>141177</v>
      </c>
      <c r="H1391" s="32">
        <f t="shared" si="21"/>
        <v>3.4119934550245437</v>
      </c>
      <c r="I1391">
        <v>1</v>
      </c>
      <c r="J1391" t="s">
        <v>21</v>
      </c>
    </row>
    <row r="1392" spans="1:10" x14ac:dyDescent="0.25">
      <c r="A1392">
        <v>63444</v>
      </c>
      <c r="B1392" t="s">
        <v>4349</v>
      </c>
      <c r="C1392" t="s">
        <v>708</v>
      </c>
      <c r="D1392" t="s">
        <v>2241</v>
      </c>
      <c r="E1392" t="s">
        <v>2242</v>
      </c>
      <c r="F1392">
        <v>21052</v>
      </c>
      <c r="G1392">
        <v>6170</v>
      </c>
      <c r="H1392" s="32">
        <f t="shared" si="21"/>
        <v>3.4119935170178284</v>
      </c>
      <c r="I1392">
        <v>1</v>
      </c>
      <c r="J1392" t="s">
        <v>21</v>
      </c>
    </row>
    <row r="1393" spans="1:10" x14ac:dyDescent="0.25">
      <c r="A1393">
        <v>60160</v>
      </c>
      <c r="B1393" t="s">
        <v>3694</v>
      </c>
      <c r="C1393" t="s">
        <v>708</v>
      </c>
      <c r="D1393" t="s">
        <v>2241</v>
      </c>
      <c r="E1393" t="s">
        <v>2242</v>
      </c>
      <c r="F1393">
        <v>30667</v>
      </c>
      <c r="G1393">
        <v>8988</v>
      </c>
      <c r="H1393" s="32">
        <f t="shared" si="21"/>
        <v>3.411993769470405</v>
      </c>
      <c r="I1393">
        <v>1</v>
      </c>
      <c r="J1393" t="s">
        <v>21</v>
      </c>
    </row>
    <row r="1394" spans="1:10" x14ac:dyDescent="0.25">
      <c r="A1394">
        <v>62332</v>
      </c>
      <c r="B1394" t="s">
        <v>4149</v>
      </c>
      <c r="C1394" t="s">
        <v>307</v>
      </c>
      <c r="D1394" t="s">
        <v>2241</v>
      </c>
      <c r="E1394" t="s">
        <v>2242</v>
      </c>
      <c r="F1394">
        <v>26286</v>
      </c>
      <c r="G1394">
        <v>7704</v>
      </c>
      <c r="H1394" s="32">
        <f t="shared" si="21"/>
        <v>3.411993769470405</v>
      </c>
      <c r="I1394">
        <v>1</v>
      </c>
      <c r="J1394" t="s">
        <v>21</v>
      </c>
    </row>
    <row r="1395" spans="1:10" x14ac:dyDescent="0.25">
      <c r="A1395">
        <v>69029</v>
      </c>
      <c r="B1395" t="s">
        <v>5299</v>
      </c>
      <c r="C1395" t="s">
        <v>322</v>
      </c>
      <c r="D1395" t="s">
        <v>2241</v>
      </c>
      <c r="E1395" t="s">
        <v>2242</v>
      </c>
      <c r="F1395">
        <v>621638</v>
      </c>
      <c r="G1395">
        <v>182192</v>
      </c>
      <c r="H1395" s="32">
        <f t="shared" si="21"/>
        <v>3.4119939404584176</v>
      </c>
      <c r="I1395">
        <v>1</v>
      </c>
      <c r="J1395" t="s">
        <v>21</v>
      </c>
    </row>
    <row r="1396" spans="1:10" x14ac:dyDescent="0.25">
      <c r="A1396">
        <v>60106</v>
      </c>
      <c r="B1396" t="s">
        <v>3671</v>
      </c>
      <c r="C1396" t="s">
        <v>708</v>
      </c>
      <c r="D1396" t="s">
        <v>2241</v>
      </c>
      <c r="E1396" t="s">
        <v>2242</v>
      </c>
      <c r="F1396">
        <v>29756</v>
      </c>
      <c r="G1396">
        <v>8721</v>
      </c>
      <c r="H1396" s="32">
        <f t="shared" si="21"/>
        <v>3.4119940373810342</v>
      </c>
      <c r="I1396">
        <v>1</v>
      </c>
      <c r="J1396" t="s">
        <v>21</v>
      </c>
    </row>
    <row r="1397" spans="1:10" x14ac:dyDescent="0.25">
      <c r="A1397">
        <v>66105</v>
      </c>
      <c r="B1397" t="s">
        <v>4852</v>
      </c>
      <c r="C1397" t="s">
        <v>250</v>
      </c>
      <c r="D1397" t="s">
        <v>2241</v>
      </c>
      <c r="E1397" t="s">
        <v>2242</v>
      </c>
      <c r="F1397">
        <v>119819</v>
      </c>
      <c r="G1397">
        <v>35117</v>
      </c>
      <c r="H1397" s="32">
        <f t="shared" si="21"/>
        <v>3.4119941908477376</v>
      </c>
      <c r="I1397">
        <v>1</v>
      </c>
      <c r="J1397" t="s">
        <v>21</v>
      </c>
    </row>
    <row r="1398" spans="1:10" x14ac:dyDescent="0.25">
      <c r="A1398">
        <v>66841</v>
      </c>
      <c r="B1398" t="s">
        <v>4978</v>
      </c>
      <c r="C1398" t="s">
        <v>201</v>
      </c>
      <c r="D1398" t="s">
        <v>2241</v>
      </c>
      <c r="E1398" t="s">
        <v>2242</v>
      </c>
      <c r="F1398">
        <v>429379</v>
      </c>
      <c r="G1398">
        <v>125844</v>
      </c>
      <c r="H1398" s="32">
        <f t="shared" si="21"/>
        <v>3.4119942150599156</v>
      </c>
      <c r="I1398">
        <v>1</v>
      </c>
      <c r="J1398" t="s">
        <v>21</v>
      </c>
    </row>
    <row r="1399" spans="1:10" x14ac:dyDescent="0.25">
      <c r="A1399">
        <v>58866</v>
      </c>
      <c r="B1399" t="s">
        <v>3319</v>
      </c>
      <c r="C1399" t="s">
        <v>708</v>
      </c>
      <c r="D1399" t="s">
        <v>2241</v>
      </c>
      <c r="E1399" t="s">
        <v>2242</v>
      </c>
      <c r="F1399">
        <v>23611</v>
      </c>
      <c r="G1399">
        <v>6920</v>
      </c>
      <c r="H1399" s="32">
        <f t="shared" si="21"/>
        <v>3.4119942196531792</v>
      </c>
      <c r="I1399">
        <v>1</v>
      </c>
      <c r="J1399" t="s">
        <v>21</v>
      </c>
    </row>
    <row r="1400" spans="1:10" x14ac:dyDescent="0.25">
      <c r="A1400">
        <v>67796</v>
      </c>
      <c r="B1400" t="s">
        <v>5170</v>
      </c>
      <c r="C1400" t="s">
        <v>166</v>
      </c>
      <c r="D1400" t="s">
        <v>2241</v>
      </c>
      <c r="E1400" t="s">
        <v>2242</v>
      </c>
      <c r="F1400">
        <v>9615</v>
      </c>
      <c r="G1400">
        <v>2818</v>
      </c>
      <c r="H1400" s="32">
        <f t="shared" si="21"/>
        <v>3.4119943222143365</v>
      </c>
      <c r="I1400">
        <v>1</v>
      </c>
      <c r="J1400" t="s">
        <v>21</v>
      </c>
    </row>
    <row r="1401" spans="1:10" x14ac:dyDescent="0.25">
      <c r="A1401">
        <v>66541</v>
      </c>
      <c r="B1401" t="s">
        <v>4925</v>
      </c>
      <c r="C1401" t="s">
        <v>201</v>
      </c>
      <c r="D1401" t="s">
        <v>2241</v>
      </c>
      <c r="E1401" t="s">
        <v>2242</v>
      </c>
      <c r="F1401">
        <v>828596</v>
      </c>
      <c r="G1401">
        <v>242848</v>
      </c>
      <c r="H1401" s="32">
        <f t="shared" si="21"/>
        <v>3.4119943339043353</v>
      </c>
      <c r="I1401">
        <v>1</v>
      </c>
      <c r="J1401" t="s">
        <v>21</v>
      </c>
    </row>
    <row r="1402" spans="1:10" x14ac:dyDescent="0.25">
      <c r="A1402">
        <v>64856</v>
      </c>
      <c r="B1402" t="s">
        <v>4655</v>
      </c>
      <c r="C1402" t="s">
        <v>250</v>
      </c>
      <c r="D1402" t="s">
        <v>2241</v>
      </c>
      <c r="E1402" t="s">
        <v>2242</v>
      </c>
      <c r="F1402">
        <v>1202380</v>
      </c>
      <c r="G1402">
        <v>352398</v>
      </c>
      <c r="H1402" s="32">
        <f t="shared" si="21"/>
        <v>3.4119943927037042</v>
      </c>
      <c r="I1402">
        <v>1</v>
      </c>
      <c r="J1402" t="s">
        <v>21</v>
      </c>
    </row>
    <row r="1403" spans="1:10" x14ac:dyDescent="0.25">
      <c r="A1403">
        <v>65890</v>
      </c>
      <c r="B1403" t="s">
        <v>4810</v>
      </c>
      <c r="C1403" t="s">
        <v>166</v>
      </c>
      <c r="D1403" t="s">
        <v>2241</v>
      </c>
      <c r="E1403" t="s">
        <v>2242</v>
      </c>
      <c r="F1403">
        <v>14849</v>
      </c>
      <c r="G1403">
        <v>4352</v>
      </c>
      <c r="H1403" s="32">
        <f t="shared" si="21"/>
        <v>3.4119944852941178</v>
      </c>
      <c r="I1403">
        <v>1</v>
      </c>
      <c r="J1403" t="s">
        <v>21</v>
      </c>
    </row>
    <row r="1404" spans="1:10" x14ac:dyDescent="0.25">
      <c r="A1404">
        <v>67708</v>
      </c>
      <c r="B1404" t="s">
        <v>5152</v>
      </c>
      <c r="C1404" t="s">
        <v>143</v>
      </c>
      <c r="D1404" t="s">
        <v>2241</v>
      </c>
      <c r="E1404" t="s">
        <v>2242</v>
      </c>
      <c r="F1404">
        <v>16555</v>
      </c>
      <c r="G1404">
        <v>4852</v>
      </c>
      <c r="H1404" s="32">
        <f t="shared" si="21"/>
        <v>3.4119950535861499</v>
      </c>
      <c r="I1404">
        <v>1</v>
      </c>
      <c r="J1404" t="s">
        <v>21</v>
      </c>
    </row>
    <row r="1405" spans="1:10" x14ac:dyDescent="0.25">
      <c r="A1405">
        <v>65547</v>
      </c>
      <c r="B1405" t="s">
        <v>4764</v>
      </c>
      <c r="C1405" t="s">
        <v>708</v>
      </c>
      <c r="D1405" t="s">
        <v>2241</v>
      </c>
      <c r="E1405" t="s">
        <v>2242</v>
      </c>
      <c r="F1405">
        <v>33963</v>
      </c>
      <c r="G1405">
        <v>9954</v>
      </c>
      <c r="H1405" s="32">
        <f t="shared" si="21"/>
        <v>3.4119951778179627</v>
      </c>
      <c r="I1405">
        <v>1</v>
      </c>
      <c r="J1405" t="s">
        <v>21</v>
      </c>
    </row>
    <row r="1406" spans="1:10" x14ac:dyDescent="0.25">
      <c r="A1406">
        <v>58782</v>
      </c>
      <c r="B1406" t="s">
        <v>3277</v>
      </c>
      <c r="C1406" t="s">
        <v>708</v>
      </c>
      <c r="D1406" t="s">
        <v>2241</v>
      </c>
      <c r="E1406" t="s">
        <v>2242</v>
      </c>
      <c r="F1406">
        <v>31346</v>
      </c>
      <c r="G1406">
        <v>9187</v>
      </c>
      <c r="H1406" s="32">
        <f t="shared" si="21"/>
        <v>3.4119952106237075</v>
      </c>
      <c r="I1406">
        <v>1</v>
      </c>
      <c r="J1406" t="s">
        <v>21</v>
      </c>
    </row>
    <row r="1407" spans="1:10" x14ac:dyDescent="0.25">
      <c r="A1407">
        <v>65349</v>
      </c>
      <c r="B1407" t="s">
        <v>4734</v>
      </c>
      <c r="C1407" t="s">
        <v>166</v>
      </c>
      <c r="D1407" t="s">
        <v>2241</v>
      </c>
      <c r="E1407" t="s">
        <v>2242</v>
      </c>
      <c r="F1407">
        <v>533445</v>
      </c>
      <c r="G1407">
        <v>156344</v>
      </c>
      <c r="H1407" s="32">
        <f t="shared" si="21"/>
        <v>3.4119953436012893</v>
      </c>
      <c r="I1407">
        <v>1</v>
      </c>
      <c r="J1407" t="s">
        <v>21</v>
      </c>
    </row>
    <row r="1408" spans="1:10" x14ac:dyDescent="0.25">
      <c r="A1408">
        <v>61287</v>
      </c>
      <c r="B1408" t="s">
        <v>3983</v>
      </c>
      <c r="C1408" t="s">
        <v>708</v>
      </c>
      <c r="D1408" t="s">
        <v>2241</v>
      </c>
      <c r="E1408" t="s">
        <v>2242</v>
      </c>
      <c r="F1408">
        <v>30435</v>
      </c>
      <c r="G1408">
        <v>8920</v>
      </c>
      <c r="H1408" s="32">
        <f t="shared" si="21"/>
        <v>3.4119955156950672</v>
      </c>
      <c r="I1408">
        <v>1</v>
      </c>
      <c r="J1408" t="s">
        <v>21</v>
      </c>
    </row>
    <row r="1409" spans="1:10" x14ac:dyDescent="0.25">
      <c r="A1409">
        <v>68147</v>
      </c>
      <c r="B1409" t="s">
        <v>5215</v>
      </c>
      <c r="C1409" t="s">
        <v>166</v>
      </c>
      <c r="D1409" t="s">
        <v>2241</v>
      </c>
      <c r="E1409" t="s">
        <v>2242</v>
      </c>
      <c r="F1409">
        <v>291265</v>
      </c>
      <c r="G1409">
        <v>85365</v>
      </c>
      <c r="H1409" s="32">
        <f t="shared" si="21"/>
        <v>3.4119955485269138</v>
      </c>
      <c r="I1409">
        <v>1</v>
      </c>
      <c r="J1409" t="s">
        <v>21</v>
      </c>
    </row>
    <row r="1410" spans="1:10" x14ac:dyDescent="0.25">
      <c r="A1410">
        <v>68770</v>
      </c>
      <c r="B1410" t="s">
        <v>5258</v>
      </c>
      <c r="C1410" t="s">
        <v>166</v>
      </c>
      <c r="D1410" t="s">
        <v>2241</v>
      </c>
      <c r="E1410" t="s">
        <v>2242</v>
      </c>
      <c r="F1410">
        <v>976868</v>
      </c>
      <c r="G1410">
        <v>286304</v>
      </c>
      <c r="H1410" s="32">
        <f t="shared" ref="H1410:H1473" si="22">IF(AND(F1410&gt;0,G1410&gt;0),F1410/G1410,"")</f>
        <v>3.4119956409969823</v>
      </c>
      <c r="I1410">
        <v>1</v>
      </c>
      <c r="J1410" t="s">
        <v>21</v>
      </c>
    </row>
    <row r="1411" spans="1:10" x14ac:dyDescent="0.25">
      <c r="A1411">
        <v>60997</v>
      </c>
      <c r="B1411" t="s">
        <v>3920</v>
      </c>
      <c r="C1411" t="s">
        <v>708</v>
      </c>
      <c r="D1411" t="s">
        <v>2241</v>
      </c>
      <c r="E1411" t="s">
        <v>2242</v>
      </c>
      <c r="F1411">
        <v>63429</v>
      </c>
      <c r="G1411">
        <v>18590</v>
      </c>
      <c r="H1411" s="32">
        <f t="shared" si="22"/>
        <v>3.4119956966110814</v>
      </c>
      <c r="I1411">
        <v>1</v>
      </c>
      <c r="J1411" t="s">
        <v>21</v>
      </c>
    </row>
    <row r="1412" spans="1:10" x14ac:dyDescent="0.25">
      <c r="A1412">
        <v>64196</v>
      </c>
      <c r="B1412" t="s">
        <v>4512</v>
      </c>
      <c r="C1412" t="s">
        <v>250</v>
      </c>
      <c r="D1412" t="s">
        <v>2241</v>
      </c>
      <c r="E1412" t="s">
        <v>2242</v>
      </c>
      <c r="F1412">
        <v>562952</v>
      </c>
      <c r="G1412">
        <v>164992</v>
      </c>
      <c r="H1412" s="32">
        <f t="shared" si="22"/>
        <v>3.4119957331264548</v>
      </c>
      <c r="I1412">
        <v>1</v>
      </c>
      <c r="J1412" t="s">
        <v>21</v>
      </c>
    </row>
    <row r="1413" spans="1:10" x14ac:dyDescent="0.25">
      <c r="A1413">
        <v>66839</v>
      </c>
      <c r="B1413" t="s">
        <v>4976</v>
      </c>
      <c r="C1413" t="s">
        <v>201</v>
      </c>
      <c r="D1413" t="s">
        <v>2241</v>
      </c>
      <c r="E1413" t="s">
        <v>2242</v>
      </c>
      <c r="F1413">
        <v>438653</v>
      </c>
      <c r="G1413">
        <v>128562</v>
      </c>
      <c r="H1413" s="32">
        <f t="shared" si="22"/>
        <v>3.4119957685785844</v>
      </c>
      <c r="I1413">
        <v>1</v>
      </c>
      <c r="J1413" t="s">
        <v>21</v>
      </c>
    </row>
    <row r="1414" spans="1:10" x14ac:dyDescent="0.25">
      <c r="A1414">
        <v>62678</v>
      </c>
      <c r="B1414" t="s">
        <v>4204</v>
      </c>
      <c r="C1414" t="s">
        <v>708</v>
      </c>
      <c r="D1414" t="s">
        <v>2241</v>
      </c>
      <c r="E1414" t="s">
        <v>2242</v>
      </c>
      <c r="F1414">
        <v>468061</v>
      </c>
      <c r="G1414">
        <v>137181</v>
      </c>
      <c r="H1414" s="32">
        <f t="shared" si="22"/>
        <v>3.4119958303263571</v>
      </c>
      <c r="I1414">
        <v>1</v>
      </c>
      <c r="J1414" t="s">
        <v>21</v>
      </c>
    </row>
    <row r="1415" spans="1:10" x14ac:dyDescent="0.25">
      <c r="A1415">
        <v>67008</v>
      </c>
      <c r="B1415" t="s">
        <v>5005</v>
      </c>
      <c r="C1415" t="s">
        <v>250</v>
      </c>
      <c r="D1415" t="s">
        <v>2241</v>
      </c>
      <c r="E1415" t="s">
        <v>2242</v>
      </c>
      <c r="F1415">
        <v>1000967</v>
      </c>
      <c r="G1415">
        <v>293367</v>
      </c>
      <c r="H1415" s="32">
        <f t="shared" si="22"/>
        <v>3.4119958959255814</v>
      </c>
      <c r="I1415">
        <v>1</v>
      </c>
      <c r="J1415" t="s">
        <v>21</v>
      </c>
    </row>
    <row r="1416" spans="1:10" x14ac:dyDescent="0.25">
      <c r="A1416">
        <v>63451</v>
      </c>
      <c r="B1416" t="s">
        <v>4355</v>
      </c>
      <c r="C1416" t="s">
        <v>241</v>
      </c>
      <c r="D1416" t="s">
        <v>2241</v>
      </c>
      <c r="E1416" t="s">
        <v>2242</v>
      </c>
      <c r="F1416">
        <v>63371</v>
      </c>
      <c r="G1416">
        <v>18573</v>
      </c>
      <c r="H1416" s="32">
        <f t="shared" si="22"/>
        <v>3.4119959080385507</v>
      </c>
      <c r="I1416">
        <v>1</v>
      </c>
      <c r="J1416" t="s">
        <v>21</v>
      </c>
    </row>
    <row r="1417" spans="1:10" x14ac:dyDescent="0.25">
      <c r="A1417">
        <v>66237</v>
      </c>
      <c r="B1417" t="s">
        <v>4872</v>
      </c>
      <c r="C1417" t="s">
        <v>708</v>
      </c>
      <c r="D1417" t="s">
        <v>2241</v>
      </c>
      <c r="E1417" t="s">
        <v>2242</v>
      </c>
      <c r="F1417">
        <v>549461</v>
      </c>
      <c r="G1417">
        <v>161038</v>
      </c>
      <c r="H1417" s="32">
        <f t="shared" si="22"/>
        <v>3.411995926427303</v>
      </c>
      <c r="I1417">
        <v>1</v>
      </c>
      <c r="J1417" t="s">
        <v>21</v>
      </c>
    </row>
    <row r="1418" spans="1:10" x14ac:dyDescent="0.25">
      <c r="A1418">
        <v>67217</v>
      </c>
      <c r="B1418" t="s">
        <v>5062</v>
      </c>
      <c r="C1418" t="s">
        <v>201</v>
      </c>
      <c r="D1418" t="s">
        <v>2241</v>
      </c>
      <c r="E1418" t="s">
        <v>2242</v>
      </c>
      <c r="F1418">
        <v>74634</v>
      </c>
      <c r="G1418">
        <v>21874</v>
      </c>
      <c r="H1418" s="32">
        <f t="shared" si="22"/>
        <v>3.4119959769589467</v>
      </c>
      <c r="I1418">
        <v>1</v>
      </c>
      <c r="J1418" t="s">
        <v>21</v>
      </c>
    </row>
    <row r="1419" spans="1:10" x14ac:dyDescent="0.25">
      <c r="A1419">
        <v>66780</v>
      </c>
      <c r="B1419" t="s">
        <v>4962</v>
      </c>
      <c r="C1419" t="s">
        <v>131</v>
      </c>
      <c r="D1419" t="s">
        <v>2241</v>
      </c>
      <c r="E1419" t="s">
        <v>2242</v>
      </c>
      <c r="F1419">
        <v>920577</v>
      </c>
      <c r="G1419">
        <v>269806</v>
      </c>
      <c r="H1419" s="32">
        <f t="shared" si="22"/>
        <v>3.4119960267747937</v>
      </c>
      <c r="I1419">
        <v>1</v>
      </c>
      <c r="J1419" t="s">
        <v>21</v>
      </c>
    </row>
    <row r="1420" spans="1:10" x14ac:dyDescent="0.25">
      <c r="A1420">
        <v>69028</v>
      </c>
      <c r="B1420" t="s">
        <v>5298</v>
      </c>
      <c r="C1420" t="s">
        <v>322</v>
      </c>
      <c r="D1420" t="s">
        <v>2241</v>
      </c>
      <c r="E1420" t="s">
        <v>2242</v>
      </c>
      <c r="F1420">
        <v>654124</v>
      </c>
      <c r="G1420">
        <v>191713</v>
      </c>
      <c r="H1420" s="32">
        <f t="shared" si="22"/>
        <v>3.4119960566054468</v>
      </c>
      <c r="I1420">
        <v>1</v>
      </c>
      <c r="J1420" t="s">
        <v>21</v>
      </c>
    </row>
    <row r="1421" spans="1:10" x14ac:dyDescent="0.25">
      <c r="A1421">
        <v>59371</v>
      </c>
      <c r="B1421" t="s">
        <v>3441</v>
      </c>
      <c r="C1421" t="s">
        <v>241</v>
      </c>
      <c r="D1421" t="s">
        <v>2241</v>
      </c>
      <c r="E1421" t="s">
        <v>2242</v>
      </c>
      <c r="F1421">
        <v>6940</v>
      </c>
      <c r="G1421">
        <v>2034</v>
      </c>
      <c r="H1421" s="32">
        <f t="shared" si="22"/>
        <v>3.4119960668633236</v>
      </c>
      <c r="I1421">
        <v>1</v>
      </c>
      <c r="J1421" t="s">
        <v>21</v>
      </c>
    </row>
    <row r="1422" spans="1:10" x14ac:dyDescent="0.25">
      <c r="A1422">
        <v>64689</v>
      </c>
      <c r="B1422" t="s">
        <v>4628</v>
      </c>
      <c r="C1422" t="s">
        <v>307</v>
      </c>
      <c r="D1422" t="s">
        <v>2241</v>
      </c>
      <c r="E1422" t="s">
        <v>2242</v>
      </c>
      <c r="F1422">
        <v>13880</v>
      </c>
      <c r="G1422">
        <v>4068</v>
      </c>
      <c r="H1422" s="32">
        <f t="shared" si="22"/>
        <v>3.4119960668633236</v>
      </c>
      <c r="I1422">
        <v>1</v>
      </c>
      <c r="J1422" t="s">
        <v>21</v>
      </c>
    </row>
    <row r="1423" spans="1:10" x14ac:dyDescent="0.25">
      <c r="A1423">
        <v>65305</v>
      </c>
      <c r="B1423" t="s">
        <v>4712</v>
      </c>
      <c r="C1423" t="s">
        <v>201</v>
      </c>
      <c r="D1423" t="s">
        <v>2241</v>
      </c>
      <c r="E1423" t="s">
        <v>2242</v>
      </c>
      <c r="F1423">
        <v>519415</v>
      </c>
      <c r="G1423">
        <v>152232</v>
      </c>
      <c r="H1423" s="32">
        <f t="shared" si="22"/>
        <v>3.4119961637500658</v>
      </c>
      <c r="I1423">
        <v>1</v>
      </c>
      <c r="J1423" t="s">
        <v>21</v>
      </c>
    </row>
    <row r="1424" spans="1:10" x14ac:dyDescent="0.25">
      <c r="A1424">
        <v>62730</v>
      </c>
      <c r="B1424" t="s">
        <v>4215</v>
      </c>
      <c r="C1424" t="s">
        <v>201</v>
      </c>
      <c r="D1424" t="s">
        <v>2241</v>
      </c>
      <c r="E1424" t="s">
        <v>2242</v>
      </c>
      <c r="F1424">
        <v>428168</v>
      </c>
      <c r="G1424">
        <v>125489</v>
      </c>
      <c r="H1424" s="32">
        <f t="shared" si="22"/>
        <v>3.4119962705894542</v>
      </c>
      <c r="I1424">
        <v>1</v>
      </c>
      <c r="J1424" t="s">
        <v>21</v>
      </c>
    </row>
    <row r="1425" spans="1:10" x14ac:dyDescent="0.25">
      <c r="A1425">
        <v>62200</v>
      </c>
      <c r="B1425" t="s">
        <v>4130</v>
      </c>
      <c r="C1425" t="s">
        <v>322</v>
      </c>
      <c r="D1425" t="s">
        <v>2241</v>
      </c>
      <c r="E1425" t="s">
        <v>2242</v>
      </c>
      <c r="F1425">
        <v>1235576</v>
      </c>
      <c r="G1425">
        <v>362127</v>
      </c>
      <c r="H1425" s="32">
        <f t="shared" si="22"/>
        <v>3.4119963438241281</v>
      </c>
      <c r="I1425">
        <v>1</v>
      </c>
      <c r="J1425" t="s">
        <v>21</v>
      </c>
    </row>
    <row r="1426" spans="1:10" x14ac:dyDescent="0.25">
      <c r="A1426">
        <v>65997</v>
      </c>
      <c r="B1426" t="s">
        <v>4827</v>
      </c>
      <c r="C1426" t="s">
        <v>322</v>
      </c>
      <c r="D1426" t="s">
        <v>2241</v>
      </c>
      <c r="E1426" t="s">
        <v>2242</v>
      </c>
      <c r="F1426">
        <v>750008</v>
      </c>
      <c r="G1426">
        <v>219815</v>
      </c>
      <c r="H1426" s="32">
        <f t="shared" si="22"/>
        <v>3.4119964515615404</v>
      </c>
      <c r="I1426">
        <v>1</v>
      </c>
      <c r="J1426" t="s">
        <v>21</v>
      </c>
    </row>
    <row r="1427" spans="1:10" x14ac:dyDescent="0.25">
      <c r="A1427">
        <v>66635</v>
      </c>
      <c r="B1427" t="s">
        <v>4935</v>
      </c>
      <c r="C1427" t="s">
        <v>201</v>
      </c>
      <c r="D1427" t="s">
        <v>2241</v>
      </c>
      <c r="E1427" t="s">
        <v>2242</v>
      </c>
      <c r="F1427">
        <v>419969</v>
      </c>
      <c r="G1427">
        <v>123086</v>
      </c>
      <c r="H1427" s="32">
        <f t="shared" si="22"/>
        <v>3.4119964902588436</v>
      </c>
      <c r="I1427">
        <v>1</v>
      </c>
      <c r="J1427" t="s">
        <v>21</v>
      </c>
    </row>
    <row r="1428" spans="1:10" x14ac:dyDescent="0.25">
      <c r="A1428">
        <v>65323</v>
      </c>
      <c r="B1428" t="s">
        <v>4723</v>
      </c>
      <c r="C1428" t="s">
        <v>201</v>
      </c>
      <c r="D1428" t="s">
        <v>2241</v>
      </c>
      <c r="E1428" t="s">
        <v>2242</v>
      </c>
      <c r="F1428">
        <v>407737</v>
      </c>
      <c r="G1428">
        <v>119501</v>
      </c>
      <c r="H1428" s="32">
        <f t="shared" si="22"/>
        <v>3.4119965523301059</v>
      </c>
      <c r="I1428">
        <v>1</v>
      </c>
      <c r="J1428" t="s">
        <v>21</v>
      </c>
    </row>
    <row r="1429" spans="1:10" x14ac:dyDescent="0.25">
      <c r="A1429">
        <v>67342</v>
      </c>
      <c r="B1429" t="s">
        <v>5084</v>
      </c>
      <c r="C1429" t="s">
        <v>201</v>
      </c>
      <c r="D1429" t="s">
        <v>2241</v>
      </c>
      <c r="E1429" t="s">
        <v>2242</v>
      </c>
      <c r="F1429">
        <v>764277</v>
      </c>
      <c r="G1429">
        <v>223997</v>
      </c>
      <c r="H1429" s="32">
        <f t="shared" si="22"/>
        <v>3.4119965892400343</v>
      </c>
      <c r="I1429">
        <v>1</v>
      </c>
      <c r="J1429" t="s">
        <v>21</v>
      </c>
    </row>
    <row r="1430" spans="1:10" x14ac:dyDescent="0.25">
      <c r="A1430">
        <v>69164</v>
      </c>
      <c r="B1430" t="s">
        <v>5334</v>
      </c>
      <c r="C1430" t="s">
        <v>166</v>
      </c>
      <c r="D1430" t="s">
        <v>2241</v>
      </c>
      <c r="E1430" t="s">
        <v>2242</v>
      </c>
      <c r="F1430">
        <v>88282</v>
      </c>
      <c r="G1430">
        <v>25874</v>
      </c>
      <c r="H1430" s="32">
        <f t="shared" si="22"/>
        <v>3.4119965989023728</v>
      </c>
      <c r="I1430">
        <v>1</v>
      </c>
      <c r="J1430" t="s">
        <v>21</v>
      </c>
    </row>
    <row r="1431" spans="1:10" x14ac:dyDescent="0.25">
      <c r="A1431">
        <v>67421</v>
      </c>
      <c r="B1431" t="s">
        <v>5097</v>
      </c>
      <c r="C1431" t="s">
        <v>201</v>
      </c>
      <c r="D1431" t="s">
        <v>2241</v>
      </c>
      <c r="E1431" t="s">
        <v>2242</v>
      </c>
      <c r="F1431">
        <v>541808</v>
      </c>
      <c r="G1431">
        <v>158795</v>
      </c>
      <c r="H1431" s="32">
        <f t="shared" si="22"/>
        <v>3.4119965993891497</v>
      </c>
      <c r="I1431">
        <v>1</v>
      </c>
      <c r="J1431" t="s">
        <v>21</v>
      </c>
    </row>
    <row r="1432" spans="1:10" x14ac:dyDescent="0.25">
      <c r="A1432">
        <v>65426</v>
      </c>
      <c r="B1432" t="s">
        <v>4749</v>
      </c>
      <c r="C1432" t="s">
        <v>708</v>
      </c>
      <c r="D1432" t="s">
        <v>2241</v>
      </c>
      <c r="E1432" t="s">
        <v>2242</v>
      </c>
      <c r="F1432">
        <v>52787</v>
      </c>
      <c r="G1432">
        <v>15471</v>
      </c>
      <c r="H1432" s="32">
        <f t="shared" si="22"/>
        <v>3.4119966388727296</v>
      </c>
      <c r="I1432">
        <v>1</v>
      </c>
      <c r="J1432" t="s">
        <v>21</v>
      </c>
    </row>
    <row r="1433" spans="1:10" x14ac:dyDescent="0.25">
      <c r="A1433">
        <v>68591</v>
      </c>
      <c r="B1433" t="s">
        <v>5246</v>
      </c>
      <c r="C1433" t="s">
        <v>322</v>
      </c>
      <c r="D1433" t="s">
        <v>2241</v>
      </c>
      <c r="E1433" t="s">
        <v>2242</v>
      </c>
      <c r="F1433">
        <v>1605788</v>
      </c>
      <c r="G1433">
        <v>470630</v>
      </c>
      <c r="H1433" s="32">
        <f t="shared" si="22"/>
        <v>3.4119966852941803</v>
      </c>
      <c r="I1433">
        <v>1</v>
      </c>
      <c r="J1433" t="s">
        <v>21</v>
      </c>
    </row>
    <row r="1434" spans="1:10" x14ac:dyDescent="0.25">
      <c r="A1434">
        <v>62813</v>
      </c>
      <c r="B1434" t="s">
        <v>4238</v>
      </c>
      <c r="C1434" t="s">
        <v>201</v>
      </c>
      <c r="D1434" t="s">
        <v>2241</v>
      </c>
      <c r="E1434" t="s">
        <v>2242</v>
      </c>
      <c r="F1434">
        <v>417857</v>
      </c>
      <c r="G1434">
        <v>122467</v>
      </c>
      <c r="H1434" s="32">
        <f t="shared" si="22"/>
        <v>3.4119967011521473</v>
      </c>
      <c r="I1434">
        <v>1</v>
      </c>
      <c r="J1434" t="s">
        <v>21</v>
      </c>
    </row>
    <row r="1435" spans="1:10" x14ac:dyDescent="0.25">
      <c r="A1435">
        <v>65929</v>
      </c>
      <c r="B1435" t="s">
        <v>4814</v>
      </c>
      <c r="C1435" t="s">
        <v>143</v>
      </c>
      <c r="D1435" t="s">
        <v>2241</v>
      </c>
      <c r="E1435" t="s">
        <v>2242</v>
      </c>
      <c r="F1435">
        <v>78725</v>
      </c>
      <c r="G1435">
        <v>23073</v>
      </c>
      <c r="H1435" s="32">
        <f t="shared" si="22"/>
        <v>3.4119967061067049</v>
      </c>
      <c r="I1435">
        <v>1</v>
      </c>
      <c r="J1435" t="s">
        <v>21</v>
      </c>
    </row>
    <row r="1436" spans="1:10" x14ac:dyDescent="0.25">
      <c r="A1436">
        <v>66633</v>
      </c>
      <c r="B1436" t="s">
        <v>4933</v>
      </c>
      <c r="C1436" t="s">
        <v>166</v>
      </c>
      <c r="D1436" t="s">
        <v>2241</v>
      </c>
      <c r="E1436" t="s">
        <v>2242</v>
      </c>
      <c r="F1436">
        <v>355513</v>
      </c>
      <c r="G1436">
        <v>104195</v>
      </c>
      <c r="H1436" s="32">
        <f t="shared" si="22"/>
        <v>3.4119967368875668</v>
      </c>
      <c r="I1436">
        <v>1</v>
      </c>
      <c r="J1436" t="s">
        <v>21</v>
      </c>
    </row>
    <row r="1437" spans="1:10" x14ac:dyDescent="0.25">
      <c r="A1437">
        <v>59678</v>
      </c>
      <c r="B1437" t="s">
        <v>3560</v>
      </c>
      <c r="C1437" t="s">
        <v>708</v>
      </c>
      <c r="D1437" t="s">
        <v>2241</v>
      </c>
      <c r="E1437" t="s">
        <v>2242</v>
      </c>
      <c r="F1437">
        <v>211032</v>
      </c>
      <c r="G1437">
        <v>61850</v>
      </c>
      <c r="H1437" s="32">
        <f t="shared" si="22"/>
        <v>3.4119967663702506</v>
      </c>
      <c r="I1437">
        <v>1</v>
      </c>
      <c r="J1437" t="s">
        <v>21</v>
      </c>
    </row>
    <row r="1438" spans="1:10" x14ac:dyDescent="0.25">
      <c r="A1438">
        <v>60284</v>
      </c>
      <c r="B1438" t="s">
        <v>3723</v>
      </c>
      <c r="C1438" t="s">
        <v>708</v>
      </c>
      <c r="D1438" t="s">
        <v>2241</v>
      </c>
      <c r="E1438" t="s">
        <v>2242</v>
      </c>
      <c r="F1438">
        <v>34584</v>
      </c>
      <c r="G1438">
        <v>10136</v>
      </c>
      <c r="H1438" s="32">
        <f t="shared" si="22"/>
        <v>3.4119968429360696</v>
      </c>
      <c r="I1438">
        <v>1</v>
      </c>
      <c r="J1438" t="s">
        <v>21</v>
      </c>
    </row>
    <row r="1439" spans="1:10" x14ac:dyDescent="0.25">
      <c r="A1439">
        <v>70286</v>
      </c>
      <c r="B1439" t="s">
        <v>5448</v>
      </c>
      <c r="C1439" t="s">
        <v>166</v>
      </c>
      <c r="D1439" t="s">
        <v>2241</v>
      </c>
      <c r="E1439" t="s">
        <v>2242</v>
      </c>
      <c r="F1439">
        <v>4323</v>
      </c>
      <c r="G1439">
        <v>1267</v>
      </c>
      <c r="H1439" s="32">
        <f t="shared" si="22"/>
        <v>3.4119968429360696</v>
      </c>
      <c r="I1439">
        <v>1</v>
      </c>
      <c r="J1439" t="s">
        <v>21</v>
      </c>
    </row>
    <row r="1440" spans="1:10" x14ac:dyDescent="0.25">
      <c r="A1440">
        <v>60375</v>
      </c>
      <c r="B1440" t="s">
        <v>3750</v>
      </c>
      <c r="C1440" t="s">
        <v>241</v>
      </c>
      <c r="D1440" t="s">
        <v>2241</v>
      </c>
      <c r="E1440" t="s">
        <v>2242</v>
      </c>
      <c r="F1440">
        <v>31114</v>
      </c>
      <c r="G1440">
        <v>9119</v>
      </c>
      <c r="H1440" s="32">
        <f t="shared" si="22"/>
        <v>3.4119969294878825</v>
      </c>
      <c r="I1440">
        <v>1</v>
      </c>
      <c r="J1440" t="s">
        <v>21</v>
      </c>
    </row>
    <row r="1441" spans="1:10" x14ac:dyDescent="0.25">
      <c r="A1441">
        <v>68455</v>
      </c>
      <c r="B1441" t="s">
        <v>5235</v>
      </c>
      <c r="C1441" t="s">
        <v>131</v>
      </c>
      <c r="D1441" t="s">
        <v>2241</v>
      </c>
      <c r="E1441" t="s">
        <v>2242</v>
      </c>
      <c r="F1441">
        <v>483944</v>
      </c>
      <c r="G1441">
        <v>141836</v>
      </c>
      <c r="H1441" s="32">
        <f t="shared" si="22"/>
        <v>3.4119969542288278</v>
      </c>
      <c r="I1441">
        <v>1</v>
      </c>
      <c r="J1441" t="s">
        <v>21</v>
      </c>
    </row>
    <row r="1442" spans="1:10" x14ac:dyDescent="0.25">
      <c r="A1442">
        <v>59481</v>
      </c>
      <c r="B1442" t="s">
        <v>3466</v>
      </c>
      <c r="C1442" t="s">
        <v>131</v>
      </c>
      <c r="D1442" t="s">
        <v>2241</v>
      </c>
      <c r="E1442" t="s">
        <v>2242</v>
      </c>
      <c r="F1442">
        <v>13822</v>
      </c>
      <c r="G1442">
        <v>4051</v>
      </c>
      <c r="H1442" s="32">
        <f t="shared" si="22"/>
        <v>3.4119970377684523</v>
      </c>
      <c r="I1442">
        <v>1</v>
      </c>
      <c r="J1442" t="s">
        <v>21</v>
      </c>
    </row>
    <row r="1443" spans="1:10" x14ac:dyDescent="0.25">
      <c r="A1443">
        <v>64730</v>
      </c>
      <c r="B1443" t="s">
        <v>4633</v>
      </c>
      <c r="C1443" t="s">
        <v>166</v>
      </c>
      <c r="D1443" t="s">
        <v>2241</v>
      </c>
      <c r="E1443" t="s">
        <v>2242</v>
      </c>
      <c r="F1443">
        <v>13822</v>
      </c>
      <c r="G1443">
        <v>4051</v>
      </c>
      <c r="H1443" s="32">
        <f t="shared" si="22"/>
        <v>3.4119970377684523</v>
      </c>
      <c r="I1443">
        <v>1</v>
      </c>
      <c r="J1443" t="s">
        <v>21</v>
      </c>
    </row>
    <row r="1444" spans="1:10" x14ac:dyDescent="0.25">
      <c r="A1444">
        <v>63828</v>
      </c>
      <c r="B1444" t="s">
        <v>4419</v>
      </c>
      <c r="C1444" t="s">
        <v>322</v>
      </c>
      <c r="D1444" t="s">
        <v>2241</v>
      </c>
      <c r="E1444" t="s">
        <v>2242</v>
      </c>
      <c r="F1444">
        <v>1122025</v>
      </c>
      <c r="G1444">
        <v>328847</v>
      </c>
      <c r="H1444" s="32">
        <f t="shared" si="22"/>
        <v>3.4119970685455545</v>
      </c>
      <c r="I1444">
        <v>1</v>
      </c>
      <c r="J1444" t="s">
        <v>21</v>
      </c>
    </row>
    <row r="1445" spans="1:10" x14ac:dyDescent="0.25">
      <c r="A1445">
        <v>65402</v>
      </c>
      <c r="B1445" t="s">
        <v>4742</v>
      </c>
      <c r="C1445" t="s">
        <v>322</v>
      </c>
      <c r="D1445" t="s">
        <v>2241</v>
      </c>
      <c r="E1445" t="s">
        <v>2242</v>
      </c>
      <c r="F1445">
        <v>657311</v>
      </c>
      <c r="G1445">
        <v>192647</v>
      </c>
      <c r="H1445" s="32">
        <f t="shared" si="22"/>
        <v>3.4119970723655184</v>
      </c>
      <c r="I1445">
        <v>1</v>
      </c>
      <c r="J1445" t="s">
        <v>21</v>
      </c>
    </row>
    <row r="1446" spans="1:10" x14ac:dyDescent="0.25">
      <c r="A1446">
        <v>66055</v>
      </c>
      <c r="B1446" t="s">
        <v>4839</v>
      </c>
      <c r="C1446" t="s">
        <v>708</v>
      </c>
      <c r="D1446" t="s">
        <v>2241</v>
      </c>
      <c r="E1446" t="s">
        <v>2242</v>
      </c>
      <c r="F1446">
        <v>34526</v>
      </c>
      <c r="G1446">
        <v>10119</v>
      </c>
      <c r="H1446" s="32">
        <f t="shared" si="22"/>
        <v>3.4119972329281549</v>
      </c>
      <c r="I1446">
        <v>1</v>
      </c>
      <c r="J1446" t="s">
        <v>21</v>
      </c>
    </row>
    <row r="1447" spans="1:10" x14ac:dyDescent="0.25">
      <c r="A1447">
        <v>62893</v>
      </c>
      <c r="B1447" t="s">
        <v>4248</v>
      </c>
      <c r="C1447" t="s">
        <v>166</v>
      </c>
      <c r="D1447" t="s">
        <v>2241</v>
      </c>
      <c r="E1447" t="s">
        <v>2242</v>
      </c>
      <c r="F1447">
        <v>1295317</v>
      </c>
      <c r="G1447">
        <v>379636</v>
      </c>
      <c r="H1447" s="32">
        <f t="shared" si="22"/>
        <v>3.4119972816065918</v>
      </c>
      <c r="I1447">
        <v>1</v>
      </c>
      <c r="J1447" t="s">
        <v>21</v>
      </c>
    </row>
    <row r="1448" spans="1:10" x14ac:dyDescent="0.25">
      <c r="A1448">
        <v>63838</v>
      </c>
      <c r="B1448" t="s">
        <v>4426</v>
      </c>
      <c r="C1448" t="s">
        <v>166</v>
      </c>
      <c r="D1448" t="s">
        <v>2241</v>
      </c>
      <c r="E1448" t="s">
        <v>2242</v>
      </c>
      <c r="F1448">
        <v>659331</v>
      </c>
      <c r="G1448">
        <v>193239</v>
      </c>
      <c r="H1448" s="32">
        <f t="shared" si="22"/>
        <v>3.4119975781286387</v>
      </c>
      <c r="I1448">
        <v>1</v>
      </c>
      <c r="J1448" t="s">
        <v>21</v>
      </c>
    </row>
    <row r="1449" spans="1:10" x14ac:dyDescent="0.25">
      <c r="A1449">
        <v>59669</v>
      </c>
      <c r="B1449" t="s">
        <v>3554</v>
      </c>
      <c r="C1449" t="s">
        <v>708</v>
      </c>
      <c r="D1449" t="s">
        <v>2241</v>
      </c>
      <c r="E1449" t="s">
        <v>2242</v>
      </c>
      <c r="F1449">
        <v>335239</v>
      </c>
      <c r="G1449">
        <v>98253</v>
      </c>
      <c r="H1449" s="32">
        <f t="shared" si="22"/>
        <v>3.4119975980377188</v>
      </c>
      <c r="I1449">
        <v>1</v>
      </c>
      <c r="J1449" t="s">
        <v>21</v>
      </c>
    </row>
    <row r="1450" spans="1:10" x14ac:dyDescent="0.25">
      <c r="A1450">
        <v>67893</v>
      </c>
      <c r="B1450" t="s">
        <v>5191</v>
      </c>
      <c r="C1450" t="s">
        <v>131</v>
      </c>
      <c r="D1450" t="s">
        <v>2241</v>
      </c>
      <c r="E1450" t="s">
        <v>2242</v>
      </c>
      <c r="F1450">
        <v>2772040</v>
      </c>
      <c r="G1450">
        <v>812439</v>
      </c>
      <c r="H1450" s="32">
        <f t="shared" si="22"/>
        <v>3.4119977007504563</v>
      </c>
      <c r="I1450">
        <v>1</v>
      </c>
      <c r="J1450" t="s">
        <v>21</v>
      </c>
    </row>
    <row r="1451" spans="1:10" x14ac:dyDescent="0.25">
      <c r="A1451">
        <v>63837</v>
      </c>
      <c r="B1451" t="s">
        <v>4425</v>
      </c>
      <c r="C1451" t="s">
        <v>708</v>
      </c>
      <c r="D1451" t="s">
        <v>2241</v>
      </c>
      <c r="E1451" t="s">
        <v>2242</v>
      </c>
      <c r="F1451">
        <v>36174</v>
      </c>
      <c r="G1451">
        <v>10602</v>
      </c>
      <c r="H1451" s="32">
        <f t="shared" si="22"/>
        <v>3.4119977362761742</v>
      </c>
      <c r="I1451">
        <v>1</v>
      </c>
      <c r="J1451" t="s">
        <v>21</v>
      </c>
    </row>
    <row r="1452" spans="1:10" x14ac:dyDescent="0.25">
      <c r="A1452">
        <v>66818</v>
      </c>
      <c r="B1452" t="s">
        <v>4969</v>
      </c>
      <c r="C1452" t="s">
        <v>266</v>
      </c>
      <c r="D1452" t="s">
        <v>2241</v>
      </c>
      <c r="E1452" t="s">
        <v>2242</v>
      </c>
      <c r="F1452">
        <v>1172748</v>
      </c>
      <c r="G1452">
        <v>343713</v>
      </c>
      <c r="H1452" s="32">
        <f t="shared" si="22"/>
        <v>3.4119978004905254</v>
      </c>
      <c r="I1452">
        <v>1</v>
      </c>
      <c r="J1452" t="s">
        <v>21</v>
      </c>
    </row>
    <row r="1453" spans="1:10" x14ac:dyDescent="0.25">
      <c r="A1453">
        <v>66133</v>
      </c>
      <c r="B1453" t="s">
        <v>4864</v>
      </c>
      <c r="C1453" t="s">
        <v>201</v>
      </c>
      <c r="D1453" t="s">
        <v>2241</v>
      </c>
      <c r="E1453" t="s">
        <v>2242</v>
      </c>
      <c r="F1453">
        <v>759422</v>
      </c>
      <c r="G1453">
        <v>222574</v>
      </c>
      <c r="H1453" s="32">
        <f t="shared" si="22"/>
        <v>3.4119978074707737</v>
      </c>
      <c r="I1453">
        <v>1</v>
      </c>
      <c r="J1453" t="s">
        <v>21</v>
      </c>
    </row>
    <row r="1454" spans="1:10" x14ac:dyDescent="0.25">
      <c r="A1454">
        <v>65281</v>
      </c>
      <c r="B1454" t="s">
        <v>4708</v>
      </c>
      <c r="C1454" t="s">
        <v>307</v>
      </c>
      <c r="D1454" t="s">
        <v>2241</v>
      </c>
      <c r="E1454" t="s">
        <v>2242</v>
      </c>
      <c r="F1454">
        <v>32704</v>
      </c>
      <c r="G1454">
        <v>9585</v>
      </c>
      <c r="H1454" s="32">
        <f t="shared" si="22"/>
        <v>3.4119979134063643</v>
      </c>
      <c r="I1454">
        <v>1</v>
      </c>
      <c r="J1454" t="s">
        <v>21</v>
      </c>
    </row>
    <row r="1455" spans="1:10" x14ac:dyDescent="0.25">
      <c r="A1455">
        <v>62822</v>
      </c>
      <c r="B1455" t="s">
        <v>4243</v>
      </c>
      <c r="C1455" t="s">
        <v>708</v>
      </c>
      <c r="D1455" t="s">
        <v>2241</v>
      </c>
      <c r="E1455" t="s">
        <v>2242</v>
      </c>
      <c r="F1455">
        <v>361334</v>
      </c>
      <c r="G1455">
        <v>105901</v>
      </c>
      <c r="H1455" s="32">
        <f t="shared" si="22"/>
        <v>3.4119979981303294</v>
      </c>
      <c r="I1455">
        <v>1</v>
      </c>
      <c r="J1455" t="s">
        <v>21</v>
      </c>
    </row>
    <row r="1456" spans="1:10" x14ac:dyDescent="0.25">
      <c r="A1456">
        <v>63719</v>
      </c>
      <c r="B1456" t="s">
        <v>4399</v>
      </c>
      <c r="C1456" t="s">
        <v>2029</v>
      </c>
      <c r="D1456" t="s">
        <v>2241</v>
      </c>
      <c r="E1456" t="s">
        <v>2242</v>
      </c>
      <c r="F1456">
        <v>1078304</v>
      </c>
      <c r="G1456">
        <v>316033</v>
      </c>
      <c r="H1456" s="32">
        <f t="shared" si="22"/>
        <v>3.4119981141209936</v>
      </c>
      <c r="I1456">
        <v>1</v>
      </c>
      <c r="J1456" t="s">
        <v>21</v>
      </c>
    </row>
    <row r="1457" spans="1:10" x14ac:dyDescent="0.25">
      <c r="A1457">
        <v>60053</v>
      </c>
      <c r="B1457" t="s">
        <v>3663</v>
      </c>
      <c r="C1457" t="s">
        <v>708</v>
      </c>
      <c r="D1457" t="s">
        <v>2241</v>
      </c>
      <c r="E1457" t="s">
        <v>2242</v>
      </c>
      <c r="F1457">
        <v>29234</v>
      </c>
      <c r="G1457">
        <v>8568</v>
      </c>
      <c r="H1457" s="32">
        <f t="shared" si="22"/>
        <v>3.4119981325863677</v>
      </c>
      <c r="I1457">
        <v>1</v>
      </c>
      <c r="J1457" t="s">
        <v>21</v>
      </c>
    </row>
    <row r="1458" spans="1:10" x14ac:dyDescent="0.25">
      <c r="A1458">
        <v>61318</v>
      </c>
      <c r="B1458" t="s">
        <v>3990</v>
      </c>
      <c r="C1458" t="s">
        <v>201</v>
      </c>
      <c r="D1458" t="s">
        <v>2241</v>
      </c>
      <c r="E1458" t="s">
        <v>2242</v>
      </c>
      <c r="F1458">
        <v>114319</v>
      </c>
      <c r="G1458">
        <v>33505</v>
      </c>
      <c r="H1458" s="32">
        <f t="shared" si="22"/>
        <v>3.4119982092225043</v>
      </c>
      <c r="I1458">
        <v>1</v>
      </c>
      <c r="J1458" t="s">
        <v>21</v>
      </c>
    </row>
    <row r="1459" spans="1:10" x14ac:dyDescent="0.25">
      <c r="A1459">
        <v>67420</v>
      </c>
      <c r="B1459" t="s">
        <v>5096</v>
      </c>
      <c r="C1459" t="s">
        <v>201</v>
      </c>
      <c r="D1459" t="s">
        <v>2241</v>
      </c>
      <c r="E1459" t="s">
        <v>2242</v>
      </c>
      <c r="F1459">
        <v>1029608</v>
      </c>
      <c r="G1459">
        <v>301761</v>
      </c>
      <c r="H1459" s="32">
        <f t="shared" si="22"/>
        <v>3.4119982370153865</v>
      </c>
      <c r="I1459">
        <v>1</v>
      </c>
      <c r="J1459" t="s">
        <v>21</v>
      </c>
    </row>
    <row r="1460" spans="1:10" x14ac:dyDescent="0.25">
      <c r="A1460">
        <v>63811</v>
      </c>
      <c r="B1460" t="s">
        <v>4413</v>
      </c>
      <c r="C1460" t="s">
        <v>708</v>
      </c>
      <c r="D1460" t="s">
        <v>2241</v>
      </c>
      <c r="E1460" t="s">
        <v>2242</v>
      </c>
      <c r="F1460">
        <v>373723</v>
      </c>
      <c r="G1460">
        <v>109532</v>
      </c>
      <c r="H1460" s="32">
        <f t="shared" si="22"/>
        <v>3.4119983201256252</v>
      </c>
      <c r="I1460">
        <v>1</v>
      </c>
      <c r="J1460" t="s">
        <v>21</v>
      </c>
    </row>
    <row r="1461" spans="1:10" x14ac:dyDescent="0.25">
      <c r="A1461">
        <v>58487</v>
      </c>
      <c r="B1461" t="s">
        <v>3202</v>
      </c>
      <c r="C1461" t="s">
        <v>708</v>
      </c>
      <c r="D1461" t="s">
        <v>2241</v>
      </c>
      <c r="E1461" t="s">
        <v>2242</v>
      </c>
      <c r="F1461">
        <v>16323</v>
      </c>
      <c r="G1461">
        <v>4784</v>
      </c>
      <c r="H1461" s="32">
        <f t="shared" si="22"/>
        <v>3.4119983277591972</v>
      </c>
      <c r="I1461">
        <v>1</v>
      </c>
      <c r="J1461" t="s">
        <v>21</v>
      </c>
    </row>
    <row r="1462" spans="1:10" x14ac:dyDescent="0.25">
      <c r="A1462">
        <v>66269</v>
      </c>
      <c r="B1462" t="s">
        <v>4876</v>
      </c>
      <c r="C1462" t="s">
        <v>131</v>
      </c>
      <c r="D1462" t="s">
        <v>2241</v>
      </c>
      <c r="E1462" t="s">
        <v>2242</v>
      </c>
      <c r="F1462">
        <v>709392</v>
      </c>
      <c r="G1462">
        <v>207911</v>
      </c>
      <c r="H1462" s="32">
        <f t="shared" si="22"/>
        <v>3.4119984031628916</v>
      </c>
      <c r="I1462">
        <v>1</v>
      </c>
      <c r="J1462" t="s">
        <v>21</v>
      </c>
    </row>
    <row r="1463" spans="1:10" x14ac:dyDescent="0.25">
      <c r="A1463">
        <v>59527</v>
      </c>
      <c r="B1463" t="s">
        <v>3499</v>
      </c>
      <c r="C1463" t="s">
        <v>708</v>
      </c>
      <c r="D1463" t="s">
        <v>2241</v>
      </c>
      <c r="E1463" t="s">
        <v>2242</v>
      </c>
      <c r="F1463">
        <v>137408</v>
      </c>
      <c r="G1463">
        <v>40272</v>
      </c>
      <c r="H1463" s="32">
        <f t="shared" si="22"/>
        <v>3.4119984108065156</v>
      </c>
      <c r="I1463">
        <v>1</v>
      </c>
      <c r="J1463" t="s">
        <v>21</v>
      </c>
    </row>
    <row r="1464" spans="1:10" x14ac:dyDescent="0.25">
      <c r="A1464">
        <v>61610</v>
      </c>
      <c r="B1464" t="s">
        <v>4043</v>
      </c>
      <c r="C1464" t="s">
        <v>708</v>
      </c>
      <c r="D1464" t="s">
        <v>2241</v>
      </c>
      <c r="E1464" t="s">
        <v>2242</v>
      </c>
      <c r="F1464">
        <v>477458</v>
      </c>
      <c r="G1464">
        <v>139935</v>
      </c>
      <c r="H1464" s="32">
        <f t="shared" si="22"/>
        <v>3.4119984278414979</v>
      </c>
      <c r="I1464">
        <v>1</v>
      </c>
      <c r="J1464" t="s">
        <v>21</v>
      </c>
    </row>
    <row r="1465" spans="1:10" x14ac:dyDescent="0.25">
      <c r="A1465">
        <v>66314</v>
      </c>
      <c r="B1465" t="s">
        <v>4878</v>
      </c>
      <c r="C1465" t="s">
        <v>201</v>
      </c>
      <c r="D1465" t="s">
        <v>2241</v>
      </c>
      <c r="E1465" t="s">
        <v>2242</v>
      </c>
      <c r="F1465">
        <v>581135</v>
      </c>
      <c r="G1465">
        <v>170321</v>
      </c>
      <c r="H1465" s="32">
        <f t="shared" si="22"/>
        <v>3.4119985204408145</v>
      </c>
      <c r="I1465">
        <v>1</v>
      </c>
      <c r="J1465" t="s">
        <v>21</v>
      </c>
    </row>
    <row r="1466" spans="1:10" x14ac:dyDescent="0.25">
      <c r="A1466">
        <v>67239</v>
      </c>
      <c r="B1466" t="s">
        <v>5067</v>
      </c>
      <c r="C1466" t="s">
        <v>322</v>
      </c>
      <c r="D1466" t="s">
        <v>2241</v>
      </c>
      <c r="E1466" t="s">
        <v>2242</v>
      </c>
      <c r="F1466">
        <v>3987224</v>
      </c>
      <c r="G1466">
        <v>1168589</v>
      </c>
      <c r="H1466" s="32">
        <f t="shared" si="22"/>
        <v>3.4119985726375996</v>
      </c>
      <c r="I1466">
        <v>1</v>
      </c>
      <c r="J1466" t="s">
        <v>21</v>
      </c>
    </row>
    <row r="1467" spans="1:10" x14ac:dyDescent="0.25">
      <c r="A1467">
        <v>60540</v>
      </c>
      <c r="B1467" t="s">
        <v>3794</v>
      </c>
      <c r="C1467" t="s">
        <v>708</v>
      </c>
      <c r="D1467" t="s">
        <v>2241</v>
      </c>
      <c r="E1467" t="s">
        <v>2242</v>
      </c>
      <c r="F1467">
        <v>182791</v>
      </c>
      <c r="G1467">
        <v>53573</v>
      </c>
      <c r="H1467" s="32">
        <f t="shared" si="22"/>
        <v>3.4119985813749465</v>
      </c>
      <c r="I1467">
        <v>1</v>
      </c>
      <c r="J1467" t="s">
        <v>21</v>
      </c>
    </row>
    <row r="1468" spans="1:10" x14ac:dyDescent="0.25">
      <c r="A1468">
        <v>67172</v>
      </c>
      <c r="B1468" t="s">
        <v>5053</v>
      </c>
      <c r="C1468" t="s">
        <v>708</v>
      </c>
      <c r="D1468" t="s">
        <v>2241</v>
      </c>
      <c r="E1468" t="s">
        <v>2242</v>
      </c>
      <c r="F1468">
        <v>115851</v>
      </c>
      <c r="G1468">
        <v>33954</v>
      </c>
      <c r="H1468" s="32">
        <f t="shared" si="22"/>
        <v>3.4119985863226718</v>
      </c>
      <c r="I1468">
        <v>1</v>
      </c>
      <c r="J1468" t="s">
        <v>21</v>
      </c>
    </row>
    <row r="1469" spans="1:10" x14ac:dyDescent="0.25">
      <c r="A1469">
        <v>63929</v>
      </c>
      <c r="B1469" t="s">
        <v>4445</v>
      </c>
      <c r="C1469" t="s">
        <v>131</v>
      </c>
      <c r="D1469" t="s">
        <v>2241</v>
      </c>
      <c r="E1469" t="s">
        <v>2242</v>
      </c>
      <c r="F1469">
        <v>323495</v>
      </c>
      <c r="G1469">
        <v>94811</v>
      </c>
      <c r="H1469" s="32">
        <f t="shared" si="22"/>
        <v>3.4119986077564839</v>
      </c>
      <c r="I1469">
        <v>1</v>
      </c>
      <c r="J1469" t="s">
        <v>21</v>
      </c>
    </row>
    <row r="1470" spans="1:10" x14ac:dyDescent="0.25">
      <c r="A1470">
        <v>59951</v>
      </c>
      <c r="B1470" t="s">
        <v>3630</v>
      </c>
      <c r="C1470" t="s">
        <v>708</v>
      </c>
      <c r="D1470" t="s">
        <v>2241</v>
      </c>
      <c r="E1470" t="s">
        <v>2242</v>
      </c>
      <c r="F1470">
        <v>111528</v>
      </c>
      <c r="G1470">
        <v>32687</v>
      </c>
      <c r="H1470" s="32">
        <f t="shared" si="22"/>
        <v>3.4119986538991038</v>
      </c>
      <c r="I1470">
        <v>1</v>
      </c>
      <c r="J1470" t="s">
        <v>21</v>
      </c>
    </row>
    <row r="1471" spans="1:10" x14ac:dyDescent="0.25">
      <c r="A1471">
        <v>67972</v>
      </c>
      <c r="B1471" t="s">
        <v>5200</v>
      </c>
      <c r="C1471" t="s">
        <v>166</v>
      </c>
      <c r="D1471" t="s">
        <v>2241</v>
      </c>
      <c r="E1471" t="s">
        <v>2242</v>
      </c>
      <c r="F1471">
        <v>1052083</v>
      </c>
      <c r="G1471">
        <v>308348</v>
      </c>
      <c r="H1471" s="32">
        <f t="shared" si="22"/>
        <v>3.4119987805985446</v>
      </c>
      <c r="I1471">
        <v>1</v>
      </c>
      <c r="J1471" t="s">
        <v>21</v>
      </c>
    </row>
    <row r="1472" spans="1:10" x14ac:dyDescent="0.25">
      <c r="A1472">
        <v>63909</v>
      </c>
      <c r="B1472" t="s">
        <v>4437</v>
      </c>
      <c r="C1472" t="s">
        <v>201</v>
      </c>
      <c r="D1472" t="s">
        <v>2241</v>
      </c>
      <c r="E1472" t="s">
        <v>2242</v>
      </c>
      <c r="F1472">
        <v>435528</v>
      </c>
      <c r="G1472">
        <v>127646</v>
      </c>
      <c r="H1472" s="32">
        <f t="shared" si="22"/>
        <v>3.4119988092067124</v>
      </c>
      <c r="I1472">
        <v>1</v>
      </c>
      <c r="J1472" t="s">
        <v>21</v>
      </c>
    </row>
    <row r="1473" spans="1:10" x14ac:dyDescent="0.25">
      <c r="A1473">
        <v>68183</v>
      </c>
      <c r="B1473" t="s">
        <v>5218</v>
      </c>
      <c r="C1473" t="s">
        <v>250</v>
      </c>
      <c r="D1473" t="s">
        <v>2241</v>
      </c>
      <c r="E1473" t="s">
        <v>2242</v>
      </c>
      <c r="F1473">
        <v>178236</v>
      </c>
      <c r="G1473">
        <v>52238</v>
      </c>
      <c r="H1473" s="32">
        <f t="shared" si="22"/>
        <v>3.4119989279834604</v>
      </c>
      <c r="I1473">
        <v>1</v>
      </c>
      <c r="J1473" t="s">
        <v>21</v>
      </c>
    </row>
    <row r="1474" spans="1:10" x14ac:dyDescent="0.25">
      <c r="A1474">
        <v>60127</v>
      </c>
      <c r="B1474" t="s">
        <v>3679</v>
      </c>
      <c r="C1474" t="s">
        <v>201</v>
      </c>
      <c r="D1474" t="s">
        <v>2241</v>
      </c>
      <c r="E1474" t="s">
        <v>2242</v>
      </c>
      <c r="F1474">
        <v>538799</v>
      </c>
      <c r="G1474">
        <v>157913</v>
      </c>
      <c r="H1474" s="32">
        <f t="shared" ref="H1474:H1537" si="23">IF(AND(F1474&gt;0,G1474&gt;0),F1474/G1474,"")</f>
        <v>3.4119990121142654</v>
      </c>
      <c r="I1474">
        <v>1</v>
      </c>
      <c r="J1474" t="s">
        <v>21</v>
      </c>
    </row>
    <row r="1475" spans="1:10" x14ac:dyDescent="0.25">
      <c r="A1475">
        <v>69063</v>
      </c>
      <c r="B1475" t="s">
        <v>5307</v>
      </c>
      <c r="C1475" t="s">
        <v>131</v>
      </c>
      <c r="D1475" t="s">
        <v>2241</v>
      </c>
      <c r="E1475" t="s">
        <v>2242</v>
      </c>
      <c r="F1475">
        <v>513093</v>
      </c>
      <c r="G1475">
        <v>150379</v>
      </c>
      <c r="H1475" s="32">
        <f t="shared" si="23"/>
        <v>3.4119990158200282</v>
      </c>
      <c r="I1475">
        <v>1</v>
      </c>
      <c r="J1475" t="s">
        <v>21</v>
      </c>
    </row>
    <row r="1476" spans="1:10" x14ac:dyDescent="0.25">
      <c r="A1476">
        <v>59188</v>
      </c>
      <c r="B1476" t="s">
        <v>3416</v>
      </c>
      <c r="C1476" t="s">
        <v>2029</v>
      </c>
      <c r="D1476" t="s">
        <v>2241</v>
      </c>
      <c r="E1476" t="s">
        <v>2242</v>
      </c>
      <c r="F1476">
        <v>87354</v>
      </c>
      <c r="G1476">
        <v>25602</v>
      </c>
      <c r="H1476" s="32">
        <f t="shared" si="23"/>
        <v>3.4119990625732366</v>
      </c>
      <c r="I1476">
        <v>1</v>
      </c>
      <c r="J1476" t="s">
        <v>21</v>
      </c>
    </row>
    <row r="1477" spans="1:10" x14ac:dyDescent="0.25">
      <c r="A1477">
        <v>62950</v>
      </c>
      <c r="B1477" t="s">
        <v>4263</v>
      </c>
      <c r="C1477" t="s">
        <v>201</v>
      </c>
      <c r="D1477" t="s">
        <v>2241</v>
      </c>
      <c r="E1477" t="s">
        <v>2242</v>
      </c>
      <c r="F1477">
        <v>280033</v>
      </c>
      <c r="G1477">
        <v>82073</v>
      </c>
      <c r="H1477" s="32">
        <f t="shared" si="23"/>
        <v>3.4119990739951018</v>
      </c>
      <c r="I1477">
        <v>1</v>
      </c>
      <c r="J1477" t="s">
        <v>21</v>
      </c>
    </row>
    <row r="1478" spans="1:10" x14ac:dyDescent="0.25">
      <c r="A1478">
        <v>68199</v>
      </c>
      <c r="B1478" t="s">
        <v>5220</v>
      </c>
      <c r="C1478" t="s">
        <v>322</v>
      </c>
      <c r="D1478" t="s">
        <v>2241</v>
      </c>
      <c r="E1478" t="s">
        <v>2242</v>
      </c>
      <c r="F1478">
        <v>293681</v>
      </c>
      <c r="G1478">
        <v>86073</v>
      </c>
      <c r="H1478" s="32">
        <f t="shared" si="23"/>
        <v>3.4119991170285688</v>
      </c>
      <c r="I1478">
        <v>1</v>
      </c>
      <c r="J1478" t="s">
        <v>21</v>
      </c>
    </row>
    <row r="1479" spans="1:10" x14ac:dyDescent="0.25">
      <c r="A1479">
        <v>69172</v>
      </c>
      <c r="B1479" t="s">
        <v>5335</v>
      </c>
      <c r="C1479" t="s">
        <v>708</v>
      </c>
      <c r="D1479" t="s">
        <v>2241</v>
      </c>
      <c r="E1479" t="s">
        <v>2242</v>
      </c>
      <c r="F1479">
        <v>94178</v>
      </c>
      <c r="G1479">
        <v>27602</v>
      </c>
      <c r="H1479" s="32">
        <f t="shared" si="23"/>
        <v>3.4119991304977901</v>
      </c>
      <c r="I1479">
        <v>1</v>
      </c>
      <c r="J1479" t="s">
        <v>21</v>
      </c>
    </row>
    <row r="1480" spans="1:10" x14ac:dyDescent="0.25">
      <c r="A1480">
        <v>68297</v>
      </c>
      <c r="B1480" t="s">
        <v>5227</v>
      </c>
      <c r="C1480" t="s">
        <v>266</v>
      </c>
      <c r="D1480" t="s">
        <v>2241</v>
      </c>
      <c r="E1480" t="s">
        <v>2242</v>
      </c>
      <c r="F1480">
        <v>924546</v>
      </c>
      <c r="G1480">
        <v>270969</v>
      </c>
      <c r="H1480" s="32">
        <f t="shared" si="23"/>
        <v>3.4119991585753353</v>
      </c>
      <c r="I1480">
        <v>1</v>
      </c>
      <c r="J1480" t="s">
        <v>21</v>
      </c>
    </row>
    <row r="1481" spans="1:10" x14ac:dyDescent="0.25">
      <c r="A1481">
        <v>67696</v>
      </c>
      <c r="B1481" t="s">
        <v>5149</v>
      </c>
      <c r="C1481" t="s">
        <v>131</v>
      </c>
      <c r="D1481" t="s">
        <v>2241</v>
      </c>
      <c r="E1481" t="s">
        <v>2242</v>
      </c>
      <c r="F1481">
        <v>1122169</v>
      </c>
      <c r="G1481">
        <v>328889</v>
      </c>
      <c r="H1481" s="32">
        <f t="shared" si="23"/>
        <v>3.4119991851354103</v>
      </c>
      <c r="I1481">
        <v>1</v>
      </c>
      <c r="J1481" t="s">
        <v>21</v>
      </c>
    </row>
    <row r="1482" spans="1:10" x14ac:dyDescent="0.25">
      <c r="A1482">
        <v>58844</v>
      </c>
      <c r="B1482" t="s">
        <v>3302</v>
      </c>
      <c r="C1482" t="s">
        <v>708</v>
      </c>
      <c r="D1482" t="s">
        <v>2241</v>
      </c>
      <c r="E1482" t="s">
        <v>2242</v>
      </c>
      <c r="F1482">
        <v>93267</v>
      </c>
      <c r="G1482">
        <v>27335</v>
      </c>
      <c r="H1482" s="32">
        <f t="shared" si="23"/>
        <v>3.4119992683372966</v>
      </c>
      <c r="I1482">
        <v>1</v>
      </c>
      <c r="J1482" t="s">
        <v>21</v>
      </c>
    </row>
    <row r="1483" spans="1:10" x14ac:dyDescent="0.25">
      <c r="A1483">
        <v>66109</v>
      </c>
      <c r="B1483" t="s">
        <v>4855</v>
      </c>
      <c r="C1483" t="s">
        <v>250</v>
      </c>
      <c r="D1483" t="s">
        <v>2241</v>
      </c>
      <c r="E1483" t="s">
        <v>2242</v>
      </c>
      <c r="F1483">
        <v>120621</v>
      </c>
      <c r="G1483">
        <v>35352</v>
      </c>
      <c r="H1483" s="32">
        <f t="shared" si="23"/>
        <v>3.4119993211133739</v>
      </c>
      <c r="I1483">
        <v>1</v>
      </c>
      <c r="J1483" t="s">
        <v>21</v>
      </c>
    </row>
    <row r="1484" spans="1:10" x14ac:dyDescent="0.25">
      <c r="A1484">
        <v>66264</v>
      </c>
      <c r="B1484" t="s">
        <v>4875</v>
      </c>
      <c r="C1484" t="s">
        <v>131</v>
      </c>
      <c r="D1484" t="s">
        <v>2241</v>
      </c>
      <c r="E1484" t="s">
        <v>2242</v>
      </c>
      <c r="F1484">
        <v>730550</v>
      </c>
      <c r="G1484">
        <v>214112</v>
      </c>
      <c r="H1484" s="32">
        <f t="shared" si="23"/>
        <v>3.4119993274547902</v>
      </c>
      <c r="I1484">
        <v>1</v>
      </c>
      <c r="J1484" t="s">
        <v>21</v>
      </c>
    </row>
    <row r="1485" spans="1:10" x14ac:dyDescent="0.25">
      <c r="A1485">
        <v>64635</v>
      </c>
      <c r="B1485" t="s">
        <v>4614</v>
      </c>
      <c r="C1485" t="s">
        <v>322</v>
      </c>
      <c r="D1485" t="s">
        <v>2241</v>
      </c>
      <c r="E1485" t="s">
        <v>2242</v>
      </c>
      <c r="F1485">
        <v>1335344</v>
      </c>
      <c r="G1485">
        <v>391367</v>
      </c>
      <c r="H1485" s="32">
        <f t="shared" si="23"/>
        <v>3.4119994787501247</v>
      </c>
      <c r="I1485">
        <v>1</v>
      </c>
      <c r="J1485" t="s">
        <v>21</v>
      </c>
    </row>
    <row r="1486" spans="1:10" x14ac:dyDescent="0.25">
      <c r="A1486">
        <v>64244</v>
      </c>
      <c r="B1486" t="s">
        <v>4522</v>
      </c>
      <c r="C1486" t="s">
        <v>131</v>
      </c>
      <c r="D1486" t="s">
        <v>2241</v>
      </c>
      <c r="E1486" t="s">
        <v>2242</v>
      </c>
      <c r="F1486">
        <v>55561</v>
      </c>
      <c r="G1486">
        <v>16284</v>
      </c>
      <c r="H1486" s="32">
        <f t="shared" si="23"/>
        <v>3.411999508720216</v>
      </c>
      <c r="I1486">
        <v>1</v>
      </c>
      <c r="J1486" t="s">
        <v>21</v>
      </c>
    </row>
    <row r="1487" spans="1:10" x14ac:dyDescent="0.25">
      <c r="A1487">
        <v>62758</v>
      </c>
      <c r="B1487" t="s">
        <v>4221</v>
      </c>
      <c r="C1487" t="s">
        <v>201</v>
      </c>
      <c r="D1487" t="s">
        <v>2241</v>
      </c>
      <c r="E1487" t="s">
        <v>2242</v>
      </c>
      <c r="F1487">
        <v>416223</v>
      </c>
      <c r="G1487">
        <v>121988</v>
      </c>
      <c r="H1487" s="32">
        <f t="shared" si="23"/>
        <v>3.4119995409384529</v>
      </c>
      <c r="I1487">
        <v>1</v>
      </c>
      <c r="J1487" t="s">
        <v>21</v>
      </c>
    </row>
    <row r="1488" spans="1:10" x14ac:dyDescent="0.25">
      <c r="A1488">
        <v>59944</v>
      </c>
      <c r="B1488" t="s">
        <v>3628</v>
      </c>
      <c r="C1488" t="s">
        <v>708</v>
      </c>
      <c r="D1488" t="s">
        <v>2241</v>
      </c>
      <c r="E1488" t="s">
        <v>2242</v>
      </c>
      <c r="F1488">
        <v>521937</v>
      </c>
      <c r="G1488">
        <v>152971</v>
      </c>
      <c r="H1488" s="32">
        <f t="shared" si="23"/>
        <v>3.4119996600662872</v>
      </c>
      <c r="I1488">
        <v>1</v>
      </c>
      <c r="J1488" t="s">
        <v>21</v>
      </c>
    </row>
    <row r="1489" spans="1:10" x14ac:dyDescent="0.25">
      <c r="A1489">
        <v>62768</v>
      </c>
      <c r="B1489" t="s">
        <v>4224</v>
      </c>
      <c r="C1489" t="s">
        <v>201</v>
      </c>
      <c r="D1489" t="s">
        <v>2241</v>
      </c>
      <c r="E1489" t="s">
        <v>2242</v>
      </c>
      <c r="F1489">
        <v>523643</v>
      </c>
      <c r="G1489">
        <v>153471</v>
      </c>
      <c r="H1489" s="32">
        <f t="shared" si="23"/>
        <v>3.4119996611737724</v>
      </c>
      <c r="I1489">
        <v>1</v>
      </c>
      <c r="J1489" t="s">
        <v>21</v>
      </c>
    </row>
    <row r="1490" spans="1:10" x14ac:dyDescent="0.25">
      <c r="A1490">
        <v>62012</v>
      </c>
      <c r="B1490" t="s">
        <v>4097</v>
      </c>
      <c r="C1490" t="s">
        <v>201</v>
      </c>
      <c r="D1490" t="s">
        <v>2241</v>
      </c>
      <c r="E1490" t="s">
        <v>2242</v>
      </c>
      <c r="F1490">
        <v>483320</v>
      </c>
      <c r="G1490">
        <v>141653</v>
      </c>
      <c r="H1490" s="32">
        <f t="shared" si="23"/>
        <v>3.4119997458578357</v>
      </c>
      <c r="I1490">
        <v>1</v>
      </c>
      <c r="J1490" t="s">
        <v>21</v>
      </c>
    </row>
    <row r="1491" spans="1:10" x14ac:dyDescent="0.25">
      <c r="A1491">
        <v>66389</v>
      </c>
      <c r="B1491" t="s">
        <v>4895</v>
      </c>
      <c r="C1491" t="s">
        <v>250</v>
      </c>
      <c r="D1491" t="s">
        <v>2241</v>
      </c>
      <c r="E1491" t="s">
        <v>2242</v>
      </c>
      <c r="F1491">
        <v>669390</v>
      </c>
      <c r="G1491">
        <v>196187</v>
      </c>
      <c r="H1491" s="32">
        <f t="shared" si="23"/>
        <v>3.4119997757241816</v>
      </c>
      <c r="I1491">
        <v>1</v>
      </c>
      <c r="J1491" t="s">
        <v>21</v>
      </c>
    </row>
    <row r="1492" spans="1:10" x14ac:dyDescent="0.25">
      <c r="A1492">
        <v>65219</v>
      </c>
      <c r="B1492" t="s">
        <v>4700</v>
      </c>
      <c r="C1492" t="s">
        <v>201</v>
      </c>
      <c r="D1492" t="s">
        <v>2241</v>
      </c>
      <c r="E1492" t="s">
        <v>2242</v>
      </c>
      <c r="F1492">
        <v>182716</v>
      </c>
      <c r="G1492">
        <v>53551</v>
      </c>
      <c r="H1492" s="32">
        <f t="shared" si="23"/>
        <v>3.4119997759145488</v>
      </c>
      <c r="I1492">
        <v>1</v>
      </c>
      <c r="J1492" t="s">
        <v>21</v>
      </c>
    </row>
    <row r="1493" spans="1:10" x14ac:dyDescent="0.25">
      <c r="A1493">
        <v>68771</v>
      </c>
      <c r="B1493" t="s">
        <v>5259</v>
      </c>
      <c r="C1493" t="s">
        <v>166</v>
      </c>
      <c r="D1493" t="s">
        <v>2241</v>
      </c>
      <c r="E1493" t="s">
        <v>2242</v>
      </c>
      <c r="F1493">
        <v>1132006</v>
      </c>
      <c r="G1493">
        <v>331772</v>
      </c>
      <c r="H1493" s="32">
        <f t="shared" si="23"/>
        <v>3.4119998070964397</v>
      </c>
      <c r="I1493">
        <v>1</v>
      </c>
      <c r="J1493" t="s">
        <v>21</v>
      </c>
    </row>
    <row r="1494" spans="1:10" x14ac:dyDescent="0.25">
      <c r="A1494">
        <v>65957</v>
      </c>
      <c r="B1494" t="s">
        <v>4817</v>
      </c>
      <c r="C1494" t="s">
        <v>131</v>
      </c>
      <c r="D1494" t="s">
        <v>2241</v>
      </c>
      <c r="E1494" t="s">
        <v>2242</v>
      </c>
      <c r="F1494">
        <v>2553278</v>
      </c>
      <c r="G1494">
        <v>748323</v>
      </c>
      <c r="H1494" s="32">
        <f t="shared" si="23"/>
        <v>3.4119998984395776</v>
      </c>
      <c r="I1494">
        <v>1</v>
      </c>
      <c r="J1494" t="s">
        <v>21</v>
      </c>
    </row>
    <row r="1495" spans="1:10" x14ac:dyDescent="0.25">
      <c r="A1495">
        <v>67735</v>
      </c>
      <c r="B1495" t="s">
        <v>5162</v>
      </c>
      <c r="C1495" t="s">
        <v>266</v>
      </c>
      <c r="D1495" t="s">
        <v>2241</v>
      </c>
      <c r="E1495" t="s">
        <v>2242</v>
      </c>
      <c r="F1495">
        <v>517034</v>
      </c>
      <c r="G1495">
        <v>151534</v>
      </c>
      <c r="H1495" s="32">
        <f t="shared" si="23"/>
        <v>3.4119999472065676</v>
      </c>
      <c r="I1495">
        <v>1</v>
      </c>
      <c r="J1495" t="s">
        <v>21</v>
      </c>
    </row>
    <row r="1496" spans="1:10" x14ac:dyDescent="0.25">
      <c r="A1496">
        <v>60805</v>
      </c>
      <c r="B1496" t="s">
        <v>3879</v>
      </c>
      <c r="C1496" t="s">
        <v>241</v>
      </c>
      <c r="D1496" t="s">
        <v>2241</v>
      </c>
      <c r="E1496" t="s">
        <v>2242</v>
      </c>
      <c r="F1496">
        <v>29855</v>
      </c>
      <c r="G1496">
        <v>8750</v>
      </c>
      <c r="H1496" s="32">
        <f t="shared" si="23"/>
        <v>3.4119999999999999</v>
      </c>
      <c r="I1496">
        <v>1</v>
      </c>
      <c r="J1496" t="s">
        <v>21</v>
      </c>
    </row>
    <row r="1497" spans="1:10" x14ac:dyDescent="0.25">
      <c r="A1497">
        <v>62129</v>
      </c>
      <c r="B1497" t="s">
        <v>4122</v>
      </c>
      <c r="C1497" t="s">
        <v>708</v>
      </c>
      <c r="D1497" t="s">
        <v>2241</v>
      </c>
      <c r="E1497" t="s">
        <v>2242</v>
      </c>
      <c r="F1497">
        <v>11089</v>
      </c>
      <c r="G1497">
        <v>3250</v>
      </c>
      <c r="H1497" s="32">
        <f t="shared" si="23"/>
        <v>3.4119999999999999</v>
      </c>
      <c r="I1497">
        <v>1</v>
      </c>
      <c r="J1497" t="s">
        <v>21</v>
      </c>
    </row>
    <row r="1498" spans="1:10" x14ac:dyDescent="0.25">
      <c r="A1498">
        <v>65027</v>
      </c>
      <c r="B1498" t="s">
        <v>4672</v>
      </c>
      <c r="C1498" t="s">
        <v>266</v>
      </c>
      <c r="D1498" t="s">
        <v>2241</v>
      </c>
      <c r="E1498" t="s">
        <v>2242</v>
      </c>
      <c r="F1498">
        <v>9383</v>
      </c>
      <c r="G1498">
        <v>2750</v>
      </c>
      <c r="H1498" s="32">
        <f t="shared" si="23"/>
        <v>3.4119999999999999</v>
      </c>
      <c r="I1498">
        <v>1</v>
      </c>
      <c r="J1498" t="s">
        <v>21</v>
      </c>
    </row>
    <row r="1499" spans="1:10" x14ac:dyDescent="0.25">
      <c r="A1499">
        <v>68429</v>
      </c>
      <c r="B1499" t="s">
        <v>5234</v>
      </c>
      <c r="C1499" t="s">
        <v>131</v>
      </c>
      <c r="D1499" t="s">
        <v>2241</v>
      </c>
      <c r="E1499" t="s">
        <v>2242</v>
      </c>
      <c r="F1499">
        <v>1221322</v>
      </c>
      <c r="G1499">
        <v>357949</v>
      </c>
      <c r="H1499" s="32">
        <f t="shared" si="23"/>
        <v>3.412000033524329</v>
      </c>
      <c r="I1499">
        <v>1</v>
      </c>
      <c r="J1499" t="s">
        <v>21</v>
      </c>
    </row>
    <row r="1500" spans="1:10" x14ac:dyDescent="0.25">
      <c r="A1500">
        <v>62013</v>
      </c>
      <c r="B1500" t="s">
        <v>4098</v>
      </c>
      <c r="C1500" t="s">
        <v>201</v>
      </c>
      <c r="D1500" t="s">
        <v>2241</v>
      </c>
      <c r="E1500" t="s">
        <v>2242</v>
      </c>
      <c r="F1500">
        <v>1491549</v>
      </c>
      <c r="G1500">
        <v>437148</v>
      </c>
      <c r="H1500" s="32">
        <f t="shared" si="23"/>
        <v>3.412000054901315</v>
      </c>
      <c r="I1500">
        <v>1</v>
      </c>
      <c r="J1500" t="s">
        <v>21</v>
      </c>
    </row>
    <row r="1501" spans="1:10" x14ac:dyDescent="0.25">
      <c r="A1501">
        <v>64019</v>
      </c>
      <c r="B1501" t="s">
        <v>4473</v>
      </c>
      <c r="C1501" t="s">
        <v>201</v>
      </c>
      <c r="D1501" t="s">
        <v>2241</v>
      </c>
      <c r="E1501" t="s">
        <v>2242</v>
      </c>
      <c r="F1501">
        <v>544040</v>
      </c>
      <c r="G1501">
        <v>159449</v>
      </c>
      <c r="H1501" s="32">
        <f t="shared" si="23"/>
        <v>3.4120000752591739</v>
      </c>
      <c r="I1501">
        <v>1</v>
      </c>
      <c r="J1501" t="s">
        <v>21</v>
      </c>
    </row>
    <row r="1502" spans="1:10" x14ac:dyDescent="0.25">
      <c r="A1502">
        <v>64224</v>
      </c>
      <c r="B1502" t="s">
        <v>4514</v>
      </c>
      <c r="C1502" t="s">
        <v>166</v>
      </c>
      <c r="D1502" t="s">
        <v>2241</v>
      </c>
      <c r="E1502" t="s">
        <v>2242</v>
      </c>
      <c r="F1502">
        <v>791857</v>
      </c>
      <c r="G1502">
        <v>232080</v>
      </c>
      <c r="H1502" s="32">
        <f t="shared" si="23"/>
        <v>3.4120001723543605</v>
      </c>
      <c r="I1502">
        <v>1</v>
      </c>
      <c r="J1502" t="s">
        <v>21</v>
      </c>
    </row>
    <row r="1503" spans="1:10" x14ac:dyDescent="0.25">
      <c r="A1503">
        <v>65445</v>
      </c>
      <c r="B1503" t="s">
        <v>4750</v>
      </c>
      <c r="C1503" t="s">
        <v>2029</v>
      </c>
      <c r="D1503" t="s">
        <v>2241</v>
      </c>
      <c r="E1503" t="s">
        <v>2242</v>
      </c>
      <c r="F1503">
        <v>519924</v>
      </c>
      <c r="G1503">
        <v>152381</v>
      </c>
      <c r="H1503" s="32">
        <f t="shared" si="23"/>
        <v>3.4120001837499427</v>
      </c>
      <c r="I1503">
        <v>1</v>
      </c>
      <c r="J1503" t="s">
        <v>21</v>
      </c>
    </row>
    <row r="1504" spans="1:10" x14ac:dyDescent="0.25">
      <c r="A1504">
        <v>58228</v>
      </c>
      <c r="B1504" t="s">
        <v>3129</v>
      </c>
      <c r="C1504" t="s">
        <v>672</v>
      </c>
      <c r="D1504" t="s">
        <v>2241</v>
      </c>
      <c r="E1504" t="s">
        <v>2242</v>
      </c>
      <c r="F1504">
        <v>62211</v>
      </c>
      <c r="G1504">
        <v>18233</v>
      </c>
      <c r="H1504" s="32">
        <f t="shared" si="23"/>
        <v>3.4120002193824384</v>
      </c>
      <c r="I1504">
        <v>1</v>
      </c>
      <c r="J1504" t="s">
        <v>21</v>
      </c>
    </row>
    <row r="1505" spans="1:10" x14ac:dyDescent="0.25">
      <c r="A1505">
        <v>65214</v>
      </c>
      <c r="B1505" t="s">
        <v>4698</v>
      </c>
      <c r="C1505" t="s">
        <v>143</v>
      </c>
      <c r="D1505" t="s">
        <v>2241</v>
      </c>
      <c r="E1505" t="s">
        <v>2242</v>
      </c>
      <c r="F1505">
        <v>109068</v>
      </c>
      <c r="G1505">
        <v>31966</v>
      </c>
      <c r="H1505" s="32">
        <f t="shared" si="23"/>
        <v>3.4120002502659075</v>
      </c>
      <c r="I1505">
        <v>1</v>
      </c>
      <c r="J1505" t="s">
        <v>21</v>
      </c>
    </row>
    <row r="1506" spans="1:10" x14ac:dyDescent="0.25">
      <c r="A1506">
        <v>62675</v>
      </c>
      <c r="B1506" t="s">
        <v>4202</v>
      </c>
      <c r="C1506" t="s">
        <v>201</v>
      </c>
      <c r="D1506" t="s">
        <v>2241</v>
      </c>
      <c r="E1506" t="s">
        <v>2242</v>
      </c>
      <c r="F1506">
        <v>1018233</v>
      </c>
      <c r="G1506">
        <v>298427</v>
      </c>
      <c r="H1506" s="32">
        <f t="shared" si="23"/>
        <v>3.4120002546686461</v>
      </c>
      <c r="I1506">
        <v>1</v>
      </c>
      <c r="J1506" t="s">
        <v>21</v>
      </c>
    </row>
    <row r="1507" spans="1:10" x14ac:dyDescent="0.25">
      <c r="A1507">
        <v>67935</v>
      </c>
      <c r="B1507" t="s">
        <v>5195</v>
      </c>
      <c r="C1507" t="s">
        <v>322</v>
      </c>
      <c r="D1507" t="s">
        <v>2241</v>
      </c>
      <c r="E1507" t="s">
        <v>2242</v>
      </c>
      <c r="F1507">
        <v>963119</v>
      </c>
      <c r="G1507">
        <v>282274</v>
      </c>
      <c r="H1507" s="32">
        <f t="shared" si="23"/>
        <v>3.4120003967775991</v>
      </c>
      <c r="I1507">
        <v>1</v>
      </c>
      <c r="J1507" t="s">
        <v>21</v>
      </c>
    </row>
    <row r="1508" spans="1:10" x14ac:dyDescent="0.25">
      <c r="A1508">
        <v>62544</v>
      </c>
      <c r="B1508" t="s">
        <v>4170</v>
      </c>
      <c r="C1508" t="s">
        <v>708</v>
      </c>
      <c r="D1508" t="s">
        <v>2241</v>
      </c>
      <c r="E1508" t="s">
        <v>2242</v>
      </c>
      <c r="F1508">
        <v>550052</v>
      </c>
      <c r="G1508">
        <v>161211</v>
      </c>
      <c r="H1508" s="32">
        <f t="shared" si="23"/>
        <v>3.4120004218074449</v>
      </c>
      <c r="I1508">
        <v>1</v>
      </c>
      <c r="J1508" t="s">
        <v>21</v>
      </c>
    </row>
    <row r="1509" spans="1:10" x14ac:dyDescent="0.25">
      <c r="A1509">
        <v>62991</v>
      </c>
      <c r="B1509" t="s">
        <v>4270</v>
      </c>
      <c r="C1509" t="s">
        <v>143</v>
      </c>
      <c r="D1509" t="s">
        <v>2241</v>
      </c>
      <c r="E1509" t="s">
        <v>2242</v>
      </c>
      <c r="F1509">
        <v>114070</v>
      </c>
      <c r="G1509">
        <v>33432</v>
      </c>
      <c r="H1509" s="32">
        <f t="shared" si="23"/>
        <v>3.4120004785833933</v>
      </c>
      <c r="I1509">
        <v>1</v>
      </c>
      <c r="J1509" t="s">
        <v>21</v>
      </c>
    </row>
    <row r="1510" spans="1:10" x14ac:dyDescent="0.25">
      <c r="A1510">
        <v>62670</v>
      </c>
      <c r="B1510" t="s">
        <v>4201</v>
      </c>
      <c r="C1510" t="s">
        <v>322</v>
      </c>
      <c r="D1510" t="s">
        <v>2241</v>
      </c>
      <c r="E1510" t="s">
        <v>2242</v>
      </c>
      <c r="F1510">
        <v>2061732</v>
      </c>
      <c r="G1510">
        <v>604259</v>
      </c>
      <c r="H1510" s="32">
        <f t="shared" si="23"/>
        <v>3.412000483236493</v>
      </c>
      <c r="I1510">
        <v>1</v>
      </c>
      <c r="J1510" t="s">
        <v>21</v>
      </c>
    </row>
    <row r="1511" spans="1:10" x14ac:dyDescent="0.25">
      <c r="A1511">
        <v>65106</v>
      </c>
      <c r="B1511" t="s">
        <v>4686</v>
      </c>
      <c r="C1511" t="s">
        <v>708</v>
      </c>
      <c r="D1511" t="s">
        <v>2241</v>
      </c>
      <c r="E1511" t="s">
        <v>2242</v>
      </c>
      <c r="F1511">
        <v>586325</v>
      </c>
      <c r="G1511">
        <v>171842</v>
      </c>
      <c r="H1511" s="32">
        <f t="shared" si="23"/>
        <v>3.412000558652716</v>
      </c>
      <c r="I1511">
        <v>1</v>
      </c>
      <c r="J1511" t="s">
        <v>21</v>
      </c>
    </row>
    <row r="1512" spans="1:10" x14ac:dyDescent="0.25">
      <c r="A1512">
        <v>63538</v>
      </c>
      <c r="B1512" t="s">
        <v>4372</v>
      </c>
      <c r="C1512" t="s">
        <v>250</v>
      </c>
      <c r="D1512" t="s">
        <v>2241</v>
      </c>
      <c r="E1512" t="s">
        <v>2242</v>
      </c>
      <c r="F1512">
        <v>770788</v>
      </c>
      <c r="G1512">
        <v>225905</v>
      </c>
      <c r="H1512" s="32">
        <f t="shared" si="23"/>
        <v>3.4120006197295325</v>
      </c>
      <c r="I1512">
        <v>1</v>
      </c>
      <c r="J1512" t="s">
        <v>21</v>
      </c>
    </row>
    <row r="1513" spans="1:10" x14ac:dyDescent="0.25">
      <c r="A1513">
        <v>66047</v>
      </c>
      <c r="B1513" t="s">
        <v>4838</v>
      </c>
      <c r="C1513" t="s">
        <v>266</v>
      </c>
      <c r="D1513" t="s">
        <v>2241</v>
      </c>
      <c r="E1513" t="s">
        <v>2242</v>
      </c>
      <c r="F1513">
        <v>397249</v>
      </c>
      <c r="G1513">
        <v>116427</v>
      </c>
      <c r="H1513" s="32">
        <f t="shared" si="23"/>
        <v>3.4120006527695468</v>
      </c>
      <c r="I1513">
        <v>1</v>
      </c>
      <c r="J1513" t="s">
        <v>21</v>
      </c>
    </row>
    <row r="1514" spans="1:10" x14ac:dyDescent="0.25">
      <c r="A1514">
        <v>67942</v>
      </c>
      <c r="B1514" t="s">
        <v>5197</v>
      </c>
      <c r="C1514" t="s">
        <v>250</v>
      </c>
      <c r="D1514" t="s">
        <v>2241</v>
      </c>
      <c r="E1514" t="s">
        <v>2242</v>
      </c>
      <c r="F1514">
        <v>714490</v>
      </c>
      <c r="G1514">
        <v>209405</v>
      </c>
      <c r="H1514" s="32">
        <f t="shared" si="23"/>
        <v>3.4120006685609225</v>
      </c>
      <c r="I1514">
        <v>1</v>
      </c>
      <c r="J1514" t="s">
        <v>21</v>
      </c>
    </row>
    <row r="1515" spans="1:10" x14ac:dyDescent="0.25">
      <c r="A1515">
        <v>66820</v>
      </c>
      <c r="B1515" t="s">
        <v>4971</v>
      </c>
      <c r="C1515" t="s">
        <v>166</v>
      </c>
      <c r="D1515" t="s">
        <v>2241</v>
      </c>
      <c r="E1515" t="s">
        <v>2242</v>
      </c>
      <c r="F1515">
        <v>1037644</v>
      </c>
      <c r="G1515">
        <v>304116</v>
      </c>
      <c r="H1515" s="32">
        <f t="shared" si="23"/>
        <v>3.4120006839495454</v>
      </c>
      <c r="I1515">
        <v>1</v>
      </c>
      <c r="J1515" t="s">
        <v>21</v>
      </c>
    </row>
    <row r="1516" spans="1:10" x14ac:dyDescent="0.25">
      <c r="A1516">
        <v>59851</v>
      </c>
      <c r="B1516" t="s">
        <v>3600</v>
      </c>
      <c r="C1516" t="s">
        <v>307</v>
      </c>
      <c r="D1516" t="s">
        <v>2241</v>
      </c>
      <c r="E1516" t="s">
        <v>2242</v>
      </c>
      <c r="F1516">
        <v>459228</v>
      </c>
      <c r="G1516">
        <v>134592</v>
      </c>
      <c r="H1516" s="32">
        <f t="shared" si="23"/>
        <v>3.4120007132667616</v>
      </c>
      <c r="I1516">
        <v>1</v>
      </c>
      <c r="J1516" t="s">
        <v>21</v>
      </c>
    </row>
    <row r="1517" spans="1:10" x14ac:dyDescent="0.25">
      <c r="A1517">
        <v>64832</v>
      </c>
      <c r="B1517" t="s">
        <v>4650</v>
      </c>
      <c r="C1517" t="s">
        <v>322</v>
      </c>
      <c r="D1517" t="s">
        <v>2241</v>
      </c>
      <c r="E1517" t="s">
        <v>2242</v>
      </c>
      <c r="F1517">
        <v>1718635</v>
      </c>
      <c r="G1517">
        <v>503703</v>
      </c>
      <c r="H1517" s="32">
        <f t="shared" si="23"/>
        <v>3.4120007226480684</v>
      </c>
      <c r="I1517">
        <v>1</v>
      </c>
      <c r="J1517" t="s">
        <v>21</v>
      </c>
    </row>
    <row r="1518" spans="1:10" x14ac:dyDescent="0.25">
      <c r="A1518">
        <v>62814</v>
      </c>
      <c r="B1518" t="s">
        <v>4239</v>
      </c>
      <c r="C1518" t="s">
        <v>201</v>
      </c>
      <c r="D1518" t="s">
        <v>2241</v>
      </c>
      <c r="E1518" t="s">
        <v>2242</v>
      </c>
      <c r="F1518">
        <v>627426</v>
      </c>
      <c r="G1518">
        <v>183888</v>
      </c>
      <c r="H1518" s="32">
        <f t="shared" si="23"/>
        <v>3.4120007830853565</v>
      </c>
      <c r="I1518">
        <v>1</v>
      </c>
      <c r="J1518" t="s">
        <v>21</v>
      </c>
    </row>
    <row r="1519" spans="1:10" x14ac:dyDescent="0.25">
      <c r="A1519">
        <v>66643</v>
      </c>
      <c r="B1519" t="s">
        <v>4936</v>
      </c>
      <c r="C1519" t="s">
        <v>131</v>
      </c>
      <c r="D1519" t="s">
        <v>2241</v>
      </c>
      <c r="E1519" t="s">
        <v>2242</v>
      </c>
      <c r="F1519">
        <v>1734709</v>
      </c>
      <c r="G1519">
        <v>508414</v>
      </c>
      <c r="H1519" s="32">
        <f t="shared" si="23"/>
        <v>3.4120008497012275</v>
      </c>
      <c r="I1519">
        <v>1</v>
      </c>
      <c r="J1519" t="s">
        <v>21</v>
      </c>
    </row>
    <row r="1520" spans="1:10" x14ac:dyDescent="0.25">
      <c r="A1520">
        <v>66624</v>
      </c>
      <c r="B1520" t="s">
        <v>4929</v>
      </c>
      <c r="C1520" t="s">
        <v>166</v>
      </c>
      <c r="D1520" t="s">
        <v>2241</v>
      </c>
      <c r="E1520" t="s">
        <v>2242</v>
      </c>
      <c r="F1520">
        <v>3121493</v>
      </c>
      <c r="G1520">
        <v>914857</v>
      </c>
      <c r="H1520" s="32">
        <f t="shared" si="23"/>
        <v>3.4120010012493758</v>
      </c>
      <c r="I1520">
        <v>1</v>
      </c>
      <c r="J1520" t="s">
        <v>21</v>
      </c>
    </row>
    <row r="1521" spans="1:10" x14ac:dyDescent="0.25">
      <c r="A1521">
        <v>60882</v>
      </c>
      <c r="B1521" t="s">
        <v>3897</v>
      </c>
      <c r="C1521" t="s">
        <v>708</v>
      </c>
      <c r="D1521" t="s">
        <v>2241</v>
      </c>
      <c r="E1521" t="s">
        <v>2242</v>
      </c>
      <c r="F1521">
        <v>13590</v>
      </c>
      <c r="G1521">
        <v>3983</v>
      </c>
      <c r="H1521" s="32">
        <f t="shared" si="23"/>
        <v>3.4120010042681397</v>
      </c>
      <c r="I1521">
        <v>1</v>
      </c>
      <c r="J1521" t="s">
        <v>21</v>
      </c>
    </row>
    <row r="1522" spans="1:10" x14ac:dyDescent="0.25">
      <c r="A1522">
        <v>61284</v>
      </c>
      <c r="B1522" t="s">
        <v>3982</v>
      </c>
      <c r="C1522" t="s">
        <v>708</v>
      </c>
      <c r="D1522" t="s">
        <v>2241</v>
      </c>
      <c r="E1522" t="s">
        <v>2242</v>
      </c>
      <c r="F1522">
        <v>13590</v>
      </c>
      <c r="G1522">
        <v>3983</v>
      </c>
      <c r="H1522" s="32">
        <f t="shared" si="23"/>
        <v>3.4120010042681397</v>
      </c>
      <c r="I1522">
        <v>1</v>
      </c>
      <c r="J1522" t="s">
        <v>21</v>
      </c>
    </row>
    <row r="1523" spans="1:10" x14ac:dyDescent="0.25">
      <c r="A1523">
        <v>68056</v>
      </c>
      <c r="B1523" t="s">
        <v>5204</v>
      </c>
      <c r="C1523" t="s">
        <v>166</v>
      </c>
      <c r="D1523" t="s">
        <v>2241</v>
      </c>
      <c r="E1523" t="s">
        <v>2242</v>
      </c>
      <c r="F1523">
        <v>1072972</v>
      </c>
      <c r="G1523">
        <v>314470</v>
      </c>
      <c r="H1523" s="32">
        <f t="shared" si="23"/>
        <v>3.4120011447832863</v>
      </c>
      <c r="I1523">
        <v>1</v>
      </c>
      <c r="J1523" t="s">
        <v>21</v>
      </c>
    </row>
    <row r="1524" spans="1:10" x14ac:dyDescent="0.25">
      <c r="A1524">
        <v>59589</v>
      </c>
      <c r="B1524" t="s">
        <v>3529</v>
      </c>
      <c r="C1524" t="s">
        <v>708</v>
      </c>
      <c r="D1524" t="s">
        <v>2241</v>
      </c>
      <c r="E1524" t="s">
        <v>2242</v>
      </c>
      <c r="F1524">
        <v>463476</v>
      </c>
      <c r="G1524">
        <v>135837</v>
      </c>
      <c r="H1524" s="32">
        <f t="shared" si="23"/>
        <v>3.412001148435257</v>
      </c>
      <c r="I1524">
        <v>1</v>
      </c>
      <c r="J1524" t="s">
        <v>21</v>
      </c>
    </row>
    <row r="1525" spans="1:10" x14ac:dyDescent="0.25">
      <c r="A1525">
        <v>64452</v>
      </c>
      <c r="B1525" t="s">
        <v>4566</v>
      </c>
      <c r="C1525" t="s">
        <v>250</v>
      </c>
      <c r="D1525" t="s">
        <v>2241</v>
      </c>
      <c r="E1525" t="s">
        <v>2242</v>
      </c>
      <c r="F1525">
        <v>741868</v>
      </c>
      <c r="G1525">
        <v>217429</v>
      </c>
      <c r="H1525" s="32">
        <f t="shared" si="23"/>
        <v>3.4120011589990296</v>
      </c>
      <c r="I1525">
        <v>1</v>
      </c>
      <c r="J1525" t="s">
        <v>21</v>
      </c>
    </row>
    <row r="1526" spans="1:10" x14ac:dyDescent="0.25">
      <c r="A1526">
        <v>64175</v>
      </c>
      <c r="B1526" t="s">
        <v>4505</v>
      </c>
      <c r="C1526" t="s">
        <v>708</v>
      </c>
      <c r="D1526" t="s">
        <v>2241</v>
      </c>
      <c r="E1526" t="s">
        <v>2242</v>
      </c>
      <c r="F1526">
        <v>22915</v>
      </c>
      <c r="G1526">
        <v>6716</v>
      </c>
      <c r="H1526" s="32">
        <f t="shared" si="23"/>
        <v>3.4120011911852295</v>
      </c>
      <c r="I1526">
        <v>1</v>
      </c>
      <c r="J1526" t="s">
        <v>21</v>
      </c>
    </row>
    <row r="1527" spans="1:10" x14ac:dyDescent="0.25">
      <c r="A1527">
        <v>67489</v>
      </c>
      <c r="B1527" t="s">
        <v>5106</v>
      </c>
      <c r="C1527" t="s">
        <v>131</v>
      </c>
      <c r="D1527" t="s">
        <v>2241</v>
      </c>
      <c r="E1527" t="s">
        <v>2242</v>
      </c>
      <c r="F1527">
        <v>1317128</v>
      </c>
      <c r="G1527">
        <v>386028</v>
      </c>
      <c r="H1527" s="32">
        <f t="shared" si="23"/>
        <v>3.4120012019853481</v>
      </c>
      <c r="I1527">
        <v>1</v>
      </c>
      <c r="J1527" t="s">
        <v>21</v>
      </c>
    </row>
    <row r="1528" spans="1:10" x14ac:dyDescent="0.25">
      <c r="A1528">
        <v>65936</v>
      </c>
      <c r="B1528" t="s">
        <v>4815</v>
      </c>
      <c r="C1528" t="s">
        <v>131</v>
      </c>
      <c r="D1528" t="s">
        <v>2241</v>
      </c>
      <c r="E1528" t="s">
        <v>2242</v>
      </c>
      <c r="F1528">
        <v>938546</v>
      </c>
      <c r="G1528">
        <v>275072</v>
      </c>
      <c r="H1528" s="32">
        <f t="shared" si="23"/>
        <v>3.4120012214983713</v>
      </c>
      <c r="I1528">
        <v>1</v>
      </c>
      <c r="J1528" t="s">
        <v>21</v>
      </c>
    </row>
    <row r="1529" spans="1:10" x14ac:dyDescent="0.25">
      <c r="A1529">
        <v>65629</v>
      </c>
      <c r="B1529" t="s">
        <v>4783</v>
      </c>
      <c r="C1529" t="s">
        <v>2029</v>
      </c>
      <c r="D1529" t="s">
        <v>2241</v>
      </c>
      <c r="E1529" t="s">
        <v>2242</v>
      </c>
      <c r="F1529">
        <v>474333</v>
      </c>
      <c r="G1529">
        <v>139019</v>
      </c>
      <c r="H1529" s="32">
        <f t="shared" si="23"/>
        <v>3.4120012372409527</v>
      </c>
      <c r="I1529">
        <v>1</v>
      </c>
      <c r="J1529" t="s">
        <v>21</v>
      </c>
    </row>
    <row r="1530" spans="1:10" x14ac:dyDescent="0.25">
      <c r="A1530">
        <v>66751</v>
      </c>
      <c r="B1530" t="s">
        <v>4958</v>
      </c>
      <c r="C1530" t="s">
        <v>241</v>
      </c>
      <c r="D1530" t="s">
        <v>2241</v>
      </c>
      <c r="E1530" t="s">
        <v>2242</v>
      </c>
      <c r="F1530">
        <v>22062</v>
      </c>
      <c r="G1530">
        <v>6466</v>
      </c>
      <c r="H1530" s="32">
        <f t="shared" si="23"/>
        <v>3.4120012372409527</v>
      </c>
      <c r="I1530">
        <v>1</v>
      </c>
      <c r="J1530" t="s">
        <v>21</v>
      </c>
    </row>
    <row r="1531" spans="1:10" x14ac:dyDescent="0.25">
      <c r="A1531">
        <v>67161</v>
      </c>
      <c r="B1531" t="s">
        <v>5047</v>
      </c>
      <c r="C1531" t="s">
        <v>708</v>
      </c>
      <c r="D1531" t="s">
        <v>2241</v>
      </c>
      <c r="E1531" t="s">
        <v>2242</v>
      </c>
      <c r="F1531">
        <v>873428</v>
      </c>
      <c r="G1531">
        <v>255987</v>
      </c>
      <c r="H1531" s="32">
        <f t="shared" si="23"/>
        <v>3.4120013906956213</v>
      </c>
      <c r="I1531">
        <v>1</v>
      </c>
      <c r="J1531" t="s">
        <v>21</v>
      </c>
    </row>
    <row r="1532" spans="1:10" x14ac:dyDescent="0.25">
      <c r="A1532">
        <v>60611</v>
      </c>
      <c r="B1532" t="s">
        <v>3818</v>
      </c>
      <c r="C1532" t="s">
        <v>708</v>
      </c>
      <c r="D1532" t="s">
        <v>2241</v>
      </c>
      <c r="E1532" t="s">
        <v>2242</v>
      </c>
      <c r="F1532">
        <v>297605</v>
      </c>
      <c r="G1532">
        <v>87223</v>
      </c>
      <c r="H1532" s="32">
        <f t="shared" si="23"/>
        <v>3.4120014216433741</v>
      </c>
      <c r="I1532">
        <v>1</v>
      </c>
      <c r="J1532" t="s">
        <v>21</v>
      </c>
    </row>
    <row r="1533" spans="1:10" x14ac:dyDescent="0.25">
      <c r="A1533">
        <v>66191</v>
      </c>
      <c r="B1533" t="s">
        <v>4868</v>
      </c>
      <c r="C1533" t="s">
        <v>166</v>
      </c>
      <c r="D1533" t="s">
        <v>2241</v>
      </c>
      <c r="E1533" t="s">
        <v>2242</v>
      </c>
      <c r="F1533">
        <v>1682475</v>
      </c>
      <c r="G1533">
        <v>493105</v>
      </c>
      <c r="H1533" s="32">
        <f t="shared" si="23"/>
        <v>3.4120015006945783</v>
      </c>
      <c r="I1533">
        <v>1</v>
      </c>
      <c r="J1533" t="s">
        <v>21</v>
      </c>
    </row>
    <row r="1534" spans="1:10" x14ac:dyDescent="0.25">
      <c r="A1534">
        <v>63976</v>
      </c>
      <c r="B1534" t="s">
        <v>4459</v>
      </c>
      <c r="C1534" t="s">
        <v>708</v>
      </c>
      <c r="D1534" t="s">
        <v>2241</v>
      </c>
      <c r="E1534" t="s">
        <v>2242</v>
      </c>
      <c r="F1534">
        <v>500022</v>
      </c>
      <c r="G1534">
        <v>146548</v>
      </c>
      <c r="H1534" s="32">
        <f t="shared" si="23"/>
        <v>3.4120015285094305</v>
      </c>
      <c r="I1534">
        <v>1</v>
      </c>
      <c r="J1534" t="s">
        <v>21</v>
      </c>
    </row>
    <row r="1535" spans="1:10" x14ac:dyDescent="0.25">
      <c r="A1535">
        <v>64882</v>
      </c>
      <c r="B1535" t="s">
        <v>4659</v>
      </c>
      <c r="C1535" t="s">
        <v>708</v>
      </c>
      <c r="D1535" t="s">
        <v>2241</v>
      </c>
      <c r="E1535" t="s">
        <v>2242</v>
      </c>
      <c r="F1535">
        <v>17797</v>
      </c>
      <c r="G1535">
        <v>5216</v>
      </c>
      <c r="H1535" s="32">
        <f t="shared" si="23"/>
        <v>3.4120015337423313</v>
      </c>
      <c r="I1535">
        <v>1</v>
      </c>
      <c r="J1535" t="s">
        <v>21</v>
      </c>
    </row>
    <row r="1536" spans="1:10" x14ac:dyDescent="0.25">
      <c r="A1536">
        <v>58859</v>
      </c>
      <c r="B1536" t="s">
        <v>3313</v>
      </c>
      <c r="C1536" t="s">
        <v>708</v>
      </c>
      <c r="D1536" t="s">
        <v>2241</v>
      </c>
      <c r="E1536" t="s">
        <v>2242</v>
      </c>
      <c r="F1536">
        <v>25416</v>
      </c>
      <c r="G1536">
        <v>7449</v>
      </c>
      <c r="H1536" s="32">
        <f t="shared" si="23"/>
        <v>3.4120016109544906</v>
      </c>
      <c r="I1536">
        <v>1</v>
      </c>
      <c r="J1536" t="s">
        <v>21</v>
      </c>
    </row>
    <row r="1537" spans="1:10" x14ac:dyDescent="0.25">
      <c r="A1537">
        <v>67707</v>
      </c>
      <c r="B1537" t="s">
        <v>5151</v>
      </c>
      <c r="C1537" t="s">
        <v>3055</v>
      </c>
      <c r="D1537" t="s">
        <v>2241</v>
      </c>
      <c r="E1537" t="s">
        <v>2242</v>
      </c>
      <c r="F1537">
        <v>16091</v>
      </c>
      <c r="G1537">
        <v>4716</v>
      </c>
      <c r="H1537" s="32">
        <f t="shared" si="23"/>
        <v>3.4120016963528412</v>
      </c>
      <c r="I1537">
        <v>1</v>
      </c>
      <c r="J1537" t="s">
        <v>21</v>
      </c>
    </row>
    <row r="1538" spans="1:10" x14ac:dyDescent="0.25">
      <c r="A1538">
        <v>65307</v>
      </c>
      <c r="B1538" t="s">
        <v>4713</v>
      </c>
      <c r="C1538" t="s">
        <v>201</v>
      </c>
      <c r="D1538" t="s">
        <v>2241</v>
      </c>
      <c r="E1538" t="s">
        <v>2242</v>
      </c>
      <c r="F1538">
        <v>306524</v>
      </c>
      <c r="G1538">
        <v>89837</v>
      </c>
      <c r="H1538" s="32">
        <f t="shared" ref="H1538:H1601" si="24">IF(AND(F1538&gt;0,G1538&gt;0),F1538/G1538,"")</f>
        <v>3.4120017364782886</v>
      </c>
      <c r="I1538">
        <v>1</v>
      </c>
      <c r="J1538" t="s">
        <v>21</v>
      </c>
    </row>
    <row r="1539" spans="1:10" x14ac:dyDescent="0.25">
      <c r="A1539">
        <v>61422</v>
      </c>
      <c r="B1539" t="s">
        <v>4014</v>
      </c>
      <c r="C1539" t="s">
        <v>201</v>
      </c>
      <c r="D1539" t="s">
        <v>2241</v>
      </c>
      <c r="E1539" t="s">
        <v>2242</v>
      </c>
      <c r="F1539">
        <v>594398</v>
      </c>
      <c r="G1539">
        <v>174208</v>
      </c>
      <c r="H1539" s="32">
        <f t="shared" si="24"/>
        <v>3.4120017450404116</v>
      </c>
      <c r="I1539">
        <v>1</v>
      </c>
      <c r="J1539" t="s">
        <v>21</v>
      </c>
    </row>
    <row r="1540" spans="1:10" x14ac:dyDescent="0.25">
      <c r="A1540">
        <v>64660</v>
      </c>
      <c r="B1540" t="s">
        <v>4623</v>
      </c>
      <c r="C1540" t="s">
        <v>322</v>
      </c>
      <c r="D1540" t="s">
        <v>2241</v>
      </c>
      <c r="E1540" t="s">
        <v>2242</v>
      </c>
      <c r="F1540">
        <v>2244466</v>
      </c>
      <c r="G1540">
        <v>657815</v>
      </c>
      <c r="H1540" s="32">
        <f t="shared" si="24"/>
        <v>3.4120018546247803</v>
      </c>
      <c r="I1540">
        <v>1</v>
      </c>
      <c r="J1540" t="s">
        <v>21</v>
      </c>
    </row>
    <row r="1541" spans="1:10" x14ac:dyDescent="0.25">
      <c r="A1541">
        <v>61985</v>
      </c>
      <c r="B1541" t="s">
        <v>4093</v>
      </c>
      <c r="C1541" t="s">
        <v>201</v>
      </c>
      <c r="D1541" t="s">
        <v>2241</v>
      </c>
      <c r="E1541" t="s">
        <v>2242</v>
      </c>
      <c r="F1541">
        <v>966975</v>
      </c>
      <c r="G1541">
        <v>283404</v>
      </c>
      <c r="H1541" s="32">
        <f t="shared" si="24"/>
        <v>3.4120019477495025</v>
      </c>
      <c r="I1541">
        <v>1</v>
      </c>
      <c r="J1541" t="s">
        <v>21</v>
      </c>
    </row>
    <row r="1542" spans="1:10" x14ac:dyDescent="0.25">
      <c r="A1542">
        <v>65343</v>
      </c>
      <c r="B1542" t="s">
        <v>4730</v>
      </c>
      <c r="C1542" t="s">
        <v>322</v>
      </c>
      <c r="D1542" t="s">
        <v>2241</v>
      </c>
      <c r="E1542" t="s">
        <v>2242</v>
      </c>
      <c r="F1542">
        <v>745966</v>
      </c>
      <c r="G1542">
        <v>218630</v>
      </c>
      <c r="H1542" s="32">
        <f t="shared" si="24"/>
        <v>3.4120020125325894</v>
      </c>
      <c r="I1542">
        <v>1</v>
      </c>
      <c r="J1542" t="s">
        <v>21</v>
      </c>
    </row>
    <row r="1543" spans="1:10" x14ac:dyDescent="0.25">
      <c r="A1543">
        <v>61881</v>
      </c>
      <c r="B1543" t="s">
        <v>4078</v>
      </c>
      <c r="C1543" t="s">
        <v>708</v>
      </c>
      <c r="D1543" t="s">
        <v>2241</v>
      </c>
      <c r="E1543" t="s">
        <v>2242</v>
      </c>
      <c r="F1543">
        <v>13532</v>
      </c>
      <c r="G1543">
        <v>3966</v>
      </c>
      <c r="H1543" s="32">
        <f t="shared" si="24"/>
        <v>3.4120020171457388</v>
      </c>
      <c r="I1543">
        <v>1</v>
      </c>
      <c r="J1543" t="s">
        <v>21</v>
      </c>
    </row>
    <row r="1544" spans="1:10" x14ac:dyDescent="0.25">
      <c r="A1544">
        <v>63029</v>
      </c>
      <c r="B1544" t="s">
        <v>4281</v>
      </c>
      <c r="C1544" t="s">
        <v>322</v>
      </c>
      <c r="D1544" t="s">
        <v>2241</v>
      </c>
      <c r="E1544" t="s">
        <v>2242</v>
      </c>
      <c r="F1544">
        <v>994544</v>
      </c>
      <c r="G1544">
        <v>291484</v>
      </c>
      <c r="H1544" s="32">
        <f t="shared" si="24"/>
        <v>3.4120020309862635</v>
      </c>
      <c r="I1544">
        <v>1</v>
      </c>
      <c r="J1544" t="s">
        <v>21</v>
      </c>
    </row>
    <row r="1545" spans="1:10" x14ac:dyDescent="0.25">
      <c r="A1545">
        <v>67165</v>
      </c>
      <c r="B1545" t="s">
        <v>5050</v>
      </c>
      <c r="C1545" t="s">
        <v>266</v>
      </c>
      <c r="D1545" t="s">
        <v>2241</v>
      </c>
      <c r="E1545" t="s">
        <v>2242</v>
      </c>
      <c r="F1545">
        <v>1063736</v>
      </c>
      <c r="G1545">
        <v>311763</v>
      </c>
      <c r="H1545" s="32">
        <f t="shared" si="24"/>
        <v>3.4120020656716803</v>
      </c>
      <c r="I1545">
        <v>1</v>
      </c>
      <c r="J1545" t="s">
        <v>21</v>
      </c>
    </row>
    <row r="1546" spans="1:10" x14ac:dyDescent="0.25">
      <c r="A1546">
        <v>61986</v>
      </c>
      <c r="B1546" t="s">
        <v>4094</v>
      </c>
      <c r="C1546" t="s">
        <v>201</v>
      </c>
      <c r="D1546" t="s">
        <v>2241</v>
      </c>
      <c r="E1546" t="s">
        <v>2242</v>
      </c>
      <c r="F1546">
        <v>628832</v>
      </c>
      <c r="G1546">
        <v>184300</v>
      </c>
      <c r="H1546" s="32">
        <f t="shared" si="24"/>
        <v>3.4120021703743895</v>
      </c>
      <c r="I1546">
        <v>1</v>
      </c>
      <c r="J1546" t="s">
        <v>21</v>
      </c>
    </row>
    <row r="1547" spans="1:10" x14ac:dyDescent="0.25">
      <c r="A1547">
        <v>65302</v>
      </c>
      <c r="B1547" t="s">
        <v>4710</v>
      </c>
      <c r="C1547" t="s">
        <v>322</v>
      </c>
      <c r="D1547" t="s">
        <v>2241</v>
      </c>
      <c r="E1547" t="s">
        <v>2242</v>
      </c>
      <c r="F1547">
        <v>353869</v>
      </c>
      <c r="G1547">
        <v>103713</v>
      </c>
      <c r="H1547" s="32">
        <f t="shared" si="24"/>
        <v>3.4120023526462449</v>
      </c>
      <c r="I1547">
        <v>1</v>
      </c>
      <c r="J1547" t="s">
        <v>21</v>
      </c>
    </row>
    <row r="1548" spans="1:10" x14ac:dyDescent="0.25">
      <c r="A1548">
        <v>64507</v>
      </c>
      <c r="B1548" t="s">
        <v>4590</v>
      </c>
      <c r="C1548" t="s">
        <v>2029</v>
      </c>
      <c r="D1548" t="s">
        <v>2241</v>
      </c>
      <c r="E1548" t="s">
        <v>2242</v>
      </c>
      <c r="F1548">
        <v>547118</v>
      </c>
      <c r="G1548">
        <v>160351</v>
      </c>
      <c r="H1548" s="32">
        <f t="shared" si="24"/>
        <v>3.4120024196918011</v>
      </c>
      <c r="I1548">
        <v>1</v>
      </c>
      <c r="J1548" t="s">
        <v>21</v>
      </c>
    </row>
    <row r="1549" spans="1:10" x14ac:dyDescent="0.25">
      <c r="A1549">
        <v>66104</v>
      </c>
      <c r="B1549" t="s">
        <v>4851</v>
      </c>
      <c r="C1549" t="s">
        <v>250</v>
      </c>
      <c r="D1549" t="s">
        <v>2241</v>
      </c>
      <c r="E1549" t="s">
        <v>2242</v>
      </c>
      <c r="F1549">
        <v>70045</v>
      </c>
      <c r="G1549">
        <v>20529</v>
      </c>
      <c r="H1549" s="32">
        <f t="shared" si="24"/>
        <v>3.4120025330020947</v>
      </c>
      <c r="I1549">
        <v>1</v>
      </c>
      <c r="J1549" t="s">
        <v>21</v>
      </c>
    </row>
    <row r="1550" spans="1:10" x14ac:dyDescent="0.25">
      <c r="A1550">
        <v>64192</v>
      </c>
      <c r="B1550" t="s">
        <v>4508</v>
      </c>
      <c r="C1550" t="s">
        <v>708</v>
      </c>
      <c r="D1550" t="s">
        <v>2241</v>
      </c>
      <c r="E1550" t="s">
        <v>2242</v>
      </c>
      <c r="F1550">
        <v>31213</v>
      </c>
      <c r="G1550">
        <v>9148</v>
      </c>
      <c r="H1550" s="32">
        <f t="shared" si="24"/>
        <v>3.4120026235242675</v>
      </c>
      <c r="I1550">
        <v>1</v>
      </c>
      <c r="J1550" t="s">
        <v>21</v>
      </c>
    </row>
    <row r="1551" spans="1:10" x14ac:dyDescent="0.25">
      <c r="A1551">
        <v>63807</v>
      </c>
      <c r="B1551" t="s">
        <v>4412</v>
      </c>
      <c r="C1551" t="s">
        <v>708</v>
      </c>
      <c r="D1551" t="s">
        <v>2241</v>
      </c>
      <c r="E1551" t="s">
        <v>2242</v>
      </c>
      <c r="F1551">
        <v>376204</v>
      </c>
      <c r="G1551">
        <v>110259</v>
      </c>
      <c r="H1551" s="32">
        <f t="shared" si="24"/>
        <v>3.4120026483098886</v>
      </c>
      <c r="I1551">
        <v>1</v>
      </c>
      <c r="J1551" t="s">
        <v>21</v>
      </c>
    </row>
    <row r="1552" spans="1:10" x14ac:dyDescent="0.25">
      <c r="A1552">
        <v>64553</v>
      </c>
      <c r="B1552" t="s">
        <v>4603</v>
      </c>
      <c r="C1552" t="s">
        <v>131</v>
      </c>
      <c r="D1552" t="s">
        <v>2241</v>
      </c>
      <c r="E1552" t="s">
        <v>2242</v>
      </c>
      <c r="F1552">
        <v>1330722</v>
      </c>
      <c r="G1552">
        <v>390012</v>
      </c>
      <c r="H1552" s="32">
        <f t="shared" si="24"/>
        <v>3.4120027076089965</v>
      </c>
      <c r="I1552">
        <v>1</v>
      </c>
      <c r="J1552" t="s">
        <v>21</v>
      </c>
    </row>
    <row r="1553" spans="1:10" x14ac:dyDescent="0.25">
      <c r="A1553">
        <v>62959</v>
      </c>
      <c r="B1553" t="s">
        <v>4267</v>
      </c>
      <c r="C1553" t="s">
        <v>201</v>
      </c>
      <c r="D1553" t="s">
        <v>2241</v>
      </c>
      <c r="E1553" t="s">
        <v>2242</v>
      </c>
      <c r="F1553">
        <v>264768</v>
      </c>
      <c r="G1553">
        <v>77599</v>
      </c>
      <c r="H1553" s="32">
        <f t="shared" si="24"/>
        <v>3.4120027319939692</v>
      </c>
      <c r="I1553">
        <v>1</v>
      </c>
      <c r="J1553" t="s">
        <v>21</v>
      </c>
    </row>
    <row r="1554" spans="1:10" x14ac:dyDescent="0.25">
      <c r="A1554">
        <v>59158</v>
      </c>
      <c r="B1554" t="s">
        <v>3399</v>
      </c>
      <c r="C1554" t="s">
        <v>708</v>
      </c>
      <c r="D1554" t="s">
        <v>2241</v>
      </c>
      <c r="E1554" t="s">
        <v>2242</v>
      </c>
      <c r="F1554">
        <v>27801</v>
      </c>
      <c r="G1554">
        <v>8148</v>
      </c>
      <c r="H1554" s="32">
        <f t="shared" si="24"/>
        <v>3.4120029455081</v>
      </c>
      <c r="I1554">
        <v>1</v>
      </c>
      <c r="J1554" t="s">
        <v>21</v>
      </c>
    </row>
    <row r="1555" spans="1:10" x14ac:dyDescent="0.25">
      <c r="A1555">
        <v>66198</v>
      </c>
      <c r="B1555" t="s">
        <v>4870</v>
      </c>
      <c r="C1555" t="s">
        <v>322</v>
      </c>
      <c r="D1555" t="s">
        <v>2241</v>
      </c>
      <c r="E1555" t="s">
        <v>2242</v>
      </c>
      <c r="F1555">
        <v>1299823</v>
      </c>
      <c r="G1555">
        <v>380956</v>
      </c>
      <c r="H1555" s="32">
        <f t="shared" si="24"/>
        <v>3.4120029609718707</v>
      </c>
      <c r="I1555">
        <v>1</v>
      </c>
      <c r="J1555" t="s">
        <v>21</v>
      </c>
    </row>
    <row r="1556" spans="1:10" x14ac:dyDescent="0.25">
      <c r="A1556">
        <v>67786</v>
      </c>
      <c r="B1556" t="s">
        <v>5167</v>
      </c>
      <c r="C1556" t="s">
        <v>166</v>
      </c>
      <c r="D1556" t="s">
        <v>2241</v>
      </c>
      <c r="E1556" t="s">
        <v>2242</v>
      </c>
      <c r="F1556">
        <v>851984</v>
      </c>
      <c r="G1556">
        <v>249702</v>
      </c>
      <c r="H1556" s="32">
        <f t="shared" si="24"/>
        <v>3.4120031077043835</v>
      </c>
      <c r="I1556">
        <v>1</v>
      </c>
      <c r="J1556" t="s">
        <v>21</v>
      </c>
    </row>
    <row r="1557" spans="1:10" x14ac:dyDescent="0.25">
      <c r="A1557">
        <v>60380</v>
      </c>
      <c r="B1557" t="s">
        <v>3752</v>
      </c>
      <c r="C1557" t="s">
        <v>708</v>
      </c>
      <c r="D1557" t="s">
        <v>2241</v>
      </c>
      <c r="E1557" t="s">
        <v>2242</v>
      </c>
      <c r="F1557">
        <v>442820</v>
      </c>
      <c r="G1557">
        <v>129783</v>
      </c>
      <c r="H1557" s="32">
        <f t="shared" si="24"/>
        <v>3.4120031128884367</v>
      </c>
      <c r="I1557">
        <v>1</v>
      </c>
      <c r="J1557" t="s">
        <v>21</v>
      </c>
    </row>
    <row r="1558" spans="1:10" x14ac:dyDescent="0.25">
      <c r="A1558">
        <v>66646</v>
      </c>
      <c r="B1558" t="s">
        <v>4937</v>
      </c>
      <c r="C1558" t="s">
        <v>266</v>
      </c>
      <c r="D1558" t="s">
        <v>2241</v>
      </c>
      <c r="E1558" t="s">
        <v>2242</v>
      </c>
      <c r="F1558">
        <v>719513</v>
      </c>
      <c r="G1558">
        <v>210877</v>
      </c>
      <c r="H1558" s="32">
        <f t="shared" si="24"/>
        <v>3.4120032056601715</v>
      </c>
      <c r="I1558">
        <v>1</v>
      </c>
      <c r="J1558" t="s">
        <v>21</v>
      </c>
    </row>
    <row r="1559" spans="1:10" x14ac:dyDescent="0.25">
      <c r="A1559">
        <v>62014</v>
      </c>
      <c r="B1559" t="s">
        <v>4099</v>
      </c>
      <c r="C1559" t="s">
        <v>201</v>
      </c>
      <c r="D1559" t="s">
        <v>2241</v>
      </c>
      <c r="E1559" t="s">
        <v>2242</v>
      </c>
      <c r="F1559">
        <v>978624</v>
      </c>
      <c r="G1559">
        <v>286818</v>
      </c>
      <c r="H1559" s="32">
        <f t="shared" si="24"/>
        <v>3.4120034307470242</v>
      </c>
      <c r="I1559">
        <v>1</v>
      </c>
      <c r="J1559" t="s">
        <v>21</v>
      </c>
    </row>
    <row r="1560" spans="1:10" x14ac:dyDescent="0.25">
      <c r="A1560">
        <v>65322</v>
      </c>
      <c r="B1560" t="s">
        <v>4722</v>
      </c>
      <c r="C1560" t="s">
        <v>201</v>
      </c>
      <c r="D1560" t="s">
        <v>2241</v>
      </c>
      <c r="E1560" t="s">
        <v>2242</v>
      </c>
      <c r="F1560">
        <v>1047352</v>
      </c>
      <c r="G1560">
        <v>306961</v>
      </c>
      <c r="H1560" s="32">
        <f t="shared" si="24"/>
        <v>3.4120034792693534</v>
      </c>
      <c r="I1560">
        <v>1</v>
      </c>
      <c r="J1560" t="s">
        <v>21</v>
      </c>
    </row>
    <row r="1561" spans="1:10" x14ac:dyDescent="0.25">
      <c r="A1561">
        <v>67103</v>
      </c>
      <c r="B1561" t="s">
        <v>5029</v>
      </c>
      <c r="C1561" t="s">
        <v>250</v>
      </c>
      <c r="D1561" t="s">
        <v>2241</v>
      </c>
      <c r="E1561" t="s">
        <v>2242</v>
      </c>
      <c r="F1561">
        <v>140363</v>
      </c>
      <c r="G1561">
        <v>41138</v>
      </c>
      <c r="H1561" s="32">
        <f t="shared" si="24"/>
        <v>3.4120035004132432</v>
      </c>
      <c r="I1561">
        <v>1</v>
      </c>
      <c r="J1561" t="s">
        <v>21</v>
      </c>
    </row>
    <row r="1562" spans="1:10" x14ac:dyDescent="0.25">
      <c r="A1562">
        <v>64683</v>
      </c>
      <c r="B1562" t="s">
        <v>4627</v>
      </c>
      <c r="C1562" t="s">
        <v>708</v>
      </c>
      <c r="D1562" t="s">
        <v>2241</v>
      </c>
      <c r="E1562" t="s">
        <v>2242</v>
      </c>
      <c r="F1562">
        <v>800961</v>
      </c>
      <c r="G1562">
        <v>234748</v>
      </c>
      <c r="H1562" s="32">
        <f t="shared" si="24"/>
        <v>3.4120035101470512</v>
      </c>
      <c r="I1562">
        <v>1</v>
      </c>
      <c r="J1562" t="s">
        <v>21</v>
      </c>
    </row>
    <row r="1563" spans="1:10" x14ac:dyDescent="0.25">
      <c r="A1563">
        <v>59148</v>
      </c>
      <c r="B1563" t="s">
        <v>3391</v>
      </c>
      <c r="C1563" t="s">
        <v>708</v>
      </c>
      <c r="D1563" t="s">
        <v>2241</v>
      </c>
      <c r="E1563" t="s">
        <v>2242</v>
      </c>
      <c r="F1563">
        <v>18476</v>
      </c>
      <c r="G1563">
        <v>5415</v>
      </c>
      <c r="H1563" s="32">
        <f t="shared" si="24"/>
        <v>3.4120036934441367</v>
      </c>
      <c r="I1563">
        <v>1</v>
      </c>
      <c r="J1563" t="s">
        <v>21</v>
      </c>
    </row>
    <row r="1564" spans="1:10" x14ac:dyDescent="0.25">
      <c r="A1564">
        <v>64247</v>
      </c>
      <c r="B1564" t="s">
        <v>4525</v>
      </c>
      <c r="C1564" t="s">
        <v>131</v>
      </c>
      <c r="D1564" t="s">
        <v>2241</v>
      </c>
      <c r="E1564" t="s">
        <v>2242</v>
      </c>
      <c r="F1564">
        <v>51221</v>
      </c>
      <c r="G1564">
        <v>15012</v>
      </c>
      <c r="H1564" s="32">
        <f t="shared" si="24"/>
        <v>3.412003730349054</v>
      </c>
      <c r="I1564">
        <v>1</v>
      </c>
      <c r="J1564" t="s">
        <v>21</v>
      </c>
    </row>
    <row r="1565" spans="1:10" x14ac:dyDescent="0.25">
      <c r="A1565">
        <v>63842</v>
      </c>
      <c r="B1565" t="s">
        <v>4427</v>
      </c>
      <c r="C1565" t="s">
        <v>708</v>
      </c>
      <c r="D1565" t="s">
        <v>2241</v>
      </c>
      <c r="E1565" t="s">
        <v>2242</v>
      </c>
      <c r="F1565">
        <v>467697</v>
      </c>
      <c r="G1565">
        <v>137074</v>
      </c>
      <c r="H1565" s="32">
        <f t="shared" si="24"/>
        <v>3.4120037352087196</v>
      </c>
      <c r="I1565">
        <v>1</v>
      </c>
      <c r="J1565" t="s">
        <v>21</v>
      </c>
    </row>
    <row r="1566" spans="1:10" x14ac:dyDescent="0.25">
      <c r="A1566">
        <v>61778</v>
      </c>
      <c r="B1566" t="s">
        <v>4060</v>
      </c>
      <c r="C1566" t="s">
        <v>708</v>
      </c>
      <c r="D1566" t="s">
        <v>2241</v>
      </c>
      <c r="E1566" t="s">
        <v>2242</v>
      </c>
      <c r="F1566">
        <v>122566</v>
      </c>
      <c r="G1566">
        <v>35922</v>
      </c>
      <c r="H1566" s="32">
        <f t="shared" si="24"/>
        <v>3.4120037859807359</v>
      </c>
      <c r="I1566">
        <v>1</v>
      </c>
      <c r="J1566" t="s">
        <v>21</v>
      </c>
    </row>
    <row r="1567" spans="1:10" x14ac:dyDescent="0.25">
      <c r="A1567">
        <v>66316</v>
      </c>
      <c r="B1567" t="s">
        <v>4879</v>
      </c>
      <c r="C1567" t="s">
        <v>201</v>
      </c>
      <c r="D1567" t="s">
        <v>2241</v>
      </c>
      <c r="E1567" t="s">
        <v>2242</v>
      </c>
      <c r="F1567">
        <v>406298</v>
      </c>
      <c r="G1567">
        <v>119079</v>
      </c>
      <c r="H1567" s="32">
        <f t="shared" si="24"/>
        <v>3.4120037957994271</v>
      </c>
      <c r="I1567">
        <v>1</v>
      </c>
      <c r="J1567" t="s">
        <v>21</v>
      </c>
    </row>
    <row r="1568" spans="1:10" x14ac:dyDescent="0.25">
      <c r="A1568">
        <v>65319</v>
      </c>
      <c r="B1568" t="s">
        <v>4719</v>
      </c>
      <c r="C1568" t="s">
        <v>201</v>
      </c>
      <c r="D1568" t="s">
        <v>2241</v>
      </c>
      <c r="E1568" t="s">
        <v>2242</v>
      </c>
      <c r="F1568">
        <v>643016</v>
      </c>
      <c r="G1568">
        <v>188457</v>
      </c>
      <c r="H1568" s="32">
        <f t="shared" si="24"/>
        <v>3.4120037992751664</v>
      </c>
      <c r="I1568">
        <v>1</v>
      </c>
      <c r="J1568" t="s">
        <v>21</v>
      </c>
    </row>
    <row r="1569" spans="1:10" x14ac:dyDescent="0.25">
      <c r="A1569">
        <v>60030</v>
      </c>
      <c r="B1569" t="s">
        <v>3654</v>
      </c>
      <c r="C1569" t="s">
        <v>708</v>
      </c>
      <c r="D1569" t="s">
        <v>2241</v>
      </c>
      <c r="E1569" t="s">
        <v>2242</v>
      </c>
      <c r="F1569">
        <v>521245</v>
      </c>
      <c r="G1569">
        <v>152768</v>
      </c>
      <c r="H1569" s="32">
        <f t="shared" si="24"/>
        <v>3.4120038227901133</v>
      </c>
      <c r="I1569">
        <v>1</v>
      </c>
      <c r="J1569" t="s">
        <v>21</v>
      </c>
    </row>
    <row r="1570" spans="1:10" x14ac:dyDescent="0.25">
      <c r="A1570">
        <v>64853</v>
      </c>
      <c r="B1570" t="s">
        <v>4653</v>
      </c>
      <c r="C1570" t="s">
        <v>322</v>
      </c>
      <c r="D1570" t="s">
        <v>2241</v>
      </c>
      <c r="E1570" t="s">
        <v>2242</v>
      </c>
      <c r="F1570">
        <v>685707</v>
      </c>
      <c r="G1570">
        <v>200969</v>
      </c>
      <c r="H1570" s="32">
        <f t="shared" si="24"/>
        <v>3.412003841388473</v>
      </c>
      <c r="I1570">
        <v>1</v>
      </c>
      <c r="J1570" t="s">
        <v>21</v>
      </c>
    </row>
    <row r="1571" spans="1:10" x14ac:dyDescent="0.25">
      <c r="A1571">
        <v>65320</v>
      </c>
      <c r="B1571" t="s">
        <v>4720</v>
      </c>
      <c r="C1571" t="s">
        <v>201</v>
      </c>
      <c r="D1571" t="s">
        <v>2241</v>
      </c>
      <c r="E1571" t="s">
        <v>2242</v>
      </c>
      <c r="F1571">
        <v>78053</v>
      </c>
      <c r="G1571">
        <v>22876</v>
      </c>
      <c r="H1571" s="32">
        <f t="shared" si="24"/>
        <v>3.412003846826368</v>
      </c>
      <c r="I1571">
        <v>1</v>
      </c>
      <c r="J1571" t="s">
        <v>21</v>
      </c>
    </row>
    <row r="1572" spans="1:10" x14ac:dyDescent="0.25">
      <c r="A1572">
        <v>69550</v>
      </c>
      <c r="B1572" t="s">
        <v>5376</v>
      </c>
      <c r="C1572" t="s">
        <v>322</v>
      </c>
      <c r="D1572" t="s">
        <v>2241</v>
      </c>
      <c r="E1572" t="s">
        <v>2242</v>
      </c>
      <c r="F1572">
        <v>566437</v>
      </c>
      <c r="G1572">
        <v>166013</v>
      </c>
      <c r="H1572" s="32">
        <f t="shared" si="24"/>
        <v>3.4120038792142786</v>
      </c>
      <c r="I1572">
        <v>1</v>
      </c>
      <c r="J1572" t="s">
        <v>21</v>
      </c>
    </row>
    <row r="1573" spans="1:10" x14ac:dyDescent="0.25">
      <c r="A1573">
        <v>62798</v>
      </c>
      <c r="B1573" t="s">
        <v>4237</v>
      </c>
      <c r="C1573" t="s">
        <v>708</v>
      </c>
      <c r="D1573" t="s">
        <v>2241</v>
      </c>
      <c r="E1573" t="s">
        <v>2242</v>
      </c>
      <c r="F1573">
        <v>727487</v>
      </c>
      <c r="G1573">
        <v>213214</v>
      </c>
      <c r="H1573" s="32">
        <f t="shared" si="24"/>
        <v>3.4120039021827835</v>
      </c>
      <c r="I1573">
        <v>1</v>
      </c>
      <c r="J1573" t="s">
        <v>21</v>
      </c>
    </row>
    <row r="1574" spans="1:10" x14ac:dyDescent="0.25">
      <c r="A1574">
        <v>66108</v>
      </c>
      <c r="B1574" t="s">
        <v>4854</v>
      </c>
      <c r="C1574" t="s">
        <v>250</v>
      </c>
      <c r="D1574" t="s">
        <v>2241</v>
      </c>
      <c r="E1574" t="s">
        <v>2242</v>
      </c>
      <c r="F1574">
        <v>128363</v>
      </c>
      <c r="G1574">
        <v>37621</v>
      </c>
      <c r="H1574" s="32">
        <f t="shared" si="24"/>
        <v>3.4120039339730468</v>
      </c>
      <c r="I1574">
        <v>1</v>
      </c>
      <c r="J1574" t="s">
        <v>21</v>
      </c>
    </row>
    <row r="1575" spans="1:10" x14ac:dyDescent="0.25">
      <c r="A1575">
        <v>67852</v>
      </c>
      <c r="B1575" t="s">
        <v>5188</v>
      </c>
      <c r="C1575" t="s">
        <v>131</v>
      </c>
      <c r="D1575" t="s">
        <v>2241</v>
      </c>
      <c r="E1575" t="s">
        <v>2242</v>
      </c>
      <c r="F1575">
        <v>1238769</v>
      </c>
      <c r="G1575">
        <v>363062</v>
      </c>
      <c r="H1575" s="32">
        <f t="shared" si="24"/>
        <v>3.4120040103343232</v>
      </c>
      <c r="I1575">
        <v>1</v>
      </c>
      <c r="J1575" t="s">
        <v>21</v>
      </c>
    </row>
    <row r="1576" spans="1:10" x14ac:dyDescent="0.25">
      <c r="A1576">
        <v>58848</v>
      </c>
      <c r="B1576" t="s">
        <v>3306</v>
      </c>
      <c r="C1576" t="s">
        <v>708</v>
      </c>
      <c r="D1576" t="s">
        <v>2241</v>
      </c>
      <c r="E1576" t="s">
        <v>2242</v>
      </c>
      <c r="F1576">
        <v>359789</v>
      </c>
      <c r="G1576">
        <v>105448</v>
      </c>
      <c r="H1576" s="32">
        <f t="shared" si="24"/>
        <v>3.4120040209392308</v>
      </c>
      <c r="I1576">
        <v>1</v>
      </c>
      <c r="J1576" t="s">
        <v>21</v>
      </c>
    </row>
    <row r="1577" spans="1:10" x14ac:dyDescent="0.25">
      <c r="A1577">
        <v>65702</v>
      </c>
      <c r="B1577" t="s">
        <v>4793</v>
      </c>
      <c r="C1577" t="s">
        <v>131</v>
      </c>
      <c r="D1577" t="s">
        <v>2241</v>
      </c>
      <c r="E1577" t="s">
        <v>2242</v>
      </c>
      <c r="F1577">
        <v>1292938</v>
      </c>
      <c r="G1577">
        <v>378938</v>
      </c>
      <c r="H1577" s="32">
        <f t="shared" si="24"/>
        <v>3.4120040745451763</v>
      </c>
      <c r="I1577">
        <v>1</v>
      </c>
      <c r="J1577" t="s">
        <v>21</v>
      </c>
    </row>
    <row r="1578" spans="1:10" x14ac:dyDescent="0.25">
      <c r="A1578">
        <v>67682</v>
      </c>
      <c r="B1578" t="s">
        <v>5139</v>
      </c>
      <c r="C1578" t="s">
        <v>166</v>
      </c>
      <c r="D1578" t="s">
        <v>2241</v>
      </c>
      <c r="E1578" t="s">
        <v>2242</v>
      </c>
      <c r="F1578">
        <v>12563</v>
      </c>
      <c r="G1578">
        <v>3682</v>
      </c>
      <c r="H1578" s="32">
        <f t="shared" si="24"/>
        <v>3.4120043454644216</v>
      </c>
      <c r="I1578">
        <v>1</v>
      </c>
      <c r="J1578" t="s">
        <v>21</v>
      </c>
    </row>
    <row r="1579" spans="1:10" x14ac:dyDescent="0.25">
      <c r="A1579">
        <v>64508</v>
      </c>
      <c r="B1579" t="s">
        <v>4591</v>
      </c>
      <c r="C1579" t="s">
        <v>708</v>
      </c>
      <c r="D1579" t="s">
        <v>2241</v>
      </c>
      <c r="E1579" t="s">
        <v>2242</v>
      </c>
      <c r="F1579">
        <v>11710</v>
      </c>
      <c r="G1579">
        <v>3432</v>
      </c>
      <c r="H1579" s="32">
        <f t="shared" si="24"/>
        <v>3.4120046620046618</v>
      </c>
      <c r="I1579">
        <v>1</v>
      </c>
      <c r="J1579" t="s">
        <v>21</v>
      </c>
    </row>
    <row r="1580" spans="1:10" x14ac:dyDescent="0.25">
      <c r="A1580">
        <v>59171</v>
      </c>
      <c r="B1580" t="s">
        <v>3405</v>
      </c>
      <c r="C1580" t="s">
        <v>708</v>
      </c>
      <c r="D1580" t="s">
        <v>2241</v>
      </c>
      <c r="E1580" t="s">
        <v>2242</v>
      </c>
      <c r="F1580">
        <v>31776</v>
      </c>
      <c r="G1580">
        <v>9313</v>
      </c>
      <c r="H1580" s="32">
        <f t="shared" si="24"/>
        <v>3.4120047245785461</v>
      </c>
      <c r="I1580">
        <v>1</v>
      </c>
      <c r="J1580" t="s">
        <v>21</v>
      </c>
    </row>
    <row r="1581" spans="1:10" x14ac:dyDescent="0.25">
      <c r="A1581">
        <v>63383</v>
      </c>
      <c r="B1581" t="s">
        <v>4340</v>
      </c>
      <c r="C1581" t="s">
        <v>708</v>
      </c>
      <c r="D1581" t="s">
        <v>2241</v>
      </c>
      <c r="E1581" t="s">
        <v>2242</v>
      </c>
      <c r="F1581">
        <v>21714</v>
      </c>
      <c r="G1581">
        <v>6364</v>
      </c>
      <c r="H1581" s="32">
        <f t="shared" si="24"/>
        <v>3.4120050282840979</v>
      </c>
      <c r="I1581">
        <v>1</v>
      </c>
      <c r="J1581" t="s">
        <v>21</v>
      </c>
    </row>
    <row r="1582" spans="1:10" x14ac:dyDescent="0.25">
      <c r="A1582">
        <v>61512</v>
      </c>
      <c r="B1582" t="s">
        <v>4025</v>
      </c>
      <c r="C1582" t="s">
        <v>708</v>
      </c>
      <c r="D1582" t="s">
        <v>2241</v>
      </c>
      <c r="E1582" t="s">
        <v>2242</v>
      </c>
      <c r="F1582">
        <v>345370</v>
      </c>
      <c r="G1582">
        <v>101222</v>
      </c>
      <c r="H1582" s="32">
        <f t="shared" si="24"/>
        <v>3.4120052952915376</v>
      </c>
      <c r="I1582">
        <v>1</v>
      </c>
      <c r="J1582" t="s">
        <v>21</v>
      </c>
    </row>
    <row r="1583" spans="1:10" x14ac:dyDescent="0.25">
      <c r="A1583">
        <v>61158</v>
      </c>
      <c r="B1583" t="s">
        <v>3951</v>
      </c>
      <c r="C1583" t="s">
        <v>708</v>
      </c>
      <c r="D1583" t="s">
        <v>2241</v>
      </c>
      <c r="E1583" t="s">
        <v>2242</v>
      </c>
      <c r="F1583">
        <v>30012</v>
      </c>
      <c r="G1583">
        <v>8796</v>
      </c>
      <c r="H1583" s="32">
        <f t="shared" si="24"/>
        <v>3.4120054570259208</v>
      </c>
      <c r="I1583">
        <v>1</v>
      </c>
      <c r="J1583" t="s">
        <v>21</v>
      </c>
    </row>
    <row r="1584" spans="1:10" x14ac:dyDescent="0.25">
      <c r="A1584">
        <v>64043</v>
      </c>
      <c r="B1584" t="s">
        <v>4478</v>
      </c>
      <c r="C1584" t="s">
        <v>166</v>
      </c>
      <c r="D1584" t="s">
        <v>2241</v>
      </c>
      <c r="E1584" t="s">
        <v>2242</v>
      </c>
      <c r="F1584">
        <v>15006</v>
      </c>
      <c r="G1584">
        <v>4398</v>
      </c>
      <c r="H1584" s="32">
        <f t="shared" si="24"/>
        <v>3.4120054570259208</v>
      </c>
      <c r="I1584">
        <v>1</v>
      </c>
      <c r="J1584" t="s">
        <v>21</v>
      </c>
    </row>
    <row r="1585" spans="1:10" x14ac:dyDescent="0.25">
      <c r="A1585">
        <v>64463</v>
      </c>
      <c r="B1585" t="s">
        <v>4574</v>
      </c>
      <c r="C1585" t="s">
        <v>250</v>
      </c>
      <c r="D1585" t="s">
        <v>2241</v>
      </c>
      <c r="E1585" t="s">
        <v>2242</v>
      </c>
      <c r="F1585">
        <v>12505</v>
      </c>
      <c r="G1585">
        <v>3665</v>
      </c>
      <c r="H1585" s="32">
        <f t="shared" si="24"/>
        <v>3.4120054570259208</v>
      </c>
      <c r="I1585">
        <v>1</v>
      </c>
      <c r="J1585" t="s">
        <v>21</v>
      </c>
    </row>
    <row r="1586" spans="1:10" x14ac:dyDescent="0.25">
      <c r="A1586">
        <v>62420</v>
      </c>
      <c r="B1586" t="s">
        <v>4156</v>
      </c>
      <c r="C1586" t="s">
        <v>166</v>
      </c>
      <c r="D1586" t="s">
        <v>2241</v>
      </c>
      <c r="E1586" t="s">
        <v>2242</v>
      </c>
      <c r="F1586">
        <v>751890</v>
      </c>
      <c r="G1586">
        <v>220366</v>
      </c>
      <c r="H1586" s="32">
        <f t="shared" si="24"/>
        <v>3.4120054817893868</v>
      </c>
      <c r="I1586">
        <v>1</v>
      </c>
      <c r="J1586" t="s">
        <v>21</v>
      </c>
    </row>
    <row r="1587" spans="1:10" x14ac:dyDescent="0.25">
      <c r="A1587">
        <v>66103</v>
      </c>
      <c r="B1587" t="s">
        <v>4850</v>
      </c>
      <c r="C1587" t="s">
        <v>250</v>
      </c>
      <c r="D1587" t="s">
        <v>2241</v>
      </c>
      <c r="E1587" t="s">
        <v>2242</v>
      </c>
      <c r="F1587">
        <v>125845</v>
      </c>
      <c r="G1587">
        <v>36883</v>
      </c>
      <c r="H1587" s="32">
        <f t="shared" si="24"/>
        <v>3.4120055310034432</v>
      </c>
      <c r="I1587">
        <v>1</v>
      </c>
      <c r="J1587" t="s">
        <v>21</v>
      </c>
    </row>
    <row r="1588" spans="1:10" x14ac:dyDescent="0.25">
      <c r="A1588">
        <v>65031</v>
      </c>
      <c r="B1588" t="s">
        <v>4674</v>
      </c>
      <c r="C1588" t="s">
        <v>131</v>
      </c>
      <c r="D1588" t="s">
        <v>2241</v>
      </c>
      <c r="E1588" t="s">
        <v>2242</v>
      </c>
      <c r="F1588">
        <v>872385</v>
      </c>
      <c r="G1588">
        <v>255681</v>
      </c>
      <c r="H1588" s="32">
        <f t="shared" si="24"/>
        <v>3.4120055850845388</v>
      </c>
      <c r="I1588">
        <v>1</v>
      </c>
      <c r="J1588" t="s">
        <v>21</v>
      </c>
    </row>
    <row r="1589" spans="1:10" x14ac:dyDescent="0.25">
      <c r="A1589">
        <v>66996</v>
      </c>
      <c r="B1589" t="s">
        <v>5001</v>
      </c>
      <c r="C1589" t="s">
        <v>201</v>
      </c>
      <c r="D1589" t="s">
        <v>2241</v>
      </c>
      <c r="E1589" t="s">
        <v>2242</v>
      </c>
      <c r="F1589">
        <v>34161</v>
      </c>
      <c r="G1589">
        <v>10012</v>
      </c>
      <c r="H1589" s="32">
        <f t="shared" si="24"/>
        <v>3.4120055932880544</v>
      </c>
      <c r="I1589">
        <v>1</v>
      </c>
      <c r="J1589" t="s">
        <v>21</v>
      </c>
    </row>
    <row r="1590" spans="1:10" x14ac:dyDescent="0.25">
      <c r="A1590">
        <v>58343</v>
      </c>
      <c r="B1590" t="s">
        <v>3166</v>
      </c>
      <c r="C1590" t="s">
        <v>708</v>
      </c>
      <c r="D1590" t="s">
        <v>2241</v>
      </c>
      <c r="E1590" t="s">
        <v>2242</v>
      </c>
      <c r="F1590">
        <v>24157</v>
      </c>
      <c r="G1590">
        <v>7080</v>
      </c>
      <c r="H1590" s="32">
        <f t="shared" si="24"/>
        <v>3.4120056497175142</v>
      </c>
      <c r="I1590">
        <v>1</v>
      </c>
      <c r="J1590" t="s">
        <v>21</v>
      </c>
    </row>
    <row r="1591" spans="1:10" x14ac:dyDescent="0.25">
      <c r="A1591">
        <v>67675</v>
      </c>
      <c r="B1591" t="s">
        <v>5136</v>
      </c>
      <c r="C1591" t="s">
        <v>143</v>
      </c>
      <c r="D1591" t="s">
        <v>2241</v>
      </c>
      <c r="E1591" t="s">
        <v>2242</v>
      </c>
      <c r="F1591">
        <v>105779</v>
      </c>
      <c r="G1591">
        <v>31002</v>
      </c>
      <c r="H1591" s="32">
        <f t="shared" si="24"/>
        <v>3.4120056770530933</v>
      </c>
      <c r="I1591">
        <v>1</v>
      </c>
      <c r="J1591" t="s">
        <v>21</v>
      </c>
    </row>
    <row r="1592" spans="1:10" x14ac:dyDescent="0.25">
      <c r="A1592">
        <v>60915</v>
      </c>
      <c r="B1592" t="s">
        <v>3900</v>
      </c>
      <c r="C1592" t="s">
        <v>201</v>
      </c>
      <c r="D1592" t="s">
        <v>2241</v>
      </c>
      <c r="E1592" t="s">
        <v>2242</v>
      </c>
      <c r="F1592">
        <v>107427</v>
      </c>
      <c r="G1592">
        <v>31485</v>
      </c>
      <c r="H1592" s="32">
        <f t="shared" si="24"/>
        <v>3.4120057170080993</v>
      </c>
      <c r="I1592">
        <v>1</v>
      </c>
      <c r="J1592" t="s">
        <v>21</v>
      </c>
    </row>
    <row r="1593" spans="1:10" x14ac:dyDescent="0.25">
      <c r="A1593">
        <v>59518</v>
      </c>
      <c r="B1593" t="s">
        <v>3494</v>
      </c>
      <c r="C1593" t="s">
        <v>708</v>
      </c>
      <c r="D1593" t="s">
        <v>2241</v>
      </c>
      <c r="E1593" t="s">
        <v>2242</v>
      </c>
      <c r="F1593">
        <v>84802</v>
      </c>
      <c r="G1593">
        <v>24854</v>
      </c>
      <c r="H1593" s="32">
        <f t="shared" si="24"/>
        <v>3.4120061157157799</v>
      </c>
      <c r="I1593">
        <v>1</v>
      </c>
      <c r="J1593" t="s">
        <v>21</v>
      </c>
    </row>
    <row r="1594" spans="1:10" x14ac:dyDescent="0.25">
      <c r="A1594">
        <v>66632</v>
      </c>
      <c r="B1594" t="s">
        <v>4932</v>
      </c>
      <c r="C1594" t="s">
        <v>166</v>
      </c>
      <c r="D1594" t="s">
        <v>2241</v>
      </c>
      <c r="E1594" t="s">
        <v>2242</v>
      </c>
      <c r="F1594">
        <v>347216</v>
      </c>
      <c r="G1594">
        <v>101763</v>
      </c>
      <c r="H1594" s="32">
        <f t="shared" si="24"/>
        <v>3.4120063284297828</v>
      </c>
      <c r="I1594">
        <v>1</v>
      </c>
      <c r="J1594" t="s">
        <v>21</v>
      </c>
    </row>
    <row r="1595" spans="1:10" x14ac:dyDescent="0.25">
      <c r="A1595">
        <v>64097</v>
      </c>
      <c r="B1595" t="s">
        <v>4486</v>
      </c>
      <c r="C1595" t="s">
        <v>250</v>
      </c>
      <c r="D1595" t="s">
        <v>2241</v>
      </c>
      <c r="E1595" t="s">
        <v>2242</v>
      </c>
      <c r="F1595">
        <v>81332</v>
      </c>
      <c r="G1595">
        <v>23837</v>
      </c>
      <c r="H1595" s="32">
        <f t="shared" si="24"/>
        <v>3.4120065444477072</v>
      </c>
      <c r="I1595">
        <v>1</v>
      </c>
      <c r="J1595" t="s">
        <v>21</v>
      </c>
    </row>
    <row r="1596" spans="1:10" x14ac:dyDescent="0.25">
      <c r="A1596">
        <v>61608</v>
      </c>
      <c r="B1596" t="s">
        <v>4042</v>
      </c>
      <c r="C1596" t="s">
        <v>307</v>
      </c>
      <c r="D1596" t="s">
        <v>2241</v>
      </c>
      <c r="E1596" t="s">
        <v>2242</v>
      </c>
      <c r="F1596">
        <v>8298</v>
      </c>
      <c r="G1596">
        <v>2432</v>
      </c>
      <c r="H1596" s="32">
        <f t="shared" si="24"/>
        <v>3.4120065789473686</v>
      </c>
      <c r="I1596">
        <v>1</v>
      </c>
      <c r="J1596" t="s">
        <v>21</v>
      </c>
    </row>
    <row r="1597" spans="1:10" x14ac:dyDescent="0.25">
      <c r="A1597">
        <v>68774</v>
      </c>
      <c r="B1597" t="s">
        <v>5260</v>
      </c>
      <c r="C1597" t="s">
        <v>201</v>
      </c>
      <c r="D1597" t="s">
        <v>2241</v>
      </c>
      <c r="E1597" t="s">
        <v>2242</v>
      </c>
      <c r="F1597">
        <v>449392</v>
      </c>
      <c r="G1597">
        <v>131709</v>
      </c>
      <c r="H1597" s="32">
        <f t="shared" si="24"/>
        <v>3.412006772506055</v>
      </c>
      <c r="I1597">
        <v>1</v>
      </c>
      <c r="J1597" t="s">
        <v>21</v>
      </c>
    </row>
    <row r="1598" spans="1:10" x14ac:dyDescent="0.25">
      <c r="A1598">
        <v>58334</v>
      </c>
      <c r="B1598" t="s">
        <v>3157</v>
      </c>
      <c r="C1598" t="s">
        <v>708</v>
      </c>
      <c r="D1598" t="s">
        <v>2241</v>
      </c>
      <c r="E1598" t="s">
        <v>2242</v>
      </c>
      <c r="F1598">
        <v>27337</v>
      </c>
      <c r="G1598">
        <v>8012</v>
      </c>
      <c r="H1598" s="32">
        <f t="shared" si="24"/>
        <v>3.4120069895157266</v>
      </c>
      <c r="I1598">
        <v>1</v>
      </c>
      <c r="J1598" t="s">
        <v>21</v>
      </c>
    </row>
    <row r="1599" spans="1:10" x14ac:dyDescent="0.25">
      <c r="A1599">
        <v>64169</v>
      </c>
      <c r="B1599" t="s">
        <v>4502</v>
      </c>
      <c r="C1599" t="s">
        <v>708</v>
      </c>
      <c r="D1599" t="s">
        <v>2241</v>
      </c>
      <c r="E1599" t="s">
        <v>2242</v>
      </c>
      <c r="F1599">
        <v>773386</v>
      </c>
      <c r="G1599">
        <v>226666</v>
      </c>
      <c r="H1599" s="32">
        <f t="shared" si="24"/>
        <v>3.4120070941385121</v>
      </c>
      <c r="I1599">
        <v>1</v>
      </c>
      <c r="J1599" t="s">
        <v>21</v>
      </c>
    </row>
    <row r="1600" spans="1:10" x14ac:dyDescent="0.25">
      <c r="A1600">
        <v>67872</v>
      </c>
      <c r="B1600" t="s">
        <v>5189</v>
      </c>
      <c r="C1600" t="s">
        <v>131</v>
      </c>
      <c r="D1600" t="s">
        <v>2241</v>
      </c>
      <c r="E1600" t="s">
        <v>2242</v>
      </c>
      <c r="F1600">
        <v>160494</v>
      </c>
      <c r="G1600">
        <v>47038</v>
      </c>
      <c r="H1600" s="32">
        <f t="shared" si="24"/>
        <v>3.4120073132361068</v>
      </c>
      <c r="I1600">
        <v>1</v>
      </c>
      <c r="J1600" t="s">
        <v>21</v>
      </c>
    </row>
    <row r="1601" spans="1:10" x14ac:dyDescent="0.25">
      <c r="A1601">
        <v>60578</v>
      </c>
      <c r="B1601" t="s">
        <v>3805</v>
      </c>
      <c r="C1601" t="s">
        <v>708</v>
      </c>
      <c r="D1601" t="s">
        <v>2241</v>
      </c>
      <c r="E1601" t="s">
        <v>2242</v>
      </c>
      <c r="F1601">
        <v>29780</v>
      </c>
      <c r="G1601">
        <v>8728</v>
      </c>
      <c r="H1601" s="32">
        <f t="shared" si="24"/>
        <v>3.4120073327222733</v>
      </c>
      <c r="I1601">
        <v>1</v>
      </c>
      <c r="J1601" t="s">
        <v>21</v>
      </c>
    </row>
    <row r="1602" spans="1:10" x14ac:dyDescent="0.25">
      <c r="A1602">
        <v>65999</v>
      </c>
      <c r="B1602" t="s">
        <v>4828</v>
      </c>
      <c r="C1602" t="s">
        <v>143</v>
      </c>
      <c r="D1602" t="s">
        <v>2241</v>
      </c>
      <c r="E1602" t="s">
        <v>2242</v>
      </c>
      <c r="F1602">
        <v>401003</v>
      </c>
      <c r="G1602">
        <v>117527</v>
      </c>
      <c r="H1602" s="32">
        <f t="shared" ref="H1602:H1665" si="25">IF(AND(F1602&gt;0,G1602&gt;0),F1602/G1602,"")</f>
        <v>3.4120074536064053</v>
      </c>
      <c r="I1602">
        <v>1</v>
      </c>
      <c r="J1602" t="s">
        <v>21</v>
      </c>
    </row>
    <row r="1603" spans="1:10" x14ac:dyDescent="0.25">
      <c r="A1603">
        <v>67166</v>
      </c>
      <c r="B1603" t="s">
        <v>5051</v>
      </c>
      <c r="C1603" t="s">
        <v>322</v>
      </c>
      <c r="D1603" t="s">
        <v>2241</v>
      </c>
      <c r="E1603" t="s">
        <v>2242</v>
      </c>
      <c r="F1603">
        <v>303423</v>
      </c>
      <c r="G1603">
        <v>88928</v>
      </c>
      <c r="H1603" s="32">
        <f t="shared" si="25"/>
        <v>3.4120074667146456</v>
      </c>
      <c r="I1603">
        <v>1</v>
      </c>
      <c r="J1603" t="s">
        <v>21</v>
      </c>
    </row>
    <row r="1604" spans="1:10" x14ac:dyDescent="0.25">
      <c r="A1604">
        <v>65583</v>
      </c>
      <c r="B1604" t="s">
        <v>4776</v>
      </c>
      <c r="C1604" t="s">
        <v>708</v>
      </c>
      <c r="D1604" t="s">
        <v>2241</v>
      </c>
      <c r="E1604" t="s">
        <v>2242</v>
      </c>
      <c r="F1604">
        <v>10741</v>
      </c>
      <c r="G1604">
        <v>3148</v>
      </c>
      <c r="H1604" s="32">
        <f t="shared" si="25"/>
        <v>3.4120076238881829</v>
      </c>
      <c r="I1604">
        <v>1</v>
      </c>
      <c r="J1604" t="s">
        <v>21</v>
      </c>
    </row>
    <row r="1605" spans="1:10" x14ac:dyDescent="0.25">
      <c r="A1605">
        <v>63877</v>
      </c>
      <c r="B1605" t="s">
        <v>4431</v>
      </c>
      <c r="C1605" t="s">
        <v>322</v>
      </c>
      <c r="D1605" t="s">
        <v>2241</v>
      </c>
      <c r="E1605" t="s">
        <v>2242</v>
      </c>
      <c r="F1605">
        <v>951568</v>
      </c>
      <c r="G1605">
        <v>278888</v>
      </c>
      <c r="H1605" s="32">
        <f t="shared" si="25"/>
        <v>3.4120076876739049</v>
      </c>
      <c r="I1605">
        <v>1</v>
      </c>
      <c r="J1605" t="s">
        <v>21</v>
      </c>
    </row>
    <row r="1606" spans="1:10" x14ac:dyDescent="0.25">
      <c r="A1606">
        <v>64144</v>
      </c>
      <c r="B1606" t="s">
        <v>4498</v>
      </c>
      <c r="C1606" t="s">
        <v>708</v>
      </c>
      <c r="D1606" t="s">
        <v>2241</v>
      </c>
      <c r="E1606" t="s">
        <v>2242</v>
      </c>
      <c r="F1606">
        <v>591376</v>
      </c>
      <c r="G1606">
        <v>173322</v>
      </c>
      <c r="H1606" s="32">
        <f t="shared" si="25"/>
        <v>3.4120077081963052</v>
      </c>
      <c r="I1606">
        <v>1</v>
      </c>
      <c r="J1606" t="s">
        <v>21</v>
      </c>
    </row>
    <row r="1607" spans="1:10" x14ac:dyDescent="0.25">
      <c r="A1607">
        <v>63910</v>
      </c>
      <c r="B1607" t="s">
        <v>4438</v>
      </c>
      <c r="C1607" t="s">
        <v>307</v>
      </c>
      <c r="D1607" t="s">
        <v>2241</v>
      </c>
      <c r="E1607" t="s">
        <v>2242</v>
      </c>
      <c r="F1607">
        <v>253345</v>
      </c>
      <c r="G1607">
        <v>74251</v>
      </c>
      <c r="H1607" s="32">
        <f t="shared" si="25"/>
        <v>3.4120079190852648</v>
      </c>
      <c r="I1607">
        <v>1</v>
      </c>
      <c r="J1607" t="s">
        <v>21</v>
      </c>
    </row>
    <row r="1608" spans="1:10" x14ac:dyDescent="0.25">
      <c r="A1608">
        <v>64637</v>
      </c>
      <c r="B1608" t="s">
        <v>4615</v>
      </c>
      <c r="C1608" t="s">
        <v>166</v>
      </c>
      <c r="D1608" t="s">
        <v>2241</v>
      </c>
      <c r="E1608" t="s">
        <v>2242</v>
      </c>
      <c r="F1608">
        <v>1073817</v>
      </c>
      <c r="G1608">
        <v>314717</v>
      </c>
      <c r="H1608" s="32">
        <f t="shared" si="25"/>
        <v>3.4120082486805607</v>
      </c>
      <c r="I1608">
        <v>1</v>
      </c>
      <c r="J1608" t="s">
        <v>21</v>
      </c>
    </row>
    <row r="1609" spans="1:10" x14ac:dyDescent="0.25">
      <c r="A1609">
        <v>58408</v>
      </c>
      <c r="B1609" t="s">
        <v>3189</v>
      </c>
      <c r="C1609" t="s">
        <v>307</v>
      </c>
      <c r="D1609" t="s">
        <v>2241</v>
      </c>
      <c r="E1609" t="s">
        <v>2242</v>
      </c>
      <c r="F1609">
        <v>88876</v>
      </c>
      <c r="G1609">
        <v>26048</v>
      </c>
      <c r="H1609" s="32">
        <f t="shared" si="25"/>
        <v>3.4120085995085994</v>
      </c>
      <c r="I1609">
        <v>1</v>
      </c>
      <c r="J1609" t="s">
        <v>21</v>
      </c>
    </row>
    <row r="1610" spans="1:10" x14ac:dyDescent="0.25">
      <c r="A1610">
        <v>64535</v>
      </c>
      <c r="B1610" t="s">
        <v>4602</v>
      </c>
      <c r="C1610" t="s">
        <v>708</v>
      </c>
      <c r="D1610" t="s">
        <v>2241</v>
      </c>
      <c r="E1610" t="s">
        <v>2242</v>
      </c>
      <c r="F1610">
        <v>153885</v>
      </c>
      <c r="G1610">
        <v>45101</v>
      </c>
      <c r="H1610" s="32">
        <f t="shared" si="25"/>
        <v>3.4120086029134611</v>
      </c>
      <c r="I1610">
        <v>1</v>
      </c>
      <c r="J1610" t="s">
        <v>21</v>
      </c>
    </row>
    <row r="1611" spans="1:10" x14ac:dyDescent="0.25">
      <c r="A1611">
        <v>63549</v>
      </c>
      <c r="B1611" t="s">
        <v>4374</v>
      </c>
      <c r="C1611" t="s">
        <v>201</v>
      </c>
      <c r="D1611" t="s">
        <v>2241</v>
      </c>
      <c r="E1611" t="s">
        <v>2242</v>
      </c>
      <c r="F1611">
        <v>555980</v>
      </c>
      <c r="G1611">
        <v>162948</v>
      </c>
      <c r="H1611" s="32">
        <f t="shared" si="25"/>
        <v>3.4120087389842157</v>
      </c>
      <c r="I1611">
        <v>1</v>
      </c>
      <c r="J1611" t="s">
        <v>21</v>
      </c>
    </row>
    <row r="1612" spans="1:10" x14ac:dyDescent="0.25">
      <c r="A1612">
        <v>58364</v>
      </c>
      <c r="B1612" t="s">
        <v>3181</v>
      </c>
      <c r="C1612" t="s">
        <v>241</v>
      </c>
      <c r="D1612" t="s">
        <v>2241</v>
      </c>
      <c r="E1612" t="s">
        <v>2242</v>
      </c>
      <c r="F1612">
        <v>12331</v>
      </c>
      <c r="G1612">
        <v>3614</v>
      </c>
      <c r="H1612" s="32">
        <f t="shared" si="25"/>
        <v>3.4120088544548977</v>
      </c>
      <c r="I1612">
        <v>1</v>
      </c>
      <c r="J1612" t="s">
        <v>21</v>
      </c>
    </row>
    <row r="1613" spans="1:10" x14ac:dyDescent="0.25">
      <c r="A1613">
        <v>63812</v>
      </c>
      <c r="B1613" t="s">
        <v>4414</v>
      </c>
      <c r="C1613" t="s">
        <v>708</v>
      </c>
      <c r="D1613" t="s">
        <v>2241</v>
      </c>
      <c r="E1613" t="s">
        <v>2242</v>
      </c>
      <c r="F1613">
        <v>307132</v>
      </c>
      <c r="G1613">
        <v>90015</v>
      </c>
      <c r="H1613" s="32">
        <f t="shared" si="25"/>
        <v>3.4120091095928458</v>
      </c>
      <c r="I1613">
        <v>1</v>
      </c>
      <c r="J1613" t="s">
        <v>21</v>
      </c>
    </row>
    <row r="1614" spans="1:10" x14ac:dyDescent="0.25">
      <c r="A1614">
        <v>62422</v>
      </c>
      <c r="B1614" t="s">
        <v>4157</v>
      </c>
      <c r="C1614" t="s">
        <v>250</v>
      </c>
      <c r="D1614" t="s">
        <v>2241</v>
      </c>
      <c r="E1614" t="s">
        <v>2242</v>
      </c>
      <c r="F1614">
        <v>340655</v>
      </c>
      <c r="G1614">
        <v>99840</v>
      </c>
      <c r="H1614" s="32">
        <f t="shared" si="25"/>
        <v>3.4120092147435899</v>
      </c>
      <c r="I1614">
        <v>1</v>
      </c>
      <c r="J1614" t="s">
        <v>21</v>
      </c>
    </row>
    <row r="1615" spans="1:10" x14ac:dyDescent="0.25">
      <c r="A1615">
        <v>60020</v>
      </c>
      <c r="B1615" t="s">
        <v>3652</v>
      </c>
      <c r="C1615" t="s">
        <v>708</v>
      </c>
      <c r="D1615" t="s">
        <v>2241</v>
      </c>
      <c r="E1615" t="s">
        <v>2242</v>
      </c>
      <c r="F1615">
        <v>35287</v>
      </c>
      <c r="G1615">
        <v>10342</v>
      </c>
      <c r="H1615" s="32">
        <f t="shared" si="25"/>
        <v>3.4120092825372268</v>
      </c>
      <c r="I1615">
        <v>1</v>
      </c>
      <c r="J1615" t="s">
        <v>21</v>
      </c>
    </row>
    <row r="1616" spans="1:10" x14ac:dyDescent="0.25">
      <c r="A1616">
        <v>61908</v>
      </c>
      <c r="B1616" t="s">
        <v>4084</v>
      </c>
      <c r="C1616" t="s">
        <v>201</v>
      </c>
      <c r="D1616" t="s">
        <v>2241</v>
      </c>
      <c r="E1616" t="s">
        <v>2242</v>
      </c>
      <c r="F1616">
        <v>108304</v>
      </c>
      <c r="G1616">
        <v>31742</v>
      </c>
      <c r="H1616" s="32">
        <f t="shared" si="25"/>
        <v>3.4120093251842984</v>
      </c>
      <c r="I1616">
        <v>1</v>
      </c>
      <c r="J1616" t="s">
        <v>21</v>
      </c>
    </row>
    <row r="1617" spans="1:10" x14ac:dyDescent="0.25">
      <c r="A1617">
        <v>58040</v>
      </c>
      <c r="B1617" t="s">
        <v>3096</v>
      </c>
      <c r="C1617" t="s">
        <v>241</v>
      </c>
      <c r="D1617" t="s">
        <v>2241</v>
      </c>
      <c r="E1617" t="s">
        <v>2242</v>
      </c>
      <c r="F1617">
        <v>11478</v>
      </c>
      <c r="G1617">
        <v>3364</v>
      </c>
      <c r="H1617" s="32">
        <f t="shared" si="25"/>
        <v>3.4120095124851368</v>
      </c>
      <c r="I1617">
        <v>1</v>
      </c>
      <c r="J1617" t="s">
        <v>21</v>
      </c>
    </row>
    <row r="1618" spans="1:10" x14ac:dyDescent="0.25">
      <c r="A1618">
        <v>62374</v>
      </c>
      <c r="B1618" t="s">
        <v>4152</v>
      </c>
      <c r="C1618" t="s">
        <v>3055</v>
      </c>
      <c r="D1618" t="s">
        <v>2241</v>
      </c>
      <c r="E1618" t="s">
        <v>2242</v>
      </c>
      <c r="F1618">
        <v>27047</v>
      </c>
      <c r="G1618">
        <v>7927</v>
      </c>
      <c r="H1618" s="32">
        <f t="shared" si="25"/>
        <v>3.4120095874858078</v>
      </c>
      <c r="I1618">
        <v>1</v>
      </c>
      <c r="J1618" t="s">
        <v>21</v>
      </c>
    </row>
    <row r="1619" spans="1:10" x14ac:dyDescent="0.25">
      <c r="A1619">
        <v>63447</v>
      </c>
      <c r="B1619" t="s">
        <v>4352</v>
      </c>
      <c r="C1619" t="s">
        <v>708</v>
      </c>
      <c r="D1619" t="s">
        <v>2241</v>
      </c>
      <c r="E1619" t="s">
        <v>2242</v>
      </c>
      <c r="F1619">
        <v>27842</v>
      </c>
      <c r="G1619">
        <v>8160</v>
      </c>
      <c r="H1619" s="32">
        <f t="shared" si="25"/>
        <v>3.4120098039215687</v>
      </c>
      <c r="I1619">
        <v>1</v>
      </c>
      <c r="J1619" t="s">
        <v>21</v>
      </c>
    </row>
    <row r="1620" spans="1:10" x14ac:dyDescent="0.25">
      <c r="A1620">
        <v>60290</v>
      </c>
      <c r="B1620" t="s">
        <v>3726</v>
      </c>
      <c r="C1620" t="s">
        <v>708</v>
      </c>
      <c r="D1620" t="s">
        <v>2241</v>
      </c>
      <c r="E1620" t="s">
        <v>2242</v>
      </c>
      <c r="F1620">
        <v>31933</v>
      </c>
      <c r="G1620">
        <v>9359</v>
      </c>
      <c r="H1620" s="32">
        <f t="shared" si="25"/>
        <v>3.4120098301100543</v>
      </c>
      <c r="I1620">
        <v>1</v>
      </c>
      <c r="J1620" t="s">
        <v>21</v>
      </c>
    </row>
    <row r="1621" spans="1:10" x14ac:dyDescent="0.25">
      <c r="A1621">
        <v>66276</v>
      </c>
      <c r="B1621" t="s">
        <v>4877</v>
      </c>
      <c r="C1621" t="s">
        <v>118</v>
      </c>
      <c r="D1621" t="s">
        <v>2241</v>
      </c>
      <c r="E1621" t="s">
        <v>2242</v>
      </c>
      <c r="F1621">
        <v>539391</v>
      </c>
      <c r="G1621">
        <v>158086</v>
      </c>
      <c r="H1621" s="32">
        <f t="shared" si="25"/>
        <v>3.4120099186518731</v>
      </c>
      <c r="I1621">
        <v>1</v>
      </c>
      <c r="J1621" t="s">
        <v>21</v>
      </c>
    </row>
    <row r="1622" spans="1:10" x14ac:dyDescent="0.25">
      <c r="A1622">
        <v>66249</v>
      </c>
      <c r="B1622" t="s">
        <v>4873</v>
      </c>
      <c r="C1622" t="s">
        <v>322</v>
      </c>
      <c r="D1622" t="s">
        <v>2241</v>
      </c>
      <c r="E1622" t="s">
        <v>2242</v>
      </c>
      <c r="F1622">
        <v>339611</v>
      </c>
      <c r="G1622">
        <v>99534</v>
      </c>
      <c r="H1622" s="32">
        <f t="shared" si="25"/>
        <v>3.4120099664436272</v>
      </c>
      <c r="I1622">
        <v>1</v>
      </c>
      <c r="J1622" t="s">
        <v>21</v>
      </c>
    </row>
    <row r="1623" spans="1:10" x14ac:dyDescent="0.25">
      <c r="A1623">
        <v>58519</v>
      </c>
      <c r="B1623" t="s">
        <v>3213</v>
      </c>
      <c r="C1623" t="s">
        <v>241</v>
      </c>
      <c r="D1623" t="s">
        <v>2241</v>
      </c>
      <c r="E1623" t="s">
        <v>2242</v>
      </c>
      <c r="F1623">
        <v>12273</v>
      </c>
      <c r="G1623">
        <v>3597</v>
      </c>
      <c r="H1623" s="32">
        <f t="shared" si="25"/>
        <v>3.4120100083402836</v>
      </c>
      <c r="I1623">
        <v>1</v>
      </c>
      <c r="J1623" t="s">
        <v>21</v>
      </c>
    </row>
    <row r="1624" spans="1:10" x14ac:dyDescent="0.25">
      <c r="A1624">
        <v>60579</v>
      </c>
      <c r="B1624" t="s">
        <v>3806</v>
      </c>
      <c r="C1624" t="s">
        <v>708</v>
      </c>
      <c r="D1624" t="s">
        <v>2241</v>
      </c>
      <c r="E1624" t="s">
        <v>2242</v>
      </c>
      <c r="F1624">
        <v>28637</v>
      </c>
      <c r="G1624">
        <v>8393</v>
      </c>
      <c r="H1624" s="32">
        <f t="shared" si="25"/>
        <v>3.4120100083402836</v>
      </c>
      <c r="I1624">
        <v>1</v>
      </c>
      <c r="J1624" t="s">
        <v>21</v>
      </c>
    </row>
    <row r="1625" spans="1:10" x14ac:dyDescent="0.25">
      <c r="A1625">
        <v>70250</v>
      </c>
      <c r="B1625" t="s">
        <v>5428</v>
      </c>
      <c r="C1625" t="s">
        <v>166</v>
      </c>
      <c r="D1625" t="s">
        <v>2241</v>
      </c>
      <c r="E1625" t="s">
        <v>2242</v>
      </c>
      <c r="F1625">
        <v>14716</v>
      </c>
      <c r="G1625">
        <v>4313</v>
      </c>
      <c r="H1625" s="32">
        <f t="shared" si="25"/>
        <v>3.4120102017157432</v>
      </c>
      <c r="I1625">
        <v>1</v>
      </c>
      <c r="J1625" t="s">
        <v>21</v>
      </c>
    </row>
    <row r="1626" spans="1:10" x14ac:dyDescent="0.25">
      <c r="A1626">
        <v>61536</v>
      </c>
      <c r="B1626" t="s">
        <v>4035</v>
      </c>
      <c r="C1626" t="s">
        <v>708</v>
      </c>
      <c r="D1626" t="s">
        <v>2241</v>
      </c>
      <c r="E1626" t="s">
        <v>2242</v>
      </c>
      <c r="F1626">
        <v>32612</v>
      </c>
      <c r="G1626">
        <v>9558</v>
      </c>
      <c r="H1626" s="32">
        <f t="shared" si="25"/>
        <v>3.4120108809374345</v>
      </c>
      <c r="I1626">
        <v>1</v>
      </c>
      <c r="J1626" t="s">
        <v>21</v>
      </c>
    </row>
    <row r="1627" spans="1:10" x14ac:dyDescent="0.25">
      <c r="A1627">
        <v>69675</v>
      </c>
      <c r="B1627" t="s">
        <v>5389</v>
      </c>
      <c r="C1627" t="s">
        <v>166</v>
      </c>
      <c r="D1627" t="s">
        <v>2241</v>
      </c>
      <c r="E1627" t="s">
        <v>2242</v>
      </c>
      <c r="F1627">
        <v>139367</v>
      </c>
      <c r="G1627">
        <v>40846</v>
      </c>
      <c r="H1627" s="32">
        <f t="shared" si="25"/>
        <v>3.4120109680262449</v>
      </c>
      <c r="I1627">
        <v>1</v>
      </c>
      <c r="J1627" t="s">
        <v>21</v>
      </c>
    </row>
    <row r="1628" spans="1:10" x14ac:dyDescent="0.25">
      <c r="A1628">
        <v>65215</v>
      </c>
      <c r="B1628" t="s">
        <v>4699</v>
      </c>
      <c r="C1628" t="s">
        <v>322</v>
      </c>
      <c r="D1628" t="s">
        <v>2241</v>
      </c>
      <c r="E1628" t="s">
        <v>2242</v>
      </c>
      <c r="F1628">
        <v>536276</v>
      </c>
      <c r="G1628">
        <v>157173</v>
      </c>
      <c r="H1628" s="32">
        <f t="shared" si="25"/>
        <v>3.4120109688050748</v>
      </c>
      <c r="I1628">
        <v>1</v>
      </c>
      <c r="J1628" t="s">
        <v>21</v>
      </c>
    </row>
    <row r="1629" spans="1:10" x14ac:dyDescent="0.25">
      <c r="A1629">
        <v>65079</v>
      </c>
      <c r="B1629" t="s">
        <v>4679</v>
      </c>
      <c r="C1629" t="s">
        <v>143</v>
      </c>
      <c r="D1629" t="s">
        <v>2241</v>
      </c>
      <c r="E1629" t="s">
        <v>2242</v>
      </c>
      <c r="F1629">
        <v>118912</v>
      </c>
      <c r="G1629">
        <v>34851</v>
      </c>
      <c r="H1629" s="32">
        <f t="shared" si="25"/>
        <v>3.4120111331095235</v>
      </c>
      <c r="I1629">
        <v>1</v>
      </c>
      <c r="J1629" t="s">
        <v>21</v>
      </c>
    </row>
    <row r="1630" spans="1:10" x14ac:dyDescent="0.25">
      <c r="A1630">
        <v>64158</v>
      </c>
      <c r="B1630" t="s">
        <v>4500</v>
      </c>
      <c r="C1630" t="s">
        <v>201</v>
      </c>
      <c r="D1630" t="s">
        <v>2241</v>
      </c>
      <c r="E1630" t="s">
        <v>2242</v>
      </c>
      <c r="F1630">
        <v>188906</v>
      </c>
      <c r="G1630">
        <v>55365</v>
      </c>
      <c r="H1630" s="32">
        <f t="shared" si="25"/>
        <v>3.4120111984105481</v>
      </c>
      <c r="I1630">
        <v>1</v>
      </c>
      <c r="J1630" t="s">
        <v>21</v>
      </c>
    </row>
    <row r="1631" spans="1:10" x14ac:dyDescent="0.25">
      <c r="A1631">
        <v>68880</v>
      </c>
      <c r="B1631" t="s">
        <v>5266</v>
      </c>
      <c r="C1631" t="s">
        <v>166</v>
      </c>
      <c r="D1631" t="s">
        <v>2241</v>
      </c>
      <c r="E1631" t="s">
        <v>2242</v>
      </c>
      <c r="F1631">
        <v>164476</v>
      </c>
      <c r="G1631">
        <v>48205</v>
      </c>
      <c r="H1631" s="32">
        <f t="shared" si="25"/>
        <v>3.4120112021574527</v>
      </c>
      <c r="I1631">
        <v>1</v>
      </c>
      <c r="J1631" t="s">
        <v>21</v>
      </c>
    </row>
    <row r="1632" spans="1:10" x14ac:dyDescent="0.25">
      <c r="A1632">
        <v>59921</v>
      </c>
      <c r="B1632" t="s">
        <v>3619</v>
      </c>
      <c r="C1632" t="s">
        <v>708</v>
      </c>
      <c r="D1632" t="s">
        <v>2241</v>
      </c>
      <c r="E1632" t="s">
        <v>2242</v>
      </c>
      <c r="F1632">
        <v>30111</v>
      </c>
      <c r="G1632">
        <v>8825</v>
      </c>
      <c r="H1632" s="32">
        <f t="shared" si="25"/>
        <v>3.4120113314447593</v>
      </c>
      <c r="I1632">
        <v>1</v>
      </c>
      <c r="J1632" t="s">
        <v>21</v>
      </c>
    </row>
    <row r="1633" spans="1:10" x14ac:dyDescent="0.25">
      <c r="A1633">
        <v>60560</v>
      </c>
      <c r="B1633" t="s">
        <v>3801</v>
      </c>
      <c r="C1633" t="s">
        <v>2029</v>
      </c>
      <c r="D1633" t="s">
        <v>2241</v>
      </c>
      <c r="E1633" t="s">
        <v>2242</v>
      </c>
      <c r="F1633">
        <v>317805</v>
      </c>
      <c r="G1633">
        <v>93143</v>
      </c>
      <c r="H1633" s="32">
        <f t="shared" si="25"/>
        <v>3.41201163801896</v>
      </c>
      <c r="I1633">
        <v>1</v>
      </c>
      <c r="J1633" t="s">
        <v>21</v>
      </c>
    </row>
    <row r="1634" spans="1:10" x14ac:dyDescent="0.25">
      <c r="A1634">
        <v>66630</v>
      </c>
      <c r="B1634" t="s">
        <v>4930</v>
      </c>
      <c r="C1634" t="s">
        <v>166</v>
      </c>
      <c r="D1634" t="s">
        <v>2241</v>
      </c>
      <c r="E1634" t="s">
        <v>2242</v>
      </c>
      <c r="F1634">
        <v>254618</v>
      </c>
      <c r="G1634">
        <v>74624</v>
      </c>
      <c r="H1634" s="32">
        <f t="shared" si="25"/>
        <v>3.4120122212692969</v>
      </c>
      <c r="I1634">
        <v>1</v>
      </c>
      <c r="J1634" t="s">
        <v>21</v>
      </c>
    </row>
    <row r="1635" spans="1:10" x14ac:dyDescent="0.25">
      <c r="A1635">
        <v>67627</v>
      </c>
      <c r="B1635" t="s">
        <v>5124</v>
      </c>
      <c r="C1635" t="s">
        <v>166</v>
      </c>
      <c r="D1635" t="s">
        <v>2241</v>
      </c>
      <c r="E1635" t="s">
        <v>2242</v>
      </c>
      <c r="F1635">
        <v>8919</v>
      </c>
      <c r="G1635">
        <v>2614</v>
      </c>
      <c r="H1635" s="32">
        <f t="shared" si="25"/>
        <v>3.4120122417750576</v>
      </c>
      <c r="I1635">
        <v>1</v>
      </c>
      <c r="J1635" t="s">
        <v>21</v>
      </c>
    </row>
    <row r="1636" spans="1:10" x14ac:dyDescent="0.25">
      <c r="A1636">
        <v>63773</v>
      </c>
      <c r="B1636" t="s">
        <v>4406</v>
      </c>
      <c r="C1636" t="s">
        <v>143</v>
      </c>
      <c r="D1636" t="s">
        <v>2241</v>
      </c>
      <c r="E1636" t="s">
        <v>2242</v>
      </c>
      <c r="F1636">
        <v>118332</v>
      </c>
      <c r="G1636">
        <v>34681</v>
      </c>
      <c r="H1636" s="32">
        <f t="shared" si="25"/>
        <v>3.4120123410512959</v>
      </c>
      <c r="I1636">
        <v>1</v>
      </c>
      <c r="J1636" t="s">
        <v>21</v>
      </c>
    </row>
    <row r="1637" spans="1:10" x14ac:dyDescent="0.25">
      <c r="A1637">
        <v>60802</v>
      </c>
      <c r="B1637" t="s">
        <v>3878</v>
      </c>
      <c r="C1637" t="s">
        <v>241</v>
      </c>
      <c r="D1637" t="s">
        <v>2241</v>
      </c>
      <c r="E1637" t="s">
        <v>2242</v>
      </c>
      <c r="F1637">
        <v>6476</v>
      </c>
      <c r="G1637">
        <v>1898</v>
      </c>
      <c r="H1637" s="32">
        <f t="shared" si="25"/>
        <v>3.4120126448893573</v>
      </c>
      <c r="I1637">
        <v>1</v>
      </c>
      <c r="J1637" t="s">
        <v>21</v>
      </c>
    </row>
    <row r="1638" spans="1:10" x14ac:dyDescent="0.25">
      <c r="A1638">
        <v>68681</v>
      </c>
      <c r="B1638" t="s">
        <v>5252</v>
      </c>
      <c r="C1638" t="s">
        <v>241</v>
      </c>
      <c r="D1638" t="s">
        <v>2241</v>
      </c>
      <c r="E1638" t="s">
        <v>2242</v>
      </c>
      <c r="F1638">
        <v>22666</v>
      </c>
      <c r="G1638">
        <v>6643</v>
      </c>
      <c r="H1638" s="32">
        <f t="shared" si="25"/>
        <v>3.4120126448893573</v>
      </c>
      <c r="I1638">
        <v>1</v>
      </c>
      <c r="J1638" t="s">
        <v>21</v>
      </c>
    </row>
    <row r="1639" spans="1:10" x14ac:dyDescent="0.25">
      <c r="A1639">
        <v>61156</v>
      </c>
      <c r="B1639" t="s">
        <v>3949</v>
      </c>
      <c r="C1639" t="s">
        <v>708</v>
      </c>
      <c r="D1639" t="s">
        <v>2241</v>
      </c>
      <c r="E1639" t="s">
        <v>2242</v>
      </c>
      <c r="F1639">
        <v>26699</v>
      </c>
      <c r="G1639">
        <v>7825</v>
      </c>
      <c r="H1639" s="32">
        <f t="shared" si="25"/>
        <v>3.4120127795527155</v>
      </c>
      <c r="I1639">
        <v>1</v>
      </c>
      <c r="J1639" t="s">
        <v>21</v>
      </c>
    </row>
    <row r="1640" spans="1:10" x14ac:dyDescent="0.25">
      <c r="A1640">
        <v>63322</v>
      </c>
      <c r="B1640" t="s">
        <v>4325</v>
      </c>
      <c r="C1640" t="s">
        <v>250</v>
      </c>
      <c r="D1640" t="s">
        <v>2241</v>
      </c>
      <c r="E1640" t="s">
        <v>2242</v>
      </c>
      <c r="F1640">
        <v>143946</v>
      </c>
      <c r="G1640">
        <v>42188</v>
      </c>
      <c r="H1640" s="32">
        <f t="shared" si="25"/>
        <v>3.4120128946619892</v>
      </c>
      <c r="I1640">
        <v>1</v>
      </c>
      <c r="J1640" t="s">
        <v>21</v>
      </c>
    </row>
    <row r="1641" spans="1:10" x14ac:dyDescent="0.25">
      <c r="A1641">
        <v>59996</v>
      </c>
      <c r="B1641" t="s">
        <v>3645</v>
      </c>
      <c r="C1641" t="s">
        <v>708</v>
      </c>
      <c r="D1641" t="s">
        <v>2241</v>
      </c>
      <c r="E1641" t="s">
        <v>2242</v>
      </c>
      <c r="F1641">
        <v>111508</v>
      </c>
      <c r="G1641">
        <v>32681</v>
      </c>
      <c r="H1641" s="32">
        <f t="shared" si="25"/>
        <v>3.412013096294483</v>
      </c>
      <c r="I1641">
        <v>1</v>
      </c>
      <c r="J1641" t="s">
        <v>21</v>
      </c>
    </row>
    <row r="1642" spans="1:10" x14ac:dyDescent="0.25">
      <c r="A1642">
        <v>66826</v>
      </c>
      <c r="B1642" t="s">
        <v>4972</v>
      </c>
      <c r="C1642" t="s">
        <v>166</v>
      </c>
      <c r="D1642" t="s">
        <v>2241</v>
      </c>
      <c r="E1642" t="s">
        <v>2242</v>
      </c>
      <c r="F1642">
        <v>198586</v>
      </c>
      <c r="G1642">
        <v>58202</v>
      </c>
      <c r="H1642" s="32">
        <f t="shared" si="25"/>
        <v>3.412013332875159</v>
      </c>
      <c r="I1642">
        <v>1</v>
      </c>
      <c r="J1642" t="s">
        <v>21</v>
      </c>
    </row>
    <row r="1643" spans="1:10" x14ac:dyDescent="0.25">
      <c r="A1643">
        <v>61561</v>
      </c>
      <c r="B1643" t="s">
        <v>4037</v>
      </c>
      <c r="C1643" t="s">
        <v>708</v>
      </c>
      <c r="D1643" t="s">
        <v>2241</v>
      </c>
      <c r="E1643" t="s">
        <v>2242</v>
      </c>
      <c r="F1643">
        <v>352403</v>
      </c>
      <c r="G1643">
        <v>103283</v>
      </c>
      <c r="H1643" s="32">
        <f t="shared" si="25"/>
        <v>3.4120135937182305</v>
      </c>
      <c r="I1643">
        <v>1</v>
      </c>
      <c r="J1643" t="s">
        <v>21</v>
      </c>
    </row>
    <row r="1644" spans="1:10" x14ac:dyDescent="0.25">
      <c r="A1644">
        <v>67941</v>
      </c>
      <c r="B1644" t="s">
        <v>5196</v>
      </c>
      <c r="C1644" t="s">
        <v>250</v>
      </c>
      <c r="D1644" t="s">
        <v>2241</v>
      </c>
      <c r="E1644" t="s">
        <v>2242</v>
      </c>
      <c r="F1644">
        <v>266625</v>
      </c>
      <c r="G1644">
        <v>78143</v>
      </c>
      <c r="H1644" s="32">
        <f t="shared" si="25"/>
        <v>3.4120138720038904</v>
      </c>
      <c r="I1644">
        <v>1</v>
      </c>
      <c r="J1644" t="s">
        <v>21</v>
      </c>
    </row>
    <row r="1645" spans="1:10" x14ac:dyDescent="0.25">
      <c r="A1645">
        <v>61528</v>
      </c>
      <c r="B1645" t="s">
        <v>4031</v>
      </c>
      <c r="C1645" t="s">
        <v>708</v>
      </c>
      <c r="D1645" t="s">
        <v>2241</v>
      </c>
      <c r="E1645" t="s">
        <v>2242</v>
      </c>
      <c r="F1645">
        <v>20107</v>
      </c>
      <c r="G1645">
        <v>5893</v>
      </c>
      <c r="H1645" s="32">
        <f t="shared" si="25"/>
        <v>3.4120142541998981</v>
      </c>
      <c r="I1645">
        <v>1</v>
      </c>
      <c r="J1645" t="s">
        <v>21</v>
      </c>
    </row>
    <row r="1646" spans="1:10" x14ac:dyDescent="0.25">
      <c r="A1646">
        <v>61600</v>
      </c>
      <c r="B1646" t="s">
        <v>4040</v>
      </c>
      <c r="C1646" t="s">
        <v>241</v>
      </c>
      <c r="D1646" t="s">
        <v>2241</v>
      </c>
      <c r="E1646" t="s">
        <v>2242</v>
      </c>
      <c r="F1646">
        <v>45837</v>
      </c>
      <c r="G1646">
        <v>13434</v>
      </c>
      <c r="H1646" s="32">
        <f t="shared" si="25"/>
        <v>3.412014292094685</v>
      </c>
      <c r="I1646">
        <v>1</v>
      </c>
      <c r="J1646" t="s">
        <v>21</v>
      </c>
    </row>
    <row r="1647" spans="1:10" x14ac:dyDescent="0.25">
      <c r="A1647">
        <v>60383</v>
      </c>
      <c r="B1647" t="s">
        <v>3753</v>
      </c>
      <c r="C1647" t="s">
        <v>708</v>
      </c>
      <c r="D1647" t="s">
        <v>2241</v>
      </c>
      <c r="E1647" t="s">
        <v>2242</v>
      </c>
      <c r="F1647">
        <v>310292</v>
      </c>
      <c r="G1647">
        <v>90941</v>
      </c>
      <c r="H1647" s="32">
        <f t="shared" si="25"/>
        <v>3.4120143829515839</v>
      </c>
      <c r="I1647">
        <v>1</v>
      </c>
      <c r="J1647" t="s">
        <v>21</v>
      </c>
    </row>
    <row r="1648" spans="1:10" x14ac:dyDescent="0.25">
      <c r="A1648">
        <v>66377</v>
      </c>
      <c r="B1648" t="s">
        <v>4894</v>
      </c>
      <c r="C1648" t="s">
        <v>708</v>
      </c>
      <c r="D1648" t="s">
        <v>2241</v>
      </c>
      <c r="E1648" t="s">
        <v>2242</v>
      </c>
      <c r="F1648">
        <v>32148</v>
      </c>
      <c r="G1648">
        <v>9422</v>
      </c>
      <c r="H1648" s="32">
        <f t="shared" si="25"/>
        <v>3.4120144343026957</v>
      </c>
      <c r="I1648">
        <v>1</v>
      </c>
      <c r="J1648" t="s">
        <v>21</v>
      </c>
    </row>
    <row r="1649" spans="1:10" x14ac:dyDescent="0.25">
      <c r="A1649">
        <v>65081</v>
      </c>
      <c r="B1649" t="s">
        <v>4681</v>
      </c>
      <c r="C1649" t="s">
        <v>143</v>
      </c>
      <c r="D1649" t="s">
        <v>2241</v>
      </c>
      <c r="E1649" t="s">
        <v>2242</v>
      </c>
      <c r="F1649">
        <v>129387</v>
      </c>
      <c r="G1649">
        <v>37921</v>
      </c>
      <c r="H1649" s="32">
        <f t="shared" si="25"/>
        <v>3.4120144510956991</v>
      </c>
      <c r="I1649">
        <v>1</v>
      </c>
      <c r="J1649" t="s">
        <v>21</v>
      </c>
    </row>
    <row r="1650" spans="1:10" x14ac:dyDescent="0.25">
      <c r="A1650">
        <v>64448</v>
      </c>
      <c r="B1650" t="s">
        <v>4564</v>
      </c>
      <c r="C1650" t="s">
        <v>201</v>
      </c>
      <c r="D1650" t="s">
        <v>2241</v>
      </c>
      <c r="E1650" t="s">
        <v>2242</v>
      </c>
      <c r="F1650">
        <v>406504</v>
      </c>
      <c r="G1650">
        <v>119139</v>
      </c>
      <c r="H1650" s="32">
        <f t="shared" si="25"/>
        <v>3.412014537640907</v>
      </c>
      <c r="I1650">
        <v>1</v>
      </c>
      <c r="J1650" t="s">
        <v>21</v>
      </c>
    </row>
    <row r="1651" spans="1:10" x14ac:dyDescent="0.25">
      <c r="A1651">
        <v>60253</v>
      </c>
      <c r="B1651" t="s">
        <v>3718</v>
      </c>
      <c r="C1651" t="s">
        <v>131</v>
      </c>
      <c r="D1651" t="s">
        <v>2241</v>
      </c>
      <c r="E1651" t="s">
        <v>2242</v>
      </c>
      <c r="F1651">
        <v>25672</v>
      </c>
      <c r="G1651">
        <v>7524</v>
      </c>
      <c r="H1651" s="32">
        <f t="shared" si="25"/>
        <v>3.4120148856990964</v>
      </c>
      <c r="I1651">
        <v>1</v>
      </c>
      <c r="J1651" t="s">
        <v>21</v>
      </c>
    </row>
    <row r="1652" spans="1:10" x14ac:dyDescent="0.25">
      <c r="A1652">
        <v>62594</v>
      </c>
      <c r="B1652" t="s">
        <v>4174</v>
      </c>
      <c r="C1652" t="s">
        <v>708</v>
      </c>
      <c r="D1652" t="s">
        <v>2241</v>
      </c>
      <c r="E1652" t="s">
        <v>2242</v>
      </c>
      <c r="F1652">
        <v>134778</v>
      </c>
      <c r="G1652">
        <v>39501</v>
      </c>
      <c r="H1652" s="32">
        <f t="shared" si="25"/>
        <v>3.4120148856990964</v>
      </c>
      <c r="I1652">
        <v>1</v>
      </c>
      <c r="J1652" t="s">
        <v>21</v>
      </c>
    </row>
    <row r="1653" spans="1:10" x14ac:dyDescent="0.25">
      <c r="A1653">
        <v>69912</v>
      </c>
      <c r="B1653" t="s">
        <v>5408</v>
      </c>
      <c r="C1653" t="s">
        <v>166</v>
      </c>
      <c r="D1653" t="s">
        <v>2241</v>
      </c>
      <c r="E1653" t="s">
        <v>2242</v>
      </c>
      <c r="F1653">
        <v>12836</v>
      </c>
      <c r="G1653">
        <v>3762</v>
      </c>
      <c r="H1653" s="32">
        <f t="shared" si="25"/>
        <v>3.4120148856990964</v>
      </c>
      <c r="I1653">
        <v>1</v>
      </c>
      <c r="J1653" t="s">
        <v>21</v>
      </c>
    </row>
    <row r="1654" spans="1:10" x14ac:dyDescent="0.25">
      <c r="A1654">
        <v>60337</v>
      </c>
      <c r="B1654" t="s">
        <v>3737</v>
      </c>
      <c r="C1654" t="s">
        <v>2029</v>
      </c>
      <c r="D1654" t="s">
        <v>2241</v>
      </c>
      <c r="E1654" t="s">
        <v>2242</v>
      </c>
      <c r="F1654">
        <v>104220</v>
      </c>
      <c r="G1654">
        <v>30545</v>
      </c>
      <c r="H1654" s="32">
        <f t="shared" si="25"/>
        <v>3.4120150597479131</v>
      </c>
      <c r="I1654">
        <v>1</v>
      </c>
      <c r="J1654" t="s">
        <v>21</v>
      </c>
    </row>
    <row r="1655" spans="1:10" x14ac:dyDescent="0.25">
      <c r="A1655">
        <v>62668</v>
      </c>
      <c r="B1655" t="s">
        <v>4199</v>
      </c>
      <c r="C1655" t="s">
        <v>708</v>
      </c>
      <c r="D1655" t="s">
        <v>2241</v>
      </c>
      <c r="E1655" t="s">
        <v>2242</v>
      </c>
      <c r="F1655">
        <v>398926</v>
      </c>
      <c r="G1655">
        <v>116918</v>
      </c>
      <c r="H1655" s="32">
        <f t="shared" si="25"/>
        <v>3.4120152585572794</v>
      </c>
      <c r="I1655">
        <v>1</v>
      </c>
      <c r="J1655" t="s">
        <v>21</v>
      </c>
    </row>
    <row r="1656" spans="1:10" x14ac:dyDescent="0.25">
      <c r="A1656">
        <v>59117</v>
      </c>
      <c r="B1656" t="s">
        <v>3381</v>
      </c>
      <c r="C1656" t="s">
        <v>708</v>
      </c>
      <c r="D1656" t="s">
        <v>2241</v>
      </c>
      <c r="E1656" t="s">
        <v>2242</v>
      </c>
      <c r="F1656">
        <v>134546</v>
      </c>
      <c r="G1656">
        <v>39433</v>
      </c>
      <c r="H1656" s="32">
        <f t="shared" si="25"/>
        <v>3.4120153171201784</v>
      </c>
      <c r="I1656">
        <v>1</v>
      </c>
      <c r="J1656" t="s">
        <v>21</v>
      </c>
    </row>
    <row r="1657" spans="1:10" x14ac:dyDescent="0.25">
      <c r="A1657">
        <v>61877</v>
      </c>
      <c r="B1657" t="s">
        <v>4076</v>
      </c>
      <c r="C1657" t="s">
        <v>708</v>
      </c>
      <c r="D1657" t="s">
        <v>2241</v>
      </c>
      <c r="E1657" t="s">
        <v>2242</v>
      </c>
      <c r="F1657">
        <v>32769</v>
      </c>
      <c r="G1657">
        <v>9604</v>
      </c>
      <c r="H1657" s="32">
        <f t="shared" si="25"/>
        <v>3.4120158267388589</v>
      </c>
      <c r="I1657">
        <v>1</v>
      </c>
      <c r="J1657" t="s">
        <v>21</v>
      </c>
    </row>
    <row r="1658" spans="1:10" x14ac:dyDescent="0.25">
      <c r="A1658">
        <v>67694</v>
      </c>
      <c r="B1658" t="s">
        <v>5148</v>
      </c>
      <c r="C1658" t="s">
        <v>118</v>
      </c>
      <c r="D1658" t="s">
        <v>2241</v>
      </c>
      <c r="E1658" t="s">
        <v>2242</v>
      </c>
      <c r="F1658">
        <v>115855</v>
      </c>
      <c r="G1658">
        <v>33955</v>
      </c>
      <c r="H1658" s="32">
        <f t="shared" si="25"/>
        <v>3.4120159034015609</v>
      </c>
      <c r="I1658">
        <v>1</v>
      </c>
      <c r="J1658" t="s">
        <v>21</v>
      </c>
    </row>
    <row r="1659" spans="1:10" x14ac:dyDescent="0.25">
      <c r="A1659">
        <v>60439</v>
      </c>
      <c r="B1659" t="s">
        <v>3778</v>
      </c>
      <c r="C1659" t="s">
        <v>708</v>
      </c>
      <c r="D1659" t="s">
        <v>2241</v>
      </c>
      <c r="E1659" t="s">
        <v>2242</v>
      </c>
      <c r="F1659">
        <v>36744</v>
      </c>
      <c r="G1659">
        <v>10769</v>
      </c>
      <c r="H1659" s="32">
        <f t="shared" si="25"/>
        <v>3.4120159717708236</v>
      </c>
      <c r="I1659">
        <v>1</v>
      </c>
      <c r="J1659" t="s">
        <v>21</v>
      </c>
    </row>
    <row r="1660" spans="1:10" x14ac:dyDescent="0.25">
      <c r="A1660">
        <v>60048</v>
      </c>
      <c r="B1660" t="s">
        <v>3659</v>
      </c>
      <c r="C1660" t="s">
        <v>708</v>
      </c>
      <c r="D1660" t="s">
        <v>2241</v>
      </c>
      <c r="E1660" t="s">
        <v>2242</v>
      </c>
      <c r="F1660">
        <v>19138</v>
      </c>
      <c r="G1660">
        <v>5609</v>
      </c>
      <c r="H1660" s="32">
        <f t="shared" si="25"/>
        <v>3.4120164022107327</v>
      </c>
      <c r="I1660">
        <v>1</v>
      </c>
      <c r="J1660" t="s">
        <v>21</v>
      </c>
    </row>
    <row r="1661" spans="1:10" x14ac:dyDescent="0.25">
      <c r="A1661">
        <v>65817</v>
      </c>
      <c r="B1661" t="s">
        <v>4808</v>
      </c>
      <c r="C1661" t="s">
        <v>708</v>
      </c>
      <c r="D1661" t="s">
        <v>2241</v>
      </c>
      <c r="E1661" t="s">
        <v>2242</v>
      </c>
      <c r="F1661">
        <v>20728</v>
      </c>
      <c r="G1661">
        <v>6075</v>
      </c>
      <c r="H1661" s="32">
        <f t="shared" si="25"/>
        <v>3.4120164609053498</v>
      </c>
      <c r="I1661">
        <v>1</v>
      </c>
      <c r="J1661" t="s">
        <v>21</v>
      </c>
    </row>
    <row r="1662" spans="1:10" x14ac:dyDescent="0.25">
      <c r="A1662">
        <v>65503</v>
      </c>
      <c r="B1662" t="s">
        <v>4760</v>
      </c>
      <c r="C1662" t="s">
        <v>708</v>
      </c>
      <c r="D1662" t="s">
        <v>2241</v>
      </c>
      <c r="E1662" t="s">
        <v>2242</v>
      </c>
      <c r="F1662">
        <v>22318</v>
      </c>
      <c r="G1662">
        <v>6541</v>
      </c>
      <c r="H1662" s="32">
        <f t="shared" si="25"/>
        <v>3.4120165112368142</v>
      </c>
      <c r="I1662">
        <v>1</v>
      </c>
      <c r="J1662" t="s">
        <v>21</v>
      </c>
    </row>
    <row r="1663" spans="1:10" x14ac:dyDescent="0.25">
      <c r="A1663">
        <v>59565</v>
      </c>
      <c r="B1663" t="s">
        <v>3515</v>
      </c>
      <c r="C1663" t="s">
        <v>708</v>
      </c>
      <c r="D1663" t="s">
        <v>2241</v>
      </c>
      <c r="E1663" t="s">
        <v>2242</v>
      </c>
      <c r="F1663">
        <v>31063</v>
      </c>
      <c r="G1663">
        <v>9104</v>
      </c>
      <c r="H1663" s="32">
        <f t="shared" si="25"/>
        <v>3.4120166959578206</v>
      </c>
      <c r="I1663">
        <v>1</v>
      </c>
      <c r="J1663" t="s">
        <v>21</v>
      </c>
    </row>
    <row r="1664" spans="1:10" x14ac:dyDescent="0.25">
      <c r="A1664">
        <v>65304</v>
      </c>
      <c r="B1664" t="s">
        <v>4711</v>
      </c>
      <c r="C1664" t="s">
        <v>672</v>
      </c>
      <c r="D1664" t="s">
        <v>2241</v>
      </c>
      <c r="E1664" t="s">
        <v>2242</v>
      </c>
      <c r="F1664">
        <v>332832</v>
      </c>
      <c r="G1664">
        <v>97547</v>
      </c>
      <c r="H1664" s="32">
        <f t="shared" si="25"/>
        <v>3.4120167714025036</v>
      </c>
      <c r="I1664">
        <v>1</v>
      </c>
      <c r="J1664" t="s">
        <v>21</v>
      </c>
    </row>
    <row r="1665" spans="1:10" x14ac:dyDescent="0.25">
      <c r="A1665">
        <v>57660</v>
      </c>
      <c r="B1665" t="s">
        <v>3027</v>
      </c>
      <c r="C1665" t="s">
        <v>241</v>
      </c>
      <c r="D1665" t="s">
        <v>2241</v>
      </c>
      <c r="E1665" t="s">
        <v>2242</v>
      </c>
      <c r="F1665">
        <v>20670</v>
      </c>
      <c r="G1665">
        <v>6058</v>
      </c>
      <c r="H1665" s="32">
        <f t="shared" si="25"/>
        <v>3.4120171673819741</v>
      </c>
      <c r="I1665">
        <v>1</v>
      </c>
      <c r="J1665" t="s">
        <v>21</v>
      </c>
    </row>
    <row r="1666" spans="1:10" x14ac:dyDescent="0.25">
      <c r="A1666">
        <v>59055</v>
      </c>
      <c r="B1666" t="s">
        <v>3362</v>
      </c>
      <c r="C1666" t="s">
        <v>241</v>
      </c>
      <c r="D1666" t="s">
        <v>2241</v>
      </c>
      <c r="E1666" t="s">
        <v>2242</v>
      </c>
      <c r="F1666">
        <v>3180</v>
      </c>
      <c r="G1666">
        <v>932</v>
      </c>
      <c r="H1666" s="32">
        <f t="shared" ref="H1666:H1729" si="26">IF(AND(F1666&gt;0,G1666&gt;0),F1666/G1666,"")</f>
        <v>3.4120171673819741</v>
      </c>
      <c r="I1666">
        <v>1</v>
      </c>
      <c r="J1666" t="s">
        <v>21</v>
      </c>
    </row>
    <row r="1667" spans="1:10" x14ac:dyDescent="0.25">
      <c r="A1667">
        <v>59642</v>
      </c>
      <c r="B1667" t="s">
        <v>3545</v>
      </c>
      <c r="C1667" t="s">
        <v>708</v>
      </c>
      <c r="D1667" t="s">
        <v>2241</v>
      </c>
      <c r="E1667" t="s">
        <v>2242</v>
      </c>
      <c r="F1667">
        <v>23055</v>
      </c>
      <c r="G1667">
        <v>6757</v>
      </c>
      <c r="H1667" s="32">
        <f t="shared" si="26"/>
        <v>3.4120171673819741</v>
      </c>
      <c r="I1667">
        <v>1</v>
      </c>
      <c r="J1667" t="s">
        <v>21</v>
      </c>
    </row>
    <row r="1668" spans="1:10" x14ac:dyDescent="0.25">
      <c r="A1668">
        <v>62027</v>
      </c>
      <c r="B1668" t="s">
        <v>4101</v>
      </c>
      <c r="C1668" t="s">
        <v>241</v>
      </c>
      <c r="D1668" t="s">
        <v>2241</v>
      </c>
      <c r="E1668" t="s">
        <v>2242</v>
      </c>
      <c r="F1668">
        <v>3180</v>
      </c>
      <c r="G1668">
        <v>932</v>
      </c>
      <c r="H1668" s="32">
        <f t="shared" si="26"/>
        <v>3.4120171673819741</v>
      </c>
      <c r="I1668">
        <v>1</v>
      </c>
      <c r="J1668" t="s">
        <v>21</v>
      </c>
    </row>
    <row r="1669" spans="1:10" x14ac:dyDescent="0.25">
      <c r="A1669">
        <v>67626</v>
      </c>
      <c r="B1669" t="s">
        <v>5123</v>
      </c>
      <c r="C1669" t="s">
        <v>166</v>
      </c>
      <c r="D1669" t="s">
        <v>2241</v>
      </c>
      <c r="E1669" t="s">
        <v>2242</v>
      </c>
      <c r="F1669">
        <v>12720</v>
      </c>
      <c r="G1669">
        <v>3728</v>
      </c>
      <c r="H1669" s="32">
        <f t="shared" si="26"/>
        <v>3.4120171673819741</v>
      </c>
      <c r="I1669">
        <v>1</v>
      </c>
      <c r="J1669" t="s">
        <v>21</v>
      </c>
    </row>
    <row r="1670" spans="1:10" x14ac:dyDescent="0.25">
      <c r="A1670">
        <v>66019</v>
      </c>
      <c r="B1670" t="s">
        <v>4830</v>
      </c>
      <c r="C1670" t="s">
        <v>143</v>
      </c>
      <c r="D1670" t="s">
        <v>2241</v>
      </c>
      <c r="E1670" t="s">
        <v>2242</v>
      </c>
      <c r="F1670">
        <v>119192</v>
      </c>
      <c r="G1670">
        <v>34933</v>
      </c>
      <c r="H1670" s="32">
        <f t="shared" si="26"/>
        <v>3.4120172902413191</v>
      </c>
      <c r="I1670">
        <v>1</v>
      </c>
      <c r="J1670" t="s">
        <v>21</v>
      </c>
    </row>
    <row r="1671" spans="1:10" x14ac:dyDescent="0.25">
      <c r="A1671">
        <v>58584</v>
      </c>
      <c r="B1671" t="s">
        <v>3234</v>
      </c>
      <c r="C1671" t="s">
        <v>241</v>
      </c>
      <c r="D1671" t="s">
        <v>2241</v>
      </c>
      <c r="E1671" t="s">
        <v>2242</v>
      </c>
      <c r="F1671">
        <v>70581</v>
      </c>
      <c r="G1671">
        <v>20686</v>
      </c>
      <c r="H1671" s="32">
        <f t="shared" si="26"/>
        <v>3.412017789809533</v>
      </c>
      <c r="I1671">
        <v>1</v>
      </c>
      <c r="J1671" t="s">
        <v>21</v>
      </c>
    </row>
    <row r="1672" spans="1:10" x14ac:dyDescent="0.25">
      <c r="A1672">
        <v>66358</v>
      </c>
      <c r="B1672" t="s">
        <v>4883</v>
      </c>
      <c r="C1672" t="s">
        <v>708</v>
      </c>
      <c r="D1672" t="s">
        <v>2241</v>
      </c>
      <c r="E1672" t="s">
        <v>2242</v>
      </c>
      <c r="F1672">
        <v>272726</v>
      </c>
      <c r="G1672">
        <v>79931</v>
      </c>
      <c r="H1672" s="32">
        <f t="shared" si="26"/>
        <v>3.4120178654089153</v>
      </c>
      <c r="I1672">
        <v>1</v>
      </c>
      <c r="J1672" t="s">
        <v>21</v>
      </c>
    </row>
    <row r="1673" spans="1:10" x14ac:dyDescent="0.25">
      <c r="A1673">
        <v>63746</v>
      </c>
      <c r="B1673" t="s">
        <v>4404</v>
      </c>
      <c r="C1673" t="s">
        <v>201</v>
      </c>
      <c r="D1673" t="s">
        <v>2241</v>
      </c>
      <c r="E1673" t="s">
        <v>2242</v>
      </c>
      <c r="F1673">
        <v>96642</v>
      </c>
      <c r="G1673">
        <v>28324</v>
      </c>
      <c r="H1673" s="32">
        <f t="shared" si="26"/>
        <v>3.4120180765428612</v>
      </c>
      <c r="I1673">
        <v>1</v>
      </c>
      <c r="J1673" t="s">
        <v>21</v>
      </c>
    </row>
    <row r="1674" spans="1:10" x14ac:dyDescent="0.25">
      <c r="A1674">
        <v>58348</v>
      </c>
      <c r="B1674" t="s">
        <v>3171</v>
      </c>
      <c r="C1674" t="s">
        <v>708</v>
      </c>
      <c r="D1674" t="s">
        <v>2241</v>
      </c>
      <c r="E1674" t="s">
        <v>2242</v>
      </c>
      <c r="F1674">
        <v>30889</v>
      </c>
      <c r="G1674">
        <v>9053</v>
      </c>
      <c r="H1674" s="32">
        <f t="shared" si="26"/>
        <v>3.4120181155418092</v>
      </c>
      <c r="I1674">
        <v>1</v>
      </c>
      <c r="J1674" t="s">
        <v>21</v>
      </c>
    </row>
    <row r="1675" spans="1:10" x14ac:dyDescent="0.25">
      <c r="A1675">
        <v>64460</v>
      </c>
      <c r="B1675" t="s">
        <v>4571</v>
      </c>
      <c r="C1675" t="s">
        <v>250</v>
      </c>
      <c r="D1675" t="s">
        <v>2241</v>
      </c>
      <c r="E1675" t="s">
        <v>2242</v>
      </c>
      <c r="F1675">
        <v>13457</v>
      </c>
      <c r="G1675">
        <v>3944</v>
      </c>
      <c r="H1675" s="32">
        <f t="shared" si="26"/>
        <v>3.4120182555780931</v>
      </c>
      <c r="I1675">
        <v>1</v>
      </c>
      <c r="J1675" t="s">
        <v>21</v>
      </c>
    </row>
    <row r="1676" spans="1:10" x14ac:dyDescent="0.25">
      <c r="A1676">
        <v>65903</v>
      </c>
      <c r="B1676" t="s">
        <v>4813</v>
      </c>
      <c r="C1676" t="s">
        <v>143</v>
      </c>
      <c r="D1676" t="s">
        <v>2241</v>
      </c>
      <c r="E1676" t="s">
        <v>2242</v>
      </c>
      <c r="F1676">
        <v>80742</v>
      </c>
      <c r="G1676">
        <v>23664</v>
      </c>
      <c r="H1676" s="32">
        <f t="shared" si="26"/>
        <v>3.4120182555780931</v>
      </c>
      <c r="I1676">
        <v>1</v>
      </c>
      <c r="J1676" t="s">
        <v>21</v>
      </c>
    </row>
    <row r="1677" spans="1:10" x14ac:dyDescent="0.25">
      <c r="A1677">
        <v>60638</v>
      </c>
      <c r="B1677" t="s">
        <v>3829</v>
      </c>
      <c r="C1677" t="s">
        <v>708</v>
      </c>
      <c r="D1677" t="s">
        <v>2241</v>
      </c>
      <c r="E1677" t="s">
        <v>2242</v>
      </c>
      <c r="F1677">
        <v>106861</v>
      </c>
      <c r="G1677">
        <v>31319</v>
      </c>
      <c r="H1677" s="32">
        <f t="shared" si="26"/>
        <v>3.4120182636738083</v>
      </c>
      <c r="I1677">
        <v>1</v>
      </c>
      <c r="J1677" t="s">
        <v>21</v>
      </c>
    </row>
    <row r="1678" spans="1:10" x14ac:dyDescent="0.25">
      <c r="A1678">
        <v>61310</v>
      </c>
      <c r="B1678" t="s">
        <v>3987</v>
      </c>
      <c r="C1678" t="s">
        <v>266</v>
      </c>
      <c r="D1678" t="s">
        <v>2241</v>
      </c>
      <c r="E1678" t="s">
        <v>2242</v>
      </c>
      <c r="F1678">
        <v>11867</v>
      </c>
      <c r="G1678">
        <v>3478</v>
      </c>
      <c r="H1678" s="32">
        <f t="shared" si="26"/>
        <v>3.4120184013801036</v>
      </c>
      <c r="I1678">
        <v>1</v>
      </c>
      <c r="J1678" t="s">
        <v>21</v>
      </c>
    </row>
    <row r="1679" spans="1:10" x14ac:dyDescent="0.25">
      <c r="A1679">
        <v>67252</v>
      </c>
      <c r="B1679" t="s">
        <v>5070</v>
      </c>
      <c r="C1679" t="s">
        <v>241</v>
      </c>
      <c r="D1679" t="s">
        <v>2241</v>
      </c>
      <c r="E1679" t="s">
        <v>2242</v>
      </c>
      <c r="F1679">
        <v>57745</v>
      </c>
      <c r="G1679">
        <v>16924</v>
      </c>
      <c r="H1679" s="32">
        <f t="shared" si="26"/>
        <v>3.4120184353580716</v>
      </c>
      <c r="I1679">
        <v>1</v>
      </c>
      <c r="J1679" t="s">
        <v>21</v>
      </c>
    </row>
    <row r="1680" spans="1:10" x14ac:dyDescent="0.25">
      <c r="A1680">
        <v>60663</v>
      </c>
      <c r="B1680" t="s">
        <v>3832</v>
      </c>
      <c r="C1680" t="s">
        <v>307</v>
      </c>
      <c r="D1680" t="s">
        <v>2241</v>
      </c>
      <c r="E1680" t="s">
        <v>2242</v>
      </c>
      <c r="F1680">
        <v>11072</v>
      </c>
      <c r="G1680">
        <v>3245</v>
      </c>
      <c r="H1680" s="32">
        <f t="shared" si="26"/>
        <v>3.4120184899845918</v>
      </c>
      <c r="I1680">
        <v>1</v>
      </c>
      <c r="J1680" t="s">
        <v>21</v>
      </c>
    </row>
    <row r="1681" spans="1:10" x14ac:dyDescent="0.25">
      <c r="A1681">
        <v>62775</v>
      </c>
      <c r="B1681" t="s">
        <v>4227</v>
      </c>
      <c r="C1681" t="s">
        <v>2029</v>
      </c>
      <c r="D1681" t="s">
        <v>2241</v>
      </c>
      <c r="E1681" t="s">
        <v>2242</v>
      </c>
      <c r="F1681">
        <v>83806</v>
      </c>
      <c r="G1681">
        <v>24562</v>
      </c>
      <c r="H1681" s="32">
        <f t="shared" si="26"/>
        <v>3.412018565263415</v>
      </c>
      <c r="I1681">
        <v>1</v>
      </c>
      <c r="J1681" t="s">
        <v>21</v>
      </c>
    </row>
    <row r="1682" spans="1:10" x14ac:dyDescent="0.25">
      <c r="A1682">
        <v>59217</v>
      </c>
      <c r="B1682" t="s">
        <v>3422</v>
      </c>
      <c r="C1682" t="s">
        <v>708</v>
      </c>
      <c r="D1682" t="s">
        <v>2241</v>
      </c>
      <c r="E1682" t="s">
        <v>2242</v>
      </c>
      <c r="F1682">
        <v>30831</v>
      </c>
      <c r="G1682">
        <v>9036</v>
      </c>
      <c r="H1682" s="32">
        <f t="shared" si="26"/>
        <v>3.4120185922974766</v>
      </c>
      <c r="I1682">
        <v>1</v>
      </c>
      <c r="J1682" t="s">
        <v>21</v>
      </c>
    </row>
    <row r="1683" spans="1:10" x14ac:dyDescent="0.25">
      <c r="A1683">
        <v>59706</v>
      </c>
      <c r="B1683" t="s">
        <v>3566</v>
      </c>
      <c r="C1683" t="s">
        <v>708</v>
      </c>
      <c r="D1683" t="s">
        <v>2241</v>
      </c>
      <c r="E1683" t="s">
        <v>2242</v>
      </c>
      <c r="F1683">
        <v>29241</v>
      </c>
      <c r="G1683">
        <v>8570</v>
      </c>
      <c r="H1683" s="32">
        <f t="shared" si="26"/>
        <v>3.4120186697782966</v>
      </c>
      <c r="I1683">
        <v>1</v>
      </c>
      <c r="J1683" t="s">
        <v>21</v>
      </c>
    </row>
    <row r="1684" spans="1:10" x14ac:dyDescent="0.25">
      <c r="A1684">
        <v>62797</v>
      </c>
      <c r="B1684" t="s">
        <v>4236</v>
      </c>
      <c r="C1684" t="s">
        <v>266</v>
      </c>
      <c r="D1684" t="s">
        <v>2241</v>
      </c>
      <c r="E1684" t="s">
        <v>2242</v>
      </c>
      <c r="F1684">
        <v>184928</v>
      </c>
      <c r="G1684">
        <v>54199</v>
      </c>
      <c r="H1684" s="32">
        <f t="shared" si="26"/>
        <v>3.4120186719312167</v>
      </c>
      <c r="I1684">
        <v>1</v>
      </c>
      <c r="J1684" t="s">
        <v>21</v>
      </c>
    </row>
    <row r="1685" spans="1:10" x14ac:dyDescent="0.25">
      <c r="A1685">
        <v>67218</v>
      </c>
      <c r="B1685" t="s">
        <v>5063</v>
      </c>
      <c r="C1685" t="s">
        <v>201</v>
      </c>
      <c r="D1685" t="s">
        <v>2241</v>
      </c>
      <c r="E1685" t="s">
        <v>2242</v>
      </c>
      <c r="F1685">
        <v>56039</v>
      </c>
      <c r="G1685">
        <v>16424</v>
      </c>
      <c r="H1685" s="32">
        <f t="shared" si="26"/>
        <v>3.4120189965903558</v>
      </c>
      <c r="I1685">
        <v>1</v>
      </c>
      <c r="J1685" t="s">
        <v>21</v>
      </c>
    </row>
    <row r="1686" spans="1:10" x14ac:dyDescent="0.25">
      <c r="A1686">
        <v>69907</v>
      </c>
      <c r="B1686" t="s">
        <v>5403</v>
      </c>
      <c r="C1686" t="s">
        <v>166</v>
      </c>
      <c r="D1686" t="s">
        <v>2241</v>
      </c>
      <c r="E1686" t="s">
        <v>2242</v>
      </c>
      <c r="F1686">
        <v>15784</v>
      </c>
      <c r="G1686">
        <v>4626</v>
      </c>
      <c r="H1686" s="32">
        <f t="shared" si="26"/>
        <v>3.4120190229139644</v>
      </c>
      <c r="I1686">
        <v>1</v>
      </c>
      <c r="J1686" t="s">
        <v>21</v>
      </c>
    </row>
    <row r="1687" spans="1:10" x14ac:dyDescent="0.25">
      <c r="A1687">
        <v>60681</v>
      </c>
      <c r="B1687" t="s">
        <v>3839</v>
      </c>
      <c r="C1687" t="s">
        <v>307</v>
      </c>
      <c r="D1687" t="s">
        <v>2241</v>
      </c>
      <c r="E1687" t="s">
        <v>2242</v>
      </c>
      <c r="F1687">
        <v>78125</v>
      </c>
      <c r="G1687">
        <v>22897</v>
      </c>
      <c r="H1687" s="32">
        <f t="shared" si="26"/>
        <v>3.4120190417958685</v>
      </c>
      <c r="I1687">
        <v>1</v>
      </c>
      <c r="J1687" t="s">
        <v>21</v>
      </c>
    </row>
    <row r="1688" spans="1:10" x14ac:dyDescent="0.25">
      <c r="A1688">
        <v>61693</v>
      </c>
      <c r="B1688" t="s">
        <v>4050</v>
      </c>
      <c r="C1688" t="s">
        <v>708</v>
      </c>
      <c r="D1688" t="s">
        <v>2241</v>
      </c>
      <c r="E1688" t="s">
        <v>2242</v>
      </c>
      <c r="F1688">
        <v>328789</v>
      </c>
      <c r="G1688">
        <v>96362</v>
      </c>
      <c r="H1688" s="32">
        <f t="shared" si="26"/>
        <v>3.4120192607044268</v>
      </c>
      <c r="I1688">
        <v>1</v>
      </c>
      <c r="J1688" t="s">
        <v>21</v>
      </c>
    </row>
    <row r="1689" spans="1:10" x14ac:dyDescent="0.25">
      <c r="A1689">
        <v>62767</v>
      </c>
      <c r="B1689" t="s">
        <v>4223</v>
      </c>
      <c r="C1689" t="s">
        <v>131</v>
      </c>
      <c r="D1689" t="s">
        <v>2241</v>
      </c>
      <c r="E1689" t="s">
        <v>2242</v>
      </c>
      <c r="F1689">
        <v>13399</v>
      </c>
      <c r="G1689">
        <v>3927</v>
      </c>
      <c r="H1689" s="32">
        <f t="shared" si="26"/>
        <v>3.4120193531958236</v>
      </c>
      <c r="I1689">
        <v>1</v>
      </c>
      <c r="J1689" t="s">
        <v>21</v>
      </c>
    </row>
    <row r="1690" spans="1:10" x14ac:dyDescent="0.25">
      <c r="A1690">
        <v>64608</v>
      </c>
      <c r="B1690" t="s">
        <v>4610</v>
      </c>
      <c r="C1690" t="s">
        <v>307</v>
      </c>
      <c r="D1690" t="s">
        <v>2241</v>
      </c>
      <c r="E1690" t="s">
        <v>2242</v>
      </c>
      <c r="F1690">
        <v>11809</v>
      </c>
      <c r="G1690">
        <v>3461</v>
      </c>
      <c r="H1690" s="32">
        <f t="shared" si="26"/>
        <v>3.4120196475007223</v>
      </c>
      <c r="I1690">
        <v>1</v>
      </c>
      <c r="J1690" t="s">
        <v>21</v>
      </c>
    </row>
    <row r="1691" spans="1:10" x14ac:dyDescent="0.25">
      <c r="A1691">
        <v>63789</v>
      </c>
      <c r="B1691" t="s">
        <v>4409</v>
      </c>
      <c r="C1691" t="s">
        <v>708</v>
      </c>
      <c r="D1691" t="s">
        <v>2241</v>
      </c>
      <c r="E1691" t="s">
        <v>2242</v>
      </c>
      <c r="F1691">
        <v>180762</v>
      </c>
      <c r="G1691">
        <v>52978</v>
      </c>
      <c r="H1691" s="32">
        <f t="shared" si="26"/>
        <v>3.4120200838083732</v>
      </c>
      <c r="I1691">
        <v>1</v>
      </c>
      <c r="J1691" t="s">
        <v>21</v>
      </c>
    </row>
    <row r="1692" spans="1:10" x14ac:dyDescent="0.25">
      <c r="A1692">
        <v>64367</v>
      </c>
      <c r="B1692" t="s">
        <v>4551</v>
      </c>
      <c r="C1692" t="s">
        <v>708</v>
      </c>
      <c r="D1692" t="s">
        <v>2241</v>
      </c>
      <c r="E1692" t="s">
        <v>2242</v>
      </c>
      <c r="F1692">
        <v>19643</v>
      </c>
      <c r="G1692">
        <v>5757</v>
      </c>
      <c r="H1692" s="32">
        <f t="shared" si="26"/>
        <v>3.4120201493833595</v>
      </c>
      <c r="I1692">
        <v>1</v>
      </c>
      <c r="J1692" t="s">
        <v>21</v>
      </c>
    </row>
    <row r="1693" spans="1:10" x14ac:dyDescent="0.25">
      <c r="A1693">
        <v>64015</v>
      </c>
      <c r="B1693" t="s">
        <v>4470</v>
      </c>
      <c r="C1693" t="s">
        <v>201</v>
      </c>
      <c r="D1693" t="s">
        <v>2241</v>
      </c>
      <c r="E1693" t="s">
        <v>2242</v>
      </c>
      <c r="F1693">
        <v>138238</v>
      </c>
      <c r="G1693">
        <v>40515</v>
      </c>
      <c r="H1693" s="32">
        <f t="shared" si="26"/>
        <v>3.4120202394174997</v>
      </c>
      <c r="I1693">
        <v>1</v>
      </c>
      <c r="J1693" t="s">
        <v>21</v>
      </c>
    </row>
    <row r="1694" spans="1:10" x14ac:dyDescent="0.25">
      <c r="A1694">
        <v>64567</v>
      </c>
      <c r="B1694" t="s">
        <v>4604</v>
      </c>
      <c r="C1694" t="s">
        <v>250</v>
      </c>
      <c r="D1694" t="s">
        <v>2241</v>
      </c>
      <c r="E1694" t="s">
        <v>2242</v>
      </c>
      <c r="F1694">
        <v>109113</v>
      </c>
      <c r="G1694">
        <v>31979</v>
      </c>
      <c r="H1694" s="32">
        <f t="shared" si="26"/>
        <v>3.4120203883798741</v>
      </c>
      <c r="I1694">
        <v>1</v>
      </c>
      <c r="J1694" t="s">
        <v>21</v>
      </c>
    </row>
    <row r="1695" spans="1:10" x14ac:dyDescent="0.25">
      <c r="A1695">
        <v>60923</v>
      </c>
      <c r="B1695" t="s">
        <v>3906</v>
      </c>
      <c r="C1695" t="s">
        <v>322</v>
      </c>
      <c r="D1695" t="s">
        <v>2241</v>
      </c>
      <c r="E1695" t="s">
        <v>2242</v>
      </c>
      <c r="F1695">
        <v>13341</v>
      </c>
      <c r="G1695">
        <v>3910</v>
      </c>
      <c r="H1695" s="32">
        <f t="shared" si="26"/>
        <v>3.4120204603580562</v>
      </c>
      <c r="I1695">
        <v>1</v>
      </c>
      <c r="J1695" t="s">
        <v>21</v>
      </c>
    </row>
    <row r="1696" spans="1:10" x14ac:dyDescent="0.25">
      <c r="A1696">
        <v>64817</v>
      </c>
      <c r="B1696" t="s">
        <v>4647</v>
      </c>
      <c r="C1696" t="s">
        <v>201</v>
      </c>
      <c r="D1696" t="s">
        <v>2241</v>
      </c>
      <c r="E1696" t="s">
        <v>2242</v>
      </c>
      <c r="F1696">
        <v>144308</v>
      </c>
      <c r="G1696">
        <v>42294</v>
      </c>
      <c r="H1696" s="32">
        <f t="shared" si="26"/>
        <v>3.4120206175816903</v>
      </c>
      <c r="I1696">
        <v>1</v>
      </c>
      <c r="J1696" t="s">
        <v>21</v>
      </c>
    </row>
    <row r="1697" spans="1:10" x14ac:dyDescent="0.25">
      <c r="A1697">
        <v>59502</v>
      </c>
      <c r="B1697" t="s">
        <v>3478</v>
      </c>
      <c r="C1697" t="s">
        <v>708</v>
      </c>
      <c r="D1697" t="s">
        <v>2241</v>
      </c>
      <c r="E1697" t="s">
        <v>2242</v>
      </c>
      <c r="F1697">
        <v>21175</v>
      </c>
      <c r="G1697">
        <v>6206</v>
      </c>
      <c r="H1697" s="32">
        <f t="shared" si="26"/>
        <v>3.4120206252014178</v>
      </c>
      <c r="I1697">
        <v>1</v>
      </c>
      <c r="J1697" t="s">
        <v>21</v>
      </c>
    </row>
    <row r="1698" spans="1:10" x14ac:dyDescent="0.25">
      <c r="A1698">
        <v>62638</v>
      </c>
      <c r="B1698" t="s">
        <v>4192</v>
      </c>
      <c r="C1698" t="s">
        <v>241</v>
      </c>
      <c r="D1698" t="s">
        <v>2241</v>
      </c>
      <c r="E1698" t="s">
        <v>2242</v>
      </c>
      <c r="F1698">
        <v>43882</v>
      </c>
      <c r="G1698">
        <v>12861</v>
      </c>
      <c r="H1698" s="32">
        <f t="shared" si="26"/>
        <v>3.4120208381929866</v>
      </c>
      <c r="I1698">
        <v>1</v>
      </c>
      <c r="J1698" t="s">
        <v>21</v>
      </c>
    </row>
    <row r="1699" spans="1:10" x14ac:dyDescent="0.25">
      <c r="A1699">
        <v>60651</v>
      </c>
      <c r="B1699" t="s">
        <v>3830</v>
      </c>
      <c r="C1699" t="s">
        <v>708</v>
      </c>
      <c r="D1699" t="s">
        <v>2241</v>
      </c>
      <c r="E1699" t="s">
        <v>2242</v>
      </c>
      <c r="F1699">
        <v>31336</v>
      </c>
      <c r="G1699">
        <v>9184</v>
      </c>
      <c r="H1699" s="32">
        <f t="shared" si="26"/>
        <v>3.4120209059233448</v>
      </c>
      <c r="I1699">
        <v>1</v>
      </c>
      <c r="J1699" t="s">
        <v>21</v>
      </c>
    </row>
    <row r="1700" spans="1:10" x14ac:dyDescent="0.25">
      <c r="A1700">
        <v>67101</v>
      </c>
      <c r="B1700" t="s">
        <v>5027</v>
      </c>
      <c r="C1700" t="s">
        <v>250</v>
      </c>
      <c r="D1700" t="s">
        <v>2241</v>
      </c>
      <c r="E1700" t="s">
        <v>2242</v>
      </c>
      <c r="F1700">
        <v>61877</v>
      </c>
      <c r="G1700">
        <v>18135</v>
      </c>
      <c r="H1700" s="32">
        <f t="shared" si="26"/>
        <v>3.4120209539564379</v>
      </c>
      <c r="I1700">
        <v>1</v>
      </c>
      <c r="J1700" t="s">
        <v>21</v>
      </c>
    </row>
    <row r="1701" spans="1:10" x14ac:dyDescent="0.25">
      <c r="A1701">
        <v>65221</v>
      </c>
      <c r="B1701" t="s">
        <v>4702</v>
      </c>
      <c r="C1701" t="s">
        <v>201</v>
      </c>
      <c r="D1701" t="s">
        <v>2241</v>
      </c>
      <c r="E1701" t="s">
        <v>2242</v>
      </c>
      <c r="F1701">
        <v>148614</v>
      </c>
      <c r="G1701">
        <v>43556</v>
      </c>
      <c r="H1701" s="32">
        <f t="shared" si="26"/>
        <v>3.4120213059050419</v>
      </c>
      <c r="I1701">
        <v>1</v>
      </c>
      <c r="J1701" t="s">
        <v>21</v>
      </c>
    </row>
    <row r="1702" spans="1:10" x14ac:dyDescent="0.25">
      <c r="A1702">
        <v>59666</v>
      </c>
      <c r="B1702" t="s">
        <v>3552</v>
      </c>
      <c r="C1702" t="s">
        <v>708</v>
      </c>
      <c r="D1702" t="s">
        <v>2241</v>
      </c>
      <c r="E1702" t="s">
        <v>2242</v>
      </c>
      <c r="F1702">
        <v>175917</v>
      </c>
      <c r="G1702">
        <v>51558</v>
      </c>
      <c r="H1702" s="32">
        <f t="shared" si="26"/>
        <v>3.4120214127778423</v>
      </c>
      <c r="I1702">
        <v>1</v>
      </c>
      <c r="J1702" t="s">
        <v>21</v>
      </c>
    </row>
    <row r="1703" spans="1:10" x14ac:dyDescent="0.25">
      <c r="A1703">
        <v>59152</v>
      </c>
      <c r="B1703" t="s">
        <v>3393</v>
      </c>
      <c r="C1703" t="s">
        <v>708</v>
      </c>
      <c r="D1703" t="s">
        <v>2241</v>
      </c>
      <c r="E1703" t="s">
        <v>2242</v>
      </c>
      <c r="F1703">
        <v>26566</v>
      </c>
      <c r="G1703">
        <v>7786</v>
      </c>
      <c r="H1703" s="32">
        <f t="shared" si="26"/>
        <v>3.4120215771898277</v>
      </c>
      <c r="I1703">
        <v>1</v>
      </c>
      <c r="J1703" t="s">
        <v>21</v>
      </c>
    </row>
    <row r="1704" spans="1:10" x14ac:dyDescent="0.25">
      <c r="A1704">
        <v>60968</v>
      </c>
      <c r="B1704" t="s">
        <v>3913</v>
      </c>
      <c r="C1704" t="s">
        <v>201</v>
      </c>
      <c r="D1704" t="s">
        <v>2241</v>
      </c>
      <c r="E1704" t="s">
        <v>2242</v>
      </c>
      <c r="F1704">
        <v>132772</v>
      </c>
      <c r="G1704">
        <v>38913</v>
      </c>
      <c r="H1704" s="32">
        <f t="shared" si="26"/>
        <v>3.4120216894097086</v>
      </c>
      <c r="I1704">
        <v>1</v>
      </c>
      <c r="J1704" t="s">
        <v>21</v>
      </c>
    </row>
    <row r="1705" spans="1:10" x14ac:dyDescent="0.25">
      <c r="A1705">
        <v>65080</v>
      </c>
      <c r="B1705" t="s">
        <v>4680</v>
      </c>
      <c r="C1705" t="s">
        <v>143</v>
      </c>
      <c r="D1705" t="s">
        <v>2241</v>
      </c>
      <c r="E1705" t="s">
        <v>2242</v>
      </c>
      <c r="F1705">
        <v>109270</v>
      </c>
      <c r="G1705">
        <v>32025</v>
      </c>
      <c r="H1705" s="32">
        <f t="shared" si="26"/>
        <v>3.4120218579234973</v>
      </c>
      <c r="I1705">
        <v>1</v>
      </c>
      <c r="J1705" t="s">
        <v>21</v>
      </c>
    </row>
    <row r="1706" spans="1:10" x14ac:dyDescent="0.25">
      <c r="A1706">
        <v>69112</v>
      </c>
      <c r="B1706" t="s">
        <v>5321</v>
      </c>
      <c r="C1706" t="s">
        <v>241</v>
      </c>
      <c r="D1706" t="s">
        <v>2241</v>
      </c>
      <c r="E1706" t="s">
        <v>2242</v>
      </c>
      <c r="F1706">
        <v>6244</v>
      </c>
      <c r="G1706">
        <v>1830</v>
      </c>
      <c r="H1706" s="32">
        <f t="shared" si="26"/>
        <v>3.4120218579234973</v>
      </c>
      <c r="I1706">
        <v>1</v>
      </c>
      <c r="J1706" t="s">
        <v>21</v>
      </c>
    </row>
    <row r="1707" spans="1:10" x14ac:dyDescent="0.25">
      <c r="A1707">
        <v>59910</v>
      </c>
      <c r="B1707" t="s">
        <v>3615</v>
      </c>
      <c r="C1707" t="s">
        <v>241</v>
      </c>
      <c r="D1707" t="s">
        <v>2241</v>
      </c>
      <c r="E1707" t="s">
        <v>2242</v>
      </c>
      <c r="F1707">
        <v>94339</v>
      </c>
      <c r="G1707">
        <v>27649</v>
      </c>
      <c r="H1707" s="32">
        <f t="shared" si="26"/>
        <v>3.4120221346160799</v>
      </c>
      <c r="I1707">
        <v>1</v>
      </c>
      <c r="J1707" t="s">
        <v>21</v>
      </c>
    </row>
    <row r="1708" spans="1:10" x14ac:dyDescent="0.25">
      <c r="A1708">
        <v>63917</v>
      </c>
      <c r="B1708" t="s">
        <v>4439</v>
      </c>
      <c r="C1708" t="s">
        <v>3055</v>
      </c>
      <c r="D1708" t="s">
        <v>2241</v>
      </c>
      <c r="E1708" t="s">
        <v>2242</v>
      </c>
      <c r="F1708">
        <v>16347</v>
      </c>
      <c r="G1708">
        <v>4791</v>
      </c>
      <c r="H1708" s="32">
        <f t="shared" si="26"/>
        <v>3.4120225422667501</v>
      </c>
      <c r="I1708">
        <v>1</v>
      </c>
      <c r="J1708" t="s">
        <v>21</v>
      </c>
    </row>
    <row r="1709" spans="1:10" x14ac:dyDescent="0.25">
      <c r="A1709">
        <v>60633</v>
      </c>
      <c r="B1709" t="s">
        <v>3824</v>
      </c>
      <c r="C1709" t="s">
        <v>708</v>
      </c>
      <c r="D1709" t="s">
        <v>2241</v>
      </c>
      <c r="E1709" t="s">
        <v>2242</v>
      </c>
      <c r="F1709">
        <v>13225</v>
      </c>
      <c r="G1709">
        <v>3876</v>
      </c>
      <c r="H1709" s="32">
        <f t="shared" si="26"/>
        <v>3.4120227038183693</v>
      </c>
      <c r="I1709">
        <v>1</v>
      </c>
      <c r="J1709" t="s">
        <v>21</v>
      </c>
    </row>
    <row r="1710" spans="1:10" x14ac:dyDescent="0.25">
      <c r="A1710">
        <v>60146</v>
      </c>
      <c r="B1710" t="s">
        <v>3689</v>
      </c>
      <c r="C1710" t="s">
        <v>708</v>
      </c>
      <c r="D1710" t="s">
        <v>2241</v>
      </c>
      <c r="E1710" t="s">
        <v>2242</v>
      </c>
      <c r="F1710">
        <v>33431</v>
      </c>
      <c r="G1710">
        <v>9798</v>
      </c>
      <c r="H1710" s="32">
        <f t="shared" si="26"/>
        <v>3.4120228618085324</v>
      </c>
      <c r="I1710">
        <v>1</v>
      </c>
      <c r="J1710" t="s">
        <v>21</v>
      </c>
    </row>
    <row r="1711" spans="1:10" x14ac:dyDescent="0.25">
      <c r="A1711">
        <v>63266</v>
      </c>
      <c r="B1711" t="s">
        <v>4314</v>
      </c>
      <c r="C1711" t="s">
        <v>708</v>
      </c>
      <c r="D1711" t="s">
        <v>2241</v>
      </c>
      <c r="E1711" t="s">
        <v>2242</v>
      </c>
      <c r="F1711">
        <v>12430</v>
      </c>
      <c r="G1711">
        <v>3643</v>
      </c>
      <c r="H1711" s="32">
        <f t="shared" si="26"/>
        <v>3.4120230579192974</v>
      </c>
      <c r="I1711">
        <v>1</v>
      </c>
      <c r="J1711" t="s">
        <v>21</v>
      </c>
    </row>
    <row r="1712" spans="1:10" x14ac:dyDescent="0.25">
      <c r="A1712">
        <v>67873</v>
      </c>
      <c r="B1712" t="s">
        <v>5190</v>
      </c>
      <c r="C1712" t="s">
        <v>131</v>
      </c>
      <c r="D1712" t="s">
        <v>2241</v>
      </c>
      <c r="E1712" t="s">
        <v>2242</v>
      </c>
      <c r="F1712">
        <v>59028</v>
      </c>
      <c r="G1712">
        <v>17300</v>
      </c>
      <c r="H1712" s="32">
        <f t="shared" si="26"/>
        <v>3.4120231213872834</v>
      </c>
      <c r="I1712">
        <v>1</v>
      </c>
      <c r="J1712" t="s">
        <v>21</v>
      </c>
    </row>
    <row r="1713" spans="1:10" x14ac:dyDescent="0.25">
      <c r="A1713">
        <v>62659</v>
      </c>
      <c r="B1713" t="s">
        <v>4195</v>
      </c>
      <c r="C1713" t="s">
        <v>708</v>
      </c>
      <c r="D1713" t="s">
        <v>2241</v>
      </c>
      <c r="E1713" t="s">
        <v>2242</v>
      </c>
      <c r="F1713">
        <v>24065</v>
      </c>
      <c r="G1713">
        <v>7053</v>
      </c>
      <c r="H1713" s="32">
        <f t="shared" si="26"/>
        <v>3.4120232525166596</v>
      </c>
      <c r="I1713">
        <v>1</v>
      </c>
      <c r="J1713" t="s">
        <v>21</v>
      </c>
    </row>
    <row r="1714" spans="1:10" x14ac:dyDescent="0.25">
      <c r="A1714">
        <v>62167</v>
      </c>
      <c r="B1714" t="s">
        <v>4126</v>
      </c>
      <c r="C1714" t="s">
        <v>708</v>
      </c>
      <c r="D1714" t="s">
        <v>2241</v>
      </c>
      <c r="E1714" t="s">
        <v>2242</v>
      </c>
      <c r="F1714">
        <v>26392</v>
      </c>
      <c r="G1714">
        <v>7735</v>
      </c>
      <c r="H1714" s="32">
        <f t="shared" si="26"/>
        <v>3.4120232708468001</v>
      </c>
      <c r="I1714">
        <v>1</v>
      </c>
      <c r="J1714" t="s">
        <v>21</v>
      </c>
    </row>
    <row r="1715" spans="1:10" x14ac:dyDescent="0.25">
      <c r="A1715">
        <v>66250</v>
      </c>
      <c r="B1715" t="s">
        <v>4874</v>
      </c>
      <c r="C1715" t="s">
        <v>322</v>
      </c>
      <c r="D1715" t="s">
        <v>2241</v>
      </c>
      <c r="E1715" t="s">
        <v>2242</v>
      </c>
      <c r="F1715">
        <v>339974</v>
      </c>
      <c r="G1715">
        <v>99640</v>
      </c>
      <c r="H1715" s="32">
        <f t="shared" si="26"/>
        <v>3.4120232838217581</v>
      </c>
      <c r="I1715">
        <v>1</v>
      </c>
      <c r="J1715" t="s">
        <v>21</v>
      </c>
    </row>
    <row r="1716" spans="1:10" x14ac:dyDescent="0.25">
      <c r="A1716">
        <v>60422</v>
      </c>
      <c r="B1716" t="s">
        <v>3773</v>
      </c>
      <c r="C1716" t="s">
        <v>708</v>
      </c>
      <c r="D1716" t="s">
        <v>2241</v>
      </c>
      <c r="E1716" t="s">
        <v>2242</v>
      </c>
      <c r="F1716">
        <v>96997</v>
      </c>
      <c r="G1716">
        <v>28428</v>
      </c>
      <c r="H1716" s="32">
        <f t="shared" si="26"/>
        <v>3.4120233572534122</v>
      </c>
      <c r="I1716">
        <v>1</v>
      </c>
      <c r="J1716" t="s">
        <v>21</v>
      </c>
    </row>
    <row r="1717" spans="1:10" x14ac:dyDescent="0.25">
      <c r="A1717">
        <v>66115</v>
      </c>
      <c r="B1717" t="s">
        <v>4856</v>
      </c>
      <c r="C1717" t="s">
        <v>201</v>
      </c>
      <c r="D1717" t="s">
        <v>2241</v>
      </c>
      <c r="E1717" t="s">
        <v>2242</v>
      </c>
      <c r="F1717">
        <v>29456</v>
      </c>
      <c r="G1717">
        <v>8633</v>
      </c>
      <c r="H1717" s="32">
        <f t="shared" si="26"/>
        <v>3.4120236302559945</v>
      </c>
      <c r="I1717">
        <v>1</v>
      </c>
      <c r="J1717" t="s">
        <v>21</v>
      </c>
    </row>
    <row r="1718" spans="1:10" x14ac:dyDescent="0.25">
      <c r="A1718">
        <v>58829</v>
      </c>
      <c r="B1718" t="s">
        <v>3299</v>
      </c>
      <c r="C1718" t="s">
        <v>708</v>
      </c>
      <c r="D1718" t="s">
        <v>2241</v>
      </c>
      <c r="E1718" t="s">
        <v>2242</v>
      </c>
      <c r="F1718">
        <v>27129</v>
      </c>
      <c r="G1718">
        <v>7951</v>
      </c>
      <c r="H1718" s="32">
        <f t="shared" si="26"/>
        <v>3.4120236448245502</v>
      </c>
      <c r="I1718">
        <v>1</v>
      </c>
      <c r="J1718" t="s">
        <v>21</v>
      </c>
    </row>
    <row r="1719" spans="1:10" x14ac:dyDescent="0.25">
      <c r="A1719">
        <v>59113</v>
      </c>
      <c r="B1719" t="s">
        <v>3378</v>
      </c>
      <c r="C1719" t="s">
        <v>708</v>
      </c>
      <c r="D1719" t="s">
        <v>2241</v>
      </c>
      <c r="E1719" t="s">
        <v>2242</v>
      </c>
      <c r="F1719">
        <v>30193</v>
      </c>
      <c r="G1719">
        <v>8849</v>
      </c>
      <c r="H1719" s="32">
        <f t="shared" si="26"/>
        <v>3.412023957509323</v>
      </c>
      <c r="I1719">
        <v>1</v>
      </c>
      <c r="J1719" t="s">
        <v>21</v>
      </c>
    </row>
    <row r="1720" spans="1:10" x14ac:dyDescent="0.25">
      <c r="A1720">
        <v>60240</v>
      </c>
      <c r="B1720" t="s">
        <v>3715</v>
      </c>
      <c r="C1720" t="s">
        <v>708</v>
      </c>
      <c r="D1720" t="s">
        <v>2241</v>
      </c>
      <c r="E1720" t="s">
        <v>2242</v>
      </c>
      <c r="F1720">
        <v>30193</v>
      </c>
      <c r="G1720">
        <v>8849</v>
      </c>
      <c r="H1720" s="32">
        <f t="shared" si="26"/>
        <v>3.412023957509323</v>
      </c>
      <c r="I1720">
        <v>1</v>
      </c>
      <c r="J1720" t="s">
        <v>21</v>
      </c>
    </row>
    <row r="1721" spans="1:10" x14ac:dyDescent="0.25">
      <c r="A1721">
        <v>58701</v>
      </c>
      <c r="B1721" t="s">
        <v>3258</v>
      </c>
      <c r="C1721" t="s">
        <v>708</v>
      </c>
      <c r="D1721" t="s">
        <v>2241</v>
      </c>
      <c r="E1721" t="s">
        <v>2242</v>
      </c>
      <c r="F1721">
        <v>117592</v>
      </c>
      <c r="G1721">
        <v>34464</v>
      </c>
      <c r="H1721" s="32">
        <f t="shared" si="26"/>
        <v>3.4120241411327763</v>
      </c>
      <c r="I1721">
        <v>1</v>
      </c>
      <c r="J1721" t="s">
        <v>21</v>
      </c>
    </row>
    <row r="1722" spans="1:10" x14ac:dyDescent="0.25">
      <c r="A1722">
        <v>66122</v>
      </c>
      <c r="B1722" t="s">
        <v>4863</v>
      </c>
      <c r="C1722" t="s">
        <v>201</v>
      </c>
      <c r="D1722" t="s">
        <v>2241</v>
      </c>
      <c r="E1722" t="s">
        <v>2242</v>
      </c>
      <c r="F1722">
        <v>13904</v>
      </c>
      <c r="G1722">
        <v>4075</v>
      </c>
      <c r="H1722" s="32">
        <f t="shared" si="26"/>
        <v>3.4120245398773008</v>
      </c>
      <c r="I1722">
        <v>1</v>
      </c>
      <c r="J1722" t="s">
        <v>21</v>
      </c>
    </row>
    <row r="1723" spans="1:10" x14ac:dyDescent="0.25">
      <c r="A1723">
        <v>62942</v>
      </c>
      <c r="B1723" t="s">
        <v>4259</v>
      </c>
      <c r="C1723" t="s">
        <v>322</v>
      </c>
      <c r="D1723" t="s">
        <v>2241</v>
      </c>
      <c r="E1723" t="s">
        <v>2242</v>
      </c>
      <c r="F1723">
        <v>35526</v>
      </c>
      <c r="G1723">
        <v>10412</v>
      </c>
      <c r="H1723" s="32">
        <f t="shared" si="26"/>
        <v>3.4120245870149826</v>
      </c>
      <c r="I1723">
        <v>1</v>
      </c>
      <c r="J1723" t="s">
        <v>21</v>
      </c>
    </row>
    <row r="1724" spans="1:10" x14ac:dyDescent="0.25">
      <c r="A1724">
        <v>63452</v>
      </c>
      <c r="B1724" t="s">
        <v>4356</v>
      </c>
      <c r="C1724" t="s">
        <v>241</v>
      </c>
      <c r="D1724" t="s">
        <v>2241</v>
      </c>
      <c r="E1724" t="s">
        <v>2242</v>
      </c>
      <c r="F1724">
        <v>33141</v>
      </c>
      <c r="G1724">
        <v>9713</v>
      </c>
      <c r="H1724" s="32">
        <f t="shared" si="26"/>
        <v>3.4120251209718933</v>
      </c>
      <c r="I1724">
        <v>1</v>
      </c>
      <c r="J1724" t="s">
        <v>21</v>
      </c>
    </row>
    <row r="1725" spans="1:10" x14ac:dyDescent="0.25">
      <c r="A1725">
        <v>58670</v>
      </c>
      <c r="B1725" t="s">
        <v>3249</v>
      </c>
      <c r="C1725" t="s">
        <v>708</v>
      </c>
      <c r="D1725" t="s">
        <v>2241</v>
      </c>
      <c r="E1725" t="s">
        <v>2242</v>
      </c>
      <c r="F1725">
        <v>23891</v>
      </c>
      <c r="G1725">
        <v>7002</v>
      </c>
      <c r="H1725" s="32">
        <f t="shared" si="26"/>
        <v>3.4120251356755213</v>
      </c>
      <c r="I1725">
        <v>1</v>
      </c>
      <c r="J1725" t="s">
        <v>21</v>
      </c>
    </row>
    <row r="1726" spans="1:10" x14ac:dyDescent="0.25">
      <c r="A1726">
        <v>61658</v>
      </c>
      <c r="B1726" t="s">
        <v>4046</v>
      </c>
      <c r="C1726" t="s">
        <v>708</v>
      </c>
      <c r="D1726" t="s">
        <v>2241</v>
      </c>
      <c r="E1726" t="s">
        <v>2242</v>
      </c>
      <c r="F1726">
        <v>10782</v>
      </c>
      <c r="G1726">
        <v>3160</v>
      </c>
      <c r="H1726" s="32">
        <f t="shared" si="26"/>
        <v>3.4120253164556962</v>
      </c>
      <c r="I1726">
        <v>1</v>
      </c>
      <c r="J1726" t="s">
        <v>21</v>
      </c>
    </row>
    <row r="1727" spans="1:10" x14ac:dyDescent="0.25">
      <c r="A1727">
        <v>60555</v>
      </c>
      <c r="B1727" t="s">
        <v>3798</v>
      </c>
      <c r="C1727" t="s">
        <v>2029</v>
      </c>
      <c r="D1727" t="s">
        <v>2241</v>
      </c>
      <c r="E1727" t="s">
        <v>2242</v>
      </c>
      <c r="F1727">
        <v>94711</v>
      </c>
      <c r="G1727">
        <v>27758</v>
      </c>
      <c r="H1727" s="32">
        <f t="shared" si="26"/>
        <v>3.4120253620577849</v>
      </c>
      <c r="I1727">
        <v>1</v>
      </c>
      <c r="J1727" t="s">
        <v>21</v>
      </c>
    </row>
    <row r="1728" spans="1:10" x14ac:dyDescent="0.25">
      <c r="A1728">
        <v>66097</v>
      </c>
      <c r="B1728" t="s">
        <v>4848</v>
      </c>
      <c r="C1728" t="s">
        <v>143</v>
      </c>
      <c r="D1728" t="s">
        <v>2241</v>
      </c>
      <c r="E1728" t="s">
        <v>2242</v>
      </c>
      <c r="F1728">
        <v>6923</v>
      </c>
      <c r="G1728">
        <v>2029</v>
      </c>
      <c r="H1728" s="32">
        <f t="shared" si="26"/>
        <v>3.4120256283883688</v>
      </c>
      <c r="I1728">
        <v>1</v>
      </c>
      <c r="J1728" t="s">
        <v>21</v>
      </c>
    </row>
    <row r="1729" spans="1:10" x14ac:dyDescent="0.25">
      <c r="A1729">
        <v>63024</v>
      </c>
      <c r="B1729" t="s">
        <v>4280</v>
      </c>
      <c r="C1729" t="s">
        <v>708</v>
      </c>
      <c r="D1729" t="s">
        <v>2241</v>
      </c>
      <c r="E1729" t="s">
        <v>2242</v>
      </c>
      <c r="F1729">
        <v>70762</v>
      </c>
      <c r="G1729">
        <v>20739</v>
      </c>
      <c r="H1729" s="32">
        <f t="shared" si="26"/>
        <v>3.4120256521529484</v>
      </c>
      <c r="I1729">
        <v>1</v>
      </c>
      <c r="J1729" t="s">
        <v>21</v>
      </c>
    </row>
    <row r="1730" spans="1:10" x14ac:dyDescent="0.25">
      <c r="A1730">
        <v>66119</v>
      </c>
      <c r="B1730" t="s">
        <v>4860</v>
      </c>
      <c r="C1730" t="s">
        <v>201</v>
      </c>
      <c r="D1730" t="s">
        <v>2241</v>
      </c>
      <c r="E1730" t="s">
        <v>2242</v>
      </c>
      <c r="F1730">
        <v>22301</v>
      </c>
      <c r="G1730">
        <v>6536</v>
      </c>
      <c r="H1730" s="32">
        <f t="shared" ref="H1730:H1793" si="27">IF(AND(F1730&gt;0,G1730&gt;0),F1730/G1730,"")</f>
        <v>3.4120257037943698</v>
      </c>
      <c r="I1730">
        <v>1</v>
      </c>
      <c r="J1730" t="s">
        <v>21</v>
      </c>
    </row>
    <row r="1731" spans="1:10" x14ac:dyDescent="0.25">
      <c r="A1731">
        <v>67683</v>
      </c>
      <c r="B1731" t="s">
        <v>5140</v>
      </c>
      <c r="C1731" t="s">
        <v>166</v>
      </c>
      <c r="D1731" t="s">
        <v>2241</v>
      </c>
      <c r="E1731" t="s">
        <v>2242</v>
      </c>
      <c r="F1731">
        <v>8455</v>
      </c>
      <c r="G1731">
        <v>2478</v>
      </c>
      <c r="H1731" s="32">
        <f t="shared" si="27"/>
        <v>3.4120258272800648</v>
      </c>
      <c r="I1731">
        <v>1</v>
      </c>
      <c r="J1731" t="s">
        <v>21</v>
      </c>
    </row>
    <row r="1732" spans="1:10" x14ac:dyDescent="0.25">
      <c r="A1732">
        <v>67678</v>
      </c>
      <c r="B1732" t="s">
        <v>5137</v>
      </c>
      <c r="C1732" t="s">
        <v>250</v>
      </c>
      <c r="D1732" t="s">
        <v>2241</v>
      </c>
      <c r="E1732" t="s">
        <v>2242</v>
      </c>
      <c r="F1732">
        <v>39948</v>
      </c>
      <c r="G1732">
        <v>11708</v>
      </c>
      <c r="H1732" s="32">
        <f t="shared" si="27"/>
        <v>3.4120259651520328</v>
      </c>
      <c r="I1732">
        <v>1</v>
      </c>
      <c r="J1732" t="s">
        <v>21</v>
      </c>
    </row>
    <row r="1733" spans="1:10" x14ac:dyDescent="0.25">
      <c r="A1733">
        <v>59155</v>
      </c>
      <c r="B1733" t="s">
        <v>3396</v>
      </c>
      <c r="C1733" t="s">
        <v>708</v>
      </c>
      <c r="D1733" t="s">
        <v>2241</v>
      </c>
      <c r="E1733" t="s">
        <v>2242</v>
      </c>
      <c r="F1733">
        <v>119049</v>
      </c>
      <c r="G1733">
        <v>34891</v>
      </c>
      <c r="H1733" s="32">
        <f t="shared" si="27"/>
        <v>3.412026023903012</v>
      </c>
      <c r="I1733">
        <v>1</v>
      </c>
      <c r="J1733" t="s">
        <v>21</v>
      </c>
    </row>
    <row r="1734" spans="1:10" x14ac:dyDescent="0.25">
      <c r="A1734">
        <v>59592</v>
      </c>
      <c r="B1734" t="s">
        <v>3531</v>
      </c>
      <c r="C1734" t="s">
        <v>708</v>
      </c>
      <c r="D1734" t="s">
        <v>2241</v>
      </c>
      <c r="E1734" t="s">
        <v>2242</v>
      </c>
      <c r="F1734">
        <v>29166</v>
      </c>
      <c r="G1734">
        <v>8548</v>
      </c>
      <c r="H1734" s="32">
        <f t="shared" si="27"/>
        <v>3.4120262049602248</v>
      </c>
      <c r="I1734">
        <v>1</v>
      </c>
      <c r="J1734" t="s">
        <v>21</v>
      </c>
    </row>
    <row r="1735" spans="1:10" x14ac:dyDescent="0.25">
      <c r="A1735">
        <v>63015</v>
      </c>
      <c r="B1735" t="s">
        <v>4274</v>
      </c>
      <c r="C1735" t="s">
        <v>708</v>
      </c>
      <c r="D1735" t="s">
        <v>2241</v>
      </c>
      <c r="E1735" t="s">
        <v>2242</v>
      </c>
      <c r="F1735">
        <v>29166</v>
      </c>
      <c r="G1735">
        <v>8548</v>
      </c>
      <c r="H1735" s="32">
        <f t="shared" si="27"/>
        <v>3.4120262049602248</v>
      </c>
      <c r="I1735">
        <v>1</v>
      </c>
      <c r="J1735" t="s">
        <v>21</v>
      </c>
    </row>
    <row r="1736" spans="1:10" x14ac:dyDescent="0.25">
      <c r="A1736">
        <v>58605</v>
      </c>
      <c r="B1736" t="s">
        <v>3236</v>
      </c>
      <c r="C1736" t="s">
        <v>708</v>
      </c>
      <c r="D1736" t="s">
        <v>2241</v>
      </c>
      <c r="E1736" t="s">
        <v>2242</v>
      </c>
      <c r="F1736">
        <v>31435</v>
      </c>
      <c r="G1736">
        <v>9213</v>
      </c>
      <c r="H1736" s="32">
        <f t="shared" si="27"/>
        <v>3.4120264843156409</v>
      </c>
      <c r="I1736">
        <v>1</v>
      </c>
      <c r="J1736" t="s">
        <v>21</v>
      </c>
    </row>
    <row r="1737" spans="1:10" x14ac:dyDescent="0.25">
      <c r="A1737">
        <v>65465</v>
      </c>
      <c r="B1737" t="s">
        <v>4751</v>
      </c>
      <c r="C1737" t="s">
        <v>241</v>
      </c>
      <c r="D1737" t="s">
        <v>2241</v>
      </c>
      <c r="E1737" t="s">
        <v>2242</v>
      </c>
      <c r="F1737">
        <v>55947</v>
      </c>
      <c r="G1737">
        <v>16397</v>
      </c>
      <c r="H1737" s="32">
        <f t="shared" si="27"/>
        <v>3.4120265902299201</v>
      </c>
      <c r="I1737">
        <v>1</v>
      </c>
      <c r="J1737" t="s">
        <v>21</v>
      </c>
    </row>
    <row r="1738" spans="1:10" x14ac:dyDescent="0.25">
      <c r="A1738">
        <v>67530</v>
      </c>
      <c r="B1738" t="s">
        <v>5110</v>
      </c>
      <c r="C1738" t="s">
        <v>201</v>
      </c>
      <c r="D1738" t="s">
        <v>2241</v>
      </c>
      <c r="E1738" t="s">
        <v>2242</v>
      </c>
      <c r="F1738">
        <v>36710</v>
      </c>
      <c r="G1738">
        <v>10759</v>
      </c>
      <c r="H1738" s="32">
        <f t="shared" si="27"/>
        <v>3.4120271400687798</v>
      </c>
      <c r="I1738">
        <v>1</v>
      </c>
      <c r="J1738" t="s">
        <v>21</v>
      </c>
    </row>
    <row r="1739" spans="1:10" x14ac:dyDescent="0.25">
      <c r="A1739">
        <v>70211</v>
      </c>
      <c r="B1739" t="s">
        <v>5422</v>
      </c>
      <c r="C1739" t="s">
        <v>307</v>
      </c>
      <c r="D1739" t="s">
        <v>2241</v>
      </c>
      <c r="E1739" t="s">
        <v>2242</v>
      </c>
      <c r="F1739">
        <v>258195</v>
      </c>
      <c r="G1739">
        <v>75672</v>
      </c>
      <c r="H1739" s="32">
        <f t="shared" si="27"/>
        <v>3.4120282270853157</v>
      </c>
      <c r="I1739">
        <v>1</v>
      </c>
      <c r="J1739" t="s">
        <v>21</v>
      </c>
    </row>
    <row r="1740" spans="1:10" x14ac:dyDescent="0.25">
      <c r="A1740">
        <v>61257</v>
      </c>
      <c r="B1740" t="s">
        <v>3967</v>
      </c>
      <c r="C1740" t="s">
        <v>708</v>
      </c>
      <c r="D1740" t="s">
        <v>2241</v>
      </c>
      <c r="E1740" t="s">
        <v>2242</v>
      </c>
      <c r="F1740">
        <v>23601</v>
      </c>
      <c r="G1740">
        <v>6917</v>
      </c>
      <c r="H1740" s="32">
        <f t="shared" si="27"/>
        <v>3.4120283359838082</v>
      </c>
      <c r="I1740">
        <v>1</v>
      </c>
      <c r="J1740" t="s">
        <v>21</v>
      </c>
    </row>
    <row r="1741" spans="1:10" x14ac:dyDescent="0.25">
      <c r="A1741">
        <v>69735</v>
      </c>
      <c r="B1741" t="s">
        <v>5397</v>
      </c>
      <c r="C1741" t="s">
        <v>166</v>
      </c>
      <c r="D1741" t="s">
        <v>2241</v>
      </c>
      <c r="E1741" t="s">
        <v>2242</v>
      </c>
      <c r="F1741">
        <v>18268</v>
      </c>
      <c r="G1741">
        <v>5354</v>
      </c>
      <c r="H1741" s="32">
        <f t="shared" si="27"/>
        <v>3.4120283899887935</v>
      </c>
      <c r="I1741">
        <v>1</v>
      </c>
      <c r="J1741" t="s">
        <v>21</v>
      </c>
    </row>
    <row r="1742" spans="1:10" x14ac:dyDescent="0.25">
      <c r="A1742">
        <v>60584</v>
      </c>
      <c r="B1742" t="s">
        <v>3808</v>
      </c>
      <c r="C1742" t="s">
        <v>201</v>
      </c>
      <c r="D1742" t="s">
        <v>2241</v>
      </c>
      <c r="E1742" t="s">
        <v>2242</v>
      </c>
      <c r="F1742">
        <v>101832</v>
      </c>
      <c r="G1742">
        <v>29845</v>
      </c>
      <c r="H1742" s="32">
        <f t="shared" si="27"/>
        <v>3.4120288155469929</v>
      </c>
      <c r="I1742">
        <v>1</v>
      </c>
      <c r="J1742" t="s">
        <v>21</v>
      </c>
    </row>
    <row r="1743" spans="1:10" x14ac:dyDescent="0.25">
      <c r="A1743">
        <v>60367</v>
      </c>
      <c r="B1743" t="s">
        <v>3746</v>
      </c>
      <c r="C1743" t="s">
        <v>708</v>
      </c>
      <c r="D1743" t="s">
        <v>2241</v>
      </c>
      <c r="E1743" t="s">
        <v>2242</v>
      </c>
      <c r="F1743">
        <v>37215</v>
      </c>
      <c r="G1743">
        <v>10907</v>
      </c>
      <c r="H1743" s="32">
        <f t="shared" si="27"/>
        <v>3.4120289722196753</v>
      </c>
      <c r="I1743">
        <v>1</v>
      </c>
      <c r="J1743" t="s">
        <v>21</v>
      </c>
    </row>
    <row r="1744" spans="1:10" x14ac:dyDescent="0.25">
      <c r="A1744">
        <v>59824</v>
      </c>
      <c r="B1744" t="s">
        <v>3587</v>
      </c>
      <c r="C1744" t="s">
        <v>708</v>
      </c>
      <c r="D1744" t="s">
        <v>2241</v>
      </c>
      <c r="E1744" t="s">
        <v>2242</v>
      </c>
      <c r="F1744">
        <v>31882</v>
      </c>
      <c r="G1744">
        <v>9344</v>
      </c>
      <c r="H1744" s="32">
        <f t="shared" si="27"/>
        <v>3.4120291095890409</v>
      </c>
      <c r="I1744">
        <v>1</v>
      </c>
      <c r="J1744" t="s">
        <v>21</v>
      </c>
    </row>
    <row r="1745" spans="1:10" x14ac:dyDescent="0.25">
      <c r="A1745">
        <v>57337</v>
      </c>
      <c r="B1745" t="s">
        <v>2969</v>
      </c>
      <c r="C1745" t="s">
        <v>672</v>
      </c>
      <c r="D1745" t="s">
        <v>2241</v>
      </c>
      <c r="E1745" t="s">
        <v>2242</v>
      </c>
      <c r="F1745">
        <v>40958</v>
      </c>
      <c r="G1745">
        <v>12004</v>
      </c>
      <c r="H1745" s="32">
        <f t="shared" si="27"/>
        <v>3.4120293235588139</v>
      </c>
      <c r="I1745">
        <v>1</v>
      </c>
      <c r="J1745" t="s">
        <v>21</v>
      </c>
    </row>
    <row r="1746" spans="1:10" x14ac:dyDescent="0.25">
      <c r="A1746">
        <v>58135</v>
      </c>
      <c r="B1746" t="s">
        <v>3118</v>
      </c>
      <c r="C1746" t="s">
        <v>708</v>
      </c>
      <c r="D1746" t="s">
        <v>2241</v>
      </c>
      <c r="E1746" t="s">
        <v>2242</v>
      </c>
      <c r="F1746">
        <v>58373</v>
      </c>
      <c r="G1746">
        <v>17108</v>
      </c>
      <c r="H1746" s="32">
        <f t="shared" si="27"/>
        <v>3.4120294599018002</v>
      </c>
      <c r="I1746">
        <v>1</v>
      </c>
      <c r="J1746" t="s">
        <v>21</v>
      </c>
    </row>
    <row r="1747" spans="1:10" x14ac:dyDescent="0.25">
      <c r="A1747">
        <v>60917</v>
      </c>
      <c r="B1747" t="s">
        <v>3902</v>
      </c>
      <c r="C1747" t="s">
        <v>201</v>
      </c>
      <c r="D1747" t="s">
        <v>2241</v>
      </c>
      <c r="E1747" t="s">
        <v>2242</v>
      </c>
      <c r="F1747">
        <v>109086</v>
      </c>
      <c r="G1747">
        <v>31971</v>
      </c>
      <c r="H1747" s="32">
        <f t="shared" si="27"/>
        <v>3.4120296518720088</v>
      </c>
      <c r="I1747">
        <v>1</v>
      </c>
      <c r="J1747" t="s">
        <v>21</v>
      </c>
    </row>
    <row r="1748" spans="1:10" x14ac:dyDescent="0.25">
      <c r="A1748">
        <v>70290</v>
      </c>
      <c r="B1748" t="s">
        <v>5451</v>
      </c>
      <c r="C1748" t="s">
        <v>166</v>
      </c>
      <c r="D1748" t="s">
        <v>2241</v>
      </c>
      <c r="E1748" t="s">
        <v>2242</v>
      </c>
      <c r="F1748">
        <v>15146</v>
      </c>
      <c r="G1748">
        <v>4439</v>
      </c>
      <c r="H1748" s="32">
        <f t="shared" si="27"/>
        <v>3.4120297364271233</v>
      </c>
      <c r="I1748">
        <v>1</v>
      </c>
      <c r="J1748" t="s">
        <v>21</v>
      </c>
    </row>
    <row r="1749" spans="1:10" x14ac:dyDescent="0.25">
      <c r="A1749">
        <v>58792</v>
      </c>
      <c r="B1749" t="s">
        <v>3279</v>
      </c>
      <c r="C1749" t="s">
        <v>708</v>
      </c>
      <c r="D1749" t="s">
        <v>2241</v>
      </c>
      <c r="E1749" t="s">
        <v>2242</v>
      </c>
      <c r="F1749">
        <v>121789</v>
      </c>
      <c r="G1749">
        <v>35694</v>
      </c>
      <c r="H1749" s="32">
        <f t="shared" si="27"/>
        <v>3.4120300330587772</v>
      </c>
      <c r="I1749">
        <v>1</v>
      </c>
      <c r="J1749" t="s">
        <v>21</v>
      </c>
    </row>
    <row r="1750" spans="1:10" x14ac:dyDescent="0.25">
      <c r="A1750">
        <v>60740</v>
      </c>
      <c r="B1750" t="s">
        <v>3853</v>
      </c>
      <c r="C1750" t="s">
        <v>241</v>
      </c>
      <c r="D1750" t="s">
        <v>2241</v>
      </c>
      <c r="E1750" t="s">
        <v>2242</v>
      </c>
      <c r="F1750">
        <v>9076</v>
      </c>
      <c r="G1750">
        <v>2660</v>
      </c>
      <c r="H1750" s="32">
        <f t="shared" si="27"/>
        <v>3.4120300751879697</v>
      </c>
      <c r="I1750">
        <v>1</v>
      </c>
      <c r="J1750" t="s">
        <v>21</v>
      </c>
    </row>
    <row r="1751" spans="1:10" x14ac:dyDescent="0.25">
      <c r="A1751">
        <v>61954</v>
      </c>
      <c r="B1751" t="s">
        <v>4089</v>
      </c>
      <c r="C1751" t="s">
        <v>250</v>
      </c>
      <c r="D1751" t="s">
        <v>2241</v>
      </c>
      <c r="E1751" t="s">
        <v>2242</v>
      </c>
      <c r="F1751">
        <v>44585</v>
      </c>
      <c r="G1751">
        <v>13067</v>
      </c>
      <c r="H1751" s="32">
        <f t="shared" si="27"/>
        <v>3.4120303053493535</v>
      </c>
      <c r="I1751">
        <v>1</v>
      </c>
      <c r="J1751" t="s">
        <v>21</v>
      </c>
    </row>
    <row r="1752" spans="1:10" x14ac:dyDescent="0.25">
      <c r="A1752">
        <v>66719</v>
      </c>
      <c r="B1752" t="s">
        <v>4949</v>
      </c>
      <c r="C1752" t="s">
        <v>708</v>
      </c>
      <c r="D1752" t="s">
        <v>2241</v>
      </c>
      <c r="E1752" t="s">
        <v>2242</v>
      </c>
      <c r="F1752">
        <v>27170</v>
      </c>
      <c r="G1752">
        <v>7963</v>
      </c>
      <c r="H1752" s="32">
        <f t="shared" si="27"/>
        <v>3.4120306417179456</v>
      </c>
      <c r="I1752">
        <v>1</v>
      </c>
      <c r="J1752" t="s">
        <v>21</v>
      </c>
    </row>
    <row r="1753" spans="1:10" x14ac:dyDescent="0.25">
      <c r="A1753">
        <v>60806</v>
      </c>
      <c r="B1753" t="s">
        <v>3880</v>
      </c>
      <c r="C1753" t="s">
        <v>241</v>
      </c>
      <c r="D1753" t="s">
        <v>2241</v>
      </c>
      <c r="E1753" t="s">
        <v>2242</v>
      </c>
      <c r="F1753">
        <v>7544</v>
      </c>
      <c r="G1753">
        <v>2211</v>
      </c>
      <c r="H1753" s="32">
        <f t="shared" si="27"/>
        <v>3.4120307553143374</v>
      </c>
      <c r="I1753">
        <v>1</v>
      </c>
      <c r="J1753" t="s">
        <v>21</v>
      </c>
    </row>
    <row r="1754" spans="1:10" x14ac:dyDescent="0.25">
      <c r="A1754">
        <v>62127</v>
      </c>
      <c r="B1754" t="s">
        <v>4120</v>
      </c>
      <c r="C1754" t="s">
        <v>708</v>
      </c>
      <c r="D1754" t="s">
        <v>2241</v>
      </c>
      <c r="E1754" t="s">
        <v>2242</v>
      </c>
      <c r="F1754">
        <v>12819</v>
      </c>
      <c r="G1754">
        <v>3757</v>
      </c>
      <c r="H1754" s="32">
        <f t="shared" si="27"/>
        <v>3.4120308756986959</v>
      </c>
      <c r="I1754">
        <v>1</v>
      </c>
      <c r="J1754" t="s">
        <v>21</v>
      </c>
    </row>
    <row r="1755" spans="1:10" x14ac:dyDescent="0.25">
      <c r="A1755">
        <v>63195</v>
      </c>
      <c r="B1755" t="s">
        <v>4302</v>
      </c>
      <c r="C1755" t="s">
        <v>241</v>
      </c>
      <c r="D1755" t="s">
        <v>2241</v>
      </c>
      <c r="E1755" t="s">
        <v>2242</v>
      </c>
      <c r="F1755">
        <v>12819</v>
      </c>
      <c r="G1755">
        <v>3757</v>
      </c>
      <c r="H1755" s="32">
        <f t="shared" si="27"/>
        <v>3.4120308756986959</v>
      </c>
      <c r="I1755">
        <v>1</v>
      </c>
      <c r="J1755" t="s">
        <v>21</v>
      </c>
    </row>
    <row r="1756" spans="1:10" x14ac:dyDescent="0.25">
      <c r="A1756">
        <v>60945</v>
      </c>
      <c r="B1756" t="s">
        <v>3909</v>
      </c>
      <c r="C1756" t="s">
        <v>250</v>
      </c>
      <c r="D1756" t="s">
        <v>2241</v>
      </c>
      <c r="E1756" t="s">
        <v>2242</v>
      </c>
      <c r="F1756">
        <v>41463</v>
      </c>
      <c r="G1756">
        <v>12152</v>
      </c>
      <c r="H1756" s="32">
        <f t="shared" si="27"/>
        <v>3.4120309414088217</v>
      </c>
      <c r="I1756">
        <v>1</v>
      </c>
      <c r="J1756" t="s">
        <v>21</v>
      </c>
    </row>
    <row r="1757" spans="1:10" x14ac:dyDescent="0.25">
      <c r="A1757">
        <v>63324</v>
      </c>
      <c r="B1757" t="s">
        <v>4327</v>
      </c>
      <c r="C1757" t="s">
        <v>131</v>
      </c>
      <c r="D1757" t="s">
        <v>2241</v>
      </c>
      <c r="E1757" t="s">
        <v>2242</v>
      </c>
      <c r="F1757">
        <v>6012</v>
      </c>
      <c r="G1757">
        <v>1762</v>
      </c>
      <c r="H1757" s="32">
        <f t="shared" si="27"/>
        <v>3.4120317820658341</v>
      </c>
      <c r="I1757">
        <v>1</v>
      </c>
      <c r="J1757" t="s">
        <v>21</v>
      </c>
    </row>
    <row r="1758" spans="1:10" x14ac:dyDescent="0.25">
      <c r="A1758">
        <v>67405</v>
      </c>
      <c r="B1758" t="s">
        <v>5095</v>
      </c>
      <c r="C1758" t="s">
        <v>307</v>
      </c>
      <c r="D1758" t="s">
        <v>2241</v>
      </c>
      <c r="E1758" t="s">
        <v>2242</v>
      </c>
      <c r="F1758">
        <v>27054</v>
      </c>
      <c r="G1758">
        <v>7929</v>
      </c>
      <c r="H1758" s="32">
        <f t="shared" si="27"/>
        <v>3.4120317820658341</v>
      </c>
      <c r="I1758">
        <v>1</v>
      </c>
      <c r="J1758" t="s">
        <v>21</v>
      </c>
    </row>
    <row r="1759" spans="1:10" x14ac:dyDescent="0.25">
      <c r="A1759">
        <v>62140</v>
      </c>
      <c r="B1759" t="s">
        <v>4125</v>
      </c>
      <c r="C1759" t="s">
        <v>201</v>
      </c>
      <c r="D1759" t="s">
        <v>2241</v>
      </c>
      <c r="E1759" t="s">
        <v>2242</v>
      </c>
      <c r="F1759">
        <v>91538</v>
      </c>
      <c r="G1759">
        <v>26828</v>
      </c>
      <c r="H1759" s="32">
        <f t="shared" si="27"/>
        <v>3.4120322051587895</v>
      </c>
      <c r="I1759">
        <v>1</v>
      </c>
      <c r="J1759" t="s">
        <v>21</v>
      </c>
    </row>
    <row r="1760" spans="1:10" x14ac:dyDescent="0.25">
      <c r="A1760">
        <v>65630</v>
      </c>
      <c r="B1760" t="s">
        <v>4784</v>
      </c>
      <c r="C1760" t="s">
        <v>2029</v>
      </c>
      <c r="D1760" t="s">
        <v>2241</v>
      </c>
      <c r="E1760" t="s">
        <v>2242</v>
      </c>
      <c r="F1760">
        <v>235420</v>
      </c>
      <c r="G1760">
        <v>68997</v>
      </c>
      <c r="H1760" s="32">
        <f t="shared" si="27"/>
        <v>3.4120324072061106</v>
      </c>
      <c r="I1760">
        <v>1</v>
      </c>
      <c r="J1760" t="s">
        <v>21</v>
      </c>
    </row>
    <row r="1761" spans="1:10" x14ac:dyDescent="0.25">
      <c r="A1761">
        <v>61781</v>
      </c>
      <c r="B1761" t="s">
        <v>4061</v>
      </c>
      <c r="C1761" t="s">
        <v>708</v>
      </c>
      <c r="D1761" t="s">
        <v>2241</v>
      </c>
      <c r="E1761" t="s">
        <v>2242</v>
      </c>
      <c r="F1761">
        <v>30739</v>
      </c>
      <c r="G1761">
        <v>9009</v>
      </c>
      <c r="H1761" s="32">
        <f t="shared" si="27"/>
        <v>3.4120324120324121</v>
      </c>
      <c r="I1761">
        <v>1</v>
      </c>
      <c r="J1761" t="s">
        <v>21</v>
      </c>
    </row>
    <row r="1762" spans="1:10" x14ac:dyDescent="0.25">
      <c r="A1762">
        <v>65639</v>
      </c>
      <c r="B1762" t="s">
        <v>4786</v>
      </c>
      <c r="C1762" t="s">
        <v>2029</v>
      </c>
      <c r="D1762" t="s">
        <v>2241</v>
      </c>
      <c r="E1762" t="s">
        <v>2242</v>
      </c>
      <c r="F1762">
        <v>32950</v>
      </c>
      <c r="G1762">
        <v>9657</v>
      </c>
      <c r="H1762" s="32">
        <f t="shared" si="27"/>
        <v>3.4120327223775502</v>
      </c>
      <c r="I1762">
        <v>1</v>
      </c>
      <c r="J1762" t="s">
        <v>21</v>
      </c>
    </row>
    <row r="1763" spans="1:10" x14ac:dyDescent="0.25">
      <c r="A1763">
        <v>58569</v>
      </c>
      <c r="B1763" t="s">
        <v>3230</v>
      </c>
      <c r="C1763" t="s">
        <v>241</v>
      </c>
      <c r="D1763" t="s">
        <v>2241</v>
      </c>
      <c r="E1763" t="s">
        <v>2242</v>
      </c>
      <c r="F1763">
        <v>22458</v>
      </c>
      <c r="G1763">
        <v>6582</v>
      </c>
      <c r="H1763" s="32">
        <f t="shared" si="27"/>
        <v>3.4120328167730172</v>
      </c>
      <c r="I1763">
        <v>1</v>
      </c>
      <c r="J1763" t="s">
        <v>21</v>
      </c>
    </row>
    <row r="1764" spans="1:10" x14ac:dyDescent="0.25">
      <c r="A1764">
        <v>59581</v>
      </c>
      <c r="B1764" t="s">
        <v>3524</v>
      </c>
      <c r="C1764" t="s">
        <v>708</v>
      </c>
      <c r="D1764" t="s">
        <v>2241</v>
      </c>
      <c r="E1764" t="s">
        <v>2242</v>
      </c>
      <c r="F1764">
        <v>30681</v>
      </c>
      <c r="G1764">
        <v>8992</v>
      </c>
      <c r="H1764" s="32">
        <f t="shared" si="27"/>
        <v>3.4120329181494662</v>
      </c>
      <c r="I1764">
        <v>1</v>
      </c>
      <c r="J1764" t="s">
        <v>21</v>
      </c>
    </row>
    <row r="1765" spans="1:10" x14ac:dyDescent="0.25">
      <c r="A1765">
        <v>60778</v>
      </c>
      <c r="B1765" t="s">
        <v>3869</v>
      </c>
      <c r="C1765" t="s">
        <v>708</v>
      </c>
      <c r="D1765" t="s">
        <v>2241</v>
      </c>
      <c r="E1765" t="s">
        <v>2242</v>
      </c>
      <c r="F1765">
        <v>30681</v>
      </c>
      <c r="G1765">
        <v>8992</v>
      </c>
      <c r="H1765" s="32">
        <f t="shared" si="27"/>
        <v>3.4120329181494662</v>
      </c>
      <c r="I1765">
        <v>1</v>
      </c>
      <c r="J1765" t="s">
        <v>21</v>
      </c>
    </row>
    <row r="1766" spans="1:10" x14ac:dyDescent="0.25">
      <c r="A1766">
        <v>68894</v>
      </c>
      <c r="B1766" t="s">
        <v>5273</v>
      </c>
      <c r="C1766" t="s">
        <v>131</v>
      </c>
      <c r="D1766" t="s">
        <v>2241</v>
      </c>
      <c r="E1766" t="s">
        <v>2242</v>
      </c>
      <c r="F1766">
        <v>57619</v>
      </c>
      <c r="G1766">
        <v>16887</v>
      </c>
      <c r="H1766" s="32">
        <f t="shared" si="27"/>
        <v>3.4120329247350032</v>
      </c>
      <c r="I1766">
        <v>1</v>
      </c>
      <c r="J1766" t="s">
        <v>21</v>
      </c>
    </row>
    <row r="1767" spans="1:10" x14ac:dyDescent="0.25">
      <c r="A1767">
        <v>61978</v>
      </c>
      <c r="B1767" t="s">
        <v>4092</v>
      </c>
      <c r="C1767" t="s">
        <v>708</v>
      </c>
      <c r="D1767" t="s">
        <v>2241</v>
      </c>
      <c r="E1767" t="s">
        <v>2242</v>
      </c>
      <c r="F1767">
        <v>27675</v>
      </c>
      <c r="G1767">
        <v>8111</v>
      </c>
      <c r="H1767" s="32">
        <f t="shared" si="27"/>
        <v>3.4120330415485145</v>
      </c>
      <c r="I1767">
        <v>1</v>
      </c>
      <c r="J1767" t="s">
        <v>21</v>
      </c>
    </row>
    <row r="1768" spans="1:10" x14ac:dyDescent="0.25">
      <c r="A1768">
        <v>68232</v>
      </c>
      <c r="B1768" t="s">
        <v>5221</v>
      </c>
      <c r="C1768" t="s">
        <v>166</v>
      </c>
      <c r="D1768" t="s">
        <v>2241</v>
      </c>
      <c r="E1768" t="s">
        <v>2242</v>
      </c>
      <c r="F1768">
        <v>11966</v>
      </c>
      <c r="G1768">
        <v>3507</v>
      </c>
      <c r="H1768" s="32">
        <f t="shared" si="27"/>
        <v>3.4120330767037355</v>
      </c>
      <c r="I1768">
        <v>1</v>
      </c>
      <c r="J1768" t="s">
        <v>21</v>
      </c>
    </row>
    <row r="1769" spans="1:10" x14ac:dyDescent="0.25">
      <c r="A1769">
        <v>65314</v>
      </c>
      <c r="B1769" t="s">
        <v>4714</v>
      </c>
      <c r="C1769" t="s">
        <v>201</v>
      </c>
      <c r="D1769" t="s">
        <v>2241</v>
      </c>
      <c r="E1769" t="s">
        <v>2242</v>
      </c>
      <c r="F1769">
        <v>129357</v>
      </c>
      <c r="G1769">
        <v>37912</v>
      </c>
      <c r="H1769" s="32">
        <f t="shared" si="27"/>
        <v>3.4120331293521842</v>
      </c>
      <c r="I1769">
        <v>1</v>
      </c>
      <c r="J1769" t="s">
        <v>21</v>
      </c>
    </row>
    <row r="1770" spans="1:10" x14ac:dyDescent="0.25">
      <c r="A1770">
        <v>58623</v>
      </c>
      <c r="B1770" t="s">
        <v>3238</v>
      </c>
      <c r="C1770" t="s">
        <v>708</v>
      </c>
      <c r="D1770" t="s">
        <v>2241</v>
      </c>
      <c r="E1770" t="s">
        <v>2242</v>
      </c>
      <c r="F1770">
        <v>115229</v>
      </c>
      <c r="G1770">
        <v>33771.360000000001</v>
      </c>
      <c r="H1770" s="32">
        <f t="shared" si="27"/>
        <v>3.4120331547204494</v>
      </c>
      <c r="I1770">
        <v>1</v>
      </c>
      <c r="J1770" t="s">
        <v>21</v>
      </c>
    </row>
    <row r="1771" spans="1:10" x14ac:dyDescent="0.25">
      <c r="A1771">
        <v>66373</v>
      </c>
      <c r="B1771" t="s">
        <v>4890</v>
      </c>
      <c r="C1771" t="s">
        <v>708</v>
      </c>
      <c r="D1771" t="s">
        <v>2241</v>
      </c>
      <c r="E1771" t="s">
        <v>2242</v>
      </c>
      <c r="F1771">
        <v>37372</v>
      </c>
      <c r="G1771">
        <v>10953</v>
      </c>
      <c r="H1771" s="32">
        <f t="shared" si="27"/>
        <v>3.4120332329042271</v>
      </c>
      <c r="I1771">
        <v>1</v>
      </c>
      <c r="J1771" t="s">
        <v>21</v>
      </c>
    </row>
    <row r="1772" spans="1:10" x14ac:dyDescent="0.25">
      <c r="A1772">
        <v>67490</v>
      </c>
      <c r="B1772" t="s">
        <v>5107</v>
      </c>
      <c r="C1772" t="s">
        <v>307</v>
      </c>
      <c r="D1772" t="s">
        <v>2241</v>
      </c>
      <c r="E1772" t="s">
        <v>2242</v>
      </c>
      <c r="F1772">
        <v>36577</v>
      </c>
      <c r="G1772">
        <v>10720</v>
      </c>
      <c r="H1772" s="32">
        <f t="shared" si="27"/>
        <v>3.4120335820895522</v>
      </c>
      <c r="I1772">
        <v>1</v>
      </c>
      <c r="J1772" t="s">
        <v>21</v>
      </c>
    </row>
    <row r="1773" spans="1:10" x14ac:dyDescent="0.25">
      <c r="A1773">
        <v>63321</v>
      </c>
      <c r="B1773" t="s">
        <v>4324</v>
      </c>
      <c r="C1773" t="s">
        <v>250</v>
      </c>
      <c r="D1773" t="s">
        <v>2241</v>
      </c>
      <c r="E1773" t="s">
        <v>2242</v>
      </c>
      <c r="F1773">
        <v>142565</v>
      </c>
      <c r="G1773">
        <v>41783</v>
      </c>
      <c r="H1773" s="32">
        <f t="shared" si="27"/>
        <v>3.412033602182706</v>
      </c>
      <c r="I1773">
        <v>1</v>
      </c>
      <c r="J1773" t="s">
        <v>21</v>
      </c>
    </row>
    <row r="1774" spans="1:10" x14ac:dyDescent="0.25">
      <c r="A1774">
        <v>67053</v>
      </c>
      <c r="B1774" t="s">
        <v>5010</v>
      </c>
      <c r="C1774" t="s">
        <v>708</v>
      </c>
      <c r="D1774" t="s">
        <v>2241</v>
      </c>
      <c r="E1774" t="s">
        <v>2242</v>
      </c>
      <c r="F1774">
        <v>23874</v>
      </c>
      <c r="G1774">
        <v>6997</v>
      </c>
      <c r="H1774" s="32">
        <f t="shared" si="27"/>
        <v>3.4120337287408891</v>
      </c>
      <c r="I1774">
        <v>1</v>
      </c>
      <c r="J1774" t="s">
        <v>21</v>
      </c>
    </row>
    <row r="1775" spans="1:10" x14ac:dyDescent="0.25">
      <c r="A1775">
        <v>69875</v>
      </c>
      <c r="B1775" t="s">
        <v>5400</v>
      </c>
      <c r="C1775" t="s">
        <v>322</v>
      </c>
      <c r="D1775" t="s">
        <v>2241</v>
      </c>
      <c r="E1775" t="s">
        <v>2242</v>
      </c>
      <c r="F1775">
        <v>80524</v>
      </c>
      <c r="G1775">
        <v>23600</v>
      </c>
      <c r="H1775" s="32">
        <f t="shared" si="27"/>
        <v>3.4120338983050846</v>
      </c>
      <c r="I1775">
        <v>1</v>
      </c>
      <c r="J1775" t="s">
        <v>21</v>
      </c>
    </row>
    <row r="1776" spans="1:10" x14ac:dyDescent="0.25">
      <c r="A1776">
        <v>57458</v>
      </c>
      <c r="B1776" t="s">
        <v>2997</v>
      </c>
      <c r="C1776" t="s">
        <v>241</v>
      </c>
      <c r="D1776" t="s">
        <v>2241</v>
      </c>
      <c r="E1776" t="s">
        <v>2242</v>
      </c>
      <c r="F1776">
        <v>15651</v>
      </c>
      <c r="G1776">
        <v>4587</v>
      </c>
      <c r="H1776" s="32">
        <f t="shared" si="27"/>
        <v>3.4120340091563115</v>
      </c>
      <c r="I1776">
        <v>1</v>
      </c>
      <c r="J1776" t="s">
        <v>21</v>
      </c>
    </row>
    <row r="1777" spans="1:10" x14ac:dyDescent="0.25">
      <c r="A1777">
        <v>67102</v>
      </c>
      <c r="B1777" t="s">
        <v>5028</v>
      </c>
      <c r="C1777" t="s">
        <v>250</v>
      </c>
      <c r="D1777" t="s">
        <v>2241</v>
      </c>
      <c r="E1777" t="s">
        <v>2242</v>
      </c>
      <c r="F1777">
        <v>139269</v>
      </c>
      <c r="G1777">
        <v>40817</v>
      </c>
      <c r="H1777" s="32">
        <f t="shared" si="27"/>
        <v>3.4120342014356764</v>
      </c>
      <c r="I1777">
        <v>1</v>
      </c>
      <c r="J1777" t="s">
        <v>21</v>
      </c>
    </row>
    <row r="1778" spans="1:10" x14ac:dyDescent="0.25">
      <c r="A1778">
        <v>68077</v>
      </c>
      <c r="B1778" t="s">
        <v>5207</v>
      </c>
      <c r="C1778" t="s">
        <v>201</v>
      </c>
      <c r="D1778" t="s">
        <v>2241</v>
      </c>
      <c r="E1778" t="s">
        <v>2242</v>
      </c>
      <c r="F1778">
        <v>6691</v>
      </c>
      <c r="G1778">
        <v>1961</v>
      </c>
      <c r="H1778" s="32">
        <f t="shared" si="27"/>
        <v>3.4120346761856197</v>
      </c>
      <c r="I1778">
        <v>1</v>
      </c>
      <c r="J1778" t="s">
        <v>21</v>
      </c>
    </row>
    <row r="1779" spans="1:10" x14ac:dyDescent="0.25">
      <c r="A1779">
        <v>69419</v>
      </c>
      <c r="B1779" t="s">
        <v>5362</v>
      </c>
      <c r="C1779" t="s">
        <v>166</v>
      </c>
      <c r="D1779" t="s">
        <v>2241</v>
      </c>
      <c r="E1779" t="s">
        <v>2242</v>
      </c>
      <c r="F1779">
        <v>6691</v>
      </c>
      <c r="G1779">
        <v>1961</v>
      </c>
      <c r="H1779" s="32">
        <f t="shared" si="27"/>
        <v>3.4120346761856197</v>
      </c>
      <c r="I1779">
        <v>1</v>
      </c>
      <c r="J1779" t="s">
        <v>21</v>
      </c>
    </row>
    <row r="1780" spans="1:10" x14ac:dyDescent="0.25">
      <c r="A1780">
        <v>58333</v>
      </c>
      <c r="B1780" t="s">
        <v>3156</v>
      </c>
      <c r="C1780" t="s">
        <v>708</v>
      </c>
      <c r="D1780" t="s">
        <v>2241</v>
      </c>
      <c r="E1780" t="s">
        <v>2242</v>
      </c>
      <c r="F1780">
        <v>28238</v>
      </c>
      <c r="G1780">
        <v>8276</v>
      </c>
      <c r="H1780" s="32">
        <f t="shared" si="27"/>
        <v>3.4120347994200095</v>
      </c>
      <c r="I1780">
        <v>1</v>
      </c>
      <c r="J1780" t="s">
        <v>21</v>
      </c>
    </row>
    <row r="1781" spans="1:10" x14ac:dyDescent="0.25">
      <c r="A1781">
        <v>62990</v>
      </c>
      <c r="B1781" t="s">
        <v>4269</v>
      </c>
      <c r="C1781" t="s">
        <v>143</v>
      </c>
      <c r="D1781" t="s">
        <v>2241</v>
      </c>
      <c r="E1781" t="s">
        <v>2242</v>
      </c>
      <c r="F1781">
        <v>118732</v>
      </c>
      <c r="G1781">
        <v>34798</v>
      </c>
      <c r="H1781" s="32">
        <f t="shared" si="27"/>
        <v>3.4120351744353123</v>
      </c>
      <c r="I1781">
        <v>1</v>
      </c>
      <c r="J1781" t="s">
        <v>21</v>
      </c>
    </row>
    <row r="1782" spans="1:10" x14ac:dyDescent="0.25">
      <c r="A1782">
        <v>65641</v>
      </c>
      <c r="B1782" t="s">
        <v>4788</v>
      </c>
      <c r="C1782" t="s">
        <v>2029</v>
      </c>
      <c r="D1782" t="s">
        <v>2241</v>
      </c>
      <c r="E1782" t="s">
        <v>2242</v>
      </c>
      <c r="F1782">
        <v>47400</v>
      </c>
      <c r="G1782">
        <v>13892</v>
      </c>
      <c r="H1782" s="32">
        <f t="shared" si="27"/>
        <v>3.4120357040023035</v>
      </c>
      <c r="I1782">
        <v>1</v>
      </c>
      <c r="J1782" t="s">
        <v>21</v>
      </c>
    </row>
    <row r="1783" spans="1:10" x14ac:dyDescent="0.25">
      <c r="A1783">
        <v>60637</v>
      </c>
      <c r="B1783" t="s">
        <v>3828</v>
      </c>
      <c r="C1783" t="s">
        <v>708</v>
      </c>
      <c r="D1783" t="s">
        <v>2241</v>
      </c>
      <c r="E1783" t="s">
        <v>2242</v>
      </c>
      <c r="F1783">
        <v>130292</v>
      </c>
      <c r="G1783">
        <v>38186</v>
      </c>
      <c r="H1783" s="32">
        <f t="shared" si="27"/>
        <v>3.4120358246477767</v>
      </c>
      <c r="I1783">
        <v>1</v>
      </c>
      <c r="J1783" t="s">
        <v>21</v>
      </c>
    </row>
    <row r="1784" spans="1:10" x14ac:dyDescent="0.25">
      <c r="A1784">
        <v>59937</v>
      </c>
      <c r="B1784" t="s">
        <v>3627</v>
      </c>
      <c r="C1784" t="s">
        <v>708</v>
      </c>
      <c r="D1784" t="s">
        <v>2241</v>
      </c>
      <c r="E1784" t="s">
        <v>2242</v>
      </c>
      <c r="F1784">
        <v>26648</v>
      </c>
      <c r="G1784">
        <v>7810</v>
      </c>
      <c r="H1784" s="32">
        <f t="shared" si="27"/>
        <v>3.4120358514724711</v>
      </c>
      <c r="I1784">
        <v>1</v>
      </c>
      <c r="J1784" t="s">
        <v>21</v>
      </c>
    </row>
    <row r="1785" spans="1:10" x14ac:dyDescent="0.25">
      <c r="A1785">
        <v>61374</v>
      </c>
      <c r="B1785" t="s">
        <v>4005</v>
      </c>
      <c r="C1785" t="s">
        <v>201</v>
      </c>
      <c r="D1785" t="s">
        <v>2241</v>
      </c>
      <c r="E1785" t="s">
        <v>2242</v>
      </c>
      <c r="F1785">
        <v>53238</v>
      </c>
      <c r="G1785">
        <v>15603</v>
      </c>
      <c r="H1785" s="32">
        <f t="shared" si="27"/>
        <v>3.4120361468948279</v>
      </c>
      <c r="I1785">
        <v>1</v>
      </c>
      <c r="J1785" t="s">
        <v>21</v>
      </c>
    </row>
    <row r="1786" spans="1:10" x14ac:dyDescent="0.25">
      <c r="A1786">
        <v>67646</v>
      </c>
      <c r="B1786" t="s">
        <v>5133</v>
      </c>
      <c r="C1786" t="s">
        <v>166</v>
      </c>
      <c r="D1786" t="s">
        <v>2241</v>
      </c>
      <c r="E1786" t="s">
        <v>2242</v>
      </c>
      <c r="F1786">
        <v>23642</v>
      </c>
      <c r="G1786">
        <v>6929</v>
      </c>
      <c r="H1786" s="32">
        <f t="shared" si="27"/>
        <v>3.4120363688843991</v>
      </c>
      <c r="I1786">
        <v>1</v>
      </c>
      <c r="J1786" t="s">
        <v>21</v>
      </c>
    </row>
    <row r="1787" spans="1:10" x14ac:dyDescent="0.25">
      <c r="A1787">
        <v>62821</v>
      </c>
      <c r="B1787" t="s">
        <v>4242</v>
      </c>
      <c r="C1787" t="s">
        <v>708</v>
      </c>
      <c r="D1787" t="s">
        <v>2241</v>
      </c>
      <c r="E1787" t="s">
        <v>2242</v>
      </c>
      <c r="F1787">
        <v>135161</v>
      </c>
      <c r="G1787">
        <v>39613</v>
      </c>
      <c r="H1787" s="32">
        <f t="shared" si="27"/>
        <v>3.412036452679676</v>
      </c>
      <c r="I1787">
        <v>1</v>
      </c>
      <c r="J1787" t="s">
        <v>21</v>
      </c>
    </row>
    <row r="1788" spans="1:10" x14ac:dyDescent="0.25">
      <c r="A1788">
        <v>57321</v>
      </c>
      <c r="B1788" t="s">
        <v>2965</v>
      </c>
      <c r="C1788" t="s">
        <v>708</v>
      </c>
      <c r="D1788" t="s">
        <v>2241</v>
      </c>
      <c r="E1788" t="s">
        <v>2242</v>
      </c>
      <c r="F1788">
        <v>5159</v>
      </c>
      <c r="G1788">
        <v>1512</v>
      </c>
      <c r="H1788" s="32">
        <f t="shared" si="27"/>
        <v>3.4120370370370372</v>
      </c>
      <c r="I1788">
        <v>1</v>
      </c>
      <c r="J1788" t="s">
        <v>21</v>
      </c>
    </row>
    <row r="1789" spans="1:10" x14ac:dyDescent="0.25">
      <c r="A1789">
        <v>57912</v>
      </c>
      <c r="B1789" t="s">
        <v>3076</v>
      </c>
      <c r="C1789" t="s">
        <v>166</v>
      </c>
      <c r="D1789" t="s">
        <v>2241</v>
      </c>
      <c r="E1789" t="s">
        <v>2242</v>
      </c>
      <c r="F1789">
        <v>106012</v>
      </c>
      <c r="G1789">
        <v>31070</v>
      </c>
      <c r="H1789" s="32">
        <f t="shared" si="27"/>
        <v>3.4120373350498872</v>
      </c>
      <c r="I1789">
        <v>1</v>
      </c>
      <c r="J1789" t="s">
        <v>21</v>
      </c>
    </row>
    <row r="1790" spans="1:10" x14ac:dyDescent="0.25">
      <c r="A1790">
        <v>60149</v>
      </c>
      <c r="B1790" t="s">
        <v>3691</v>
      </c>
      <c r="C1790" t="s">
        <v>708</v>
      </c>
      <c r="D1790" t="s">
        <v>2241</v>
      </c>
      <c r="E1790" t="s">
        <v>2242</v>
      </c>
      <c r="F1790">
        <v>217746</v>
      </c>
      <c r="G1790">
        <v>63817</v>
      </c>
      <c r="H1790" s="32">
        <f t="shared" si="27"/>
        <v>3.4120375448548192</v>
      </c>
      <c r="I1790">
        <v>1</v>
      </c>
      <c r="J1790" t="s">
        <v>21</v>
      </c>
    </row>
    <row r="1791" spans="1:10" x14ac:dyDescent="0.25">
      <c r="A1791">
        <v>58726</v>
      </c>
      <c r="B1791" t="s">
        <v>3265</v>
      </c>
      <c r="C1791" t="s">
        <v>708</v>
      </c>
      <c r="D1791" t="s">
        <v>2241</v>
      </c>
      <c r="E1791" t="s">
        <v>2242</v>
      </c>
      <c r="F1791">
        <v>27948</v>
      </c>
      <c r="G1791">
        <v>8191</v>
      </c>
      <c r="H1791" s="32">
        <f t="shared" si="27"/>
        <v>3.4120376022463681</v>
      </c>
      <c r="I1791">
        <v>1</v>
      </c>
      <c r="J1791" t="s">
        <v>21</v>
      </c>
    </row>
    <row r="1792" spans="1:10" x14ac:dyDescent="0.25">
      <c r="A1792">
        <v>60998</v>
      </c>
      <c r="B1792" t="s">
        <v>3921</v>
      </c>
      <c r="C1792" t="s">
        <v>708</v>
      </c>
      <c r="D1792" t="s">
        <v>2241</v>
      </c>
      <c r="E1792" t="s">
        <v>2242</v>
      </c>
      <c r="F1792">
        <v>99205</v>
      </c>
      <c r="G1792">
        <v>29075</v>
      </c>
      <c r="H1792" s="32">
        <f t="shared" si="27"/>
        <v>3.4120378331900256</v>
      </c>
      <c r="I1792">
        <v>1</v>
      </c>
      <c r="J1792" t="s">
        <v>21</v>
      </c>
    </row>
    <row r="1793" spans="1:10" x14ac:dyDescent="0.25">
      <c r="A1793">
        <v>59534</v>
      </c>
      <c r="B1793" t="s">
        <v>3502</v>
      </c>
      <c r="C1793" t="s">
        <v>708</v>
      </c>
      <c r="D1793" t="s">
        <v>2241</v>
      </c>
      <c r="E1793" t="s">
        <v>2242</v>
      </c>
      <c r="F1793">
        <v>17630</v>
      </c>
      <c r="G1793">
        <v>5167</v>
      </c>
      <c r="H1793" s="32">
        <f t="shared" si="27"/>
        <v>3.4120379330365784</v>
      </c>
      <c r="I1793">
        <v>1</v>
      </c>
      <c r="J1793" t="s">
        <v>21</v>
      </c>
    </row>
    <row r="1794" spans="1:10" x14ac:dyDescent="0.25">
      <c r="A1794">
        <v>58806</v>
      </c>
      <c r="B1794" t="s">
        <v>3288</v>
      </c>
      <c r="C1794" t="s">
        <v>708</v>
      </c>
      <c r="D1794" t="s">
        <v>2241</v>
      </c>
      <c r="E1794" t="s">
        <v>2242</v>
      </c>
      <c r="F1794">
        <v>29364</v>
      </c>
      <c r="G1794">
        <v>8606</v>
      </c>
      <c r="H1794" s="32">
        <f t="shared" ref="H1794:H1857" si="28">IF(AND(F1794&gt;0,G1794&gt;0),F1794/G1794,"")</f>
        <v>3.4120381129444572</v>
      </c>
      <c r="I1794">
        <v>1</v>
      </c>
      <c r="J1794" t="s">
        <v>21</v>
      </c>
    </row>
    <row r="1795" spans="1:10" x14ac:dyDescent="0.25">
      <c r="A1795">
        <v>64415</v>
      </c>
      <c r="B1795" t="s">
        <v>4558</v>
      </c>
      <c r="C1795" t="s">
        <v>166</v>
      </c>
      <c r="D1795" t="s">
        <v>2241</v>
      </c>
      <c r="E1795" t="s">
        <v>2242</v>
      </c>
      <c r="F1795">
        <v>13945</v>
      </c>
      <c r="G1795">
        <v>4087</v>
      </c>
      <c r="H1795" s="32">
        <f t="shared" si="28"/>
        <v>3.4120381698067042</v>
      </c>
      <c r="I1795">
        <v>1</v>
      </c>
      <c r="J1795" t="s">
        <v>21</v>
      </c>
    </row>
    <row r="1796" spans="1:10" x14ac:dyDescent="0.25">
      <c r="A1796">
        <v>57381</v>
      </c>
      <c r="B1796" t="s">
        <v>2977</v>
      </c>
      <c r="C1796" t="s">
        <v>241</v>
      </c>
      <c r="D1796" t="s">
        <v>2241</v>
      </c>
      <c r="E1796" t="s">
        <v>2242</v>
      </c>
      <c r="F1796">
        <v>13208</v>
      </c>
      <c r="G1796">
        <v>3871</v>
      </c>
      <c r="H1796" s="32">
        <f t="shared" si="28"/>
        <v>3.4120382330147248</v>
      </c>
      <c r="I1796">
        <v>1</v>
      </c>
      <c r="J1796" t="s">
        <v>21</v>
      </c>
    </row>
    <row r="1797" spans="1:10" x14ac:dyDescent="0.25">
      <c r="A1797">
        <v>66898</v>
      </c>
      <c r="B1797" t="s">
        <v>4986</v>
      </c>
      <c r="C1797" t="s">
        <v>118</v>
      </c>
      <c r="D1797" t="s">
        <v>2241</v>
      </c>
      <c r="E1797" t="s">
        <v>2242</v>
      </c>
      <c r="F1797">
        <v>86560</v>
      </c>
      <c r="G1797">
        <v>25369</v>
      </c>
      <c r="H1797" s="32">
        <f t="shared" si="28"/>
        <v>3.4120383144783002</v>
      </c>
      <c r="I1797">
        <v>1</v>
      </c>
      <c r="J1797" t="s">
        <v>21</v>
      </c>
    </row>
    <row r="1798" spans="1:10" x14ac:dyDescent="0.25">
      <c r="A1798">
        <v>66485</v>
      </c>
      <c r="B1798" t="s">
        <v>4915</v>
      </c>
      <c r="C1798" t="s">
        <v>241</v>
      </c>
      <c r="D1798" t="s">
        <v>2241</v>
      </c>
      <c r="E1798" t="s">
        <v>2242</v>
      </c>
      <c r="F1798">
        <v>10997</v>
      </c>
      <c r="G1798">
        <v>3223</v>
      </c>
      <c r="H1798" s="32">
        <f t="shared" si="28"/>
        <v>3.4120384734719207</v>
      </c>
      <c r="I1798">
        <v>1</v>
      </c>
      <c r="J1798" t="s">
        <v>21</v>
      </c>
    </row>
    <row r="1799" spans="1:10" x14ac:dyDescent="0.25">
      <c r="A1799">
        <v>60191</v>
      </c>
      <c r="B1799" t="s">
        <v>3704</v>
      </c>
      <c r="C1799" t="s">
        <v>708</v>
      </c>
      <c r="D1799" t="s">
        <v>2241</v>
      </c>
      <c r="E1799" t="s">
        <v>2242</v>
      </c>
      <c r="F1799">
        <v>20520</v>
      </c>
      <c r="G1799">
        <v>6014</v>
      </c>
      <c r="H1799" s="32">
        <f t="shared" si="28"/>
        <v>3.412038576654473</v>
      </c>
      <c r="I1799">
        <v>1</v>
      </c>
      <c r="J1799" t="s">
        <v>21</v>
      </c>
    </row>
    <row r="1800" spans="1:10" x14ac:dyDescent="0.25">
      <c r="A1800">
        <v>58631</v>
      </c>
      <c r="B1800" t="s">
        <v>3240</v>
      </c>
      <c r="C1800" t="s">
        <v>307</v>
      </c>
      <c r="D1800" t="s">
        <v>2241</v>
      </c>
      <c r="E1800" t="s">
        <v>2242</v>
      </c>
      <c r="F1800">
        <v>9523</v>
      </c>
      <c r="G1800">
        <v>2791</v>
      </c>
      <c r="H1800" s="32">
        <f t="shared" si="28"/>
        <v>3.4120386958079543</v>
      </c>
      <c r="I1800">
        <v>1</v>
      </c>
      <c r="J1800" t="s">
        <v>21</v>
      </c>
    </row>
    <row r="1801" spans="1:10" x14ac:dyDescent="0.25">
      <c r="A1801">
        <v>58812</v>
      </c>
      <c r="B1801" t="s">
        <v>3294</v>
      </c>
      <c r="C1801" t="s">
        <v>708</v>
      </c>
      <c r="D1801" t="s">
        <v>2241</v>
      </c>
      <c r="E1801" t="s">
        <v>2242</v>
      </c>
      <c r="F1801">
        <v>27832</v>
      </c>
      <c r="G1801">
        <v>8157</v>
      </c>
      <c r="H1801" s="32">
        <f t="shared" si="28"/>
        <v>3.4120387397327447</v>
      </c>
      <c r="I1801">
        <v>1</v>
      </c>
      <c r="J1801" t="s">
        <v>21</v>
      </c>
    </row>
    <row r="1802" spans="1:10" x14ac:dyDescent="0.25">
      <c r="A1802">
        <v>61312</v>
      </c>
      <c r="B1802" t="s">
        <v>3989</v>
      </c>
      <c r="C1802" t="s">
        <v>266</v>
      </c>
      <c r="D1802" t="s">
        <v>2241</v>
      </c>
      <c r="E1802" t="s">
        <v>2242</v>
      </c>
      <c r="F1802">
        <v>8786</v>
      </c>
      <c r="G1802">
        <v>2575</v>
      </c>
      <c r="H1802" s="32">
        <f t="shared" si="28"/>
        <v>3.4120388349514563</v>
      </c>
      <c r="I1802">
        <v>1</v>
      </c>
      <c r="J1802" t="s">
        <v>21</v>
      </c>
    </row>
    <row r="1803" spans="1:10" x14ac:dyDescent="0.25">
      <c r="A1803">
        <v>63392</v>
      </c>
      <c r="B1803" t="s">
        <v>4344</v>
      </c>
      <c r="C1803" t="s">
        <v>672</v>
      </c>
      <c r="D1803" t="s">
        <v>2241</v>
      </c>
      <c r="E1803" t="s">
        <v>2242</v>
      </c>
      <c r="F1803">
        <v>17572</v>
      </c>
      <c r="G1803">
        <v>5150</v>
      </c>
      <c r="H1803" s="32">
        <f t="shared" si="28"/>
        <v>3.4120388349514563</v>
      </c>
      <c r="I1803">
        <v>1</v>
      </c>
      <c r="J1803" t="s">
        <v>21</v>
      </c>
    </row>
    <row r="1804" spans="1:10" x14ac:dyDescent="0.25">
      <c r="A1804">
        <v>61403</v>
      </c>
      <c r="B1804" t="s">
        <v>4009</v>
      </c>
      <c r="C1804" t="s">
        <v>708</v>
      </c>
      <c r="D1804" t="s">
        <v>2241</v>
      </c>
      <c r="E1804" t="s">
        <v>2242</v>
      </c>
      <c r="F1804">
        <v>29985</v>
      </c>
      <c r="G1804">
        <v>8788</v>
      </c>
      <c r="H1804" s="32">
        <f t="shared" si="28"/>
        <v>3.412039144287665</v>
      </c>
      <c r="I1804">
        <v>1</v>
      </c>
      <c r="J1804" t="s">
        <v>21</v>
      </c>
    </row>
    <row r="1805" spans="1:10" x14ac:dyDescent="0.25">
      <c r="A1805">
        <v>64674</v>
      </c>
      <c r="B1805" t="s">
        <v>4624</v>
      </c>
      <c r="C1805" t="s">
        <v>708</v>
      </c>
      <c r="D1805" t="s">
        <v>2241</v>
      </c>
      <c r="E1805" t="s">
        <v>2242</v>
      </c>
      <c r="F1805">
        <v>13887</v>
      </c>
      <c r="G1805">
        <v>4070</v>
      </c>
      <c r="H1805" s="32">
        <f t="shared" si="28"/>
        <v>3.4120393120393122</v>
      </c>
      <c r="I1805">
        <v>1</v>
      </c>
      <c r="J1805" t="s">
        <v>21</v>
      </c>
    </row>
    <row r="1806" spans="1:10" x14ac:dyDescent="0.25">
      <c r="A1806">
        <v>67846</v>
      </c>
      <c r="B1806" t="s">
        <v>5187</v>
      </c>
      <c r="C1806" t="s">
        <v>201</v>
      </c>
      <c r="D1806" t="s">
        <v>2241</v>
      </c>
      <c r="E1806" t="s">
        <v>2242</v>
      </c>
      <c r="F1806">
        <v>69435</v>
      </c>
      <c r="G1806">
        <v>20350</v>
      </c>
      <c r="H1806" s="32">
        <f t="shared" si="28"/>
        <v>3.4120393120393122</v>
      </c>
      <c r="I1806">
        <v>1</v>
      </c>
      <c r="J1806" t="s">
        <v>21</v>
      </c>
    </row>
    <row r="1807" spans="1:10" x14ac:dyDescent="0.25">
      <c r="A1807">
        <v>60266</v>
      </c>
      <c r="B1807" t="s">
        <v>3721</v>
      </c>
      <c r="C1807" t="s">
        <v>241</v>
      </c>
      <c r="D1807" t="s">
        <v>2241</v>
      </c>
      <c r="E1807" t="s">
        <v>2242</v>
      </c>
      <c r="F1807">
        <v>31401</v>
      </c>
      <c r="G1807">
        <v>9203</v>
      </c>
      <c r="H1807" s="32">
        <f t="shared" si="28"/>
        <v>3.4120395523198956</v>
      </c>
      <c r="I1807">
        <v>1</v>
      </c>
      <c r="J1807" t="s">
        <v>21</v>
      </c>
    </row>
    <row r="1808" spans="1:10" x14ac:dyDescent="0.25">
      <c r="A1808">
        <v>65076</v>
      </c>
      <c r="B1808" t="s">
        <v>4677</v>
      </c>
      <c r="C1808" t="s">
        <v>143</v>
      </c>
      <c r="D1808" t="s">
        <v>2241</v>
      </c>
      <c r="E1808" t="s">
        <v>2242</v>
      </c>
      <c r="F1808">
        <v>108769</v>
      </c>
      <c r="G1808">
        <v>31878</v>
      </c>
      <c r="H1808" s="32">
        <f t="shared" si="28"/>
        <v>3.4120396511700859</v>
      </c>
      <c r="I1808">
        <v>1</v>
      </c>
      <c r="J1808" t="s">
        <v>21</v>
      </c>
    </row>
    <row r="1809" spans="1:10" x14ac:dyDescent="0.25">
      <c r="A1809">
        <v>61088</v>
      </c>
      <c r="B1809" t="s">
        <v>3934</v>
      </c>
      <c r="C1809" t="s">
        <v>708</v>
      </c>
      <c r="D1809" t="s">
        <v>2241</v>
      </c>
      <c r="E1809" t="s">
        <v>2242</v>
      </c>
      <c r="F1809">
        <v>29869</v>
      </c>
      <c r="G1809">
        <v>8754</v>
      </c>
      <c r="H1809" s="32">
        <f t="shared" si="28"/>
        <v>3.4120402101896277</v>
      </c>
      <c r="I1809">
        <v>1</v>
      </c>
      <c r="J1809" t="s">
        <v>21</v>
      </c>
    </row>
    <row r="1810" spans="1:10" x14ac:dyDescent="0.25">
      <c r="A1810">
        <v>59796</v>
      </c>
      <c r="B1810" t="s">
        <v>3583</v>
      </c>
      <c r="C1810" t="s">
        <v>708</v>
      </c>
      <c r="D1810" t="s">
        <v>2241</v>
      </c>
      <c r="E1810" t="s">
        <v>2242</v>
      </c>
      <c r="F1810">
        <v>26184</v>
      </c>
      <c r="G1810">
        <v>7674</v>
      </c>
      <c r="H1810" s="32">
        <f t="shared" si="28"/>
        <v>3.4120406567630961</v>
      </c>
      <c r="I1810">
        <v>1</v>
      </c>
      <c r="J1810" t="s">
        <v>21</v>
      </c>
    </row>
    <row r="1811" spans="1:10" x14ac:dyDescent="0.25">
      <c r="A1811">
        <v>63801</v>
      </c>
      <c r="B1811" t="s">
        <v>4411</v>
      </c>
      <c r="C1811" t="s">
        <v>131</v>
      </c>
      <c r="D1811" t="s">
        <v>2241</v>
      </c>
      <c r="E1811" t="s">
        <v>2242</v>
      </c>
      <c r="F1811">
        <v>125819</v>
      </c>
      <c r="G1811">
        <v>36875</v>
      </c>
      <c r="H1811" s="32">
        <f t="shared" si="28"/>
        <v>3.4120406779661017</v>
      </c>
      <c r="I1811">
        <v>1</v>
      </c>
      <c r="J1811" t="s">
        <v>21</v>
      </c>
    </row>
    <row r="1812" spans="1:10" x14ac:dyDescent="0.25">
      <c r="A1812">
        <v>65347</v>
      </c>
      <c r="B1812" t="s">
        <v>4732</v>
      </c>
      <c r="C1812" t="s">
        <v>250</v>
      </c>
      <c r="D1812" t="s">
        <v>2241</v>
      </c>
      <c r="E1812" t="s">
        <v>2242</v>
      </c>
      <c r="F1812">
        <v>140774</v>
      </c>
      <c r="G1812">
        <v>41258</v>
      </c>
      <c r="H1812" s="32">
        <f t="shared" si="28"/>
        <v>3.4120413010810027</v>
      </c>
      <c r="I1812">
        <v>1</v>
      </c>
      <c r="J1812" t="s">
        <v>21</v>
      </c>
    </row>
    <row r="1813" spans="1:10" x14ac:dyDescent="0.25">
      <c r="A1813">
        <v>60921</v>
      </c>
      <c r="B1813" t="s">
        <v>3904</v>
      </c>
      <c r="C1813" t="s">
        <v>708</v>
      </c>
      <c r="D1813" t="s">
        <v>2241</v>
      </c>
      <c r="E1813" t="s">
        <v>2242</v>
      </c>
      <c r="F1813">
        <v>13034</v>
      </c>
      <c r="G1813">
        <v>3820</v>
      </c>
      <c r="H1813" s="32">
        <f t="shared" si="28"/>
        <v>3.412041884816754</v>
      </c>
      <c r="I1813">
        <v>1</v>
      </c>
      <c r="J1813" t="s">
        <v>21</v>
      </c>
    </row>
    <row r="1814" spans="1:10" x14ac:dyDescent="0.25">
      <c r="A1814">
        <v>66986</v>
      </c>
      <c r="B1814" t="s">
        <v>4998</v>
      </c>
      <c r="C1814" t="s">
        <v>708</v>
      </c>
      <c r="D1814" t="s">
        <v>2241</v>
      </c>
      <c r="E1814" t="s">
        <v>2242</v>
      </c>
      <c r="F1814">
        <v>12297</v>
      </c>
      <c r="G1814">
        <v>3604</v>
      </c>
      <c r="H1814" s="32">
        <f t="shared" si="28"/>
        <v>3.4120421753607104</v>
      </c>
      <c r="I1814">
        <v>1</v>
      </c>
      <c r="J1814" t="s">
        <v>21</v>
      </c>
    </row>
    <row r="1815" spans="1:10" x14ac:dyDescent="0.25">
      <c r="A1815">
        <v>62766</v>
      </c>
      <c r="B1815" t="s">
        <v>4222</v>
      </c>
      <c r="C1815" t="s">
        <v>131</v>
      </c>
      <c r="D1815" t="s">
        <v>2241</v>
      </c>
      <c r="E1815" t="s">
        <v>2242</v>
      </c>
      <c r="F1815">
        <v>36833</v>
      </c>
      <c r="G1815">
        <v>10795</v>
      </c>
      <c r="H1815" s="32">
        <f t="shared" si="28"/>
        <v>3.4120426123205188</v>
      </c>
      <c r="I1815">
        <v>1</v>
      </c>
      <c r="J1815" t="s">
        <v>21</v>
      </c>
    </row>
    <row r="1816" spans="1:10" x14ac:dyDescent="0.25">
      <c r="A1816">
        <v>59162</v>
      </c>
      <c r="B1816" t="s">
        <v>3400</v>
      </c>
      <c r="C1816" t="s">
        <v>708</v>
      </c>
      <c r="D1816" t="s">
        <v>2241</v>
      </c>
      <c r="E1816" t="s">
        <v>2242</v>
      </c>
      <c r="F1816">
        <v>28842</v>
      </c>
      <c r="G1816">
        <v>8453</v>
      </c>
      <c r="H1816" s="32">
        <f t="shared" si="28"/>
        <v>3.4120430616349227</v>
      </c>
      <c r="I1816">
        <v>1</v>
      </c>
      <c r="J1816" t="s">
        <v>21</v>
      </c>
    </row>
    <row r="1817" spans="1:10" x14ac:dyDescent="0.25">
      <c r="A1817">
        <v>57435</v>
      </c>
      <c r="B1817" t="s">
        <v>2991</v>
      </c>
      <c r="C1817" t="s">
        <v>708</v>
      </c>
      <c r="D1817" t="s">
        <v>2241</v>
      </c>
      <c r="E1817" t="s">
        <v>2242</v>
      </c>
      <c r="F1817">
        <v>28105</v>
      </c>
      <c r="G1817">
        <v>8237</v>
      </c>
      <c r="H1817" s="32">
        <f t="shared" si="28"/>
        <v>3.4120432196187931</v>
      </c>
      <c r="I1817">
        <v>1</v>
      </c>
      <c r="J1817" t="s">
        <v>21</v>
      </c>
    </row>
    <row r="1818" spans="1:10" x14ac:dyDescent="0.25">
      <c r="A1818">
        <v>69918</v>
      </c>
      <c r="B1818" t="s">
        <v>5414</v>
      </c>
      <c r="C1818" t="s">
        <v>166</v>
      </c>
      <c r="D1818" t="s">
        <v>2241</v>
      </c>
      <c r="E1818" t="s">
        <v>2242</v>
      </c>
      <c r="F1818">
        <v>30937</v>
      </c>
      <c r="G1818">
        <v>9067</v>
      </c>
      <c r="H1818" s="32">
        <f t="shared" si="28"/>
        <v>3.4120436748648948</v>
      </c>
      <c r="I1818">
        <v>1</v>
      </c>
      <c r="J1818" t="s">
        <v>21</v>
      </c>
    </row>
    <row r="1819" spans="1:10" x14ac:dyDescent="0.25">
      <c r="A1819">
        <v>66844</v>
      </c>
      <c r="B1819" t="s">
        <v>4980</v>
      </c>
      <c r="C1819" t="s">
        <v>201</v>
      </c>
      <c r="D1819" t="s">
        <v>2241</v>
      </c>
      <c r="E1819" t="s">
        <v>2242</v>
      </c>
      <c r="F1819">
        <v>17224</v>
      </c>
      <c r="G1819">
        <v>5048</v>
      </c>
      <c r="H1819" s="32">
        <f t="shared" si="28"/>
        <v>3.4120443740095086</v>
      </c>
      <c r="I1819">
        <v>1</v>
      </c>
      <c r="J1819" t="s">
        <v>21</v>
      </c>
    </row>
    <row r="1820" spans="1:10" x14ac:dyDescent="0.25">
      <c r="A1820">
        <v>68928</v>
      </c>
      <c r="B1820" t="s">
        <v>5278</v>
      </c>
      <c r="C1820" t="s">
        <v>166</v>
      </c>
      <c r="D1820" t="s">
        <v>2241</v>
      </c>
      <c r="E1820" t="s">
        <v>2242</v>
      </c>
      <c r="F1820">
        <v>18640</v>
      </c>
      <c r="G1820">
        <v>5463</v>
      </c>
      <c r="H1820" s="32">
        <f t="shared" si="28"/>
        <v>3.4120446641039721</v>
      </c>
      <c r="I1820">
        <v>1</v>
      </c>
      <c r="J1820" t="s">
        <v>21</v>
      </c>
    </row>
    <row r="1821" spans="1:10" x14ac:dyDescent="0.25">
      <c r="A1821">
        <v>61515</v>
      </c>
      <c r="B1821" t="s">
        <v>4026</v>
      </c>
      <c r="C1821" t="s">
        <v>241</v>
      </c>
      <c r="D1821" t="s">
        <v>2241</v>
      </c>
      <c r="E1821" t="s">
        <v>2242</v>
      </c>
      <c r="F1821">
        <v>12181</v>
      </c>
      <c r="G1821">
        <v>3570</v>
      </c>
      <c r="H1821" s="32">
        <f t="shared" si="28"/>
        <v>3.4120448179271707</v>
      </c>
      <c r="I1821">
        <v>1</v>
      </c>
      <c r="J1821" t="s">
        <v>21</v>
      </c>
    </row>
    <row r="1822" spans="1:10" x14ac:dyDescent="0.25">
      <c r="A1822">
        <v>65640</v>
      </c>
      <c r="B1822" t="s">
        <v>4787</v>
      </c>
      <c r="C1822" t="s">
        <v>2029</v>
      </c>
      <c r="D1822" t="s">
        <v>2241</v>
      </c>
      <c r="E1822" t="s">
        <v>2242</v>
      </c>
      <c r="F1822">
        <v>22888</v>
      </c>
      <c r="G1822">
        <v>6708</v>
      </c>
      <c r="H1822" s="32">
        <f t="shared" si="28"/>
        <v>3.4120453190220634</v>
      </c>
      <c r="I1822">
        <v>1</v>
      </c>
      <c r="J1822" t="s">
        <v>21</v>
      </c>
    </row>
    <row r="1823" spans="1:10" x14ac:dyDescent="0.25">
      <c r="A1823">
        <v>57203</v>
      </c>
      <c r="B1823" t="s">
        <v>2954</v>
      </c>
      <c r="C1823" t="s">
        <v>322</v>
      </c>
      <c r="D1823" t="s">
        <v>2241</v>
      </c>
      <c r="E1823" t="s">
        <v>2242</v>
      </c>
      <c r="F1823">
        <v>35748</v>
      </c>
      <c r="G1823">
        <v>10477</v>
      </c>
      <c r="H1823" s="32">
        <f t="shared" si="28"/>
        <v>3.4120454328529157</v>
      </c>
      <c r="I1823">
        <v>1</v>
      </c>
      <c r="J1823" t="s">
        <v>21</v>
      </c>
    </row>
    <row r="1824" spans="1:10" x14ac:dyDescent="0.25">
      <c r="A1824">
        <v>59694</v>
      </c>
      <c r="B1824" t="s">
        <v>3565</v>
      </c>
      <c r="C1824" t="s">
        <v>708</v>
      </c>
      <c r="D1824" t="s">
        <v>2241</v>
      </c>
      <c r="E1824" t="s">
        <v>2242</v>
      </c>
      <c r="F1824">
        <v>30705</v>
      </c>
      <c r="G1824">
        <v>8999</v>
      </c>
      <c r="H1824" s="32">
        <f t="shared" si="28"/>
        <v>3.4120457828647628</v>
      </c>
      <c r="I1824">
        <v>1</v>
      </c>
      <c r="J1824" t="s">
        <v>21</v>
      </c>
    </row>
    <row r="1825" spans="1:10" x14ac:dyDescent="0.25">
      <c r="A1825">
        <v>59966</v>
      </c>
      <c r="B1825" t="s">
        <v>3633</v>
      </c>
      <c r="C1825" t="s">
        <v>708</v>
      </c>
      <c r="D1825" t="s">
        <v>2241</v>
      </c>
      <c r="E1825" t="s">
        <v>2242</v>
      </c>
      <c r="F1825">
        <v>71380</v>
      </c>
      <c r="G1825">
        <v>20920</v>
      </c>
      <c r="H1825" s="32">
        <f t="shared" si="28"/>
        <v>3.4120458891013383</v>
      </c>
      <c r="I1825">
        <v>1</v>
      </c>
      <c r="J1825" t="s">
        <v>21</v>
      </c>
    </row>
    <row r="1826" spans="1:10" x14ac:dyDescent="0.25">
      <c r="A1826">
        <v>62623</v>
      </c>
      <c r="B1826" t="s">
        <v>4187</v>
      </c>
      <c r="C1826" t="s">
        <v>708</v>
      </c>
      <c r="D1826" t="s">
        <v>2241</v>
      </c>
      <c r="E1826" t="s">
        <v>2242</v>
      </c>
      <c r="F1826">
        <v>32121</v>
      </c>
      <c r="G1826">
        <v>9414</v>
      </c>
      <c r="H1826" s="32">
        <f t="shared" si="28"/>
        <v>3.4120458891013383</v>
      </c>
      <c r="I1826">
        <v>1</v>
      </c>
      <c r="J1826" t="s">
        <v>21</v>
      </c>
    </row>
    <row r="1827" spans="1:10" x14ac:dyDescent="0.25">
      <c r="A1827">
        <v>66756</v>
      </c>
      <c r="B1827" t="s">
        <v>4959</v>
      </c>
      <c r="C1827" t="s">
        <v>250</v>
      </c>
      <c r="D1827" t="s">
        <v>2241</v>
      </c>
      <c r="E1827" t="s">
        <v>2242</v>
      </c>
      <c r="F1827">
        <v>3569</v>
      </c>
      <c r="G1827">
        <v>1046</v>
      </c>
      <c r="H1827" s="32">
        <f t="shared" si="28"/>
        <v>3.4120458891013383</v>
      </c>
      <c r="I1827">
        <v>1</v>
      </c>
      <c r="J1827" t="s">
        <v>21</v>
      </c>
    </row>
    <row r="1828" spans="1:10" x14ac:dyDescent="0.25">
      <c r="A1828">
        <v>63835</v>
      </c>
      <c r="B1828" t="s">
        <v>4423</v>
      </c>
      <c r="C1828" t="s">
        <v>708</v>
      </c>
      <c r="D1828" t="s">
        <v>2241</v>
      </c>
      <c r="E1828" t="s">
        <v>2242</v>
      </c>
      <c r="F1828">
        <v>29968</v>
      </c>
      <c r="G1828">
        <v>8783</v>
      </c>
      <c r="H1828" s="32">
        <f t="shared" si="28"/>
        <v>3.4120459979505862</v>
      </c>
      <c r="I1828">
        <v>1</v>
      </c>
      <c r="J1828" t="s">
        <v>21</v>
      </c>
    </row>
    <row r="1829" spans="1:10" x14ac:dyDescent="0.25">
      <c r="A1829">
        <v>62792</v>
      </c>
      <c r="B1829" t="s">
        <v>4233</v>
      </c>
      <c r="C1829" t="s">
        <v>322</v>
      </c>
      <c r="D1829" t="s">
        <v>2241</v>
      </c>
      <c r="E1829" t="s">
        <v>2242</v>
      </c>
      <c r="F1829">
        <v>68084</v>
      </c>
      <c r="G1829">
        <v>19954</v>
      </c>
      <c r="H1829" s="32">
        <f t="shared" si="28"/>
        <v>3.4120477097323847</v>
      </c>
      <c r="I1829">
        <v>1</v>
      </c>
      <c r="J1829" t="s">
        <v>21</v>
      </c>
    </row>
    <row r="1830" spans="1:10" x14ac:dyDescent="0.25">
      <c r="A1830">
        <v>57191</v>
      </c>
      <c r="B1830" t="s">
        <v>2951</v>
      </c>
      <c r="C1830" t="s">
        <v>166</v>
      </c>
      <c r="D1830" t="s">
        <v>2241</v>
      </c>
      <c r="E1830" t="s">
        <v>2242</v>
      </c>
      <c r="F1830">
        <v>43896</v>
      </c>
      <c r="G1830">
        <v>12865</v>
      </c>
      <c r="H1830" s="32">
        <f t="shared" si="28"/>
        <v>3.4120481927710844</v>
      </c>
      <c r="I1830">
        <v>1</v>
      </c>
      <c r="J1830" t="s">
        <v>21</v>
      </c>
    </row>
    <row r="1831" spans="1:10" x14ac:dyDescent="0.25">
      <c r="A1831">
        <v>59146</v>
      </c>
      <c r="B1831" t="s">
        <v>3389</v>
      </c>
      <c r="C1831" t="s">
        <v>708</v>
      </c>
      <c r="D1831" t="s">
        <v>2241</v>
      </c>
      <c r="E1831" t="s">
        <v>2242</v>
      </c>
      <c r="F1831">
        <v>32568</v>
      </c>
      <c r="G1831">
        <v>9545</v>
      </c>
      <c r="H1831" s="32">
        <f t="shared" si="28"/>
        <v>3.4120481927710844</v>
      </c>
      <c r="I1831">
        <v>1</v>
      </c>
      <c r="J1831" t="s">
        <v>21</v>
      </c>
    </row>
    <row r="1832" spans="1:10" x14ac:dyDescent="0.25">
      <c r="A1832">
        <v>61274</v>
      </c>
      <c r="B1832" t="s">
        <v>3973</v>
      </c>
      <c r="C1832" t="s">
        <v>708</v>
      </c>
      <c r="D1832" t="s">
        <v>2241</v>
      </c>
      <c r="E1832" t="s">
        <v>2242</v>
      </c>
      <c r="F1832">
        <v>16992</v>
      </c>
      <c r="G1832">
        <v>4980</v>
      </c>
      <c r="H1832" s="32">
        <f t="shared" si="28"/>
        <v>3.4120481927710844</v>
      </c>
      <c r="I1832">
        <v>1</v>
      </c>
      <c r="J1832" t="s">
        <v>21</v>
      </c>
    </row>
    <row r="1833" spans="1:10" x14ac:dyDescent="0.25">
      <c r="A1833">
        <v>70288</v>
      </c>
      <c r="B1833" t="s">
        <v>5450</v>
      </c>
      <c r="C1833" t="s">
        <v>166</v>
      </c>
      <c r="D1833" t="s">
        <v>2241</v>
      </c>
      <c r="E1833" t="s">
        <v>2242</v>
      </c>
      <c r="F1833">
        <v>5664</v>
      </c>
      <c r="G1833">
        <v>1660</v>
      </c>
      <c r="H1833" s="32">
        <f t="shared" si="28"/>
        <v>3.4120481927710844</v>
      </c>
      <c r="I1833">
        <v>1</v>
      </c>
      <c r="J1833" t="s">
        <v>21</v>
      </c>
    </row>
    <row r="1834" spans="1:10" x14ac:dyDescent="0.25">
      <c r="A1834">
        <v>57869</v>
      </c>
      <c r="B1834" t="s">
        <v>3069</v>
      </c>
      <c r="C1834" t="s">
        <v>241</v>
      </c>
      <c r="D1834" t="s">
        <v>2241</v>
      </c>
      <c r="E1834" t="s">
        <v>2242</v>
      </c>
      <c r="F1834">
        <v>25430</v>
      </c>
      <c r="G1834">
        <v>7453</v>
      </c>
      <c r="H1834" s="32">
        <f t="shared" si="28"/>
        <v>3.4120488393935329</v>
      </c>
      <c r="I1834">
        <v>1</v>
      </c>
      <c r="J1834" t="s">
        <v>21</v>
      </c>
    </row>
    <row r="1835" spans="1:10" x14ac:dyDescent="0.25">
      <c r="A1835">
        <v>69046</v>
      </c>
      <c r="B1835" t="s">
        <v>5303</v>
      </c>
      <c r="C1835" t="s">
        <v>166</v>
      </c>
      <c r="D1835" t="s">
        <v>2241</v>
      </c>
      <c r="E1835" t="s">
        <v>2242</v>
      </c>
      <c r="F1835">
        <v>9175</v>
      </c>
      <c r="G1835">
        <v>2689</v>
      </c>
      <c r="H1835" s="32">
        <f t="shared" si="28"/>
        <v>3.4120490888806247</v>
      </c>
      <c r="I1835">
        <v>1</v>
      </c>
      <c r="J1835" t="s">
        <v>21</v>
      </c>
    </row>
    <row r="1836" spans="1:10" x14ac:dyDescent="0.25">
      <c r="A1836">
        <v>68262</v>
      </c>
      <c r="B1836" t="s">
        <v>5224</v>
      </c>
      <c r="C1836" t="s">
        <v>307</v>
      </c>
      <c r="D1836" t="s">
        <v>2241</v>
      </c>
      <c r="E1836" t="s">
        <v>2242</v>
      </c>
      <c r="F1836">
        <v>81548</v>
      </c>
      <c r="G1836">
        <v>23900</v>
      </c>
      <c r="H1836" s="32">
        <f t="shared" si="28"/>
        <v>3.4120502092050211</v>
      </c>
      <c r="I1836">
        <v>1</v>
      </c>
      <c r="J1836" t="s">
        <v>21</v>
      </c>
    </row>
    <row r="1837" spans="1:10" x14ac:dyDescent="0.25">
      <c r="A1837">
        <v>60101</v>
      </c>
      <c r="B1837" t="s">
        <v>3668</v>
      </c>
      <c r="C1837" t="s">
        <v>708</v>
      </c>
      <c r="D1837" t="s">
        <v>2241</v>
      </c>
      <c r="E1837" t="s">
        <v>2242</v>
      </c>
      <c r="F1837">
        <v>11949</v>
      </c>
      <c r="G1837">
        <v>3502</v>
      </c>
      <c r="H1837" s="32">
        <f t="shared" si="28"/>
        <v>3.4120502569960025</v>
      </c>
      <c r="I1837">
        <v>1</v>
      </c>
      <c r="J1837" t="s">
        <v>21</v>
      </c>
    </row>
    <row r="1838" spans="1:10" x14ac:dyDescent="0.25">
      <c r="A1838">
        <v>59605</v>
      </c>
      <c r="B1838" t="s">
        <v>3537</v>
      </c>
      <c r="C1838" t="s">
        <v>708</v>
      </c>
      <c r="D1838" t="s">
        <v>2241</v>
      </c>
      <c r="E1838" t="s">
        <v>2242</v>
      </c>
      <c r="F1838">
        <v>28030</v>
      </c>
      <c r="G1838">
        <v>8215</v>
      </c>
      <c r="H1838" s="32">
        <f t="shared" si="28"/>
        <v>3.4120511259890445</v>
      </c>
      <c r="I1838">
        <v>1</v>
      </c>
      <c r="J1838" t="s">
        <v>21</v>
      </c>
    </row>
    <row r="1839" spans="1:10" x14ac:dyDescent="0.25">
      <c r="A1839">
        <v>64250</v>
      </c>
      <c r="B1839" t="s">
        <v>4528</v>
      </c>
      <c r="C1839" t="s">
        <v>131</v>
      </c>
      <c r="D1839" t="s">
        <v>2241</v>
      </c>
      <c r="E1839" t="s">
        <v>2242</v>
      </c>
      <c r="F1839">
        <v>18176</v>
      </c>
      <c r="G1839">
        <v>5327</v>
      </c>
      <c r="H1839" s="32">
        <f t="shared" si="28"/>
        <v>3.4120518115261875</v>
      </c>
      <c r="I1839">
        <v>1</v>
      </c>
      <c r="J1839" t="s">
        <v>21</v>
      </c>
    </row>
    <row r="1840" spans="1:10" x14ac:dyDescent="0.25">
      <c r="A1840">
        <v>59519</v>
      </c>
      <c r="B1840" t="s">
        <v>3495</v>
      </c>
      <c r="C1840" t="s">
        <v>708</v>
      </c>
      <c r="D1840" t="s">
        <v>2241</v>
      </c>
      <c r="E1840" t="s">
        <v>2242</v>
      </c>
      <c r="F1840">
        <v>18855</v>
      </c>
      <c r="G1840">
        <v>5526</v>
      </c>
      <c r="H1840" s="32">
        <f t="shared" si="28"/>
        <v>3.4120521172638436</v>
      </c>
      <c r="I1840">
        <v>1</v>
      </c>
      <c r="J1840" t="s">
        <v>21</v>
      </c>
    </row>
    <row r="1841" spans="1:10" x14ac:dyDescent="0.25">
      <c r="A1841">
        <v>64122</v>
      </c>
      <c r="B1841" t="s">
        <v>4493</v>
      </c>
      <c r="C1841" t="s">
        <v>166</v>
      </c>
      <c r="D1841" t="s">
        <v>2241</v>
      </c>
      <c r="E1841" t="s">
        <v>2242</v>
      </c>
      <c r="F1841">
        <v>14665</v>
      </c>
      <c r="G1841">
        <v>4298</v>
      </c>
      <c r="H1841" s="32">
        <f t="shared" si="28"/>
        <v>3.4120521172638436</v>
      </c>
      <c r="I1841">
        <v>1</v>
      </c>
      <c r="J1841" t="s">
        <v>21</v>
      </c>
    </row>
    <row r="1842" spans="1:10" x14ac:dyDescent="0.25">
      <c r="A1842">
        <v>64905</v>
      </c>
      <c r="B1842" t="s">
        <v>4660</v>
      </c>
      <c r="C1842" t="s">
        <v>166</v>
      </c>
      <c r="D1842" t="s">
        <v>2241</v>
      </c>
      <c r="E1842" t="s">
        <v>2242</v>
      </c>
      <c r="F1842">
        <v>6285</v>
      </c>
      <c r="G1842">
        <v>1842</v>
      </c>
      <c r="H1842" s="32">
        <f t="shared" si="28"/>
        <v>3.4120521172638436</v>
      </c>
      <c r="I1842">
        <v>1</v>
      </c>
      <c r="J1842" t="s">
        <v>21</v>
      </c>
    </row>
    <row r="1843" spans="1:10" x14ac:dyDescent="0.25">
      <c r="A1843">
        <v>60484</v>
      </c>
      <c r="B1843" t="s">
        <v>3785</v>
      </c>
      <c r="C1843" t="s">
        <v>708</v>
      </c>
      <c r="D1843" t="s">
        <v>2241</v>
      </c>
      <c r="E1843" t="s">
        <v>2242</v>
      </c>
      <c r="F1843">
        <v>30009</v>
      </c>
      <c r="G1843">
        <v>8795</v>
      </c>
      <c r="H1843" s="32">
        <f t="shared" si="28"/>
        <v>3.4120523024445708</v>
      </c>
      <c r="I1843">
        <v>1</v>
      </c>
      <c r="J1843" t="s">
        <v>21</v>
      </c>
    </row>
    <row r="1844" spans="1:10" x14ac:dyDescent="0.25">
      <c r="A1844">
        <v>61073</v>
      </c>
      <c r="B1844" t="s">
        <v>3929</v>
      </c>
      <c r="C1844" t="s">
        <v>241</v>
      </c>
      <c r="D1844" t="s">
        <v>2241</v>
      </c>
      <c r="E1844" t="s">
        <v>2242</v>
      </c>
      <c r="F1844">
        <v>43258</v>
      </c>
      <c r="G1844">
        <v>12678</v>
      </c>
      <c r="H1844" s="32">
        <f t="shared" si="28"/>
        <v>3.412052374191513</v>
      </c>
      <c r="I1844">
        <v>1</v>
      </c>
      <c r="J1844" t="s">
        <v>21</v>
      </c>
    </row>
    <row r="1845" spans="1:10" x14ac:dyDescent="0.25">
      <c r="A1845">
        <v>61074</v>
      </c>
      <c r="B1845" t="s">
        <v>3930</v>
      </c>
      <c r="C1845" t="s">
        <v>241</v>
      </c>
      <c r="D1845" t="s">
        <v>2241</v>
      </c>
      <c r="E1845" t="s">
        <v>2242</v>
      </c>
      <c r="F1845">
        <v>43258</v>
      </c>
      <c r="G1845">
        <v>12678</v>
      </c>
      <c r="H1845" s="32">
        <f t="shared" si="28"/>
        <v>3.412052374191513</v>
      </c>
      <c r="I1845">
        <v>1</v>
      </c>
      <c r="J1845" t="s">
        <v>21</v>
      </c>
    </row>
    <row r="1846" spans="1:10" x14ac:dyDescent="0.25">
      <c r="A1846">
        <v>58879</v>
      </c>
      <c r="B1846" t="s">
        <v>3324</v>
      </c>
      <c r="C1846" t="s">
        <v>708</v>
      </c>
      <c r="D1846" t="s">
        <v>2241</v>
      </c>
      <c r="E1846" t="s">
        <v>2242</v>
      </c>
      <c r="F1846">
        <v>29272</v>
      </c>
      <c r="G1846">
        <v>8579</v>
      </c>
      <c r="H1846" s="32">
        <f t="shared" si="28"/>
        <v>3.4120526867933325</v>
      </c>
      <c r="I1846">
        <v>1</v>
      </c>
      <c r="J1846" t="s">
        <v>21</v>
      </c>
    </row>
    <row r="1847" spans="1:10" x14ac:dyDescent="0.25">
      <c r="A1847">
        <v>68467</v>
      </c>
      <c r="B1847" t="s">
        <v>5236</v>
      </c>
      <c r="C1847" t="s">
        <v>166</v>
      </c>
      <c r="D1847" t="s">
        <v>2241</v>
      </c>
      <c r="E1847" t="s">
        <v>2242</v>
      </c>
      <c r="F1847">
        <v>11833</v>
      </c>
      <c r="G1847">
        <v>3468</v>
      </c>
      <c r="H1847" s="32">
        <f t="shared" si="28"/>
        <v>3.4120530565167244</v>
      </c>
      <c r="I1847">
        <v>1</v>
      </c>
      <c r="J1847" t="s">
        <v>21</v>
      </c>
    </row>
    <row r="1848" spans="1:10" x14ac:dyDescent="0.25">
      <c r="A1848">
        <v>63824</v>
      </c>
      <c r="B1848" t="s">
        <v>4416</v>
      </c>
      <c r="C1848" t="s">
        <v>166</v>
      </c>
      <c r="D1848" t="s">
        <v>2241</v>
      </c>
      <c r="E1848" t="s">
        <v>2242</v>
      </c>
      <c r="F1848">
        <v>14607</v>
      </c>
      <c r="G1848">
        <v>4281</v>
      </c>
      <c r="H1848" s="32">
        <f t="shared" si="28"/>
        <v>3.412053258584443</v>
      </c>
      <c r="I1848">
        <v>1</v>
      </c>
      <c r="J1848" t="s">
        <v>21</v>
      </c>
    </row>
    <row r="1849" spans="1:10" x14ac:dyDescent="0.25">
      <c r="A1849">
        <v>58346</v>
      </c>
      <c r="B1849" t="s">
        <v>3169</v>
      </c>
      <c r="C1849" t="s">
        <v>708</v>
      </c>
      <c r="D1849" t="s">
        <v>2241</v>
      </c>
      <c r="E1849" t="s">
        <v>2242</v>
      </c>
      <c r="F1849">
        <v>29893</v>
      </c>
      <c r="G1849">
        <v>8761</v>
      </c>
      <c r="H1849" s="32">
        <f t="shared" si="28"/>
        <v>3.412053418559525</v>
      </c>
      <c r="I1849">
        <v>1</v>
      </c>
      <c r="J1849" t="s">
        <v>21</v>
      </c>
    </row>
    <row r="1850" spans="1:10" x14ac:dyDescent="0.25">
      <c r="A1850">
        <v>66944</v>
      </c>
      <c r="B1850" t="s">
        <v>4994</v>
      </c>
      <c r="C1850" t="s">
        <v>143</v>
      </c>
      <c r="D1850" t="s">
        <v>2241</v>
      </c>
      <c r="E1850" t="s">
        <v>2242</v>
      </c>
      <c r="F1850">
        <v>97322</v>
      </c>
      <c r="G1850">
        <v>28523</v>
      </c>
      <c r="H1850" s="32">
        <f t="shared" si="28"/>
        <v>3.4120534305648071</v>
      </c>
      <c r="I1850">
        <v>1</v>
      </c>
      <c r="J1850" t="s">
        <v>21</v>
      </c>
    </row>
    <row r="1851" spans="1:10" x14ac:dyDescent="0.25">
      <c r="A1851">
        <v>65486</v>
      </c>
      <c r="B1851" t="s">
        <v>4755</v>
      </c>
      <c r="C1851" t="s">
        <v>241</v>
      </c>
      <c r="D1851" t="s">
        <v>2241</v>
      </c>
      <c r="E1851" t="s">
        <v>2242</v>
      </c>
      <c r="F1851">
        <v>13191</v>
      </c>
      <c r="G1851">
        <v>3866</v>
      </c>
      <c r="H1851" s="32">
        <f t="shared" si="28"/>
        <v>3.4120538023797207</v>
      </c>
      <c r="I1851">
        <v>1</v>
      </c>
      <c r="J1851" t="s">
        <v>21</v>
      </c>
    </row>
    <row r="1852" spans="1:10" x14ac:dyDescent="0.25">
      <c r="A1852">
        <v>59018</v>
      </c>
      <c r="B1852" t="s">
        <v>3352</v>
      </c>
      <c r="C1852" t="s">
        <v>131</v>
      </c>
      <c r="D1852" t="s">
        <v>2241</v>
      </c>
      <c r="E1852" t="s">
        <v>2242</v>
      </c>
      <c r="F1852">
        <v>8322</v>
      </c>
      <c r="G1852">
        <v>2439</v>
      </c>
      <c r="H1852" s="32">
        <f t="shared" si="28"/>
        <v>3.4120541205412054</v>
      </c>
      <c r="I1852">
        <v>1</v>
      </c>
      <c r="J1852" t="s">
        <v>21</v>
      </c>
    </row>
    <row r="1853" spans="1:10" x14ac:dyDescent="0.25">
      <c r="A1853">
        <v>65151</v>
      </c>
      <c r="B1853" t="s">
        <v>4693</v>
      </c>
      <c r="C1853" t="s">
        <v>201</v>
      </c>
      <c r="D1853" t="s">
        <v>2241</v>
      </c>
      <c r="E1853" t="s">
        <v>2242</v>
      </c>
      <c r="F1853">
        <v>67876</v>
      </c>
      <c r="G1853">
        <v>19893</v>
      </c>
      <c r="H1853" s="32">
        <f t="shared" si="28"/>
        <v>3.412054491529684</v>
      </c>
      <c r="I1853">
        <v>1</v>
      </c>
      <c r="J1853" t="s">
        <v>21</v>
      </c>
    </row>
    <row r="1854" spans="1:10" x14ac:dyDescent="0.25">
      <c r="A1854">
        <v>63861</v>
      </c>
      <c r="B1854" t="s">
        <v>4430</v>
      </c>
      <c r="C1854" t="s">
        <v>131</v>
      </c>
      <c r="D1854" t="s">
        <v>2241</v>
      </c>
      <c r="E1854" t="s">
        <v>2242</v>
      </c>
      <c r="F1854">
        <v>68497</v>
      </c>
      <c r="G1854">
        <v>20075</v>
      </c>
      <c r="H1854" s="32">
        <f t="shared" si="28"/>
        <v>3.4120547945205479</v>
      </c>
      <c r="I1854">
        <v>1</v>
      </c>
      <c r="J1854" t="s">
        <v>21</v>
      </c>
    </row>
    <row r="1855" spans="1:10" x14ac:dyDescent="0.25">
      <c r="A1855">
        <v>65553</v>
      </c>
      <c r="B1855" t="s">
        <v>4770</v>
      </c>
      <c r="C1855" t="s">
        <v>708</v>
      </c>
      <c r="D1855" t="s">
        <v>2241</v>
      </c>
      <c r="E1855" t="s">
        <v>2242</v>
      </c>
      <c r="F1855">
        <v>24908</v>
      </c>
      <c r="G1855">
        <v>7300</v>
      </c>
      <c r="H1855" s="32">
        <f t="shared" si="28"/>
        <v>3.4120547945205479</v>
      </c>
      <c r="I1855">
        <v>1</v>
      </c>
      <c r="J1855" t="s">
        <v>21</v>
      </c>
    </row>
    <row r="1856" spans="1:10" x14ac:dyDescent="0.25">
      <c r="A1856">
        <v>69116</v>
      </c>
      <c r="B1856" t="s">
        <v>5323</v>
      </c>
      <c r="C1856" t="s">
        <v>143</v>
      </c>
      <c r="D1856" t="s">
        <v>2241</v>
      </c>
      <c r="E1856" t="s">
        <v>2242</v>
      </c>
      <c r="F1856">
        <v>3453</v>
      </c>
      <c r="G1856">
        <v>1012</v>
      </c>
      <c r="H1856" s="32">
        <f t="shared" si="28"/>
        <v>3.4120553359683794</v>
      </c>
      <c r="I1856">
        <v>1</v>
      </c>
      <c r="J1856" t="s">
        <v>21</v>
      </c>
    </row>
    <row r="1857" spans="1:10" x14ac:dyDescent="0.25">
      <c r="A1857">
        <v>64786</v>
      </c>
      <c r="B1857" t="s">
        <v>4643</v>
      </c>
      <c r="C1857" t="s">
        <v>166</v>
      </c>
      <c r="D1857" t="s">
        <v>2241</v>
      </c>
      <c r="E1857" t="s">
        <v>2242</v>
      </c>
      <c r="F1857">
        <v>14491</v>
      </c>
      <c r="G1857">
        <v>4247</v>
      </c>
      <c r="H1857" s="32">
        <f t="shared" si="28"/>
        <v>3.4120555686366849</v>
      </c>
      <c r="I1857">
        <v>1</v>
      </c>
      <c r="J1857" t="s">
        <v>21</v>
      </c>
    </row>
    <row r="1858" spans="1:10" x14ac:dyDescent="0.25">
      <c r="A1858">
        <v>59685</v>
      </c>
      <c r="B1858" t="s">
        <v>3562</v>
      </c>
      <c r="C1858" t="s">
        <v>201</v>
      </c>
      <c r="D1858" t="s">
        <v>2241</v>
      </c>
      <c r="E1858" t="s">
        <v>2242</v>
      </c>
      <c r="F1858">
        <v>120739</v>
      </c>
      <c r="G1858">
        <v>35386</v>
      </c>
      <c r="H1858" s="32">
        <f t="shared" ref="H1858:H1921" si="29">IF(AND(F1858&gt;0,G1858&gt;0),F1858/G1858,"")</f>
        <v>3.4120556152150567</v>
      </c>
      <c r="I1858">
        <v>1</v>
      </c>
      <c r="J1858" t="s">
        <v>21</v>
      </c>
    </row>
    <row r="1859" spans="1:10" x14ac:dyDescent="0.25">
      <c r="A1859">
        <v>58877</v>
      </c>
      <c r="B1859" t="s">
        <v>3323</v>
      </c>
      <c r="C1859" t="s">
        <v>241</v>
      </c>
      <c r="D1859" t="s">
        <v>2241</v>
      </c>
      <c r="E1859" t="s">
        <v>2242</v>
      </c>
      <c r="F1859">
        <v>40699</v>
      </c>
      <c r="G1859">
        <v>11928</v>
      </c>
      <c r="H1859" s="32">
        <f t="shared" si="29"/>
        <v>3.4120556673373574</v>
      </c>
      <c r="I1859">
        <v>1</v>
      </c>
      <c r="J1859" t="s">
        <v>21</v>
      </c>
    </row>
    <row r="1860" spans="1:10" x14ac:dyDescent="0.25">
      <c r="A1860">
        <v>59586</v>
      </c>
      <c r="B1860" t="s">
        <v>3527</v>
      </c>
      <c r="C1860" t="s">
        <v>708</v>
      </c>
      <c r="D1860" t="s">
        <v>2241</v>
      </c>
      <c r="E1860" t="s">
        <v>2242</v>
      </c>
      <c r="F1860">
        <v>31698</v>
      </c>
      <c r="G1860">
        <v>9290</v>
      </c>
      <c r="H1860" s="32">
        <f t="shared" si="29"/>
        <v>3.4120559741657694</v>
      </c>
      <c r="I1860">
        <v>1</v>
      </c>
      <c r="J1860" t="s">
        <v>21</v>
      </c>
    </row>
    <row r="1861" spans="1:10" x14ac:dyDescent="0.25">
      <c r="A1861">
        <v>59149</v>
      </c>
      <c r="B1861" t="s">
        <v>3392</v>
      </c>
      <c r="C1861" t="s">
        <v>708</v>
      </c>
      <c r="D1861" t="s">
        <v>2241</v>
      </c>
      <c r="E1861" t="s">
        <v>2242</v>
      </c>
      <c r="F1861">
        <v>32377</v>
      </c>
      <c r="G1861">
        <v>9489</v>
      </c>
      <c r="H1861" s="32">
        <f t="shared" si="29"/>
        <v>3.4120560649172726</v>
      </c>
      <c r="I1861">
        <v>1</v>
      </c>
      <c r="J1861" t="s">
        <v>21</v>
      </c>
    </row>
    <row r="1862" spans="1:10" x14ac:dyDescent="0.25">
      <c r="A1862">
        <v>60576</v>
      </c>
      <c r="B1862" t="s">
        <v>3803</v>
      </c>
      <c r="C1862" t="s">
        <v>708</v>
      </c>
      <c r="D1862" t="s">
        <v>2241</v>
      </c>
      <c r="E1862" t="s">
        <v>2242</v>
      </c>
      <c r="F1862">
        <v>30166</v>
      </c>
      <c r="G1862">
        <v>8841</v>
      </c>
      <c r="H1862" s="32">
        <f t="shared" si="29"/>
        <v>3.4120574595633979</v>
      </c>
      <c r="I1862">
        <v>1</v>
      </c>
      <c r="J1862" t="s">
        <v>21</v>
      </c>
    </row>
    <row r="1863" spans="1:10" x14ac:dyDescent="0.25">
      <c r="A1863">
        <v>66345</v>
      </c>
      <c r="B1863" t="s">
        <v>4880</v>
      </c>
      <c r="C1863" t="s">
        <v>708</v>
      </c>
      <c r="D1863" t="s">
        <v>2241</v>
      </c>
      <c r="E1863" t="s">
        <v>2242</v>
      </c>
      <c r="F1863">
        <v>36277</v>
      </c>
      <c r="G1863">
        <v>10632</v>
      </c>
      <c r="H1863" s="32">
        <f t="shared" si="29"/>
        <v>3.4120579382994731</v>
      </c>
      <c r="I1863">
        <v>1</v>
      </c>
      <c r="J1863" t="s">
        <v>21</v>
      </c>
    </row>
    <row r="1864" spans="1:10" x14ac:dyDescent="0.25">
      <c r="A1864">
        <v>62054</v>
      </c>
      <c r="B1864" t="s">
        <v>4104</v>
      </c>
      <c r="C1864" t="s">
        <v>708</v>
      </c>
      <c r="D1864" t="s">
        <v>2241</v>
      </c>
      <c r="E1864" t="s">
        <v>2242</v>
      </c>
      <c r="F1864">
        <v>30787</v>
      </c>
      <c r="G1864">
        <v>9023</v>
      </c>
      <c r="H1864" s="32">
        <f t="shared" si="29"/>
        <v>3.4120580738113708</v>
      </c>
      <c r="I1864">
        <v>1</v>
      </c>
      <c r="J1864" t="s">
        <v>21</v>
      </c>
    </row>
    <row r="1865" spans="1:10" x14ac:dyDescent="0.25">
      <c r="A1865">
        <v>69306</v>
      </c>
      <c r="B1865" t="s">
        <v>5348</v>
      </c>
      <c r="C1865" t="s">
        <v>307</v>
      </c>
      <c r="D1865" t="s">
        <v>2241</v>
      </c>
      <c r="E1865" t="s">
        <v>2242</v>
      </c>
      <c r="F1865">
        <v>58121</v>
      </c>
      <c r="G1865">
        <v>17034</v>
      </c>
      <c r="H1865" s="32">
        <f t="shared" si="29"/>
        <v>3.4120582364682401</v>
      </c>
      <c r="I1865">
        <v>1</v>
      </c>
      <c r="J1865" t="s">
        <v>21</v>
      </c>
    </row>
    <row r="1866" spans="1:10" x14ac:dyDescent="0.25">
      <c r="A1866">
        <v>58845</v>
      </c>
      <c r="B1866" t="s">
        <v>3303</v>
      </c>
      <c r="C1866" t="s">
        <v>708</v>
      </c>
      <c r="D1866" t="s">
        <v>2241</v>
      </c>
      <c r="E1866" t="s">
        <v>2242</v>
      </c>
      <c r="F1866">
        <v>30729</v>
      </c>
      <c r="G1866">
        <v>9006</v>
      </c>
      <c r="H1866" s="32">
        <f t="shared" si="29"/>
        <v>3.412058627581612</v>
      </c>
      <c r="I1866">
        <v>1</v>
      </c>
      <c r="J1866" t="s">
        <v>21</v>
      </c>
    </row>
    <row r="1867" spans="1:10" x14ac:dyDescent="0.25">
      <c r="A1867">
        <v>61333</v>
      </c>
      <c r="B1867" t="s">
        <v>3995</v>
      </c>
      <c r="C1867" t="s">
        <v>131</v>
      </c>
      <c r="D1867" t="s">
        <v>2241</v>
      </c>
      <c r="E1867" t="s">
        <v>2242</v>
      </c>
      <c r="F1867">
        <v>10922</v>
      </c>
      <c r="G1867">
        <v>3201</v>
      </c>
      <c r="H1867" s="32">
        <f t="shared" si="29"/>
        <v>3.4120587316463604</v>
      </c>
      <c r="I1867">
        <v>1</v>
      </c>
      <c r="J1867" t="s">
        <v>21</v>
      </c>
    </row>
    <row r="1868" spans="1:10" x14ac:dyDescent="0.25">
      <c r="A1868">
        <v>67079</v>
      </c>
      <c r="B1868" t="s">
        <v>5020</v>
      </c>
      <c r="C1868" t="s">
        <v>2029</v>
      </c>
      <c r="D1868" t="s">
        <v>2241</v>
      </c>
      <c r="E1868" t="s">
        <v>2242</v>
      </c>
      <c r="F1868">
        <v>14317</v>
      </c>
      <c r="G1868">
        <v>4196</v>
      </c>
      <c r="H1868" s="32">
        <f t="shared" si="29"/>
        <v>3.4120591039084842</v>
      </c>
      <c r="I1868">
        <v>1</v>
      </c>
      <c r="J1868" t="s">
        <v>21</v>
      </c>
    </row>
    <row r="1869" spans="1:10" x14ac:dyDescent="0.25">
      <c r="A1869">
        <v>66160</v>
      </c>
      <c r="B1869" t="s">
        <v>4866</v>
      </c>
      <c r="C1869" t="s">
        <v>307</v>
      </c>
      <c r="D1869" t="s">
        <v>2241</v>
      </c>
      <c r="E1869" t="s">
        <v>2242</v>
      </c>
      <c r="F1869">
        <v>14996</v>
      </c>
      <c r="G1869">
        <v>4395</v>
      </c>
      <c r="H1869" s="32">
        <f t="shared" si="29"/>
        <v>3.4120591581342437</v>
      </c>
      <c r="I1869">
        <v>1</v>
      </c>
      <c r="J1869" t="s">
        <v>21</v>
      </c>
    </row>
    <row r="1870" spans="1:10" x14ac:dyDescent="0.25">
      <c r="A1870">
        <v>61019</v>
      </c>
      <c r="B1870" t="s">
        <v>3923</v>
      </c>
      <c r="C1870" t="s">
        <v>708</v>
      </c>
      <c r="D1870" t="s">
        <v>2241</v>
      </c>
      <c r="E1870" t="s">
        <v>2242</v>
      </c>
      <c r="F1870">
        <v>30671</v>
      </c>
      <c r="G1870">
        <v>8989</v>
      </c>
      <c r="H1870" s="32">
        <f t="shared" si="29"/>
        <v>3.4120591834464347</v>
      </c>
      <c r="I1870">
        <v>1</v>
      </c>
      <c r="J1870" t="s">
        <v>21</v>
      </c>
    </row>
    <row r="1871" spans="1:10" x14ac:dyDescent="0.25">
      <c r="A1871">
        <v>67256</v>
      </c>
      <c r="B1871" t="s">
        <v>5072</v>
      </c>
      <c r="C1871" t="s">
        <v>166</v>
      </c>
      <c r="D1871" t="s">
        <v>2241</v>
      </c>
      <c r="E1871" t="s">
        <v>2242</v>
      </c>
      <c r="F1871">
        <v>15675</v>
      </c>
      <c r="G1871">
        <v>4594</v>
      </c>
      <c r="H1871" s="32">
        <f t="shared" si="29"/>
        <v>3.4120592076621681</v>
      </c>
      <c r="I1871">
        <v>1</v>
      </c>
      <c r="J1871" t="s">
        <v>21</v>
      </c>
    </row>
    <row r="1872" spans="1:10" x14ac:dyDescent="0.25">
      <c r="A1872">
        <v>63270</v>
      </c>
      <c r="B1872" t="s">
        <v>4316</v>
      </c>
      <c r="C1872" t="s">
        <v>708</v>
      </c>
      <c r="D1872" t="s">
        <v>2241</v>
      </c>
      <c r="E1872" t="s">
        <v>2242</v>
      </c>
      <c r="F1872">
        <v>29934</v>
      </c>
      <c r="G1872">
        <v>8773</v>
      </c>
      <c r="H1872" s="32">
        <f t="shared" si="29"/>
        <v>3.4120597287130972</v>
      </c>
      <c r="I1872">
        <v>1</v>
      </c>
      <c r="J1872" t="s">
        <v>21</v>
      </c>
    </row>
    <row r="1873" spans="1:10" x14ac:dyDescent="0.25">
      <c r="A1873">
        <v>60312</v>
      </c>
      <c r="B1873" t="s">
        <v>3730</v>
      </c>
      <c r="C1873" t="s">
        <v>708</v>
      </c>
      <c r="D1873" t="s">
        <v>2241</v>
      </c>
      <c r="E1873" t="s">
        <v>2242</v>
      </c>
      <c r="F1873">
        <v>30555</v>
      </c>
      <c r="G1873">
        <v>8955</v>
      </c>
      <c r="H1873" s="32">
        <f t="shared" si="29"/>
        <v>3.4120603015075375</v>
      </c>
      <c r="I1873">
        <v>1</v>
      </c>
      <c r="J1873" t="s">
        <v>21</v>
      </c>
    </row>
    <row r="1874" spans="1:10" x14ac:dyDescent="0.25">
      <c r="A1874">
        <v>64257</v>
      </c>
      <c r="B1874" t="s">
        <v>4532</v>
      </c>
      <c r="C1874" t="s">
        <v>166</v>
      </c>
      <c r="D1874" t="s">
        <v>2241</v>
      </c>
      <c r="E1874" t="s">
        <v>2242</v>
      </c>
      <c r="F1874">
        <v>13580</v>
      </c>
      <c r="G1874">
        <v>3980</v>
      </c>
      <c r="H1874" s="32">
        <f t="shared" si="29"/>
        <v>3.4120603015075375</v>
      </c>
      <c r="I1874">
        <v>1</v>
      </c>
      <c r="J1874" t="s">
        <v>21</v>
      </c>
    </row>
    <row r="1875" spans="1:10" x14ac:dyDescent="0.25">
      <c r="A1875">
        <v>64733</v>
      </c>
      <c r="B1875" t="s">
        <v>4635</v>
      </c>
      <c r="C1875" t="s">
        <v>166</v>
      </c>
      <c r="D1875" t="s">
        <v>2241</v>
      </c>
      <c r="E1875" t="s">
        <v>2242</v>
      </c>
      <c r="F1875">
        <v>14259</v>
      </c>
      <c r="G1875">
        <v>4179</v>
      </c>
      <c r="H1875" s="32">
        <f t="shared" si="29"/>
        <v>3.4120603015075375</v>
      </c>
      <c r="I1875">
        <v>1</v>
      </c>
      <c r="J1875" t="s">
        <v>21</v>
      </c>
    </row>
    <row r="1876" spans="1:10" x14ac:dyDescent="0.25">
      <c r="A1876">
        <v>66364</v>
      </c>
      <c r="B1876" t="s">
        <v>4884</v>
      </c>
      <c r="C1876" t="s">
        <v>143</v>
      </c>
      <c r="D1876" t="s">
        <v>2241</v>
      </c>
      <c r="E1876" t="s">
        <v>2242</v>
      </c>
      <c r="F1876">
        <v>64505</v>
      </c>
      <c r="G1876">
        <v>18905</v>
      </c>
      <c r="H1876" s="32">
        <f t="shared" si="29"/>
        <v>3.4120603015075375</v>
      </c>
      <c r="I1876">
        <v>1</v>
      </c>
      <c r="J1876" t="s">
        <v>21</v>
      </c>
    </row>
    <row r="1877" spans="1:10" x14ac:dyDescent="0.25">
      <c r="A1877">
        <v>60399</v>
      </c>
      <c r="B1877" t="s">
        <v>3762</v>
      </c>
      <c r="C1877" t="s">
        <v>708</v>
      </c>
      <c r="D1877" t="s">
        <v>2241</v>
      </c>
      <c r="E1877" t="s">
        <v>2242</v>
      </c>
      <c r="F1877">
        <v>31176</v>
      </c>
      <c r="G1877">
        <v>9137</v>
      </c>
      <c r="H1877" s="32">
        <f t="shared" si="29"/>
        <v>3.4120608514829813</v>
      </c>
      <c r="I1877">
        <v>1</v>
      </c>
      <c r="J1877" t="s">
        <v>21</v>
      </c>
    </row>
    <row r="1878" spans="1:10" x14ac:dyDescent="0.25">
      <c r="A1878">
        <v>59675</v>
      </c>
      <c r="B1878" t="s">
        <v>3557</v>
      </c>
      <c r="C1878" t="s">
        <v>708</v>
      </c>
      <c r="D1878" t="s">
        <v>2241</v>
      </c>
      <c r="E1878" t="s">
        <v>2242</v>
      </c>
      <c r="F1878">
        <v>30497</v>
      </c>
      <c r="G1878">
        <v>8938</v>
      </c>
      <c r="H1878" s="32">
        <f t="shared" si="29"/>
        <v>3.4120608637279033</v>
      </c>
      <c r="I1878">
        <v>1</v>
      </c>
      <c r="J1878" t="s">
        <v>21</v>
      </c>
    </row>
    <row r="1879" spans="1:10" x14ac:dyDescent="0.25">
      <c r="A1879">
        <v>60370</v>
      </c>
      <c r="B1879" t="s">
        <v>3749</v>
      </c>
      <c r="C1879" t="s">
        <v>708</v>
      </c>
      <c r="D1879" t="s">
        <v>2241</v>
      </c>
      <c r="E1879" t="s">
        <v>2242</v>
      </c>
      <c r="F1879">
        <v>29139</v>
      </c>
      <c r="G1879">
        <v>8540</v>
      </c>
      <c r="H1879" s="32">
        <f t="shared" si="29"/>
        <v>3.4120608899297422</v>
      </c>
      <c r="I1879">
        <v>1</v>
      </c>
      <c r="J1879" t="s">
        <v>21</v>
      </c>
    </row>
    <row r="1880" spans="1:10" x14ac:dyDescent="0.25">
      <c r="A1880">
        <v>62136</v>
      </c>
      <c r="B1880" t="s">
        <v>4124</v>
      </c>
      <c r="C1880" t="s">
        <v>708</v>
      </c>
      <c r="D1880" t="s">
        <v>2241</v>
      </c>
      <c r="E1880" t="s">
        <v>2242</v>
      </c>
      <c r="F1880">
        <v>24386</v>
      </c>
      <c r="G1880">
        <v>7147</v>
      </c>
      <c r="H1880" s="32">
        <f t="shared" si="29"/>
        <v>3.4120610046173221</v>
      </c>
      <c r="I1880">
        <v>1</v>
      </c>
      <c r="J1880" t="s">
        <v>21</v>
      </c>
    </row>
    <row r="1881" spans="1:10" x14ac:dyDescent="0.25">
      <c r="A1881">
        <v>65315</v>
      </c>
      <c r="B1881" t="s">
        <v>4715</v>
      </c>
      <c r="C1881" t="s">
        <v>131</v>
      </c>
      <c r="D1881" t="s">
        <v>2241</v>
      </c>
      <c r="E1881" t="s">
        <v>2242</v>
      </c>
      <c r="F1881">
        <v>12164</v>
      </c>
      <c r="G1881">
        <v>3565</v>
      </c>
      <c r="H1881" s="32">
        <f t="shared" si="29"/>
        <v>3.4120617110799438</v>
      </c>
      <c r="I1881">
        <v>1</v>
      </c>
      <c r="J1881" t="s">
        <v>21</v>
      </c>
    </row>
    <row r="1882" spans="1:10" x14ac:dyDescent="0.25">
      <c r="A1882">
        <v>64610</v>
      </c>
      <c r="B1882" t="s">
        <v>4611</v>
      </c>
      <c r="C1882" t="s">
        <v>166</v>
      </c>
      <c r="D1882" t="s">
        <v>2241</v>
      </c>
      <c r="E1882" t="s">
        <v>2242</v>
      </c>
      <c r="F1882">
        <v>10127</v>
      </c>
      <c r="G1882">
        <v>2968</v>
      </c>
      <c r="H1882" s="32">
        <f t="shared" si="29"/>
        <v>3.4120619946091644</v>
      </c>
      <c r="I1882">
        <v>1</v>
      </c>
      <c r="J1882" t="s">
        <v>21</v>
      </c>
    </row>
    <row r="1883" spans="1:10" x14ac:dyDescent="0.25">
      <c r="A1883">
        <v>59511</v>
      </c>
      <c r="B1883" t="s">
        <v>3487</v>
      </c>
      <c r="C1883" t="s">
        <v>708</v>
      </c>
      <c r="D1883" t="s">
        <v>2241</v>
      </c>
      <c r="E1883" t="s">
        <v>2242</v>
      </c>
      <c r="F1883">
        <v>19517</v>
      </c>
      <c r="G1883">
        <v>5720</v>
      </c>
      <c r="H1883" s="32">
        <f t="shared" si="29"/>
        <v>3.4120629370629372</v>
      </c>
      <c r="I1883">
        <v>1</v>
      </c>
      <c r="J1883" t="s">
        <v>21</v>
      </c>
    </row>
    <row r="1884" spans="1:10" x14ac:dyDescent="0.25">
      <c r="A1884">
        <v>62102</v>
      </c>
      <c r="B1884" t="s">
        <v>4111</v>
      </c>
      <c r="C1884" t="s">
        <v>708</v>
      </c>
      <c r="D1884" t="s">
        <v>2241</v>
      </c>
      <c r="E1884" t="s">
        <v>2242</v>
      </c>
      <c r="F1884">
        <v>30944</v>
      </c>
      <c r="G1884">
        <v>9069</v>
      </c>
      <c r="H1884" s="32">
        <f t="shared" si="29"/>
        <v>3.4120630720035283</v>
      </c>
      <c r="I1884">
        <v>1</v>
      </c>
      <c r="J1884" t="s">
        <v>21</v>
      </c>
    </row>
    <row r="1885" spans="1:10" x14ac:dyDescent="0.25">
      <c r="A1885">
        <v>58807</v>
      </c>
      <c r="B1885" t="s">
        <v>3289</v>
      </c>
      <c r="C1885" t="s">
        <v>708</v>
      </c>
      <c r="D1885" t="s">
        <v>2241</v>
      </c>
      <c r="E1885" t="s">
        <v>2242</v>
      </c>
      <c r="F1885">
        <v>30265</v>
      </c>
      <c r="G1885">
        <v>8870</v>
      </c>
      <c r="H1885" s="32">
        <f t="shared" si="29"/>
        <v>3.41206313416009</v>
      </c>
      <c r="I1885">
        <v>1</v>
      </c>
      <c r="J1885" t="s">
        <v>21</v>
      </c>
    </row>
    <row r="1886" spans="1:10" x14ac:dyDescent="0.25">
      <c r="A1886">
        <v>59648</v>
      </c>
      <c r="B1886" t="s">
        <v>3549</v>
      </c>
      <c r="C1886" t="s">
        <v>708</v>
      </c>
      <c r="D1886" t="s">
        <v>2241</v>
      </c>
      <c r="E1886" t="s">
        <v>2242</v>
      </c>
      <c r="F1886">
        <v>30265</v>
      </c>
      <c r="G1886">
        <v>8870</v>
      </c>
      <c r="H1886" s="32">
        <f t="shared" si="29"/>
        <v>3.41206313416009</v>
      </c>
      <c r="I1886">
        <v>1</v>
      </c>
      <c r="J1886" t="s">
        <v>21</v>
      </c>
    </row>
    <row r="1887" spans="1:10" x14ac:dyDescent="0.25">
      <c r="A1887">
        <v>58703</v>
      </c>
      <c r="B1887" t="s">
        <v>3259</v>
      </c>
      <c r="C1887" t="s">
        <v>131</v>
      </c>
      <c r="D1887" t="s">
        <v>2241</v>
      </c>
      <c r="E1887" t="s">
        <v>2242</v>
      </c>
      <c r="F1887">
        <v>16801</v>
      </c>
      <c r="G1887">
        <v>4924</v>
      </c>
      <c r="H1887" s="32">
        <f t="shared" si="29"/>
        <v>3.4120633631194153</v>
      </c>
      <c r="I1887">
        <v>1</v>
      </c>
      <c r="J1887" t="s">
        <v>21</v>
      </c>
    </row>
    <row r="1888" spans="1:10" x14ac:dyDescent="0.25">
      <c r="A1888">
        <v>59038</v>
      </c>
      <c r="B1888" t="s">
        <v>3356</v>
      </c>
      <c r="C1888" t="s">
        <v>708</v>
      </c>
      <c r="D1888" t="s">
        <v>2241</v>
      </c>
      <c r="E1888" t="s">
        <v>2242</v>
      </c>
      <c r="F1888">
        <v>16801</v>
      </c>
      <c r="G1888">
        <v>4924</v>
      </c>
      <c r="H1888" s="32">
        <f t="shared" si="29"/>
        <v>3.4120633631194153</v>
      </c>
      <c r="I1888">
        <v>1</v>
      </c>
      <c r="J1888" t="s">
        <v>21</v>
      </c>
    </row>
    <row r="1889" spans="1:10" x14ac:dyDescent="0.25">
      <c r="A1889">
        <v>58431</v>
      </c>
      <c r="B1889" t="s">
        <v>3193</v>
      </c>
      <c r="C1889" t="s">
        <v>2029</v>
      </c>
      <c r="D1889" t="s">
        <v>2241</v>
      </c>
      <c r="E1889" t="s">
        <v>2242</v>
      </c>
      <c r="F1889">
        <v>10748</v>
      </c>
      <c r="G1889">
        <v>3150</v>
      </c>
      <c r="H1889" s="32">
        <f t="shared" si="29"/>
        <v>3.412063492063492</v>
      </c>
      <c r="I1889">
        <v>1</v>
      </c>
      <c r="J1889" t="s">
        <v>21</v>
      </c>
    </row>
    <row r="1890" spans="1:10" x14ac:dyDescent="0.25">
      <c r="A1890">
        <v>61599</v>
      </c>
      <c r="B1890" t="s">
        <v>4039</v>
      </c>
      <c r="C1890" t="s">
        <v>241</v>
      </c>
      <c r="D1890" t="s">
        <v>2241</v>
      </c>
      <c r="E1890" t="s">
        <v>2242</v>
      </c>
      <c r="F1890">
        <v>53740</v>
      </c>
      <c r="G1890">
        <v>15750</v>
      </c>
      <c r="H1890" s="32">
        <f t="shared" si="29"/>
        <v>3.412063492063492</v>
      </c>
      <c r="I1890">
        <v>1</v>
      </c>
      <c r="J1890" t="s">
        <v>21</v>
      </c>
    </row>
    <row r="1891" spans="1:10" x14ac:dyDescent="0.25">
      <c r="A1891">
        <v>62713</v>
      </c>
      <c r="B1891" t="s">
        <v>4213</v>
      </c>
      <c r="C1891" t="s">
        <v>241</v>
      </c>
      <c r="D1891" t="s">
        <v>2241</v>
      </c>
      <c r="E1891" t="s">
        <v>2242</v>
      </c>
      <c r="F1891">
        <v>42313</v>
      </c>
      <c r="G1891">
        <v>12401</v>
      </c>
      <c r="H1891" s="32">
        <f t="shared" si="29"/>
        <v>3.4120635432626401</v>
      </c>
      <c r="I1891">
        <v>1</v>
      </c>
      <c r="J1891" t="s">
        <v>21</v>
      </c>
    </row>
    <row r="1892" spans="1:10" x14ac:dyDescent="0.25">
      <c r="A1892">
        <v>61094</v>
      </c>
      <c r="B1892" t="s">
        <v>3939</v>
      </c>
      <c r="C1892" t="s">
        <v>708</v>
      </c>
      <c r="D1892" t="s">
        <v>2241</v>
      </c>
      <c r="E1892" t="s">
        <v>2242</v>
      </c>
      <c r="F1892">
        <v>33544</v>
      </c>
      <c r="G1892">
        <v>9831</v>
      </c>
      <c r="H1892" s="32">
        <f t="shared" si="29"/>
        <v>3.4120638795646423</v>
      </c>
      <c r="I1892">
        <v>1</v>
      </c>
      <c r="J1892" t="s">
        <v>21</v>
      </c>
    </row>
    <row r="1893" spans="1:10" x14ac:dyDescent="0.25">
      <c r="A1893">
        <v>59510</v>
      </c>
      <c r="B1893" t="s">
        <v>3486</v>
      </c>
      <c r="C1893" t="s">
        <v>708</v>
      </c>
      <c r="D1893" t="s">
        <v>2241</v>
      </c>
      <c r="E1893" t="s">
        <v>2242</v>
      </c>
      <c r="F1893">
        <v>27491</v>
      </c>
      <c r="G1893">
        <v>8057</v>
      </c>
      <c r="H1893" s="32">
        <f t="shared" si="29"/>
        <v>3.412064043688718</v>
      </c>
      <c r="I1893">
        <v>1</v>
      </c>
      <c r="J1893" t="s">
        <v>21</v>
      </c>
    </row>
    <row r="1894" spans="1:10" x14ac:dyDescent="0.25">
      <c r="A1894">
        <v>67080</v>
      </c>
      <c r="B1894" t="s">
        <v>5021</v>
      </c>
      <c r="C1894" t="s">
        <v>2029</v>
      </c>
      <c r="D1894" t="s">
        <v>2241</v>
      </c>
      <c r="E1894" t="s">
        <v>2242</v>
      </c>
      <c r="F1894">
        <v>34165</v>
      </c>
      <c r="G1894">
        <v>10013</v>
      </c>
      <c r="H1894" s="32">
        <f t="shared" si="29"/>
        <v>3.4120643163886948</v>
      </c>
      <c r="I1894">
        <v>1</v>
      </c>
      <c r="J1894" t="s">
        <v>21</v>
      </c>
    </row>
    <row r="1895" spans="1:10" x14ac:dyDescent="0.25">
      <c r="A1895">
        <v>66748</v>
      </c>
      <c r="B1895" t="s">
        <v>4957</v>
      </c>
      <c r="C1895" t="s">
        <v>131</v>
      </c>
      <c r="D1895" t="s">
        <v>2241</v>
      </c>
      <c r="E1895" t="s">
        <v>2242</v>
      </c>
      <c r="F1895">
        <v>35465</v>
      </c>
      <c r="G1895">
        <v>10394</v>
      </c>
      <c r="H1895" s="32">
        <f t="shared" si="29"/>
        <v>3.4120646526842409</v>
      </c>
      <c r="I1895">
        <v>1</v>
      </c>
      <c r="J1895" t="s">
        <v>21</v>
      </c>
    </row>
    <row r="1896" spans="1:10" x14ac:dyDescent="0.25">
      <c r="A1896">
        <v>59474</v>
      </c>
      <c r="B1896" t="s">
        <v>3462</v>
      </c>
      <c r="C1896" t="s">
        <v>708</v>
      </c>
      <c r="D1896" t="s">
        <v>2241</v>
      </c>
      <c r="E1896" t="s">
        <v>2242</v>
      </c>
      <c r="F1896">
        <v>113400</v>
      </c>
      <c r="G1896">
        <v>33235</v>
      </c>
      <c r="H1896" s="32">
        <f t="shared" si="29"/>
        <v>3.4120655935008273</v>
      </c>
      <c r="I1896">
        <v>1</v>
      </c>
      <c r="J1896" t="s">
        <v>21</v>
      </c>
    </row>
    <row r="1897" spans="1:10" x14ac:dyDescent="0.25">
      <c r="A1897">
        <v>69739</v>
      </c>
      <c r="B1897" t="s">
        <v>5398</v>
      </c>
      <c r="C1897" t="s">
        <v>166</v>
      </c>
      <c r="D1897" t="s">
        <v>2241</v>
      </c>
      <c r="E1897" t="s">
        <v>2242</v>
      </c>
      <c r="F1897">
        <v>16006</v>
      </c>
      <c r="G1897">
        <v>4691</v>
      </c>
      <c r="H1897" s="32">
        <f t="shared" si="29"/>
        <v>3.4120656576422936</v>
      </c>
      <c r="I1897">
        <v>1</v>
      </c>
      <c r="J1897" t="s">
        <v>21</v>
      </c>
    </row>
    <row r="1898" spans="1:10" x14ac:dyDescent="0.25">
      <c r="A1898">
        <v>60108</v>
      </c>
      <c r="B1898" t="s">
        <v>3673</v>
      </c>
      <c r="C1898" t="s">
        <v>708</v>
      </c>
      <c r="D1898" t="s">
        <v>2241</v>
      </c>
      <c r="E1898" t="s">
        <v>2242</v>
      </c>
      <c r="F1898">
        <v>27996</v>
      </c>
      <c r="G1898">
        <v>8205</v>
      </c>
      <c r="H1898" s="32">
        <f t="shared" si="29"/>
        <v>3.4120658135283364</v>
      </c>
      <c r="I1898">
        <v>1</v>
      </c>
      <c r="J1898" t="s">
        <v>21</v>
      </c>
    </row>
    <row r="1899" spans="1:10" x14ac:dyDescent="0.25">
      <c r="A1899">
        <v>62770</v>
      </c>
      <c r="B1899" t="s">
        <v>4226</v>
      </c>
      <c r="C1899" t="s">
        <v>131</v>
      </c>
      <c r="D1899" t="s">
        <v>2241</v>
      </c>
      <c r="E1899" t="s">
        <v>2242</v>
      </c>
      <c r="F1899">
        <v>31275</v>
      </c>
      <c r="G1899">
        <v>9166</v>
      </c>
      <c r="H1899" s="32">
        <f t="shared" si="29"/>
        <v>3.4120663320968796</v>
      </c>
      <c r="I1899">
        <v>1</v>
      </c>
      <c r="J1899" t="s">
        <v>21</v>
      </c>
    </row>
    <row r="1900" spans="1:10" x14ac:dyDescent="0.25">
      <c r="A1900">
        <v>58091</v>
      </c>
      <c r="B1900" t="s">
        <v>3108</v>
      </c>
      <c r="C1900" t="s">
        <v>143</v>
      </c>
      <c r="D1900" t="s">
        <v>2241</v>
      </c>
      <c r="E1900" t="s">
        <v>2242</v>
      </c>
      <c r="F1900">
        <v>25280</v>
      </c>
      <c r="G1900">
        <v>7409</v>
      </c>
      <c r="H1900" s="32">
        <f t="shared" si="29"/>
        <v>3.4120664057227694</v>
      </c>
      <c r="I1900">
        <v>1</v>
      </c>
      <c r="J1900" t="s">
        <v>21</v>
      </c>
    </row>
    <row r="1901" spans="1:10" x14ac:dyDescent="0.25">
      <c r="A1901">
        <v>59677</v>
      </c>
      <c r="B1901" t="s">
        <v>3559</v>
      </c>
      <c r="C1901" t="s">
        <v>708</v>
      </c>
      <c r="D1901" t="s">
        <v>2241</v>
      </c>
      <c r="E1901" t="s">
        <v>2242</v>
      </c>
      <c r="F1901">
        <v>27938</v>
      </c>
      <c r="G1901">
        <v>8188</v>
      </c>
      <c r="H1901" s="32">
        <f t="shared" si="29"/>
        <v>3.4120664386907671</v>
      </c>
      <c r="I1901">
        <v>1</v>
      </c>
      <c r="J1901" t="s">
        <v>21</v>
      </c>
    </row>
    <row r="1902" spans="1:10" x14ac:dyDescent="0.25">
      <c r="A1902">
        <v>59512</v>
      </c>
      <c r="B1902" t="s">
        <v>3488</v>
      </c>
      <c r="C1902" t="s">
        <v>708</v>
      </c>
      <c r="D1902" t="s">
        <v>2241</v>
      </c>
      <c r="E1902" t="s">
        <v>2242</v>
      </c>
      <c r="F1902">
        <v>23922</v>
      </c>
      <c r="G1902">
        <v>7011</v>
      </c>
      <c r="H1902" s="32">
        <f t="shared" si="29"/>
        <v>3.4120667522464698</v>
      </c>
      <c r="I1902">
        <v>1</v>
      </c>
      <c r="J1902" t="s">
        <v>21</v>
      </c>
    </row>
    <row r="1903" spans="1:10" x14ac:dyDescent="0.25">
      <c r="A1903">
        <v>62304</v>
      </c>
      <c r="B1903" t="s">
        <v>4138</v>
      </c>
      <c r="C1903" t="s">
        <v>708</v>
      </c>
      <c r="D1903" t="s">
        <v>2241</v>
      </c>
      <c r="E1903" t="s">
        <v>2242</v>
      </c>
      <c r="F1903">
        <v>43149</v>
      </c>
      <c r="G1903">
        <v>12646</v>
      </c>
      <c r="H1903" s="32">
        <f t="shared" si="29"/>
        <v>3.4120670567768463</v>
      </c>
      <c r="I1903">
        <v>1</v>
      </c>
      <c r="J1903" t="s">
        <v>21</v>
      </c>
    </row>
    <row r="1904" spans="1:10" x14ac:dyDescent="0.25">
      <c r="A1904">
        <v>58347</v>
      </c>
      <c r="B1904" t="s">
        <v>3170</v>
      </c>
      <c r="C1904" t="s">
        <v>708</v>
      </c>
      <c r="D1904" t="s">
        <v>2241</v>
      </c>
      <c r="E1904" t="s">
        <v>2242</v>
      </c>
      <c r="F1904">
        <v>31159</v>
      </c>
      <c r="G1904">
        <v>9132</v>
      </c>
      <c r="H1904" s="32">
        <f t="shared" si="29"/>
        <v>3.4120674551029349</v>
      </c>
      <c r="I1904">
        <v>1</v>
      </c>
      <c r="J1904" t="s">
        <v>21</v>
      </c>
    </row>
    <row r="1905" spans="1:10" x14ac:dyDescent="0.25">
      <c r="A1905">
        <v>68482</v>
      </c>
      <c r="B1905" t="s">
        <v>5238</v>
      </c>
      <c r="C1905" t="s">
        <v>322</v>
      </c>
      <c r="D1905" t="s">
        <v>2241</v>
      </c>
      <c r="E1905" t="s">
        <v>2242</v>
      </c>
      <c r="F1905">
        <v>17190</v>
      </c>
      <c r="G1905">
        <v>5038</v>
      </c>
      <c r="H1905" s="32">
        <f t="shared" si="29"/>
        <v>3.4120682810639145</v>
      </c>
      <c r="I1905">
        <v>1</v>
      </c>
      <c r="J1905" t="s">
        <v>21</v>
      </c>
    </row>
    <row r="1906" spans="1:10" x14ac:dyDescent="0.25">
      <c r="A1906">
        <v>66605</v>
      </c>
      <c r="B1906" t="s">
        <v>4928</v>
      </c>
      <c r="C1906" t="s">
        <v>708</v>
      </c>
      <c r="D1906" t="s">
        <v>2241</v>
      </c>
      <c r="E1906" t="s">
        <v>2242</v>
      </c>
      <c r="F1906">
        <v>10574</v>
      </c>
      <c r="G1906">
        <v>3099</v>
      </c>
      <c r="H1906" s="32">
        <f t="shared" si="29"/>
        <v>3.4120684091642466</v>
      </c>
      <c r="I1906">
        <v>1</v>
      </c>
      <c r="J1906" t="s">
        <v>21</v>
      </c>
    </row>
    <row r="1907" spans="1:10" x14ac:dyDescent="0.25">
      <c r="A1907">
        <v>58342</v>
      </c>
      <c r="B1907" t="s">
        <v>3165</v>
      </c>
      <c r="C1907" t="s">
        <v>708</v>
      </c>
      <c r="D1907" t="s">
        <v>2241</v>
      </c>
      <c r="E1907" t="s">
        <v>2242</v>
      </c>
      <c r="F1907">
        <v>25106</v>
      </c>
      <c r="G1907">
        <v>7358</v>
      </c>
      <c r="H1907" s="32">
        <f t="shared" si="29"/>
        <v>3.4120684968741504</v>
      </c>
      <c r="I1907">
        <v>1</v>
      </c>
      <c r="J1907" t="s">
        <v>21</v>
      </c>
    </row>
    <row r="1908" spans="1:10" x14ac:dyDescent="0.25">
      <c r="A1908">
        <v>62485</v>
      </c>
      <c r="B1908" t="s">
        <v>4165</v>
      </c>
      <c r="C1908" t="s">
        <v>131</v>
      </c>
      <c r="D1908" t="s">
        <v>2241</v>
      </c>
      <c r="E1908" t="s">
        <v>2242</v>
      </c>
      <c r="F1908">
        <v>27085</v>
      </c>
      <c r="G1908">
        <v>7938</v>
      </c>
      <c r="H1908" s="32">
        <f t="shared" si="29"/>
        <v>3.4120685311161503</v>
      </c>
      <c r="I1908">
        <v>1</v>
      </c>
      <c r="J1908" t="s">
        <v>21</v>
      </c>
    </row>
    <row r="1909" spans="1:10" x14ac:dyDescent="0.25">
      <c r="A1909">
        <v>62595</v>
      </c>
      <c r="B1909" t="s">
        <v>4175</v>
      </c>
      <c r="C1909" t="s">
        <v>708</v>
      </c>
      <c r="D1909" t="s">
        <v>2241</v>
      </c>
      <c r="E1909" t="s">
        <v>2242</v>
      </c>
      <c r="F1909">
        <v>28385</v>
      </c>
      <c r="G1909">
        <v>8319</v>
      </c>
      <c r="H1909" s="32">
        <f t="shared" si="29"/>
        <v>3.4120687582642146</v>
      </c>
      <c r="I1909">
        <v>1</v>
      </c>
      <c r="J1909" t="s">
        <v>21</v>
      </c>
    </row>
    <row r="1910" spans="1:10" x14ac:dyDescent="0.25">
      <c r="A1910">
        <v>66022</v>
      </c>
      <c r="B1910" t="s">
        <v>4833</v>
      </c>
      <c r="C1910" t="s">
        <v>166</v>
      </c>
      <c r="D1910" t="s">
        <v>2241</v>
      </c>
      <c r="E1910" t="s">
        <v>2242</v>
      </c>
      <c r="F1910">
        <v>11874</v>
      </c>
      <c r="G1910">
        <v>3480</v>
      </c>
      <c r="H1910" s="32">
        <f t="shared" si="29"/>
        <v>3.4120689655172414</v>
      </c>
      <c r="I1910">
        <v>1</v>
      </c>
      <c r="J1910" t="s">
        <v>21</v>
      </c>
    </row>
    <row r="1911" spans="1:10" x14ac:dyDescent="0.25">
      <c r="A1911">
        <v>67197</v>
      </c>
      <c r="B1911" t="s">
        <v>5056</v>
      </c>
      <c r="C1911" t="s">
        <v>250</v>
      </c>
      <c r="D1911" t="s">
        <v>2241</v>
      </c>
      <c r="E1911" t="s">
        <v>2242</v>
      </c>
      <c r="F1911">
        <v>13853</v>
      </c>
      <c r="G1911">
        <v>4060</v>
      </c>
      <c r="H1911" s="32">
        <f t="shared" si="29"/>
        <v>3.4120689655172414</v>
      </c>
      <c r="I1911">
        <v>1</v>
      </c>
      <c r="J1911" t="s">
        <v>21</v>
      </c>
    </row>
    <row r="1912" spans="1:10" x14ac:dyDescent="0.25">
      <c r="A1912">
        <v>62602</v>
      </c>
      <c r="B1912" t="s">
        <v>4180</v>
      </c>
      <c r="C1912" t="s">
        <v>708</v>
      </c>
      <c r="D1912" t="s">
        <v>2241</v>
      </c>
      <c r="E1912" t="s">
        <v>2242</v>
      </c>
      <c r="F1912">
        <v>34943</v>
      </c>
      <c r="G1912">
        <v>10241</v>
      </c>
      <c r="H1912" s="32">
        <f t="shared" si="29"/>
        <v>3.4120691338736453</v>
      </c>
      <c r="I1912">
        <v>1</v>
      </c>
      <c r="J1912" t="s">
        <v>21</v>
      </c>
    </row>
    <row r="1913" spans="1:10" x14ac:dyDescent="0.25">
      <c r="A1913">
        <v>59857</v>
      </c>
      <c r="B1913" t="s">
        <v>3605</v>
      </c>
      <c r="C1913" t="s">
        <v>708</v>
      </c>
      <c r="D1913" t="s">
        <v>2241</v>
      </c>
      <c r="E1913" t="s">
        <v>2242</v>
      </c>
      <c r="F1913">
        <v>34264</v>
      </c>
      <c r="G1913">
        <v>10042</v>
      </c>
      <c r="H1913" s="32">
        <f t="shared" si="29"/>
        <v>3.4120693089026091</v>
      </c>
      <c r="I1913">
        <v>1</v>
      </c>
      <c r="J1913" t="s">
        <v>21</v>
      </c>
    </row>
    <row r="1914" spans="1:10" x14ac:dyDescent="0.25">
      <c r="A1914">
        <v>59497</v>
      </c>
      <c r="B1914" t="s">
        <v>3473</v>
      </c>
      <c r="C1914" t="s">
        <v>708</v>
      </c>
      <c r="D1914" t="s">
        <v>2241</v>
      </c>
      <c r="E1914" t="s">
        <v>2242</v>
      </c>
      <c r="F1914">
        <v>19732</v>
      </c>
      <c r="G1914">
        <v>5783</v>
      </c>
      <c r="H1914" s="32">
        <f t="shared" si="29"/>
        <v>3.4120698599342902</v>
      </c>
      <c r="I1914">
        <v>1</v>
      </c>
      <c r="J1914" t="s">
        <v>21</v>
      </c>
    </row>
    <row r="1915" spans="1:10" x14ac:dyDescent="0.25">
      <c r="A1915">
        <v>63965</v>
      </c>
      <c r="B1915" t="s">
        <v>4453</v>
      </c>
      <c r="C1915" t="s">
        <v>201</v>
      </c>
      <c r="D1915" t="s">
        <v>2241</v>
      </c>
      <c r="E1915" t="s">
        <v>2242</v>
      </c>
      <c r="F1915">
        <v>76270</v>
      </c>
      <c r="G1915">
        <v>22353</v>
      </c>
      <c r="H1915" s="32">
        <f t="shared" si="29"/>
        <v>3.4120699682369255</v>
      </c>
      <c r="I1915">
        <v>1</v>
      </c>
      <c r="J1915" t="s">
        <v>21</v>
      </c>
    </row>
    <row r="1916" spans="1:10" x14ac:dyDescent="0.25">
      <c r="A1916">
        <v>59498</v>
      </c>
      <c r="B1916" t="s">
        <v>3474</v>
      </c>
      <c r="C1916" t="s">
        <v>708</v>
      </c>
      <c r="D1916" t="s">
        <v>2241</v>
      </c>
      <c r="E1916" t="s">
        <v>2242</v>
      </c>
      <c r="F1916">
        <v>38727</v>
      </c>
      <c r="G1916">
        <v>11350</v>
      </c>
      <c r="H1916" s="32">
        <f t="shared" si="29"/>
        <v>3.412070484581498</v>
      </c>
      <c r="I1916">
        <v>1</v>
      </c>
      <c r="J1916" t="s">
        <v>21</v>
      </c>
    </row>
    <row r="1917" spans="1:10" x14ac:dyDescent="0.25">
      <c r="A1917">
        <v>68096</v>
      </c>
      <c r="B1917" t="s">
        <v>5208</v>
      </c>
      <c r="C1917" t="s">
        <v>2029</v>
      </c>
      <c r="D1917" t="s">
        <v>2241</v>
      </c>
      <c r="E1917" t="s">
        <v>2242</v>
      </c>
      <c r="F1917">
        <v>6558</v>
      </c>
      <c r="G1917">
        <v>1922</v>
      </c>
      <c r="H1917" s="32">
        <f t="shared" si="29"/>
        <v>3.4120707596253901</v>
      </c>
      <c r="I1917">
        <v>1</v>
      </c>
      <c r="J1917" t="s">
        <v>21</v>
      </c>
    </row>
    <row r="1918" spans="1:10" x14ac:dyDescent="0.25">
      <c r="A1918">
        <v>69325</v>
      </c>
      <c r="B1918" t="s">
        <v>5353</v>
      </c>
      <c r="C1918" t="s">
        <v>166</v>
      </c>
      <c r="D1918" t="s">
        <v>2241</v>
      </c>
      <c r="E1918" t="s">
        <v>2242</v>
      </c>
      <c r="F1918">
        <v>6558</v>
      </c>
      <c r="G1918">
        <v>1922</v>
      </c>
      <c r="H1918" s="32">
        <f t="shared" si="29"/>
        <v>3.4120707596253901</v>
      </c>
      <c r="I1918">
        <v>1</v>
      </c>
      <c r="J1918" t="s">
        <v>21</v>
      </c>
    </row>
    <row r="1919" spans="1:10" x14ac:dyDescent="0.25">
      <c r="A1919">
        <v>58556</v>
      </c>
      <c r="B1919" t="s">
        <v>3224</v>
      </c>
      <c r="C1919" t="s">
        <v>131</v>
      </c>
      <c r="D1919" t="s">
        <v>2241</v>
      </c>
      <c r="E1919" t="s">
        <v>2242</v>
      </c>
      <c r="F1919">
        <v>51785</v>
      </c>
      <c r="G1919">
        <v>15177</v>
      </c>
      <c r="H1919" s="32">
        <f t="shared" si="29"/>
        <v>3.4120708967516635</v>
      </c>
      <c r="I1919">
        <v>1</v>
      </c>
      <c r="J1919" t="s">
        <v>21</v>
      </c>
    </row>
    <row r="1920" spans="1:10" x14ac:dyDescent="0.25">
      <c r="A1920">
        <v>64967</v>
      </c>
      <c r="B1920" t="s">
        <v>4664</v>
      </c>
      <c r="C1920" t="s">
        <v>166</v>
      </c>
      <c r="D1920" t="s">
        <v>2241</v>
      </c>
      <c r="E1920" t="s">
        <v>2242</v>
      </c>
      <c r="F1920">
        <v>14416</v>
      </c>
      <c r="G1920">
        <v>4225</v>
      </c>
      <c r="H1920" s="32">
        <f t="shared" si="29"/>
        <v>3.4120710059171597</v>
      </c>
      <c r="I1920">
        <v>1</v>
      </c>
      <c r="J1920" t="s">
        <v>21</v>
      </c>
    </row>
    <row r="1921" spans="1:10" x14ac:dyDescent="0.25">
      <c r="A1921">
        <v>59587</v>
      </c>
      <c r="B1921" t="s">
        <v>3528</v>
      </c>
      <c r="C1921" t="s">
        <v>708</v>
      </c>
      <c r="D1921" t="s">
        <v>2241</v>
      </c>
      <c r="E1921" t="s">
        <v>2242</v>
      </c>
      <c r="F1921">
        <v>18316</v>
      </c>
      <c r="G1921">
        <v>5368</v>
      </c>
      <c r="H1921" s="32">
        <f t="shared" si="29"/>
        <v>3.4120715350223545</v>
      </c>
      <c r="I1921">
        <v>1</v>
      </c>
      <c r="J1921" t="s">
        <v>21</v>
      </c>
    </row>
    <row r="1922" spans="1:10" x14ac:dyDescent="0.25">
      <c r="A1922">
        <v>66712</v>
      </c>
      <c r="B1922" t="s">
        <v>4947</v>
      </c>
      <c r="C1922" t="s">
        <v>708</v>
      </c>
      <c r="D1922" t="s">
        <v>2241</v>
      </c>
      <c r="E1922" t="s">
        <v>2242</v>
      </c>
      <c r="F1922">
        <v>36574</v>
      </c>
      <c r="G1922">
        <v>10719</v>
      </c>
      <c r="H1922" s="32">
        <f t="shared" ref="H1922:H1985" si="30">IF(AND(F1922&gt;0,G1922&gt;0),F1922/G1922,"")</f>
        <v>3.4120720216438101</v>
      </c>
      <c r="I1922">
        <v>1</v>
      </c>
      <c r="J1922" t="s">
        <v>21</v>
      </c>
    </row>
    <row r="1923" spans="1:10" x14ac:dyDescent="0.25">
      <c r="A1923">
        <v>67439</v>
      </c>
      <c r="B1923" t="s">
        <v>5098</v>
      </c>
      <c r="C1923" t="s">
        <v>307</v>
      </c>
      <c r="D1923" t="s">
        <v>2241</v>
      </c>
      <c r="E1923" t="s">
        <v>2242</v>
      </c>
      <c r="F1923">
        <v>15658</v>
      </c>
      <c r="G1923">
        <v>4589</v>
      </c>
      <c r="H1923" s="32">
        <f t="shared" si="30"/>
        <v>3.4120723469165397</v>
      </c>
      <c r="I1923">
        <v>1</v>
      </c>
      <c r="J1923" t="s">
        <v>21</v>
      </c>
    </row>
    <row r="1924" spans="1:10" x14ac:dyDescent="0.25">
      <c r="A1924">
        <v>63073</v>
      </c>
      <c r="B1924" t="s">
        <v>4287</v>
      </c>
      <c r="C1924" t="s">
        <v>166</v>
      </c>
      <c r="D1924" t="s">
        <v>2241</v>
      </c>
      <c r="E1924" t="s">
        <v>2242</v>
      </c>
      <c r="F1924">
        <v>12379</v>
      </c>
      <c r="G1924">
        <v>3628</v>
      </c>
      <c r="H1924" s="32">
        <f t="shared" si="30"/>
        <v>3.4120727673649394</v>
      </c>
      <c r="I1924">
        <v>1</v>
      </c>
      <c r="J1924" t="s">
        <v>21</v>
      </c>
    </row>
    <row r="1925" spans="1:10" x14ac:dyDescent="0.25">
      <c r="A1925">
        <v>61893</v>
      </c>
      <c r="B1925" t="s">
        <v>4082</v>
      </c>
      <c r="C1925" t="s">
        <v>241</v>
      </c>
      <c r="D1925" t="s">
        <v>2241</v>
      </c>
      <c r="E1925" t="s">
        <v>2242</v>
      </c>
      <c r="F1925">
        <v>16279</v>
      </c>
      <c r="G1925">
        <v>4771</v>
      </c>
      <c r="H1925" s="32">
        <f t="shared" si="30"/>
        <v>3.412072940683295</v>
      </c>
      <c r="I1925">
        <v>1</v>
      </c>
      <c r="J1925" t="s">
        <v>21</v>
      </c>
    </row>
    <row r="1926" spans="1:10" x14ac:dyDescent="0.25">
      <c r="A1926">
        <v>69230</v>
      </c>
      <c r="B1926" t="s">
        <v>5343</v>
      </c>
      <c r="C1926" t="s">
        <v>166</v>
      </c>
      <c r="D1926" t="s">
        <v>2241</v>
      </c>
      <c r="E1926" t="s">
        <v>2242</v>
      </c>
      <c r="F1926">
        <v>32558</v>
      </c>
      <c r="G1926">
        <v>9542</v>
      </c>
      <c r="H1926" s="32">
        <f t="shared" si="30"/>
        <v>3.412072940683295</v>
      </c>
      <c r="I1926">
        <v>1</v>
      </c>
      <c r="J1926" t="s">
        <v>21</v>
      </c>
    </row>
    <row r="1927" spans="1:10" x14ac:dyDescent="0.25">
      <c r="A1927">
        <v>62735</v>
      </c>
      <c r="B1927" t="s">
        <v>4216</v>
      </c>
      <c r="C1927" t="s">
        <v>166</v>
      </c>
      <c r="D1927" t="s">
        <v>2241</v>
      </c>
      <c r="E1927" t="s">
        <v>2242</v>
      </c>
      <c r="F1927">
        <v>22779</v>
      </c>
      <c r="G1927">
        <v>6676</v>
      </c>
      <c r="H1927" s="32">
        <f t="shared" si="30"/>
        <v>3.4120730976632716</v>
      </c>
      <c r="I1927">
        <v>1</v>
      </c>
      <c r="J1927" t="s">
        <v>21</v>
      </c>
    </row>
    <row r="1928" spans="1:10" x14ac:dyDescent="0.25">
      <c r="A1928">
        <v>59562</v>
      </c>
      <c r="B1928" t="s">
        <v>3512</v>
      </c>
      <c r="C1928" t="s">
        <v>708</v>
      </c>
      <c r="D1928" t="s">
        <v>2241</v>
      </c>
      <c r="E1928" t="s">
        <v>2242</v>
      </c>
      <c r="F1928">
        <v>29279</v>
      </c>
      <c r="G1928">
        <v>8581</v>
      </c>
      <c r="H1928" s="32">
        <f t="shared" si="30"/>
        <v>3.41207318494348</v>
      </c>
      <c r="I1928">
        <v>1</v>
      </c>
      <c r="J1928" t="s">
        <v>21</v>
      </c>
    </row>
    <row r="1929" spans="1:10" x14ac:dyDescent="0.25">
      <c r="A1929">
        <v>61086</v>
      </c>
      <c r="B1929" t="s">
        <v>3932</v>
      </c>
      <c r="C1929" t="s">
        <v>708</v>
      </c>
      <c r="D1929" t="s">
        <v>2241</v>
      </c>
      <c r="E1929" t="s">
        <v>2242</v>
      </c>
      <c r="F1929">
        <v>32500</v>
      </c>
      <c r="G1929">
        <v>9525</v>
      </c>
      <c r="H1929" s="32">
        <f t="shared" si="30"/>
        <v>3.4120734908136483</v>
      </c>
      <c r="I1929">
        <v>1</v>
      </c>
      <c r="J1929" t="s">
        <v>21</v>
      </c>
    </row>
    <row r="1930" spans="1:10" x14ac:dyDescent="0.25">
      <c r="A1930">
        <v>63428</v>
      </c>
      <c r="B1930" t="s">
        <v>4348</v>
      </c>
      <c r="C1930" t="s">
        <v>3055</v>
      </c>
      <c r="D1930" t="s">
        <v>2241</v>
      </c>
      <c r="E1930" t="s">
        <v>2242</v>
      </c>
      <c r="F1930">
        <v>6500</v>
      </c>
      <c r="G1930">
        <v>1905</v>
      </c>
      <c r="H1930" s="32">
        <f t="shared" si="30"/>
        <v>3.4120734908136483</v>
      </c>
      <c r="I1930">
        <v>1</v>
      </c>
      <c r="J1930" t="s">
        <v>21</v>
      </c>
    </row>
    <row r="1931" spans="1:10" x14ac:dyDescent="0.25">
      <c r="A1931">
        <v>65549</v>
      </c>
      <c r="B1931" t="s">
        <v>4766</v>
      </c>
      <c r="C1931" t="s">
        <v>708</v>
      </c>
      <c r="D1931" t="s">
        <v>2241</v>
      </c>
      <c r="E1931" t="s">
        <v>2242</v>
      </c>
      <c r="F1931">
        <v>32500</v>
      </c>
      <c r="G1931">
        <v>9525</v>
      </c>
      <c r="H1931" s="32">
        <f t="shared" si="30"/>
        <v>3.4120734908136483</v>
      </c>
      <c r="I1931">
        <v>1</v>
      </c>
      <c r="J1931" t="s">
        <v>21</v>
      </c>
    </row>
    <row r="1932" spans="1:10" x14ac:dyDescent="0.25">
      <c r="A1932">
        <v>67717</v>
      </c>
      <c r="B1932" t="s">
        <v>5158</v>
      </c>
      <c r="C1932" t="s">
        <v>166</v>
      </c>
      <c r="D1932" t="s">
        <v>2241</v>
      </c>
      <c r="E1932" t="s">
        <v>2242</v>
      </c>
      <c r="F1932">
        <v>1300</v>
      </c>
      <c r="G1932">
        <v>381</v>
      </c>
      <c r="H1932" s="32">
        <f t="shared" si="30"/>
        <v>3.4120734908136483</v>
      </c>
      <c r="I1932">
        <v>1</v>
      </c>
      <c r="J1932" t="s">
        <v>21</v>
      </c>
    </row>
    <row r="1933" spans="1:10" x14ac:dyDescent="0.25">
      <c r="A1933">
        <v>59176</v>
      </c>
      <c r="B1933" t="s">
        <v>3410</v>
      </c>
      <c r="C1933" t="s">
        <v>708</v>
      </c>
      <c r="D1933" t="s">
        <v>2241</v>
      </c>
      <c r="E1933" t="s">
        <v>2242</v>
      </c>
      <c r="F1933">
        <v>31821</v>
      </c>
      <c r="G1933">
        <v>9326</v>
      </c>
      <c r="H1933" s="32">
        <f t="shared" si="30"/>
        <v>3.4120737722496246</v>
      </c>
      <c r="I1933">
        <v>1</v>
      </c>
      <c r="J1933" t="s">
        <v>21</v>
      </c>
    </row>
    <row r="1934" spans="1:10" x14ac:dyDescent="0.25">
      <c r="A1934">
        <v>66020</v>
      </c>
      <c r="B1934" t="s">
        <v>4831</v>
      </c>
      <c r="C1934" t="s">
        <v>241</v>
      </c>
      <c r="D1934" t="s">
        <v>2241</v>
      </c>
      <c r="E1934" t="s">
        <v>2242</v>
      </c>
      <c r="F1934">
        <v>21421</v>
      </c>
      <c r="G1934">
        <v>6278</v>
      </c>
      <c r="H1934" s="32">
        <f t="shared" si="30"/>
        <v>3.4120739088881811</v>
      </c>
      <c r="I1934">
        <v>1</v>
      </c>
      <c r="J1934" t="s">
        <v>21</v>
      </c>
    </row>
    <row r="1935" spans="1:10" x14ac:dyDescent="0.25">
      <c r="A1935">
        <v>62660</v>
      </c>
      <c r="B1935" t="s">
        <v>4196</v>
      </c>
      <c r="C1935" t="s">
        <v>708</v>
      </c>
      <c r="D1935" t="s">
        <v>2241</v>
      </c>
      <c r="E1935" t="s">
        <v>2242</v>
      </c>
      <c r="F1935">
        <v>28542</v>
      </c>
      <c r="G1935">
        <v>8365</v>
      </c>
      <c r="H1935" s="32">
        <f t="shared" si="30"/>
        <v>3.4120741183502692</v>
      </c>
      <c r="I1935">
        <v>1</v>
      </c>
      <c r="J1935" t="s">
        <v>21</v>
      </c>
    </row>
    <row r="1936" spans="1:10" x14ac:dyDescent="0.25">
      <c r="A1936">
        <v>62693</v>
      </c>
      <c r="B1936" t="s">
        <v>4210</v>
      </c>
      <c r="C1936" t="s">
        <v>708</v>
      </c>
      <c r="D1936" t="s">
        <v>2241</v>
      </c>
      <c r="E1936" t="s">
        <v>2242</v>
      </c>
      <c r="F1936">
        <v>25942</v>
      </c>
      <c r="G1936">
        <v>7603</v>
      </c>
      <c r="H1936" s="32">
        <f t="shared" si="30"/>
        <v>3.4120741812442459</v>
      </c>
      <c r="I1936">
        <v>1</v>
      </c>
      <c r="J1936" t="s">
        <v>21</v>
      </c>
    </row>
    <row r="1937" spans="1:10" x14ac:dyDescent="0.25">
      <c r="A1937">
        <v>59828</v>
      </c>
      <c r="B1937" t="s">
        <v>3589</v>
      </c>
      <c r="C1937" t="s">
        <v>708</v>
      </c>
      <c r="D1937" t="s">
        <v>2241</v>
      </c>
      <c r="E1937" t="s">
        <v>2242</v>
      </c>
      <c r="F1937">
        <v>31084</v>
      </c>
      <c r="G1937">
        <v>9110</v>
      </c>
      <c r="H1937" s="32">
        <f t="shared" si="30"/>
        <v>3.4120746432491766</v>
      </c>
      <c r="I1937">
        <v>1</v>
      </c>
      <c r="J1937" t="s">
        <v>21</v>
      </c>
    </row>
    <row r="1938" spans="1:10" x14ac:dyDescent="0.25">
      <c r="A1938">
        <v>62903</v>
      </c>
      <c r="B1938" t="s">
        <v>4251</v>
      </c>
      <c r="C1938" t="s">
        <v>241</v>
      </c>
      <c r="D1938" t="s">
        <v>2241</v>
      </c>
      <c r="E1938" t="s">
        <v>2242</v>
      </c>
      <c r="F1938">
        <v>49847</v>
      </c>
      <c r="G1938">
        <v>14609</v>
      </c>
      <c r="H1938" s="32">
        <f t="shared" si="30"/>
        <v>3.4120747484427407</v>
      </c>
      <c r="I1938">
        <v>1</v>
      </c>
      <c r="J1938" t="s">
        <v>21</v>
      </c>
    </row>
    <row r="1939" spans="1:10" x14ac:dyDescent="0.25">
      <c r="A1939">
        <v>59184</v>
      </c>
      <c r="B1939" t="s">
        <v>3413</v>
      </c>
      <c r="C1939" t="s">
        <v>2029</v>
      </c>
      <c r="D1939" t="s">
        <v>2241</v>
      </c>
      <c r="E1939" t="s">
        <v>2242</v>
      </c>
      <c r="F1939">
        <v>85278</v>
      </c>
      <c r="G1939">
        <v>24993</v>
      </c>
      <c r="H1939" s="32">
        <f t="shared" si="30"/>
        <v>3.4120753811067099</v>
      </c>
      <c r="I1939">
        <v>1</v>
      </c>
      <c r="J1939" t="s">
        <v>21</v>
      </c>
    </row>
    <row r="1940" spans="1:10" x14ac:dyDescent="0.25">
      <c r="A1940">
        <v>61360</v>
      </c>
      <c r="B1940" t="s">
        <v>4004</v>
      </c>
      <c r="C1940" t="s">
        <v>241</v>
      </c>
      <c r="D1940" t="s">
        <v>2241</v>
      </c>
      <c r="E1940" t="s">
        <v>2242</v>
      </c>
      <c r="F1940">
        <v>10963</v>
      </c>
      <c r="G1940">
        <v>3213</v>
      </c>
      <c r="H1940" s="32">
        <f t="shared" si="30"/>
        <v>3.4120759414877062</v>
      </c>
      <c r="I1940">
        <v>1</v>
      </c>
      <c r="J1940" t="s">
        <v>21</v>
      </c>
    </row>
    <row r="1941" spans="1:10" x14ac:dyDescent="0.25">
      <c r="A1941">
        <v>63293</v>
      </c>
      <c r="B1941" t="s">
        <v>4319</v>
      </c>
      <c r="C1941" t="s">
        <v>708</v>
      </c>
      <c r="D1941" t="s">
        <v>2241</v>
      </c>
      <c r="E1941" t="s">
        <v>2242</v>
      </c>
      <c r="F1941">
        <v>14805</v>
      </c>
      <c r="G1941">
        <v>4339</v>
      </c>
      <c r="H1941" s="32">
        <f t="shared" si="30"/>
        <v>3.4120765153261119</v>
      </c>
      <c r="I1941">
        <v>1</v>
      </c>
      <c r="J1941" t="s">
        <v>21</v>
      </c>
    </row>
    <row r="1942" spans="1:10" x14ac:dyDescent="0.25">
      <c r="A1942">
        <v>58731</v>
      </c>
      <c r="B1942" t="s">
        <v>3267</v>
      </c>
      <c r="C1942" t="s">
        <v>708</v>
      </c>
      <c r="D1942" t="s">
        <v>2241</v>
      </c>
      <c r="E1942" t="s">
        <v>2242</v>
      </c>
      <c r="F1942">
        <v>20568</v>
      </c>
      <c r="G1942">
        <v>6028</v>
      </c>
      <c r="H1942" s="32">
        <f t="shared" si="30"/>
        <v>3.4120769741207697</v>
      </c>
      <c r="I1942">
        <v>1</v>
      </c>
      <c r="J1942" t="s">
        <v>21</v>
      </c>
    </row>
    <row r="1943" spans="1:10" x14ac:dyDescent="0.25">
      <c r="A1943">
        <v>60291</v>
      </c>
      <c r="B1943" t="s">
        <v>3727</v>
      </c>
      <c r="C1943" t="s">
        <v>708</v>
      </c>
      <c r="D1943" t="s">
        <v>2241</v>
      </c>
      <c r="E1943" t="s">
        <v>2242</v>
      </c>
      <c r="F1943">
        <v>32773</v>
      </c>
      <c r="G1943">
        <v>9605</v>
      </c>
      <c r="H1943" s="32">
        <f t="shared" si="30"/>
        <v>3.4120770432066632</v>
      </c>
      <c r="I1943">
        <v>1</v>
      </c>
      <c r="J1943" t="s">
        <v>21</v>
      </c>
    </row>
    <row r="1944" spans="1:10" x14ac:dyDescent="0.25">
      <c r="A1944">
        <v>68050</v>
      </c>
      <c r="B1944" t="s">
        <v>5202</v>
      </c>
      <c r="C1944" t="s">
        <v>166</v>
      </c>
      <c r="D1944" t="s">
        <v>2241</v>
      </c>
      <c r="E1944" t="s">
        <v>2242</v>
      </c>
      <c r="F1944">
        <v>12205</v>
      </c>
      <c r="G1944">
        <v>3577</v>
      </c>
      <c r="H1944" s="32">
        <f t="shared" si="30"/>
        <v>3.4120771596309756</v>
      </c>
      <c r="I1944">
        <v>1</v>
      </c>
      <c r="J1944" t="s">
        <v>21</v>
      </c>
    </row>
    <row r="1945" spans="1:10" x14ac:dyDescent="0.25">
      <c r="A1945">
        <v>59319</v>
      </c>
      <c r="B1945" t="s">
        <v>3430</v>
      </c>
      <c r="C1945" t="s">
        <v>241</v>
      </c>
      <c r="D1945" t="s">
        <v>2241</v>
      </c>
      <c r="E1945" t="s">
        <v>2242</v>
      </c>
      <c r="F1945">
        <v>40457</v>
      </c>
      <c r="G1945">
        <v>11857</v>
      </c>
      <c r="H1945" s="32">
        <f t="shared" si="30"/>
        <v>3.4120772539428188</v>
      </c>
      <c r="I1945">
        <v>1</v>
      </c>
      <c r="J1945" t="s">
        <v>21</v>
      </c>
    </row>
    <row r="1946" spans="1:10" x14ac:dyDescent="0.25">
      <c r="A1946">
        <v>66508</v>
      </c>
      <c r="B1946" t="s">
        <v>4920</v>
      </c>
      <c r="C1946" t="s">
        <v>166</v>
      </c>
      <c r="D1946" t="s">
        <v>2241</v>
      </c>
      <c r="E1946" t="s">
        <v>2242</v>
      </c>
      <c r="F1946">
        <v>16047</v>
      </c>
      <c r="G1946">
        <v>4703</v>
      </c>
      <c r="H1946" s="32">
        <f t="shared" si="30"/>
        <v>3.4120773974059113</v>
      </c>
      <c r="I1946">
        <v>1</v>
      </c>
      <c r="J1946" t="s">
        <v>21</v>
      </c>
    </row>
    <row r="1947" spans="1:10" x14ac:dyDescent="0.25">
      <c r="A1947">
        <v>65506</v>
      </c>
      <c r="B1947" t="s">
        <v>4762</v>
      </c>
      <c r="C1947" t="s">
        <v>708</v>
      </c>
      <c r="D1947" t="s">
        <v>2241</v>
      </c>
      <c r="E1947" t="s">
        <v>2242</v>
      </c>
      <c r="F1947">
        <v>34015</v>
      </c>
      <c r="G1947">
        <v>9969</v>
      </c>
      <c r="H1947" s="32">
        <f t="shared" si="30"/>
        <v>3.4120774400641989</v>
      </c>
      <c r="I1947">
        <v>1</v>
      </c>
      <c r="J1947" t="s">
        <v>21</v>
      </c>
    </row>
    <row r="1948" spans="1:10" x14ac:dyDescent="0.25">
      <c r="A1948">
        <v>61436</v>
      </c>
      <c r="B1948" t="s">
        <v>4016</v>
      </c>
      <c r="C1948" t="s">
        <v>322</v>
      </c>
      <c r="D1948" t="s">
        <v>2241</v>
      </c>
      <c r="E1948" t="s">
        <v>2242</v>
      </c>
      <c r="F1948">
        <v>10905</v>
      </c>
      <c r="G1948">
        <v>3196</v>
      </c>
      <c r="H1948" s="32">
        <f t="shared" si="30"/>
        <v>3.4120775969962454</v>
      </c>
      <c r="I1948">
        <v>1</v>
      </c>
      <c r="J1948" t="s">
        <v>21</v>
      </c>
    </row>
    <row r="1949" spans="1:10" x14ac:dyDescent="0.25">
      <c r="A1949">
        <v>63660</v>
      </c>
      <c r="B1949" t="s">
        <v>4384</v>
      </c>
      <c r="C1949" t="s">
        <v>250</v>
      </c>
      <c r="D1949" t="s">
        <v>2241</v>
      </c>
      <c r="E1949" t="s">
        <v>2242</v>
      </c>
      <c r="F1949">
        <v>7684</v>
      </c>
      <c r="G1949">
        <v>2252</v>
      </c>
      <c r="H1949" s="32">
        <f t="shared" si="30"/>
        <v>3.4120781527531086</v>
      </c>
      <c r="I1949">
        <v>1</v>
      </c>
      <c r="J1949" t="s">
        <v>21</v>
      </c>
    </row>
    <row r="1950" spans="1:10" x14ac:dyDescent="0.25">
      <c r="A1950">
        <v>67373</v>
      </c>
      <c r="B1950" t="s">
        <v>5086</v>
      </c>
      <c r="C1950" t="s">
        <v>201</v>
      </c>
      <c r="D1950" t="s">
        <v>2241</v>
      </c>
      <c r="E1950" t="s">
        <v>2242</v>
      </c>
      <c r="F1950">
        <v>37741</v>
      </c>
      <c r="G1950">
        <v>11061</v>
      </c>
      <c r="H1950" s="32">
        <f t="shared" si="30"/>
        <v>3.4120784739173673</v>
      </c>
      <c r="I1950">
        <v>1</v>
      </c>
      <c r="J1950" t="s">
        <v>21</v>
      </c>
    </row>
    <row r="1951" spans="1:10" x14ac:dyDescent="0.25">
      <c r="A1951">
        <v>69228</v>
      </c>
      <c r="B1951" t="s">
        <v>5342</v>
      </c>
      <c r="C1951" t="s">
        <v>166</v>
      </c>
      <c r="D1951" t="s">
        <v>2241</v>
      </c>
      <c r="E1951" t="s">
        <v>2242</v>
      </c>
      <c r="F1951">
        <v>30057</v>
      </c>
      <c r="G1951">
        <v>8809</v>
      </c>
      <c r="H1951" s="32">
        <f t="shared" si="30"/>
        <v>3.4120785560222502</v>
      </c>
      <c r="I1951">
        <v>1</v>
      </c>
      <c r="J1951" t="s">
        <v>21</v>
      </c>
    </row>
    <row r="1952" spans="1:10" x14ac:dyDescent="0.25">
      <c r="A1952">
        <v>59526</v>
      </c>
      <c r="B1952" t="s">
        <v>3498</v>
      </c>
      <c r="C1952" t="s">
        <v>708</v>
      </c>
      <c r="D1952" t="s">
        <v>2241</v>
      </c>
      <c r="E1952" t="s">
        <v>2242</v>
      </c>
      <c r="F1952">
        <v>82429</v>
      </c>
      <c r="G1952">
        <v>24158</v>
      </c>
      <c r="H1952" s="32">
        <f t="shared" si="30"/>
        <v>3.4120788144713967</v>
      </c>
      <c r="I1952">
        <v>1</v>
      </c>
      <c r="J1952" t="s">
        <v>21</v>
      </c>
    </row>
    <row r="1953" spans="1:10" x14ac:dyDescent="0.25">
      <c r="A1953">
        <v>67139</v>
      </c>
      <c r="B1953" t="s">
        <v>5042</v>
      </c>
      <c r="C1953" t="s">
        <v>201</v>
      </c>
      <c r="D1953" t="s">
        <v>2241</v>
      </c>
      <c r="E1953" t="s">
        <v>2242</v>
      </c>
      <c r="F1953">
        <v>28078</v>
      </c>
      <c r="G1953">
        <v>8229</v>
      </c>
      <c r="H1953" s="32">
        <f t="shared" si="30"/>
        <v>3.4120792319844453</v>
      </c>
      <c r="I1953">
        <v>1</v>
      </c>
      <c r="J1953" t="s">
        <v>21</v>
      </c>
    </row>
    <row r="1954" spans="1:10" x14ac:dyDescent="0.25">
      <c r="A1954">
        <v>67614</v>
      </c>
      <c r="B1954" t="s">
        <v>5118</v>
      </c>
      <c r="C1954" t="s">
        <v>166</v>
      </c>
      <c r="D1954" t="s">
        <v>2241</v>
      </c>
      <c r="E1954" t="s">
        <v>2242</v>
      </c>
      <c r="F1954">
        <v>15310</v>
      </c>
      <c r="G1954">
        <v>4487</v>
      </c>
      <c r="H1954" s="32">
        <f t="shared" si="30"/>
        <v>3.41207934031647</v>
      </c>
      <c r="I1954">
        <v>1</v>
      </c>
      <c r="J1954" t="s">
        <v>21</v>
      </c>
    </row>
    <row r="1955" spans="1:10" x14ac:dyDescent="0.25">
      <c r="A1955">
        <v>67298</v>
      </c>
      <c r="B1955" t="s">
        <v>5082</v>
      </c>
      <c r="C1955" t="s">
        <v>2029</v>
      </c>
      <c r="D1955" t="s">
        <v>2241</v>
      </c>
      <c r="E1955" t="s">
        <v>2242</v>
      </c>
      <c r="F1955">
        <v>120501</v>
      </c>
      <c r="G1955">
        <v>35316</v>
      </c>
      <c r="H1955" s="32">
        <f t="shared" si="30"/>
        <v>3.4120795107033639</v>
      </c>
      <c r="I1955">
        <v>1</v>
      </c>
      <c r="J1955" t="s">
        <v>21</v>
      </c>
    </row>
    <row r="1956" spans="1:10" x14ac:dyDescent="0.25">
      <c r="A1956">
        <v>69135</v>
      </c>
      <c r="B1956" t="s">
        <v>5326</v>
      </c>
      <c r="C1956" t="s">
        <v>201</v>
      </c>
      <c r="D1956" t="s">
        <v>2241</v>
      </c>
      <c r="E1956" t="s">
        <v>2242</v>
      </c>
      <c r="F1956">
        <v>4463</v>
      </c>
      <c r="G1956">
        <v>1308</v>
      </c>
      <c r="H1956" s="32">
        <f t="shared" si="30"/>
        <v>3.4120795107033639</v>
      </c>
      <c r="I1956">
        <v>1</v>
      </c>
      <c r="J1956" t="s">
        <v>21</v>
      </c>
    </row>
    <row r="1957" spans="1:10" x14ac:dyDescent="0.25">
      <c r="A1957">
        <v>63449</v>
      </c>
      <c r="B1957" t="s">
        <v>4354</v>
      </c>
      <c r="C1957" t="s">
        <v>708</v>
      </c>
      <c r="D1957" t="s">
        <v>2241</v>
      </c>
      <c r="E1957" t="s">
        <v>2242</v>
      </c>
      <c r="F1957">
        <v>29320</v>
      </c>
      <c r="G1957">
        <v>8593</v>
      </c>
      <c r="H1957" s="32">
        <f t="shared" si="30"/>
        <v>3.4120795996741533</v>
      </c>
      <c r="I1957">
        <v>1</v>
      </c>
      <c r="J1957" t="s">
        <v>21</v>
      </c>
    </row>
    <row r="1958" spans="1:10" x14ac:dyDescent="0.25">
      <c r="A1958">
        <v>65505</v>
      </c>
      <c r="B1958" t="s">
        <v>4761</v>
      </c>
      <c r="C1958" t="s">
        <v>708</v>
      </c>
      <c r="D1958" t="s">
        <v>2241</v>
      </c>
      <c r="E1958" t="s">
        <v>2242</v>
      </c>
      <c r="F1958">
        <v>21015</v>
      </c>
      <c r="G1958">
        <v>6159</v>
      </c>
      <c r="H1958" s="32">
        <f t="shared" si="30"/>
        <v>3.4120798830979053</v>
      </c>
      <c r="I1958">
        <v>1</v>
      </c>
      <c r="J1958" t="s">
        <v>21</v>
      </c>
    </row>
    <row r="1959" spans="1:10" x14ac:dyDescent="0.25">
      <c r="A1959">
        <v>58799</v>
      </c>
      <c r="B1959" t="s">
        <v>3285</v>
      </c>
      <c r="C1959" t="s">
        <v>708</v>
      </c>
      <c r="D1959" t="s">
        <v>2241</v>
      </c>
      <c r="E1959" t="s">
        <v>2242</v>
      </c>
      <c r="F1959">
        <v>30562</v>
      </c>
      <c r="G1959">
        <v>8957</v>
      </c>
      <c r="H1959" s="32">
        <f t="shared" si="30"/>
        <v>3.4120799374790667</v>
      </c>
      <c r="I1959">
        <v>1</v>
      </c>
      <c r="J1959" t="s">
        <v>21</v>
      </c>
    </row>
    <row r="1960" spans="1:10" x14ac:dyDescent="0.25">
      <c r="A1960">
        <v>59097</v>
      </c>
      <c r="B1960" t="s">
        <v>3368</v>
      </c>
      <c r="C1960" t="s">
        <v>241</v>
      </c>
      <c r="D1960" t="s">
        <v>2241</v>
      </c>
      <c r="E1960" t="s">
        <v>2242</v>
      </c>
      <c r="F1960">
        <v>45193</v>
      </c>
      <c r="G1960">
        <v>13245</v>
      </c>
      <c r="H1960" s="32">
        <f t="shared" si="30"/>
        <v>3.4120800302000753</v>
      </c>
      <c r="I1960">
        <v>1</v>
      </c>
      <c r="J1960" t="s">
        <v>21</v>
      </c>
    </row>
    <row r="1961" spans="1:10" x14ac:dyDescent="0.25">
      <c r="A1961">
        <v>61127</v>
      </c>
      <c r="B1961" t="s">
        <v>3944</v>
      </c>
      <c r="C1961" t="s">
        <v>708</v>
      </c>
      <c r="D1961" t="s">
        <v>2241</v>
      </c>
      <c r="E1961" t="s">
        <v>2242</v>
      </c>
      <c r="F1961">
        <v>19715</v>
      </c>
      <c r="G1961">
        <v>5778</v>
      </c>
      <c r="H1961" s="32">
        <f t="shared" si="30"/>
        <v>3.412080304603669</v>
      </c>
      <c r="I1961">
        <v>1</v>
      </c>
      <c r="J1961" t="s">
        <v>21</v>
      </c>
    </row>
    <row r="1962" spans="1:10" x14ac:dyDescent="0.25">
      <c r="A1962">
        <v>63992</v>
      </c>
      <c r="B1962" t="s">
        <v>4465</v>
      </c>
      <c r="C1962" t="s">
        <v>166</v>
      </c>
      <c r="D1962" t="s">
        <v>2241</v>
      </c>
      <c r="E1962" t="s">
        <v>2242</v>
      </c>
      <c r="F1962">
        <v>10168</v>
      </c>
      <c r="G1962">
        <v>2980</v>
      </c>
      <c r="H1962" s="32">
        <f t="shared" si="30"/>
        <v>3.4120805369127516</v>
      </c>
      <c r="I1962">
        <v>1</v>
      </c>
      <c r="J1962" t="s">
        <v>21</v>
      </c>
    </row>
    <row r="1963" spans="1:10" x14ac:dyDescent="0.25">
      <c r="A1963">
        <v>59111</v>
      </c>
      <c r="B1963" t="s">
        <v>3376</v>
      </c>
      <c r="C1963" t="s">
        <v>708</v>
      </c>
      <c r="D1963" t="s">
        <v>2241</v>
      </c>
      <c r="E1963" t="s">
        <v>2242</v>
      </c>
      <c r="F1963">
        <v>28583</v>
      </c>
      <c r="G1963">
        <v>8377</v>
      </c>
      <c r="H1963" s="32">
        <f t="shared" si="30"/>
        <v>3.4120806971469499</v>
      </c>
      <c r="I1963">
        <v>1</v>
      </c>
      <c r="J1963" t="s">
        <v>21</v>
      </c>
    </row>
    <row r="1964" spans="1:10" x14ac:dyDescent="0.25">
      <c r="A1964">
        <v>61194</v>
      </c>
      <c r="B1964" t="s">
        <v>3955</v>
      </c>
      <c r="C1964" t="s">
        <v>708</v>
      </c>
      <c r="D1964" t="s">
        <v>2241</v>
      </c>
      <c r="E1964" t="s">
        <v>2242</v>
      </c>
      <c r="F1964">
        <v>28583</v>
      </c>
      <c r="G1964">
        <v>8377</v>
      </c>
      <c r="H1964" s="32">
        <f t="shared" si="30"/>
        <v>3.4120806971469499</v>
      </c>
      <c r="I1964">
        <v>1</v>
      </c>
      <c r="J1964" t="s">
        <v>21</v>
      </c>
    </row>
    <row r="1965" spans="1:10" x14ac:dyDescent="0.25">
      <c r="A1965">
        <v>58357</v>
      </c>
      <c r="B1965" t="s">
        <v>3176</v>
      </c>
      <c r="C1965" t="s">
        <v>241</v>
      </c>
      <c r="D1965" t="s">
        <v>2241</v>
      </c>
      <c r="E1965" t="s">
        <v>2242</v>
      </c>
      <c r="F1965">
        <v>15873</v>
      </c>
      <c r="G1965">
        <v>4652</v>
      </c>
      <c r="H1965" s="32">
        <f t="shared" si="30"/>
        <v>3.4120808254514188</v>
      </c>
      <c r="I1965">
        <v>1</v>
      </c>
      <c r="J1965" t="s">
        <v>21</v>
      </c>
    </row>
    <row r="1966" spans="1:10" x14ac:dyDescent="0.25">
      <c r="A1966">
        <v>65797</v>
      </c>
      <c r="B1966" t="s">
        <v>4804</v>
      </c>
      <c r="C1966" t="s">
        <v>166</v>
      </c>
      <c r="D1966" t="s">
        <v>2241</v>
      </c>
      <c r="E1966" t="s">
        <v>2242</v>
      </c>
      <c r="F1966">
        <v>14573</v>
      </c>
      <c r="G1966">
        <v>4271</v>
      </c>
      <c r="H1966" s="32">
        <f t="shared" si="30"/>
        <v>3.4120814797471319</v>
      </c>
      <c r="I1966">
        <v>1</v>
      </c>
      <c r="J1966" t="s">
        <v>21</v>
      </c>
    </row>
    <row r="1967" spans="1:10" x14ac:dyDescent="0.25">
      <c r="A1967">
        <v>65340</v>
      </c>
      <c r="B1967" t="s">
        <v>4729</v>
      </c>
      <c r="C1967" t="s">
        <v>307</v>
      </c>
      <c r="D1967" t="s">
        <v>2241</v>
      </c>
      <c r="E1967" t="s">
        <v>2242</v>
      </c>
      <c r="F1967">
        <v>13273</v>
      </c>
      <c r="G1967">
        <v>3890</v>
      </c>
      <c r="H1967" s="32">
        <f t="shared" si="30"/>
        <v>3.4120822622107969</v>
      </c>
      <c r="I1967">
        <v>1</v>
      </c>
      <c r="J1967" t="s">
        <v>21</v>
      </c>
    </row>
    <row r="1968" spans="1:10" x14ac:dyDescent="0.25">
      <c r="A1968">
        <v>63990</v>
      </c>
      <c r="B1968" t="s">
        <v>4463</v>
      </c>
      <c r="C1968" t="s">
        <v>166</v>
      </c>
      <c r="D1968" t="s">
        <v>2241</v>
      </c>
      <c r="E1968" t="s">
        <v>2242</v>
      </c>
      <c r="F1968">
        <v>13894</v>
      </c>
      <c r="G1968">
        <v>4072</v>
      </c>
      <c r="H1968" s="32">
        <f t="shared" si="30"/>
        <v>3.4120825147347742</v>
      </c>
      <c r="I1968">
        <v>1</v>
      </c>
      <c r="J1968" t="s">
        <v>21</v>
      </c>
    </row>
    <row r="1969" spans="1:10" x14ac:dyDescent="0.25">
      <c r="A1969">
        <v>60402</v>
      </c>
      <c r="B1969" t="s">
        <v>3765</v>
      </c>
      <c r="C1969" t="s">
        <v>708</v>
      </c>
      <c r="D1969" t="s">
        <v>2241</v>
      </c>
      <c r="E1969" t="s">
        <v>2242</v>
      </c>
      <c r="F1969">
        <v>32814</v>
      </c>
      <c r="G1969">
        <v>9617</v>
      </c>
      <c r="H1969" s="32">
        <f t="shared" si="30"/>
        <v>3.4120827700946239</v>
      </c>
      <c r="I1969">
        <v>1</v>
      </c>
      <c r="J1969" t="s">
        <v>21</v>
      </c>
    </row>
    <row r="1970" spans="1:10" x14ac:dyDescent="0.25">
      <c r="A1970">
        <v>61279</v>
      </c>
      <c r="B1970" t="s">
        <v>3978</v>
      </c>
      <c r="C1970" t="s">
        <v>708</v>
      </c>
      <c r="D1970" t="s">
        <v>2241</v>
      </c>
      <c r="E1970" t="s">
        <v>2242</v>
      </c>
      <c r="F1970">
        <v>56139</v>
      </c>
      <c r="G1970">
        <v>16453</v>
      </c>
      <c r="H1970" s="32">
        <f t="shared" si="30"/>
        <v>3.4120829028140767</v>
      </c>
      <c r="I1970">
        <v>1</v>
      </c>
      <c r="J1970" t="s">
        <v>21</v>
      </c>
    </row>
    <row r="1971" spans="1:10" x14ac:dyDescent="0.25">
      <c r="A1971">
        <v>68951</v>
      </c>
      <c r="B1971" t="s">
        <v>5280</v>
      </c>
      <c r="C1971" t="s">
        <v>166</v>
      </c>
      <c r="D1971" t="s">
        <v>2241</v>
      </c>
      <c r="E1971" t="s">
        <v>2242</v>
      </c>
      <c r="F1971">
        <v>11352</v>
      </c>
      <c r="G1971">
        <v>3327</v>
      </c>
      <c r="H1971" s="32">
        <f t="shared" si="30"/>
        <v>3.4120829576194769</v>
      </c>
      <c r="I1971">
        <v>1</v>
      </c>
      <c r="J1971" t="s">
        <v>21</v>
      </c>
    </row>
    <row r="1972" spans="1:10" x14ac:dyDescent="0.25">
      <c r="A1972">
        <v>59521</v>
      </c>
      <c r="B1972" t="s">
        <v>3497</v>
      </c>
      <c r="C1972" t="s">
        <v>708</v>
      </c>
      <c r="D1972" t="s">
        <v>2241</v>
      </c>
      <c r="E1972" t="s">
        <v>2242</v>
      </c>
      <c r="F1972">
        <v>27730</v>
      </c>
      <c r="G1972">
        <v>8127</v>
      </c>
      <c r="H1972" s="32">
        <f t="shared" si="30"/>
        <v>3.4120831795250401</v>
      </c>
      <c r="I1972">
        <v>1</v>
      </c>
      <c r="J1972" t="s">
        <v>21</v>
      </c>
    </row>
    <row r="1973" spans="1:10" x14ac:dyDescent="0.25">
      <c r="A1973">
        <v>62621</v>
      </c>
      <c r="B1973" t="s">
        <v>4185</v>
      </c>
      <c r="C1973" t="s">
        <v>708</v>
      </c>
      <c r="D1973" t="s">
        <v>2241</v>
      </c>
      <c r="E1973" t="s">
        <v>2242</v>
      </c>
      <c r="F1973">
        <v>32756</v>
      </c>
      <c r="G1973">
        <v>9600</v>
      </c>
      <c r="H1973" s="32">
        <f t="shared" si="30"/>
        <v>3.4120833333333334</v>
      </c>
      <c r="I1973">
        <v>1</v>
      </c>
      <c r="J1973" t="s">
        <v>21</v>
      </c>
    </row>
    <row r="1974" spans="1:10" x14ac:dyDescent="0.25">
      <c r="A1974">
        <v>64246</v>
      </c>
      <c r="B1974" t="s">
        <v>4524</v>
      </c>
      <c r="C1974" t="s">
        <v>131</v>
      </c>
      <c r="D1974" t="s">
        <v>2241</v>
      </c>
      <c r="E1974" t="s">
        <v>2242</v>
      </c>
      <c r="F1974">
        <v>58565</v>
      </c>
      <c r="G1974">
        <v>17164</v>
      </c>
      <c r="H1974" s="32">
        <f t="shared" si="30"/>
        <v>3.4120834304357959</v>
      </c>
      <c r="I1974">
        <v>1</v>
      </c>
      <c r="J1974" t="s">
        <v>21</v>
      </c>
    </row>
    <row r="1975" spans="1:10" x14ac:dyDescent="0.25">
      <c r="A1975">
        <v>60397</v>
      </c>
      <c r="B1975" t="s">
        <v>3760</v>
      </c>
      <c r="C1975" t="s">
        <v>708</v>
      </c>
      <c r="D1975" t="s">
        <v>2241</v>
      </c>
      <c r="E1975" t="s">
        <v>2242</v>
      </c>
      <c r="F1975">
        <v>29593</v>
      </c>
      <c r="G1975">
        <v>8673</v>
      </c>
      <c r="H1975" s="32">
        <f t="shared" si="30"/>
        <v>3.41208347745878</v>
      </c>
      <c r="I1975">
        <v>1</v>
      </c>
      <c r="J1975" t="s">
        <v>21</v>
      </c>
    </row>
    <row r="1976" spans="1:10" x14ac:dyDescent="0.25">
      <c r="A1976">
        <v>60238</v>
      </c>
      <c r="B1976" t="s">
        <v>3713</v>
      </c>
      <c r="C1976" t="s">
        <v>131</v>
      </c>
      <c r="D1976" t="s">
        <v>2241</v>
      </c>
      <c r="E1976" t="s">
        <v>2242</v>
      </c>
      <c r="F1976">
        <v>28293</v>
      </c>
      <c r="G1976">
        <v>8292</v>
      </c>
      <c r="H1976" s="32">
        <f t="shared" si="30"/>
        <v>3.412083936324168</v>
      </c>
      <c r="I1976">
        <v>1</v>
      </c>
      <c r="J1976" t="s">
        <v>21</v>
      </c>
    </row>
    <row r="1977" spans="1:10" x14ac:dyDescent="0.25">
      <c r="A1977">
        <v>61794</v>
      </c>
      <c r="B1977" t="s">
        <v>4063</v>
      </c>
      <c r="C1977" t="s">
        <v>307</v>
      </c>
      <c r="D1977" t="s">
        <v>2241</v>
      </c>
      <c r="E1977" t="s">
        <v>2242</v>
      </c>
      <c r="F1977">
        <v>49018</v>
      </c>
      <c r="G1977">
        <v>14366</v>
      </c>
      <c r="H1977" s="32">
        <f t="shared" si="30"/>
        <v>3.4120840874286511</v>
      </c>
      <c r="I1977">
        <v>1</v>
      </c>
      <c r="J1977" t="s">
        <v>21</v>
      </c>
    </row>
    <row r="1978" spans="1:10" x14ac:dyDescent="0.25">
      <c r="A1978">
        <v>61129</v>
      </c>
      <c r="B1978" t="s">
        <v>3946</v>
      </c>
      <c r="C1978" t="s">
        <v>708</v>
      </c>
      <c r="D1978" t="s">
        <v>2241</v>
      </c>
      <c r="E1978" t="s">
        <v>2242</v>
      </c>
      <c r="F1978">
        <v>30156</v>
      </c>
      <c r="G1978">
        <v>8838</v>
      </c>
      <c r="H1978" s="32">
        <f t="shared" si="30"/>
        <v>3.4120841819416157</v>
      </c>
      <c r="I1978">
        <v>1</v>
      </c>
      <c r="J1978" t="s">
        <v>21</v>
      </c>
    </row>
    <row r="1979" spans="1:10" x14ac:dyDescent="0.25">
      <c r="A1979">
        <v>61128</v>
      </c>
      <c r="B1979" t="s">
        <v>3945</v>
      </c>
      <c r="C1979" t="s">
        <v>708</v>
      </c>
      <c r="D1979" t="s">
        <v>2241</v>
      </c>
      <c r="E1979" t="s">
        <v>2242</v>
      </c>
      <c r="F1979">
        <v>26372</v>
      </c>
      <c r="G1979">
        <v>7729</v>
      </c>
      <c r="H1979" s="32">
        <f t="shared" si="30"/>
        <v>3.4120843576141802</v>
      </c>
      <c r="I1979">
        <v>1</v>
      </c>
      <c r="J1979" t="s">
        <v>21</v>
      </c>
    </row>
    <row r="1980" spans="1:10" x14ac:dyDescent="0.25">
      <c r="A1980">
        <v>60398</v>
      </c>
      <c r="B1980" t="s">
        <v>3761</v>
      </c>
      <c r="C1980" t="s">
        <v>708</v>
      </c>
      <c r="D1980" t="s">
        <v>2241</v>
      </c>
      <c r="E1980" t="s">
        <v>2242</v>
      </c>
      <c r="F1980">
        <v>29477</v>
      </c>
      <c r="G1980">
        <v>8639</v>
      </c>
      <c r="H1980" s="32">
        <f t="shared" si="30"/>
        <v>3.4120847320291698</v>
      </c>
      <c r="I1980">
        <v>1</v>
      </c>
      <c r="J1980" t="s">
        <v>21</v>
      </c>
    </row>
    <row r="1981" spans="1:10" x14ac:dyDescent="0.25">
      <c r="A1981">
        <v>67138</v>
      </c>
      <c r="B1981" t="s">
        <v>5041</v>
      </c>
      <c r="C1981" t="s">
        <v>201</v>
      </c>
      <c r="D1981" t="s">
        <v>2241</v>
      </c>
      <c r="E1981" t="s">
        <v>2242</v>
      </c>
      <c r="F1981">
        <v>36366</v>
      </c>
      <c r="G1981">
        <v>10658</v>
      </c>
      <c r="H1981" s="32">
        <f t="shared" si="30"/>
        <v>3.4120848189153685</v>
      </c>
      <c r="I1981">
        <v>1</v>
      </c>
      <c r="J1981" t="s">
        <v>21</v>
      </c>
    </row>
    <row r="1982" spans="1:10" x14ac:dyDescent="0.25">
      <c r="A1982">
        <v>64456</v>
      </c>
      <c r="B1982" t="s">
        <v>4567</v>
      </c>
      <c r="C1982" t="s">
        <v>250</v>
      </c>
      <c r="D1982" t="s">
        <v>2241</v>
      </c>
      <c r="E1982" t="s">
        <v>2242</v>
      </c>
      <c r="F1982">
        <v>13778</v>
      </c>
      <c r="G1982">
        <v>4038</v>
      </c>
      <c r="H1982" s="32">
        <f t="shared" si="30"/>
        <v>3.4120851906884595</v>
      </c>
      <c r="I1982">
        <v>1</v>
      </c>
      <c r="J1982" t="s">
        <v>21</v>
      </c>
    </row>
    <row r="1983" spans="1:10" x14ac:dyDescent="0.25">
      <c r="A1983">
        <v>65791</v>
      </c>
      <c r="B1983" t="s">
        <v>4802</v>
      </c>
      <c r="C1983" t="s">
        <v>672</v>
      </c>
      <c r="D1983" t="s">
        <v>2241</v>
      </c>
      <c r="E1983" t="s">
        <v>2242</v>
      </c>
      <c r="F1983">
        <v>7510</v>
      </c>
      <c r="G1983">
        <v>2201</v>
      </c>
      <c r="H1983" s="32">
        <f t="shared" si="30"/>
        <v>3.412085415720127</v>
      </c>
      <c r="I1983">
        <v>1</v>
      </c>
      <c r="J1983" t="s">
        <v>21</v>
      </c>
    </row>
    <row r="1984" spans="1:10" x14ac:dyDescent="0.25">
      <c r="A1984">
        <v>65551</v>
      </c>
      <c r="B1984" t="s">
        <v>4768</v>
      </c>
      <c r="C1984" t="s">
        <v>708</v>
      </c>
      <c r="D1984" t="s">
        <v>2241</v>
      </c>
      <c r="E1984" t="s">
        <v>2242</v>
      </c>
      <c r="F1984">
        <v>33145</v>
      </c>
      <c r="G1984">
        <v>9714</v>
      </c>
      <c r="H1984" s="32">
        <f t="shared" si="30"/>
        <v>3.4120856495779286</v>
      </c>
      <c r="I1984">
        <v>1</v>
      </c>
      <c r="J1984" t="s">
        <v>21</v>
      </c>
    </row>
    <row r="1985" spans="1:10" x14ac:dyDescent="0.25">
      <c r="A1985">
        <v>61095</v>
      </c>
      <c r="B1985" t="s">
        <v>3940</v>
      </c>
      <c r="C1985" t="s">
        <v>708</v>
      </c>
      <c r="D1985" t="s">
        <v>2241</v>
      </c>
      <c r="E1985" t="s">
        <v>2242</v>
      </c>
      <c r="F1985">
        <v>31845</v>
      </c>
      <c r="G1985">
        <v>9333</v>
      </c>
      <c r="H1985" s="32">
        <f t="shared" si="30"/>
        <v>3.4120861459337832</v>
      </c>
      <c r="I1985">
        <v>1</v>
      </c>
      <c r="J1985" t="s">
        <v>21</v>
      </c>
    </row>
    <row r="1986" spans="1:10" x14ac:dyDescent="0.25">
      <c r="A1986">
        <v>62101</v>
      </c>
      <c r="B1986" t="s">
        <v>4110</v>
      </c>
      <c r="C1986" t="s">
        <v>708</v>
      </c>
      <c r="D1986" t="s">
        <v>2241</v>
      </c>
      <c r="E1986" t="s">
        <v>2242</v>
      </c>
      <c r="F1986">
        <v>29303</v>
      </c>
      <c r="G1986">
        <v>8588</v>
      </c>
      <c r="H1986" s="32">
        <f t="shared" ref="H1986:H2049" si="31">IF(AND(F1986&gt;0,G1986&gt;0),F1986/G1986,"")</f>
        <v>3.4120866325104799</v>
      </c>
      <c r="I1986">
        <v>1</v>
      </c>
      <c r="J1986" t="s">
        <v>21</v>
      </c>
    </row>
    <row r="1987" spans="1:10" x14ac:dyDescent="0.25">
      <c r="A1987">
        <v>60267</v>
      </c>
      <c r="B1987" t="s">
        <v>3722</v>
      </c>
      <c r="C1987" t="s">
        <v>241</v>
      </c>
      <c r="D1987" t="s">
        <v>2241</v>
      </c>
      <c r="E1987" t="s">
        <v>2242</v>
      </c>
      <c r="F1987">
        <v>14904</v>
      </c>
      <c r="G1987">
        <v>4368</v>
      </c>
      <c r="H1987" s="32">
        <f t="shared" si="31"/>
        <v>3.412087912087912</v>
      </c>
      <c r="I1987">
        <v>1</v>
      </c>
      <c r="J1987" t="s">
        <v>21</v>
      </c>
    </row>
    <row r="1988" spans="1:10" x14ac:dyDescent="0.25">
      <c r="A1988">
        <v>66032</v>
      </c>
      <c r="B1988" t="s">
        <v>4836</v>
      </c>
      <c r="C1988" t="s">
        <v>166</v>
      </c>
      <c r="D1988" t="s">
        <v>2241</v>
      </c>
      <c r="E1988" t="s">
        <v>2242</v>
      </c>
      <c r="F1988">
        <v>13041</v>
      </c>
      <c r="G1988">
        <v>3822</v>
      </c>
      <c r="H1988" s="32">
        <f t="shared" si="31"/>
        <v>3.412087912087912</v>
      </c>
      <c r="I1988">
        <v>1</v>
      </c>
      <c r="J1988" t="s">
        <v>21</v>
      </c>
    </row>
    <row r="1989" spans="1:10" x14ac:dyDescent="0.25">
      <c r="A1989">
        <v>66938</v>
      </c>
      <c r="B1989" t="s">
        <v>4991</v>
      </c>
      <c r="C1989" t="s">
        <v>131</v>
      </c>
      <c r="D1989" t="s">
        <v>2241</v>
      </c>
      <c r="E1989" t="s">
        <v>2242</v>
      </c>
      <c r="F1989">
        <v>4968</v>
      </c>
      <c r="G1989">
        <v>1456</v>
      </c>
      <c r="H1989" s="32">
        <f t="shared" si="31"/>
        <v>3.412087912087912</v>
      </c>
      <c r="I1989">
        <v>1</v>
      </c>
      <c r="J1989" t="s">
        <v>21</v>
      </c>
    </row>
    <row r="1990" spans="1:10" x14ac:dyDescent="0.25">
      <c r="A1990">
        <v>66845</v>
      </c>
      <c r="B1990" t="s">
        <v>4981</v>
      </c>
      <c r="C1990" t="s">
        <v>241</v>
      </c>
      <c r="D1990" t="s">
        <v>2241</v>
      </c>
      <c r="E1990" t="s">
        <v>2242</v>
      </c>
      <c r="F1990">
        <v>12362</v>
      </c>
      <c r="G1990">
        <v>3623</v>
      </c>
      <c r="H1990" s="32">
        <f t="shared" si="31"/>
        <v>3.4120894286502899</v>
      </c>
      <c r="I1990">
        <v>1</v>
      </c>
      <c r="J1990" t="s">
        <v>21</v>
      </c>
    </row>
    <row r="1991" spans="1:10" x14ac:dyDescent="0.25">
      <c r="A1991">
        <v>58473</v>
      </c>
      <c r="B1991" t="s">
        <v>3199</v>
      </c>
      <c r="C1991" t="s">
        <v>672</v>
      </c>
      <c r="D1991" t="s">
        <v>2241</v>
      </c>
      <c r="E1991" t="s">
        <v>2242</v>
      </c>
      <c r="F1991">
        <v>20998</v>
      </c>
      <c r="G1991">
        <v>6154</v>
      </c>
      <c r="H1991" s="32">
        <f t="shared" si="31"/>
        <v>3.4120896977575561</v>
      </c>
      <c r="I1991">
        <v>1</v>
      </c>
      <c r="J1991" t="s">
        <v>21</v>
      </c>
    </row>
    <row r="1992" spans="1:10" x14ac:dyDescent="0.25">
      <c r="A1992">
        <v>59191</v>
      </c>
      <c r="B1992" t="s">
        <v>3419</v>
      </c>
      <c r="C1992" t="s">
        <v>708</v>
      </c>
      <c r="D1992" t="s">
        <v>2241</v>
      </c>
      <c r="E1992" t="s">
        <v>2242</v>
      </c>
      <c r="F1992">
        <v>31439</v>
      </c>
      <c r="G1992">
        <v>9214</v>
      </c>
      <c r="H1992" s="32">
        <f t="shared" si="31"/>
        <v>3.4120902973735618</v>
      </c>
      <c r="I1992">
        <v>1</v>
      </c>
      <c r="J1992" t="s">
        <v>21</v>
      </c>
    </row>
    <row r="1993" spans="1:10" x14ac:dyDescent="0.25">
      <c r="A1993">
        <v>58956</v>
      </c>
      <c r="B1993" t="s">
        <v>3345</v>
      </c>
      <c r="C1993" t="s">
        <v>708</v>
      </c>
      <c r="D1993" t="s">
        <v>2241</v>
      </c>
      <c r="E1993" t="s">
        <v>2242</v>
      </c>
      <c r="F1993">
        <v>14167</v>
      </c>
      <c r="G1993">
        <v>4152</v>
      </c>
      <c r="H1993" s="32">
        <f t="shared" si="31"/>
        <v>3.4120905587668595</v>
      </c>
      <c r="I1993">
        <v>1</v>
      </c>
      <c r="J1993" t="s">
        <v>21</v>
      </c>
    </row>
    <row r="1994" spans="1:10" x14ac:dyDescent="0.25">
      <c r="A1994">
        <v>65069</v>
      </c>
      <c r="B1994" t="s">
        <v>4676</v>
      </c>
      <c r="C1994" t="s">
        <v>131</v>
      </c>
      <c r="D1994" t="s">
        <v>2241</v>
      </c>
      <c r="E1994" t="s">
        <v>2242</v>
      </c>
      <c r="F1994">
        <v>33244</v>
      </c>
      <c r="G1994">
        <v>9743</v>
      </c>
      <c r="H1994" s="32">
        <f t="shared" si="31"/>
        <v>3.4120907318074516</v>
      </c>
      <c r="I1994">
        <v>1</v>
      </c>
      <c r="J1994" t="s">
        <v>21</v>
      </c>
    </row>
    <row r="1995" spans="1:10" x14ac:dyDescent="0.25">
      <c r="A1995">
        <v>59127</v>
      </c>
      <c r="B1995" t="s">
        <v>3388</v>
      </c>
      <c r="C1995" t="s">
        <v>708</v>
      </c>
      <c r="D1995" t="s">
        <v>2241</v>
      </c>
      <c r="E1995" t="s">
        <v>2242</v>
      </c>
      <c r="F1995">
        <v>30760</v>
      </c>
      <c r="G1995">
        <v>9015</v>
      </c>
      <c r="H1995" s="32">
        <f t="shared" si="31"/>
        <v>3.4120909595119246</v>
      </c>
      <c r="I1995">
        <v>1</v>
      </c>
      <c r="J1995" t="s">
        <v>21</v>
      </c>
    </row>
    <row r="1996" spans="1:10" x14ac:dyDescent="0.25">
      <c r="A1996">
        <v>63626</v>
      </c>
      <c r="B1996" t="s">
        <v>4380</v>
      </c>
      <c r="C1996" t="s">
        <v>241</v>
      </c>
      <c r="D1996" t="s">
        <v>2241</v>
      </c>
      <c r="E1996" t="s">
        <v>2242</v>
      </c>
      <c r="F1996">
        <v>6152</v>
      </c>
      <c r="G1996">
        <v>1803</v>
      </c>
      <c r="H1996" s="32">
        <f t="shared" si="31"/>
        <v>3.4120909595119246</v>
      </c>
      <c r="I1996">
        <v>1</v>
      </c>
      <c r="J1996" t="s">
        <v>21</v>
      </c>
    </row>
    <row r="1997" spans="1:10" x14ac:dyDescent="0.25">
      <c r="A1997">
        <v>59172</v>
      </c>
      <c r="B1997" t="s">
        <v>3406</v>
      </c>
      <c r="C1997" t="s">
        <v>131</v>
      </c>
      <c r="D1997" t="s">
        <v>2241</v>
      </c>
      <c r="E1997" t="s">
        <v>2242</v>
      </c>
      <c r="F1997">
        <v>17835</v>
      </c>
      <c r="G1997">
        <v>5227</v>
      </c>
      <c r="H1997" s="32">
        <f t="shared" si="31"/>
        <v>3.4120910656208152</v>
      </c>
      <c r="I1997">
        <v>1</v>
      </c>
      <c r="J1997" t="s">
        <v>21</v>
      </c>
    </row>
    <row r="1998" spans="1:10" x14ac:dyDescent="0.25">
      <c r="A1998">
        <v>60669</v>
      </c>
      <c r="B1998" t="s">
        <v>3838</v>
      </c>
      <c r="C1998" t="s">
        <v>307</v>
      </c>
      <c r="D1998" t="s">
        <v>2241</v>
      </c>
      <c r="E1998" t="s">
        <v>2242</v>
      </c>
      <c r="F1998">
        <v>11062</v>
      </c>
      <c r="G1998">
        <v>3242</v>
      </c>
      <c r="H1998" s="32">
        <f t="shared" si="31"/>
        <v>3.4120913016656385</v>
      </c>
      <c r="I1998">
        <v>1</v>
      </c>
      <c r="J1998" t="s">
        <v>21</v>
      </c>
    </row>
    <row r="1999" spans="1:10" x14ac:dyDescent="0.25">
      <c r="A1999">
        <v>60510</v>
      </c>
      <c r="B1999" t="s">
        <v>3791</v>
      </c>
      <c r="C1999" t="s">
        <v>708</v>
      </c>
      <c r="D1999" t="s">
        <v>2241</v>
      </c>
      <c r="E1999" t="s">
        <v>2242</v>
      </c>
      <c r="F1999">
        <v>84091</v>
      </c>
      <c r="G1999">
        <v>24645</v>
      </c>
      <c r="H1999" s="32">
        <f t="shared" si="31"/>
        <v>3.4120917021708257</v>
      </c>
      <c r="I1999">
        <v>1</v>
      </c>
      <c r="J1999" t="s">
        <v>21</v>
      </c>
    </row>
    <row r="2000" spans="1:10" x14ac:dyDescent="0.25">
      <c r="A2000">
        <v>60709</v>
      </c>
      <c r="B2000" t="s">
        <v>3842</v>
      </c>
      <c r="C2000" t="s">
        <v>241</v>
      </c>
      <c r="D2000" t="s">
        <v>2241</v>
      </c>
      <c r="E2000" t="s">
        <v>2242</v>
      </c>
      <c r="F2000">
        <v>13488</v>
      </c>
      <c r="G2000">
        <v>3953</v>
      </c>
      <c r="H2000" s="32">
        <f t="shared" si="31"/>
        <v>3.412092081963066</v>
      </c>
      <c r="I2000">
        <v>1</v>
      </c>
      <c r="J2000" t="s">
        <v>21</v>
      </c>
    </row>
    <row r="2001" spans="1:10" x14ac:dyDescent="0.25">
      <c r="A2001">
        <v>59567</v>
      </c>
      <c r="B2001" t="s">
        <v>3517</v>
      </c>
      <c r="C2001" t="s">
        <v>708</v>
      </c>
      <c r="D2001" t="s">
        <v>2241</v>
      </c>
      <c r="E2001" t="s">
        <v>2242</v>
      </c>
      <c r="F2001">
        <v>31265</v>
      </c>
      <c r="G2001">
        <v>9163</v>
      </c>
      <c r="H2001" s="32">
        <f t="shared" si="31"/>
        <v>3.412092109571101</v>
      </c>
      <c r="I2001">
        <v>1</v>
      </c>
      <c r="J2001" t="s">
        <v>21</v>
      </c>
    </row>
    <row r="2002" spans="1:10" x14ac:dyDescent="0.25">
      <c r="A2002">
        <v>67687</v>
      </c>
      <c r="B2002" t="s">
        <v>5144</v>
      </c>
      <c r="C2002" t="s">
        <v>166</v>
      </c>
      <c r="D2002" t="s">
        <v>2241</v>
      </c>
      <c r="E2002" t="s">
        <v>2242</v>
      </c>
      <c r="F2002">
        <v>7957</v>
      </c>
      <c r="G2002">
        <v>2332</v>
      </c>
      <c r="H2002" s="32">
        <f t="shared" si="31"/>
        <v>3.4120926243567755</v>
      </c>
      <c r="I2002">
        <v>1</v>
      </c>
      <c r="J2002" t="s">
        <v>21</v>
      </c>
    </row>
    <row r="2003" spans="1:10" x14ac:dyDescent="0.25">
      <c r="A2003">
        <v>60990</v>
      </c>
      <c r="B2003" t="s">
        <v>3917</v>
      </c>
      <c r="C2003" t="s">
        <v>241</v>
      </c>
      <c r="D2003" t="s">
        <v>2241</v>
      </c>
      <c r="E2003" t="s">
        <v>2242</v>
      </c>
      <c r="F2003">
        <v>36059</v>
      </c>
      <c r="G2003">
        <v>10568</v>
      </c>
      <c r="H2003" s="32">
        <f t="shared" si="31"/>
        <v>3.4120931112793338</v>
      </c>
      <c r="I2003">
        <v>1</v>
      </c>
      <c r="J2003" t="s">
        <v>21</v>
      </c>
    </row>
    <row r="2004" spans="1:10" x14ac:dyDescent="0.25">
      <c r="A2004">
        <v>59575</v>
      </c>
      <c r="B2004" t="s">
        <v>3519</v>
      </c>
      <c r="C2004" t="s">
        <v>708</v>
      </c>
      <c r="D2004" t="s">
        <v>2241</v>
      </c>
      <c r="E2004" t="s">
        <v>2242</v>
      </c>
      <c r="F2004">
        <v>32275</v>
      </c>
      <c r="G2004">
        <v>9459</v>
      </c>
      <c r="H2004" s="32">
        <f t="shared" si="31"/>
        <v>3.4120943017232266</v>
      </c>
      <c r="I2004">
        <v>1</v>
      </c>
      <c r="J2004" t="s">
        <v>21</v>
      </c>
    </row>
    <row r="2005" spans="1:10" x14ac:dyDescent="0.25">
      <c r="A2005">
        <v>60604</v>
      </c>
      <c r="B2005" t="s">
        <v>3817</v>
      </c>
      <c r="C2005" t="s">
        <v>307</v>
      </c>
      <c r="D2005" t="s">
        <v>2241</v>
      </c>
      <c r="E2005" t="s">
        <v>2242</v>
      </c>
      <c r="F2005">
        <v>58398</v>
      </c>
      <c r="G2005">
        <v>17115</v>
      </c>
      <c r="H2005" s="32">
        <f t="shared" si="31"/>
        <v>3.4120946538124453</v>
      </c>
      <c r="I2005">
        <v>1</v>
      </c>
      <c r="J2005" t="s">
        <v>21</v>
      </c>
    </row>
    <row r="2006" spans="1:10" x14ac:dyDescent="0.25">
      <c r="A2006">
        <v>67706</v>
      </c>
      <c r="B2006" t="s">
        <v>5150</v>
      </c>
      <c r="C2006" t="s">
        <v>143</v>
      </c>
      <c r="D2006" t="s">
        <v>2241</v>
      </c>
      <c r="E2006" t="s">
        <v>2242</v>
      </c>
      <c r="F2006">
        <v>63250</v>
      </c>
      <c r="G2006">
        <v>18537</v>
      </c>
      <c r="H2006" s="32">
        <f t="shared" si="31"/>
        <v>3.4120947294599988</v>
      </c>
      <c r="I2006">
        <v>1</v>
      </c>
      <c r="J2006" t="s">
        <v>21</v>
      </c>
    </row>
    <row r="2007" spans="1:10" x14ac:dyDescent="0.25">
      <c r="A2007">
        <v>57382</v>
      </c>
      <c r="B2007" t="s">
        <v>2978</v>
      </c>
      <c r="C2007" t="s">
        <v>241</v>
      </c>
      <c r="D2007" t="s">
        <v>2241</v>
      </c>
      <c r="E2007" t="s">
        <v>2242</v>
      </c>
      <c r="F2007">
        <v>18224</v>
      </c>
      <c r="G2007">
        <v>5341</v>
      </c>
      <c r="H2007" s="32">
        <f t="shared" si="31"/>
        <v>3.4120951132746677</v>
      </c>
      <c r="I2007">
        <v>1</v>
      </c>
      <c r="J2007" t="s">
        <v>21</v>
      </c>
    </row>
    <row r="2008" spans="1:10" x14ac:dyDescent="0.25">
      <c r="A2008">
        <v>64690</v>
      </c>
      <c r="B2008" t="s">
        <v>4629</v>
      </c>
      <c r="C2008" t="s">
        <v>307</v>
      </c>
      <c r="D2008" t="s">
        <v>2241</v>
      </c>
      <c r="E2008" t="s">
        <v>2242</v>
      </c>
      <c r="F2008">
        <v>107481</v>
      </c>
      <c r="G2008">
        <v>31500</v>
      </c>
      <c r="H2008" s="32">
        <f t="shared" si="31"/>
        <v>3.4120952380952381</v>
      </c>
      <c r="I2008">
        <v>1</v>
      </c>
      <c r="J2008" t="s">
        <v>21</v>
      </c>
    </row>
    <row r="2009" spans="1:10" x14ac:dyDescent="0.25">
      <c r="A2009">
        <v>59154</v>
      </c>
      <c r="B2009" t="s">
        <v>3395</v>
      </c>
      <c r="C2009" t="s">
        <v>708</v>
      </c>
      <c r="D2009" t="s">
        <v>2241</v>
      </c>
      <c r="E2009" t="s">
        <v>2242</v>
      </c>
      <c r="F2009">
        <v>20029</v>
      </c>
      <c r="G2009">
        <v>5870</v>
      </c>
      <c r="H2009" s="32">
        <f t="shared" si="31"/>
        <v>3.4120954003407156</v>
      </c>
      <c r="I2009">
        <v>1</v>
      </c>
      <c r="J2009" t="s">
        <v>21</v>
      </c>
    </row>
    <row r="2010" spans="1:10" x14ac:dyDescent="0.25">
      <c r="A2010">
        <v>60763</v>
      </c>
      <c r="B2010" t="s">
        <v>3862</v>
      </c>
      <c r="C2010" t="s">
        <v>241</v>
      </c>
      <c r="D2010" t="s">
        <v>2241</v>
      </c>
      <c r="E2010" t="s">
        <v>2242</v>
      </c>
      <c r="F2010">
        <v>9704</v>
      </c>
      <c r="G2010">
        <v>2844</v>
      </c>
      <c r="H2010" s="32">
        <f t="shared" si="31"/>
        <v>3.412095639943741</v>
      </c>
      <c r="I2010">
        <v>1</v>
      </c>
      <c r="J2010" t="s">
        <v>21</v>
      </c>
    </row>
    <row r="2011" spans="1:10" x14ac:dyDescent="0.25">
      <c r="A2011">
        <v>60188</v>
      </c>
      <c r="B2011" t="s">
        <v>3701</v>
      </c>
      <c r="C2011" t="s">
        <v>708</v>
      </c>
      <c r="D2011" t="s">
        <v>2241</v>
      </c>
      <c r="E2011" t="s">
        <v>2242</v>
      </c>
      <c r="F2011">
        <v>17545</v>
      </c>
      <c r="G2011">
        <v>5142</v>
      </c>
      <c r="H2011" s="32">
        <f t="shared" si="31"/>
        <v>3.4120964605211981</v>
      </c>
      <c r="I2011">
        <v>1</v>
      </c>
      <c r="J2011" t="s">
        <v>21</v>
      </c>
    </row>
    <row r="2012" spans="1:10" x14ac:dyDescent="0.25">
      <c r="A2012">
        <v>62240</v>
      </c>
      <c r="B2012" t="s">
        <v>4135</v>
      </c>
      <c r="C2012" t="s">
        <v>708</v>
      </c>
      <c r="D2012" t="s">
        <v>2241</v>
      </c>
      <c r="E2012" t="s">
        <v>2242</v>
      </c>
      <c r="F2012">
        <v>17545</v>
      </c>
      <c r="G2012">
        <v>5142</v>
      </c>
      <c r="H2012" s="32">
        <f t="shared" si="31"/>
        <v>3.4120964605211981</v>
      </c>
      <c r="I2012">
        <v>1</v>
      </c>
      <c r="J2012" t="s">
        <v>21</v>
      </c>
    </row>
    <row r="2013" spans="1:10" x14ac:dyDescent="0.25">
      <c r="A2013">
        <v>64677</v>
      </c>
      <c r="B2013" t="s">
        <v>4625</v>
      </c>
      <c r="C2013" t="s">
        <v>708</v>
      </c>
      <c r="D2013" t="s">
        <v>2241</v>
      </c>
      <c r="E2013" t="s">
        <v>2242</v>
      </c>
      <c r="F2013">
        <v>36274</v>
      </c>
      <c r="G2013">
        <v>10631</v>
      </c>
      <c r="H2013" s="32">
        <f t="shared" si="31"/>
        <v>3.4120966983350578</v>
      </c>
      <c r="I2013">
        <v>1</v>
      </c>
      <c r="J2013" t="s">
        <v>21</v>
      </c>
    </row>
    <row r="2014" spans="1:10" x14ac:dyDescent="0.25">
      <c r="A2014">
        <v>58315</v>
      </c>
      <c r="B2014" t="s">
        <v>3146</v>
      </c>
      <c r="C2014" t="s">
        <v>708</v>
      </c>
      <c r="D2014" t="s">
        <v>2241</v>
      </c>
      <c r="E2014" t="s">
        <v>2242</v>
      </c>
      <c r="F2014">
        <v>29501</v>
      </c>
      <c r="G2014">
        <v>8646</v>
      </c>
      <c r="H2014" s="32">
        <f t="shared" si="31"/>
        <v>3.4120980800370115</v>
      </c>
      <c r="I2014">
        <v>1</v>
      </c>
      <c r="J2014" t="s">
        <v>21</v>
      </c>
    </row>
    <row r="2015" spans="1:10" x14ac:dyDescent="0.25">
      <c r="A2015">
        <v>61519</v>
      </c>
      <c r="B2015" t="s">
        <v>4027</v>
      </c>
      <c r="C2015" t="s">
        <v>307</v>
      </c>
      <c r="D2015" t="s">
        <v>2241</v>
      </c>
      <c r="E2015" t="s">
        <v>2242</v>
      </c>
      <c r="F2015">
        <v>48114</v>
      </c>
      <c r="G2015">
        <v>14101</v>
      </c>
      <c r="H2015" s="32">
        <f t="shared" si="31"/>
        <v>3.412098432735267</v>
      </c>
      <c r="I2015">
        <v>1</v>
      </c>
      <c r="J2015" t="s">
        <v>21</v>
      </c>
    </row>
    <row r="2016" spans="1:10" x14ac:dyDescent="0.25">
      <c r="A2016">
        <v>62739</v>
      </c>
      <c r="B2016" t="s">
        <v>4217</v>
      </c>
      <c r="C2016" t="s">
        <v>241</v>
      </c>
      <c r="D2016" t="s">
        <v>2241</v>
      </c>
      <c r="E2016" t="s">
        <v>2242</v>
      </c>
      <c r="F2016">
        <v>21602</v>
      </c>
      <c r="G2016">
        <v>6331</v>
      </c>
      <c r="H2016" s="32">
        <f t="shared" si="31"/>
        <v>3.4120991944400569</v>
      </c>
      <c r="I2016">
        <v>1</v>
      </c>
      <c r="J2016" t="s">
        <v>21</v>
      </c>
    </row>
    <row r="2017" spans="1:10" x14ac:dyDescent="0.25">
      <c r="A2017">
        <v>57647</v>
      </c>
      <c r="B2017" t="s">
        <v>3026</v>
      </c>
      <c r="C2017" t="s">
        <v>241</v>
      </c>
      <c r="D2017" t="s">
        <v>2241</v>
      </c>
      <c r="E2017" t="s">
        <v>2242</v>
      </c>
      <c r="F2017">
        <v>16187</v>
      </c>
      <c r="G2017">
        <v>4744</v>
      </c>
      <c r="H2017" s="32">
        <f t="shared" si="31"/>
        <v>3.4120994940978076</v>
      </c>
      <c r="I2017">
        <v>1</v>
      </c>
      <c r="J2017" t="s">
        <v>21</v>
      </c>
    </row>
    <row r="2018" spans="1:10" x14ac:dyDescent="0.25">
      <c r="A2018">
        <v>60487</v>
      </c>
      <c r="B2018" t="s">
        <v>3786</v>
      </c>
      <c r="C2018" t="s">
        <v>708</v>
      </c>
      <c r="D2018" t="s">
        <v>2241</v>
      </c>
      <c r="E2018" t="s">
        <v>2242</v>
      </c>
      <c r="F2018">
        <v>29327</v>
      </c>
      <c r="G2018">
        <v>8595</v>
      </c>
      <c r="H2018" s="32">
        <f t="shared" si="31"/>
        <v>3.4121000581733565</v>
      </c>
      <c r="I2018">
        <v>1</v>
      </c>
      <c r="J2018" t="s">
        <v>21</v>
      </c>
    </row>
    <row r="2019" spans="1:10" x14ac:dyDescent="0.25">
      <c r="A2019">
        <v>70270</v>
      </c>
      <c r="B2019" t="s">
        <v>5441</v>
      </c>
      <c r="C2019" t="s">
        <v>166</v>
      </c>
      <c r="D2019" t="s">
        <v>2241</v>
      </c>
      <c r="E2019" t="s">
        <v>2242</v>
      </c>
      <c r="F2019">
        <v>13761</v>
      </c>
      <c r="G2019">
        <v>4033</v>
      </c>
      <c r="H2019" s="32">
        <f t="shared" si="31"/>
        <v>3.4121001735680636</v>
      </c>
      <c r="I2019">
        <v>1</v>
      </c>
      <c r="J2019" t="s">
        <v>21</v>
      </c>
    </row>
    <row r="2020" spans="1:10" x14ac:dyDescent="0.25">
      <c r="A2020">
        <v>62100</v>
      </c>
      <c r="B2020" t="s">
        <v>4109</v>
      </c>
      <c r="C2020" t="s">
        <v>708</v>
      </c>
      <c r="D2020" t="s">
        <v>2241</v>
      </c>
      <c r="E2020" t="s">
        <v>2242</v>
      </c>
      <c r="F2020">
        <v>30395</v>
      </c>
      <c r="G2020">
        <v>8908</v>
      </c>
      <c r="H2020" s="32">
        <f t="shared" si="31"/>
        <v>3.4121014818140996</v>
      </c>
      <c r="I2020">
        <v>1</v>
      </c>
      <c r="J2020" t="s">
        <v>21</v>
      </c>
    </row>
    <row r="2021" spans="1:10" x14ac:dyDescent="0.25">
      <c r="A2021">
        <v>58337</v>
      </c>
      <c r="B2021" t="s">
        <v>3160</v>
      </c>
      <c r="C2021" t="s">
        <v>708</v>
      </c>
      <c r="D2021" t="s">
        <v>2241</v>
      </c>
      <c r="E2021" t="s">
        <v>2242</v>
      </c>
      <c r="F2021">
        <v>25601</v>
      </c>
      <c r="G2021">
        <v>7503</v>
      </c>
      <c r="H2021" s="32">
        <f t="shared" si="31"/>
        <v>3.4121018259362921</v>
      </c>
      <c r="I2021">
        <v>1</v>
      </c>
      <c r="J2021" t="s">
        <v>21</v>
      </c>
    </row>
    <row r="2022" spans="1:10" x14ac:dyDescent="0.25">
      <c r="A2022">
        <v>64118</v>
      </c>
      <c r="B2022" t="s">
        <v>4490</v>
      </c>
      <c r="C2022" t="s">
        <v>708</v>
      </c>
      <c r="D2022" t="s">
        <v>2241</v>
      </c>
      <c r="E2022" t="s">
        <v>2242</v>
      </c>
      <c r="F2022">
        <v>27969</v>
      </c>
      <c r="G2022">
        <v>8197</v>
      </c>
      <c r="H2022" s="32">
        <f t="shared" si="31"/>
        <v>3.41210198853239</v>
      </c>
      <c r="I2022">
        <v>1</v>
      </c>
      <c r="J2022" t="s">
        <v>21</v>
      </c>
    </row>
    <row r="2023" spans="1:10" x14ac:dyDescent="0.25">
      <c r="A2023">
        <v>61134</v>
      </c>
      <c r="B2023" t="s">
        <v>3948</v>
      </c>
      <c r="C2023" t="s">
        <v>708</v>
      </c>
      <c r="D2023" t="s">
        <v>2241</v>
      </c>
      <c r="E2023" t="s">
        <v>2242</v>
      </c>
      <c r="F2023">
        <v>18439</v>
      </c>
      <c r="G2023">
        <v>5404</v>
      </c>
      <c r="H2023" s="32">
        <f t="shared" si="31"/>
        <v>3.4121021465581052</v>
      </c>
      <c r="I2023">
        <v>1</v>
      </c>
      <c r="J2023" t="s">
        <v>21</v>
      </c>
    </row>
    <row r="2024" spans="1:10" x14ac:dyDescent="0.25">
      <c r="A2024">
        <v>58512</v>
      </c>
      <c r="B2024" t="s">
        <v>3211</v>
      </c>
      <c r="C2024" t="s">
        <v>241</v>
      </c>
      <c r="D2024" t="s">
        <v>2241</v>
      </c>
      <c r="E2024" t="s">
        <v>2242</v>
      </c>
      <c r="F2024">
        <v>14266</v>
      </c>
      <c r="G2024">
        <v>4181</v>
      </c>
      <c r="H2024" s="32">
        <f t="shared" si="31"/>
        <v>3.4121023678545801</v>
      </c>
      <c r="I2024">
        <v>1</v>
      </c>
      <c r="J2024" t="s">
        <v>21</v>
      </c>
    </row>
    <row r="2025" spans="1:10" x14ac:dyDescent="0.25">
      <c r="A2025">
        <v>58536</v>
      </c>
      <c r="B2025" t="s">
        <v>3219</v>
      </c>
      <c r="C2025" t="s">
        <v>241</v>
      </c>
      <c r="D2025" t="s">
        <v>2241</v>
      </c>
      <c r="E2025" t="s">
        <v>2242</v>
      </c>
      <c r="F2025">
        <v>8909</v>
      </c>
      <c r="G2025">
        <v>2611</v>
      </c>
      <c r="H2025" s="32">
        <f t="shared" si="31"/>
        <v>3.4121026426656456</v>
      </c>
      <c r="I2025">
        <v>1</v>
      </c>
      <c r="J2025" t="s">
        <v>21</v>
      </c>
    </row>
    <row r="2026" spans="1:10" x14ac:dyDescent="0.25">
      <c r="A2026">
        <v>61437</v>
      </c>
      <c r="B2026" t="s">
        <v>4017</v>
      </c>
      <c r="C2026" t="s">
        <v>322</v>
      </c>
      <c r="D2026" t="s">
        <v>2241</v>
      </c>
      <c r="E2026" t="s">
        <v>2242</v>
      </c>
      <c r="F2026">
        <v>8909</v>
      </c>
      <c r="G2026">
        <v>2611</v>
      </c>
      <c r="H2026" s="32">
        <f t="shared" si="31"/>
        <v>3.4121026426656456</v>
      </c>
      <c r="I2026">
        <v>1</v>
      </c>
      <c r="J2026" t="s">
        <v>21</v>
      </c>
    </row>
    <row r="2027" spans="1:10" x14ac:dyDescent="0.25">
      <c r="A2027">
        <v>62306</v>
      </c>
      <c r="B2027" t="s">
        <v>4140</v>
      </c>
      <c r="C2027" t="s">
        <v>241</v>
      </c>
      <c r="D2027" t="s">
        <v>2241</v>
      </c>
      <c r="E2027" t="s">
        <v>2242</v>
      </c>
      <c r="F2027">
        <v>29658</v>
      </c>
      <c r="G2027">
        <v>8692</v>
      </c>
      <c r="H2027" s="32">
        <f t="shared" si="31"/>
        <v>3.4121030832949839</v>
      </c>
      <c r="I2027">
        <v>1</v>
      </c>
      <c r="J2027" t="s">
        <v>21</v>
      </c>
    </row>
    <row r="2028" spans="1:10" x14ac:dyDescent="0.25">
      <c r="A2028">
        <v>57799</v>
      </c>
      <c r="B2028" t="s">
        <v>3056</v>
      </c>
      <c r="C2028" t="s">
        <v>241</v>
      </c>
      <c r="D2028" t="s">
        <v>2241</v>
      </c>
      <c r="E2028" t="s">
        <v>2242</v>
      </c>
      <c r="F2028">
        <v>4736</v>
      </c>
      <c r="G2028">
        <v>1388</v>
      </c>
      <c r="H2028" s="32">
        <f t="shared" si="31"/>
        <v>3.4121037463976944</v>
      </c>
      <c r="I2028">
        <v>1</v>
      </c>
      <c r="J2028" t="s">
        <v>21</v>
      </c>
    </row>
    <row r="2029" spans="1:10" x14ac:dyDescent="0.25">
      <c r="A2029">
        <v>66698</v>
      </c>
      <c r="B2029" t="s">
        <v>4943</v>
      </c>
      <c r="C2029" t="s">
        <v>3055</v>
      </c>
      <c r="D2029" t="s">
        <v>2241</v>
      </c>
      <c r="E2029" t="s">
        <v>2242</v>
      </c>
      <c r="F2029">
        <v>3552</v>
      </c>
      <c r="G2029">
        <v>1041</v>
      </c>
      <c r="H2029" s="32">
        <f t="shared" si="31"/>
        <v>3.4121037463976944</v>
      </c>
      <c r="I2029">
        <v>1</v>
      </c>
      <c r="J2029" t="s">
        <v>21</v>
      </c>
    </row>
    <row r="2030" spans="1:10" x14ac:dyDescent="0.25">
      <c r="A2030">
        <v>69915</v>
      </c>
      <c r="B2030" t="s">
        <v>5411</v>
      </c>
      <c r="C2030" t="s">
        <v>166</v>
      </c>
      <c r="D2030" t="s">
        <v>2241</v>
      </c>
      <c r="E2030" t="s">
        <v>2242</v>
      </c>
      <c r="F2030">
        <v>15955</v>
      </c>
      <c r="G2030">
        <v>4676</v>
      </c>
      <c r="H2030" s="32">
        <f t="shared" si="31"/>
        <v>3.4121043627031651</v>
      </c>
      <c r="I2030">
        <v>1</v>
      </c>
      <c r="J2030" t="s">
        <v>21</v>
      </c>
    </row>
    <row r="2031" spans="1:10" x14ac:dyDescent="0.25">
      <c r="A2031">
        <v>65227</v>
      </c>
      <c r="B2031" t="s">
        <v>4705</v>
      </c>
      <c r="C2031" t="s">
        <v>166</v>
      </c>
      <c r="D2031" t="s">
        <v>2241</v>
      </c>
      <c r="E2031" t="s">
        <v>2242</v>
      </c>
      <c r="F2031">
        <v>12403</v>
      </c>
      <c r="G2031">
        <v>3635</v>
      </c>
      <c r="H2031" s="32">
        <f t="shared" si="31"/>
        <v>3.4121045392022009</v>
      </c>
      <c r="I2031">
        <v>1</v>
      </c>
      <c r="J2031" t="s">
        <v>21</v>
      </c>
    </row>
    <row r="2032" spans="1:10" x14ac:dyDescent="0.25">
      <c r="A2032">
        <v>59107</v>
      </c>
      <c r="B2032" t="s">
        <v>3374</v>
      </c>
      <c r="C2032" t="s">
        <v>708</v>
      </c>
      <c r="D2032" t="s">
        <v>2241</v>
      </c>
      <c r="E2032" t="s">
        <v>2242</v>
      </c>
      <c r="F2032">
        <v>33657</v>
      </c>
      <c r="G2032">
        <v>9864</v>
      </c>
      <c r="H2032" s="32">
        <f t="shared" si="31"/>
        <v>3.4121046228710461</v>
      </c>
      <c r="I2032">
        <v>1</v>
      </c>
      <c r="J2032" t="s">
        <v>21</v>
      </c>
    </row>
    <row r="2033" spans="1:10" x14ac:dyDescent="0.25">
      <c r="A2033">
        <v>64059</v>
      </c>
      <c r="B2033" t="s">
        <v>4481</v>
      </c>
      <c r="C2033" t="s">
        <v>166</v>
      </c>
      <c r="D2033" t="s">
        <v>2241</v>
      </c>
      <c r="E2033" t="s">
        <v>2242</v>
      </c>
      <c r="F2033">
        <v>12966</v>
      </c>
      <c r="G2033">
        <v>3800</v>
      </c>
      <c r="H2033" s="32">
        <f t="shared" si="31"/>
        <v>3.4121052631578945</v>
      </c>
      <c r="I2033">
        <v>1</v>
      </c>
      <c r="J2033" t="s">
        <v>21</v>
      </c>
    </row>
    <row r="2034" spans="1:10" x14ac:dyDescent="0.25">
      <c r="A2034">
        <v>66997</v>
      </c>
      <c r="B2034" t="s">
        <v>5002</v>
      </c>
      <c r="C2034" t="s">
        <v>201</v>
      </c>
      <c r="D2034" t="s">
        <v>2241</v>
      </c>
      <c r="E2034" t="s">
        <v>2242</v>
      </c>
      <c r="F2034">
        <v>15897</v>
      </c>
      <c r="G2034">
        <v>4659</v>
      </c>
      <c r="H2034" s="32">
        <f t="shared" si="31"/>
        <v>3.412105602060528</v>
      </c>
      <c r="I2034">
        <v>1</v>
      </c>
      <c r="J2034" t="s">
        <v>21</v>
      </c>
    </row>
    <row r="2035" spans="1:10" x14ac:dyDescent="0.25">
      <c r="A2035">
        <v>69047</v>
      </c>
      <c r="B2035" t="s">
        <v>5304</v>
      </c>
      <c r="C2035" t="s">
        <v>166</v>
      </c>
      <c r="D2035" t="s">
        <v>2241</v>
      </c>
      <c r="E2035" t="s">
        <v>2242</v>
      </c>
      <c r="F2035">
        <v>12345</v>
      </c>
      <c r="G2035">
        <v>3618</v>
      </c>
      <c r="H2035" s="32">
        <f t="shared" si="31"/>
        <v>3.4121061359867331</v>
      </c>
      <c r="I2035">
        <v>1</v>
      </c>
      <c r="J2035" t="s">
        <v>21</v>
      </c>
    </row>
    <row r="2036" spans="1:10" x14ac:dyDescent="0.25">
      <c r="A2036">
        <v>60489</v>
      </c>
      <c r="B2036" t="s">
        <v>3787</v>
      </c>
      <c r="C2036" t="s">
        <v>241</v>
      </c>
      <c r="D2036" t="s">
        <v>2241</v>
      </c>
      <c r="E2036" t="s">
        <v>2242</v>
      </c>
      <c r="F2036">
        <v>27000</v>
      </c>
      <c r="G2036">
        <v>7913</v>
      </c>
      <c r="H2036" s="32">
        <f t="shared" si="31"/>
        <v>3.4121066599267027</v>
      </c>
      <c r="I2036">
        <v>1</v>
      </c>
      <c r="J2036" t="s">
        <v>21</v>
      </c>
    </row>
    <row r="2037" spans="1:10" x14ac:dyDescent="0.25">
      <c r="A2037">
        <v>60913</v>
      </c>
      <c r="B2037" t="s">
        <v>3899</v>
      </c>
      <c r="C2037" t="s">
        <v>322</v>
      </c>
      <c r="D2037" t="s">
        <v>2241</v>
      </c>
      <c r="E2037" t="s">
        <v>2242</v>
      </c>
      <c r="F2037">
        <v>13471</v>
      </c>
      <c r="G2037">
        <v>3948</v>
      </c>
      <c r="H2037" s="32">
        <f t="shared" si="31"/>
        <v>3.4121073961499495</v>
      </c>
      <c r="I2037">
        <v>1</v>
      </c>
      <c r="J2037" t="s">
        <v>21</v>
      </c>
    </row>
    <row r="2038" spans="1:10" x14ac:dyDescent="0.25">
      <c r="A2038">
        <v>66831</v>
      </c>
      <c r="B2038" t="s">
        <v>4973</v>
      </c>
      <c r="C2038" t="s">
        <v>241</v>
      </c>
      <c r="D2038" t="s">
        <v>2241</v>
      </c>
      <c r="E2038" t="s">
        <v>2242</v>
      </c>
      <c r="F2038">
        <v>7609</v>
      </c>
      <c r="G2038">
        <v>2230</v>
      </c>
      <c r="H2038" s="32">
        <f t="shared" si="31"/>
        <v>3.4121076233183856</v>
      </c>
      <c r="I2038">
        <v>1</v>
      </c>
      <c r="J2038" t="s">
        <v>21</v>
      </c>
    </row>
    <row r="2039" spans="1:10" x14ac:dyDescent="0.25">
      <c r="A2039">
        <v>57723</v>
      </c>
      <c r="B2039" t="s">
        <v>3035</v>
      </c>
      <c r="C2039" t="s">
        <v>241</v>
      </c>
      <c r="D2039" t="s">
        <v>2241</v>
      </c>
      <c r="E2039" t="s">
        <v>2242</v>
      </c>
      <c r="F2039">
        <v>20401</v>
      </c>
      <c r="G2039">
        <v>5979</v>
      </c>
      <c r="H2039" s="32">
        <f t="shared" si="31"/>
        <v>3.4121090483358421</v>
      </c>
      <c r="I2039">
        <v>1</v>
      </c>
      <c r="J2039" t="s">
        <v>21</v>
      </c>
    </row>
    <row r="2040" spans="1:10" x14ac:dyDescent="0.25">
      <c r="A2040">
        <v>61334</v>
      </c>
      <c r="B2040" t="s">
        <v>3996</v>
      </c>
      <c r="C2040" t="s">
        <v>131</v>
      </c>
      <c r="D2040" t="s">
        <v>2241</v>
      </c>
      <c r="E2040" t="s">
        <v>2242</v>
      </c>
      <c r="F2040">
        <v>10482</v>
      </c>
      <c r="G2040">
        <v>3072</v>
      </c>
      <c r="H2040" s="32">
        <f t="shared" si="31"/>
        <v>3.412109375</v>
      </c>
      <c r="I2040">
        <v>1</v>
      </c>
      <c r="J2040" t="s">
        <v>21</v>
      </c>
    </row>
    <row r="2041" spans="1:10" x14ac:dyDescent="0.25">
      <c r="A2041">
        <v>63823</v>
      </c>
      <c r="B2041" t="s">
        <v>4415</v>
      </c>
      <c r="C2041" t="s">
        <v>166</v>
      </c>
      <c r="D2041" t="s">
        <v>2241</v>
      </c>
      <c r="E2041" t="s">
        <v>2242</v>
      </c>
      <c r="F2041">
        <v>13976</v>
      </c>
      <c r="G2041">
        <v>4096</v>
      </c>
      <c r="H2041" s="32">
        <f t="shared" si="31"/>
        <v>3.412109375</v>
      </c>
      <c r="I2041">
        <v>1</v>
      </c>
      <c r="J2041" t="s">
        <v>21</v>
      </c>
    </row>
    <row r="2042" spans="1:10" x14ac:dyDescent="0.25">
      <c r="A2042">
        <v>60850</v>
      </c>
      <c r="B2042" t="s">
        <v>3892</v>
      </c>
      <c r="C2042" t="s">
        <v>708</v>
      </c>
      <c r="D2042" t="s">
        <v>2241</v>
      </c>
      <c r="E2042" t="s">
        <v>2242</v>
      </c>
      <c r="F2042">
        <v>35503</v>
      </c>
      <c r="G2042">
        <v>10405</v>
      </c>
      <c r="H2042" s="32">
        <f t="shared" si="31"/>
        <v>3.4121095627102354</v>
      </c>
      <c r="I2042">
        <v>1</v>
      </c>
      <c r="J2042" t="s">
        <v>21</v>
      </c>
    </row>
    <row r="2043" spans="1:10" x14ac:dyDescent="0.25">
      <c r="A2043">
        <v>59100</v>
      </c>
      <c r="B2043" t="s">
        <v>3369</v>
      </c>
      <c r="C2043" t="s">
        <v>708</v>
      </c>
      <c r="D2043" t="s">
        <v>2241</v>
      </c>
      <c r="E2043" t="s">
        <v>2242</v>
      </c>
      <c r="F2043">
        <v>29583</v>
      </c>
      <c r="G2043">
        <v>8670</v>
      </c>
      <c r="H2043" s="32">
        <f t="shared" si="31"/>
        <v>3.4121107266435988</v>
      </c>
      <c r="I2043">
        <v>1</v>
      </c>
      <c r="J2043" t="s">
        <v>21</v>
      </c>
    </row>
    <row r="2044" spans="1:10" x14ac:dyDescent="0.25">
      <c r="A2044">
        <v>59123</v>
      </c>
      <c r="B2044" t="s">
        <v>3384</v>
      </c>
      <c r="C2044" t="s">
        <v>708</v>
      </c>
      <c r="D2044" t="s">
        <v>2241</v>
      </c>
      <c r="E2044" t="s">
        <v>2242</v>
      </c>
      <c r="F2044">
        <v>20285</v>
      </c>
      <c r="G2044">
        <v>5945</v>
      </c>
      <c r="H2044" s="32">
        <f t="shared" si="31"/>
        <v>3.4121110176619007</v>
      </c>
      <c r="I2044">
        <v>1</v>
      </c>
      <c r="J2044" t="s">
        <v>21</v>
      </c>
    </row>
    <row r="2045" spans="1:10" x14ac:dyDescent="0.25">
      <c r="A2045">
        <v>59854</v>
      </c>
      <c r="B2045" t="s">
        <v>3602</v>
      </c>
      <c r="C2045" t="s">
        <v>131</v>
      </c>
      <c r="D2045" t="s">
        <v>2241</v>
      </c>
      <c r="E2045" t="s">
        <v>2242</v>
      </c>
      <c r="F2045">
        <v>28962</v>
      </c>
      <c r="G2045">
        <v>8488</v>
      </c>
      <c r="H2045" s="32">
        <f t="shared" si="31"/>
        <v>3.4121112158341189</v>
      </c>
      <c r="I2045">
        <v>1</v>
      </c>
      <c r="J2045" t="s">
        <v>21</v>
      </c>
    </row>
    <row r="2046" spans="1:10" x14ac:dyDescent="0.25">
      <c r="A2046">
        <v>59770</v>
      </c>
      <c r="B2046" t="s">
        <v>3576</v>
      </c>
      <c r="C2046" t="s">
        <v>131</v>
      </c>
      <c r="D2046" t="s">
        <v>2241</v>
      </c>
      <c r="E2046" t="s">
        <v>2242</v>
      </c>
      <c r="F2046">
        <v>10424</v>
      </c>
      <c r="G2046">
        <v>3055</v>
      </c>
      <c r="H2046" s="32">
        <f t="shared" si="31"/>
        <v>3.4121112929623569</v>
      </c>
      <c r="I2046">
        <v>1</v>
      </c>
      <c r="J2046" t="s">
        <v>21</v>
      </c>
    </row>
    <row r="2047" spans="1:10" x14ac:dyDescent="0.25">
      <c r="A2047">
        <v>67158</v>
      </c>
      <c r="B2047" t="s">
        <v>5046</v>
      </c>
      <c r="C2047" t="s">
        <v>2029</v>
      </c>
      <c r="D2047" t="s">
        <v>2241</v>
      </c>
      <c r="E2047" t="s">
        <v>2242</v>
      </c>
      <c r="F2047">
        <v>8677</v>
      </c>
      <c r="G2047">
        <v>2543</v>
      </c>
      <c r="H2047" s="32">
        <f t="shared" si="31"/>
        <v>3.4121116791191506</v>
      </c>
      <c r="I2047">
        <v>1</v>
      </c>
      <c r="J2047" t="s">
        <v>21</v>
      </c>
    </row>
    <row r="2048" spans="1:10" x14ac:dyDescent="0.25">
      <c r="A2048">
        <v>59601</v>
      </c>
      <c r="B2048" t="s">
        <v>3534</v>
      </c>
      <c r="C2048" t="s">
        <v>241</v>
      </c>
      <c r="D2048" t="s">
        <v>2241</v>
      </c>
      <c r="E2048" t="s">
        <v>2242</v>
      </c>
      <c r="F2048">
        <v>51325</v>
      </c>
      <c r="G2048">
        <v>15042</v>
      </c>
      <c r="H2048" s="32">
        <f t="shared" si="31"/>
        <v>3.4121127509639675</v>
      </c>
      <c r="I2048">
        <v>1</v>
      </c>
      <c r="J2048" t="s">
        <v>21</v>
      </c>
    </row>
    <row r="2049" spans="1:10" x14ac:dyDescent="0.25">
      <c r="A2049">
        <v>67198</v>
      </c>
      <c r="B2049" t="s">
        <v>5057</v>
      </c>
      <c r="C2049" t="s">
        <v>166</v>
      </c>
      <c r="D2049" t="s">
        <v>2241</v>
      </c>
      <c r="E2049" t="s">
        <v>2242</v>
      </c>
      <c r="F2049">
        <v>15549</v>
      </c>
      <c r="G2049">
        <v>4557</v>
      </c>
      <c r="H2049" s="32">
        <f t="shared" si="31"/>
        <v>3.4121132323897303</v>
      </c>
      <c r="I2049">
        <v>1</v>
      </c>
      <c r="J2049" t="s">
        <v>21</v>
      </c>
    </row>
    <row r="2050" spans="1:10" x14ac:dyDescent="0.25">
      <c r="A2050">
        <v>66721</v>
      </c>
      <c r="B2050" t="s">
        <v>4951</v>
      </c>
      <c r="C2050" t="s">
        <v>708</v>
      </c>
      <c r="D2050" t="s">
        <v>2241</v>
      </c>
      <c r="E2050" t="s">
        <v>2242</v>
      </c>
      <c r="F2050">
        <v>36844</v>
      </c>
      <c r="G2050">
        <v>10798</v>
      </c>
      <c r="H2050" s="32">
        <f t="shared" ref="H2050:H2113" si="32">IF(AND(F2050&gt;0,G2050&gt;0),F2050/G2050,"")</f>
        <v>3.4121133543248749</v>
      </c>
      <c r="I2050">
        <v>1</v>
      </c>
      <c r="J2050" t="s">
        <v>21</v>
      </c>
    </row>
    <row r="2051" spans="1:10" x14ac:dyDescent="0.25">
      <c r="A2051">
        <v>69913</v>
      </c>
      <c r="B2051" t="s">
        <v>5409</v>
      </c>
      <c r="C2051" t="s">
        <v>166</v>
      </c>
      <c r="D2051" t="s">
        <v>2241</v>
      </c>
      <c r="E2051" t="s">
        <v>2242</v>
      </c>
      <c r="F2051">
        <v>13239</v>
      </c>
      <c r="G2051">
        <v>3880</v>
      </c>
      <c r="H2051" s="32">
        <f t="shared" si="32"/>
        <v>3.4121134020618555</v>
      </c>
      <c r="I2051">
        <v>1</v>
      </c>
      <c r="J2051" t="s">
        <v>21</v>
      </c>
    </row>
    <row r="2052" spans="1:10" x14ac:dyDescent="0.25">
      <c r="A2052">
        <v>62791</v>
      </c>
      <c r="B2052" t="s">
        <v>4232</v>
      </c>
      <c r="C2052" t="s">
        <v>131</v>
      </c>
      <c r="D2052" t="s">
        <v>2241</v>
      </c>
      <c r="E2052" t="s">
        <v>2242</v>
      </c>
      <c r="F2052">
        <v>37291</v>
      </c>
      <c r="G2052">
        <v>10929</v>
      </c>
      <c r="H2052" s="32">
        <f t="shared" si="32"/>
        <v>3.4121145575990486</v>
      </c>
      <c r="I2052">
        <v>1</v>
      </c>
      <c r="J2052" t="s">
        <v>21</v>
      </c>
    </row>
    <row r="2053" spans="1:10" x14ac:dyDescent="0.25">
      <c r="A2053">
        <v>60313</v>
      </c>
      <c r="B2053" t="s">
        <v>3731</v>
      </c>
      <c r="C2053" t="s">
        <v>708</v>
      </c>
      <c r="D2053" t="s">
        <v>2241</v>
      </c>
      <c r="E2053" t="s">
        <v>2242</v>
      </c>
      <c r="F2053">
        <v>32050</v>
      </c>
      <c r="G2053">
        <v>9393</v>
      </c>
      <c r="H2053" s="32">
        <f t="shared" si="32"/>
        <v>3.4121154050888958</v>
      </c>
      <c r="I2053">
        <v>1</v>
      </c>
      <c r="J2053" t="s">
        <v>21</v>
      </c>
    </row>
    <row r="2054" spans="1:10" x14ac:dyDescent="0.25">
      <c r="A2054">
        <v>59917</v>
      </c>
      <c r="B2054" t="s">
        <v>3618</v>
      </c>
      <c r="C2054" t="s">
        <v>708</v>
      </c>
      <c r="D2054" t="s">
        <v>2241</v>
      </c>
      <c r="E2054" t="s">
        <v>2242</v>
      </c>
      <c r="F2054">
        <v>25178</v>
      </c>
      <c r="G2054">
        <v>7379</v>
      </c>
      <c r="H2054" s="32">
        <f t="shared" si="32"/>
        <v>3.4121154627998376</v>
      </c>
      <c r="I2054">
        <v>1</v>
      </c>
      <c r="J2054" t="s">
        <v>21</v>
      </c>
    </row>
    <row r="2055" spans="1:10" x14ac:dyDescent="0.25">
      <c r="A2055">
        <v>63323</v>
      </c>
      <c r="B2055" t="s">
        <v>4326</v>
      </c>
      <c r="C2055" t="s">
        <v>307</v>
      </c>
      <c r="D2055" t="s">
        <v>2241</v>
      </c>
      <c r="E2055" t="s">
        <v>2242</v>
      </c>
      <c r="F2055">
        <v>7435</v>
      </c>
      <c r="G2055">
        <v>2179</v>
      </c>
      <c r="H2055" s="32">
        <f t="shared" si="32"/>
        <v>3.4121156493804499</v>
      </c>
      <c r="I2055">
        <v>1</v>
      </c>
      <c r="J2055" t="s">
        <v>21</v>
      </c>
    </row>
    <row r="2056" spans="1:10" x14ac:dyDescent="0.25">
      <c r="A2056">
        <v>58332</v>
      </c>
      <c r="B2056" t="s">
        <v>3155</v>
      </c>
      <c r="C2056" t="s">
        <v>708</v>
      </c>
      <c r="D2056" t="s">
        <v>2241</v>
      </c>
      <c r="E2056" t="s">
        <v>2242</v>
      </c>
      <c r="F2056">
        <v>26867</v>
      </c>
      <c r="G2056">
        <v>7874</v>
      </c>
      <c r="H2056" s="32">
        <f t="shared" si="32"/>
        <v>3.4121158242316483</v>
      </c>
      <c r="I2056">
        <v>1</v>
      </c>
      <c r="J2056" t="s">
        <v>21</v>
      </c>
    </row>
    <row r="2057" spans="1:10" x14ac:dyDescent="0.25">
      <c r="A2057">
        <v>62681</v>
      </c>
      <c r="B2057" t="s">
        <v>4206</v>
      </c>
      <c r="C2057" t="s">
        <v>166</v>
      </c>
      <c r="D2057" t="s">
        <v>2241</v>
      </c>
      <c r="E2057" t="s">
        <v>2242</v>
      </c>
      <c r="F2057">
        <v>9687</v>
      </c>
      <c r="G2057">
        <v>2839</v>
      </c>
      <c r="H2057" s="32">
        <f t="shared" si="32"/>
        <v>3.4121169425854174</v>
      </c>
      <c r="I2057">
        <v>1</v>
      </c>
      <c r="J2057" t="s">
        <v>21</v>
      </c>
    </row>
    <row r="2058" spans="1:10" x14ac:dyDescent="0.25">
      <c r="A2058">
        <v>60209</v>
      </c>
      <c r="B2058" t="s">
        <v>3710</v>
      </c>
      <c r="C2058" t="s">
        <v>708</v>
      </c>
      <c r="D2058" t="s">
        <v>2241</v>
      </c>
      <c r="E2058" t="s">
        <v>2242</v>
      </c>
      <c r="F2058">
        <v>12502</v>
      </c>
      <c r="G2058">
        <v>3664</v>
      </c>
      <c r="H2058" s="32">
        <f t="shared" si="32"/>
        <v>3.412117903930131</v>
      </c>
      <c r="I2058">
        <v>1</v>
      </c>
      <c r="J2058" t="s">
        <v>21</v>
      </c>
    </row>
    <row r="2059" spans="1:10" x14ac:dyDescent="0.25">
      <c r="A2059">
        <v>60691</v>
      </c>
      <c r="B2059" t="s">
        <v>3840</v>
      </c>
      <c r="C2059" t="s">
        <v>708</v>
      </c>
      <c r="D2059" t="s">
        <v>2241</v>
      </c>
      <c r="E2059" t="s">
        <v>2242</v>
      </c>
      <c r="F2059">
        <v>18132</v>
      </c>
      <c r="G2059">
        <v>5314</v>
      </c>
      <c r="H2059" s="32">
        <f t="shared" si="32"/>
        <v>3.4121189311253293</v>
      </c>
      <c r="I2059">
        <v>1</v>
      </c>
      <c r="J2059" t="s">
        <v>21</v>
      </c>
    </row>
    <row r="2060" spans="1:10" x14ac:dyDescent="0.25">
      <c r="A2060">
        <v>60635</v>
      </c>
      <c r="B2060" t="s">
        <v>3826</v>
      </c>
      <c r="C2060" t="s">
        <v>708</v>
      </c>
      <c r="D2060" t="s">
        <v>2241</v>
      </c>
      <c r="E2060" t="s">
        <v>2242</v>
      </c>
      <c r="F2060">
        <v>30576</v>
      </c>
      <c r="G2060">
        <v>8961</v>
      </c>
      <c r="H2060" s="32">
        <f t="shared" si="32"/>
        <v>3.4121191831268831</v>
      </c>
      <c r="I2060">
        <v>1</v>
      </c>
      <c r="J2060" t="s">
        <v>21</v>
      </c>
    </row>
    <row r="2061" spans="1:10" x14ac:dyDescent="0.25">
      <c r="A2061">
        <v>58358</v>
      </c>
      <c r="B2061" t="s">
        <v>3177</v>
      </c>
      <c r="C2061" t="s">
        <v>241</v>
      </c>
      <c r="D2061" t="s">
        <v>2241</v>
      </c>
      <c r="E2061" t="s">
        <v>2242</v>
      </c>
      <c r="F2061">
        <v>12949</v>
      </c>
      <c r="G2061">
        <v>3795</v>
      </c>
      <c r="H2061" s="32">
        <f t="shared" si="32"/>
        <v>3.4121212121212121</v>
      </c>
      <c r="I2061">
        <v>1</v>
      </c>
      <c r="J2061" t="s">
        <v>21</v>
      </c>
    </row>
    <row r="2062" spans="1:10" x14ac:dyDescent="0.25">
      <c r="A2062">
        <v>58843</v>
      </c>
      <c r="B2062" t="s">
        <v>3301</v>
      </c>
      <c r="C2062" t="s">
        <v>708</v>
      </c>
      <c r="D2062" t="s">
        <v>2241</v>
      </c>
      <c r="E2062" t="s">
        <v>2242</v>
      </c>
      <c r="F2062">
        <v>21394</v>
      </c>
      <c r="G2062">
        <v>6270</v>
      </c>
      <c r="H2062" s="32">
        <f t="shared" si="32"/>
        <v>3.4121212121212121</v>
      </c>
      <c r="I2062">
        <v>1</v>
      </c>
      <c r="J2062" t="s">
        <v>21</v>
      </c>
    </row>
    <row r="2063" spans="1:10" x14ac:dyDescent="0.25">
      <c r="A2063">
        <v>62120</v>
      </c>
      <c r="B2063" t="s">
        <v>4113</v>
      </c>
      <c r="C2063" t="s">
        <v>708</v>
      </c>
      <c r="D2063" t="s">
        <v>2241</v>
      </c>
      <c r="E2063" t="s">
        <v>2242</v>
      </c>
      <c r="F2063">
        <v>9571</v>
      </c>
      <c r="G2063">
        <v>2805</v>
      </c>
      <c r="H2063" s="32">
        <f t="shared" si="32"/>
        <v>3.4121212121212121</v>
      </c>
      <c r="I2063">
        <v>1</v>
      </c>
      <c r="J2063" t="s">
        <v>21</v>
      </c>
    </row>
    <row r="2064" spans="1:10" x14ac:dyDescent="0.25">
      <c r="A2064">
        <v>65554</v>
      </c>
      <c r="B2064" t="s">
        <v>4771</v>
      </c>
      <c r="C2064" t="s">
        <v>708</v>
      </c>
      <c r="D2064" t="s">
        <v>2241</v>
      </c>
      <c r="E2064" t="s">
        <v>2242</v>
      </c>
      <c r="F2064">
        <v>25898</v>
      </c>
      <c r="G2064">
        <v>7590</v>
      </c>
      <c r="H2064" s="32">
        <f t="shared" si="32"/>
        <v>3.4121212121212121</v>
      </c>
      <c r="I2064">
        <v>1</v>
      </c>
      <c r="J2064" t="s">
        <v>21</v>
      </c>
    </row>
    <row r="2065" spans="1:10" x14ac:dyDescent="0.25">
      <c r="A2065">
        <v>67671</v>
      </c>
      <c r="B2065" t="s">
        <v>5135</v>
      </c>
      <c r="C2065" t="s">
        <v>307</v>
      </c>
      <c r="D2065" t="s">
        <v>2241</v>
      </c>
      <c r="E2065" t="s">
        <v>2242</v>
      </c>
      <c r="F2065">
        <v>2815</v>
      </c>
      <c r="G2065">
        <v>825</v>
      </c>
      <c r="H2065" s="32">
        <f t="shared" si="32"/>
        <v>3.4121212121212121</v>
      </c>
      <c r="I2065">
        <v>1</v>
      </c>
      <c r="J2065" t="s">
        <v>21</v>
      </c>
    </row>
    <row r="2066" spans="1:10" x14ac:dyDescent="0.25">
      <c r="A2066">
        <v>59934</v>
      </c>
      <c r="B2066" t="s">
        <v>3625</v>
      </c>
      <c r="C2066" t="s">
        <v>708</v>
      </c>
      <c r="D2066" t="s">
        <v>2241</v>
      </c>
      <c r="E2066" t="s">
        <v>2242</v>
      </c>
      <c r="F2066">
        <v>17958</v>
      </c>
      <c r="G2066">
        <v>5263</v>
      </c>
      <c r="H2066" s="32">
        <f t="shared" si="32"/>
        <v>3.4121223636709099</v>
      </c>
      <c r="I2066">
        <v>1</v>
      </c>
      <c r="J2066" t="s">
        <v>21</v>
      </c>
    </row>
    <row r="2067" spans="1:10" x14ac:dyDescent="0.25">
      <c r="A2067">
        <v>62095</v>
      </c>
      <c r="B2067" t="s">
        <v>4107</v>
      </c>
      <c r="C2067" t="s">
        <v>708</v>
      </c>
      <c r="D2067" t="s">
        <v>2241</v>
      </c>
      <c r="E2067" t="s">
        <v>2242</v>
      </c>
      <c r="F2067">
        <v>31917</v>
      </c>
      <c r="G2067">
        <v>9354</v>
      </c>
      <c r="H2067" s="32">
        <f t="shared" si="32"/>
        <v>3.4121231558691467</v>
      </c>
      <c r="I2067">
        <v>1</v>
      </c>
      <c r="J2067" t="s">
        <v>21</v>
      </c>
    </row>
    <row r="2068" spans="1:10" x14ac:dyDescent="0.25">
      <c r="A2068">
        <v>60929</v>
      </c>
      <c r="B2068" t="s">
        <v>3907</v>
      </c>
      <c r="C2068" t="s">
        <v>708</v>
      </c>
      <c r="D2068" t="s">
        <v>2241</v>
      </c>
      <c r="E2068" t="s">
        <v>2242</v>
      </c>
      <c r="F2068">
        <v>29665</v>
      </c>
      <c r="G2068">
        <v>8694</v>
      </c>
      <c r="H2068" s="32">
        <f t="shared" si="32"/>
        <v>3.4121233034276512</v>
      </c>
      <c r="I2068">
        <v>1</v>
      </c>
      <c r="J2068" t="s">
        <v>21</v>
      </c>
    </row>
    <row r="2069" spans="1:10" x14ac:dyDescent="0.25">
      <c r="A2069">
        <v>62041</v>
      </c>
      <c r="B2069" t="s">
        <v>4102</v>
      </c>
      <c r="C2069" t="s">
        <v>322</v>
      </c>
      <c r="D2069" t="s">
        <v>2241</v>
      </c>
      <c r="E2069" t="s">
        <v>2242</v>
      </c>
      <c r="F2069">
        <v>15648</v>
      </c>
      <c r="G2069">
        <v>4586</v>
      </c>
      <c r="H2069" s="32">
        <f t="shared" si="32"/>
        <v>3.4121238552115134</v>
      </c>
      <c r="I2069">
        <v>1</v>
      </c>
      <c r="J2069" t="s">
        <v>21</v>
      </c>
    </row>
    <row r="2070" spans="1:10" x14ac:dyDescent="0.25">
      <c r="A2070">
        <v>68780</v>
      </c>
      <c r="B2070" t="s">
        <v>5263</v>
      </c>
      <c r="C2070" t="s">
        <v>307</v>
      </c>
      <c r="D2070" t="s">
        <v>2241</v>
      </c>
      <c r="E2070" t="s">
        <v>2242</v>
      </c>
      <c r="F2070">
        <v>7824</v>
      </c>
      <c r="G2070">
        <v>2293</v>
      </c>
      <c r="H2070" s="32">
        <f t="shared" si="32"/>
        <v>3.4121238552115134</v>
      </c>
      <c r="I2070">
        <v>1</v>
      </c>
      <c r="J2070" t="s">
        <v>21</v>
      </c>
    </row>
    <row r="2071" spans="1:10" x14ac:dyDescent="0.25">
      <c r="A2071">
        <v>63520</v>
      </c>
      <c r="B2071" t="s">
        <v>4366</v>
      </c>
      <c r="C2071" t="s">
        <v>143</v>
      </c>
      <c r="D2071" t="s">
        <v>2241</v>
      </c>
      <c r="E2071" t="s">
        <v>2242</v>
      </c>
      <c r="F2071">
        <v>49138</v>
      </c>
      <c r="G2071">
        <v>14401</v>
      </c>
      <c r="H2071" s="32">
        <f t="shared" si="32"/>
        <v>3.41212415804458</v>
      </c>
      <c r="I2071">
        <v>1</v>
      </c>
      <c r="J2071" t="s">
        <v>21</v>
      </c>
    </row>
    <row r="2072" spans="1:10" x14ac:dyDescent="0.25">
      <c r="A2072">
        <v>60982</v>
      </c>
      <c r="B2072" t="s">
        <v>3915</v>
      </c>
      <c r="C2072" t="s">
        <v>708</v>
      </c>
      <c r="D2072" t="s">
        <v>2241</v>
      </c>
      <c r="E2072" t="s">
        <v>2242</v>
      </c>
      <c r="F2072">
        <v>30112</v>
      </c>
      <c r="G2072">
        <v>8825</v>
      </c>
      <c r="H2072" s="32">
        <f t="shared" si="32"/>
        <v>3.4121246458923511</v>
      </c>
      <c r="I2072">
        <v>1</v>
      </c>
      <c r="J2072" t="s">
        <v>21</v>
      </c>
    </row>
    <row r="2073" spans="1:10" x14ac:dyDescent="0.25">
      <c r="A2073">
        <v>64121</v>
      </c>
      <c r="B2073" t="s">
        <v>4492</v>
      </c>
      <c r="C2073" t="s">
        <v>708</v>
      </c>
      <c r="D2073" t="s">
        <v>2241</v>
      </c>
      <c r="E2073" t="s">
        <v>2242</v>
      </c>
      <c r="F2073">
        <v>28423</v>
      </c>
      <c r="G2073">
        <v>8330</v>
      </c>
      <c r="H2073" s="32">
        <f t="shared" si="32"/>
        <v>3.4121248499399761</v>
      </c>
      <c r="I2073">
        <v>1</v>
      </c>
      <c r="J2073" t="s">
        <v>21</v>
      </c>
    </row>
    <row r="2074" spans="1:10" x14ac:dyDescent="0.25">
      <c r="A2074">
        <v>60208</v>
      </c>
      <c r="B2074" t="s">
        <v>3709</v>
      </c>
      <c r="C2074" t="s">
        <v>708</v>
      </c>
      <c r="D2074" t="s">
        <v>2241</v>
      </c>
      <c r="E2074" t="s">
        <v>2242</v>
      </c>
      <c r="F2074">
        <v>27860</v>
      </c>
      <c r="G2074">
        <v>8165</v>
      </c>
      <c r="H2074" s="32">
        <f t="shared" si="32"/>
        <v>3.4121249234537663</v>
      </c>
      <c r="I2074">
        <v>1</v>
      </c>
      <c r="J2074" t="s">
        <v>21</v>
      </c>
    </row>
    <row r="2075" spans="1:10" x14ac:dyDescent="0.25">
      <c r="A2075">
        <v>60734</v>
      </c>
      <c r="B2075" t="s">
        <v>3849</v>
      </c>
      <c r="C2075" t="s">
        <v>241</v>
      </c>
      <c r="D2075" t="s">
        <v>2241</v>
      </c>
      <c r="E2075" t="s">
        <v>2242</v>
      </c>
      <c r="F2075">
        <v>30617</v>
      </c>
      <c r="G2075">
        <v>8973</v>
      </c>
      <c r="H2075" s="32">
        <f t="shared" si="32"/>
        <v>3.4121252646829379</v>
      </c>
      <c r="I2075">
        <v>1</v>
      </c>
      <c r="J2075" t="s">
        <v>21</v>
      </c>
    </row>
    <row r="2076" spans="1:10" x14ac:dyDescent="0.25">
      <c r="A2076">
        <v>60766</v>
      </c>
      <c r="B2076" t="s">
        <v>3864</v>
      </c>
      <c r="C2076" t="s">
        <v>241</v>
      </c>
      <c r="D2076" t="s">
        <v>2241</v>
      </c>
      <c r="E2076" t="s">
        <v>2242</v>
      </c>
      <c r="F2076">
        <v>8892</v>
      </c>
      <c r="G2076">
        <v>2606</v>
      </c>
      <c r="H2076" s="32">
        <f t="shared" si="32"/>
        <v>3.4121258633921721</v>
      </c>
      <c r="I2076">
        <v>1</v>
      </c>
      <c r="J2076" t="s">
        <v>21</v>
      </c>
    </row>
    <row r="2077" spans="1:10" x14ac:dyDescent="0.25">
      <c r="A2077">
        <v>66107</v>
      </c>
      <c r="B2077" t="s">
        <v>4853</v>
      </c>
      <c r="C2077" t="s">
        <v>250</v>
      </c>
      <c r="D2077" t="s">
        <v>2241</v>
      </c>
      <c r="E2077" t="s">
        <v>2242</v>
      </c>
      <c r="F2077">
        <v>4446</v>
      </c>
      <c r="G2077">
        <v>1303</v>
      </c>
      <c r="H2077" s="32">
        <f t="shared" si="32"/>
        <v>3.4121258633921721</v>
      </c>
      <c r="I2077">
        <v>1</v>
      </c>
      <c r="J2077" t="s">
        <v>21</v>
      </c>
    </row>
    <row r="2078" spans="1:10" x14ac:dyDescent="0.25">
      <c r="A2078">
        <v>63332</v>
      </c>
      <c r="B2078" t="s">
        <v>4328</v>
      </c>
      <c r="C2078" t="s">
        <v>708</v>
      </c>
      <c r="D2078" t="s">
        <v>2241</v>
      </c>
      <c r="E2078" t="s">
        <v>2242</v>
      </c>
      <c r="F2078">
        <v>16658</v>
      </c>
      <c r="G2078">
        <v>4882</v>
      </c>
      <c r="H2078" s="32">
        <f t="shared" si="32"/>
        <v>3.4121261777959853</v>
      </c>
      <c r="I2078">
        <v>1</v>
      </c>
      <c r="J2078" t="s">
        <v>21</v>
      </c>
    </row>
    <row r="2079" spans="1:10" x14ac:dyDescent="0.25">
      <c r="A2079">
        <v>64273</v>
      </c>
      <c r="B2079" t="s">
        <v>4535</v>
      </c>
      <c r="C2079" t="s">
        <v>708</v>
      </c>
      <c r="D2079" t="s">
        <v>2241</v>
      </c>
      <c r="E2079" t="s">
        <v>2242</v>
      </c>
      <c r="F2079">
        <v>19978</v>
      </c>
      <c r="G2079">
        <v>5855</v>
      </c>
      <c r="H2079" s="32">
        <f t="shared" si="32"/>
        <v>3.4121263877028181</v>
      </c>
      <c r="I2079">
        <v>1</v>
      </c>
      <c r="J2079" t="s">
        <v>21</v>
      </c>
    </row>
    <row r="2080" spans="1:10" x14ac:dyDescent="0.25">
      <c r="A2080">
        <v>66376</v>
      </c>
      <c r="B2080" t="s">
        <v>4893</v>
      </c>
      <c r="C2080" t="s">
        <v>708</v>
      </c>
      <c r="D2080" t="s">
        <v>2241</v>
      </c>
      <c r="E2080" t="s">
        <v>2242</v>
      </c>
      <c r="F2080">
        <v>21609</v>
      </c>
      <c r="G2080">
        <v>6333</v>
      </c>
      <c r="H2080" s="32">
        <f t="shared" si="32"/>
        <v>3.4121269540502133</v>
      </c>
      <c r="I2080">
        <v>1</v>
      </c>
      <c r="J2080" t="s">
        <v>21</v>
      </c>
    </row>
    <row r="2081" spans="1:10" x14ac:dyDescent="0.25">
      <c r="A2081">
        <v>65068</v>
      </c>
      <c r="B2081" t="s">
        <v>4675</v>
      </c>
      <c r="C2081" t="s">
        <v>131</v>
      </c>
      <c r="D2081" t="s">
        <v>2241</v>
      </c>
      <c r="E2081" t="s">
        <v>2242</v>
      </c>
      <c r="F2081">
        <v>6640</v>
      </c>
      <c r="G2081">
        <v>1946</v>
      </c>
      <c r="H2081" s="32">
        <f t="shared" si="32"/>
        <v>3.4121274409044191</v>
      </c>
      <c r="I2081">
        <v>1</v>
      </c>
      <c r="J2081" t="s">
        <v>21</v>
      </c>
    </row>
    <row r="2082" spans="1:10" x14ac:dyDescent="0.25">
      <c r="A2082">
        <v>67007</v>
      </c>
      <c r="B2082" t="s">
        <v>5004</v>
      </c>
      <c r="C2082" t="s">
        <v>143</v>
      </c>
      <c r="D2082" t="s">
        <v>2241</v>
      </c>
      <c r="E2082" t="s">
        <v>2242</v>
      </c>
      <c r="F2082">
        <v>27628</v>
      </c>
      <c r="G2082">
        <v>8097</v>
      </c>
      <c r="H2082" s="32">
        <f t="shared" si="32"/>
        <v>3.4121279486229468</v>
      </c>
      <c r="I2082">
        <v>1</v>
      </c>
      <c r="J2082" t="s">
        <v>21</v>
      </c>
    </row>
    <row r="2083" spans="1:10" x14ac:dyDescent="0.25">
      <c r="A2083">
        <v>62637</v>
      </c>
      <c r="B2083" t="s">
        <v>4191</v>
      </c>
      <c r="C2083" t="s">
        <v>241</v>
      </c>
      <c r="D2083" t="s">
        <v>2241</v>
      </c>
      <c r="E2083" t="s">
        <v>2242</v>
      </c>
      <c r="F2083">
        <v>35336</v>
      </c>
      <c r="G2083">
        <v>10356</v>
      </c>
      <c r="H2083" s="32">
        <f t="shared" si="32"/>
        <v>3.4121282348397064</v>
      </c>
      <c r="I2083">
        <v>1</v>
      </c>
      <c r="J2083" t="s">
        <v>21</v>
      </c>
    </row>
    <row r="2084" spans="1:10" x14ac:dyDescent="0.25">
      <c r="A2084">
        <v>67642</v>
      </c>
      <c r="B2084" t="s">
        <v>5131</v>
      </c>
      <c r="C2084" t="s">
        <v>166</v>
      </c>
      <c r="D2084" t="s">
        <v>2241</v>
      </c>
      <c r="E2084" t="s">
        <v>2242</v>
      </c>
      <c r="F2084">
        <v>26502</v>
      </c>
      <c r="G2084">
        <v>7767</v>
      </c>
      <c r="H2084" s="32">
        <f t="shared" si="32"/>
        <v>3.4121282348397064</v>
      </c>
      <c r="I2084">
        <v>1</v>
      </c>
      <c r="J2084" t="s">
        <v>21</v>
      </c>
    </row>
    <row r="2085" spans="1:10" x14ac:dyDescent="0.25">
      <c r="A2085">
        <v>62600</v>
      </c>
      <c r="B2085" t="s">
        <v>4178</v>
      </c>
      <c r="C2085" t="s">
        <v>708</v>
      </c>
      <c r="D2085" t="s">
        <v>2241</v>
      </c>
      <c r="E2085" t="s">
        <v>2242</v>
      </c>
      <c r="F2085">
        <v>33589</v>
      </c>
      <c r="G2085">
        <v>9844</v>
      </c>
      <c r="H2085" s="32">
        <f t="shared" si="32"/>
        <v>3.4121292157659489</v>
      </c>
      <c r="I2085">
        <v>1</v>
      </c>
      <c r="J2085" t="s">
        <v>21</v>
      </c>
    </row>
    <row r="2086" spans="1:10" x14ac:dyDescent="0.25">
      <c r="A2086">
        <v>59377</v>
      </c>
      <c r="B2086" t="s">
        <v>3445</v>
      </c>
      <c r="C2086" t="s">
        <v>708</v>
      </c>
      <c r="D2086" t="s">
        <v>2241</v>
      </c>
      <c r="E2086" t="s">
        <v>2242</v>
      </c>
      <c r="F2086">
        <v>7708</v>
      </c>
      <c r="G2086">
        <v>2259</v>
      </c>
      <c r="H2086" s="32">
        <f t="shared" si="32"/>
        <v>3.4121292607348384</v>
      </c>
      <c r="I2086">
        <v>1</v>
      </c>
      <c r="J2086" t="s">
        <v>21</v>
      </c>
    </row>
    <row r="2087" spans="1:10" x14ac:dyDescent="0.25">
      <c r="A2087">
        <v>58867</v>
      </c>
      <c r="B2087" t="s">
        <v>3320</v>
      </c>
      <c r="C2087" t="s">
        <v>708</v>
      </c>
      <c r="D2087" t="s">
        <v>2241</v>
      </c>
      <c r="E2087" t="s">
        <v>2242</v>
      </c>
      <c r="F2087">
        <v>24755</v>
      </c>
      <c r="G2087">
        <v>7255</v>
      </c>
      <c r="H2087" s="32">
        <f t="shared" si="32"/>
        <v>3.4121295658166781</v>
      </c>
      <c r="I2087">
        <v>1</v>
      </c>
      <c r="J2087" t="s">
        <v>21</v>
      </c>
    </row>
    <row r="2088" spans="1:10" x14ac:dyDescent="0.25">
      <c r="A2088">
        <v>64787</v>
      </c>
      <c r="B2088" t="s">
        <v>4644</v>
      </c>
      <c r="C2088" t="s">
        <v>166</v>
      </c>
      <c r="D2088" t="s">
        <v>2241</v>
      </c>
      <c r="E2088" t="s">
        <v>2242</v>
      </c>
      <c r="F2088">
        <v>13727</v>
      </c>
      <c r="G2088">
        <v>4023</v>
      </c>
      <c r="H2088" s="32">
        <f t="shared" si="32"/>
        <v>3.4121302510564258</v>
      </c>
      <c r="I2088">
        <v>1</v>
      </c>
      <c r="J2088" t="s">
        <v>21</v>
      </c>
    </row>
    <row r="2089" spans="1:10" x14ac:dyDescent="0.25">
      <c r="A2089">
        <v>67029</v>
      </c>
      <c r="B2089" t="s">
        <v>5008</v>
      </c>
      <c r="C2089" t="s">
        <v>708</v>
      </c>
      <c r="D2089" t="s">
        <v>2241</v>
      </c>
      <c r="E2089" t="s">
        <v>2242</v>
      </c>
      <c r="F2089">
        <v>31784</v>
      </c>
      <c r="G2089">
        <v>9315</v>
      </c>
      <c r="H2089" s="32">
        <f t="shared" si="32"/>
        <v>3.4121309715512615</v>
      </c>
      <c r="I2089">
        <v>1</v>
      </c>
      <c r="J2089" t="s">
        <v>21</v>
      </c>
    </row>
    <row r="2090" spans="1:10" x14ac:dyDescent="0.25">
      <c r="A2090">
        <v>60179</v>
      </c>
      <c r="B2090" t="s">
        <v>3698</v>
      </c>
      <c r="C2090" t="s">
        <v>708</v>
      </c>
      <c r="D2090" t="s">
        <v>2241</v>
      </c>
      <c r="E2090" t="s">
        <v>2242</v>
      </c>
      <c r="F2090">
        <v>32231</v>
      </c>
      <c r="G2090">
        <v>9446</v>
      </c>
      <c r="H2090" s="32">
        <f t="shared" si="32"/>
        <v>3.4121321194156256</v>
      </c>
      <c r="I2090">
        <v>1</v>
      </c>
      <c r="J2090" t="s">
        <v>21</v>
      </c>
    </row>
    <row r="2091" spans="1:10" x14ac:dyDescent="0.25">
      <c r="A2091">
        <v>65127</v>
      </c>
      <c r="B2091" t="s">
        <v>4690</v>
      </c>
      <c r="C2091" t="s">
        <v>166</v>
      </c>
      <c r="D2091" t="s">
        <v>2241</v>
      </c>
      <c r="E2091" t="s">
        <v>2242</v>
      </c>
      <c r="F2091">
        <v>20193</v>
      </c>
      <c r="G2091">
        <v>5918</v>
      </c>
      <c r="H2091" s="32">
        <f t="shared" si="32"/>
        <v>3.4121324771882393</v>
      </c>
      <c r="I2091">
        <v>1</v>
      </c>
      <c r="J2091" t="s">
        <v>21</v>
      </c>
    </row>
    <row r="2092" spans="1:10" x14ac:dyDescent="0.25">
      <c r="A2092">
        <v>67087</v>
      </c>
      <c r="B2092" t="s">
        <v>5025</v>
      </c>
      <c r="C2092" t="s">
        <v>241</v>
      </c>
      <c r="D2092" t="s">
        <v>2241</v>
      </c>
      <c r="E2092" t="s">
        <v>2242</v>
      </c>
      <c r="F2092">
        <v>14679</v>
      </c>
      <c r="G2092">
        <v>4302</v>
      </c>
      <c r="H2092" s="32">
        <f t="shared" si="32"/>
        <v>3.4121338912133892</v>
      </c>
      <c r="I2092">
        <v>1</v>
      </c>
      <c r="J2092" t="s">
        <v>21</v>
      </c>
    </row>
    <row r="2093" spans="1:10" x14ac:dyDescent="0.25">
      <c r="A2093">
        <v>67933</v>
      </c>
      <c r="B2093" t="s">
        <v>5194</v>
      </c>
      <c r="C2093" t="s">
        <v>201</v>
      </c>
      <c r="D2093" t="s">
        <v>2241</v>
      </c>
      <c r="E2093" t="s">
        <v>2242</v>
      </c>
      <c r="F2093">
        <v>20640</v>
      </c>
      <c r="G2093">
        <v>6049</v>
      </c>
      <c r="H2093" s="32">
        <f t="shared" si="32"/>
        <v>3.4121342370639773</v>
      </c>
      <c r="I2093">
        <v>1</v>
      </c>
      <c r="J2093" t="s">
        <v>21</v>
      </c>
    </row>
    <row r="2094" spans="1:10" x14ac:dyDescent="0.25">
      <c r="A2094">
        <v>67121</v>
      </c>
      <c r="B2094" t="s">
        <v>5035</v>
      </c>
      <c r="C2094" t="s">
        <v>241</v>
      </c>
      <c r="D2094" t="s">
        <v>2241</v>
      </c>
      <c r="E2094" t="s">
        <v>2242</v>
      </c>
      <c r="F2094">
        <v>15689</v>
      </c>
      <c r="G2094">
        <v>4598</v>
      </c>
      <c r="H2094" s="32">
        <f t="shared" si="32"/>
        <v>3.4121357111787733</v>
      </c>
      <c r="I2094">
        <v>1</v>
      </c>
      <c r="J2094" t="s">
        <v>21</v>
      </c>
    </row>
    <row r="2095" spans="1:10" x14ac:dyDescent="0.25">
      <c r="A2095">
        <v>65985</v>
      </c>
      <c r="B2095" t="s">
        <v>4826</v>
      </c>
      <c r="C2095" t="s">
        <v>322</v>
      </c>
      <c r="D2095" t="s">
        <v>2241</v>
      </c>
      <c r="E2095" t="s">
        <v>2242</v>
      </c>
      <c r="F2095">
        <v>15068</v>
      </c>
      <c r="G2095">
        <v>4416</v>
      </c>
      <c r="H2095" s="32">
        <f t="shared" si="32"/>
        <v>3.4121376811594204</v>
      </c>
      <c r="I2095">
        <v>1</v>
      </c>
      <c r="J2095" t="s">
        <v>21</v>
      </c>
    </row>
    <row r="2096" spans="1:10" x14ac:dyDescent="0.25">
      <c r="A2096">
        <v>69315</v>
      </c>
      <c r="B2096" t="s">
        <v>5350</v>
      </c>
      <c r="C2096" t="s">
        <v>166</v>
      </c>
      <c r="D2096" t="s">
        <v>2241</v>
      </c>
      <c r="E2096" t="s">
        <v>2242</v>
      </c>
      <c r="F2096">
        <v>3767</v>
      </c>
      <c r="G2096">
        <v>1104</v>
      </c>
      <c r="H2096" s="32">
        <f t="shared" si="32"/>
        <v>3.4121376811594204</v>
      </c>
      <c r="I2096">
        <v>1</v>
      </c>
      <c r="J2096" t="s">
        <v>21</v>
      </c>
    </row>
    <row r="2097" spans="1:10" x14ac:dyDescent="0.25">
      <c r="A2097">
        <v>68114</v>
      </c>
      <c r="B2097" t="s">
        <v>5212</v>
      </c>
      <c r="C2097" t="s">
        <v>2029</v>
      </c>
      <c r="D2097" t="s">
        <v>2241</v>
      </c>
      <c r="E2097" t="s">
        <v>2242</v>
      </c>
      <c r="F2097">
        <v>13437</v>
      </c>
      <c r="G2097">
        <v>3938</v>
      </c>
      <c r="H2097" s="32">
        <f t="shared" si="32"/>
        <v>3.4121381411884206</v>
      </c>
      <c r="I2097">
        <v>1</v>
      </c>
      <c r="J2097" t="s">
        <v>21</v>
      </c>
    </row>
    <row r="2098" spans="1:10" x14ac:dyDescent="0.25">
      <c r="A2098">
        <v>70281</v>
      </c>
      <c r="B2098" t="s">
        <v>5443</v>
      </c>
      <c r="C2098" t="s">
        <v>166</v>
      </c>
      <c r="D2098" t="s">
        <v>2241</v>
      </c>
      <c r="E2098" t="s">
        <v>2242</v>
      </c>
      <c r="F2098">
        <v>13437</v>
      </c>
      <c r="G2098">
        <v>3938</v>
      </c>
      <c r="H2098" s="32">
        <f t="shared" si="32"/>
        <v>3.4121381411884206</v>
      </c>
      <c r="I2098">
        <v>1</v>
      </c>
      <c r="J2098" t="s">
        <v>21</v>
      </c>
    </row>
    <row r="2099" spans="1:10" x14ac:dyDescent="0.25">
      <c r="A2099">
        <v>57758</v>
      </c>
      <c r="B2099" t="s">
        <v>3048</v>
      </c>
      <c r="C2099" t="s">
        <v>307</v>
      </c>
      <c r="D2099" t="s">
        <v>2241</v>
      </c>
      <c r="E2099" t="s">
        <v>2242</v>
      </c>
      <c r="F2099">
        <v>55884</v>
      </c>
      <c r="G2099">
        <v>16378</v>
      </c>
      <c r="H2099" s="32">
        <f t="shared" si="32"/>
        <v>3.412138234216632</v>
      </c>
      <c r="I2099">
        <v>1</v>
      </c>
      <c r="J2099" t="s">
        <v>21</v>
      </c>
    </row>
    <row r="2100" spans="1:10" x14ac:dyDescent="0.25">
      <c r="A2100">
        <v>67486</v>
      </c>
      <c r="B2100" t="s">
        <v>5105</v>
      </c>
      <c r="C2100" t="s">
        <v>307</v>
      </c>
      <c r="D2100" t="s">
        <v>2241</v>
      </c>
      <c r="E2100" t="s">
        <v>2242</v>
      </c>
      <c r="F2100">
        <v>10738</v>
      </c>
      <c r="G2100">
        <v>3147</v>
      </c>
      <c r="H2100" s="32">
        <f t="shared" si="32"/>
        <v>3.4121385446456944</v>
      </c>
      <c r="I2100">
        <v>1</v>
      </c>
      <c r="J2100" t="s">
        <v>21</v>
      </c>
    </row>
    <row r="2101" spans="1:10" x14ac:dyDescent="0.25">
      <c r="A2101">
        <v>62780</v>
      </c>
      <c r="B2101" t="s">
        <v>4229</v>
      </c>
      <c r="C2101" t="s">
        <v>201</v>
      </c>
      <c r="D2101" t="s">
        <v>2241</v>
      </c>
      <c r="E2101" t="s">
        <v>2242</v>
      </c>
      <c r="F2101">
        <v>9612</v>
      </c>
      <c r="G2101">
        <v>2817</v>
      </c>
      <c r="H2101" s="32">
        <f t="shared" si="32"/>
        <v>3.4121405750798721</v>
      </c>
      <c r="I2101">
        <v>1</v>
      </c>
      <c r="J2101" t="s">
        <v>21</v>
      </c>
    </row>
    <row r="2102" spans="1:10" x14ac:dyDescent="0.25">
      <c r="A2102">
        <v>67082</v>
      </c>
      <c r="B2102" t="s">
        <v>5022</v>
      </c>
      <c r="C2102" t="s">
        <v>266</v>
      </c>
      <c r="D2102" t="s">
        <v>2241</v>
      </c>
      <c r="E2102" t="s">
        <v>2242</v>
      </c>
      <c r="F2102">
        <v>18156</v>
      </c>
      <c r="G2102">
        <v>5321</v>
      </c>
      <c r="H2102" s="32">
        <f t="shared" si="32"/>
        <v>3.4121405750798721</v>
      </c>
      <c r="I2102">
        <v>1</v>
      </c>
      <c r="J2102" t="s">
        <v>21</v>
      </c>
    </row>
    <row r="2103" spans="1:10" x14ac:dyDescent="0.25">
      <c r="A2103">
        <v>68857</v>
      </c>
      <c r="B2103" t="s">
        <v>5265</v>
      </c>
      <c r="C2103" t="s">
        <v>166</v>
      </c>
      <c r="D2103" t="s">
        <v>2241</v>
      </c>
      <c r="E2103" t="s">
        <v>2242</v>
      </c>
      <c r="F2103">
        <v>1068</v>
      </c>
      <c r="G2103">
        <v>313</v>
      </c>
      <c r="H2103" s="32">
        <f t="shared" si="32"/>
        <v>3.4121405750798721</v>
      </c>
      <c r="I2103">
        <v>1</v>
      </c>
      <c r="J2103" t="s">
        <v>21</v>
      </c>
    </row>
    <row r="2104" spans="1:10" x14ac:dyDescent="0.25">
      <c r="A2104">
        <v>63618</v>
      </c>
      <c r="B2104" t="s">
        <v>4377</v>
      </c>
      <c r="C2104" t="s">
        <v>166</v>
      </c>
      <c r="D2104" t="s">
        <v>2241</v>
      </c>
      <c r="E2104" t="s">
        <v>2242</v>
      </c>
      <c r="F2104">
        <v>15457</v>
      </c>
      <c r="G2104">
        <v>4530</v>
      </c>
      <c r="H2104" s="32">
        <f t="shared" si="32"/>
        <v>3.4121412803532007</v>
      </c>
      <c r="I2104">
        <v>1</v>
      </c>
      <c r="J2104" t="s">
        <v>21</v>
      </c>
    </row>
    <row r="2105" spans="1:10" x14ac:dyDescent="0.25">
      <c r="A2105">
        <v>68952</v>
      </c>
      <c r="B2105" t="s">
        <v>5281</v>
      </c>
      <c r="C2105" t="s">
        <v>166</v>
      </c>
      <c r="D2105" t="s">
        <v>2241</v>
      </c>
      <c r="E2105" t="s">
        <v>2242</v>
      </c>
      <c r="F2105">
        <v>10117</v>
      </c>
      <c r="G2105">
        <v>2965</v>
      </c>
      <c r="H2105" s="32">
        <f t="shared" si="32"/>
        <v>3.412141652613828</v>
      </c>
      <c r="I2105">
        <v>1</v>
      </c>
      <c r="J2105" t="s">
        <v>21</v>
      </c>
    </row>
    <row r="2106" spans="1:10" x14ac:dyDescent="0.25">
      <c r="A2106">
        <v>57815</v>
      </c>
      <c r="B2106" t="s">
        <v>3058</v>
      </c>
      <c r="C2106" t="s">
        <v>241</v>
      </c>
      <c r="D2106" t="s">
        <v>2241</v>
      </c>
      <c r="E2106" t="s">
        <v>2242</v>
      </c>
      <c r="F2106">
        <v>9049</v>
      </c>
      <c r="G2106">
        <v>2652</v>
      </c>
      <c r="H2106" s="32">
        <f t="shared" si="32"/>
        <v>3.4121417797888385</v>
      </c>
      <c r="I2106">
        <v>1</v>
      </c>
      <c r="J2106" t="s">
        <v>21</v>
      </c>
    </row>
    <row r="2107" spans="1:10" x14ac:dyDescent="0.25">
      <c r="A2107">
        <v>59170</v>
      </c>
      <c r="B2107" t="s">
        <v>3404</v>
      </c>
      <c r="C2107" t="s">
        <v>708</v>
      </c>
      <c r="D2107" t="s">
        <v>2241</v>
      </c>
      <c r="E2107" t="s">
        <v>2242</v>
      </c>
      <c r="F2107">
        <v>31924</v>
      </c>
      <c r="G2107">
        <v>9356</v>
      </c>
      <c r="H2107" s="32">
        <f t="shared" si="32"/>
        <v>3.4121419410004274</v>
      </c>
      <c r="I2107">
        <v>1</v>
      </c>
      <c r="J2107" t="s">
        <v>21</v>
      </c>
    </row>
    <row r="2108" spans="1:10" x14ac:dyDescent="0.25">
      <c r="A2108">
        <v>70266</v>
      </c>
      <c r="B2108" t="s">
        <v>5437</v>
      </c>
      <c r="C2108" t="s">
        <v>166</v>
      </c>
      <c r="D2108" t="s">
        <v>2241</v>
      </c>
      <c r="E2108" t="s">
        <v>2242</v>
      </c>
      <c r="F2108">
        <v>7981</v>
      </c>
      <c r="G2108">
        <v>2339</v>
      </c>
      <c r="H2108" s="32">
        <f t="shared" si="32"/>
        <v>3.4121419410004274</v>
      </c>
      <c r="I2108">
        <v>1</v>
      </c>
      <c r="J2108" t="s">
        <v>21</v>
      </c>
    </row>
    <row r="2109" spans="1:10" x14ac:dyDescent="0.25">
      <c r="A2109">
        <v>67100</v>
      </c>
      <c r="B2109" t="s">
        <v>5026</v>
      </c>
      <c r="C2109" t="s">
        <v>250</v>
      </c>
      <c r="D2109" t="s">
        <v>2241</v>
      </c>
      <c r="E2109" t="s">
        <v>2242</v>
      </c>
      <c r="F2109">
        <v>35070</v>
      </c>
      <c r="G2109">
        <v>10278</v>
      </c>
      <c r="H2109" s="32">
        <f t="shared" si="32"/>
        <v>3.4121424401634561</v>
      </c>
      <c r="I2109">
        <v>1</v>
      </c>
      <c r="J2109" t="s">
        <v>21</v>
      </c>
    </row>
    <row r="2110" spans="1:10" x14ac:dyDescent="0.25">
      <c r="A2110">
        <v>58874</v>
      </c>
      <c r="B2110" t="s">
        <v>3322</v>
      </c>
      <c r="C2110" t="s">
        <v>708</v>
      </c>
      <c r="D2110" t="s">
        <v>2241</v>
      </c>
      <c r="E2110" t="s">
        <v>2242</v>
      </c>
      <c r="F2110">
        <v>28662</v>
      </c>
      <c r="G2110">
        <v>8400</v>
      </c>
      <c r="H2110" s="32">
        <f t="shared" si="32"/>
        <v>3.4121428571428569</v>
      </c>
      <c r="I2110">
        <v>1</v>
      </c>
      <c r="J2110" t="s">
        <v>21</v>
      </c>
    </row>
    <row r="2111" spans="1:10" x14ac:dyDescent="0.25">
      <c r="A2111">
        <v>57390</v>
      </c>
      <c r="B2111" t="s">
        <v>2981</v>
      </c>
      <c r="C2111" t="s">
        <v>143</v>
      </c>
      <c r="D2111" t="s">
        <v>2241</v>
      </c>
      <c r="E2111" t="s">
        <v>2242</v>
      </c>
      <c r="F2111">
        <v>6350</v>
      </c>
      <c r="G2111">
        <v>1861</v>
      </c>
      <c r="H2111" s="32">
        <f t="shared" si="32"/>
        <v>3.4121440085975281</v>
      </c>
      <c r="I2111">
        <v>1</v>
      </c>
      <c r="J2111" t="s">
        <v>21</v>
      </c>
    </row>
    <row r="2112" spans="1:10" x14ac:dyDescent="0.25">
      <c r="A2112">
        <v>58654</v>
      </c>
      <c r="B2112" t="s">
        <v>3244</v>
      </c>
      <c r="C2112" t="s">
        <v>241</v>
      </c>
      <c r="D2112" t="s">
        <v>2241</v>
      </c>
      <c r="E2112" t="s">
        <v>2242</v>
      </c>
      <c r="F2112">
        <v>9496</v>
      </c>
      <c r="G2112">
        <v>2783</v>
      </c>
      <c r="H2112" s="32">
        <f t="shared" si="32"/>
        <v>3.4121451670858787</v>
      </c>
      <c r="I2112">
        <v>1</v>
      </c>
      <c r="J2112" t="s">
        <v>21</v>
      </c>
    </row>
    <row r="2113" spans="1:10" x14ac:dyDescent="0.25">
      <c r="A2113">
        <v>67108</v>
      </c>
      <c r="B2113" t="s">
        <v>5032</v>
      </c>
      <c r="C2113" t="s">
        <v>166</v>
      </c>
      <c r="D2113" t="s">
        <v>2241</v>
      </c>
      <c r="E2113" t="s">
        <v>2242</v>
      </c>
      <c r="F2113">
        <v>13710</v>
      </c>
      <c r="G2113">
        <v>4018</v>
      </c>
      <c r="H2113" s="32">
        <f t="shared" si="32"/>
        <v>3.4121453459432551</v>
      </c>
      <c r="I2113">
        <v>1</v>
      </c>
      <c r="J2113" t="s">
        <v>21</v>
      </c>
    </row>
    <row r="2114" spans="1:10" x14ac:dyDescent="0.25">
      <c r="A2114">
        <v>68301</v>
      </c>
      <c r="B2114" t="s">
        <v>5228</v>
      </c>
      <c r="C2114" t="s">
        <v>307</v>
      </c>
      <c r="D2114" t="s">
        <v>2241</v>
      </c>
      <c r="E2114" t="s">
        <v>2242</v>
      </c>
      <c r="F2114">
        <v>4214</v>
      </c>
      <c r="G2114">
        <v>1235</v>
      </c>
      <c r="H2114" s="32">
        <f t="shared" ref="H2114:H2177" si="33">IF(AND(F2114&gt;0,G2114&gt;0),F2114/G2114,"")</f>
        <v>3.4121457489878542</v>
      </c>
      <c r="I2114">
        <v>1</v>
      </c>
      <c r="J2114" t="s">
        <v>21</v>
      </c>
    </row>
    <row r="2115" spans="1:10" x14ac:dyDescent="0.25">
      <c r="A2115">
        <v>59578</v>
      </c>
      <c r="B2115" t="s">
        <v>3522</v>
      </c>
      <c r="C2115" t="s">
        <v>708</v>
      </c>
      <c r="D2115" t="s">
        <v>2241</v>
      </c>
      <c r="E2115" t="s">
        <v>2242</v>
      </c>
      <c r="F2115">
        <v>28430</v>
      </c>
      <c r="G2115">
        <v>8332</v>
      </c>
      <c r="H2115" s="32">
        <f t="shared" si="33"/>
        <v>3.4121459433509362</v>
      </c>
      <c r="I2115">
        <v>1</v>
      </c>
      <c r="J2115" t="s">
        <v>21</v>
      </c>
    </row>
    <row r="2116" spans="1:10" x14ac:dyDescent="0.25">
      <c r="A2116">
        <v>60178</v>
      </c>
      <c r="B2116" t="s">
        <v>3697</v>
      </c>
      <c r="C2116" t="s">
        <v>708</v>
      </c>
      <c r="D2116" t="s">
        <v>2241</v>
      </c>
      <c r="E2116" t="s">
        <v>2242</v>
      </c>
      <c r="F2116">
        <v>34217</v>
      </c>
      <c r="G2116">
        <v>10028</v>
      </c>
      <c r="H2116" s="32">
        <f t="shared" si="33"/>
        <v>3.4121459912245711</v>
      </c>
      <c r="I2116">
        <v>1</v>
      </c>
      <c r="J2116" t="s">
        <v>21</v>
      </c>
    </row>
    <row r="2117" spans="1:10" x14ac:dyDescent="0.25">
      <c r="A2117">
        <v>60144</v>
      </c>
      <c r="B2117" t="s">
        <v>3688</v>
      </c>
      <c r="C2117" t="s">
        <v>708</v>
      </c>
      <c r="D2117" t="s">
        <v>2241</v>
      </c>
      <c r="E2117" t="s">
        <v>2242</v>
      </c>
      <c r="F2117">
        <v>24721</v>
      </c>
      <c r="G2117">
        <v>7245</v>
      </c>
      <c r="H2117" s="32">
        <f t="shared" si="33"/>
        <v>3.4121463077984817</v>
      </c>
      <c r="I2117">
        <v>1</v>
      </c>
      <c r="J2117" t="s">
        <v>21</v>
      </c>
    </row>
    <row r="2118" spans="1:10" x14ac:dyDescent="0.25">
      <c r="A2118">
        <v>62329</v>
      </c>
      <c r="B2118" t="s">
        <v>4146</v>
      </c>
      <c r="C2118" t="s">
        <v>708</v>
      </c>
      <c r="D2118" t="s">
        <v>2241</v>
      </c>
      <c r="E2118" t="s">
        <v>2242</v>
      </c>
      <c r="F2118">
        <v>33654</v>
      </c>
      <c r="G2118">
        <v>9863</v>
      </c>
      <c r="H2118" s="32">
        <f t="shared" si="33"/>
        <v>3.412146405758897</v>
      </c>
      <c r="I2118">
        <v>1</v>
      </c>
      <c r="J2118" t="s">
        <v>21</v>
      </c>
    </row>
    <row r="2119" spans="1:10" x14ac:dyDescent="0.25">
      <c r="A2119">
        <v>62168</v>
      </c>
      <c r="B2119" t="s">
        <v>4127</v>
      </c>
      <c r="C2119" t="s">
        <v>708</v>
      </c>
      <c r="D2119" t="s">
        <v>2241</v>
      </c>
      <c r="E2119" t="s">
        <v>2242</v>
      </c>
      <c r="F2119">
        <v>20449</v>
      </c>
      <c r="G2119">
        <v>5993</v>
      </c>
      <c r="H2119" s="32">
        <f t="shared" si="33"/>
        <v>3.4121475054229933</v>
      </c>
      <c r="I2119">
        <v>1</v>
      </c>
      <c r="J2119" t="s">
        <v>21</v>
      </c>
    </row>
    <row r="2120" spans="1:10" x14ac:dyDescent="0.25">
      <c r="A2120">
        <v>62327</v>
      </c>
      <c r="B2120" t="s">
        <v>4144</v>
      </c>
      <c r="C2120" t="s">
        <v>307</v>
      </c>
      <c r="D2120" t="s">
        <v>2241</v>
      </c>
      <c r="E2120" t="s">
        <v>2242</v>
      </c>
      <c r="F2120">
        <v>28198</v>
      </c>
      <c r="G2120">
        <v>8264</v>
      </c>
      <c r="H2120" s="32">
        <f t="shared" si="33"/>
        <v>3.4121490803484997</v>
      </c>
      <c r="I2120">
        <v>1</v>
      </c>
      <c r="J2120" t="s">
        <v>21</v>
      </c>
    </row>
    <row r="2121" spans="1:10" x14ac:dyDescent="0.25">
      <c r="A2121">
        <v>58494</v>
      </c>
      <c r="B2121" t="s">
        <v>3206</v>
      </c>
      <c r="C2121" t="s">
        <v>708</v>
      </c>
      <c r="D2121" t="s">
        <v>2241</v>
      </c>
      <c r="E2121" t="s">
        <v>2242</v>
      </c>
      <c r="F2121">
        <v>18255</v>
      </c>
      <c r="G2121">
        <v>5350</v>
      </c>
      <c r="H2121" s="32">
        <f t="shared" si="33"/>
        <v>3.4121495327102802</v>
      </c>
      <c r="I2121">
        <v>1</v>
      </c>
      <c r="J2121" t="s">
        <v>21</v>
      </c>
    </row>
    <row r="2122" spans="1:10" x14ac:dyDescent="0.25">
      <c r="A2122">
        <v>59603</v>
      </c>
      <c r="B2122" t="s">
        <v>3535</v>
      </c>
      <c r="C2122" t="s">
        <v>708</v>
      </c>
      <c r="D2122" t="s">
        <v>2241</v>
      </c>
      <c r="E2122" t="s">
        <v>2242</v>
      </c>
      <c r="F2122">
        <v>23984</v>
      </c>
      <c r="G2122">
        <v>7029</v>
      </c>
      <c r="H2122" s="32">
        <f t="shared" si="33"/>
        <v>3.4121496656707926</v>
      </c>
      <c r="I2122">
        <v>1</v>
      </c>
      <c r="J2122" t="s">
        <v>21</v>
      </c>
    </row>
    <row r="2123" spans="1:10" x14ac:dyDescent="0.25">
      <c r="A2123">
        <v>60408</v>
      </c>
      <c r="B2123" t="s">
        <v>3767</v>
      </c>
      <c r="C2123" t="s">
        <v>708</v>
      </c>
      <c r="D2123" t="s">
        <v>2241</v>
      </c>
      <c r="E2123" t="s">
        <v>2242</v>
      </c>
      <c r="F2123">
        <v>31228</v>
      </c>
      <c r="G2123">
        <v>9152</v>
      </c>
      <c r="H2123" s="32">
        <f t="shared" si="33"/>
        <v>3.4121503496503496</v>
      </c>
      <c r="I2123">
        <v>1</v>
      </c>
      <c r="J2123" t="s">
        <v>21</v>
      </c>
    </row>
    <row r="2124" spans="1:10" x14ac:dyDescent="0.25">
      <c r="A2124">
        <v>60752</v>
      </c>
      <c r="B2124" t="s">
        <v>3857</v>
      </c>
      <c r="C2124" t="s">
        <v>241</v>
      </c>
      <c r="D2124" t="s">
        <v>2241</v>
      </c>
      <c r="E2124" t="s">
        <v>2242</v>
      </c>
      <c r="F2124">
        <v>14546</v>
      </c>
      <c r="G2124">
        <v>4263</v>
      </c>
      <c r="H2124" s="32">
        <f t="shared" si="33"/>
        <v>3.4121510673234812</v>
      </c>
      <c r="I2124">
        <v>1</v>
      </c>
      <c r="J2124" t="s">
        <v>21</v>
      </c>
    </row>
    <row r="2125" spans="1:10" x14ac:dyDescent="0.25">
      <c r="A2125">
        <v>69213</v>
      </c>
      <c r="B2125" t="s">
        <v>5339</v>
      </c>
      <c r="C2125" t="s">
        <v>166</v>
      </c>
      <c r="D2125" t="s">
        <v>2241</v>
      </c>
      <c r="E2125" t="s">
        <v>2242</v>
      </c>
      <c r="F2125">
        <v>6234</v>
      </c>
      <c r="G2125">
        <v>1827</v>
      </c>
      <c r="H2125" s="32">
        <f t="shared" si="33"/>
        <v>3.4121510673234812</v>
      </c>
      <c r="I2125">
        <v>1</v>
      </c>
      <c r="J2125" t="s">
        <v>21</v>
      </c>
    </row>
    <row r="2126" spans="1:10" x14ac:dyDescent="0.25">
      <c r="A2126">
        <v>60601</v>
      </c>
      <c r="B2126" t="s">
        <v>3815</v>
      </c>
      <c r="C2126" t="s">
        <v>708</v>
      </c>
      <c r="D2126" t="s">
        <v>2241</v>
      </c>
      <c r="E2126" t="s">
        <v>2242</v>
      </c>
      <c r="F2126">
        <v>34763</v>
      </c>
      <c r="G2126">
        <v>10188</v>
      </c>
      <c r="H2126" s="32">
        <f t="shared" si="33"/>
        <v>3.4121515508441305</v>
      </c>
      <c r="I2126">
        <v>1</v>
      </c>
      <c r="J2126" t="s">
        <v>21</v>
      </c>
    </row>
    <row r="2127" spans="1:10" x14ac:dyDescent="0.25">
      <c r="A2127">
        <v>60410</v>
      </c>
      <c r="B2127" t="s">
        <v>3769</v>
      </c>
      <c r="C2127" t="s">
        <v>131</v>
      </c>
      <c r="D2127" t="s">
        <v>2241</v>
      </c>
      <c r="E2127" t="s">
        <v>2242</v>
      </c>
      <c r="F2127">
        <v>24373</v>
      </c>
      <c r="G2127">
        <v>7143</v>
      </c>
      <c r="H2127" s="32">
        <f t="shared" si="33"/>
        <v>3.4121517569648607</v>
      </c>
      <c r="I2127">
        <v>1</v>
      </c>
      <c r="J2127" t="s">
        <v>21</v>
      </c>
    </row>
    <row r="2128" spans="1:10" x14ac:dyDescent="0.25">
      <c r="A2128">
        <v>59175</v>
      </c>
      <c r="B2128" t="s">
        <v>3409</v>
      </c>
      <c r="C2128" t="s">
        <v>708</v>
      </c>
      <c r="D2128" t="s">
        <v>2241</v>
      </c>
      <c r="E2128" t="s">
        <v>2242</v>
      </c>
      <c r="F2128">
        <v>30044</v>
      </c>
      <c r="G2128">
        <v>8805</v>
      </c>
      <c r="H2128" s="32">
        <f t="shared" si="33"/>
        <v>3.4121521862578081</v>
      </c>
      <c r="I2128">
        <v>1</v>
      </c>
      <c r="J2128" t="s">
        <v>21</v>
      </c>
    </row>
    <row r="2129" spans="1:10" x14ac:dyDescent="0.25">
      <c r="A2129">
        <v>60181</v>
      </c>
      <c r="B2129" t="s">
        <v>3700</v>
      </c>
      <c r="C2129" t="s">
        <v>708</v>
      </c>
      <c r="D2129" t="s">
        <v>2241</v>
      </c>
      <c r="E2129" t="s">
        <v>2242</v>
      </c>
      <c r="F2129">
        <v>34647</v>
      </c>
      <c r="G2129">
        <v>10154</v>
      </c>
      <c r="H2129" s="32">
        <f t="shared" si="33"/>
        <v>3.4121528461689974</v>
      </c>
      <c r="I2129">
        <v>1</v>
      </c>
      <c r="J2129" t="s">
        <v>21</v>
      </c>
    </row>
    <row r="2130" spans="1:10" x14ac:dyDescent="0.25">
      <c r="A2130">
        <v>62323</v>
      </c>
      <c r="B2130" t="s">
        <v>4141</v>
      </c>
      <c r="C2130" t="s">
        <v>307</v>
      </c>
      <c r="D2130" t="s">
        <v>2241</v>
      </c>
      <c r="E2130" t="s">
        <v>2242</v>
      </c>
      <c r="F2130">
        <v>7749</v>
      </c>
      <c r="G2130">
        <v>2271</v>
      </c>
      <c r="H2130" s="32">
        <f t="shared" si="33"/>
        <v>3.4121532364597096</v>
      </c>
      <c r="I2130">
        <v>1</v>
      </c>
      <c r="J2130" t="s">
        <v>21</v>
      </c>
    </row>
    <row r="2131" spans="1:10" x14ac:dyDescent="0.25">
      <c r="A2131">
        <v>66722</v>
      </c>
      <c r="B2131" t="s">
        <v>4952</v>
      </c>
      <c r="C2131" t="s">
        <v>708</v>
      </c>
      <c r="D2131" t="s">
        <v>2241</v>
      </c>
      <c r="E2131" t="s">
        <v>2242</v>
      </c>
      <c r="F2131">
        <v>36104</v>
      </c>
      <c r="G2131">
        <v>10581</v>
      </c>
      <c r="H2131" s="32">
        <f t="shared" si="33"/>
        <v>3.4121538606936963</v>
      </c>
      <c r="I2131">
        <v>1</v>
      </c>
      <c r="J2131" t="s">
        <v>21</v>
      </c>
    </row>
    <row r="2132" spans="1:10" x14ac:dyDescent="0.25">
      <c r="A2132">
        <v>58341</v>
      </c>
      <c r="B2132" t="s">
        <v>3164</v>
      </c>
      <c r="C2132" t="s">
        <v>708</v>
      </c>
      <c r="D2132" t="s">
        <v>2241</v>
      </c>
      <c r="E2132" t="s">
        <v>2242</v>
      </c>
      <c r="F2132">
        <v>27792</v>
      </c>
      <c r="G2132">
        <v>8145</v>
      </c>
      <c r="H2132" s="32">
        <f t="shared" si="33"/>
        <v>3.4121546961325966</v>
      </c>
      <c r="I2132">
        <v>1</v>
      </c>
      <c r="J2132" t="s">
        <v>21</v>
      </c>
    </row>
    <row r="2133" spans="1:10" x14ac:dyDescent="0.25">
      <c r="A2133">
        <v>60072</v>
      </c>
      <c r="B2133" t="s">
        <v>3665</v>
      </c>
      <c r="C2133" t="s">
        <v>708</v>
      </c>
      <c r="D2133" t="s">
        <v>2241</v>
      </c>
      <c r="E2133" t="s">
        <v>2242</v>
      </c>
      <c r="F2133">
        <v>9264</v>
      </c>
      <c r="G2133">
        <v>2715</v>
      </c>
      <c r="H2133" s="32">
        <f t="shared" si="33"/>
        <v>3.4121546961325966</v>
      </c>
      <c r="I2133">
        <v>1</v>
      </c>
      <c r="J2133" t="s">
        <v>21</v>
      </c>
    </row>
    <row r="2134" spans="1:10" x14ac:dyDescent="0.25">
      <c r="A2134">
        <v>60403</v>
      </c>
      <c r="B2134" t="s">
        <v>3766</v>
      </c>
      <c r="C2134" t="s">
        <v>708</v>
      </c>
      <c r="D2134" t="s">
        <v>2241</v>
      </c>
      <c r="E2134" t="s">
        <v>2242</v>
      </c>
      <c r="F2134">
        <v>24141</v>
      </c>
      <c r="G2134">
        <v>7075</v>
      </c>
      <c r="H2134" s="32">
        <f t="shared" si="33"/>
        <v>3.4121554770318023</v>
      </c>
      <c r="I2134">
        <v>1</v>
      </c>
      <c r="J2134" t="s">
        <v>21</v>
      </c>
    </row>
    <row r="2135" spans="1:10" x14ac:dyDescent="0.25">
      <c r="A2135">
        <v>59513</v>
      </c>
      <c r="B2135" t="s">
        <v>3489</v>
      </c>
      <c r="C2135" t="s">
        <v>708</v>
      </c>
      <c r="D2135" t="s">
        <v>2241</v>
      </c>
      <c r="E2135" t="s">
        <v>2242</v>
      </c>
      <c r="F2135">
        <v>55973</v>
      </c>
      <c r="G2135">
        <v>16404</v>
      </c>
      <c r="H2135" s="32">
        <f t="shared" si="33"/>
        <v>3.4121555718117533</v>
      </c>
      <c r="I2135">
        <v>1</v>
      </c>
      <c r="J2135" t="s">
        <v>21</v>
      </c>
    </row>
    <row r="2136" spans="1:10" x14ac:dyDescent="0.25">
      <c r="A2136">
        <v>60440</v>
      </c>
      <c r="B2136" t="s">
        <v>3779</v>
      </c>
      <c r="C2136" t="s">
        <v>708</v>
      </c>
      <c r="D2136" t="s">
        <v>2241</v>
      </c>
      <c r="E2136" t="s">
        <v>2242</v>
      </c>
      <c r="F2136">
        <v>30259</v>
      </c>
      <c r="G2136">
        <v>8868</v>
      </c>
      <c r="H2136" s="32">
        <f t="shared" si="33"/>
        <v>3.4121560667568787</v>
      </c>
      <c r="I2136">
        <v>1</v>
      </c>
      <c r="J2136" t="s">
        <v>21</v>
      </c>
    </row>
    <row r="2137" spans="1:10" x14ac:dyDescent="0.25">
      <c r="A2137">
        <v>69081</v>
      </c>
      <c r="B2137" t="s">
        <v>5314</v>
      </c>
      <c r="C2137" t="s">
        <v>241</v>
      </c>
      <c r="D2137" t="s">
        <v>2241</v>
      </c>
      <c r="E2137" t="s">
        <v>2242</v>
      </c>
      <c r="F2137">
        <v>8196</v>
      </c>
      <c r="G2137">
        <v>2402</v>
      </c>
      <c r="H2137" s="32">
        <f t="shared" si="33"/>
        <v>3.412156536219817</v>
      </c>
      <c r="I2137">
        <v>1</v>
      </c>
      <c r="J2137" t="s">
        <v>21</v>
      </c>
    </row>
    <row r="2138" spans="1:10" x14ac:dyDescent="0.25">
      <c r="A2138">
        <v>58505</v>
      </c>
      <c r="B2138" t="s">
        <v>3210</v>
      </c>
      <c r="C2138" t="s">
        <v>241</v>
      </c>
      <c r="D2138" t="s">
        <v>2241</v>
      </c>
      <c r="E2138" t="s">
        <v>2242</v>
      </c>
      <c r="F2138">
        <v>6121</v>
      </c>
      <c r="G2138">
        <v>1793.88</v>
      </c>
      <c r="H2138" s="32">
        <f t="shared" si="33"/>
        <v>3.4121568889780809</v>
      </c>
      <c r="I2138">
        <v>1</v>
      </c>
      <c r="J2138" t="s">
        <v>21</v>
      </c>
    </row>
    <row r="2139" spans="1:10" x14ac:dyDescent="0.25">
      <c r="A2139">
        <v>67806</v>
      </c>
      <c r="B2139" t="s">
        <v>5174</v>
      </c>
      <c r="C2139" t="s">
        <v>166</v>
      </c>
      <c r="D2139" t="s">
        <v>2241</v>
      </c>
      <c r="E2139" t="s">
        <v>2242</v>
      </c>
      <c r="F2139">
        <v>14314</v>
      </c>
      <c r="G2139">
        <v>4195</v>
      </c>
      <c r="H2139" s="32">
        <f t="shared" si="33"/>
        <v>3.4121573301549462</v>
      </c>
      <c r="I2139">
        <v>1</v>
      </c>
      <c r="J2139" t="s">
        <v>21</v>
      </c>
    </row>
    <row r="2140" spans="1:10" x14ac:dyDescent="0.25">
      <c r="A2140">
        <v>67833</v>
      </c>
      <c r="B2140" t="s">
        <v>5185</v>
      </c>
      <c r="C2140" t="s">
        <v>166</v>
      </c>
      <c r="D2140" t="s">
        <v>2241</v>
      </c>
      <c r="E2140" t="s">
        <v>2242</v>
      </c>
      <c r="F2140">
        <v>14314</v>
      </c>
      <c r="G2140">
        <v>4195</v>
      </c>
      <c r="H2140" s="32">
        <f t="shared" si="33"/>
        <v>3.4121573301549462</v>
      </c>
      <c r="I2140">
        <v>1</v>
      </c>
      <c r="J2140" t="s">
        <v>21</v>
      </c>
    </row>
    <row r="2141" spans="1:10" x14ac:dyDescent="0.25">
      <c r="A2141">
        <v>62905</v>
      </c>
      <c r="B2141" t="s">
        <v>4253</v>
      </c>
      <c r="C2141" t="s">
        <v>241</v>
      </c>
      <c r="D2141" t="s">
        <v>2241</v>
      </c>
      <c r="E2141" t="s">
        <v>2242</v>
      </c>
      <c r="F2141">
        <v>25035</v>
      </c>
      <c r="G2141">
        <v>7337</v>
      </c>
      <c r="H2141" s="32">
        <f t="shared" si="33"/>
        <v>3.4121575575848437</v>
      </c>
      <c r="I2141">
        <v>1</v>
      </c>
      <c r="J2141" t="s">
        <v>21</v>
      </c>
    </row>
    <row r="2142" spans="1:10" x14ac:dyDescent="0.25">
      <c r="A2142">
        <v>58851</v>
      </c>
      <c r="B2142" t="s">
        <v>3308</v>
      </c>
      <c r="C2142" t="s">
        <v>708</v>
      </c>
      <c r="D2142" t="s">
        <v>2241</v>
      </c>
      <c r="E2142" t="s">
        <v>2242</v>
      </c>
      <c r="F2142">
        <v>23462</v>
      </c>
      <c r="G2142">
        <v>6876</v>
      </c>
      <c r="H2142" s="32">
        <f t="shared" si="33"/>
        <v>3.4121582315299595</v>
      </c>
      <c r="I2142">
        <v>1</v>
      </c>
      <c r="J2142" t="s">
        <v>21</v>
      </c>
    </row>
    <row r="2143" spans="1:10" x14ac:dyDescent="0.25">
      <c r="A2143">
        <v>59102</v>
      </c>
      <c r="B2143" t="s">
        <v>3370</v>
      </c>
      <c r="C2143" t="s">
        <v>708</v>
      </c>
      <c r="D2143" t="s">
        <v>2241</v>
      </c>
      <c r="E2143" t="s">
        <v>2242</v>
      </c>
      <c r="F2143">
        <v>31542</v>
      </c>
      <c r="G2143">
        <v>9244</v>
      </c>
      <c r="H2143" s="32">
        <f t="shared" si="33"/>
        <v>3.4121592384249242</v>
      </c>
      <c r="I2143">
        <v>1</v>
      </c>
      <c r="J2143" t="s">
        <v>21</v>
      </c>
    </row>
    <row r="2144" spans="1:10" x14ac:dyDescent="0.25">
      <c r="A2144">
        <v>67067</v>
      </c>
      <c r="B2144" t="s">
        <v>5017</v>
      </c>
      <c r="C2144" t="s">
        <v>241</v>
      </c>
      <c r="D2144" t="s">
        <v>2241</v>
      </c>
      <c r="E2144" t="s">
        <v>2242</v>
      </c>
      <c r="F2144">
        <v>15771</v>
      </c>
      <c r="G2144">
        <v>4622</v>
      </c>
      <c r="H2144" s="32">
        <f t="shared" si="33"/>
        <v>3.4121592384249242</v>
      </c>
      <c r="I2144">
        <v>1</v>
      </c>
      <c r="J2144" t="s">
        <v>21</v>
      </c>
    </row>
    <row r="2145" spans="1:10" x14ac:dyDescent="0.25">
      <c r="A2145">
        <v>60384</v>
      </c>
      <c r="B2145" t="s">
        <v>3754</v>
      </c>
      <c r="C2145" t="s">
        <v>708</v>
      </c>
      <c r="D2145" t="s">
        <v>2241</v>
      </c>
      <c r="E2145" t="s">
        <v>2242</v>
      </c>
      <c r="F2145">
        <v>27775</v>
      </c>
      <c r="G2145">
        <v>8140</v>
      </c>
      <c r="H2145" s="32">
        <f t="shared" si="33"/>
        <v>3.4121621621621623</v>
      </c>
      <c r="I2145">
        <v>1</v>
      </c>
      <c r="J2145" t="s">
        <v>21</v>
      </c>
    </row>
    <row r="2146" spans="1:10" x14ac:dyDescent="0.25">
      <c r="A2146">
        <v>60847</v>
      </c>
      <c r="B2146" t="s">
        <v>3889</v>
      </c>
      <c r="C2146" t="s">
        <v>307</v>
      </c>
      <c r="D2146" t="s">
        <v>2241</v>
      </c>
      <c r="E2146" t="s">
        <v>2242</v>
      </c>
      <c r="F2146">
        <v>4545</v>
      </c>
      <c r="G2146">
        <v>1332</v>
      </c>
      <c r="H2146" s="32">
        <f t="shared" si="33"/>
        <v>3.4121621621621623</v>
      </c>
      <c r="I2146">
        <v>1</v>
      </c>
      <c r="J2146" t="s">
        <v>21</v>
      </c>
    </row>
    <row r="2147" spans="1:10" x14ac:dyDescent="0.25">
      <c r="A2147">
        <v>65556</v>
      </c>
      <c r="B2147" t="s">
        <v>4773</v>
      </c>
      <c r="C2147" t="s">
        <v>708</v>
      </c>
      <c r="D2147" t="s">
        <v>2241</v>
      </c>
      <c r="E2147" t="s">
        <v>2242</v>
      </c>
      <c r="F2147">
        <v>24240</v>
      </c>
      <c r="G2147">
        <v>7104</v>
      </c>
      <c r="H2147" s="32">
        <f t="shared" si="33"/>
        <v>3.4121621621621623</v>
      </c>
      <c r="I2147">
        <v>1</v>
      </c>
      <c r="J2147" t="s">
        <v>21</v>
      </c>
    </row>
    <row r="2148" spans="1:10" x14ac:dyDescent="0.25">
      <c r="A2148">
        <v>66815</v>
      </c>
      <c r="B2148" t="s">
        <v>4968</v>
      </c>
      <c r="C2148" t="s">
        <v>241</v>
      </c>
      <c r="D2148" t="s">
        <v>2241</v>
      </c>
      <c r="E2148" t="s">
        <v>2242</v>
      </c>
      <c r="F2148">
        <v>7575</v>
      </c>
      <c r="G2148">
        <v>2220</v>
      </c>
      <c r="H2148" s="32">
        <f t="shared" si="33"/>
        <v>3.4121621621621623</v>
      </c>
      <c r="I2148">
        <v>1</v>
      </c>
      <c r="J2148" t="s">
        <v>21</v>
      </c>
    </row>
    <row r="2149" spans="1:10" x14ac:dyDescent="0.25">
      <c r="A2149">
        <v>67670</v>
      </c>
      <c r="B2149" t="s">
        <v>5134</v>
      </c>
      <c r="C2149" t="s">
        <v>307</v>
      </c>
      <c r="D2149" t="s">
        <v>2241</v>
      </c>
      <c r="E2149" t="s">
        <v>2242</v>
      </c>
      <c r="F2149">
        <v>7575</v>
      </c>
      <c r="G2149">
        <v>2220</v>
      </c>
      <c r="H2149" s="32">
        <f t="shared" si="33"/>
        <v>3.4121621621621623</v>
      </c>
      <c r="I2149">
        <v>1</v>
      </c>
      <c r="J2149" t="s">
        <v>21</v>
      </c>
    </row>
    <row r="2150" spans="1:10" x14ac:dyDescent="0.25">
      <c r="A2150">
        <v>69573</v>
      </c>
      <c r="B2150" t="s">
        <v>5380</v>
      </c>
      <c r="C2150" t="s">
        <v>166</v>
      </c>
      <c r="D2150" t="s">
        <v>2241</v>
      </c>
      <c r="E2150" t="s">
        <v>2242</v>
      </c>
      <c r="F2150">
        <v>505</v>
      </c>
      <c r="G2150">
        <v>148</v>
      </c>
      <c r="H2150" s="32">
        <f t="shared" si="33"/>
        <v>3.4121621621621623</v>
      </c>
      <c r="I2150">
        <v>1</v>
      </c>
      <c r="J2150" t="s">
        <v>21</v>
      </c>
    </row>
    <row r="2151" spans="1:10" x14ac:dyDescent="0.25">
      <c r="A2151">
        <v>69910</v>
      </c>
      <c r="B2151" t="s">
        <v>5406</v>
      </c>
      <c r="C2151" t="s">
        <v>166</v>
      </c>
      <c r="D2151" t="s">
        <v>2241</v>
      </c>
      <c r="E2151" t="s">
        <v>2242</v>
      </c>
      <c r="F2151">
        <v>13130</v>
      </c>
      <c r="G2151">
        <v>3848</v>
      </c>
      <c r="H2151" s="32">
        <f t="shared" si="33"/>
        <v>3.4121621621621623</v>
      </c>
      <c r="I2151">
        <v>1</v>
      </c>
      <c r="J2151" t="s">
        <v>21</v>
      </c>
    </row>
    <row r="2152" spans="1:10" x14ac:dyDescent="0.25">
      <c r="A2152">
        <v>58722</v>
      </c>
      <c r="B2152" t="s">
        <v>3263</v>
      </c>
      <c r="C2152" t="s">
        <v>708</v>
      </c>
      <c r="D2152" t="s">
        <v>2241</v>
      </c>
      <c r="E2152" t="s">
        <v>2242</v>
      </c>
      <c r="F2152">
        <v>27212</v>
      </c>
      <c r="G2152">
        <v>7975</v>
      </c>
      <c r="H2152" s="32">
        <f t="shared" si="33"/>
        <v>3.4121630094043889</v>
      </c>
      <c r="I2152">
        <v>1</v>
      </c>
      <c r="J2152" t="s">
        <v>21</v>
      </c>
    </row>
    <row r="2153" spans="1:10" x14ac:dyDescent="0.25">
      <c r="A2153">
        <v>59928</v>
      </c>
      <c r="B2153" t="s">
        <v>3622</v>
      </c>
      <c r="C2153" t="s">
        <v>708</v>
      </c>
      <c r="D2153" t="s">
        <v>2241</v>
      </c>
      <c r="E2153" t="s">
        <v>2242</v>
      </c>
      <c r="F2153">
        <v>28669</v>
      </c>
      <c r="G2153">
        <v>8402</v>
      </c>
      <c r="H2153" s="32">
        <f t="shared" si="33"/>
        <v>3.4121637705308259</v>
      </c>
      <c r="I2153">
        <v>1</v>
      </c>
      <c r="J2153" t="s">
        <v>21</v>
      </c>
    </row>
    <row r="2154" spans="1:10" x14ac:dyDescent="0.25">
      <c r="A2154">
        <v>70254</v>
      </c>
      <c r="B2154" t="s">
        <v>5432</v>
      </c>
      <c r="C2154" t="s">
        <v>166</v>
      </c>
      <c r="D2154" t="s">
        <v>2241</v>
      </c>
      <c r="E2154" t="s">
        <v>2242</v>
      </c>
      <c r="F2154">
        <v>14082</v>
      </c>
      <c r="G2154">
        <v>4127</v>
      </c>
      <c r="H2154" s="32">
        <f t="shared" si="33"/>
        <v>3.4121637993700022</v>
      </c>
      <c r="I2154">
        <v>1</v>
      </c>
      <c r="J2154" t="s">
        <v>21</v>
      </c>
    </row>
    <row r="2155" spans="1:10" x14ac:dyDescent="0.25">
      <c r="A2155">
        <v>58849</v>
      </c>
      <c r="B2155" t="s">
        <v>3307</v>
      </c>
      <c r="C2155" t="s">
        <v>708</v>
      </c>
      <c r="D2155" t="s">
        <v>2241</v>
      </c>
      <c r="E2155" t="s">
        <v>2242</v>
      </c>
      <c r="F2155">
        <v>12567</v>
      </c>
      <c r="G2155">
        <v>3683</v>
      </c>
      <c r="H2155" s="32">
        <f t="shared" si="33"/>
        <v>3.4121639967417865</v>
      </c>
      <c r="I2155">
        <v>1</v>
      </c>
      <c r="J2155" t="s">
        <v>21</v>
      </c>
    </row>
    <row r="2156" spans="1:10" x14ac:dyDescent="0.25">
      <c r="A2156">
        <v>61091</v>
      </c>
      <c r="B2156" t="s">
        <v>3937</v>
      </c>
      <c r="C2156" t="s">
        <v>708</v>
      </c>
      <c r="D2156" t="s">
        <v>2241</v>
      </c>
      <c r="E2156" t="s">
        <v>2242</v>
      </c>
      <c r="F2156">
        <v>30631</v>
      </c>
      <c r="G2156">
        <v>8977</v>
      </c>
      <c r="H2156" s="32">
        <f t="shared" si="33"/>
        <v>3.4121644201849168</v>
      </c>
      <c r="I2156">
        <v>1</v>
      </c>
      <c r="J2156" t="s">
        <v>21</v>
      </c>
    </row>
    <row r="2157" spans="1:10" x14ac:dyDescent="0.25">
      <c r="A2157">
        <v>61131</v>
      </c>
      <c r="B2157" t="s">
        <v>3947</v>
      </c>
      <c r="C2157" t="s">
        <v>708</v>
      </c>
      <c r="D2157" t="s">
        <v>2241</v>
      </c>
      <c r="E2157" t="s">
        <v>2242</v>
      </c>
      <c r="F2157">
        <v>8022</v>
      </c>
      <c r="G2157">
        <v>2351</v>
      </c>
      <c r="H2157" s="32">
        <f t="shared" si="33"/>
        <v>3.4121650361548279</v>
      </c>
      <c r="I2157">
        <v>1</v>
      </c>
      <c r="J2157" t="s">
        <v>21</v>
      </c>
    </row>
    <row r="2158" spans="1:10" x14ac:dyDescent="0.25">
      <c r="A2158">
        <v>64527</v>
      </c>
      <c r="B2158" t="s">
        <v>4601</v>
      </c>
      <c r="C2158" t="s">
        <v>708</v>
      </c>
      <c r="D2158" t="s">
        <v>2241</v>
      </c>
      <c r="E2158" t="s">
        <v>2242</v>
      </c>
      <c r="F2158">
        <v>30573</v>
      </c>
      <c r="G2158">
        <v>8960</v>
      </c>
      <c r="H2158" s="32">
        <f t="shared" si="33"/>
        <v>3.4121651785714286</v>
      </c>
      <c r="I2158">
        <v>1</v>
      </c>
      <c r="J2158" t="s">
        <v>21</v>
      </c>
    </row>
    <row r="2159" spans="1:10" x14ac:dyDescent="0.25">
      <c r="A2159">
        <v>59950</v>
      </c>
      <c r="B2159" t="s">
        <v>3629</v>
      </c>
      <c r="C2159" t="s">
        <v>708</v>
      </c>
      <c r="D2159" t="s">
        <v>2241</v>
      </c>
      <c r="E2159" t="s">
        <v>2242</v>
      </c>
      <c r="F2159">
        <v>13519</v>
      </c>
      <c r="G2159">
        <v>3962</v>
      </c>
      <c r="H2159" s="32">
        <f t="shared" si="33"/>
        <v>3.4121655729429583</v>
      </c>
      <c r="I2159">
        <v>1</v>
      </c>
      <c r="J2159" t="s">
        <v>21</v>
      </c>
    </row>
    <row r="2160" spans="1:10" x14ac:dyDescent="0.25">
      <c r="A2160">
        <v>61527</v>
      </c>
      <c r="B2160" t="s">
        <v>4030</v>
      </c>
      <c r="C2160" t="s">
        <v>708</v>
      </c>
      <c r="D2160" t="s">
        <v>2241</v>
      </c>
      <c r="E2160" t="s">
        <v>2242</v>
      </c>
      <c r="F2160">
        <v>26028</v>
      </c>
      <c r="G2160">
        <v>7628</v>
      </c>
      <c r="H2160" s="32">
        <f t="shared" si="33"/>
        <v>3.4121657052962768</v>
      </c>
      <c r="I2160">
        <v>1</v>
      </c>
      <c r="J2160" t="s">
        <v>21</v>
      </c>
    </row>
    <row r="2161" spans="1:10" x14ac:dyDescent="0.25">
      <c r="A2161">
        <v>62487</v>
      </c>
      <c r="B2161" t="s">
        <v>4166</v>
      </c>
      <c r="C2161" t="s">
        <v>708</v>
      </c>
      <c r="D2161" t="s">
        <v>2241</v>
      </c>
      <c r="E2161" t="s">
        <v>2242</v>
      </c>
      <c r="F2161">
        <v>24008</v>
      </c>
      <c r="G2161">
        <v>7036</v>
      </c>
      <c r="H2161" s="32">
        <f t="shared" si="33"/>
        <v>3.4121660034110288</v>
      </c>
      <c r="I2161">
        <v>1</v>
      </c>
      <c r="J2161" t="s">
        <v>21</v>
      </c>
    </row>
    <row r="2162" spans="1:10" x14ac:dyDescent="0.25">
      <c r="A2162">
        <v>61260</v>
      </c>
      <c r="B2162" t="s">
        <v>3970</v>
      </c>
      <c r="C2162" t="s">
        <v>708</v>
      </c>
      <c r="D2162" t="s">
        <v>2241</v>
      </c>
      <c r="E2162" t="s">
        <v>2242</v>
      </c>
      <c r="F2162">
        <v>10994</v>
      </c>
      <c r="G2162">
        <v>3222</v>
      </c>
      <c r="H2162" s="32">
        <f t="shared" si="33"/>
        <v>3.4121663563004345</v>
      </c>
      <c r="I2162">
        <v>1</v>
      </c>
      <c r="J2162" t="s">
        <v>21</v>
      </c>
    </row>
    <row r="2163" spans="1:10" x14ac:dyDescent="0.25">
      <c r="A2163">
        <v>63889</v>
      </c>
      <c r="B2163" t="s">
        <v>4433</v>
      </c>
      <c r="C2163" t="s">
        <v>166</v>
      </c>
      <c r="D2163" t="s">
        <v>2241</v>
      </c>
      <c r="E2163" t="s">
        <v>2242</v>
      </c>
      <c r="F2163">
        <v>5497</v>
      </c>
      <c r="G2163">
        <v>1611</v>
      </c>
      <c r="H2163" s="32">
        <f t="shared" si="33"/>
        <v>3.4121663563004345</v>
      </c>
      <c r="I2163">
        <v>1</v>
      </c>
      <c r="J2163" t="s">
        <v>21</v>
      </c>
    </row>
    <row r="2164" spans="1:10" x14ac:dyDescent="0.25">
      <c r="A2164">
        <v>59375</v>
      </c>
      <c r="B2164" t="s">
        <v>3443</v>
      </c>
      <c r="C2164" t="s">
        <v>708</v>
      </c>
      <c r="D2164" t="s">
        <v>2241</v>
      </c>
      <c r="E2164" t="s">
        <v>2242</v>
      </c>
      <c r="F2164">
        <v>10489</v>
      </c>
      <c r="G2164">
        <v>3074</v>
      </c>
      <c r="H2164" s="32">
        <f t="shared" si="33"/>
        <v>3.4121665582303189</v>
      </c>
      <c r="I2164">
        <v>1</v>
      </c>
      <c r="J2164" t="s">
        <v>21</v>
      </c>
    </row>
    <row r="2165" spans="1:10" x14ac:dyDescent="0.25">
      <c r="A2165">
        <v>69908</v>
      </c>
      <c r="B2165" t="s">
        <v>5404</v>
      </c>
      <c r="C2165" t="s">
        <v>166</v>
      </c>
      <c r="D2165" t="s">
        <v>2241</v>
      </c>
      <c r="E2165" t="s">
        <v>2242</v>
      </c>
      <c r="F2165">
        <v>15481</v>
      </c>
      <c r="G2165">
        <v>4537</v>
      </c>
      <c r="H2165" s="32">
        <f t="shared" si="33"/>
        <v>3.4121666299316731</v>
      </c>
      <c r="I2165">
        <v>1</v>
      </c>
      <c r="J2165" t="s">
        <v>21</v>
      </c>
    </row>
    <row r="2166" spans="1:10" x14ac:dyDescent="0.25">
      <c r="A2166">
        <v>61581</v>
      </c>
      <c r="B2166" t="s">
        <v>4038</v>
      </c>
      <c r="C2166" t="s">
        <v>708</v>
      </c>
      <c r="D2166" t="s">
        <v>2241</v>
      </c>
      <c r="E2166" t="s">
        <v>2242</v>
      </c>
      <c r="F2166">
        <v>30904</v>
      </c>
      <c r="G2166">
        <v>9057</v>
      </c>
      <c r="H2166" s="32">
        <f t="shared" si="33"/>
        <v>3.4121673843436016</v>
      </c>
      <c r="I2166">
        <v>1</v>
      </c>
      <c r="J2166" t="s">
        <v>21</v>
      </c>
    </row>
    <row r="2167" spans="1:10" x14ac:dyDescent="0.25">
      <c r="A2167">
        <v>67814</v>
      </c>
      <c r="B2167" t="s">
        <v>5181</v>
      </c>
      <c r="C2167" t="s">
        <v>166</v>
      </c>
      <c r="D2167" t="s">
        <v>2241</v>
      </c>
      <c r="E2167" t="s">
        <v>2242</v>
      </c>
      <c r="F2167">
        <v>15423</v>
      </c>
      <c r="G2167">
        <v>4520</v>
      </c>
      <c r="H2167" s="32">
        <f t="shared" si="33"/>
        <v>3.4121681415929204</v>
      </c>
      <c r="I2167">
        <v>1</v>
      </c>
      <c r="J2167" t="s">
        <v>21</v>
      </c>
    </row>
    <row r="2168" spans="1:10" x14ac:dyDescent="0.25">
      <c r="A2168">
        <v>60378</v>
      </c>
      <c r="B2168" t="s">
        <v>3751</v>
      </c>
      <c r="C2168" t="s">
        <v>241</v>
      </c>
      <c r="D2168" t="s">
        <v>2241</v>
      </c>
      <c r="E2168" t="s">
        <v>2242</v>
      </c>
      <c r="F2168">
        <v>13908</v>
      </c>
      <c r="G2168">
        <v>4076</v>
      </c>
      <c r="H2168" s="32">
        <f t="shared" si="33"/>
        <v>3.4121687929342492</v>
      </c>
      <c r="I2168">
        <v>1</v>
      </c>
      <c r="J2168" t="s">
        <v>21</v>
      </c>
    </row>
    <row r="2169" spans="1:10" x14ac:dyDescent="0.25">
      <c r="A2169">
        <v>58480</v>
      </c>
      <c r="B2169" t="s">
        <v>3201</v>
      </c>
      <c r="C2169" t="s">
        <v>708</v>
      </c>
      <c r="D2169" t="s">
        <v>2241</v>
      </c>
      <c r="E2169" t="s">
        <v>2242</v>
      </c>
      <c r="F2169">
        <v>20357</v>
      </c>
      <c r="G2169">
        <v>5966</v>
      </c>
      <c r="H2169" s="32">
        <f t="shared" si="33"/>
        <v>3.4121689574254108</v>
      </c>
      <c r="I2169">
        <v>1</v>
      </c>
      <c r="J2169" t="s">
        <v>21</v>
      </c>
    </row>
    <row r="2170" spans="1:10" x14ac:dyDescent="0.25">
      <c r="A2170">
        <v>62601</v>
      </c>
      <c r="B2170" t="s">
        <v>4179</v>
      </c>
      <c r="C2170" t="s">
        <v>708</v>
      </c>
      <c r="D2170" t="s">
        <v>2241</v>
      </c>
      <c r="E2170" t="s">
        <v>2242</v>
      </c>
      <c r="F2170">
        <v>12898</v>
      </c>
      <c r="G2170">
        <v>3780</v>
      </c>
      <c r="H2170" s="32">
        <f t="shared" si="33"/>
        <v>3.4121693121693122</v>
      </c>
      <c r="I2170">
        <v>1</v>
      </c>
      <c r="J2170" t="s">
        <v>21</v>
      </c>
    </row>
    <row r="2171" spans="1:10" x14ac:dyDescent="0.25">
      <c r="A2171">
        <v>64520</v>
      </c>
      <c r="B2171" t="s">
        <v>4599</v>
      </c>
      <c r="C2171" t="s">
        <v>708</v>
      </c>
      <c r="D2171" t="s">
        <v>2241</v>
      </c>
      <c r="E2171" t="s">
        <v>2242</v>
      </c>
      <c r="F2171">
        <v>12898</v>
      </c>
      <c r="G2171">
        <v>3780</v>
      </c>
      <c r="H2171" s="32">
        <f t="shared" si="33"/>
        <v>3.4121693121693122</v>
      </c>
      <c r="I2171">
        <v>1</v>
      </c>
      <c r="J2171" t="s">
        <v>21</v>
      </c>
    </row>
    <row r="2172" spans="1:10" x14ac:dyDescent="0.25">
      <c r="A2172">
        <v>60727</v>
      </c>
      <c r="B2172" t="s">
        <v>3844</v>
      </c>
      <c r="C2172" t="s">
        <v>241</v>
      </c>
      <c r="D2172" t="s">
        <v>2241</v>
      </c>
      <c r="E2172" t="s">
        <v>2242</v>
      </c>
      <c r="F2172">
        <v>16822</v>
      </c>
      <c r="G2172">
        <v>4930</v>
      </c>
      <c r="H2172" s="32">
        <f t="shared" si="33"/>
        <v>3.4121703853955374</v>
      </c>
      <c r="I2172">
        <v>1</v>
      </c>
      <c r="J2172" t="s">
        <v>21</v>
      </c>
    </row>
    <row r="2173" spans="1:10" x14ac:dyDescent="0.25">
      <c r="A2173">
        <v>66089</v>
      </c>
      <c r="B2173" t="s">
        <v>4846</v>
      </c>
      <c r="C2173" t="s">
        <v>241</v>
      </c>
      <c r="D2173" t="s">
        <v>2241</v>
      </c>
      <c r="E2173" t="s">
        <v>2242</v>
      </c>
      <c r="F2173">
        <v>21756</v>
      </c>
      <c r="G2173">
        <v>6376</v>
      </c>
      <c r="H2173" s="32">
        <f t="shared" si="33"/>
        <v>3.4121706398996237</v>
      </c>
      <c r="I2173">
        <v>1</v>
      </c>
      <c r="J2173" t="s">
        <v>21</v>
      </c>
    </row>
    <row r="2174" spans="1:10" x14ac:dyDescent="0.25">
      <c r="A2174">
        <v>60599</v>
      </c>
      <c r="B2174" t="s">
        <v>3813</v>
      </c>
      <c r="C2174" t="s">
        <v>708</v>
      </c>
      <c r="D2174" t="s">
        <v>2241</v>
      </c>
      <c r="E2174" t="s">
        <v>2242</v>
      </c>
      <c r="F2174">
        <v>7906</v>
      </c>
      <c r="G2174">
        <v>2317</v>
      </c>
      <c r="H2174" s="32">
        <f t="shared" si="33"/>
        <v>3.4121709106603366</v>
      </c>
      <c r="I2174">
        <v>1</v>
      </c>
      <c r="J2174" t="s">
        <v>21</v>
      </c>
    </row>
    <row r="2175" spans="1:10" x14ac:dyDescent="0.25">
      <c r="A2175">
        <v>58854</v>
      </c>
      <c r="B2175" t="s">
        <v>3310</v>
      </c>
      <c r="C2175" t="s">
        <v>708</v>
      </c>
      <c r="D2175" t="s">
        <v>2241</v>
      </c>
      <c r="E2175" t="s">
        <v>2242</v>
      </c>
      <c r="F2175">
        <v>30109</v>
      </c>
      <c r="G2175">
        <v>8824</v>
      </c>
      <c r="H2175" s="32">
        <f t="shared" si="33"/>
        <v>3.4121713508612874</v>
      </c>
      <c r="I2175">
        <v>1</v>
      </c>
      <c r="J2175" t="s">
        <v>21</v>
      </c>
    </row>
    <row r="2176" spans="1:10" x14ac:dyDescent="0.25">
      <c r="A2176">
        <v>62692</v>
      </c>
      <c r="B2176" t="s">
        <v>4209</v>
      </c>
      <c r="C2176" t="s">
        <v>708</v>
      </c>
      <c r="D2176" t="s">
        <v>2241</v>
      </c>
      <c r="E2176" t="s">
        <v>2242</v>
      </c>
      <c r="F2176">
        <v>25622</v>
      </c>
      <c r="G2176">
        <v>7509</v>
      </c>
      <c r="H2176" s="32">
        <f t="shared" si="33"/>
        <v>3.4121720601944334</v>
      </c>
      <c r="I2176">
        <v>1</v>
      </c>
      <c r="J2176" t="s">
        <v>21</v>
      </c>
    </row>
    <row r="2177" spans="1:10" x14ac:dyDescent="0.25">
      <c r="A2177">
        <v>59999</v>
      </c>
      <c r="B2177" t="s">
        <v>3647</v>
      </c>
      <c r="C2177" t="s">
        <v>708</v>
      </c>
      <c r="D2177" t="s">
        <v>2241</v>
      </c>
      <c r="E2177" t="s">
        <v>2242</v>
      </c>
      <c r="F2177">
        <v>17716</v>
      </c>
      <c r="G2177">
        <v>5192</v>
      </c>
      <c r="H2177" s="32">
        <f t="shared" si="33"/>
        <v>3.4121725731895225</v>
      </c>
      <c r="I2177">
        <v>1</v>
      </c>
      <c r="J2177" t="s">
        <v>21</v>
      </c>
    </row>
    <row r="2178" spans="1:10" x14ac:dyDescent="0.25">
      <c r="A2178">
        <v>61255</v>
      </c>
      <c r="B2178" t="s">
        <v>3965</v>
      </c>
      <c r="C2178" t="s">
        <v>708</v>
      </c>
      <c r="D2178" t="s">
        <v>2241</v>
      </c>
      <c r="E2178" t="s">
        <v>2242</v>
      </c>
      <c r="F2178">
        <v>29993</v>
      </c>
      <c r="G2178">
        <v>8790</v>
      </c>
      <c r="H2178" s="32">
        <f t="shared" ref="H2178:H2241" si="34">IF(AND(F2178&gt;0,G2178&gt;0),F2178/G2178,"")</f>
        <v>3.4121729237770193</v>
      </c>
      <c r="I2178">
        <v>1</v>
      </c>
      <c r="J2178" t="s">
        <v>21</v>
      </c>
    </row>
    <row r="2179" spans="1:10" x14ac:dyDescent="0.25">
      <c r="A2179">
        <v>59981</v>
      </c>
      <c r="B2179" t="s">
        <v>3635</v>
      </c>
      <c r="C2179" t="s">
        <v>131</v>
      </c>
      <c r="D2179" t="s">
        <v>2241</v>
      </c>
      <c r="E2179" t="s">
        <v>2242</v>
      </c>
      <c r="F2179">
        <v>5886</v>
      </c>
      <c r="G2179">
        <v>1725</v>
      </c>
      <c r="H2179" s="32">
        <f t="shared" si="34"/>
        <v>3.4121739130434783</v>
      </c>
      <c r="I2179">
        <v>1</v>
      </c>
      <c r="J2179" t="s">
        <v>21</v>
      </c>
    </row>
    <row r="2180" spans="1:10" x14ac:dyDescent="0.25">
      <c r="A2180">
        <v>63225</v>
      </c>
      <c r="B2180" t="s">
        <v>4306</v>
      </c>
      <c r="C2180" t="s">
        <v>708</v>
      </c>
      <c r="D2180" t="s">
        <v>2241</v>
      </c>
      <c r="E2180" t="s">
        <v>2242</v>
      </c>
      <c r="F2180">
        <v>23544</v>
      </c>
      <c r="G2180">
        <v>6900</v>
      </c>
      <c r="H2180" s="32">
        <f t="shared" si="34"/>
        <v>3.4121739130434783</v>
      </c>
      <c r="I2180">
        <v>1</v>
      </c>
      <c r="J2180" t="s">
        <v>21</v>
      </c>
    </row>
    <row r="2181" spans="1:10" x14ac:dyDescent="0.25">
      <c r="A2181">
        <v>64742</v>
      </c>
      <c r="B2181" t="s">
        <v>4640</v>
      </c>
      <c r="C2181" t="s">
        <v>166</v>
      </c>
      <c r="D2181" t="s">
        <v>2241</v>
      </c>
      <c r="E2181" t="s">
        <v>2242</v>
      </c>
      <c r="F2181">
        <v>11772</v>
      </c>
      <c r="G2181">
        <v>3450</v>
      </c>
      <c r="H2181" s="32">
        <f t="shared" si="34"/>
        <v>3.4121739130434783</v>
      </c>
      <c r="I2181">
        <v>1</v>
      </c>
      <c r="J2181" t="s">
        <v>21</v>
      </c>
    </row>
    <row r="2182" spans="1:10" x14ac:dyDescent="0.25">
      <c r="A2182">
        <v>65324</v>
      </c>
      <c r="B2182" t="s">
        <v>4724</v>
      </c>
      <c r="C2182" t="s">
        <v>307</v>
      </c>
      <c r="D2182" t="s">
        <v>2241</v>
      </c>
      <c r="E2182" t="s">
        <v>2242</v>
      </c>
      <c r="F2182">
        <v>7848</v>
      </c>
      <c r="G2182">
        <v>2300</v>
      </c>
      <c r="H2182" s="32">
        <f t="shared" si="34"/>
        <v>3.4121739130434783</v>
      </c>
      <c r="I2182">
        <v>1</v>
      </c>
      <c r="J2182" t="s">
        <v>21</v>
      </c>
    </row>
    <row r="2183" spans="1:10" x14ac:dyDescent="0.25">
      <c r="A2183">
        <v>69420</v>
      </c>
      <c r="B2183" t="s">
        <v>5363</v>
      </c>
      <c r="C2183" t="s">
        <v>166</v>
      </c>
      <c r="D2183" t="s">
        <v>2241</v>
      </c>
      <c r="E2183" t="s">
        <v>2242</v>
      </c>
      <c r="F2183">
        <v>7848</v>
      </c>
      <c r="G2183">
        <v>2300</v>
      </c>
      <c r="H2183" s="32">
        <f t="shared" si="34"/>
        <v>3.4121739130434783</v>
      </c>
      <c r="I2183">
        <v>1</v>
      </c>
      <c r="J2183" t="s">
        <v>21</v>
      </c>
    </row>
    <row r="2184" spans="1:10" x14ac:dyDescent="0.25">
      <c r="A2184">
        <v>62104</v>
      </c>
      <c r="B2184" t="s">
        <v>4112</v>
      </c>
      <c r="C2184" t="s">
        <v>708</v>
      </c>
      <c r="D2184" t="s">
        <v>2241</v>
      </c>
      <c r="E2184" t="s">
        <v>2242</v>
      </c>
      <c r="F2184">
        <v>29877</v>
      </c>
      <c r="G2184">
        <v>8756</v>
      </c>
      <c r="H2184" s="32">
        <f t="shared" si="34"/>
        <v>3.4121745089081772</v>
      </c>
      <c r="I2184">
        <v>1</v>
      </c>
      <c r="J2184" t="s">
        <v>21</v>
      </c>
    </row>
    <row r="2185" spans="1:10" x14ac:dyDescent="0.25">
      <c r="A2185">
        <v>70280</v>
      </c>
      <c r="B2185" t="s">
        <v>5442</v>
      </c>
      <c r="C2185" t="s">
        <v>166</v>
      </c>
      <c r="D2185" t="s">
        <v>2241</v>
      </c>
      <c r="E2185" t="s">
        <v>2242</v>
      </c>
      <c r="F2185">
        <v>14686</v>
      </c>
      <c r="G2185">
        <v>4304</v>
      </c>
      <c r="H2185" s="32">
        <f t="shared" si="34"/>
        <v>3.412174721189591</v>
      </c>
      <c r="I2185">
        <v>1</v>
      </c>
      <c r="J2185" t="s">
        <v>21</v>
      </c>
    </row>
    <row r="2186" spans="1:10" x14ac:dyDescent="0.25">
      <c r="A2186">
        <v>67709</v>
      </c>
      <c r="B2186" t="s">
        <v>5153</v>
      </c>
      <c r="C2186" t="s">
        <v>3055</v>
      </c>
      <c r="D2186" t="s">
        <v>2241</v>
      </c>
      <c r="E2186" t="s">
        <v>2242</v>
      </c>
      <c r="F2186">
        <v>15638</v>
      </c>
      <c r="G2186">
        <v>4583</v>
      </c>
      <c r="H2186" s="32">
        <f t="shared" si="34"/>
        <v>3.4121754309404322</v>
      </c>
      <c r="I2186">
        <v>1</v>
      </c>
      <c r="J2186" t="s">
        <v>21</v>
      </c>
    </row>
    <row r="2187" spans="1:10" x14ac:dyDescent="0.25">
      <c r="A2187">
        <v>58741</v>
      </c>
      <c r="B2187" t="s">
        <v>3272</v>
      </c>
      <c r="C2187" t="s">
        <v>708</v>
      </c>
      <c r="D2187" t="s">
        <v>2241</v>
      </c>
      <c r="E2187" t="s">
        <v>2242</v>
      </c>
      <c r="F2187">
        <v>28304</v>
      </c>
      <c r="G2187">
        <v>8295</v>
      </c>
      <c r="H2187" s="32">
        <f t="shared" si="34"/>
        <v>3.4121760096443641</v>
      </c>
      <c r="I2187">
        <v>1</v>
      </c>
      <c r="J2187" t="s">
        <v>21</v>
      </c>
    </row>
    <row r="2188" spans="1:10" x14ac:dyDescent="0.25">
      <c r="A2188">
        <v>58316</v>
      </c>
      <c r="B2188" t="s">
        <v>3147</v>
      </c>
      <c r="C2188" t="s">
        <v>708</v>
      </c>
      <c r="D2188" t="s">
        <v>2241</v>
      </c>
      <c r="E2188" t="s">
        <v>2242</v>
      </c>
      <c r="F2188">
        <v>14628</v>
      </c>
      <c r="G2188">
        <v>4287</v>
      </c>
      <c r="H2188" s="32">
        <f t="shared" si="34"/>
        <v>3.4121763470958713</v>
      </c>
      <c r="I2188">
        <v>1</v>
      </c>
      <c r="J2188" t="s">
        <v>21</v>
      </c>
    </row>
    <row r="2189" spans="1:10" x14ac:dyDescent="0.25">
      <c r="A2189">
        <v>58797</v>
      </c>
      <c r="B2189" t="s">
        <v>3283</v>
      </c>
      <c r="C2189" t="s">
        <v>131</v>
      </c>
      <c r="D2189" t="s">
        <v>2241</v>
      </c>
      <c r="E2189" t="s">
        <v>2242</v>
      </c>
      <c r="F2189">
        <v>1457</v>
      </c>
      <c r="G2189">
        <v>427</v>
      </c>
      <c r="H2189" s="32">
        <f t="shared" si="34"/>
        <v>3.4121779859484778</v>
      </c>
      <c r="I2189">
        <v>1</v>
      </c>
      <c r="J2189" t="s">
        <v>21</v>
      </c>
    </row>
    <row r="2190" spans="1:10" x14ac:dyDescent="0.25">
      <c r="A2190">
        <v>59936</v>
      </c>
      <c r="B2190" t="s">
        <v>3626</v>
      </c>
      <c r="C2190" t="s">
        <v>708</v>
      </c>
      <c r="D2190" t="s">
        <v>2241</v>
      </c>
      <c r="E2190" t="s">
        <v>2242</v>
      </c>
      <c r="F2190">
        <v>23759</v>
      </c>
      <c r="G2190">
        <v>6963</v>
      </c>
      <c r="H2190" s="32">
        <f t="shared" si="34"/>
        <v>3.412178658624156</v>
      </c>
      <c r="I2190">
        <v>1</v>
      </c>
      <c r="J2190" t="s">
        <v>21</v>
      </c>
    </row>
    <row r="2191" spans="1:10" x14ac:dyDescent="0.25">
      <c r="A2191">
        <v>63381</v>
      </c>
      <c r="B2191" t="s">
        <v>4339</v>
      </c>
      <c r="C2191" t="s">
        <v>708</v>
      </c>
      <c r="D2191" t="s">
        <v>2241</v>
      </c>
      <c r="E2191" t="s">
        <v>2242</v>
      </c>
      <c r="F2191">
        <v>22302</v>
      </c>
      <c r="G2191">
        <v>6536</v>
      </c>
      <c r="H2191" s="32">
        <f t="shared" si="34"/>
        <v>3.4121787025703796</v>
      </c>
      <c r="I2191">
        <v>1</v>
      </c>
      <c r="J2191" t="s">
        <v>21</v>
      </c>
    </row>
    <row r="2192" spans="1:10" x14ac:dyDescent="0.25">
      <c r="A2192">
        <v>57397</v>
      </c>
      <c r="B2192" t="s">
        <v>2982</v>
      </c>
      <c r="C2192" t="s">
        <v>241</v>
      </c>
      <c r="D2192" t="s">
        <v>2241</v>
      </c>
      <c r="E2192" t="s">
        <v>2242</v>
      </c>
      <c r="F2192">
        <v>12103</v>
      </c>
      <c r="G2192">
        <v>3547</v>
      </c>
      <c r="H2192" s="32">
        <f t="shared" si="34"/>
        <v>3.4121793064561601</v>
      </c>
      <c r="I2192">
        <v>1</v>
      </c>
      <c r="J2192" t="s">
        <v>21</v>
      </c>
    </row>
    <row r="2193" spans="1:10" x14ac:dyDescent="0.25">
      <c r="A2193">
        <v>57412</v>
      </c>
      <c r="B2193" t="s">
        <v>2989</v>
      </c>
      <c r="C2193" t="s">
        <v>143</v>
      </c>
      <c r="D2193" t="s">
        <v>2241</v>
      </c>
      <c r="E2193" t="s">
        <v>2242</v>
      </c>
      <c r="F2193">
        <v>13502</v>
      </c>
      <c r="G2193">
        <v>3957</v>
      </c>
      <c r="H2193" s="32">
        <f t="shared" si="34"/>
        <v>3.412180945160475</v>
      </c>
      <c r="I2193">
        <v>1</v>
      </c>
      <c r="J2193" t="s">
        <v>21</v>
      </c>
    </row>
    <row r="2194" spans="1:10" x14ac:dyDescent="0.25">
      <c r="A2194">
        <v>60135</v>
      </c>
      <c r="B2194" t="s">
        <v>3685</v>
      </c>
      <c r="C2194" t="s">
        <v>708</v>
      </c>
      <c r="D2194" t="s">
        <v>2241</v>
      </c>
      <c r="E2194" t="s">
        <v>2242</v>
      </c>
      <c r="F2194">
        <v>30365</v>
      </c>
      <c r="G2194">
        <v>8899</v>
      </c>
      <c r="H2194" s="32">
        <f t="shared" si="34"/>
        <v>3.4121811439487582</v>
      </c>
      <c r="I2194">
        <v>1</v>
      </c>
      <c r="J2194" t="s">
        <v>21</v>
      </c>
    </row>
    <row r="2195" spans="1:10" x14ac:dyDescent="0.25">
      <c r="A2195">
        <v>59564</v>
      </c>
      <c r="B2195" t="s">
        <v>3514</v>
      </c>
      <c r="C2195" t="s">
        <v>708</v>
      </c>
      <c r="D2195" t="s">
        <v>2241</v>
      </c>
      <c r="E2195" t="s">
        <v>2242</v>
      </c>
      <c r="F2195">
        <v>32774</v>
      </c>
      <c r="G2195">
        <v>9605</v>
      </c>
      <c r="H2195" s="32">
        <f t="shared" si="34"/>
        <v>3.4121811556481001</v>
      </c>
      <c r="I2195">
        <v>1</v>
      </c>
      <c r="J2195" t="s">
        <v>21</v>
      </c>
    </row>
    <row r="2196" spans="1:10" x14ac:dyDescent="0.25">
      <c r="A2196">
        <v>64018</v>
      </c>
      <c r="B2196" t="s">
        <v>4472</v>
      </c>
      <c r="C2196" t="s">
        <v>166</v>
      </c>
      <c r="D2196" t="s">
        <v>2241</v>
      </c>
      <c r="E2196" t="s">
        <v>2242</v>
      </c>
      <c r="F2196">
        <v>13949</v>
      </c>
      <c r="G2196">
        <v>4088</v>
      </c>
      <c r="H2196" s="32">
        <f t="shared" si="34"/>
        <v>3.4121819960861055</v>
      </c>
      <c r="I2196">
        <v>1</v>
      </c>
      <c r="J2196" t="s">
        <v>21</v>
      </c>
    </row>
    <row r="2197" spans="1:10" x14ac:dyDescent="0.25">
      <c r="A2197">
        <v>65610</v>
      </c>
      <c r="B2197" t="s">
        <v>4778</v>
      </c>
      <c r="C2197" t="s">
        <v>307</v>
      </c>
      <c r="D2197" t="s">
        <v>2241</v>
      </c>
      <c r="E2197" t="s">
        <v>2242</v>
      </c>
      <c r="F2197">
        <v>11540</v>
      </c>
      <c r="G2197">
        <v>3382</v>
      </c>
      <c r="H2197" s="32">
        <f t="shared" si="34"/>
        <v>3.4121821407451214</v>
      </c>
      <c r="I2197">
        <v>1</v>
      </c>
      <c r="J2197" t="s">
        <v>21</v>
      </c>
    </row>
    <row r="2198" spans="1:10" x14ac:dyDescent="0.25">
      <c r="A2198">
        <v>60118</v>
      </c>
      <c r="B2198" t="s">
        <v>3676</v>
      </c>
      <c r="C2198" t="s">
        <v>250</v>
      </c>
      <c r="D2198" t="s">
        <v>2241</v>
      </c>
      <c r="E2198" t="s">
        <v>2242</v>
      </c>
      <c r="F2198">
        <v>14396</v>
      </c>
      <c r="G2198">
        <v>4219</v>
      </c>
      <c r="H2198" s="32">
        <f t="shared" si="34"/>
        <v>3.4121829817492295</v>
      </c>
      <c r="I2198">
        <v>1</v>
      </c>
      <c r="J2198" t="s">
        <v>21</v>
      </c>
    </row>
    <row r="2199" spans="1:10" x14ac:dyDescent="0.25">
      <c r="A2199">
        <v>66372</v>
      </c>
      <c r="B2199" t="s">
        <v>4889</v>
      </c>
      <c r="C2199" t="s">
        <v>708</v>
      </c>
      <c r="D2199" t="s">
        <v>2241</v>
      </c>
      <c r="E2199" t="s">
        <v>2242</v>
      </c>
      <c r="F2199">
        <v>34446</v>
      </c>
      <c r="G2199">
        <v>10095</v>
      </c>
      <c r="H2199" s="32">
        <f t="shared" si="34"/>
        <v>3.4121842496285288</v>
      </c>
      <c r="I2199">
        <v>1</v>
      </c>
      <c r="J2199" t="s">
        <v>21</v>
      </c>
    </row>
    <row r="2200" spans="1:10" x14ac:dyDescent="0.25">
      <c r="A2200">
        <v>68918</v>
      </c>
      <c r="B2200" t="s">
        <v>5274</v>
      </c>
      <c r="C2200" t="s">
        <v>166</v>
      </c>
      <c r="D2200" t="s">
        <v>2241</v>
      </c>
      <c r="E2200" t="s">
        <v>2242</v>
      </c>
      <c r="F2200">
        <v>8121</v>
      </c>
      <c r="G2200">
        <v>2380</v>
      </c>
      <c r="H2200" s="32">
        <f t="shared" si="34"/>
        <v>3.4121848739495797</v>
      </c>
      <c r="I2200">
        <v>1</v>
      </c>
      <c r="J2200" t="s">
        <v>21</v>
      </c>
    </row>
    <row r="2201" spans="1:10" x14ac:dyDescent="0.25">
      <c r="A2201">
        <v>63237</v>
      </c>
      <c r="B2201" t="s">
        <v>4308</v>
      </c>
      <c r="C2201" t="s">
        <v>307</v>
      </c>
      <c r="D2201" t="s">
        <v>2241</v>
      </c>
      <c r="E2201" t="s">
        <v>2242</v>
      </c>
      <c r="F2201">
        <v>10977</v>
      </c>
      <c r="G2201">
        <v>3217</v>
      </c>
      <c r="H2201" s="32">
        <f t="shared" si="34"/>
        <v>3.4121852657755674</v>
      </c>
      <c r="I2201">
        <v>1</v>
      </c>
      <c r="J2201" t="s">
        <v>21</v>
      </c>
    </row>
    <row r="2202" spans="1:10" x14ac:dyDescent="0.25">
      <c r="A2202">
        <v>58239</v>
      </c>
      <c r="B2202" t="s">
        <v>3131</v>
      </c>
      <c r="C2202" t="s">
        <v>307</v>
      </c>
      <c r="D2202" t="s">
        <v>2241</v>
      </c>
      <c r="E2202" t="s">
        <v>2242</v>
      </c>
      <c r="F2202">
        <v>4760</v>
      </c>
      <c r="G2202">
        <v>1395</v>
      </c>
      <c r="H2202" s="32">
        <f t="shared" si="34"/>
        <v>3.4121863799283152</v>
      </c>
      <c r="I2202">
        <v>1</v>
      </c>
      <c r="J2202" t="s">
        <v>21</v>
      </c>
    </row>
    <row r="2203" spans="1:10" x14ac:dyDescent="0.25">
      <c r="A2203">
        <v>63181</v>
      </c>
      <c r="B2203" t="s">
        <v>4300</v>
      </c>
      <c r="C2203" t="s">
        <v>322</v>
      </c>
      <c r="D2203" t="s">
        <v>2241</v>
      </c>
      <c r="E2203" t="s">
        <v>2242</v>
      </c>
      <c r="F2203">
        <v>8568</v>
      </c>
      <c r="G2203">
        <v>2511</v>
      </c>
      <c r="H2203" s="32">
        <f t="shared" si="34"/>
        <v>3.4121863799283152</v>
      </c>
      <c r="I2203">
        <v>1</v>
      </c>
      <c r="J2203" t="s">
        <v>21</v>
      </c>
    </row>
    <row r="2204" spans="1:10" x14ac:dyDescent="0.25">
      <c r="A2204">
        <v>68958</v>
      </c>
      <c r="B2204" t="s">
        <v>5284</v>
      </c>
      <c r="C2204" t="s">
        <v>166</v>
      </c>
      <c r="D2204" t="s">
        <v>2241</v>
      </c>
      <c r="E2204" t="s">
        <v>2242</v>
      </c>
      <c r="F2204">
        <v>16631</v>
      </c>
      <c r="G2204">
        <v>4874</v>
      </c>
      <c r="H2204" s="32">
        <f t="shared" si="34"/>
        <v>3.412187115305704</v>
      </c>
      <c r="I2204">
        <v>1</v>
      </c>
      <c r="J2204" t="s">
        <v>21</v>
      </c>
    </row>
    <row r="2205" spans="1:10" x14ac:dyDescent="0.25">
      <c r="A2205">
        <v>67753</v>
      </c>
      <c r="B2205" t="s">
        <v>5164</v>
      </c>
      <c r="C2205" t="s">
        <v>166</v>
      </c>
      <c r="D2205" t="s">
        <v>2241</v>
      </c>
      <c r="E2205" t="s">
        <v>2242</v>
      </c>
      <c r="F2205">
        <v>14222</v>
      </c>
      <c r="G2205">
        <v>4168</v>
      </c>
      <c r="H2205" s="32">
        <f t="shared" si="34"/>
        <v>3.4121880998080614</v>
      </c>
      <c r="I2205">
        <v>1</v>
      </c>
      <c r="J2205" t="s">
        <v>21</v>
      </c>
    </row>
    <row r="2206" spans="1:10" x14ac:dyDescent="0.25">
      <c r="A2206">
        <v>66162</v>
      </c>
      <c r="B2206" t="s">
        <v>4867</v>
      </c>
      <c r="C2206" t="s">
        <v>307</v>
      </c>
      <c r="D2206" t="s">
        <v>2241</v>
      </c>
      <c r="E2206" t="s">
        <v>2242</v>
      </c>
      <c r="F2206">
        <v>14669</v>
      </c>
      <c r="G2206">
        <v>4299</v>
      </c>
      <c r="H2206" s="32">
        <f t="shared" si="34"/>
        <v>3.4121888811351475</v>
      </c>
      <c r="I2206">
        <v>1</v>
      </c>
      <c r="J2206" t="s">
        <v>21</v>
      </c>
    </row>
    <row r="2207" spans="1:10" x14ac:dyDescent="0.25">
      <c r="A2207">
        <v>60465</v>
      </c>
      <c r="B2207" t="s">
        <v>3781</v>
      </c>
      <c r="C2207" t="s">
        <v>307</v>
      </c>
      <c r="D2207" t="s">
        <v>2241</v>
      </c>
      <c r="E2207" t="s">
        <v>2242</v>
      </c>
      <c r="F2207">
        <v>7558</v>
      </c>
      <c r="G2207">
        <v>2215</v>
      </c>
      <c r="H2207" s="32">
        <f t="shared" si="34"/>
        <v>3.4121896162528218</v>
      </c>
      <c r="I2207">
        <v>1</v>
      </c>
      <c r="J2207" t="s">
        <v>21</v>
      </c>
    </row>
    <row r="2208" spans="1:10" x14ac:dyDescent="0.25">
      <c r="A2208">
        <v>65013</v>
      </c>
      <c r="B2208" t="s">
        <v>4669</v>
      </c>
      <c r="C2208" t="s">
        <v>166</v>
      </c>
      <c r="D2208" t="s">
        <v>2241</v>
      </c>
      <c r="E2208" t="s">
        <v>2242</v>
      </c>
      <c r="F2208">
        <v>13154</v>
      </c>
      <c r="G2208">
        <v>3855</v>
      </c>
      <c r="H2208" s="32">
        <f t="shared" si="34"/>
        <v>3.4121919584954603</v>
      </c>
      <c r="I2208">
        <v>1</v>
      </c>
      <c r="J2208" t="s">
        <v>21</v>
      </c>
    </row>
    <row r="2209" spans="1:10" x14ac:dyDescent="0.25">
      <c r="A2209">
        <v>67628</v>
      </c>
      <c r="B2209" t="s">
        <v>5125</v>
      </c>
      <c r="C2209" t="s">
        <v>166</v>
      </c>
      <c r="D2209" t="s">
        <v>2241</v>
      </c>
      <c r="E2209" t="s">
        <v>2242</v>
      </c>
      <c r="F2209">
        <v>14553</v>
      </c>
      <c r="G2209">
        <v>4265</v>
      </c>
      <c r="H2209" s="32">
        <f t="shared" si="34"/>
        <v>3.4121922626025794</v>
      </c>
      <c r="I2209">
        <v>1</v>
      </c>
      <c r="J2209" t="s">
        <v>21</v>
      </c>
    </row>
    <row r="2210" spans="1:10" x14ac:dyDescent="0.25">
      <c r="A2210">
        <v>63979</v>
      </c>
      <c r="B2210" t="s">
        <v>4460</v>
      </c>
      <c r="C2210" t="s">
        <v>708</v>
      </c>
      <c r="D2210" t="s">
        <v>2241</v>
      </c>
      <c r="E2210" t="s">
        <v>2242</v>
      </c>
      <c r="F2210">
        <v>14048</v>
      </c>
      <c r="G2210">
        <v>4117</v>
      </c>
      <c r="H2210" s="32">
        <f t="shared" si="34"/>
        <v>3.4121933446684478</v>
      </c>
      <c r="I2210">
        <v>1</v>
      </c>
      <c r="J2210" t="s">
        <v>21</v>
      </c>
    </row>
    <row r="2211" spans="1:10" x14ac:dyDescent="0.25">
      <c r="A2211">
        <v>64461</v>
      </c>
      <c r="B2211" t="s">
        <v>4572</v>
      </c>
      <c r="C2211" t="s">
        <v>250</v>
      </c>
      <c r="D2211" t="s">
        <v>2241</v>
      </c>
      <c r="E2211" t="s">
        <v>2242</v>
      </c>
      <c r="F2211">
        <v>14048</v>
      </c>
      <c r="G2211">
        <v>4117</v>
      </c>
      <c r="H2211" s="32">
        <f t="shared" si="34"/>
        <v>3.4121933446684478</v>
      </c>
      <c r="I2211">
        <v>1</v>
      </c>
      <c r="J2211" t="s">
        <v>21</v>
      </c>
    </row>
    <row r="2212" spans="1:10" x14ac:dyDescent="0.25">
      <c r="A2212">
        <v>66718</v>
      </c>
      <c r="B2212" t="s">
        <v>4948</v>
      </c>
      <c r="C2212" t="s">
        <v>708</v>
      </c>
      <c r="D2212" t="s">
        <v>2241</v>
      </c>
      <c r="E2212" t="s">
        <v>2242</v>
      </c>
      <c r="F2212">
        <v>14495</v>
      </c>
      <c r="G2212">
        <v>4248</v>
      </c>
      <c r="H2212" s="32">
        <f t="shared" si="34"/>
        <v>3.4121939736346518</v>
      </c>
      <c r="I2212">
        <v>1</v>
      </c>
      <c r="J2212" t="s">
        <v>21</v>
      </c>
    </row>
    <row r="2213" spans="1:10" x14ac:dyDescent="0.25">
      <c r="A2213">
        <v>70268</v>
      </c>
      <c r="B2213" t="s">
        <v>5439</v>
      </c>
      <c r="C2213" t="s">
        <v>166</v>
      </c>
      <c r="D2213" t="s">
        <v>2241</v>
      </c>
      <c r="E2213" t="s">
        <v>2242</v>
      </c>
      <c r="F2213">
        <v>14495</v>
      </c>
      <c r="G2213">
        <v>4248</v>
      </c>
      <c r="H2213" s="32">
        <f t="shared" si="34"/>
        <v>3.4121939736346518</v>
      </c>
      <c r="I2213">
        <v>1</v>
      </c>
      <c r="J2213" t="s">
        <v>21</v>
      </c>
    </row>
    <row r="2214" spans="1:10" x14ac:dyDescent="0.25">
      <c r="A2214">
        <v>59429</v>
      </c>
      <c r="B2214" t="s">
        <v>3452</v>
      </c>
      <c r="C2214" t="s">
        <v>708</v>
      </c>
      <c r="D2214" t="s">
        <v>2241</v>
      </c>
      <c r="E2214" t="s">
        <v>2242</v>
      </c>
      <c r="F2214">
        <v>22889</v>
      </c>
      <c r="G2214">
        <v>6708</v>
      </c>
      <c r="H2214" s="32">
        <f t="shared" si="34"/>
        <v>3.4121943947525342</v>
      </c>
      <c r="I2214">
        <v>1</v>
      </c>
      <c r="J2214" t="s">
        <v>21</v>
      </c>
    </row>
    <row r="2215" spans="1:10" x14ac:dyDescent="0.25">
      <c r="A2215">
        <v>67801</v>
      </c>
      <c r="B2215" t="s">
        <v>5171</v>
      </c>
      <c r="C2215" t="s">
        <v>307</v>
      </c>
      <c r="D2215" t="s">
        <v>2241</v>
      </c>
      <c r="E2215" t="s">
        <v>2242</v>
      </c>
      <c r="F2215">
        <v>8394</v>
      </c>
      <c r="G2215">
        <v>2460</v>
      </c>
      <c r="H2215" s="32">
        <f t="shared" si="34"/>
        <v>3.4121951219512194</v>
      </c>
      <c r="I2215">
        <v>1</v>
      </c>
      <c r="J2215" t="s">
        <v>21</v>
      </c>
    </row>
    <row r="2216" spans="1:10" x14ac:dyDescent="0.25">
      <c r="A2216">
        <v>61332</v>
      </c>
      <c r="B2216" t="s">
        <v>3994</v>
      </c>
      <c r="C2216" t="s">
        <v>2029</v>
      </c>
      <c r="D2216" t="s">
        <v>2241</v>
      </c>
      <c r="E2216" t="s">
        <v>2242</v>
      </c>
      <c r="F2216">
        <v>12086</v>
      </c>
      <c r="G2216">
        <v>3542</v>
      </c>
      <c r="H2216" s="32">
        <f t="shared" si="34"/>
        <v>3.4121964991530209</v>
      </c>
      <c r="I2216">
        <v>1</v>
      </c>
      <c r="J2216" t="s">
        <v>21</v>
      </c>
    </row>
    <row r="2217" spans="1:10" x14ac:dyDescent="0.25">
      <c r="A2217">
        <v>64023</v>
      </c>
      <c r="B2217" t="s">
        <v>4474</v>
      </c>
      <c r="C2217" t="s">
        <v>241</v>
      </c>
      <c r="D2217" t="s">
        <v>2241</v>
      </c>
      <c r="E2217" t="s">
        <v>2242</v>
      </c>
      <c r="F2217">
        <v>6490</v>
      </c>
      <c r="G2217">
        <v>1902</v>
      </c>
      <c r="H2217" s="32">
        <f t="shared" si="34"/>
        <v>3.4121976866456363</v>
      </c>
      <c r="I2217">
        <v>1</v>
      </c>
      <c r="J2217" t="s">
        <v>21</v>
      </c>
    </row>
    <row r="2218" spans="1:10" x14ac:dyDescent="0.25">
      <c r="A2218">
        <v>69905</v>
      </c>
      <c r="B2218" t="s">
        <v>5401</v>
      </c>
      <c r="C2218" t="s">
        <v>166</v>
      </c>
      <c r="D2218" t="s">
        <v>2241</v>
      </c>
      <c r="E2218" t="s">
        <v>2242</v>
      </c>
      <c r="F2218">
        <v>13816</v>
      </c>
      <c r="G2218">
        <v>4049</v>
      </c>
      <c r="H2218" s="32">
        <f t="shared" si="34"/>
        <v>3.4122005433440354</v>
      </c>
      <c r="I2218">
        <v>1</v>
      </c>
      <c r="J2218" t="s">
        <v>21</v>
      </c>
    </row>
    <row r="2219" spans="1:10" x14ac:dyDescent="0.25">
      <c r="A2219">
        <v>58070</v>
      </c>
      <c r="B2219" t="s">
        <v>3104</v>
      </c>
      <c r="C2219" t="s">
        <v>241</v>
      </c>
      <c r="D2219" t="s">
        <v>2241</v>
      </c>
      <c r="E2219" t="s">
        <v>2242</v>
      </c>
      <c r="F2219">
        <v>6879</v>
      </c>
      <c r="G2219">
        <v>2016</v>
      </c>
      <c r="H2219" s="32">
        <f t="shared" si="34"/>
        <v>3.4122023809523809</v>
      </c>
      <c r="I2219">
        <v>1</v>
      </c>
      <c r="J2219" t="s">
        <v>21</v>
      </c>
    </row>
    <row r="2220" spans="1:10" x14ac:dyDescent="0.25">
      <c r="A2220">
        <v>60165</v>
      </c>
      <c r="B2220" t="s">
        <v>3696</v>
      </c>
      <c r="C2220" t="s">
        <v>708</v>
      </c>
      <c r="D2220" t="s">
        <v>2241</v>
      </c>
      <c r="E2220" t="s">
        <v>2242</v>
      </c>
      <c r="F2220">
        <v>25223</v>
      </c>
      <c r="G2220">
        <v>7392</v>
      </c>
      <c r="H2220" s="32">
        <f t="shared" si="34"/>
        <v>3.4122023809523809</v>
      </c>
      <c r="I2220">
        <v>1</v>
      </c>
      <c r="J2220" t="s">
        <v>21</v>
      </c>
    </row>
    <row r="2221" spans="1:10" x14ac:dyDescent="0.25">
      <c r="A2221">
        <v>61219</v>
      </c>
      <c r="B2221" t="s">
        <v>3962</v>
      </c>
      <c r="C2221" t="s">
        <v>708</v>
      </c>
      <c r="D2221" t="s">
        <v>2241</v>
      </c>
      <c r="E2221" t="s">
        <v>2242</v>
      </c>
      <c r="F2221">
        <v>29809</v>
      </c>
      <c r="G2221">
        <v>8736</v>
      </c>
      <c r="H2221" s="32">
        <f t="shared" si="34"/>
        <v>3.4122023809523809</v>
      </c>
      <c r="I2221">
        <v>1</v>
      </c>
      <c r="J2221" t="s">
        <v>21</v>
      </c>
    </row>
    <row r="2222" spans="1:10" x14ac:dyDescent="0.25">
      <c r="A2222">
        <v>64119</v>
      </c>
      <c r="B2222" t="s">
        <v>4491</v>
      </c>
      <c r="C2222" t="s">
        <v>708</v>
      </c>
      <c r="D2222" t="s">
        <v>2241</v>
      </c>
      <c r="E2222" t="s">
        <v>2242</v>
      </c>
      <c r="F2222">
        <v>31597</v>
      </c>
      <c r="G2222">
        <v>9260</v>
      </c>
      <c r="H2222" s="32">
        <f t="shared" si="34"/>
        <v>3.4122030237580994</v>
      </c>
      <c r="I2222">
        <v>1</v>
      </c>
      <c r="J2222" t="s">
        <v>21</v>
      </c>
    </row>
    <row r="2223" spans="1:10" x14ac:dyDescent="0.25">
      <c r="A2223">
        <v>69328</v>
      </c>
      <c r="B2223" t="s">
        <v>5355</v>
      </c>
      <c r="C2223" t="s">
        <v>3055</v>
      </c>
      <c r="D2223" t="s">
        <v>2241</v>
      </c>
      <c r="E2223" t="s">
        <v>2242</v>
      </c>
      <c r="F2223">
        <v>2740</v>
      </c>
      <c r="G2223">
        <v>803</v>
      </c>
      <c r="H2223" s="32">
        <f t="shared" si="34"/>
        <v>3.4122042341220422</v>
      </c>
      <c r="I2223">
        <v>1</v>
      </c>
      <c r="J2223" t="s">
        <v>21</v>
      </c>
    </row>
    <row r="2224" spans="1:10" x14ac:dyDescent="0.25">
      <c r="A2224">
        <v>63346</v>
      </c>
      <c r="B2224" t="s">
        <v>4331</v>
      </c>
      <c r="C2224" t="s">
        <v>708</v>
      </c>
      <c r="D2224" t="s">
        <v>2241</v>
      </c>
      <c r="E2224" t="s">
        <v>2242</v>
      </c>
      <c r="F2224">
        <v>11407</v>
      </c>
      <c r="G2224">
        <v>3343</v>
      </c>
      <c r="H2224" s="32">
        <f t="shared" si="34"/>
        <v>3.4122046066407417</v>
      </c>
      <c r="I2224">
        <v>1</v>
      </c>
      <c r="J2224" t="s">
        <v>21</v>
      </c>
    </row>
    <row r="2225" spans="1:10" x14ac:dyDescent="0.25">
      <c r="A2225">
        <v>67508</v>
      </c>
      <c r="B2225" t="s">
        <v>5108</v>
      </c>
      <c r="C2225" t="s">
        <v>307</v>
      </c>
      <c r="D2225" t="s">
        <v>2241</v>
      </c>
      <c r="E2225" t="s">
        <v>2242</v>
      </c>
      <c r="F2225">
        <v>12301</v>
      </c>
      <c r="G2225">
        <v>3605</v>
      </c>
      <c r="H2225" s="32">
        <f t="shared" si="34"/>
        <v>3.4122052704576977</v>
      </c>
      <c r="I2225">
        <v>1</v>
      </c>
      <c r="J2225" t="s">
        <v>21</v>
      </c>
    </row>
    <row r="2226" spans="1:10" x14ac:dyDescent="0.25">
      <c r="A2226">
        <v>66486</v>
      </c>
      <c r="B2226" t="s">
        <v>4916</v>
      </c>
      <c r="C2226" t="s">
        <v>241</v>
      </c>
      <c r="D2226" t="s">
        <v>2241</v>
      </c>
      <c r="E2226" t="s">
        <v>2242</v>
      </c>
      <c r="F2226">
        <v>12748</v>
      </c>
      <c r="G2226">
        <v>3736</v>
      </c>
      <c r="H2226" s="32">
        <f t="shared" si="34"/>
        <v>3.4122055674518199</v>
      </c>
      <c r="I2226">
        <v>1</v>
      </c>
      <c r="J2226" t="s">
        <v>21</v>
      </c>
    </row>
    <row r="2227" spans="1:10" x14ac:dyDescent="0.25">
      <c r="A2227">
        <v>58344</v>
      </c>
      <c r="B2227" t="s">
        <v>3167</v>
      </c>
      <c r="C2227" t="s">
        <v>708</v>
      </c>
      <c r="D2227" t="s">
        <v>2241</v>
      </c>
      <c r="E2227" t="s">
        <v>2242</v>
      </c>
      <c r="F2227">
        <v>30024</v>
      </c>
      <c r="G2227">
        <v>8799</v>
      </c>
      <c r="H2227" s="32">
        <f t="shared" si="34"/>
        <v>3.4122059324923288</v>
      </c>
      <c r="I2227">
        <v>1</v>
      </c>
      <c r="J2227" t="s">
        <v>21</v>
      </c>
    </row>
    <row r="2228" spans="1:10" x14ac:dyDescent="0.25">
      <c r="A2228">
        <v>66819</v>
      </c>
      <c r="B2228" t="s">
        <v>4970</v>
      </c>
      <c r="C2228" t="s">
        <v>307</v>
      </c>
      <c r="D2228" t="s">
        <v>2241</v>
      </c>
      <c r="E2228" t="s">
        <v>2242</v>
      </c>
      <c r="F2228">
        <v>6821</v>
      </c>
      <c r="G2228">
        <v>1999</v>
      </c>
      <c r="H2228" s="32">
        <f t="shared" si="34"/>
        <v>3.4122061030515258</v>
      </c>
      <c r="I2228">
        <v>1</v>
      </c>
      <c r="J2228" t="s">
        <v>21</v>
      </c>
    </row>
    <row r="2229" spans="1:10" x14ac:dyDescent="0.25">
      <c r="A2229">
        <v>59001</v>
      </c>
      <c r="B2229" t="s">
        <v>3348</v>
      </c>
      <c r="C2229" t="s">
        <v>241</v>
      </c>
      <c r="D2229" t="s">
        <v>2241</v>
      </c>
      <c r="E2229" t="s">
        <v>2242</v>
      </c>
      <c r="F2229">
        <v>34552</v>
      </c>
      <c r="G2229">
        <v>10126</v>
      </c>
      <c r="H2229" s="32">
        <f t="shared" si="34"/>
        <v>3.4122062018566068</v>
      </c>
      <c r="I2229">
        <v>1</v>
      </c>
      <c r="J2229" t="s">
        <v>21</v>
      </c>
    </row>
    <row r="2230" spans="1:10" x14ac:dyDescent="0.25">
      <c r="A2230">
        <v>65758</v>
      </c>
      <c r="B2230" t="s">
        <v>4800</v>
      </c>
      <c r="C2230" t="s">
        <v>166</v>
      </c>
      <c r="D2230" t="s">
        <v>2241</v>
      </c>
      <c r="E2230" t="s">
        <v>2242</v>
      </c>
      <c r="F2230">
        <v>10455</v>
      </c>
      <c r="G2230">
        <v>3064</v>
      </c>
      <c r="H2230" s="32">
        <f t="shared" si="34"/>
        <v>3.4122062663185377</v>
      </c>
      <c r="I2230">
        <v>1</v>
      </c>
      <c r="J2230" t="s">
        <v>21</v>
      </c>
    </row>
    <row r="2231" spans="1:10" x14ac:dyDescent="0.25">
      <c r="A2231">
        <v>60415</v>
      </c>
      <c r="B2231" t="s">
        <v>3770</v>
      </c>
      <c r="C2231" t="s">
        <v>708</v>
      </c>
      <c r="D2231" t="s">
        <v>2241</v>
      </c>
      <c r="E2231" t="s">
        <v>2242</v>
      </c>
      <c r="F2231">
        <v>32706</v>
      </c>
      <c r="G2231">
        <v>9585</v>
      </c>
      <c r="H2231" s="32">
        <f t="shared" si="34"/>
        <v>3.4122065727699531</v>
      </c>
      <c r="I2231">
        <v>1</v>
      </c>
      <c r="J2231" t="s">
        <v>21</v>
      </c>
    </row>
    <row r="2232" spans="1:10" x14ac:dyDescent="0.25">
      <c r="A2232">
        <v>60575</v>
      </c>
      <c r="B2232" t="s">
        <v>3802</v>
      </c>
      <c r="C2232" t="s">
        <v>708</v>
      </c>
      <c r="D2232" t="s">
        <v>2241</v>
      </c>
      <c r="E2232" t="s">
        <v>2242</v>
      </c>
      <c r="F2232">
        <v>31754</v>
      </c>
      <c r="G2232">
        <v>9306</v>
      </c>
      <c r="H2232" s="32">
        <f t="shared" si="34"/>
        <v>3.4122071781646248</v>
      </c>
      <c r="I2232">
        <v>1</v>
      </c>
      <c r="J2232" t="s">
        <v>21</v>
      </c>
    </row>
    <row r="2233" spans="1:10" x14ac:dyDescent="0.25">
      <c r="A2233">
        <v>68955</v>
      </c>
      <c r="B2233" t="s">
        <v>5282</v>
      </c>
      <c r="C2233" t="s">
        <v>166</v>
      </c>
      <c r="D2233" t="s">
        <v>2241</v>
      </c>
      <c r="E2233" t="s">
        <v>2242</v>
      </c>
      <c r="F2233">
        <v>14031</v>
      </c>
      <c r="G2233">
        <v>4112</v>
      </c>
      <c r="H2233" s="32">
        <f t="shared" si="34"/>
        <v>3.4122081712062258</v>
      </c>
      <c r="I2233">
        <v>1</v>
      </c>
      <c r="J2233" t="s">
        <v>21</v>
      </c>
    </row>
    <row r="2234" spans="1:10" x14ac:dyDescent="0.25">
      <c r="A2234">
        <v>59059</v>
      </c>
      <c r="B2234" t="s">
        <v>3365</v>
      </c>
      <c r="C2234" t="s">
        <v>241</v>
      </c>
      <c r="D2234" t="s">
        <v>2241</v>
      </c>
      <c r="E2234" t="s">
        <v>2242</v>
      </c>
      <c r="F2234">
        <v>7657</v>
      </c>
      <c r="G2234">
        <v>2244</v>
      </c>
      <c r="H2234" s="32">
        <f t="shared" si="34"/>
        <v>3.4122103386809268</v>
      </c>
      <c r="I2234">
        <v>1</v>
      </c>
      <c r="J2234" t="s">
        <v>21</v>
      </c>
    </row>
    <row r="2235" spans="1:10" x14ac:dyDescent="0.25">
      <c r="A2235">
        <v>58745</v>
      </c>
      <c r="B2235" t="s">
        <v>3274</v>
      </c>
      <c r="C2235" t="s">
        <v>708</v>
      </c>
      <c r="D2235" t="s">
        <v>2241</v>
      </c>
      <c r="E2235" t="s">
        <v>2242</v>
      </c>
      <c r="F2235">
        <v>24701</v>
      </c>
      <c r="G2235">
        <v>7239</v>
      </c>
      <c r="H2235" s="32">
        <f t="shared" si="34"/>
        <v>3.4122116314408069</v>
      </c>
      <c r="I2235">
        <v>1</v>
      </c>
      <c r="J2235" t="s">
        <v>21</v>
      </c>
    </row>
    <row r="2236" spans="1:10" x14ac:dyDescent="0.25">
      <c r="A2236">
        <v>60047</v>
      </c>
      <c r="B2236" t="s">
        <v>3658</v>
      </c>
      <c r="C2236" t="s">
        <v>131</v>
      </c>
      <c r="D2236" t="s">
        <v>2241</v>
      </c>
      <c r="E2236" t="s">
        <v>2242</v>
      </c>
      <c r="F2236">
        <v>5811</v>
      </c>
      <c r="G2236">
        <v>1703</v>
      </c>
      <c r="H2236" s="32">
        <f t="shared" si="34"/>
        <v>3.4122137404580153</v>
      </c>
      <c r="I2236">
        <v>1</v>
      </c>
      <c r="J2236" t="s">
        <v>21</v>
      </c>
    </row>
    <row r="2237" spans="1:10" x14ac:dyDescent="0.25">
      <c r="A2237">
        <v>64414</v>
      </c>
      <c r="B2237" t="s">
        <v>4557</v>
      </c>
      <c r="C2237" t="s">
        <v>166</v>
      </c>
      <c r="D2237" t="s">
        <v>2241</v>
      </c>
      <c r="E2237" t="s">
        <v>2242</v>
      </c>
      <c r="F2237">
        <v>13857</v>
      </c>
      <c r="G2237">
        <v>4061</v>
      </c>
      <c r="H2237" s="32">
        <f t="shared" si="34"/>
        <v>3.4122137404580153</v>
      </c>
      <c r="I2237">
        <v>1</v>
      </c>
      <c r="J2237" t="s">
        <v>21</v>
      </c>
    </row>
    <row r="2238" spans="1:10" x14ac:dyDescent="0.25">
      <c r="A2238">
        <v>64466</v>
      </c>
      <c r="B2238" t="s">
        <v>4577</v>
      </c>
      <c r="C2238" t="s">
        <v>166</v>
      </c>
      <c r="D2238" t="s">
        <v>2241</v>
      </c>
      <c r="E2238" t="s">
        <v>2242</v>
      </c>
      <c r="F2238">
        <v>12069</v>
      </c>
      <c r="G2238">
        <v>3537</v>
      </c>
      <c r="H2238" s="32">
        <f t="shared" si="34"/>
        <v>3.4122137404580153</v>
      </c>
      <c r="I2238">
        <v>1</v>
      </c>
      <c r="J2238" t="s">
        <v>21</v>
      </c>
    </row>
    <row r="2239" spans="1:10" x14ac:dyDescent="0.25">
      <c r="A2239">
        <v>66428</v>
      </c>
      <c r="B2239" t="s">
        <v>4899</v>
      </c>
      <c r="C2239" t="s">
        <v>241</v>
      </c>
      <c r="D2239" t="s">
        <v>2241</v>
      </c>
      <c r="E2239" t="s">
        <v>2242</v>
      </c>
      <c r="F2239">
        <v>12963</v>
      </c>
      <c r="G2239">
        <v>3799</v>
      </c>
      <c r="H2239" s="32">
        <f t="shared" si="34"/>
        <v>3.4122137404580153</v>
      </c>
      <c r="I2239">
        <v>1</v>
      </c>
      <c r="J2239" t="s">
        <v>21</v>
      </c>
    </row>
    <row r="2240" spans="1:10" x14ac:dyDescent="0.25">
      <c r="A2240">
        <v>67557</v>
      </c>
      <c r="B2240" t="s">
        <v>5114</v>
      </c>
      <c r="C2240" t="s">
        <v>241</v>
      </c>
      <c r="D2240" t="s">
        <v>2241</v>
      </c>
      <c r="E2240" t="s">
        <v>2242</v>
      </c>
      <c r="F2240">
        <v>6705</v>
      </c>
      <c r="G2240">
        <v>1965</v>
      </c>
      <c r="H2240" s="32">
        <f t="shared" si="34"/>
        <v>3.4122137404580153</v>
      </c>
      <c r="I2240">
        <v>1</v>
      </c>
      <c r="J2240" t="s">
        <v>21</v>
      </c>
    </row>
    <row r="2241" spans="1:10" x14ac:dyDescent="0.25">
      <c r="A2241">
        <v>65584</v>
      </c>
      <c r="B2241" t="s">
        <v>4777</v>
      </c>
      <c r="C2241" t="s">
        <v>708</v>
      </c>
      <c r="D2241" t="s">
        <v>2241</v>
      </c>
      <c r="E2241" t="s">
        <v>2242</v>
      </c>
      <c r="F2241">
        <v>10670</v>
      </c>
      <c r="G2241">
        <v>3127</v>
      </c>
      <c r="H2241" s="32">
        <f t="shared" si="34"/>
        <v>3.412216181643748</v>
      </c>
      <c r="I2241">
        <v>1</v>
      </c>
      <c r="J2241" t="s">
        <v>21</v>
      </c>
    </row>
    <row r="2242" spans="1:10" x14ac:dyDescent="0.25">
      <c r="A2242">
        <v>65623</v>
      </c>
      <c r="B2242" t="s">
        <v>4782</v>
      </c>
      <c r="C2242" t="s">
        <v>241</v>
      </c>
      <c r="D2242" t="s">
        <v>2241</v>
      </c>
      <c r="E2242" t="s">
        <v>2242</v>
      </c>
      <c r="F2242">
        <v>7541</v>
      </c>
      <c r="G2242">
        <v>2210</v>
      </c>
      <c r="H2242" s="32">
        <f t="shared" ref="H2242:H2305" si="35">IF(AND(F2242&gt;0,G2242&gt;0),F2242/G2242,"")</f>
        <v>3.4122171945701356</v>
      </c>
      <c r="I2242">
        <v>1</v>
      </c>
      <c r="J2242" t="s">
        <v>21</v>
      </c>
    </row>
    <row r="2243" spans="1:10" x14ac:dyDescent="0.25">
      <c r="A2243">
        <v>57462</v>
      </c>
      <c r="B2243" t="s">
        <v>2999</v>
      </c>
      <c r="C2243" t="s">
        <v>322</v>
      </c>
      <c r="D2243" t="s">
        <v>2241</v>
      </c>
      <c r="E2243" t="s">
        <v>2242</v>
      </c>
      <c r="F2243">
        <v>37200</v>
      </c>
      <c r="G2243">
        <v>10902</v>
      </c>
      <c r="H2243" s="32">
        <f t="shared" si="35"/>
        <v>3.4122179416620804</v>
      </c>
      <c r="I2243">
        <v>1</v>
      </c>
      <c r="J2243" t="s">
        <v>21</v>
      </c>
    </row>
    <row r="2244" spans="1:10" x14ac:dyDescent="0.25">
      <c r="A2244">
        <v>60156</v>
      </c>
      <c r="B2244" t="s">
        <v>3692</v>
      </c>
      <c r="C2244" t="s">
        <v>708</v>
      </c>
      <c r="D2244" t="s">
        <v>2241</v>
      </c>
      <c r="E2244" t="s">
        <v>2242</v>
      </c>
      <c r="F2244">
        <v>26919</v>
      </c>
      <c r="G2244">
        <v>7889</v>
      </c>
      <c r="H2244" s="32">
        <f t="shared" si="35"/>
        <v>3.4122195462035747</v>
      </c>
      <c r="I2244">
        <v>1</v>
      </c>
      <c r="J2244" t="s">
        <v>21</v>
      </c>
    </row>
    <row r="2245" spans="1:10" x14ac:dyDescent="0.25">
      <c r="A2245">
        <v>66700</v>
      </c>
      <c r="B2245" t="s">
        <v>4944</v>
      </c>
      <c r="C2245" t="s">
        <v>708</v>
      </c>
      <c r="D2245" t="s">
        <v>2241</v>
      </c>
      <c r="E2245" t="s">
        <v>2242</v>
      </c>
      <c r="F2245">
        <v>34402</v>
      </c>
      <c r="G2245">
        <v>10082</v>
      </c>
      <c r="H2245" s="32">
        <f t="shared" si="35"/>
        <v>3.4122197976591946</v>
      </c>
      <c r="I2245">
        <v>1</v>
      </c>
      <c r="J2245" t="s">
        <v>21</v>
      </c>
    </row>
    <row r="2246" spans="1:10" x14ac:dyDescent="0.25">
      <c r="A2246">
        <v>59501</v>
      </c>
      <c r="B2246" t="s">
        <v>3477</v>
      </c>
      <c r="C2246" t="s">
        <v>708</v>
      </c>
      <c r="D2246" t="s">
        <v>2241</v>
      </c>
      <c r="E2246" t="s">
        <v>2242</v>
      </c>
      <c r="F2246">
        <v>26414</v>
      </c>
      <c r="G2246">
        <v>7741</v>
      </c>
      <c r="H2246" s="32">
        <f t="shared" si="35"/>
        <v>3.4122206433277356</v>
      </c>
      <c r="I2246">
        <v>1</v>
      </c>
      <c r="J2246" t="s">
        <v>21</v>
      </c>
    </row>
    <row r="2247" spans="1:10" x14ac:dyDescent="0.25">
      <c r="A2247">
        <v>64629</v>
      </c>
      <c r="B2247" t="s">
        <v>4613</v>
      </c>
      <c r="C2247" t="s">
        <v>166</v>
      </c>
      <c r="D2247" t="s">
        <v>2241</v>
      </c>
      <c r="E2247" t="s">
        <v>2242</v>
      </c>
      <c r="F2247">
        <v>7036</v>
      </c>
      <c r="G2247">
        <v>2062</v>
      </c>
      <c r="H2247" s="32">
        <f t="shared" si="35"/>
        <v>3.4122211445198838</v>
      </c>
      <c r="I2247">
        <v>1</v>
      </c>
      <c r="J2247" t="s">
        <v>21</v>
      </c>
    </row>
    <row r="2248" spans="1:10" x14ac:dyDescent="0.25">
      <c r="A2248">
        <v>64496</v>
      </c>
      <c r="B2248" t="s">
        <v>4584</v>
      </c>
      <c r="C2248" t="s">
        <v>250</v>
      </c>
      <c r="D2248" t="s">
        <v>2241</v>
      </c>
      <c r="E2248" t="s">
        <v>2242</v>
      </c>
      <c r="F2248">
        <v>14014</v>
      </c>
      <c r="G2248">
        <v>4107</v>
      </c>
      <c r="H2248" s="32">
        <f t="shared" si="35"/>
        <v>3.4122230338446555</v>
      </c>
      <c r="I2248">
        <v>1</v>
      </c>
      <c r="J2248" t="s">
        <v>21</v>
      </c>
    </row>
    <row r="2249" spans="1:10" x14ac:dyDescent="0.25">
      <c r="A2249">
        <v>64465</v>
      </c>
      <c r="B2249" t="s">
        <v>4576</v>
      </c>
      <c r="C2249" t="s">
        <v>166</v>
      </c>
      <c r="D2249" t="s">
        <v>2241</v>
      </c>
      <c r="E2249" t="s">
        <v>2242</v>
      </c>
      <c r="F2249">
        <v>14345</v>
      </c>
      <c r="G2249">
        <v>4204</v>
      </c>
      <c r="H2249" s="32">
        <f t="shared" si="35"/>
        <v>3.4122264509990483</v>
      </c>
      <c r="I2249">
        <v>1</v>
      </c>
      <c r="J2249" t="s">
        <v>21</v>
      </c>
    </row>
    <row r="2250" spans="1:10" x14ac:dyDescent="0.25">
      <c r="A2250">
        <v>59641</v>
      </c>
      <c r="B2250" t="s">
        <v>3544</v>
      </c>
      <c r="C2250" t="s">
        <v>708</v>
      </c>
      <c r="D2250" t="s">
        <v>2241</v>
      </c>
      <c r="E2250" t="s">
        <v>2242</v>
      </c>
      <c r="F2250">
        <v>28243</v>
      </c>
      <c r="G2250">
        <v>8277</v>
      </c>
      <c r="H2250" s="32">
        <f t="shared" si="35"/>
        <v>3.4122266521686599</v>
      </c>
      <c r="I2250">
        <v>1</v>
      </c>
      <c r="J2250" t="s">
        <v>21</v>
      </c>
    </row>
    <row r="2251" spans="1:10" x14ac:dyDescent="0.25">
      <c r="A2251">
        <v>68754</v>
      </c>
      <c r="B2251" t="s">
        <v>5255</v>
      </c>
      <c r="C2251" t="s">
        <v>166</v>
      </c>
      <c r="D2251" t="s">
        <v>2241</v>
      </c>
      <c r="E2251" t="s">
        <v>2242</v>
      </c>
      <c r="F2251">
        <v>3907</v>
      </c>
      <c r="G2251">
        <v>1145</v>
      </c>
      <c r="H2251" s="32">
        <f t="shared" si="35"/>
        <v>3.4122270742358078</v>
      </c>
      <c r="I2251">
        <v>1</v>
      </c>
      <c r="J2251" t="s">
        <v>21</v>
      </c>
    </row>
    <row r="2252" spans="1:10" x14ac:dyDescent="0.25">
      <c r="A2252">
        <v>69498</v>
      </c>
      <c r="B2252" t="s">
        <v>5370</v>
      </c>
      <c r="C2252" t="s">
        <v>241</v>
      </c>
      <c r="D2252" t="s">
        <v>2241</v>
      </c>
      <c r="E2252" t="s">
        <v>2242</v>
      </c>
      <c r="F2252">
        <v>16911</v>
      </c>
      <c r="G2252">
        <v>4956</v>
      </c>
      <c r="H2252" s="32">
        <f t="shared" si="35"/>
        <v>3.4122276029055691</v>
      </c>
      <c r="I2252">
        <v>1</v>
      </c>
      <c r="J2252" t="s">
        <v>21</v>
      </c>
    </row>
    <row r="2253" spans="1:10" x14ac:dyDescent="0.25">
      <c r="A2253">
        <v>65796</v>
      </c>
      <c r="B2253" t="s">
        <v>4803</v>
      </c>
      <c r="C2253" t="s">
        <v>166</v>
      </c>
      <c r="D2253" t="s">
        <v>2241</v>
      </c>
      <c r="E2253" t="s">
        <v>2242</v>
      </c>
      <c r="F2253">
        <v>15512</v>
      </c>
      <c r="G2253">
        <v>4546</v>
      </c>
      <c r="H2253" s="32">
        <f t="shared" si="35"/>
        <v>3.4122305323361197</v>
      </c>
      <c r="I2253">
        <v>1</v>
      </c>
      <c r="J2253" t="s">
        <v>21</v>
      </c>
    </row>
    <row r="2254" spans="1:10" x14ac:dyDescent="0.25">
      <c r="A2254">
        <v>68415</v>
      </c>
      <c r="B2254" t="s">
        <v>5233</v>
      </c>
      <c r="C2254" t="s">
        <v>166</v>
      </c>
      <c r="D2254" t="s">
        <v>2241</v>
      </c>
      <c r="E2254" t="s">
        <v>2242</v>
      </c>
      <c r="F2254">
        <v>15065</v>
      </c>
      <c r="G2254">
        <v>4415</v>
      </c>
      <c r="H2254" s="32">
        <f t="shared" si="35"/>
        <v>3.4122310305775763</v>
      </c>
      <c r="I2254">
        <v>1</v>
      </c>
      <c r="J2254" t="s">
        <v>21</v>
      </c>
    </row>
    <row r="2255" spans="1:10" x14ac:dyDescent="0.25">
      <c r="A2255">
        <v>63149</v>
      </c>
      <c r="B2255" t="s">
        <v>4297</v>
      </c>
      <c r="C2255" t="s">
        <v>241</v>
      </c>
      <c r="D2255" t="s">
        <v>2241</v>
      </c>
      <c r="E2255" t="s">
        <v>2242</v>
      </c>
      <c r="F2255">
        <v>44301</v>
      </c>
      <c r="G2255">
        <v>12983</v>
      </c>
      <c r="H2255" s="32">
        <f t="shared" si="35"/>
        <v>3.4122313794962644</v>
      </c>
      <c r="I2255">
        <v>1</v>
      </c>
      <c r="J2255" t="s">
        <v>21</v>
      </c>
    </row>
    <row r="2256" spans="1:10" x14ac:dyDescent="0.25">
      <c r="A2256">
        <v>67153</v>
      </c>
      <c r="B2256" t="s">
        <v>5045</v>
      </c>
      <c r="C2256" t="s">
        <v>166</v>
      </c>
      <c r="D2256" t="s">
        <v>2241</v>
      </c>
      <c r="E2256" t="s">
        <v>2242</v>
      </c>
      <c r="F2256">
        <v>11158</v>
      </c>
      <c r="G2256">
        <v>3270</v>
      </c>
      <c r="H2256" s="32">
        <f t="shared" si="35"/>
        <v>3.4122324159021407</v>
      </c>
      <c r="I2256">
        <v>1</v>
      </c>
      <c r="J2256" t="s">
        <v>21</v>
      </c>
    </row>
    <row r="2257" spans="1:10" x14ac:dyDescent="0.25">
      <c r="A2257">
        <v>60038</v>
      </c>
      <c r="B2257" t="s">
        <v>3656</v>
      </c>
      <c r="C2257" t="s">
        <v>322</v>
      </c>
      <c r="D2257" t="s">
        <v>2241</v>
      </c>
      <c r="E2257" t="s">
        <v>2242</v>
      </c>
      <c r="F2257">
        <v>5132</v>
      </c>
      <c r="G2257">
        <v>1504</v>
      </c>
      <c r="H2257" s="32">
        <f t="shared" si="35"/>
        <v>3.4122340425531914</v>
      </c>
      <c r="I2257">
        <v>1</v>
      </c>
      <c r="J2257" t="s">
        <v>21</v>
      </c>
    </row>
    <row r="2258" spans="1:10" x14ac:dyDescent="0.25">
      <c r="A2258">
        <v>62405</v>
      </c>
      <c r="B2258" t="s">
        <v>4153</v>
      </c>
      <c r="C2258" t="s">
        <v>307</v>
      </c>
      <c r="D2258" t="s">
        <v>2241</v>
      </c>
      <c r="E2258" t="s">
        <v>2242</v>
      </c>
      <c r="F2258">
        <v>11547</v>
      </c>
      <c r="G2258">
        <v>3384</v>
      </c>
      <c r="H2258" s="32">
        <f t="shared" si="35"/>
        <v>3.4122340425531914</v>
      </c>
      <c r="I2258">
        <v>1</v>
      </c>
      <c r="J2258" t="s">
        <v>21</v>
      </c>
    </row>
    <row r="2259" spans="1:10" x14ac:dyDescent="0.25">
      <c r="A2259">
        <v>63446</v>
      </c>
      <c r="B2259" t="s">
        <v>4351</v>
      </c>
      <c r="C2259" t="s">
        <v>708</v>
      </c>
      <c r="D2259" t="s">
        <v>2241</v>
      </c>
      <c r="E2259" t="s">
        <v>2242</v>
      </c>
      <c r="F2259">
        <v>24708</v>
      </c>
      <c r="G2259">
        <v>7241</v>
      </c>
      <c r="H2259" s="32">
        <f t="shared" si="35"/>
        <v>3.4122358790222345</v>
      </c>
      <c r="I2259">
        <v>1</v>
      </c>
      <c r="J2259" t="s">
        <v>21</v>
      </c>
    </row>
    <row r="2260" spans="1:10" x14ac:dyDescent="0.25">
      <c r="A2260">
        <v>58828</v>
      </c>
      <c r="B2260" t="s">
        <v>3298</v>
      </c>
      <c r="C2260" t="s">
        <v>708</v>
      </c>
      <c r="D2260" t="s">
        <v>2241</v>
      </c>
      <c r="E2260" t="s">
        <v>2242</v>
      </c>
      <c r="F2260">
        <v>31901</v>
      </c>
      <c r="G2260">
        <v>9349</v>
      </c>
      <c r="H2260" s="32">
        <f t="shared" si="35"/>
        <v>3.412236602845224</v>
      </c>
      <c r="I2260">
        <v>1</v>
      </c>
      <c r="J2260" t="s">
        <v>21</v>
      </c>
    </row>
    <row r="2261" spans="1:10" x14ac:dyDescent="0.25">
      <c r="A2261">
        <v>59676</v>
      </c>
      <c r="B2261" t="s">
        <v>3558</v>
      </c>
      <c r="C2261" t="s">
        <v>708</v>
      </c>
      <c r="D2261" t="s">
        <v>2241</v>
      </c>
      <c r="E2261" t="s">
        <v>2242</v>
      </c>
      <c r="F2261">
        <v>13608</v>
      </c>
      <c r="G2261">
        <v>3988</v>
      </c>
      <c r="H2261" s="32">
        <f t="shared" si="35"/>
        <v>3.412236710130391</v>
      </c>
      <c r="I2261">
        <v>1</v>
      </c>
      <c r="J2261" t="s">
        <v>21</v>
      </c>
    </row>
    <row r="2262" spans="1:10" x14ac:dyDescent="0.25">
      <c r="A2262">
        <v>60636</v>
      </c>
      <c r="B2262" t="s">
        <v>3827</v>
      </c>
      <c r="C2262" t="s">
        <v>708</v>
      </c>
      <c r="D2262" t="s">
        <v>2241</v>
      </c>
      <c r="E2262" t="s">
        <v>2242</v>
      </c>
      <c r="F2262">
        <v>31454</v>
      </c>
      <c r="G2262">
        <v>9218</v>
      </c>
      <c r="H2262" s="32">
        <f t="shared" si="35"/>
        <v>3.4122369277500542</v>
      </c>
      <c r="I2262">
        <v>1</v>
      </c>
      <c r="J2262" t="s">
        <v>21</v>
      </c>
    </row>
    <row r="2263" spans="1:10" x14ac:dyDescent="0.25">
      <c r="A2263">
        <v>67180</v>
      </c>
      <c r="B2263" t="s">
        <v>5054</v>
      </c>
      <c r="C2263" t="s">
        <v>307</v>
      </c>
      <c r="D2263" t="s">
        <v>2241</v>
      </c>
      <c r="E2263" t="s">
        <v>2242</v>
      </c>
      <c r="F2263">
        <v>11878</v>
      </c>
      <c r="G2263">
        <v>3481</v>
      </c>
      <c r="H2263" s="32">
        <f t="shared" si="35"/>
        <v>3.4122378626831371</v>
      </c>
      <c r="I2263">
        <v>1</v>
      </c>
      <c r="J2263" t="s">
        <v>21</v>
      </c>
    </row>
    <row r="2264" spans="1:10" x14ac:dyDescent="0.25">
      <c r="A2264">
        <v>59844</v>
      </c>
      <c r="B2264" t="s">
        <v>3597</v>
      </c>
      <c r="C2264" t="s">
        <v>241</v>
      </c>
      <c r="D2264" t="s">
        <v>2241</v>
      </c>
      <c r="E2264" t="s">
        <v>2242</v>
      </c>
      <c r="F2264">
        <v>8029</v>
      </c>
      <c r="G2264">
        <v>2353</v>
      </c>
      <c r="H2264" s="32">
        <f t="shared" si="35"/>
        <v>3.4122396940076496</v>
      </c>
      <c r="I2264">
        <v>1</v>
      </c>
      <c r="J2264" t="s">
        <v>21</v>
      </c>
    </row>
    <row r="2265" spans="1:10" x14ac:dyDescent="0.25">
      <c r="A2265">
        <v>58030</v>
      </c>
      <c r="B2265" t="s">
        <v>3094</v>
      </c>
      <c r="C2265" t="s">
        <v>241</v>
      </c>
      <c r="D2265" t="s">
        <v>2241</v>
      </c>
      <c r="E2265" t="s">
        <v>2242</v>
      </c>
      <c r="F2265">
        <v>29550</v>
      </c>
      <c r="G2265">
        <v>8660</v>
      </c>
      <c r="H2265" s="32">
        <f t="shared" si="35"/>
        <v>3.4122401847575059</v>
      </c>
      <c r="I2265">
        <v>1</v>
      </c>
      <c r="J2265" t="s">
        <v>21</v>
      </c>
    </row>
    <row r="2266" spans="1:10" x14ac:dyDescent="0.25">
      <c r="A2266">
        <v>59333</v>
      </c>
      <c r="B2266" t="s">
        <v>3434</v>
      </c>
      <c r="C2266" t="s">
        <v>708</v>
      </c>
      <c r="D2266" t="s">
        <v>2241</v>
      </c>
      <c r="E2266" t="s">
        <v>2242</v>
      </c>
      <c r="F2266">
        <v>5910</v>
      </c>
      <c r="G2266">
        <v>1732</v>
      </c>
      <c r="H2266" s="32">
        <f t="shared" si="35"/>
        <v>3.4122401847575059</v>
      </c>
      <c r="I2266">
        <v>1</v>
      </c>
      <c r="J2266" t="s">
        <v>21</v>
      </c>
    </row>
    <row r="2267" spans="1:10" x14ac:dyDescent="0.25">
      <c r="A2267">
        <v>61914</v>
      </c>
      <c r="B2267" t="s">
        <v>4085</v>
      </c>
      <c r="C2267" t="s">
        <v>143</v>
      </c>
      <c r="D2267" t="s">
        <v>2241</v>
      </c>
      <c r="E2267" t="s">
        <v>2242</v>
      </c>
      <c r="F2267">
        <v>14775</v>
      </c>
      <c r="G2267">
        <v>4330</v>
      </c>
      <c r="H2267" s="32">
        <f t="shared" si="35"/>
        <v>3.4122401847575059</v>
      </c>
      <c r="I2267">
        <v>1</v>
      </c>
      <c r="J2267" t="s">
        <v>21</v>
      </c>
    </row>
    <row r="2268" spans="1:10" x14ac:dyDescent="0.25">
      <c r="A2268">
        <v>67805</v>
      </c>
      <c r="B2268" t="s">
        <v>5173</v>
      </c>
      <c r="C2268" t="s">
        <v>166</v>
      </c>
      <c r="D2268" t="s">
        <v>2241</v>
      </c>
      <c r="E2268" t="s">
        <v>2242</v>
      </c>
      <c r="F2268">
        <v>13492</v>
      </c>
      <c r="G2268">
        <v>3954</v>
      </c>
      <c r="H2268" s="32">
        <f t="shared" si="35"/>
        <v>3.4122407688416794</v>
      </c>
      <c r="I2268">
        <v>1</v>
      </c>
      <c r="J2268" t="s">
        <v>21</v>
      </c>
    </row>
    <row r="2269" spans="1:10" x14ac:dyDescent="0.25">
      <c r="A2269">
        <v>68999</v>
      </c>
      <c r="B2269" t="s">
        <v>5292</v>
      </c>
      <c r="C2269" t="s">
        <v>166</v>
      </c>
      <c r="D2269" t="s">
        <v>2241</v>
      </c>
      <c r="E2269" t="s">
        <v>2242</v>
      </c>
      <c r="F2269">
        <v>15553</v>
      </c>
      <c r="G2269">
        <v>4558</v>
      </c>
      <c r="H2269" s="32">
        <f t="shared" si="35"/>
        <v>3.4122422114962703</v>
      </c>
      <c r="I2269">
        <v>1</v>
      </c>
      <c r="J2269" t="s">
        <v>21</v>
      </c>
    </row>
    <row r="2270" spans="1:10" x14ac:dyDescent="0.25">
      <c r="A2270">
        <v>65960</v>
      </c>
      <c r="B2270" t="s">
        <v>4820</v>
      </c>
      <c r="C2270" t="s">
        <v>307</v>
      </c>
      <c r="D2270" t="s">
        <v>2241</v>
      </c>
      <c r="E2270" t="s">
        <v>2242</v>
      </c>
      <c r="F2270">
        <v>8807</v>
      </c>
      <c r="G2270">
        <v>2581</v>
      </c>
      <c r="H2270" s="32">
        <f t="shared" si="35"/>
        <v>3.4122433165439752</v>
      </c>
      <c r="I2270">
        <v>1</v>
      </c>
      <c r="J2270" t="s">
        <v>21</v>
      </c>
    </row>
    <row r="2271" spans="1:10" x14ac:dyDescent="0.25">
      <c r="A2271">
        <v>58868</v>
      </c>
      <c r="B2271" t="s">
        <v>3321</v>
      </c>
      <c r="C2271" t="s">
        <v>708</v>
      </c>
      <c r="D2271" t="s">
        <v>2241</v>
      </c>
      <c r="E2271" t="s">
        <v>2242</v>
      </c>
      <c r="F2271">
        <v>29707</v>
      </c>
      <c r="G2271">
        <v>8706</v>
      </c>
      <c r="H2271" s="32">
        <f t="shared" si="35"/>
        <v>3.4122444291293359</v>
      </c>
      <c r="I2271">
        <v>1</v>
      </c>
      <c r="J2271" t="s">
        <v>21</v>
      </c>
    </row>
    <row r="2272" spans="1:10" x14ac:dyDescent="0.25">
      <c r="A2272">
        <v>62540</v>
      </c>
      <c r="B2272" t="s">
        <v>4169</v>
      </c>
      <c r="C2272" t="s">
        <v>708</v>
      </c>
      <c r="D2272" t="s">
        <v>2241</v>
      </c>
      <c r="E2272" t="s">
        <v>2242</v>
      </c>
      <c r="F2272">
        <v>2508</v>
      </c>
      <c r="G2272">
        <v>735</v>
      </c>
      <c r="H2272" s="32">
        <f t="shared" si="35"/>
        <v>3.4122448979591837</v>
      </c>
      <c r="I2272">
        <v>1</v>
      </c>
      <c r="J2272" t="s">
        <v>21</v>
      </c>
    </row>
    <row r="2273" spans="1:10" x14ac:dyDescent="0.25">
      <c r="A2273">
        <v>65774</v>
      </c>
      <c r="B2273" t="s">
        <v>4801</v>
      </c>
      <c r="C2273" t="s">
        <v>166</v>
      </c>
      <c r="D2273" t="s">
        <v>2241</v>
      </c>
      <c r="E2273" t="s">
        <v>2242</v>
      </c>
      <c r="F2273">
        <v>14212</v>
      </c>
      <c r="G2273">
        <v>4165</v>
      </c>
      <c r="H2273" s="32">
        <f t="shared" si="35"/>
        <v>3.4122448979591837</v>
      </c>
      <c r="I2273">
        <v>1</v>
      </c>
      <c r="J2273" t="s">
        <v>21</v>
      </c>
    </row>
    <row r="2274" spans="1:10" x14ac:dyDescent="0.25">
      <c r="A2274">
        <v>69598</v>
      </c>
      <c r="B2274" t="s">
        <v>5382</v>
      </c>
      <c r="C2274" t="s">
        <v>166</v>
      </c>
      <c r="D2274" t="s">
        <v>2241</v>
      </c>
      <c r="E2274" t="s">
        <v>2242</v>
      </c>
      <c r="F2274">
        <v>836</v>
      </c>
      <c r="G2274">
        <v>245</v>
      </c>
      <c r="H2274" s="32">
        <f t="shared" si="35"/>
        <v>3.4122448979591837</v>
      </c>
      <c r="I2274">
        <v>1</v>
      </c>
      <c r="J2274" t="s">
        <v>21</v>
      </c>
    </row>
    <row r="2275" spans="1:10" x14ac:dyDescent="0.25">
      <c r="A2275">
        <v>62122</v>
      </c>
      <c r="B2275" t="s">
        <v>4115</v>
      </c>
      <c r="C2275" t="s">
        <v>708</v>
      </c>
      <c r="D2275" t="s">
        <v>2241</v>
      </c>
      <c r="E2275" t="s">
        <v>2242</v>
      </c>
      <c r="F2275">
        <v>11646</v>
      </c>
      <c r="G2275">
        <v>3413</v>
      </c>
      <c r="H2275" s="32">
        <f t="shared" si="35"/>
        <v>3.4122472897743918</v>
      </c>
      <c r="I2275">
        <v>1</v>
      </c>
      <c r="J2275" t="s">
        <v>21</v>
      </c>
    </row>
    <row r="2276" spans="1:10" x14ac:dyDescent="0.25">
      <c r="A2276">
        <v>60133</v>
      </c>
      <c r="B2276" t="s">
        <v>3683</v>
      </c>
      <c r="C2276" t="s">
        <v>708</v>
      </c>
      <c r="D2276" t="s">
        <v>2241</v>
      </c>
      <c r="E2276" t="s">
        <v>2242</v>
      </c>
      <c r="F2276">
        <v>31304</v>
      </c>
      <c r="G2276">
        <v>9174</v>
      </c>
      <c r="H2276" s="32">
        <f t="shared" si="35"/>
        <v>3.4122520165685635</v>
      </c>
      <c r="I2276">
        <v>1</v>
      </c>
      <c r="J2276" t="s">
        <v>21</v>
      </c>
    </row>
    <row r="2277" spans="1:10" x14ac:dyDescent="0.25">
      <c r="A2277">
        <v>58493</v>
      </c>
      <c r="B2277" t="s">
        <v>3205</v>
      </c>
      <c r="C2277" t="s">
        <v>708</v>
      </c>
      <c r="D2277" t="s">
        <v>2241</v>
      </c>
      <c r="E2277" t="s">
        <v>2242</v>
      </c>
      <c r="F2277">
        <v>15594</v>
      </c>
      <c r="G2277">
        <v>4570</v>
      </c>
      <c r="H2277" s="32">
        <f t="shared" si="35"/>
        <v>3.4122538293216631</v>
      </c>
      <c r="I2277">
        <v>1</v>
      </c>
      <c r="J2277" t="s">
        <v>21</v>
      </c>
    </row>
    <row r="2278" spans="1:10" x14ac:dyDescent="0.25">
      <c r="A2278">
        <v>67106</v>
      </c>
      <c r="B2278" t="s">
        <v>5030</v>
      </c>
      <c r="C2278" t="s">
        <v>166</v>
      </c>
      <c r="D2278" t="s">
        <v>2241</v>
      </c>
      <c r="E2278" t="s">
        <v>2242</v>
      </c>
      <c r="F2278">
        <v>12697</v>
      </c>
      <c r="G2278">
        <v>3721</v>
      </c>
      <c r="H2278" s="32">
        <f t="shared" si="35"/>
        <v>3.4122547702230581</v>
      </c>
      <c r="I2278">
        <v>1</v>
      </c>
      <c r="J2278" t="s">
        <v>21</v>
      </c>
    </row>
    <row r="2279" spans="1:10" x14ac:dyDescent="0.25">
      <c r="A2279">
        <v>70251</v>
      </c>
      <c r="B2279" t="s">
        <v>5429</v>
      </c>
      <c r="C2279" t="s">
        <v>166</v>
      </c>
      <c r="D2279" t="s">
        <v>2241</v>
      </c>
      <c r="E2279" t="s">
        <v>2242</v>
      </c>
      <c r="F2279">
        <v>16372</v>
      </c>
      <c r="G2279">
        <v>4798</v>
      </c>
      <c r="H2279" s="32">
        <f t="shared" si="35"/>
        <v>3.4122551062942894</v>
      </c>
      <c r="I2279">
        <v>1</v>
      </c>
      <c r="J2279" t="s">
        <v>21</v>
      </c>
    </row>
    <row r="2280" spans="1:10" x14ac:dyDescent="0.25">
      <c r="A2280">
        <v>61090</v>
      </c>
      <c r="B2280" t="s">
        <v>3936</v>
      </c>
      <c r="C2280" t="s">
        <v>708</v>
      </c>
      <c r="D2280" t="s">
        <v>2241</v>
      </c>
      <c r="E2280" t="s">
        <v>2242</v>
      </c>
      <c r="F2280">
        <v>29458</v>
      </c>
      <c r="G2280">
        <v>8633</v>
      </c>
      <c r="H2280" s="32">
        <f t="shared" si="35"/>
        <v>3.4122552994324105</v>
      </c>
      <c r="I2280">
        <v>1</v>
      </c>
      <c r="J2280" t="s">
        <v>21</v>
      </c>
    </row>
    <row r="2281" spans="1:10" x14ac:dyDescent="0.25">
      <c r="A2281">
        <v>63695</v>
      </c>
      <c r="B2281" t="s">
        <v>4391</v>
      </c>
      <c r="C2281" t="s">
        <v>708</v>
      </c>
      <c r="D2281" t="s">
        <v>2241</v>
      </c>
      <c r="E2281" t="s">
        <v>2242</v>
      </c>
      <c r="F2281">
        <v>7350</v>
      </c>
      <c r="G2281">
        <v>2154</v>
      </c>
      <c r="H2281" s="32">
        <f t="shared" si="35"/>
        <v>3.4122562674094707</v>
      </c>
      <c r="I2281">
        <v>1</v>
      </c>
      <c r="J2281" t="s">
        <v>21</v>
      </c>
    </row>
    <row r="2282" spans="1:10" x14ac:dyDescent="0.25">
      <c r="A2282">
        <v>69050</v>
      </c>
      <c r="B2282" t="s">
        <v>5306</v>
      </c>
      <c r="C2282" t="s">
        <v>307</v>
      </c>
      <c r="D2282" t="s">
        <v>2241</v>
      </c>
      <c r="E2282" t="s">
        <v>2242</v>
      </c>
      <c r="F2282">
        <v>15089</v>
      </c>
      <c r="G2282">
        <v>4422</v>
      </c>
      <c r="H2282" s="32">
        <f t="shared" si="35"/>
        <v>3.4122568973315244</v>
      </c>
      <c r="I2282">
        <v>1</v>
      </c>
      <c r="J2282" t="s">
        <v>21</v>
      </c>
    </row>
    <row r="2283" spans="1:10" x14ac:dyDescent="0.25">
      <c r="A2283">
        <v>60129</v>
      </c>
      <c r="B2283" t="s">
        <v>3680</v>
      </c>
      <c r="C2283" t="s">
        <v>708</v>
      </c>
      <c r="D2283" t="s">
        <v>2241</v>
      </c>
      <c r="E2283" t="s">
        <v>2242</v>
      </c>
      <c r="F2283">
        <v>13028</v>
      </c>
      <c r="G2283">
        <v>3818</v>
      </c>
      <c r="H2283" s="32">
        <f t="shared" si="35"/>
        <v>3.4122577265584075</v>
      </c>
      <c r="I2283">
        <v>1</v>
      </c>
      <c r="J2283" t="s">
        <v>21</v>
      </c>
    </row>
    <row r="2284" spans="1:10" x14ac:dyDescent="0.25">
      <c r="A2284">
        <v>64174</v>
      </c>
      <c r="B2284" t="s">
        <v>4504</v>
      </c>
      <c r="C2284" t="s">
        <v>708</v>
      </c>
      <c r="D2284" t="s">
        <v>2241</v>
      </c>
      <c r="E2284" t="s">
        <v>2242</v>
      </c>
      <c r="F2284">
        <v>13028</v>
      </c>
      <c r="G2284">
        <v>3818</v>
      </c>
      <c r="H2284" s="32">
        <f t="shared" si="35"/>
        <v>3.4122577265584075</v>
      </c>
      <c r="I2284">
        <v>1</v>
      </c>
      <c r="J2284" t="s">
        <v>21</v>
      </c>
    </row>
    <row r="2285" spans="1:10" x14ac:dyDescent="0.25">
      <c r="A2285">
        <v>57745</v>
      </c>
      <c r="B2285" t="s">
        <v>3044</v>
      </c>
      <c r="C2285" t="s">
        <v>241</v>
      </c>
      <c r="D2285" t="s">
        <v>2241</v>
      </c>
      <c r="E2285" t="s">
        <v>2242</v>
      </c>
      <c r="F2285">
        <v>10967</v>
      </c>
      <c r="G2285">
        <v>3214</v>
      </c>
      <c r="H2285" s="32">
        <f t="shared" si="35"/>
        <v>3.4122588674548848</v>
      </c>
      <c r="I2285">
        <v>1</v>
      </c>
      <c r="J2285" t="s">
        <v>21</v>
      </c>
    </row>
    <row r="2286" spans="1:10" x14ac:dyDescent="0.25">
      <c r="A2286">
        <v>58863</v>
      </c>
      <c r="B2286" t="s">
        <v>3316</v>
      </c>
      <c r="C2286" t="s">
        <v>708</v>
      </c>
      <c r="D2286" t="s">
        <v>2241</v>
      </c>
      <c r="E2286" t="s">
        <v>2242</v>
      </c>
      <c r="F2286">
        <v>30840</v>
      </c>
      <c r="G2286">
        <v>9038</v>
      </c>
      <c r="H2286" s="32">
        <f t="shared" si="35"/>
        <v>3.4122593494135871</v>
      </c>
      <c r="I2286">
        <v>1</v>
      </c>
      <c r="J2286" t="s">
        <v>21</v>
      </c>
    </row>
    <row r="2287" spans="1:10" x14ac:dyDescent="0.25">
      <c r="A2287">
        <v>66867</v>
      </c>
      <c r="B2287" t="s">
        <v>4983</v>
      </c>
      <c r="C2287" t="s">
        <v>307</v>
      </c>
      <c r="D2287" t="s">
        <v>2241</v>
      </c>
      <c r="E2287" t="s">
        <v>2242</v>
      </c>
      <c r="F2287">
        <v>11356</v>
      </c>
      <c r="G2287">
        <v>3328</v>
      </c>
      <c r="H2287" s="32">
        <f t="shared" si="35"/>
        <v>3.4122596153846154</v>
      </c>
      <c r="I2287">
        <v>1</v>
      </c>
      <c r="J2287" t="s">
        <v>21</v>
      </c>
    </row>
    <row r="2288" spans="1:10" x14ac:dyDescent="0.25">
      <c r="A2288">
        <v>58495</v>
      </c>
      <c r="B2288" t="s">
        <v>3207</v>
      </c>
      <c r="C2288" t="s">
        <v>708</v>
      </c>
      <c r="D2288" t="s">
        <v>2241</v>
      </c>
      <c r="E2288" t="s">
        <v>2242</v>
      </c>
      <c r="F2288">
        <v>19037</v>
      </c>
      <c r="G2288">
        <v>5579</v>
      </c>
      <c r="H2288" s="32">
        <f t="shared" si="35"/>
        <v>3.4122602616956446</v>
      </c>
      <c r="I2288">
        <v>1</v>
      </c>
      <c r="J2288" t="s">
        <v>21</v>
      </c>
    </row>
    <row r="2289" spans="1:10" x14ac:dyDescent="0.25">
      <c r="A2289">
        <v>58746</v>
      </c>
      <c r="B2289" t="s">
        <v>3275</v>
      </c>
      <c r="C2289" t="s">
        <v>708</v>
      </c>
      <c r="D2289" t="s">
        <v>2241</v>
      </c>
      <c r="E2289" t="s">
        <v>2242</v>
      </c>
      <c r="F2289">
        <v>29110</v>
      </c>
      <c r="G2289">
        <v>8531</v>
      </c>
      <c r="H2289" s="32">
        <f t="shared" si="35"/>
        <v>3.4122611651623491</v>
      </c>
      <c r="I2289">
        <v>1</v>
      </c>
      <c r="J2289" t="s">
        <v>21</v>
      </c>
    </row>
    <row r="2290" spans="1:10" x14ac:dyDescent="0.25">
      <c r="A2290">
        <v>64173</v>
      </c>
      <c r="B2290" t="s">
        <v>4503</v>
      </c>
      <c r="C2290" t="s">
        <v>708</v>
      </c>
      <c r="D2290" t="s">
        <v>2241</v>
      </c>
      <c r="E2290" t="s">
        <v>2242</v>
      </c>
      <c r="F2290">
        <v>22207</v>
      </c>
      <c r="G2290">
        <v>6508</v>
      </c>
      <c r="H2290" s="32">
        <f t="shared" si="35"/>
        <v>3.4122618315918869</v>
      </c>
      <c r="I2290">
        <v>1</v>
      </c>
      <c r="J2290" t="s">
        <v>21</v>
      </c>
    </row>
    <row r="2291" spans="1:10" x14ac:dyDescent="0.25">
      <c r="A2291">
        <v>63213</v>
      </c>
      <c r="B2291" t="s">
        <v>4305</v>
      </c>
      <c r="C2291" t="s">
        <v>131</v>
      </c>
      <c r="D2291" t="s">
        <v>2241</v>
      </c>
      <c r="E2291" t="s">
        <v>2242</v>
      </c>
      <c r="F2291">
        <v>6456</v>
      </c>
      <c r="G2291">
        <v>1892</v>
      </c>
      <c r="H2291" s="32">
        <f t="shared" si="35"/>
        <v>3.412262156448203</v>
      </c>
      <c r="I2291">
        <v>1</v>
      </c>
      <c r="J2291" t="s">
        <v>21</v>
      </c>
    </row>
    <row r="2292" spans="1:10" x14ac:dyDescent="0.25">
      <c r="A2292">
        <v>64790</v>
      </c>
      <c r="B2292" t="s">
        <v>4646</v>
      </c>
      <c r="C2292" t="s">
        <v>307</v>
      </c>
      <c r="D2292" t="s">
        <v>2241</v>
      </c>
      <c r="E2292" t="s">
        <v>2242</v>
      </c>
      <c r="F2292">
        <v>10073</v>
      </c>
      <c r="G2292">
        <v>2952</v>
      </c>
      <c r="H2292" s="32">
        <f t="shared" si="35"/>
        <v>3.4122628726287263</v>
      </c>
      <c r="I2292">
        <v>1</v>
      </c>
      <c r="J2292" t="s">
        <v>21</v>
      </c>
    </row>
    <row r="2293" spans="1:10" x14ac:dyDescent="0.25">
      <c r="A2293">
        <v>58314</v>
      </c>
      <c r="B2293" t="s">
        <v>3145</v>
      </c>
      <c r="C2293" t="s">
        <v>708</v>
      </c>
      <c r="D2293" t="s">
        <v>2241</v>
      </c>
      <c r="E2293" t="s">
        <v>2242</v>
      </c>
      <c r="F2293">
        <v>22538</v>
      </c>
      <c r="G2293">
        <v>6605</v>
      </c>
      <c r="H2293" s="32">
        <f t="shared" si="35"/>
        <v>3.4122634367903104</v>
      </c>
      <c r="I2293">
        <v>1</v>
      </c>
      <c r="J2293" t="s">
        <v>21</v>
      </c>
    </row>
    <row r="2294" spans="1:10" x14ac:dyDescent="0.25">
      <c r="A2294">
        <v>67625</v>
      </c>
      <c r="B2294" t="s">
        <v>5122</v>
      </c>
      <c r="C2294" t="s">
        <v>166</v>
      </c>
      <c r="D2294" t="s">
        <v>2241</v>
      </c>
      <c r="E2294" t="s">
        <v>2242</v>
      </c>
      <c r="F2294">
        <v>14079</v>
      </c>
      <c r="G2294">
        <v>4126</v>
      </c>
      <c r="H2294" s="32">
        <f t="shared" si="35"/>
        <v>3.4122636936500244</v>
      </c>
      <c r="I2294">
        <v>1</v>
      </c>
      <c r="J2294" t="s">
        <v>21</v>
      </c>
    </row>
    <row r="2295" spans="1:10" x14ac:dyDescent="0.25">
      <c r="A2295">
        <v>66028</v>
      </c>
      <c r="B2295" t="s">
        <v>4834</v>
      </c>
      <c r="C2295" t="s">
        <v>241</v>
      </c>
      <c r="D2295" t="s">
        <v>2241</v>
      </c>
      <c r="E2295" t="s">
        <v>2242</v>
      </c>
      <c r="F2295">
        <v>16082</v>
      </c>
      <c r="G2295">
        <v>4713</v>
      </c>
      <c r="H2295" s="32">
        <f t="shared" si="35"/>
        <v>3.4122639507744537</v>
      </c>
      <c r="I2295">
        <v>1</v>
      </c>
      <c r="J2295" t="s">
        <v>21</v>
      </c>
    </row>
    <row r="2296" spans="1:10" x14ac:dyDescent="0.25">
      <c r="A2296">
        <v>64050</v>
      </c>
      <c r="B2296" t="s">
        <v>4479</v>
      </c>
      <c r="C2296" t="s">
        <v>708</v>
      </c>
      <c r="D2296" t="s">
        <v>2241</v>
      </c>
      <c r="E2296" t="s">
        <v>2242</v>
      </c>
      <c r="F2296">
        <v>4784</v>
      </c>
      <c r="G2296">
        <v>1402</v>
      </c>
      <c r="H2296" s="32">
        <f t="shared" si="35"/>
        <v>3.4122681883024253</v>
      </c>
      <c r="I2296">
        <v>1</v>
      </c>
      <c r="J2296" t="s">
        <v>21</v>
      </c>
    </row>
    <row r="2297" spans="1:10" x14ac:dyDescent="0.25">
      <c r="A2297">
        <v>58791</v>
      </c>
      <c r="B2297" t="s">
        <v>3278</v>
      </c>
      <c r="C2297" t="s">
        <v>708</v>
      </c>
      <c r="D2297" t="s">
        <v>2241</v>
      </c>
      <c r="E2297" t="s">
        <v>2242</v>
      </c>
      <c r="F2297">
        <v>25087</v>
      </c>
      <c r="G2297">
        <v>7352</v>
      </c>
      <c r="H2297" s="32">
        <f t="shared" si="35"/>
        <v>3.4122687704026116</v>
      </c>
      <c r="I2297">
        <v>1</v>
      </c>
      <c r="J2297" t="s">
        <v>21</v>
      </c>
    </row>
    <row r="2298" spans="1:10" x14ac:dyDescent="0.25">
      <c r="A2298">
        <v>67790</v>
      </c>
      <c r="B2298" t="s">
        <v>5168</v>
      </c>
      <c r="C2298" t="s">
        <v>166</v>
      </c>
      <c r="D2298" t="s">
        <v>2241</v>
      </c>
      <c r="E2298" t="s">
        <v>2242</v>
      </c>
      <c r="F2298">
        <v>14294</v>
      </c>
      <c r="G2298">
        <v>4189</v>
      </c>
      <c r="H2298" s="32">
        <f t="shared" si="35"/>
        <v>3.4122702315588445</v>
      </c>
      <c r="I2298">
        <v>1</v>
      </c>
      <c r="J2298" t="s">
        <v>21</v>
      </c>
    </row>
    <row r="2299" spans="1:10" x14ac:dyDescent="0.25">
      <c r="A2299">
        <v>59566</v>
      </c>
      <c r="B2299" t="s">
        <v>3516</v>
      </c>
      <c r="C2299" t="s">
        <v>708</v>
      </c>
      <c r="D2299" t="s">
        <v>2241</v>
      </c>
      <c r="E2299" t="s">
        <v>2242</v>
      </c>
      <c r="F2299">
        <v>23026</v>
      </c>
      <c r="G2299">
        <v>6748</v>
      </c>
      <c r="H2299" s="32">
        <f t="shared" si="35"/>
        <v>3.412270302311796</v>
      </c>
      <c r="I2299">
        <v>1</v>
      </c>
      <c r="J2299" t="s">
        <v>21</v>
      </c>
    </row>
    <row r="2300" spans="1:10" x14ac:dyDescent="0.25">
      <c r="A2300">
        <v>64470</v>
      </c>
      <c r="B2300" t="s">
        <v>4580</v>
      </c>
      <c r="C2300" t="s">
        <v>250</v>
      </c>
      <c r="D2300" t="s">
        <v>2241</v>
      </c>
      <c r="E2300" t="s">
        <v>2242</v>
      </c>
      <c r="F2300">
        <v>11902</v>
      </c>
      <c r="G2300">
        <v>3488</v>
      </c>
      <c r="H2300" s="32">
        <f t="shared" si="35"/>
        <v>3.4122706422018347</v>
      </c>
      <c r="I2300">
        <v>1</v>
      </c>
      <c r="J2300" t="s">
        <v>21</v>
      </c>
    </row>
    <row r="2301" spans="1:10" x14ac:dyDescent="0.25">
      <c r="A2301">
        <v>64468</v>
      </c>
      <c r="B2301" t="s">
        <v>4579</v>
      </c>
      <c r="C2301" t="s">
        <v>166</v>
      </c>
      <c r="D2301" t="s">
        <v>2241</v>
      </c>
      <c r="E2301" t="s">
        <v>2242</v>
      </c>
      <c r="F2301">
        <v>15461</v>
      </c>
      <c r="G2301">
        <v>4531</v>
      </c>
      <c r="H2301" s="32">
        <f t="shared" si="35"/>
        <v>3.4122710218494814</v>
      </c>
      <c r="I2301">
        <v>1</v>
      </c>
      <c r="J2301" t="s">
        <v>21</v>
      </c>
    </row>
    <row r="2302" spans="1:10" x14ac:dyDescent="0.25">
      <c r="A2302">
        <v>64228</v>
      </c>
      <c r="B2302" t="s">
        <v>4515</v>
      </c>
      <c r="C2302" t="s">
        <v>166</v>
      </c>
      <c r="D2302" t="s">
        <v>2241</v>
      </c>
      <c r="E2302" t="s">
        <v>2242</v>
      </c>
      <c r="F2302">
        <v>13069</v>
      </c>
      <c r="G2302">
        <v>3830</v>
      </c>
      <c r="H2302" s="32">
        <f t="shared" si="35"/>
        <v>3.4122715404699737</v>
      </c>
      <c r="I2302">
        <v>1</v>
      </c>
      <c r="J2302" t="s">
        <v>21</v>
      </c>
    </row>
    <row r="2303" spans="1:10" x14ac:dyDescent="0.25">
      <c r="A2303">
        <v>59912</v>
      </c>
      <c r="B2303" t="s">
        <v>3616</v>
      </c>
      <c r="C2303" t="s">
        <v>708</v>
      </c>
      <c r="D2303" t="s">
        <v>2241</v>
      </c>
      <c r="E2303" t="s">
        <v>2242</v>
      </c>
      <c r="F2303">
        <v>28414</v>
      </c>
      <c r="G2303">
        <v>8327</v>
      </c>
      <c r="H2303" s="32">
        <f t="shared" si="35"/>
        <v>3.412273327729074</v>
      </c>
      <c r="I2303">
        <v>1</v>
      </c>
      <c r="J2303" t="s">
        <v>21</v>
      </c>
    </row>
    <row r="2304" spans="1:10" x14ac:dyDescent="0.25">
      <c r="A2304">
        <v>59366</v>
      </c>
      <c r="B2304" t="s">
        <v>3438</v>
      </c>
      <c r="C2304" t="s">
        <v>241</v>
      </c>
      <c r="D2304" t="s">
        <v>2241</v>
      </c>
      <c r="E2304" t="s">
        <v>2242</v>
      </c>
      <c r="F2304">
        <v>30748</v>
      </c>
      <c r="G2304">
        <v>9011</v>
      </c>
      <c r="H2304" s="32">
        <f t="shared" si="35"/>
        <v>3.4122738874708691</v>
      </c>
      <c r="I2304">
        <v>1</v>
      </c>
      <c r="J2304" t="s">
        <v>21</v>
      </c>
    </row>
    <row r="2305" spans="1:10" x14ac:dyDescent="0.25">
      <c r="A2305">
        <v>62124</v>
      </c>
      <c r="B2305" t="s">
        <v>4117</v>
      </c>
      <c r="C2305" t="s">
        <v>708</v>
      </c>
      <c r="D2305" t="s">
        <v>2241</v>
      </c>
      <c r="E2305" t="s">
        <v>2242</v>
      </c>
      <c r="F2305">
        <v>4726</v>
      </c>
      <c r="G2305">
        <v>1385</v>
      </c>
      <c r="H2305" s="32">
        <f t="shared" si="35"/>
        <v>3.412274368231047</v>
      </c>
      <c r="I2305">
        <v>1</v>
      </c>
      <c r="J2305" t="s">
        <v>21</v>
      </c>
    </row>
    <row r="2306" spans="1:10" x14ac:dyDescent="0.25">
      <c r="A2306">
        <v>69911</v>
      </c>
      <c r="B2306" t="s">
        <v>5407</v>
      </c>
      <c r="C2306" t="s">
        <v>166</v>
      </c>
      <c r="D2306" t="s">
        <v>2241</v>
      </c>
      <c r="E2306" t="s">
        <v>2242</v>
      </c>
      <c r="F2306">
        <v>10230</v>
      </c>
      <c r="G2306">
        <v>2998</v>
      </c>
      <c r="H2306" s="32">
        <f t="shared" ref="H2306:H2369" si="36">IF(AND(F2306&gt;0,G2306&gt;0),F2306/G2306,"")</f>
        <v>3.4122748498999331</v>
      </c>
      <c r="I2306">
        <v>1</v>
      </c>
      <c r="J2306" t="s">
        <v>21</v>
      </c>
    </row>
    <row r="2307" spans="1:10" x14ac:dyDescent="0.25">
      <c r="A2307">
        <v>67622</v>
      </c>
      <c r="B2307" t="s">
        <v>5119</v>
      </c>
      <c r="C2307" t="s">
        <v>166</v>
      </c>
      <c r="D2307" t="s">
        <v>2241</v>
      </c>
      <c r="E2307" t="s">
        <v>2242</v>
      </c>
      <c r="F2307">
        <v>12175</v>
      </c>
      <c r="G2307">
        <v>3568</v>
      </c>
      <c r="H2307" s="32">
        <f t="shared" si="36"/>
        <v>3.4122757847533634</v>
      </c>
      <c r="I2307">
        <v>1</v>
      </c>
      <c r="J2307" t="s">
        <v>21</v>
      </c>
    </row>
    <row r="2308" spans="1:10" x14ac:dyDescent="0.25">
      <c r="A2308">
        <v>60746</v>
      </c>
      <c r="B2308" t="s">
        <v>3855</v>
      </c>
      <c r="C2308" t="s">
        <v>241</v>
      </c>
      <c r="D2308" t="s">
        <v>2241</v>
      </c>
      <c r="E2308" t="s">
        <v>2242</v>
      </c>
      <c r="F2308">
        <v>9394</v>
      </c>
      <c r="G2308">
        <v>2753</v>
      </c>
      <c r="H2308" s="32">
        <f t="shared" si="36"/>
        <v>3.4122775154377045</v>
      </c>
      <c r="I2308">
        <v>1</v>
      </c>
      <c r="J2308" t="s">
        <v>21</v>
      </c>
    </row>
    <row r="2309" spans="1:10" x14ac:dyDescent="0.25">
      <c r="A2309">
        <v>58014</v>
      </c>
      <c r="B2309" t="s">
        <v>3090</v>
      </c>
      <c r="C2309" t="s">
        <v>307</v>
      </c>
      <c r="D2309" t="s">
        <v>2241</v>
      </c>
      <c r="E2309" t="s">
        <v>2242</v>
      </c>
      <c r="F2309">
        <v>9783</v>
      </c>
      <c r="G2309">
        <v>2867</v>
      </c>
      <c r="H2309" s="32">
        <f t="shared" si="36"/>
        <v>3.4122776421346357</v>
      </c>
      <c r="I2309">
        <v>1</v>
      </c>
      <c r="J2309" t="s">
        <v>21</v>
      </c>
    </row>
    <row r="2310" spans="1:10" x14ac:dyDescent="0.25">
      <c r="A2310">
        <v>67690</v>
      </c>
      <c r="B2310" t="s">
        <v>5147</v>
      </c>
      <c r="C2310" t="s">
        <v>307</v>
      </c>
      <c r="D2310" t="s">
        <v>2241</v>
      </c>
      <c r="E2310" t="s">
        <v>2242</v>
      </c>
      <c r="F2310">
        <v>12117</v>
      </c>
      <c r="G2310">
        <v>3551</v>
      </c>
      <c r="H2310" s="32">
        <f t="shared" si="36"/>
        <v>3.4122782314840889</v>
      </c>
      <c r="I2310">
        <v>1</v>
      </c>
      <c r="J2310" t="s">
        <v>21</v>
      </c>
    </row>
    <row r="2311" spans="1:10" x14ac:dyDescent="0.25">
      <c r="A2311">
        <v>66803</v>
      </c>
      <c r="B2311" t="s">
        <v>4966</v>
      </c>
      <c r="C2311" t="s">
        <v>241</v>
      </c>
      <c r="D2311" t="s">
        <v>2241</v>
      </c>
      <c r="E2311" t="s">
        <v>2242</v>
      </c>
      <c r="F2311">
        <v>19508</v>
      </c>
      <c r="G2311">
        <v>5717</v>
      </c>
      <c r="H2311" s="32">
        <f t="shared" si="36"/>
        <v>3.4122791673954871</v>
      </c>
      <c r="I2311">
        <v>1</v>
      </c>
      <c r="J2311" t="s">
        <v>21</v>
      </c>
    </row>
    <row r="2312" spans="1:10" x14ac:dyDescent="0.25">
      <c r="A2312">
        <v>59039</v>
      </c>
      <c r="B2312" t="s">
        <v>3357</v>
      </c>
      <c r="C2312" t="s">
        <v>708</v>
      </c>
      <c r="D2312" t="s">
        <v>2241</v>
      </c>
      <c r="E2312" t="s">
        <v>2242</v>
      </c>
      <c r="F2312">
        <v>10114</v>
      </c>
      <c r="G2312">
        <v>2964</v>
      </c>
      <c r="H2312" s="32">
        <f t="shared" si="36"/>
        <v>3.4122807017543861</v>
      </c>
      <c r="I2312">
        <v>1</v>
      </c>
      <c r="J2312" t="s">
        <v>21</v>
      </c>
    </row>
    <row r="2313" spans="1:10" x14ac:dyDescent="0.25">
      <c r="A2313">
        <v>61915</v>
      </c>
      <c r="B2313" t="s">
        <v>4086</v>
      </c>
      <c r="C2313" t="s">
        <v>307</v>
      </c>
      <c r="D2313" t="s">
        <v>2241</v>
      </c>
      <c r="E2313" t="s">
        <v>2242</v>
      </c>
      <c r="F2313">
        <v>1167</v>
      </c>
      <c r="G2313">
        <v>342</v>
      </c>
      <c r="H2313" s="32">
        <f t="shared" si="36"/>
        <v>3.4122807017543861</v>
      </c>
      <c r="I2313">
        <v>1</v>
      </c>
      <c r="J2313" t="s">
        <v>21</v>
      </c>
    </row>
    <row r="2314" spans="1:10" x14ac:dyDescent="0.25">
      <c r="A2314">
        <v>64785</v>
      </c>
      <c r="B2314" t="s">
        <v>4642</v>
      </c>
      <c r="C2314" t="s">
        <v>166</v>
      </c>
      <c r="D2314" t="s">
        <v>2241</v>
      </c>
      <c r="E2314" t="s">
        <v>2242</v>
      </c>
      <c r="F2314">
        <v>15949</v>
      </c>
      <c r="G2314">
        <v>4674</v>
      </c>
      <c r="H2314" s="32">
        <f t="shared" si="36"/>
        <v>3.4122807017543861</v>
      </c>
      <c r="I2314">
        <v>1</v>
      </c>
      <c r="J2314" t="s">
        <v>21</v>
      </c>
    </row>
    <row r="2315" spans="1:10" x14ac:dyDescent="0.25">
      <c r="A2315">
        <v>69916</v>
      </c>
      <c r="B2315" t="s">
        <v>5412</v>
      </c>
      <c r="C2315" t="s">
        <v>166</v>
      </c>
      <c r="D2315" t="s">
        <v>2241</v>
      </c>
      <c r="E2315" t="s">
        <v>2242</v>
      </c>
      <c r="F2315">
        <v>2723</v>
      </c>
      <c r="G2315">
        <v>798</v>
      </c>
      <c r="H2315" s="32">
        <f t="shared" si="36"/>
        <v>3.4122807017543861</v>
      </c>
      <c r="I2315">
        <v>1</v>
      </c>
      <c r="J2315" t="s">
        <v>21</v>
      </c>
    </row>
    <row r="2316" spans="1:10" x14ac:dyDescent="0.25">
      <c r="A2316">
        <v>69924</v>
      </c>
      <c r="B2316" t="s">
        <v>5420</v>
      </c>
      <c r="C2316" t="s">
        <v>166</v>
      </c>
      <c r="D2316" t="s">
        <v>2241</v>
      </c>
      <c r="E2316" t="s">
        <v>2242</v>
      </c>
      <c r="F2316">
        <v>14004</v>
      </c>
      <c r="G2316">
        <v>4104</v>
      </c>
      <c r="H2316" s="32">
        <f t="shared" si="36"/>
        <v>3.4122807017543861</v>
      </c>
      <c r="I2316">
        <v>1</v>
      </c>
      <c r="J2316" t="s">
        <v>21</v>
      </c>
    </row>
    <row r="2317" spans="1:10" x14ac:dyDescent="0.25">
      <c r="A2317">
        <v>64237</v>
      </c>
      <c r="B2317" t="s">
        <v>4518</v>
      </c>
      <c r="C2317" t="s">
        <v>708</v>
      </c>
      <c r="D2317" t="s">
        <v>2241</v>
      </c>
      <c r="E2317" t="s">
        <v>2242</v>
      </c>
      <c r="F2317">
        <v>24060</v>
      </c>
      <c r="G2317">
        <v>7051</v>
      </c>
      <c r="H2317" s="32">
        <f t="shared" si="36"/>
        <v>3.4122819458232874</v>
      </c>
      <c r="I2317">
        <v>1</v>
      </c>
      <c r="J2317" t="s">
        <v>21</v>
      </c>
    </row>
    <row r="2318" spans="1:10" x14ac:dyDescent="0.25">
      <c r="A2318">
        <v>64734</v>
      </c>
      <c r="B2318" t="s">
        <v>4636</v>
      </c>
      <c r="C2318" t="s">
        <v>166</v>
      </c>
      <c r="D2318" t="s">
        <v>2241</v>
      </c>
      <c r="E2318" t="s">
        <v>2242</v>
      </c>
      <c r="F2318">
        <v>15502</v>
      </c>
      <c r="G2318">
        <v>4543</v>
      </c>
      <c r="H2318" s="32">
        <f t="shared" si="36"/>
        <v>3.4122826326216158</v>
      </c>
      <c r="I2318">
        <v>1</v>
      </c>
      <c r="J2318" t="s">
        <v>21</v>
      </c>
    </row>
    <row r="2319" spans="1:10" x14ac:dyDescent="0.25">
      <c r="A2319">
        <v>70248</v>
      </c>
      <c r="B2319" t="s">
        <v>5426</v>
      </c>
      <c r="C2319" t="s">
        <v>166</v>
      </c>
      <c r="D2319" t="s">
        <v>2241</v>
      </c>
      <c r="E2319" t="s">
        <v>2242</v>
      </c>
      <c r="F2319">
        <v>14724</v>
      </c>
      <c r="G2319">
        <v>4315</v>
      </c>
      <c r="H2319" s="32">
        <f t="shared" si="36"/>
        <v>3.4122827346465816</v>
      </c>
      <c r="I2319">
        <v>1</v>
      </c>
      <c r="J2319" t="s">
        <v>21</v>
      </c>
    </row>
    <row r="2320" spans="1:10" x14ac:dyDescent="0.25">
      <c r="A2320">
        <v>69098</v>
      </c>
      <c r="B2320" t="s">
        <v>5319</v>
      </c>
      <c r="C2320" t="s">
        <v>241</v>
      </c>
      <c r="D2320" t="s">
        <v>2241</v>
      </c>
      <c r="E2320" t="s">
        <v>2242</v>
      </c>
      <c r="F2320">
        <v>16553</v>
      </c>
      <c r="G2320">
        <v>4851</v>
      </c>
      <c r="H2320" s="32">
        <f t="shared" si="36"/>
        <v>3.4122861265718409</v>
      </c>
      <c r="I2320">
        <v>1</v>
      </c>
      <c r="J2320" t="s">
        <v>21</v>
      </c>
    </row>
    <row r="2321" spans="1:10" x14ac:dyDescent="0.25">
      <c r="A2321">
        <v>59174</v>
      </c>
      <c r="B2321" t="s">
        <v>3408</v>
      </c>
      <c r="C2321" t="s">
        <v>708</v>
      </c>
      <c r="D2321" t="s">
        <v>2241</v>
      </c>
      <c r="E2321" t="s">
        <v>2242</v>
      </c>
      <c r="F2321">
        <v>30383</v>
      </c>
      <c r="G2321">
        <v>8904</v>
      </c>
      <c r="H2321" s="32">
        <f t="shared" si="36"/>
        <v>3.4122866127583107</v>
      </c>
      <c r="I2321">
        <v>1</v>
      </c>
      <c r="J2321" t="s">
        <v>21</v>
      </c>
    </row>
    <row r="2322" spans="1:10" x14ac:dyDescent="0.25">
      <c r="A2322">
        <v>67751</v>
      </c>
      <c r="B2322" t="s">
        <v>5163</v>
      </c>
      <c r="C2322" t="s">
        <v>166</v>
      </c>
      <c r="D2322" t="s">
        <v>2241</v>
      </c>
      <c r="E2322" t="s">
        <v>2242</v>
      </c>
      <c r="F2322">
        <v>13441</v>
      </c>
      <c r="G2322">
        <v>3939</v>
      </c>
      <c r="H2322" s="32">
        <f t="shared" si="36"/>
        <v>3.4122873825844122</v>
      </c>
      <c r="I2322">
        <v>1</v>
      </c>
      <c r="J2322" t="s">
        <v>21</v>
      </c>
    </row>
    <row r="2323" spans="1:10" x14ac:dyDescent="0.25">
      <c r="A2323">
        <v>67392</v>
      </c>
      <c r="B2323" t="s">
        <v>5089</v>
      </c>
      <c r="C2323" t="s">
        <v>307</v>
      </c>
      <c r="D2323" t="s">
        <v>2241</v>
      </c>
      <c r="E2323" t="s">
        <v>2242</v>
      </c>
      <c r="F2323">
        <v>12274</v>
      </c>
      <c r="G2323">
        <v>3597</v>
      </c>
      <c r="H2323" s="32">
        <f t="shared" si="36"/>
        <v>3.4122880177926049</v>
      </c>
      <c r="I2323">
        <v>1</v>
      </c>
      <c r="J2323" t="s">
        <v>21</v>
      </c>
    </row>
    <row r="2324" spans="1:10" x14ac:dyDescent="0.25">
      <c r="A2324">
        <v>65612</v>
      </c>
      <c r="B2324" t="s">
        <v>4780</v>
      </c>
      <c r="C2324" t="s">
        <v>307</v>
      </c>
      <c r="D2324" t="s">
        <v>2241</v>
      </c>
      <c r="E2324" t="s">
        <v>2242</v>
      </c>
      <c r="F2324">
        <v>9940</v>
      </c>
      <c r="G2324">
        <v>2913</v>
      </c>
      <c r="H2324" s="32">
        <f t="shared" si="36"/>
        <v>3.4122897356676964</v>
      </c>
      <c r="I2324">
        <v>1</v>
      </c>
      <c r="J2324" t="s">
        <v>21</v>
      </c>
    </row>
    <row r="2325" spans="1:10" x14ac:dyDescent="0.25">
      <c r="A2325">
        <v>60800</v>
      </c>
      <c r="B2325" t="s">
        <v>3877</v>
      </c>
      <c r="C2325" t="s">
        <v>708</v>
      </c>
      <c r="D2325" t="s">
        <v>2241</v>
      </c>
      <c r="E2325" t="s">
        <v>2242</v>
      </c>
      <c r="F2325">
        <v>9551</v>
      </c>
      <c r="G2325">
        <v>2799</v>
      </c>
      <c r="H2325" s="32">
        <f t="shared" si="36"/>
        <v>3.4122901036084317</v>
      </c>
      <c r="I2325">
        <v>1</v>
      </c>
      <c r="J2325" t="s">
        <v>21</v>
      </c>
    </row>
    <row r="2326" spans="1:10" x14ac:dyDescent="0.25">
      <c r="A2326">
        <v>59749</v>
      </c>
      <c r="B2326" t="s">
        <v>3570</v>
      </c>
      <c r="C2326" t="s">
        <v>307</v>
      </c>
      <c r="D2326" t="s">
        <v>2241</v>
      </c>
      <c r="E2326" t="s">
        <v>2242</v>
      </c>
      <c r="F2326">
        <v>8773</v>
      </c>
      <c r="G2326">
        <v>2571</v>
      </c>
      <c r="H2326" s="32">
        <f t="shared" si="36"/>
        <v>3.4122909373784518</v>
      </c>
      <c r="I2326">
        <v>1</v>
      </c>
      <c r="J2326" t="s">
        <v>21</v>
      </c>
    </row>
    <row r="2327" spans="1:10" x14ac:dyDescent="0.25">
      <c r="A2327">
        <v>60848</v>
      </c>
      <c r="B2327" t="s">
        <v>3890</v>
      </c>
      <c r="C2327" t="s">
        <v>143</v>
      </c>
      <c r="D2327" t="s">
        <v>2241</v>
      </c>
      <c r="E2327" t="s">
        <v>2242</v>
      </c>
      <c r="F2327">
        <v>8773</v>
      </c>
      <c r="G2327">
        <v>2571</v>
      </c>
      <c r="H2327" s="32">
        <f t="shared" si="36"/>
        <v>3.4122909373784518</v>
      </c>
      <c r="I2327">
        <v>1</v>
      </c>
      <c r="J2327" t="s">
        <v>21</v>
      </c>
    </row>
    <row r="2328" spans="1:10" x14ac:dyDescent="0.25">
      <c r="A2328">
        <v>61354</v>
      </c>
      <c r="B2328" t="s">
        <v>4001</v>
      </c>
      <c r="C2328" t="s">
        <v>241</v>
      </c>
      <c r="D2328" t="s">
        <v>2241</v>
      </c>
      <c r="E2328" t="s">
        <v>2242</v>
      </c>
      <c r="F2328">
        <v>11438</v>
      </c>
      <c r="G2328">
        <v>3352</v>
      </c>
      <c r="H2328" s="32">
        <f t="shared" si="36"/>
        <v>3.4122911694510738</v>
      </c>
      <c r="I2328">
        <v>1</v>
      </c>
      <c r="J2328" t="s">
        <v>21</v>
      </c>
    </row>
    <row r="2329" spans="1:10" x14ac:dyDescent="0.25">
      <c r="A2329">
        <v>64458</v>
      </c>
      <c r="B2329" t="s">
        <v>4569</v>
      </c>
      <c r="C2329" t="s">
        <v>250</v>
      </c>
      <c r="D2329" t="s">
        <v>2241</v>
      </c>
      <c r="E2329" t="s">
        <v>2242</v>
      </c>
      <c r="F2329">
        <v>12936</v>
      </c>
      <c r="G2329">
        <v>3791</v>
      </c>
      <c r="H2329" s="32">
        <f t="shared" si="36"/>
        <v>3.4122922711685573</v>
      </c>
      <c r="I2329">
        <v>1</v>
      </c>
      <c r="J2329" t="s">
        <v>21</v>
      </c>
    </row>
    <row r="2330" spans="1:10" x14ac:dyDescent="0.25">
      <c r="A2330">
        <v>62946</v>
      </c>
      <c r="B2330" t="s">
        <v>4261</v>
      </c>
      <c r="C2330" t="s">
        <v>143</v>
      </c>
      <c r="D2330" t="s">
        <v>2241</v>
      </c>
      <c r="E2330" t="s">
        <v>2242</v>
      </c>
      <c r="F2330">
        <v>14823</v>
      </c>
      <c r="G2330">
        <v>4344</v>
      </c>
      <c r="H2330" s="32">
        <f t="shared" si="36"/>
        <v>3.4122928176795582</v>
      </c>
      <c r="I2330">
        <v>1</v>
      </c>
      <c r="J2330" t="s">
        <v>21</v>
      </c>
    </row>
    <row r="2331" spans="1:10" x14ac:dyDescent="0.25">
      <c r="A2331">
        <v>65983</v>
      </c>
      <c r="B2331" t="s">
        <v>4824</v>
      </c>
      <c r="C2331" t="s">
        <v>307</v>
      </c>
      <c r="D2331" t="s">
        <v>2241</v>
      </c>
      <c r="E2331" t="s">
        <v>2242</v>
      </c>
      <c r="F2331">
        <v>11380</v>
      </c>
      <c r="G2331">
        <v>3335</v>
      </c>
      <c r="H2331" s="32">
        <f t="shared" si="36"/>
        <v>3.4122938530734634</v>
      </c>
      <c r="I2331">
        <v>1</v>
      </c>
      <c r="J2331" t="s">
        <v>21</v>
      </c>
    </row>
    <row r="2332" spans="1:10" x14ac:dyDescent="0.25">
      <c r="A2332">
        <v>66899</v>
      </c>
      <c r="B2332" t="s">
        <v>4987</v>
      </c>
      <c r="C2332" t="s">
        <v>118</v>
      </c>
      <c r="D2332" t="s">
        <v>2241</v>
      </c>
      <c r="E2332" t="s">
        <v>2242</v>
      </c>
      <c r="F2332">
        <v>26534</v>
      </c>
      <c r="G2332">
        <v>7776</v>
      </c>
      <c r="H2332" s="32">
        <f t="shared" si="36"/>
        <v>3.4122942386831276</v>
      </c>
      <c r="I2332">
        <v>1</v>
      </c>
      <c r="J2332" t="s">
        <v>21</v>
      </c>
    </row>
    <row r="2333" spans="1:10" x14ac:dyDescent="0.25">
      <c r="A2333">
        <v>69066</v>
      </c>
      <c r="B2333" t="s">
        <v>5308</v>
      </c>
      <c r="C2333" t="s">
        <v>166</v>
      </c>
      <c r="D2333" t="s">
        <v>2241</v>
      </c>
      <c r="E2333" t="s">
        <v>2242</v>
      </c>
      <c r="F2333">
        <v>21924</v>
      </c>
      <c r="G2333">
        <v>6425</v>
      </c>
      <c r="H2333" s="32">
        <f t="shared" si="36"/>
        <v>3.4122957198443578</v>
      </c>
      <c r="I2333">
        <v>1</v>
      </c>
      <c r="J2333" t="s">
        <v>21</v>
      </c>
    </row>
    <row r="2334" spans="1:10" x14ac:dyDescent="0.25">
      <c r="A2334">
        <v>67463</v>
      </c>
      <c r="B2334" t="s">
        <v>5103</v>
      </c>
      <c r="C2334" t="s">
        <v>201</v>
      </c>
      <c r="D2334" t="s">
        <v>2241</v>
      </c>
      <c r="E2334" t="s">
        <v>2242</v>
      </c>
      <c r="F2334">
        <v>15816</v>
      </c>
      <c r="G2334">
        <v>4635</v>
      </c>
      <c r="H2334" s="32">
        <f t="shared" si="36"/>
        <v>3.4122977346278316</v>
      </c>
      <c r="I2334">
        <v>1</v>
      </c>
      <c r="J2334" t="s">
        <v>21</v>
      </c>
    </row>
    <row r="2335" spans="1:10" x14ac:dyDescent="0.25">
      <c r="A2335">
        <v>64251</v>
      </c>
      <c r="B2335" t="s">
        <v>4529</v>
      </c>
      <c r="C2335" t="s">
        <v>250</v>
      </c>
      <c r="D2335" t="s">
        <v>2241</v>
      </c>
      <c r="E2335" t="s">
        <v>2242</v>
      </c>
      <c r="F2335">
        <v>31905</v>
      </c>
      <c r="G2335">
        <v>9350</v>
      </c>
      <c r="H2335" s="32">
        <f t="shared" si="36"/>
        <v>3.4122994652406415</v>
      </c>
      <c r="I2335">
        <v>1</v>
      </c>
      <c r="J2335" t="s">
        <v>21</v>
      </c>
    </row>
    <row r="2336" spans="1:10" x14ac:dyDescent="0.25">
      <c r="A2336">
        <v>63334</v>
      </c>
      <c r="B2336" t="s">
        <v>4329</v>
      </c>
      <c r="C2336" t="s">
        <v>241</v>
      </c>
      <c r="D2336" t="s">
        <v>2241</v>
      </c>
      <c r="E2336" t="s">
        <v>2242</v>
      </c>
      <c r="F2336">
        <v>19863</v>
      </c>
      <c r="G2336">
        <v>5821</v>
      </c>
      <c r="H2336" s="32">
        <f t="shared" si="36"/>
        <v>3.4123002920460404</v>
      </c>
      <c r="I2336">
        <v>1</v>
      </c>
      <c r="J2336" t="s">
        <v>21</v>
      </c>
    </row>
    <row r="2337" spans="1:10" x14ac:dyDescent="0.25">
      <c r="A2337">
        <v>66654</v>
      </c>
      <c r="B2337" t="s">
        <v>4940</v>
      </c>
      <c r="C2337" t="s">
        <v>307</v>
      </c>
      <c r="D2337" t="s">
        <v>2241</v>
      </c>
      <c r="E2337" t="s">
        <v>2242</v>
      </c>
      <c r="F2337">
        <v>8988</v>
      </c>
      <c r="G2337">
        <v>2634</v>
      </c>
      <c r="H2337" s="32">
        <f t="shared" si="36"/>
        <v>3.4123006833712983</v>
      </c>
      <c r="I2337">
        <v>1</v>
      </c>
      <c r="J2337" t="s">
        <v>21</v>
      </c>
    </row>
    <row r="2338" spans="1:10" x14ac:dyDescent="0.25">
      <c r="A2338">
        <v>61275</v>
      </c>
      <c r="B2338" t="s">
        <v>3974</v>
      </c>
      <c r="C2338" t="s">
        <v>708</v>
      </c>
      <c r="D2338" t="s">
        <v>2241</v>
      </c>
      <c r="E2338" t="s">
        <v>2242</v>
      </c>
      <c r="F2338">
        <v>25292</v>
      </c>
      <c r="G2338">
        <v>7412</v>
      </c>
      <c r="H2338" s="32">
        <f t="shared" si="36"/>
        <v>3.4123043712898005</v>
      </c>
      <c r="I2338">
        <v>1</v>
      </c>
      <c r="J2338" t="s">
        <v>21</v>
      </c>
    </row>
    <row r="2339" spans="1:10" x14ac:dyDescent="0.25">
      <c r="A2339">
        <v>67164</v>
      </c>
      <c r="B2339" t="s">
        <v>5049</v>
      </c>
      <c r="C2339" t="s">
        <v>266</v>
      </c>
      <c r="D2339" t="s">
        <v>2241</v>
      </c>
      <c r="E2339" t="s">
        <v>2242</v>
      </c>
      <c r="F2339">
        <v>24456</v>
      </c>
      <c r="G2339">
        <v>7167</v>
      </c>
      <c r="H2339" s="32">
        <f t="shared" si="36"/>
        <v>3.412306404353286</v>
      </c>
      <c r="I2339">
        <v>1</v>
      </c>
      <c r="J2339" t="s">
        <v>21</v>
      </c>
    </row>
    <row r="2340" spans="1:10" x14ac:dyDescent="0.25">
      <c r="A2340">
        <v>61630</v>
      </c>
      <c r="B2340" t="s">
        <v>4044</v>
      </c>
      <c r="C2340" t="s">
        <v>241</v>
      </c>
      <c r="D2340" t="s">
        <v>2241</v>
      </c>
      <c r="E2340" t="s">
        <v>2242</v>
      </c>
      <c r="F2340">
        <v>1109</v>
      </c>
      <c r="G2340">
        <v>325</v>
      </c>
      <c r="H2340" s="32">
        <f t="shared" si="36"/>
        <v>3.4123076923076923</v>
      </c>
      <c r="I2340">
        <v>1</v>
      </c>
      <c r="J2340" t="s">
        <v>21</v>
      </c>
    </row>
    <row r="2341" spans="1:10" x14ac:dyDescent="0.25">
      <c r="A2341">
        <v>68882</v>
      </c>
      <c r="B2341" t="s">
        <v>5268</v>
      </c>
      <c r="C2341" t="s">
        <v>166</v>
      </c>
      <c r="D2341" t="s">
        <v>2241</v>
      </c>
      <c r="E2341" t="s">
        <v>2242</v>
      </c>
      <c r="F2341">
        <v>5545</v>
      </c>
      <c r="G2341">
        <v>1625</v>
      </c>
      <c r="H2341" s="32">
        <f t="shared" si="36"/>
        <v>3.4123076923076923</v>
      </c>
      <c r="I2341">
        <v>1</v>
      </c>
      <c r="J2341" t="s">
        <v>21</v>
      </c>
    </row>
    <row r="2342" spans="1:10" x14ac:dyDescent="0.25">
      <c r="A2342">
        <v>68963</v>
      </c>
      <c r="B2342" t="s">
        <v>5288</v>
      </c>
      <c r="C2342" t="s">
        <v>166</v>
      </c>
      <c r="D2342" t="s">
        <v>2241</v>
      </c>
      <c r="E2342" t="s">
        <v>2242</v>
      </c>
      <c r="F2342">
        <v>12861</v>
      </c>
      <c r="G2342">
        <v>3769</v>
      </c>
      <c r="H2342" s="32">
        <f t="shared" si="36"/>
        <v>3.4123109578137436</v>
      </c>
      <c r="I2342">
        <v>1</v>
      </c>
      <c r="J2342" t="s">
        <v>21</v>
      </c>
    </row>
    <row r="2343" spans="1:10" x14ac:dyDescent="0.25">
      <c r="A2343">
        <v>70252</v>
      </c>
      <c r="B2343" t="s">
        <v>5430</v>
      </c>
      <c r="C2343" t="s">
        <v>166</v>
      </c>
      <c r="D2343" t="s">
        <v>2241</v>
      </c>
      <c r="E2343" t="s">
        <v>2242</v>
      </c>
      <c r="F2343">
        <v>15799</v>
      </c>
      <c r="G2343">
        <v>4630</v>
      </c>
      <c r="H2343" s="32">
        <f t="shared" si="36"/>
        <v>3.4123110151187905</v>
      </c>
      <c r="I2343">
        <v>1</v>
      </c>
      <c r="J2343" t="s">
        <v>21</v>
      </c>
    </row>
    <row r="2344" spans="1:10" x14ac:dyDescent="0.25">
      <c r="A2344">
        <v>63017</v>
      </c>
      <c r="B2344" t="s">
        <v>4276</v>
      </c>
      <c r="C2344" t="s">
        <v>708</v>
      </c>
      <c r="D2344" t="s">
        <v>2241</v>
      </c>
      <c r="E2344" t="s">
        <v>2242</v>
      </c>
      <c r="F2344">
        <v>26384</v>
      </c>
      <c r="G2344">
        <v>7732</v>
      </c>
      <c r="H2344" s="32">
        <f t="shared" si="36"/>
        <v>3.412312467666839</v>
      </c>
      <c r="I2344">
        <v>1</v>
      </c>
      <c r="J2344" t="s">
        <v>21</v>
      </c>
    </row>
    <row r="2345" spans="1:10" x14ac:dyDescent="0.25">
      <c r="A2345">
        <v>68280</v>
      </c>
      <c r="B2345" t="s">
        <v>5226</v>
      </c>
      <c r="C2345" t="s">
        <v>3055</v>
      </c>
      <c r="D2345" t="s">
        <v>2241</v>
      </c>
      <c r="E2345" t="s">
        <v>2242</v>
      </c>
      <c r="F2345">
        <v>5487</v>
      </c>
      <c r="G2345">
        <v>1608</v>
      </c>
      <c r="H2345" s="32">
        <f t="shared" si="36"/>
        <v>3.4123134328358211</v>
      </c>
      <c r="I2345">
        <v>1</v>
      </c>
      <c r="J2345" t="s">
        <v>21</v>
      </c>
    </row>
    <row r="2346" spans="1:10" x14ac:dyDescent="0.25">
      <c r="A2346">
        <v>64180</v>
      </c>
      <c r="B2346" t="s">
        <v>4507</v>
      </c>
      <c r="C2346" t="s">
        <v>307</v>
      </c>
      <c r="D2346" t="s">
        <v>2241</v>
      </c>
      <c r="E2346" t="s">
        <v>2242</v>
      </c>
      <c r="F2346">
        <v>12414</v>
      </c>
      <c r="G2346">
        <v>3638</v>
      </c>
      <c r="H2346" s="32">
        <f t="shared" si="36"/>
        <v>3.412314458493678</v>
      </c>
      <c r="I2346">
        <v>1</v>
      </c>
      <c r="J2346" t="s">
        <v>21</v>
      </c>
    </row>
    <row r="2347" spans="1:10" x14ac:dyDescent="0.25">
      <c r="A2347">
        <v>66889</v>
      </c>
      <c r="B2347" t="s">
        <v>4985</v>
      </c>
      <c r="C2347" t="s">
        <v>241</v>
      </c>
      <c r="D2347" t="s">
        <v>2241</v>
      </c>
      <c r="E2347" t="s">
        <v>2242</v>
      </c>
      <c r="F2347">
        <v>6207</v>
      </c>
      <c r="G2347">
        <v>1819</v>
      </c>
      <c r="H2347" s="32">
        <f t="shared" si="36"/>
        <v>3.412314458493678</v>
      </c>
      <c r="I2347">
        <v>1</v>
      </c>
      <c r="J2347" t="s">
        <v>21</v>
      </c>
    </row>
    <row r="2348" spans="1:10" x14ac:dyDescent="0.25">
      <c r="A2348">
        <v>63257</v>
      </c>
      <c r="B2348" t="s">
        <v>4312</v>
      </c>
      <c r="C2348" t="s">
        <v>241</v>
      </c>
      <c r="D2348" t="s">
        <v>2241</v>
      </c>
      <c r="E2348" t="s">
        <v>2242</v>
      </c>
      <c r="F2348">
        <v>12745</v>
      </c>
      <c r="G2348">
        <v>3735</v>
      </c>
      <c r="H2348" s="32">
        <f t="shared" si="36"/>
        <v>3.4123159303882193</v>
      </c>
      <c r="I2348">
        <v>1</v>
      </c>
      <c r="J2348" t="s">
        <v>21</v>
      </c>
    </row>
    <row r="2349" spans="1:10" x14ac:dyDescent="0.25">
      <c r="A2349">
        <v>64606</v>
      </c>
      <c r="B2349" t="s">
        <v>4609</v>
      </c>
      <c r="C2349" t="s">
        <v>307</v>
      </c>
      <c r="D2349" t="s">
        <v>2241</v>
      </c>
      <c r="E2349" t="s">
        <v>2242</v>
      </c>
      <c r="F2349">
        <v>12745</v>
      </c>
      <c r="G2349">
        <v>3735</v>
      </c>
      <c r="H2349" s="32">
        <f t="shared" si="36"/>
        <v>3.4123159303882193</v>
      </c>
      <c r="I2349">
        <v>1</v>
      </c>
      <c r="J2349" t="s">
        <v>21</v>
      </c>
    </row>
    <row r="2350" spans="1:10" x14ac:dyDescent="0.25">
      <c r="A2350">
        <v>69381</v>
      </c>
      <c r="B2350" t="s">
        <v>5357</v>
      </c>
      <c r="C2350" t="s">
        <v>307</v>
      </c>
      <c r="D2350" t="s">
        <v>2241</v>
      </c>
      <c r="E2350" t="s">
        <v>2242</v>
      </c>
      <c r="F2350">
        <v>2549</v>
      </c>
      <c r="G2350">
        <v>747</v>
      </c>
      <c r="H2350" s="32">
        <f t="shared" si="36"/>
        <v>3.4123159303882193</v>
      </c>
      <c r="I2350">
        <v>1</v>
      </c>
      <c r="J2350" t="s">
        <v>21</v>
      </c>
    </row>
    <row r="2351" spans="1:10" x14ac:dyDescent="0.25">
      <c r="A2351">
        <v>62131</v>
      </c>
      <c r="B2351" t="s">
        <v>4123</v>
      </c>
      <c r="C2351" t="s">
        <v>708</v>
      </c>
      <c r="D2351" t="s">
        <v>2241</v>
      </c>
      <c r="E2351" t="s">
        <v>2242</v>
      </c>
      <c r="F2351">
        <v>13465</v>
      </c>
      <c r="G2351">
        <v>3946</v>
      </c>
      <c r="H2351" s="32">
        <f t="shared" si="36"/>
        <v>3.4123162696401419</v>
      </c>
      <c r="I2351">
        <v>1</v>
      </c>
      <c r="J2351" t="s">
        <v>21</v>
      </c>
    </row>
    <row r="2352" spans="1:10" x14ac:dyDescent="0.25">
      <c r="A2352">
        <v>57733</v>
      </c>
      <c r="B2352" t="s">
        <v>3040</v>
      </c>
      <c r="C2352" t="s">
        <v>241</v>
      </c>
      <c r="D2352" t="s">
        <v>2241</v>
      </c>
      <c r="E2352" t="s">
        <v>2242</v>
      </c>
      <c r="F2352">
        <v>5818</v>
      </c>
      <c r="G2352">
        <v>1705</v>
      </c>
      <c r="H2352" s="32">
        <f t="shared" si="36"/>
        <v>3.4123167155425218</v>
      </c>
      <c r="I2352">
        <v>1</v>
      </c>
      <c r="J2352" t="s">
        <v>21</v>
      </c>
    </row>
    <row r="2353" spans="1:10" x14ac:dyDescent="0.25">
      <c r="A2353">
        <v>63620</v>
      </c>
      <c r="B2353" t="s">
        <v>4378</v>
      </c>
      <c r="C2353" t="s">
        <v>166</v>
      </c>
      <c r="D2353" t="s">
        <v>2241</v>
      </c>
      <c r="E2353" t="s">
        <v>2242</v>
      </c>
      <c r="F2353">
        <v>13796</v>
      </c>
      <c r="G2353">
        <v>4043</v>
      </c>
      <c r="H2353" s="32">
        <f t="shared" si="36"/>
        <v>3.4123175859510266</v>
      </c>
      <c r="I2353">
        <v>1</v>
      </c>
      <c r="J2353" t="s">
        <v>21</v>
      </c>
    </row>
    <row r="2354" spans="1:10" x14ac:dyDescent="0.25">
      <c r="A2354">
        <v>60051</v>
      </c>
      <c r="B2354" t="s">
        <v>3661</v>
      </c>
      <c r="C2354" t="s">
        <v>708</v>
      </c>
      <c r="D2354" t="s">
        <v>2241</v>
      </c>
      <c r="E2354" t="s">
        <v>2242</v>
      </c>
      <c r="F2354">
        <v>13018</v>
      </c>
      <c r="G2354">
        <v>3815</v>
      </c>
      <c r="H2354" s="32">
        <f t="shared" si="36"/>
        <v>3.4123197903014417</v>
      </c>
      <c r="I2354">
        <v>1</v>
      </c>
      <c r="J2354" t="s">
        <v>21</v>
      </c>
    </row>
    <row r="2355" spans="1:10" x14ac:dyDescent="0.25">
      <c r="A2355">
        <v>62121</v>
      </c>
      <c r="B2355" t="s">
        <v>4114</v>
      </c>
      <c r="C2355" t="s">
        <v>708</v>
      </c>
      <c r="D2355" t="s">
        <v>2241</v>
      </c>
      <c r="E2355" t="s">
        <v>2242</v>
      </c>
      <c r="F2355">
        <v>11189</v>
      </c>
      <c r="G2355">
        <v>3279</v>
      </c>
      <c r="H2355" s="32">
        <f t="shared" si="36"/>
        <v>3.4123208295211955</v>
      </c>
      <c r="I2355">
        <v>1</v>
      </c>
      <c r="J2355" t="s">
        <v>21</v>
      </c>
    </row>
    <row r="2356" spans="1:10" x14ac:dyDescent="0.25">
      <c r="A2356">
        <v>66723</v>
      </c>
      <c r="B2356" t="s">
        <v>4953</v>
      </c>
      <c r="C2356" t="s">
        <v>708</v>
      </c>
      <c r="D2356" t="s">
        <v>2241</v>
      </c>
      <c r="E2356" t="s">
        <v>2242</v>
      </c>
      <c r="F2356">
        <v>16949</v>
      </c>
      <c r="G2356">
        <v>4967</v>
      </c>
      <c r="H2356" s="32">
        <f t="shared" si="36"/>
        <v>3.4123213207167304</v>
      </c>
      <c r="I2356">
        <v>1</v>
      </c>
      <c r="J2356" t="s">
        <v>21</v>
      </c>
    </row>
    <row r="2357" spans="1:10" x14ac:dyDescent="0.25">
      <c r="A2357">
        <v>59489</v>
      </c>
      <c r="B2357" t="s">
        <v>3472</v>
      </c>
      <c r="C2357" t="s">
        <v>322</v>
      </c>
      <c r="D2357" t="s">
        <v>2241</v>
      </c>
      <c r="E2357" t="s">
        <v>2242</v>
      </c>
      <c r="F2357">
        <v>5760</v>
      </c>
      <c r="G2357">
        <v>1688</v>
      </c>
      <c r="H2357" s="32">
        <f t="shared" si="36"/>
        <v>3.4123222748815167</v>
      </c>
      <c r="I2357">
        <v>1</v>
      </c>
      <c r="J2357" t="s">
        <v>21</v>
      </c>
    </row>
    <row r="2358" spans="1:10" x14ac:dyDescent="0.25">
      <c r="A2358">
        <v>58492</v>
      </c>
      <c r="B2358" t="s">
        <v>3204</v>
      </c>
      <c r="C2358" t="s">
        <v>708</v>
      </c>
      <c r="D2358" t="s">
        <v>2241</v>
      </c>
      <c r="E2358" t="s">
        <v>2242</v>
      </c>
      <c r="F2358">
        <v>19051</v>
      </c>
      <c r="G2358">
        <v>5583</v>
      </c>
      <c r="H2358" s="32">
        <f t="shared" si="36"/>
        <v>3.4123231237685832</v>
      </c>
      <c r="I2358">
        <v>1</v>
      </c>
      <c r="J2358" t="s">
        <v>21</v>
      </c>
    </row>
    <row r="2359" spans="1:10" x14ac:dyDescent="0.25">
      <c r="A2359">
        <v>68601</v>
      </c>
      <c r="B2359" t="s">
        <v>5247</v>
      </c>
      <c r="C2359" t="s">
        <v>708</v>
      </c>
      <c r="D2359" t="s">
        <v>2241</v>
      </c>
      <c r="E2359" t="s">
        <v>2242</v>
      </c>
      <c r="F2359">
        <v>22924</v>
      </c>
      <c r="G2359">
        <v>6718</v>
      </c>
      <c r="H2359" s="32">
        <f t="shared" si="36"/>
        <v>3.4123250967549867</v>
      </c>
      <c r="I2359">
        <v>1</v>
      </c>
      <c r="J2359" t="s">
        <v>21</v>
      </c>
    </row>
    <row r="2360" spans="1:10" x14ac:dyDescent="0.25">
      <c r="A2360">
        <v>64604</v>
      </c>
      <c r="B2360" t="s">
        <v>4608</v>
      </c>
      <c r="C2360" t="s">
        <v>307</v>
      </c>
      <c r="D2360" t="s">
        <v>2241</v>
      </c>
      <c r="E2360" t="s">
        <v>2242</v>
      </c>
      <c r="F2360">
        <v>7862</v>
      </c>
      <c r="G2360">
        <v>2304</v>
      </c>
      <c r="H2360" s="32">
        <f t="shared" si="36"/>
        <v>3.4123263888888888</v>
      </c>
      <c r="I2360">
        <v>1</v>
      </c>
      <c r="J2360" t="s">
        <v>21</v>
      </c>
    </row>
    <row r="2361" spans="1:10" x14ac:dyDescent="0.25">
      <c r="A2361">
        <v>64100</v>
      </c>
      <c r="B2361" t="s">
        <v>4487</v>
      </c>
      <c r="C2361" t="s">
        <v>166</v>
      </c>
      <c r="D2361" t="s">
        <v>2241</v>
      </c>
      <c r="E2361" t="s">
        <v>2242</v>
      </c>
      <c r="F2361">
        <v>13564</v>
      </c>
      <c r="G2361">
        <v>3975</v>
      </c>
      <c r="H2361" s="32">
        <f t="shared" si="36"/>
        <v>3.4123270440251572</v>
      </c>
      <c r="I2361">
        <v>1</v>
      </c>
      <c r="J2361" t="s">
        <v>21</v>
      </c>
    </row>
    <row r="2362" spans="1:10" x14ac:dyDescent="0.25">
      <c r="A2362">
        <v>60019</v>
      </c>
      <c r="B2362" t="s">
        <v>3651</v>
      </c>
      <c r="C2362" t="s">
        <v>250</v>
      </c>
      <c r="D2362" t="s">
        <v>2241</v>
      </c>
      <c r="E2362" t="s">
        <v>2242</v>
      </c>
      <c r="F2362">
        <v>5702</v>
      </c>
      <c r="G2362">
        <v>1671</v>
      </c>
      <c r="H2362" s="32">
        <f t="shared" si="36"/>
        <v>3.4123279473369239</v>
      </c>
      <c r="I2362">
        <v>1</v>
      </c>
      <c r="J2362" t="s">
        <v>21</v>
      </c>
    </row>
    <row r="2363" spans="1:10" x14ac:dyDescent="0.25">
      <c r="A2363">
        <v>60668</v>
      </c>
      <c r="B2363" t="s">
        <v>3837</v>
      </c>
      <c r="C2363" t="s">
        <v>307</v>
      </c>
      <c r="D2363" t="s">
        <v>2241</v>
      </c>
      <c r="E2363" t="s">
        <v>2242</v>
      </c>
      <c r="F2363">
        <v>10684</v>
      </c>
      <c r="G2363">
        <v>3131</v>
      </c>
      <c r="H2363" s="32">
        <f t="shared" si="36"/>
        <v>3.412328329607154</v>
      </c>
      <c r="I2363">
        <v>1</v>
      </c>
      <c r="J2363" t="s">
        <v>21</v>
      </c>
    </row>
    <row r="2364" spans="1:10" x14ac:dyDescent="0.25">
      <c r="A2364">
        <v>58732</v>
      </c>
      <c r="B2364" t="s">
        <v>3268</v>
      </c>
      <c r="C2364" t="s">
        <v>708</v>
      </c>
      <c r="D2364" t="s">
        <v>2241</v>
      </c>
      <c r="E2364" t="s">
        <v>2242</v>
      </c>
      <c r="F2364">
        <v>15219</v>
      </c>
      <c r="G2364">
        <v>4460</v>
      </c>
      <c r="H2364" s="32">
        <f t="shared" si="36"/>
        <v>3.4123318385650223</v>
      </c>
      <c r="I2364">
        <v>1</v>
      </c>
      <c r="J2364" t="s">
        <v>21</v>
      </c>
    </row>
    <row r="2365" spans="1:10" x14ac:dyDescent="0.25">
      <c r="A2365">
        <v>67334</v>
      </c>
      <c r="B2365" t="s">
        <v>5083</v>
      </c>
      <c r="C2365" t="s">
        <v>307</v>
      </c>
      <c r="D2365" t="s">
        <v>2241</v>
      </c>
      <c r="E2365" t="s">
        <v>2242</v>
      </c>
      <c r="F2365">
        <v>12008</v>
      </c>
      <c r="G2365">
        <v>3519</v>
      </c>
      <c r="H2365" s="32">
        <f t="shared" si="36"/>
        <v>3.4123330491616937</v>
      </c>
      <c r="I2365">
        <v>1</v>
      </c>
      <c r="J2365" t="s">
        <v>21</v>
      </c>
    </row>
    <row r="2366" spans="1:10" x14ac:dyDescent="0.25">
      <c r="A2366">
        <v>63949</v>
      </c>
      <c r="B2366" t="s">
        <v>4449</v>
      </c>
      <c r="C2366" t="s">
        <v>166</v>
      </c>
      <c r="D2366" t="s">
        <v>2241</v>
      </c>
      <c r="E2366" t="s">
        <v>2242</v>
      </c>
      <c r="F2366">
        <v>14830</v>
      </c>
      <c r="G2366">
        <v>4346</v>
      </c>
      <c r="H2366" s="32">
        <f t="shared" si="36"/>
        <v>3.4123331799355729</v>
      </c>
      <c r="I2366">
        <v>1</v>
      </c>
      <c r="J2366" t="s">
        <v>21</v>
      </c>
    </row>
    <row r="2367" spans="1:10" x14ac:dyDescent="0.25">
      <c r="A2367">
        <v>61799</v>
      </c>
      <c r="B2367" t="s">
        <v>4065</v>
      </c>
      <c r="C2367" t="s">
        <v>131</v>
      </c>
      <c r="D2367" t="s">
        <v>2241</v>
      </c>
      <c r="E2367" t="s">
        <v>2242</v>
      </c>
      <c r="F2367">
        <v>25067</v>
      </c>
      <c r="G2367">
        <v>7346</v>
      </c>
      <c r="H2367" s="32">
        <f t="shared" si="36"/>
        <v>3.4123332425809965</v>
      </c>
      <c r="I2367">
        <v>1</v>
      </c>
      <c r="J2367" t="s">
        <v>21</v>
      </c>
    </row>
    <row r="2368" spans="1:10" x14ac:dyDescent="0.25">
      <c r="A2368">
        <v>62125</v>
      </c>
      <c r="B2368" t="s">
        <v>4118</v>
      </c>
      <c r="C2368" t="s">
        <v>708</v>
      </c>
      <c r="D2368" t="s">
        <v>2241</v>
      </c>
      <c r="E2368" t="s">
        <v>2242</v>
      </c>
      <c r="F2368">
        <v>8466</v>
      </c>
      <c r="G2368">
        <v>2481</v>
      </c>
      <c r="H2368" s="32">
        <f t="shared" si="36"/>
        <v>3.4123337363966142</v>
      </c>
      <c r="I2368">
        <v>1</v>
      </c>
      <c r="J2368" t="s">
        <v>21</v>
      </c>
    </row>
    <row r="2369" spans="1:10" x14ac:dyDescent="0.25">
      <c r="A2369">
        <v>64628</v>
      </c>
      <c r="B2369" t="s">
        <v>4612</v>
      </c>
      <c r="C2369" t="s">
        <v>166</v>
      </c>
      <c r="D2369" t="s">
        <v>2241</v>
      </c>
      <c r="E2369" t="s">
        <v>2242</v>
      </c>
      <c r="F2369">
        <v>11288</v>
      </c>
      <c r="G2369">
        <v>3308</v>
      </c>
      <c r="H2369" s="32">
        <f t="shared" si="36"/>
        <v>3.4123337363966142</v>
      </c>
      <c r="I2369">
        <v>1</v>
      </c>
      <c r="J2369" t="s">
        <v>21</v>
      </c>
    </row>
    <row r="2370" spans="1:10" x14ac:dyDescent="0.25">
      <c r="A2370">
        <v>59509</v>
      </c>
      <c r="B2370" t="s">
        <v>3485</v>
      </c>
      <c r="C2370" t="s">
        <v>708</v>
      </c>
      <c r="D2370" t="s">
        <v>2241</v>
      </c>
      <c r="E2370" t="s">
        <v>2242</v>
      </c>
      <c r="F2370">
        <v>21856</v>
      </c>
      <c r="G2370">
        <v>6405</v>
      </c>
      <c r="H2370" s="32">
        <f t="shared" ref="H2370:H2433" si="37">IF(AND(F2370&gt;0,G2370&gt;0),F2370/G2370,"")</f>
        <v>3.4123341139734582</v>
      </c>
      <c r="I2370">
        <v>1</v>
      </c>
      <c r="J2370" t="s">
        <v>21</v>
      </c>
    </row>
    <row r="2371" spans="1:10" x14ac:dyDescent="0.25">
      <c r="A2371">
        <v>64735</v>
      </c>
      <c r="B2371" t="s">
        <v>4637</v>
      </c>
      <c r="C2371" t="s">
        <v>166</v>
      </c>
      <c r="D2371" t="s">
        <v>2241</v>
      </c>
      <c r="E2371" t="s">
        <v>2242</v>
      </c>
      <c r="F2371">
        <v>15492</v>
      </c>
      <c r="G2371">
        <v>4540</v>
      </c>
      <c r="H2371" s="32">
        <f t="shared" si="37"/>
        <v>3.4123348017621145</v>
      </c>
      <c r="I2371">
        <v>1</v>
      </c>
      <c r="J2371" t="s">
        <v>21</v>
      </c>
    </row>
    <row r="2372" spans="1:10" x14ac:dyDescent="0.25">
      <c r="A2372">
        <v>61744</v>
      </c>
      <c r="B2372" t="s">
        <v>4056</v>
      </c>
      <c r="C2372" t="s">
        <v>266</v>
      </c>
      <c r="D2372" t="s">
        <v>2241</v>
      </c>
      <c r="E2372" t="s">
        <v>2242</v>
      </c>
      <c r="F2372">
        <v>5255</v>
      </c>
      <c r="G2372">
        <v>1540</v>
      </c>
      <c r="H2372" s="32">
        <f t="shared" si="37"/>
        <v>3.4123376623376624</v>
      </c>
      <c r="I2372">
        <v>1</v>
      </c>
      <c r="J2372" t="s">
        <v>21</v>
      </c>
    </row>
    <row r="2373" spans="1:10" x14ac:dyDescent="0.25">
      <c r="A2373">
        <v>59842</v>
      </c>
      <c r="B2373" t="s">
        <v>3596</v>
      </c>
      <c r="C2373" t="s">
        <v>307</v>
      </c>
      <c r="D2373" t="s">
        <v>2241</v>
      </c>
      <c r="E2373" t="s">
        <v>2242</v>
      </c>
      <c r="F2373">
        <v>19249</v>
      </c>
      <c r="G2373">
        <v>5641</v>
      </c>
      <c r="H2373" s="32">
        <f t="shared" si="37"/>
        <v>3.4123382379010812</v>
      </c>
      <c r="I2373">
        <v>1</v>
      </c>
      <c r="J2373" t="s">
        <v>21</v>
      </c>
    </row>
    <row r="2374" spans="1:10" x14ac:dyDescent="0.25">
      <c r="A2374">
        <v>60634</v>
      </c>
      <c r="B2374" t="s">
        <v>3825</v>
      </c>
      <c r="C2374" t="s">
        <v>708</v>
      </c>
      <c r="D2374" t="s">
        <v>2241</v>
      </c>
      <c r="E2374" t="s">
        <v>2242</v>
      </c>
      <c r="F2374">
        <v>31902</v>
      </c>
      <c r="G2374">
        <v>9349</v>
      </c>
      <c r="H2374" s="32">
        <f t="shared" si="37"/>
        <v>3.412343566156808</v>
      </c>
      <c r="I2374">
        <v>1</v>
      </c>
      <c r="J2374" t="s">
        <v>21</v>
      </c>
    </row>
    <row r="2375" spans="1:10" x14ac:dyDescent="0.25">
      <c r="A2375">
        <v>58329</v>
      </c>
      <c r="B2375" t="s">
        <v>3152</v>
      </c>
      <c r="C2375" t="s">
        <v>307</v>
      </c>
      <c r="D2375" t="s">
        <v>2241</v>
      </c>
      <c r="E2375" t="s">
        <v>2242</v>
      </c>
      <c r="F2375">
        <v>14540</v>
      </c>
      <c r="G2375">
        <v>4261</v>
      </c>
      <c r="H2375" s="32">
        <f t="shared" si="37"/>
        <v>3.4123445200657123</v>
      </c>
      <c r="I2375">
        <v>1</v>
      </c>
      <c r="J2375" t="s">
        <v>21</v>
      </c>
    </row>
    <row r="2376" spans="1:10" x14ac:dyDescent="0.25">
      <c r="A2376">
        <v>58538</v>
      </c>
      <c r="B2376" t="s">
        <v>3220</v>
      </c>
      <c r="C2376" t="s">
        <v>708</v>
      </c>
      <c r="D2376" t="s">
        <v>2241</v>
      </c>
      <c r="E2376" t="s">
        <v>2242</v>
      </c>
      <c r="F2376">
        <v>12769</v>
      </c>
      <c r="G2376">
        <v>3742</v>
      </c>
      <c r="H2376" s="32">
        <f t="shared" si="37"/>
        <v>3.4123463388562265</v>
      </c>
      <c r="I2376">
        <v>1</v>
      </c>
      <c r="J2376" t="s">
        <v>21</v>
      </c>
    </row>
    <row r="2377" spans="1:10" x14ac:dyDescent="0.25">
      <c r="A2377">
        <v>65130</v>
      </c>
      <c r="B2377" t="s">
        <v>4691</v>
      </c>
      <c r="C2377" t="s">
        <v>307</v>
      </c>
      <c r="D2377" t="s">
        <v>2241</v>
      </c>
      <c r="E2377" t="s">
        <v>2242</v>
      </c>
      <c r="F2377">
        <v>12264</v>
      </c>
      <c r="G2377">
        <v>3594</v>
      </c>
      <c r="H2377" s="32">
        <f t="shared" si="37"/>
        <v>3.4123539232053424</v>
      </c>
      <c r="I2377">
        <v>1</v>
      </c>
      <c r="J2377" t="s">
        <v>21</v>
      </c>
    </row>
    <row r="2378" spans="1:10" x14ac:dyDescent="0.25">
      <c r="A2378">
        <v>64040</v>
      </c>
      <c r="B2378" t="s">
        <v>4477</v>
      </c>
      <c r="C2378" t="s">
        <v>166</v>
      </c>
      <c r="D2378" t="s">
        <v>2241</v>
      </c>
      <c r="E2378" t="s">
        <v>2242</v>
      </c>
      <c r="F2378">
        <v>10882</v>
      </c>
      <c r="G2378">
        <v>3189</v>
      </c>
      <c r="H2378" s="32">
        <f t="shared" si="37"/>
        <v>3.4123549702100973</v>
      </c>
      <c r="I2378">
        <v>1</v>
      </c>
      <c r="J2378" t="s">
        <v>21</v>
      </c>
    </row>
    <row r="2379" spans="1:10" x14ac:dyDescent="0.25">
      <c r="A2379">
        <v>65358</v>
      </c>
      <c r="B2379" t="s">
        <v>4737</v>
      </c>
      <c r="C2379" t="s">
        <v>307</v>
      </c>
      <c r="D2379" t="s">
        <v>2241</v>
      </c>
      <c r="E2379" t="s">
        <v>2242</v>
      </c>
      <c r="F2379">
        <v>14250</v>
      </c>
      <c r="G2379">
        <v>4176</v>
      </c>
      <c r="H2379" s="32">
        <f t="shared" si="37"/>
        <v>3.4123563218390807</v>
      </c>
      <c r="I2379">
        <v>1</v>
      </c>
      <c r="J2379" t="s">
        <v>21</v>
      </c>
    </row>
    <row r="2380" spans="1:10" x14ac:dyDescent="0.25">
      <c r="A2380">
        <v>70246</v>
      </c>
      <c r="B2380" t="s">
        <v>5424</v>
      </c>
      <c r="C2380" t="s">
        <v>166</v>
      </c>
      <c r="D2380" t="s">
        <v>2241</v>
      </c>
      <c r="E2380" t="s">
        <v>2242</v>
      </c>
      <c r="F2380">
        <v>14912</v>
      </c>
      <c r="G2380">
        <v>4370</v>
      </c>
      <c r="H2380" s="32">
        <f t="shared" si="37"/>
        <v>3.4123569794050344</v>
      </c>
      <c r="I2380">
        <v>1</v>
      </c>
      <c r="J2380" t="s">
        <v>21</v>
      </c>
    </row>
    <row r="2381" spans="1:10" x14ac:dyDescent="0.25">
      <c r="A2381">
        <v>59376</v>
      </c>
      <c r="B2381" t="s">
        <v>3444</v>
      </c>
      <c r="C2381" t="s">
        <v>708</v>
      </c>
      <c r="D2381" t="s">
        <v>2241</v>
      </c>
      <c r="E2381" t="s">
        <v>2242</v>
      </c>
      <c r="F2381">
        <v>11486</v>
      </c>
      <c r="G2381">
        <v>3366</v>
      </c>
      <c r="H2381" s="32">
        <f t="shared" si="37"/>
        <v>3.4123588829471183</v>
      </c>
      <c r="I2381">
        <v>1</v>
      </c>
      <c r="J2381" t="s">
        <v>21</v>
      </c>
    </row>
    <row r="2382" spans="1:10" x14ac:dyDescent="0.25">
      <c r="A2382">
        <v>69031</v>
      </c>
      <c r="B2382" t="s">
        <v>5300</v>
      </c>
      <c r="C2382" t="s">
        <v>201</v>
      </c>
      <c r="D2382" t="s">
        <v>2241</v>
      </c>
      <c r="E2382" t="s">
        <v>2242</v>
      </c>
      <c r="F2382">
        <v>5743</v>
      </c>
      <c r="G2382">
        <v>1683</v>
      </c>
      <c r="H2382" s="32">
        <f t="shared" si="37"/>
        <v>3.4123588829471183</v>
      </c>
      <c r="I2382">
        <v>1</v>
      </c>
      <c r="J2382" t="s">
        <v>21</v>
      </c>
    </row>
    <row r="2383" spans="1:10" x14ac:dyDescent="0.25">
      <c r="A2383">
        <v>59955</v>
      </c>
      <c r="B2383" t="s">
        <v>3631</v>
      </c>
      <c r="C2383" t="s">
        <v>708</v>
      </c>
      <c r="D2383" t="s">
        <v>2241</v>
      </c>
      <c r="E2383" t="s">
        <v>2242</v>
      </c>
      <c r="F2383">
        <v>10708</v>
      </c>
      <c r="G2383">
        <v>3138</v>
      </c>
      <c r="H2383" s="32">
        <f t="shared" si="37"/>
        <v>3.4123645634161885</v>
      </c>
      <c r="I2383">
        <v>1</v>
      </c>
      <c r="J2383" t="s">
        <v>21</v>
      </c>
    </row>
    <row r="2384" spans="1:10" x14ac:dyDescent="0.25">
      <c r="A2384">
        <v>57776</v>
      </c>
      <c r="B2384" t="s">
        <v>3053</v>
      </c>
      <c r="C2384" t="s">
        <v>241</v>
      </c>
      <c r="D2384" t="s">
        <v>2241</v>
      </c>
      <c r="E2384" t="s">
        <v>2242</v>
      </c>
      <c r="F2384">
        <v>6347</v>
      </c>
      <c r="G2384">
        <v>1860</v>
      </c>
      <c r="H2384" s="32">
        <f t="shared" si="37"/>
        <v>3.4123655913978497</v>
      </c>
      <c r="I2384">
        <v>1</v>
      </c>
      <c r="J2384" t="s">
        <v>21</v>
      </c>
    </row>
    <row r="2385" spans="1:10" x14ac:dyDescent="0.25">
      <c r="A2385">
        <v>65731</v>
      </c>
      <c r="B2385" t="s">
        <v>4795</v>
      </c>
      <c r="C2385" t="s">
        <v>166</v>
      </c>
      <c r="D2385" t="s">
        <v>2241</v>
      </c>
      <c r="E2385" t="s">
        <v>2242</v>
      </c>
      <c r="F2385">
        <v>14349</v>
      </c>
      <c r="G2385">
        <v>4205</v>
      </c>
      <c r="H2385" s="32">
        <f t="shared" si="37"/>
        <v>3.4123662306777645</v>
      </c>
      <c r="I2385">
        <v>1</v>
      </c>
      <c r="J2385" t="s">
        <v>21</v>
      </c>
    </row>
    <row r="2386" spans="1:10" x14ac:dyDescent="0.25">
      <c r="A2386">
        <v>67404</v>
      </c>
      <c r="B2386" t="s">
        <v>5094</v>
      </c>
      <c r="C2386" t="s">
        <v>307</v>
      </c>
      <c r="D2386" t="s">
        <v>2241</v>
      </c>
      <c r="E2386" t="s">
        <v>2242</v>
      </c>
      <c r="F2386">
        <v>13298</v>
      </c>
      <c r="G2386">
        <v>3897</v>
      </c>
      <c r="H2386" s="32">
        <f t="shared" si="37"/>
        <v>3.4123684885809595</v>
      </c>
      <c r="I2386">
        <v>1</v>
      </c>
      <c r="J2386" t="s">
        <v>21</v>
      </c>
    </row>
    <row r="2387" spans="1:10" x14ac:dyDescent="0.25">
      <c r="A2387">
        <v>57471</v>
      </c>
      <c r="B2387" t="s">
        <v>3003</v>
      </c>
      <c r="C2387" t="s">
        <v>241</v>
      </c>
      <c r="D2387" t="s">
        <v>2241</v>
      </c>
      <c r="E2387" t="s">
        <v>2242</v>
      </c>
      <c r="F2387">
        <v>5296</v>
      </c>
      <c r="G2387">
        <v>1552</v>
      </c>
      <c r="H2387" s="32">
        <f t="shared" si="37"/>
        <v>3.4123711340206184</v>
      </c>
      <c r="I2387">
        <v>1</v>
      </c>
      <c r="J2387" t="s">
        <v>21</v>
      </c>
    </row>
    <row r="2388" spans="1:10" x14ac:dyDescent="0.25">
      <c r="A2388">
        <v>62468</v>
      </c>
      <c r="B2388" t="s">
        <v>4162</v>
      </c>
      <c r="C2388" t="s">
        <v>2029</v>
      </c>
      <c r="D2388" t="s">
        <v>2241</v>
      </c>
      <c r="E2388" t="s">
        <v>2242</v>
      </c>
      <c r="F2388">
        <v>8275</v>
      </c>
      <c r="G2388">
        <v>2425</v>
      </c>
      <c r="H2388" s="32">
        <f t="shared" si="37"/>
        <v>3.4123711340206184</v>
      </c>
      <c r="I2388">
        <v>1</v>
      </c>
      <c r="J2388" t="s">
        <v>21</v>
      </c>
    </row>
    <row r="2389" spans="1:10" x14ac:dyDescent="0.25">
      <c r="A2389">
        <v>68059</v>
      </c>
      <c r="B2389" t="s">
        <v>5205</v>
      </c>
      <c r="C2389" t="s">
        <v>166</v>
      </c>
      <c r="D2389" t="s">
        <v>2241</v>
      </c>
      <c r="E2389" t="s">
        <v>2242</v>
      </c>
      <c r="F2389">
        <v>12247</v>
      </c>
      <c r="G2389">
        <v>3589</v>
      </c>
      <c r="H2389" s="32">
        <f t="shared" si="37"/>
        <v>3.4123711340206184</v>
      </c>
      <c r="I2389">
        <v>1</v>
      </c>
      <c r="J2389" t="s">
        <v>21</v>
      </c>
    </row>
    <row r="2390" spans="1:10" x14ac:dyDescent="0.25">
      <c r="A2390">
        <v>69032</v>
      </c>
      <c r="B2390" t="s">
        <v>5301</v>
      </c>
      <c r="C2390" t="s">
        <v>166</v>
      </c>
      <c r="D2390" t="s">
        <v>2241</v>
      </c>
      <c r="E2390" t="s">
        <v>2242</v>
      </c>
      <c r="F2390">
        <v>1986</v>
      </c>
      <c r="G2390">
        <v>582</v>
      </c>
      <c r="H2390" s="32">
        <f t="shared" si="37"/>
        <v>3.4123711340206184</v>
      </c>
      <c r="I2390">
        <v>1</v>
      </c>
      <c r="J2390" t="s">
        <v>21</v>
      </c>
    </row>
    <row r="2391" spans="1:10" x14ac:dyDescent="0.25">
      <c r="A2391">
        <v>69441</v>
      </c>
      <c r="B2391" t="s">
        <v>5367</v>
      </c>
      <c r="C2391" t="s">
        <v>166</v>
      </c>
      <c r="D2391" t="s">
        <v>2241</v>
      </c>
      <c r="E2391" t="s">
        <v>2242</v>
      </c>
      <c r="F2391">
        <v>1324</v>
      </c>
      <c r="G2391">
        <v>388</v>
      </c>
      <c r="H2391" s="32">
        <f t="shared" si="37"/>
        <v>3.4123711340206184</v>
      </c>
      <c r="I2391">
        <v>1</v>
      </c>
      <c r="J2391" t="s">
        <v>21</v>
      </c>
    </row>
    <row r="2392" spans="1:10" x14ac:dyDescent="0.25">
      <c r="A2392">
        <v>67629</v>
      </c>
      <c r="B2392" t="s">
        <v>5126</v>
      </c>
      <c r="C2392" t="s">
        <v>166</v>
      </c>
      <c r="D2392" t="s">
        <v>2241</v>
      </c>
      <c r="E2392" t="s">
        <v>2242</v>
      </c>
      <c r="F2392">
        <v>13182</v>
      </c>
      <c r="G2392">
        <v>3863</v>
      </c>
      <c r="H2392" s="32">
        <f t="shared" si="37"/>
        <v>3.4123738027439812</v>
      </c>
      <c r="I2392">
        <v>1</v>
      </c>
      <c r="J2392" t="s">
        <v>21</v>
      </c>
    </row>
    <row r="2393" spans="1:10" x14ac:dyDescent="0.25">
      <c r="A2393">
        <v>58668</v>
      </c>
      <c r="B2393" t="s">
        <v>3247</v>
      </c>
      <c r="C2393" t="s">
        <v>708</v>
      </c>
      <c r="D2393" t="s">
        <v>2241</v>
      </c>
      <c r="E2393" t="s">
        <v>2242</v>
      </c>
      <c r="F2393">
        <v>14117</v>
      </c>
      <c r="G2393">
        <v>4137</v>
      </c>
      <c r="H2393" s="32">
        <f t="shared" si="37"/>
        <v>3.4123761179598744</v>
      </c>
      <c r="I2393">
        <v>1</v>
      </c>
      <c r="J2393" t="s">
        <v>21</v>
      </c>
    </row>
    <row r="2394" spans="1:10" x14ac:dyDescent="0.25">
      <c r="A2394">
        <v>65111</v>
      </c>
      <c r="B2394" t="s">
        <v>4689</v>
      </c>
      <c r="C2394" t="s">
        <v>708</v>
      </c>
      <c r="D2394" t="s">
        <v>2241</v>
      </c>
      <c r="E2394" t="s">
        <v>2242</v>
      </c>
      <c r="F2394">
        <v>8821</v>
      </c>
      <c r="G2394">
        <v>2585</v>
      </c>
      <c r="H2394" s="32">
        <f t="shared" si="37"/>
        <v>3.4123791102514507</v>
      </c>
      <c r="I2394">
        <v>1</v>
      </c>
      <c r="J2394" t="s">
        <v>21</v>
      </c>
    </row>
    <row r="2395" spans="1:10" x14ac:dyDescent="0.25">
      <c r="A2395">
        <v>63968</v>
      </c>
      <c r="B2395" t="s">
        <v>4455</v>
      </c>
      <c r="C2395" t="s">
        <v>166</v>
      </c>
      <c r="D2395" t="s">
        <v>2241</v>
      </c>
      <c r="E2395" t="s">
        <v>2242</v>
      </c>
      <c r="F2395">
        <v>8490</v>
      </c>
      <c r="G2395">
        <v>2488</v>
      </c>
      <c r="H2395" s="32">
        <f t="shared" si="37"/>
        <v>3.412379421221865</v>
      </c>
      <c r="I2395">
        <v>1</v>
      </c>
      <c r="J2395" t="s">
        <v>21</v>
      </c>
    </row>
    <row r="2396" spans="1:10" x14ac:dyDescent="0.25">
      <c r="A2396">
        <v>64868</v>
      </c>
      <c r="B2396" t="s">
        <v>4656</v>
      </c>
      <c r="C2396" t="s">
        <v>166</v>
      </c>
      <c r="D2396" t="s">
        <v>2241</v>
      </c>
      <c r="E2396" t="s">
        <v>2242</v>
      </c>
      <c r="F2396">
        <v>12404</v>
      </c>
      <c r="G2396">
        <v>3635</v>
      </c>
      <c r="H2396" s="32">
        <f t="shared" si="37"/>
        <v>3.4123796423658872</v>
      </c>
      <c r="I2396">
        <v>1</v>
      </c>
      <c r="J2396" t="s">
        <v>21</v>
      </c>
    </row>
    <row r="2397" spans="1:10" x14ac:dyDescent="0.25">
      <c r="A2397">
        <v>67760</v>
      </c>
      <c r="B2397" t="s">
        <v>5166</v>
      </c>
      <c r="C2397" t="s">
        <v>166</v>
      </c>
      <c r="D2397" t="s">
        <v>2241</v>
      </c>
      <c r="E2397" t="s">
        <v>2242</v>
      </c>
      <c r="F2397">
        <v>10749</v>
      </c>
      <c r="G2397">
        <v>3150</v>
      </c>
      <c r="H2397" s="32">
        <f t="shared" si="37"/>
        <v>3.4123809523809525</v>
      </c>
      <c r="I2397">
        <v>1</v>
      </c>
      <c r="J2397" t="s">
        <v>21</v>
      </c>
    </row>
    <row r="2398" spans="1:10" x14ac:dyDescent="0.25">
      <c r="A2398">
        <v>60200</v>
      </c>
      <c r="B2398" t="s">
        <v>3706</v>
      </c>
      <c r="C2398" t="s">
        <v>708</v>
      </c>
      <c r="D2398" t="s">
        <v>2241</v>
      </c>
      <c r="E2398" t="s">
        <v>2242</v>
      </c>
      <c r="F2398">
        <v>13670</v>
      </c>
      <c r="G2398">
        <v>4006</v>
      </c>
      <c r="H2398" s="32">
        <f t="shared" si="37"/>
        <v>3.4123814278582127</v>
      </c>
      <c r="I2398">
        <v>1</v>
      </c>
      <c r="J2398" t="s">
        <v>21</v>
      </c>
    </row>
    <row r="2399" spans="1:10" x14ac:dyDescent="0.25">
      <c r="A2399">
        <v>70264</v>
      </c>
      <c r="B2399" t="s">
        <v>5435</v>
      </c>
      <c r="C2399" t="s">
        <v>166</v>
      </c>
      <c r="D2399" t="s">
        <v>2241</v>
      </c>
      <c r="E2399" t="s">
        <v>2242</v>
      </c>
      <c r="F2399">
        <v>12015</v>
      </c>
      <c r="G2399">
        <v>3521</v>
      </c>
      <c r="H2399" s="32">
        <f t="shared" si="37"/>
        <v>3.4123828457824481</v>
      </c>
      <c r="I2399">
        <v>1</v>
      </c>
      <c r="J2399" t="s">
        <v>21</v>
      </c>
    </row>
    <row r="2400" spans="1:10" x14ac:dyDescent="0.25">
      <c r="A2400">
        <v>61885</v>
      </c>
      <c r="B2400" t="s">
        <v>4081</v>
      </c>
      <c r="C2400" t="s">
        <v>131</v>
      </c>
      <c r="D2400" t="s">
        <v>2241</v>
      </c>
      <c r="E2400" t="s">
        <v>2242</v>
      </c>
      <c r="F2400">
        <v>20604</v>
      </c>
      <c r="G2400">
        <v>6038</v>
      </c>
      <c r="H2400" s="32">
        <f t="shared" si="37"/>
        <v>3.4123882080158991</v>
      </c>
      <c r="I2400">
        <v>1</v>
      </c>
      <c r="J2400" t="s">
        <v>21</v>
      </c>
    </row>
    <row r="2401" spans="1:10" x14ac:dyDescent="0.25">
      <c r="A2401">
        <v>59833</v>
      </c>
      <c r="B2401" t="s">
        <v>3593</v>
      </c>
      <c r="C2401" t="s">
        <v>708</v>
      </c>
      <c r="D2401" t="s">
        <v>2241</v>
      </c>
      <c r="E2401" t="s">
        <v>2242</v>
      </c>
      <c r="F2401">
        <v>12230</v>
      </c>
      <c r="G2401">
        <v>3584</v>
      </c>
      <c r="H2401" s="32">
        <f t="shared" si="37"/>
        <v>3.4123883928571428</v>
      </c>
      <c r="I2401">
        <v>1</v>
      </c>
      <c r="J2401" t="s">
        <v>21</v>
      </c>
    </row>
    <row r="2402" spans="1:10" x14ac:dyDescent="0.25">
      <c r="A2402">
        <v>66356</v>
      </c>
      <c r="B2402" t="s">
        <v>4882</v>
      </c>
      <c r="C2402" t="s">
        <v>708</v>
      </c>
      <c r="D2402" t="s">
        <v>2241</v>
      </c>
      <c r="E2402" t="s">
        <v>2242</v>
      </c>
      <c r="F2402">
        <v>7712</v>
      </c>
      <c r="G2402">
        <v>2260</v>
      </c>
      <c r="H2402" s="32">
        <f t="shared" si="37"/>
        <v>3.4123893805309735</v>
      </c>
      <c r="I2402">
        <v>1</v>
      </c>
      <c r="J2402" t="s">
        <v>21</v>
      </c>
    </row>
    <row r="2403" spans="1:10" x14ac:dyDescent="0.25">
      <c r="A2403">
        <v>61882</v>
      </c>
      <c r="B2403" t="s">
        <v>4079</v>
      </c>
      <c r="C2403" t="s">
        <v>708</v>
      </c>
      <c r="D2403" t="s">
        <v>2241</v>
      </c>
      <c r="E2403" t="s">
        <v>2242</v>
      </c>
      <c r="F2403">
        <v>11783</v>
      </c>
      <c r="G2403">
        <v>3453</v>
      </c>
      <c r="H2403" s="32">
        <f t="shared" si="37"/>
        <v>3.4123950188242107</v>
      </c>
      <c r="I2403">
        <v>1</v>
      </c>
      <c r="J2403" t="s">
        <v>21</v>
      </c>
    </row>
    <row r="2404" spans="1:10" x14ac:dyDescent="0.25">
      <c r="A2404">
        <v>57494</v>
      </c>
      <c r="B2404" t="s">
        <v>3009</v>
      </c>
      <c r="C2404" t="s">
        <v>143</v>
      </c>
      <c r="D2404" t="s">
        <v>2241</v>
      </c>
      <c r="E2404" t="s">
        <v>2242</v>
      </c>
      <c r="F2404">
        <v>3798</v>
      </c>
      <c r="G2404">
        <v>1113</v>
      </c>
      <c r="H2404" s="32">
        <f t="shared" si="37"/>
        <v>3.4123989218328843</v>
      </c>
      <c r="I2404">
        <v>1</v>
      </c>
      <c r="J2404" t="s">
        <v>21</v>
      </c>
    </row>
    <row r="2405" spans="1:10" x14ac:dyDescent="0.25">
      <c r="A2405">
        <v>65317</v>
      </c>
      <c r="B2405" t="s">
        <v>4717</v>
      </c>
      <c r="C2405" t="s">
        <v>201</v>
      </c>
      <c r="D2405" t="s">
        <v>2241</v>
      </c>
      <c r="E2405" t="s">
        <v>2242</v>
      </c>
      <c r="F2405">
        <v>14472</v>
      </c>
      <c r="G2405">
        <v>4241</v>
      </c>
      <c r="H2405" s="32">
        <f t="shared" si="37"/>
        <v>3.4124027352039614</v>
      </c>
      <c r="I2405">
        <v>1</v>
      </c>
      <c r="J2405" t="s">
        <v>21</v>
      </c>
    </row>
    <row r="2406" spans="1:10" x14ac:dyDescent="0.25">
      <c r="A2406">
        <v>70255</v>
      </c>
      <c r="B2406" t="s">
        <v>5433</v>
      </c>
      <c r="C2406" t="s">
        <v>166</v>
      </c>
      <c r="D2406" t="s">
        <v>2241</v>
      </c>
      <c r="E2406" t="s">
        <v>2242</v>
      </c>
      <c r="F2406">
        <v>14141</v>
      </c>
      <c r="G2406">
        <v>4144</v>
      </c>
      <c r="H2406" s="32">
        <f t="shared" si="37"/>
        <v>3.4124034749034751</v>
      </c>
      <c r="I2406">
        <v>1</v>
      </c>
      <c r="J2406" t="s">
        <v>21</v>
      </c>
    </row>
    <row r="2407" spans="1:10" x14ac:dyDescent="0.25">
      <c r="A2407">
        <v>69113</v>
      </c>
      <c r="B2407" t="s">
        <v>5322</v>
      </c>
      <c r="C2407" t="s">
        <v>241</v>
      </c>
      <c r="D2407" t="s">
        <v>2241</v>
      </c>
      <c r="E2407" t="s">
        <v>2242</v>
      </c>
      <c r="F2407">
        <v>11940</v>
      </c>
      <c r="G2407">
        <v>3499</v>
      </c>
      <c r="H2407" s="32">
        <f t="shared" si="37"/>
        <v>3.4124035438696771</v>
      </c>
      <c r="I2407">
        <v>1</v>
      </c>
      <c r="J2407" t="s">
        <v>21</v>
      </c>
    </row>
    <row r="2408" spans="1:10" x14ac:dyDescent="0.25">
      <c r="A2408">
        <v>62957</v>
      </c>
      <c r="B2408" t="s">
        <v>4265</v>
      </c>
      <c r="C2408" t="s">
        <v>241</v>
      </c>
      <c r="D2408" t="s">
        <v>2241</v>
      </c>
      <c r="E2408" t="s">
        <v>2242</v>
      </c>
      <c r="F2408">
        <v>20959</v>
      </c>
      <c r="G2408">
        <v>6142</v>
      </c>
      <c r="H2408" s="32">
        <f t="shared" si="37"/>
        <v>3.4124063822859005</v>
      </c>
      <c r="I2408">
        <v>1</v>
      </c>
      <c r="J2408" t="s">
        <v>21</v>
      </c>
    </row>
    <row r="2409" spans="1:10" x14ac:dyDescent="0.25">
      <c r="A2409">
        <v>68615</v>
      </c>
      <c r="B2409" t="s">
        <v>5251</v>
      </c>
      <c r="C2409" t="s">
        <v>241</v>
      </c>
      <c r="D2409" t="s">
        <v>2241</v>
      </c>
      <c r="E2409" t="s">
        <v>2242</v>
      </c>
      <c r="F2409">
        <v>4617</v>
      </c>
      <c r="G2409">
        <v>1353</v>
      </c>
      <c r="H2409" s="32">
        <f t="shared" si="37"/>
        <v>3.4124168514412418</v>
      </c>
      <c r="I2409">
        <v>1</v>
      </c>
      <c r="J2409" t="s">
        <v>21</v>
      </c>
    </row>
    <row r="2410" spans="1:10" x14ac:dyDescent="0.25">
      <c r="A2410">
        <v>58942</v>
      </c>
      <c r="B2410" t="s">
        <v>3338</v>
      </c>
      <c r="C2410" t="s">
        <v>131</v>
      </c>
      <c r="D2410" t="s">
        <v>2241</v>
      </c>
      <c r="E2410" t="s">
        <v>2242</v>
      </c>
      <c r="F2410">
        <v>5825</v>
      </c>
      <c r="G2410">
        <v>1707</v>
      </c>
      <c r="H2410" s="32">
        <f t="shared" si="37"/>
        <v>3.4124194493263036</v>
      </c>
      <c r="I2410">
        <v>1</v>
      </c>
      <c r="J2410" t="s">
        <v>21</v>
      </c>
    </row>
    <row r="2411" spans="1:10" x14ac:dyDescent="0.25">
      <c r="A2411">
        <v>64645</v>
      </c>
      <c r="B2411" t="s">
        <v>4620</v>
      </c>
      <c r="C2411" t="s">
        <v>307</v>
      </c>
      <c r="D2411" t="s">
        <v>2241</v>
      </c>
      <c r="E2411" t="s">
        <v>2242</v>
      </c>
      <c r="F2411">
        <v>6429</v>
      </c>
      <c r="G2411">
        <v>1884</v>
      </c>
      <c r="H2411" s="32">
        <f t="shared" si="37"/>
        <v>3.4124203821656049</v>
      </c>
      <c r="I2411">
        <v>1</v>
      </c>
      <c r="J2411" t="s">
        <v>21</v>
      </c>
    </row>
    <row r="2412" spans="1:10" x14ac:dyDescent="0.25">
      <c r="A2412">
        <v>62612</v>
      </c>
      <c r="B2412" t="s">
        <v>4183</v>
      </c>
      <c r="C2412" t="s">
        <v>241</v>
      </c>
      <c r="D2412" t="s">
        <v>2241</v>
      </c>
      <c r="E2412" t="s">
        <v>2242</v>
      </c>
      <c r="F2412">
        <v>10053</v>
      </c>
      <c r="G2412">
        <v>2946</v>
      </c>
      <c r="H2412" s="32">
        <f t="shared" si="37"/>
        <v>3.4124236252545823</v>
      </c>
      <c r="I2412">
        <v>1</v>
      </c>
      <c r="J2412" t="s">
        <v>21</v>
      </c>
    </row>
    <row r="2413" spans="1:10" x14ac:dyDescent="0.25">
      <c r="A2413">
        <v>69906</v>
      </c>
      <c r="B2413" t="s">
        <v>5402</v>
      </c>
      <c r="C2413" t="s">
        <v>166</v>
      </c>
      <c r="D2413" t="s">
        <v>2241</v>
      </c>
      <c r="E2413" t="s">
        <v>2242</v>
      </c>
      <c r="F2413">
        <v>10053</v>
      </c>
      <c r="G2413">
        <v>2946</v>
      </c>
      <c r="H2413" s="32">
        <f t="shared" si="37"/>
        <v>3.4124236252545823</v>
      </c>
      <c r="I2413">
        <v>1</v>
      </c>
      <c r="J2413" t="s">
        <v>21</v>
      </c>
    </row>
    <row r="2414" spans="1:10" x14ac:dyDescent="0.25">
      <c r="A2414">
        <v>66367</v>
      </c>
      <c r="B2414" t="s">
        <v>4887</v>
      </c>
      <c r="C2414" t="s">
        <v>131</v>
      </c>
      <c r="D2414" t="s">
        <v>2241</v>
      </c>
      <c r="E2414" t="s">
        <v>2242</v>
      </c>
      <c r="F2414">
        <v>24822</v>
      </c>
      <c r="G2414">
        <v>7274</v>
      </c>
      <c r="H2414" s="32">
        <f t="shared" si="37"/>
        <v>3.4124278251306022</v>
      </c>
      <c r="I2414">
        <v>1</v>
      </c>
      <c r="J2414" t="s">
        <v>21</v>
      </c>
    </row>
    <row r="2415" spans="1:10" x14ac:dyDescent="0.25">
      <c r="A2415">
        <v>64101</v>
      </c>
      <c r="B2415" t="s">
        <v>4488</v>
      </c>
      <c r="C2415" t="s">
        <v>143</v>
      </c>
      <c r="D2415" t="s">
        <v>2241</v>
      </c>
      <c r="E2415" t="s">
        <v>2242</v>
      </c>
      <c r="F2415">
        <v>14653</v>
      </c>
      <c r="G2415">
        <v>4294</v>
      </c>
      <c r="H2415" s="32">
        <f t="shared" si="37"/>
        <v>3.4124359571495111</v>
      </c>
      <c r="I2415">
        <v>1</v>
      </c>
      <c r="J2415" t="s">
        <v>21</v>
      </c>
    </row>
    <row r="2416" spans="1:10" x14ac:dyDescent="0.25">
      <c r="A2416">
        <v>57352</v>
      </c>
      <c r="B2416" t="s">
        <v>2972</v>
      </c>
      <c r="C2416" t="s">
        <v>241</v>
      </c>
      <c r="D2416" t="s">
        <v>2241</v>
      </c>
      <c r="E2416" t="s">
        <v>2242</v>
      </c>
      <c r="F2416">
        <v>5378</v>
      </c>
      <c r="G2416">
        <v>1576</v>
      </c>
      <c r="H2416" s="32">
        <f t="shared" si="37"/>
        <v>3.4124365482233503</v>
      </c>
      <c r="I2416">
        <v>1</v>
      </c>
      <c r="J2416" t="s">
        <v>21</v>
      </c>
    </row>
    <row r="2417" spans="1:10" x14ac:dyDescent="0.25">
      <c r="A2417">
        <v>58952</v>
      </c>
      <c r="B2417" t="s">
        <v>3342</v>
      </c>
      <c r="C2417" t="s">
        <v>708</v>
      </c>
      <c r="D2417" t="s">
        <v>2241</v>
      </c>
      <c r="E2417" t="s">
        <v>2242</v>
      </c>
      <c r="F2417">
        <v>10756</v>
      </c>
      <c r="G2417">
        <v>3152</v>
      </c>
      <c r="H2417" s="32">
        <f t="shared" si="37"/>
        <v>3.4124365482233503</v>
      </c>
      <c r="I2417">
        <v>1</v>
      </c>
      <c r="J2417" t="s">
        <v>21</v>
      </c>
    </row>
    <row r="2418" spans="1:10" x14ac:dyDescent="0.25">
      <c r="A2418">
        <v>59051</v>
      </c>
      <c r="B2418" t="s">
        <v>3360</v>
      </c>
      <c r="C2418" t="s">
        <v>708</v>
      </c>
      <c r="D2418" t="s">
        <v>2241</v>
      </c>
      <c r="E2418" t="s">
        <v>2242</v>
      </c>
      <c r="F2418">
        <v>11029</v>
      </c>
      <c r="G2418">
        <v>3232</v>
      </c>
      <c r="H2418" s="32">
        <f t="shared" si="37"/>
        <v>3.4124381188118811</v>
      </c>
      <c r="I2418">
        <v>1</v>
      </c>
      <c r="J2418" t="s">
        <v>21</v>
      </c>
    </row>
    <row r="2419" spans="1:10" x14ac:dyDescent="0.25">
      <c r="A2419">
        <v>60842</v>
      </c>
      <c r="B2419" t="s">
        <v>3887</v>
      </c>
      <c r="C2419" t="s">
        <v>241</v>
      </c>
      <c r="D2419" t="s">
        <v>2241</v>
      </c>
      <c r="E2419" t="s">
        <v>2242</v>
      </c>
      <c r="F2419">
        <v>8662</v>
      </c>
      <c r="G2419">
        <v>2538.36</v>
      </c>
      <c r="H2419" s="32">
        <f t="shared" si="37"/>
        <v>3.4124395278841453</v>
      </c>
      <c r="I2419">
        <v>1</v>
      </c>
      <c r="J2419" t="s">
        <v>21</v>
      </c>
    </row>
    <row r="2420" spans="1:10" x14ac:dyDescent="0.25">
      <c r="A2420">
        <v>68063</v>
      </c>
      <c r="B2420" t="s">
        <v>5206</v>
      </c>
      <c r="C2420" t="s">
        <v>201</v>
      </c>
      <c r="D2420" t="s">
        <v>2241</v>
      </c>
      <c r="E2420" t="s">
        <v>2242</v>
      </c>
      <c r="F2420">
        <v>11575</v>
      </c>
      <c r="G2420">
        <v>3392</v>
      </c>
      <c r="H2420" s="32">
        <f t="shared" si="37"/>
        <v>3.4124410377358489</v>
      </c>
      <c r="I2420">
        <v>1</v>
      </c>
      <c r="J2420" t="s">
        <v>21</v>
      </c>
    </row>
    <row r="2421" spans="1:10" x14ac:dyDescent="0.25">
      <c r="A2421">
        <v>64502</v>
      </c>
      <c r="B2421" t="s">
        <v>4589</v>
      </c>
      <c r="C2421" t="s">
        <v>307</v>
      </c>
      <c r="D2421" t="s">
        <v>2241</v>
      </c>
      <c r="E2421" t="s">
        <v>2242</v>
      </c>
      <c r="F2421">
        <v>8009</v>
      </c>
      <c r="G2421">
        <v>2347</v>
      </c>
      <c r="H2421" s="32">
        <f t="shared" si="37"/>
        <v>3.4124414145717936</v>
      </c>
      <c r="I2421">
        <v>1</v>
      </c>
      <c r="J2421" t="s">
        <v>21</v>
      </c>
    </row>
    <row r="2422" spans="1:10" x14ac:dyDescent="0.25">
      <c r="A2422">
        <v>60251</v>
      </c>
      <c r="B2422" t="s">
        <v>3716</v>
      </c>
      <c r="C2422" t="s">
        <v>131</v>
      </c>
      <c r="D2422" t="s">
        <v>2241</v>
      </c>
      <c r="E2422" t="s">
        <v>2242</v>
      </c>
      <c r="F2422">
        <v>8886</v>
      </c>
      <c r="G2422">
        <v>2604</v>
      </c>
      <c r="H2422" s="32">
        <f t="shared" si="37"/>
        <v>3.4124423963133639</v>
      </c>
      <c r="I2422">
        <v>1</v>
      </c>
      <c r="J2422" t="s">
        <v>21</v>
      </c>
    </row>
    <row r="2423" spans="1:10" x14ac:dyDescent="0.25">
      <c r="A2423">
        <v>65280</v>
      </c>
      <c r="B2423" t="s">
        <v>4707</v>
      </c>
      <c r="C2423" t="s">
        <v>241</v>
      </c>
      <c r="D2423" t="s">
        <v>2241</v>
      </c>
      <c r="E2423" t="s">
        <v>2242</v>
      </c>
      <c r="F2423">
        <v>7620</v>
      </c>
      <c r="G2423">
        <v>2233</v>
      </c>
      <c r="H2423" s="32">
        <f t="shared" si="37"/>
        <v>3.4124496193461709</v>
      </c>
      <c r="I2423">
        <v>1</v>
      </c>
      <c r="J2423" t="s">
        <v>21</v>
      </c>
    </row>
    <row r="2424" spans="1:10" x14ac:dyDescent="0.25">
      <c r="A2424">
        <v>64303</v>
      </c>
      <c r="B2424" t="s">
        <v>4537</v>
      </c>
      <c r="C2424" t="s">
        <v>166</v>
      </c>
      <c r="D2424" t="s">
        <v>2241</v>
      </c>
      <c r="E2424" t="s">
        <v>2242</v>
      </c>
      <c r="F2424">
        <v>8439</v>
      </c>
      <c r="G2424">
        <v>2473</v>
      </c>
      <c r="H2424" s="32">
        <f t="shared" si="37"/>
        <v>3.412454508693894</v>
      </c>
      <c r="I2424">
        <v>1</v>
      </c>
      <c r="J2424" t="s">
        <v>21</v>
      </c>
    </row>
    <row r="2425" spans="1:10" x14ac:dyDescent="0.25">
      <c r="A2425">
        <v>67459</v>
      </c>
      <c r="B2425" t="s">
        <v>5100</v>
      </c>
      <c r="C2425" t="s">
        <v>322</v>
      </c>
      <c r="D2425" t="s">
        <v>2241</v>
      </c>
      <c r="E2425" t="s">
        <v>2242</v>
      </c>
      <c r="F2425">
        <v>5808</v>
      </c>
      <c r="G2425">
        <v>1702</v>
      </c>
      <c r="H2425" s="32">
        <f t="shared" si="37"/>
        <v>3.4124559341950644</v>
      </c>
      <c r="I2425">
        <v>1</v>
      </c>
      <c r="J2425" t="s">
        <v>21</v>
      </c>
    </row>
    <row r="2426" spans="1:10" x14ac:dyDescent="0.25">
      <c r="A2426">
        <v>62906</v>
      </c>
      <c r="B2426" t="s">
        <v>4254</v>
      </c>
      <c r="C2426" t="s">
        <v>241</v>
      </c>
      <c r="D2426" t="s">
        <v>2241</v>
      </c>
      <c r="E2426" t="s">
        <v>2242</v>
      </c>
      <c r="F2426">
        <v>13312</v>
      </c>
      <c r="G2426">
        <v>3901</v>
      </c>
      <c r="H2426" s="32">
        <f t="shared" si="37"/>
        <v>3.4124583440143552</v>
      </c>
      <c r="I2426">
        <v>1</v>
      </c>
      <c r="J2426" t="s">
        <v>21</v>
      </c>
    </row>
    <row r="2427" spans="1:10" x14ac:dyDescent="0.25">
      <c r="A2427">
        <v>58317</v>
      </c>
      <c r="B2427" t="s">
        <v>3148</v>
      </c>
      <c r="C2427" t="s">
        <v>708</v>
      </c>
      <c r="D2427" t="s">
        <v>2241</v>
      </c>
      <c r="E2427" t="s">
        <v>2242</v>
      </c>
      <c r="F2427">
        <v>11285</v>
      </c>
      <c r="G2427">
        <v>3307</v>
      </c>
      <c r="H2427" s="32">
        <f t="shared" si="37"/>
        <v>3.4124584215300877</v>
      </c>
      <c r="I2427">
        <v>1</v>
      </c>
      <c r="J2427" t="s">
        <v>21</v>
      </c>
    </row>
    <row r="2428" spans="1:10" x14ac:dyDescent="0.25">
      <c r="A2428">
        <v>58361</v>
      </c>
      <c r="B2428" t="s">
        <v>3180</v>
      </c>
      <c r="C2428" t="s">
        <v>241</v>
      </c>
      <c r="D2428" t="s">
        <v>2241</v>
      </c>
      <c r="E2428" t="s">
        <v>2242</v>
      </c>
      <c r="F2428">
        <v>14131</v>
      </c>
      <c r="G2428">
        <v>4141</v>
      </c>
      <c r="H2428" s="32">
        <f t="shared" si="37"/>
        <v>3.412460758270949</v>
      </c>
      <c r="I2428">
        <v>1</v>
      </c>
      <c r="J2428" t="s">
        <v>21</v>
      </c>
    </row>
    <row r="2429" spans="1:10" x14ac:dyDescent="0.25">
      <c r="A2429">
        <v>66536</v>
      </c>
      <c r="B2429" t="s">
        <v>4921</v>
      </c>
      <c r="C2429" t="s">
        <v>307</v>
      </c>
      <c r="D2429" t="s">
        <v>2241</v>
      </c>
      <c r="E2429" t="s">
        <v>2242</v>
      </c>
      <c r="F2429">
        <v>8050</v>
      </c>
      <c r="G2429">
        <v>2359</v>
      </c>
      <c r="H2429" s="32">
        <f t="shared" si="37"/>
        <v>3.4124629080118694</v>
      </c>
      <c r="I2429">
        <v>1</v>
      </c>
      <c r="J2429" t="s">
        <v>21</v>
      </c>
    </row>
    <row r="2430" spans="1:10" x14ac:dyDescent="0.25">
      <c r="A2430">
        <v>65095</v>
      </c>
      <c r="B2430" t="s">
        <v>4685</v>
      </c>
      <c r="C2430" t="s">
        <v>241</v>
      </c>
      <c r="D2430" t="s">
        <v>2241</v>
      </c>
      <c r="E2430" t="s">
        <v>2242</v>
      </c>
      <c r="F2430">
        <v>9746</v>
      </c>
      <c r="G2430">
        <v>2856</v>
      </c>
      <c r="H2430" s="32">
        <f t="shared" si="37"/>
        <v>3.4124649859943976</v>
      </c>
      <c r="I2430">
        <v>1</v>
      </c>
      <c r="J2430" t="s">
        <v>21</v>
      </c>
    </row>
    <row r="2431" spans="1:10" x14ac:dyDescent="0.25">
      <c r="A2431">
        <v>59579</v>
      </c>
      <c r="B2431" t="s">
        <v>3523</v>
      </c>
      <c r="C2431" t="s">
        <v>708</v>
      </c>
      <c r="D2431" t="s">
        <v>2241</v>
      </c>
      <c r="E2431" t="s">
        <v>2242</v>
      </c>
      <c r="F2431">
        <v>12865</v>
      </c>
      <c r="G2431">
        <v>3770</v>
      </c>
      <c r="H2431" s="32">
        <f t="shared" si="37"/>
        <v>3.4124668435013263</v>
      </c>
      <c r="I2431">
        <v>1</v>
      </c>
      <c r="J2431" t="s">
        <v>21</v>
      </c>
    </row>
    <row r="2432" spans="1:10" x14ac:dyDescent="0.25">
      <c r="A2432">
        <v>61878</v>
      </c>
      <c r="B2432" t="s">
        <v>4077</v>
      </c>
      <c r="C2432" t="s">
        <v>166</v>
      </c>
      <c r="D2432" t="s">
        <v>2241</v>
      </c>
      <c r="E2432" t="s">
        <v>2242</v>
      </c>
      <c r="F2432">
        <v>6842</v>
      </c>
      <c r="G2432">
        <v>2005</v>
      </c>
      <c r="H2432" s="32">
        <f t="shared" si="37"/>
        <v>3.4124688279301747</v>
      </c>
      <c r="I2432">
        <v>1</v>
      </c>
      <c r="J2432" t="s">
        <v>21</v>
      </c>
    </row>
    <row r="2433" spans="1:10" x14ac:dyDescent="0.25">
      <c r="A2433">
        <v>67812</v>
      </c>
      <c r="B2433" t="s">
        <v>5179</v>
      </c>
      <c r="C2433" t="s">
        <v>166</v>
      </c>
      <c r="D2433" t="s">
        <v>2241</v>
      </c>
      <c r="E2433" t="s">
        <v>2242</v>
      </c>
      <c r="F2433">
        <v>9688</v>
      </c>
      <c r="G2433">
        <v>2839</v>
      </c>
      <c r="H2433" s="32">
        <f t="shared" si="37"/>
        <v>3.412469179288482</v>
      </c>
      <c r="I2433">
        <v>1</v>
      </c>
      <c r="J2433" t="s">
        <v>21</v>
      </c>
    </row>
    <row r="2434" spans="1:10" x14ac:dyDescent="0.25">
      <c r="A2434">
        <v>60798</v>
      </c>
      <c r="B2434" t="s">
        <v>3876</v>
      </c>
      <c r="C2434" t="s">
        <v>708</v>
      </c>
      <c r="D2434" t="s">
        <v>2241</v>
      </c>
      <c r="E2434" t="s">
        <v>2242</v>
      </c>
      <c r="F2434">
        <v>7115</v>
      </c>
      <c r="G2434">
        <v>2085</v>
      </c>
      <c r="H2434" s="32">
        <f t="shared" ref="H2434:H2497" si="38">IF(AND(F2434&gt;0,G2434&gt;0),F2434/G2434,"")</f>
        <v>3.4124700239808154</v>
      </c>
      <c r="I2434">
        <v>1</v>
      </c>
      <c r="J2434" t="s">
        <v>21</v>
      </c>
    </row>
    <row r="2435" spans="1:10" x14ac:dyDescent="0.25">
      <c r="A2435">
        <v>67200</v>
      </c>
      <c r="B2435" t="s">
        <v>5059</v>
      </c>
      <c r="C2435" t="s">
        <v>250</v>
      </c>
      <c r="D2435" t="s">
        <v>2241</v>
      </c>
      <c r="E2435" t="s">
        <v>2242</v>
      </c>
      <c r="F2435">
        <v>13626</v>
      </c>
      <c r="G2435">
        <v>3993</v>
      </c>
      <c r="H2435" s="32">
        <f t="shared" si="38"/>
        <v>3.4124718256949662</v>
      </c>
      <c r="I2435">
        <v>1</v>
      </c>
      <c r="J2435" t="s">
        <v>21</v>
      </c>
    </row>
    <row r="2436" spans="1:10" x14ac:dyDescent="0.25">
      <c r="A2436">
        <v>62661</v>
      </c>
      <c r="B2436" t="s">
        <v>4197</v>
      </c>
      <c r="C2436" t="s">
        <v>708</v>
      </c>
      <c r="D2436" t="s">
        <v>2241</v>
      </c>
      <c r="E2436" t="s">
        <v>2242</v>
      </c>
      <c r="F2436">
        <v>12749</v>
      </c>
      <c r="G2436">
        <v>3736</v>
      </c>
      <c r="H2436" s="32">
        <f t="shared" si="38"/>
        <v>3.412473233404711</v>
      </c>
      <c r="I2436">
        <v>1</v>
      </c>
      <c r="J2436" t="s">
        <v>21</v>
      </c>
    </row>
    <row r="2437" spans="1:10" x14ac:dyDescent="0.25">
      <c r="A2437">
        <v>64304</v>
      </c>
      <c r="B2437" t="s">
        <v>4538</v>
      </c>
      <c r="C2437" t="s">
        <v>166</v>
      </c>
      <c r="D2437" t="s">
        <v>2241</v>
      </c>
      <c r="E2437" t="s">
        <v>2242</v>
      </c>
      <c r="F2437">
        <v>14056</v>
      </c>
      <c r="G2437">
        <v>4119</v>
      </c>
      <c r="H2437" s="32">
        <f t="shared" si="38"/>
        <v>3.4124787569798496</v>
      </c>
      <c r="I2437">
        <v>1</v>
      </c>
      <c r="J2437" t="s">
        <v>21</v>
      </c>
    </row>
    <row r="2438" spans="1:10" x14ac:dyDescent="0.25">
      <c r="A2438">
        <v>65671</v>
      </c>
      <c r="B2438" t="s">
        <v>4791</v>
      </c>
      <c r="C2438" t="s">
        <v>166</v>
      </c>
      <c r="D2438" t="s">
        <v>2241</v>
      </c>
      <c r="E2438" t="s">
        <v>2242</v>
      </c>
      <c r="F2438">
        <v>15090</v>
      </c>
      <c r="G2438">
        <v>4422</v>
      </c>
      <c r="H2438" s="32">
        <f t="shared" si="38"/>
        <v>3.4124830393487109</v>
      </c>
      <c r="I2438">
        <v>1</v>
      </c>
      <c r="J2438" t="s">
        <v>21</v>
      </c>
    </row>
    <row r="2439" spans="1:10" x14ac:dyDescent="0.25">
      <c r="A2439">
        <v>60920</v>
      </c>
      <c r="B2439" t="s">
        <v>3903</v>
      </c>
      <c r="C2439" t="s">
        <v>708</v>
      </c>
      <c r="D2439" t="s">
        <v>2241</v>
      </c>
      <c r="E2439" t="s">
        <v>2242</v>
      </c>
      <c r="F2439">
        <v>12244</v>
      </c>
      <c r="G2439">
        <v>3588</v>
      </c>
      <c r="H2439" s="32">
        <f t="shared" si="38"/>
        <v>3.4124860646599777</v>
      </c>
      <c r="I2439">
        <v>1</v>
      </c>
      <c r="J2439" t="s">
        <v>21</v>
      </c>
    </row>
    <row r="2440" spans="1:10" x14ac:dyDescent="0.25">
      <c r="A2440">
        <v>60922</v>
      </c>
      <c r="B2440" t="s">
        <v>3905</v>
      </c>
      <c r="C2440" t="s">
        <v>708</v>
      </c>
      <c r="D2440" t="s">
        <v>2241</v>
      </c>
      <c r="E2440" t="s">
        <v>2242</v>
      </c>
      <c r="F2440">
        <v>13336</v>
      </c>
      <c r="G2440">
        <v>3908</v>
      </c>
      <c r="H2440" s="32">
        <f t="shared" si="38"/>
        <v>3.4124872057318321</v>
      </c>
      <c r="I2440">
        <v>1</v>
      </c>
      <c r="J2440" t="s">
        <v>21</v>
      </c>
    </row>
    <row r="2441" spans="1:10" x14ac:dyDescent="0.25">
      <c r="A2441">
        <v>65642</v>
      </c>
      <c r="B2441" t="s">
        <v>4789</v>
      </c>
      <c r="C2441" t="s">
        <v>2029</v>
      </c>
      <c r="D2441" t="s">
        <v>2241</v>
      </c>
      <c r="E2441" t="s">
        <v>2242</v>
      </c>
      <c r="F2441">
        <v>7487</v>
      </c>
      <c r="G2441">
        <v>2194</v>
      </c>
      <c r="H2441" s="32">
        <f t="shared" si="38"/>
        <v>3.4124886052871468</v>
      </c>
      <c r="I2441">
        <v>1</v>
      </c>
      <c r="J2441" t="s">
        <v>21</v>
      </c>
    </row>
    <row r="2442" spans="1:10" x14ac:dyDescent="0.25">
      <c r="A2442">
        <v>64311</v>
      </c>
      <c r="B2442" t="s">
        <v>4539</v>
      </c>
      <c r="C2442" t="s">
        <v>708</v>
      </c>
      <c r="D2442" t="s">
        <v>2241</v>
      </c>
      <c r="E2442" t="s">
        <v>2242</v>
      </c>
      <c r="F2442">
        <v>26341</v>
      </c>
      <c r="G2442">
        <v>7719</v>
      </c>
      <c r="H2442" s="32">
        <f t="shared" si="38"/>
        <v>3.4124886643347585</v>
      </c>
      <c r="I2442">
        <v>1</v>
      </c>
      <c r="J2442" t="s">
        <v>21</v>
      </c>
    </row>
    <row r="2443" spans="1:10" x14ac:dyDescent="0.25">
      <c r="A2443">
        <v>56877</v>
      </c>
      <c r="B2443" t="s">
        <v>2914</v>
      </c>
      <c r="C2443" t="s">
        <v>241</v>
      </c>
      <c r="D2443" t="s">
        <v>2241</v>
      </c>
      <c r="E2443" t="s">
        <v>2242</v>
      </c>
      <c r="F2443">
        <v>4426</v>
      </c>
      <c r="G2443">
        <v>1297</v>
      </c>
      <c r="H2443" s="32">
        <f t="shared" si="38"/>
        <v>3.4124903623747107</v>
      </c>
      <c r="I2443">
        <v>1</v>
      </c>
      <c r="J2443" t="s">
        <v>21</v>
      </c>
    </row>
    <row r="2444" spans="1:10" x14ac:dyDescent="0.25">
      <c r="A2444">
        <v>60199</v>
      </c>
      <c r="B2444" t="s">
        <v>3705</v>
      </c>
      <c r="C2444" t="s">
        <v>708</v>
      </c>
      <c r="D2444" t="s">
        <v>2241</v>
      </c>
      <c r="E2444" t="s">
        <v>2242</v>
      </c>
      <c r="F2444">
        <v>11036</v>
      </c>
      <c r="G2444">
        <v>3234</v>
      </c>
      <c r="H2444" s="32">
        <f t="shared" si="38"/>
        <v>3.412492269635127</v>
      </c>
      <c r="I2444">
        <v>1</v>
      </c>
      <c r="J2444" t="s">
        <v>21</v>
      </c>
    </row>
    <row r="2445" spans="1:10" x14ac:dyDescent="0.25">
      <c r="A2445">
        <v>59988</v>
      </c>
      <c r="B2445" t="s">
        <v>3642</v>
      </c>
      <c r="C2445" t="s">
        <v>131</v>
      </c>
      <c r="D2445" t="s">
        <v>2241</v>
      </c>
      <c r="E2445" t="s">
        <v>2242</v>
      </c>
      <c r="F2445">
        <v>5460</v>
      </c>
      <c r="G2445">
        <v>1600</v>
      </c>
      <c r="H2445" s="32">
        <f t="shared" si="38"/>
        <v>3.4125000000000001</v>
      </c>
      <c r="I2445">
        <v>1</v>
      </c>
      <c r="J2445" t="s">
        <v>21</v>
      </c>
    </row>
    <row r="2446" spans="1:10" x14ac:dyDescent="0.25">
      <c r="A2446">
        <v>60050</v>
      </c>
      <c r="B2446" t="s">
        <v>3660</v>
      </c>
      <c r="C2446" t="s">
        <v>708</v>
      </c>
      <c r="D2446" t="s">
        <v>2241</v>
      </c>
      <c r="E2446" t="s">
        <v>2242</v>
      </c>
      <c r="F2446">
        <v>9009</v>
      </c>
      <c r="G2446">
        <v>2640</v>
      </c>
      <c r="H2446" s="32">
        <f t="shared" si="38"/>
        <v>3.4125000000000001</v>
      </c>
      <c r="I2446">
        <v>1</v>
      </c>
      <c r="J2446" t="s">
        <v>21</v>
      </c>
    </row>
    <row r="2447" spans="1:10" x14ac:dyDescent="0.25">
      <c r="A2447">
        <v>63903</v>
      </c>
      <c r="B2447" t="s">
        <v>4434</v>
      </c>
      <c r="C2447" t="s">
        <v>307</v>
      </c>
      <c r="D2447" t="s">
        <v>2241</v>
      </c>
      <c r="E2447" t="s">
        <v>2242</v>
      </c>
      <c r="F2447">
        <v>9009</v>
      </c>
      <c r="G2447">
        <v>2640</v>
      </c>
      <c r="H2447" s="32">
        <f t="shared" si="38"/>
        <v>3.4125000000000001</v>
      </c>
      <c r="I2447">
        <v>1</v>
      </c>
      <c r="J2447" t="s">
        <v>21</v>
      </c>
    </row>
    <row r="2448" spans="1:10" x14ac:dyDescent="0.25">
      <c r="A2448">
        <v>64416</v>
      </c>
      <c r="B2448" t="s">
        <v>4559</v>
      </c>
      <c r="C2448" t="s">
        <v>166</v>
      </c>
      <c r="D2448" t="s">
        <v>2241</v>
      </c>
      <c r="E2448" t="s">
        <v>2242</v>
      </c>
      <c r="F2448">
        <v>12285</v>
      </c>
      <c r="G2448">
        <v>3600</v>
      </c>
      <c r="H2448" s="32">
        <f t="shared" si="38"/>
        <v>3.4125000000000001</v>
      </c>
      <c r="I2448">
        <v>1</v>
      </c>
      <c r="J2448" t="s">
        <v>21</v>
      </c>
    </row>
    <row r="2449" spans="1:10" x14ac:dyDescent="0.25">
      <c r="A2449">
        <v>68489</v>
      </c>
      <c r="B2449" t="s">
        <v>5239</v>
      </c>
      <c r="C2449" t="s">
        <v>166</v>
      </c>
      <c r="D2449" t="s">
        <v>2241</v>
      </c>
      <c r="E2449" t="s">
        <v>2242</v>
      </c>
      <c r="F2449">
        <v>1638</v>
      </c>
      <c r="G2449">
        <v>480</v>
      </c>
      <c r="H2449" s="32">
        <f t="shared" si="38"/>
        <v>3.4125000000000001</v>
      </c>
      <c r="I2449">
        <v>1</v>
      </c>
      <c r="J2449" t="s">
        <v>21</v>
      </c>
    </row>
    <row r="2450" spans="1:10" x14ac:dyDescent="0.25">
      <c r="A2450">
        <v>58386</v>
      </c>
      <c r="B2450" t="s">
        <v>3185</v>
      </c>
      <c r="C2450" t="s">
        <v>322</v>
      </c>
      <c r="D2450" t="s">
        <v>2241</v>
      </c>
      <c r="E2450" t="s">
        <v>2242</v>
      </c>
      <c r="F2450">
        <v>7040</v>
      </c>
      <c r="G2450">
        <v>2063</v>
      </c>
      <c r="H2450" s="32">
        <f t="shared" si="38"/>
        <v>3.4125060591371787</v>
      </c>
      <c r="I2450">
        <v>1</v>
      </c>
      <c r="J2450" t="s">
        <v>21</v>
      </c>
    </row>
    <row r="2451" spans="1:10" x14ac:dyDescent="0.25">
      <c r="A2451">
        <v>67630</v>
      </c>
      <c r="B2451" t="s">
        <v>5127</v>
      </c>
      <c r="C2451" t="s">
        <v>166</v>
      </c>
      <c r="D2451" t="s">
        <v>2241</v>
      </c>
      <c r="E2451" t="s">
        <v>2242</v>
      </c>
      <c r="F2451">
        <v>12988</v>
      </c>
      <c r="G2451">
        <v>3806</v>
      </c>
      <c r="H2451" s="32">
        <f t="shared" si="38"/>
        <v>3.4125065685759326</v>
      </c>
      <c r="I2451">
        <v>1</v>
      </c>
      <c r="J2451" t="s">
        <v>21</v>
      </c>
    </row>
    <row r="2452" spans="1:10" x14ac:dyDescent="0.25">
      <c r="A2452">
        <v>64124</v>
      </c>
      <c r="B2452" t="s">
        <v>4494</v>
      </c>
      <c r="C2452" t="s">
        <v>166</v>
      </c>
      <c r="D2452" t="s">
        <v>2241</v>
      </c>
      <c r="E2452" t="s">
        <v>2242</v>
      </c>
      <c r="F2452">
        <v>12715</v>
      </c>
      <c r="G2452">
        <v>3726</v>
      </c>
      <c r="H2452" s="32">
        <f t="shared" si="38"/>
        <v>3.4125067096081589</v>
      </c>
      <c r="I2452">
        <v>1</v>
      </c>
      <c r="J2452" t="s">
        <v>21</v>
      </c>
    </row>
    <row r="2453" spans="1:10" x14ac:dyDescent="0.25">
      <c r="A2453">
        <v>57687</v>
      </c>
      <c r="B2453" t="s">
        <v>3033</v>
      </c>
      <c r="C2453" t="s">
        <v>708</v>
      </c>
      <c r="D2453" t="s">
        <v>2241</v>
      </c>
      <c r="E2453" t="s">
        <v>2242</v>
      </c>
      <c r="F2453">
        <v>4310</v>
      </c>
      <c r="G2453">
        <v>1263</v>
      </c>
      <c r="H2453" s="32">
        <f t="shared" si="38"/>
        <v>3.4125098970704673</v>
      </c>
      <c r="I2453">
        <v>1</v>
      </c>
      <c r="J2453" t="s">
        <v>21</v>
      </c>
    </row>
    <row r="2454" spans="1:10" x14ac:dyDescent="0.25">
      <c r="A2454">
        <v>58243</v>
      </c>
      <c r="B2454" t="s">
        <v>3133</v>
      </c>
      <c r="C2454" t="s">
        <v>307</v>
      </c>
      <c r="D2454" t="s">
        <v>2241</v>
      </c>
      <c r="E2454" t="s">
        <v>2242</v>
      </c>
      <c r="F2454">
        <v>4037</v>
      </c>
      <c r="G2454">
        <v>1183</v>
      </c>
      <c r="H2454" s="32">
        <f t="shared" si="38"/>
        <v>3.4125105663567203</v>
      </c>
      <c r="I2454">
        <v>1</v>
      </c>
      <c r="J2454" t="s">
        <v>21</v>
      </c>
    </row>
    <row r="2455" spans="1:10" x14ac:dyDescent="0.25">
      <c r="A2455">
        <v>59743</v>
      </c>
      <c r="B2455" t="s">
        <v>3569</v>
      </c>
      <c r="C2455" t="s">
        <v>307</v>
      </c>
      <c r="D2455" t="s">
        <v>2241</v>
      </c>
      <c r="E2455" t="s">
        <v>2242</v>
      </c>
      <c r="F2455">
        <v>5617</v>
      </c>
      <c r="G2455">
        <v>1646</v>
      </c>
      <c r="H2455" s="32">
        <f t="shared" si="38"/>
        <v>3.4125151883353584</v>
      </c>
      <c r="I2455">
        <v>1</v>
      </c>
      <c r="J2455" t="s">
        <v>21</v>
      </c>
    </row>
    <row r="2456" spans="1:10" x14ac:dyDescent="0.25">
      <c r="A2456">
        <v>64379</v>
      </c>
      <c r="B2456" t="s">
        <v>4552</v>
      </c>
      <c r="C2456" t="s">
        <v>3055</v>
      </c>
      <c r="D2456" t="s">
        <v>2241</v>
      </c>
      <c r="E2456" t="s">
        <v>2242</v>
      </c>
      <c r="F2456">
        <v>5344</v>
      </c>
      <c r="G2456">
        <v>1566</v>
      </c>
      <c r="H2456" s="32">
        <f t="shared" si="38"/>
        <v>3.412515964240102</v>
      </c>
      <c r="I2456">
        <v>1</v>
      </c>
      <c r="J2456" t="s">
        <v>21</v>
      </c>
    </row>
    <row r="2457" spans="1:10" x14ac:dyDescent="0.25">
      <c r="A2457">
        <v>67569</v>
      </c>
      <c r="B2457" t="s">
        <v>5115</v>
      </c>
      <c r="C2457" t="s">
        <v>166</v>
      </c>
      <c r="D2457" t="s">
        <v>2241</v>
      </c>
      <c r="E2457" t="s">
        <v>2242</v>
      </c>
      <c r="F2457">
        <v>11722</v>
      </c>
      <c r="G2457">
        <v>3435</v>
      </c>
      <c r="H2457" s="32">
        <f t="shared" si="38"/>
        <v>3.412518195050946</v>
      </c>
      <c r="I2457">
        <v>1</v>
      </c>
      <c r="J2457" t="s">
        <v>21</v>
      </c>
    </row>
    <row r="2458" spans="1:10" x14ac:dyDescent="0.25">
      <c r="A2458">
        <v>69919</v>
      </c>
      <c r="B2458" t="s">
        <v>5415</v>
      </c>
      <c r="C2458" t="s">
        <v>166</v>
      </c>
      <c r="D2458" t="s">
        <v>2241</v>
      </c>
      <c r="E2458" t="s">
        <v>2242</v>
      </c>
      <c r="F2458">
        <v>7685</v>
      </c>
      <c r="G2458">
        <v>2252</v>
      </c>
      <c r="H2458" s="32">
        <f t="shared" si="38"/>
        <v>3.4125222024866786</v>
      </c>
      <c r="I2458">
        <v>1</v>
      </c>
      <c r="J2458" t="s">
        <v>21</v>
      </c>
    </row>
    <row r="2459" spans="1:10" x14ac:dyDescent="0.25">
      <c r="A2459">
        <v>68049</v>
      </c>
      <c r="B2459" t="s">
        <v>5201</v>
      </c>
      <c r="C2459" t="s">
        <v>166</v>
      </c>
      <c r="D2459" t="s">
        <v>2241</v>
      </c>
      <c r="E2459" t="s">
        <v>2242</v>
      </c>
      <c r="F2459">
        <v>12640</v>
      </c>
      <c r="G2459">
        <v>3704</v>
      </c>
      <c r="H2459" s="32">
        <f t="shared" si="38"/>
        <v>3.4125269978401729</v>
      </c>
      <c r="I2459">
        <v>1</v>
      </c>
      <c r="J2459" t="s">
        <v>21</v>
      </c>
    </row>
    <row r="2460" spans="1:10" x14ac:dyDescent="0.25">
      <c r="A2460">
        <v>64640</v>
      </c>
      <c r="B2460" t="s">
        <v>4616</v>
      </c>
      <c r="C2460" t="s">
        <v>708</v>
      </c>
      <c r="D2460" t="s">
        <v>2241</v>
      </c>
      <c r="E2460" t="s">
        <v>2242</v>
      </c>
      <c r="F2460">
        <v>7784</v>
      </c>
      <c r="G2460">
        <v>2281</v>
      </c>
      <c r="H2460" s="32">
        <f t="shared" si="38"/>
        <v>3.4125383603682597</v>
      </c>
      <c r="I2460">
        <v>1</v>
      </c>
      <c r="J2460" t="s">
        <v>21</v>
      </c>
    </row>
    <row r="2461" spans="1:10" x14ac:dyDescent="0.25">
      <c r="A2461">
        <v>60113</v>
      </c>
      <c r="B2461" t="s">
        <v>3674</v>
      </c>
      <c r="C2461" t="s">
        <v>241</v>
      </c>
      <c r="D2461" t="s">
        <v>2241</v>
      </c>
      <c r="E2461" t="s">
        <v>2242</v>
      </c>
      <c r="F2461">
        <v>5443</v>
      </c>
      <c r="G2461">
        <v>1595</v>
      </c>
      <c r="H2461" s="32">
        <f t="shared" si="38"/>
        <v>3.412539184952978</v>
      </c>
      <c r="I2461">
        <v>1</v>
      </c>
      <c r="J2461" t="s">
        <v>21</v>
      </c>
    </row>
    <row r="2462" spans="1:10" x14ac:dyDescent="0.25">
      <c r="A2462">
        <v>57661</v>
      </c>
      <c r="B2462" t="s">
        <v>3028</v>
      </c>
      <c r="C2462" t="s">
        <v>241</v>
      </c>
      <c r="D2462" t="s">
        <v>2241</v>
      </c>
      <c r="E2462" t="s">
        <v>2242</v>
      </c>
      <c r="F2462">
        <v>11647</v>
      </c>
      <c r="G2462">
        <v>3413</v>
      </c>
      <c r="H2462" s="32">
        <f t="shared" si="38"/>
        <v>3.412540287137416</v>
      </c>
      <c r="I2462">
        <v>1</v>
      </c>
      <c r="J2462" t="s">
        <v>21</v>
      </c>
    </row>
    <row r="2463" spans="1:10" x14ac:dyDescent="0.25">
      <c r="A2463">
        <v>69007</v>
      </c>
      <c r="B2463" t="s">
        <v>5295</v>
      </c>
      <c r="C2463" t="s">
        <v>307</v>
      </c>
      <c r="D2463" t="s">
        <v>2241</v>
      </c>
      <c r="E2463" t="s">
        <v>2242</v>
      </c>
      <c r="F2463">
        <v>4897</v>
      </c>
      <c r="G2463">
        <v>1435</v>
      </c>
      <c r="H2463" s="32">
        <f t="shared" si="38"/>
        <v>3.4125435540069686</v>
      </c>
      <c r="I2463">
        <v>1</v>
      </c>
      <c r="J2463" t="s">
        <v>21</v>
      </c>
    </row>
    <row r="2464" spans="1:10" x14ac:dyDescent="0.25">
      <c r="A2464">
        <v>68530</v>
      </c>
      <c r="B2464" t="s">
        <v>5240</v>
      </c>
      <c r="C2464" t="s">
        <v>166</v>
      </c>
      <c r="D2464" t="s">
        <v>2241</v>
      </c>
      <c r="E2464" t="s">
        <v>2242</v>
      </c>
      <c r="F2464">
        <v>7726</v>
      </c>
      <c r="G2464">
        <v>2264</v>
      </c>
      <c r="H2464" s="32">
        <f t="shared" si="38"/>
        <v>3.4125441696113072</v>
      </c>
      <c r="I2464">
        <v>1</v>
      </c>
      <c r="J2464" t="s">
        <v>21</v>
      </c>
    </row>
    <row r="2465" spans="1:10" x14ac:dyDescent="0.25">
      <c r="A2465">
        <v>64013</v>
      </c>
      <c r="B2465" t="s">
        <v>4469</v>
      </c>
      <c r="C2465" t="s">
        <v>166</v>
      </c>
      <c r="D2465" t="s">
        <v>2241</v>
      </c>
      <c r="E2465" t="s">
        <v>2242</v>
      </c>
      <c r="F2465">
        <v>13384</v>
      </c>
      <c r="G2465">
        <v>3922</v>
      </c>
      <c r="H2465" s="32">
        <f t="shared" si="38"/>
        <v>3.4125446200917899</v>
      </c>
      <c r="I2465">
        <v>1</v>
      </c>
      <c r="J2465" t="s">
        <v>21</v>
      </c>
    </row>
    <row r="2466" spans="1:10" x14ac:dyDescent="0.25">
      <c r="A2466">
        <v>60105</v>
      </c>
      <c r="B2466" t="s">
        <v>3670</v>
      </c>
      <c r="C2466" t="s">
        <v>708</v>
      </c>
      <c r="D2466" t="s">
        <v>2241</v>
      </c>
      <c r="E2466" t="s">
        <v>2242</v>
      </c>
      <c r="F2466">
        <v>11258</v>
      </c>
      <c r="G2466">
        <v>3299</v>
      </c>
      <c r="H2466" s="32">
        <f t="shared" si="38"/>
        <v>3.4125492573507121</v>
      </c>
      <c r="I2466">
        <v>1</v>
      </c>
      <c r="J2466" t="s">
        <v>21</v>
      </c>
    </row>
    <row r="2467" spans="1:10" x14ac:dyDescent="0.25">
      <c r="A2467">
        <v>60667</v>
      </c>
      <c r="B2467" t="s">
        <v>3836</v>
      </c>
      <c r="C2467" t="s">
        <v>307</v>
      </c>
      <c r="D2467" t="s">
        <v>2241</v>
      </c>
      <c r="E2467" t="s">
        <v>2242</v>
      </c>
      <c r="F2467">
        <v>9951</v>
      </c>
      <c r="G2467">
        <v>2916</v>
      </c>
      <c r="H2467" s="32">
        <f t="shared" si="38"/>
        <v>3.4125514403292181</v>
      </c>
      <c r="I2467">
        <v>1</v>
      </c>
      <c r="J2467" t="s">
        <v>21</v>
      </c>
    </row>
    <row r="2468" spans="1:10" x14ac:dyDescent="0.25">
      <c r="A2468">
        <v>64522</v>
      </c>
      <c r="B2468" t="s">
        <v>4600</v>
      </c>
      <c r="C2468" t="s">
        <v>708</v>
      </c>
      <c r="D2468" t="s">
        <v>2241</v>
      </c>
      <c r="E2468" t="s">
        <v>2242</v>
      </c>
      <c r="F2468">
        <v>6088</v>
      </c>
      <c r="G2468">
        <v>1784</v>
      </c>
      <c r="H2468" s="32">
        <f t="shared" si="38"/>
        <v>3.4125560538116591</v>
      </c>
      <c r="I2468">
        <v>1</v>
      </c>
      <c r="J2468" t="s">
        <v>21</v>
      </c>
    </row>
    <row r="2469" spans="1:10" x14ac:dyDescent="0.25">
      <c r="A2469">
        <v>64462</v>
      </c>
      <c r="B2469" t="s">
        <v>4573</v>
      </c>
      <c r="C2469" t="s">
        <v>250</v>
      </c>
      <c r="D2469" t="s">
        <v>2241</v>
      </c>
      <c r="E2469" t="s">
        <v>2242</v>
      </c>
      <c r="F2469">
        <v>13855</v>
      </c>
      <c r="G2469">
        <v>4060</v>
      </c>
      <c r="H2469" s="32">
        <f t="shared" si="38"/>
        <v>3.4125615763546797</v>
      </c>
      <c r="I2469">
        <v>1</v>
      </c>
      <c r="J2469" t="s">
        <v>21</v>
      </c>
    </row>
    <row r="2470" spans="1:10" x14ac:dyDescent="0.25">
      <c r="A2470">
        <v>60662</v>
      </c>
      <c r="B2470" t="s">
        <v>3831</v>
      </c>
      <c r="C2470" t="s">
        <v>307</v>
      </c>
      <c r="D2470" t="s">
        <v>2241</v>
      </c>
      <c r="E2470" t="s">
        <v>2242</v>
      </c>
      <c r="F2470">
        <v>10811</v>
      </c>
      <c r="G2470">
        <v>3168</v>
      </c>
      <c r="H2470" s="32">
        <f t="shared" si="38"/>
        <v>3.4125631313131315</v>
      </c>
      <c r="I2470">
        <v>1</v>
      </c>
      <c r="J2470" t="s">
        <v>21</v>
      </c>
    </row>
    <row r="2471" spans="1:10" x14ac:dyDescent="0.25">
      <c r="A2471">
        <v>62407</v>
      </c>
      <c r="B2471" t="s">
        <v>4154</v>
      </c>
      <c r="C2471" t="s">
        <v>307</v>
      </c>
      <c r="D2471" t="s">
        <v>2241</v>
      </c>
      <c r="E2471" t="s">
        <v>2242</v>
      </c>
      <c r="F2471">
        <v>5757</v>
      </c>
      <c r="G2471">
        <v>1687</v>
      </c>
      <c r="H2471" s="32">
        <f t="shared" si="38"/>
        <v>3.4125666864256075</v>
      </c>
      <c r="I2471">
        <v>1</v>
      </c>
      <c r="J2471" t="s">
        <v>21</v>
      </c>
    </row>
    <row r="2472" spans="1:10" x14ac:dyDescent="0.25">
      <c r="A2472">
        <v>59515</v>
      </c>
      <c r="B2472" t="s">
        <v>3491</v>
      </c>
      <c r="C2472" t="s">
        <v>708</v>
      </c>
      <c r="D2472" t="s">
        <v>2241</v>
      </c>
      <c r="E2472" t="s">
        <v>2242</v>
      </c>
      <c r="F2472">
        <v>14500</v>
      </c>
      <c r="G2472">
        <v>4249</v>
      </c>
      <c r="H2472" s="32">
        <f t="shared" si="38"/>
        <v>3.4125676629795247</v>
      </c>
      <c r="I2472">
        <v>1</v>
      </c>
      <c r="J2472" t="s">
        <v>21</v>
      </c>
    </row>
    <row r="2473" spans="1:10" x14ac:dyDescent="0.25">
      <c r="A2473">
        <v>56888</v>
      </c>
      <c r="B2473" t="s">
        <v>2919</v>
      </c>
      <c r="C2473" t="s">
        <v>241</v>
      </c>
      <c r="D2473" t="s">
        <v>2241</v>
      </c>
      <c r="E2473" t="s">
        <v>2242</v>
      </c>
      <c r="F2473">
        <v>3474</v>
      </c>
      <c r="G2473">
        <v>1018</v>
      </c>
      <c r="H2473" s="32">
        <f t="shared" si="38"/>
        <v>3.4125736738703338</v>
      </c>
      <c r="I2473">
        <v>1</v>
      </c>
      <c r="J2473" t="s">
        <v>21</v>
      </c>
    </row>
    <row r="2474" spans="1:10" x14ac:dyDescent="0.25">
      <c r="A2474">
        <v>60769</v>
      </c>
      <c r="B2474" t="s">
        <v>3865</v>
      </c>
      <c r="C2474" t="s">
        <v>241</v>
      </c>
      <c r="D2474" t="s">
        <v>2241</v>
      </c>
      <c r="E2474" t="s">
        <v>2242</v>
      </c>
      <c r="F2474">
        <v>6948</v>
      </c>
      <c r="G2474">
        <v>2036</v>
      </c>
      <c r="H2474" s="32">
        <f t="shared" si="38"/>
        <v>3.4125736738703338</v>
      </c>
      <c r="I2474">
        <v>1</v>
      </c>
      <c r="J2474" t="s">
        <v>21</v>
      </c>
    </row>
    <row r="2475" spans="1:10" x14ac:dyDescent="0.25">
      <c r="A2475">
        <v>67274</v>
      </c>
      <c r="B2475" t="s">
        <v>5078</v>
      </c>
      <c r="C2475" t="s">
        <v>241</v>
      </c>
      <c r="D2475" t="s">
        <v>2241</v>
      </c>
      <c r="E2475" t="s">
        <v>2242</v>
      </c>
      <c r="F2475">
        <v>8685</v>
      </c>
      <c r="G2475">
        <v>2545</v>
      </c>
      <c r="H2475" s="32">
        <f t="shared" si="38"/>
        <v>3.4125736738703338</v>
      </c>
      <c r="I2475">
        <v>1</v>
      </c>
      <c r="J2475" t="s">
        <v>21</v>
      </c>
    </row>
    <row r="2476" spans="1:10" x14ac:dyDescent="0.25">
      <c r="A2476">
        <v>60096</v>
      </c>
      <c r="B2476" t="s">
        <v>3667</v>
      </c>
      <c r="C2476" t="s">
        <v>307</v>
      </c>
      <c r="D2476" t="s">
        <v>2241</v>
      </c>
      <c r="E2476" t="s">
        <v>2242</v>
      </c>
      <c r="F2476">
        <v>5641</v>
      </c>
      <c r="G2476">
        <v>1653</v>
      </c>
      <c r="H2476" s="32">
        <f t="shared" si="38"/>
        <v>3.4125831820931638</v>
      </c>
      <c r="I2476">
        <v>1</v>
      </c>
      <c r="J2476" t="s">
        <v>21</v>
      </c>
    </row>
    <row r="2477" spans="1:10" x14ac:dyDescent="0.25">
      <c r="A2477">
        <v>58123</v>
      </c>
      <c r="B2477" t="s">
        <v>3116</v>
      </c>
      <c r="C2477" t="s">
        <v>241</v>
      </c>
      <c r="D2477" t="s">
        <v>2241</v>
      </c>
      <c r="E2477" t="s">
        <v>2242</v>
      </c>
      <c r="F2477">
        <v>8883</v>
      </c>
      <c r="G2477">
        <v>2603</v>
      </c>
      <c r="H2477" s="32">
        <f t="shared" si="38"/>
        <v>3.4126008451786398</v>
      </c>
      <c r="I2477">
        <v>1</v>
      </c>
      <c r="J2477" t="s">
        <v>21</v>
      </c>
    </row>
    <row r="2478" spans="1:10" x14ac:dyDescent="0.25">
      <c r="A2478">
        <v>57486</v>
      </c>
      <c r="B2478" t="s">
        <v>3005</v>
      </c>
      <c r="C2478" t="s">
        <v>241</v>
      </c>
      <c r="D2478" t="s">
        <v>2241</v>
      </c>
      <c r="E2478" t="s">
        <v>2242</v>
      </c>
      <c r="F2478">
        <v>12671</v>
      </c>
      <c r="G2478">
        <v>3713</v>
      </c>
      <c r="H2478" s="32">
        <f t="shared" si="38"/>
        <v>3.4126043630487475</v>
      </c>
      <c r="I2478">
        <v>1</v>
      </c>
      <c r="J2478" t="s">
        <v>21</v>
      </c>
    </row>
    <row r="2479" spans="1:10" x14ac:dyDescent="0.25">
      <c r="A2479">
        <v>61358</v>
      </c>
      <c r="B2479" t="s">
        <v>4002</v>
      </c>
      <c r="C2479" t="s">
        <v>307</v>
      </c>
      <c r="D2479" t="s">
        <v>2241</v>
      </c>
      <c r="E2479" t="s">
        <v>2242</v>
      </c>
      <c r="F2479">
        <v>2382</v>
      </c>
      <c r="G2479">
        <v>698</v>
      </c>
      <c r="H2479" s="32">
        <f t="shared" si="38"/>
        <v>3.4126074498567336</v>
      </c>
      <c r="I2479">
        <v>1</v>
      </c>
      <c r="J2479" t="s">
        <v>21</v>
      </c>
    </row>
    <row r="2480" spans="1:10" x14ac:dyDescent="0.25">
      <c r="A2480">
        <v>65417</v>
      </c>
      <c r="B2480" t="s">
        <v>4747</v>
      </c>
      <c r="C2480" t="s">
        <v>166</v>
      </c>
      <c r="D2480" t="s">
        <v>2241</v>
      </c>
      <c r="E2480" t="s">
        <v>2242</v>
      </c>
      <c r="F2480">
        <v>12067</v>
      </c>
      <c r="G2480">
        <v>3536</v>
      </c>
      <c r="H2480" s="32">
        <f t="shared" si="38"/>
        <v>3.4126131221719458</v>
      </c>
      <c r="I2480">
        <v>1</v>
      </c>
      <c r="J2480" t="s">
        <v>21</v>
      </c>
    </row>
    <row r="2481" spans="1:10" x14ac:dyDescent="0.25">
      <c r="A2481">
        <v>61198</v>
      </c>
      <c r="B2481" t="s">
        <v>3958</v>
      </c>
      <c r="C2481" t="s">
        <v>143</v>
      </c>
      <c r="D2481" t="s">
        <v>2241</v>
      </c>
      <c r="E2481" t="s">
        <v>2242</v>
      </c>
      <c r="F2481">
        <v>5409</v>
      </c>
      <c r="G2481">
        <v>1585</v>
      </c>
      <c r="H2481" s="32">
        <f t="shared" si="38"/>
        <v>3.4126182965299683</v>
      </c>
      <c r="I2481">
        <v>1</v>
      </c>
      <c r="J2481" t="s">
        <v>21</v>
      </c>
    </row>
    <row r="2482" spans="1:10" x14ac:dyDescent="0.25">
      <c r="A2482">
        <v>64477</v>
      </c>
      <c r="B2482" t="s">
        <v>4582</v>
      </c>
      <c r="C2482" t="s">
        <v>708</v>
      </c>
      <c r="D2482" t="s">
        <v>2241</v>
      </c>
      <c r="E2482" t="s">
        <v>2242</v>
      </c>
      <c r="F2482">
        <v>11463</v>
      </c>
      <c r="G2482">
        <v>3359</v>
      </c>
      <c r="H2482" s="32">
        <f t="shared" si="38"/>
        <v>3.4126228044060731</v>
      </c>
      <c r="I2482">
        <v>1</v>
      </c>
      <c r="J2482" t="s">
        <v>21</v>
      </c>
    </row>
    <row r="2483" spans="1:10" x14ac:dyDescent="0.25">
      <c r="A2483">
        <v>58015</v>
      </c>
      <c r="B2483" t="s">
        <v>3091</v>
      </c>
      <c r="C2483" t="s">
        <v>307</v>
      </c>
      <c r="D2483" t="s">
        <v>2241</v>
      </c>
      <c r="E2483" t="s">
        <v>2242</v>
      </c>
      <c r="F2483">
        <v>5781</v>
      </c>
      <c r="G2483">
        <v>1694</v>
      </c>
      <c r="H2483" s="32">
        <f t="shared" si="38"/>
        <v>3.4126328217237307</v>
      </c>
      <c r="I2483">
        <v>1</v>
      </c>
      <c r="J2483" t="s">
        <v>21</v>
      </c>
    </row>
    <row r="2484" spans="1:10" x14ac:dyDescent="0.25">
      <c r="A2484">
        <v>59922</v>
      </c>
      <c r="B2484" t="s">
        <v>3620</v>
      </c>
      <c r="C2484" t="s">
        <v>672</v>
      </c>
      <c r="D2484" t="s">
        <v>2241</v>
      </c>
      <c r="E2484" t="s">
        <v>2242</v>
      </c>
      <c r="F2484">
        <v>6699</v>
      </c>
      <c r="G2484">
        <v>1963</v>
      </c>
      <c r="H2484" s="32">
        <f t="shared" si="38"/>
        <v>3.4126337238920019</v>
      </c>
      <c r="I2484">
        <v>1</v>
      </c>
      <c r="J2484" t="s">
        <v>21</v>
      </c>
    </row>
    <row r="2485" spans="1:10" x14ac:dyDescent="0.25">
      <c r="A2485">
        <v>69565</v>
      </c>
      <c r="B2485" t="s">
        <v>5378</v>
      </c>
      <c r="C2485" t="s">
        <v>708</v>
      </c>
      <c r="D2485" t="s">
        <v>2241</v>
      </c>
      <c r="E2485" t="s">
        <v>2242</v>
      </c>
      <c r="F2485">
        <v>4375</v>
      </c>
      <c r="G2485">
        <v>1282</v>
      </c>
      <c r="H2485" s="32">
        <f t="shared" si="38"/>
        <v>3.4126365054602186</v>
      </c>
      <c r="I2485">
        <v>1</v>
      </c>
      <c r="J2485" t="s">
        <v>21</v>
      </c>
    </row>
    <row r="2486" spans="1:10" x14ac:dyDescent="0.25">
      <c r="A2486">
        <v>66798</v>
      </c>
      <c r="B2486" t="s">
        <v>4964</v>
      </c>
      <c r="C2486" t="s">
        <v>241</v>
      </c>
      <c r="D2486" t="s">
        <v>2241</v>
      </c>
      <c r="E2486" t="s">
        <v>2242</v>
      </c>
      <c r="F2486">
        <v>8477</v>
      </c>
      <c r="G2486">
        <v>2484</v>
      </c>
      <c r="H2486" s="32">
        <f t="shared" si="38"/>
        <v>3.4126409017713364</v>
      </c>
      <c r="I2486">
        <v>1</v>
      </c>
      <c r="J2486" t="s">
        <v>21</v>
      </c>
    </row>
    <row r="2487" spans="1:10" x14ac:dyDescent="0.25">
      <c r="A2487">
        <v>60881</v>
      </c>
      <c r="B2487" t="s">
        <v>3896</v>
      </c>
      <c r="C2487" t="s">
        <v>708</v>
      </c>
      <c r="D2487" t="s">
        <v>2241</v>
      </c>
      <c r="E2487" t="s">
        <v>2242</v>
      </c>
      <c r="F2487">
        <v>5392</v>
      </c>
      <c r="G2487">
        <v>1580</v>
      </c>
      <c r="H2487" s="32">
        <f t="shared" si="38"/>
        <v>3.4126582278481012</v>
      </c>
      <c r="I2487">
        <v>1</v>
      </c>
      <c r="J2487" t="s">
        <v>21</v>
      </c>
    </row>
    <row r="2488" spans="1:10" x14ac:dyDescent="0.25">
      <c r="A2488">
        <v>61055</v>
      </c>
      <c r="B2488" t="s">
        <v>3928</v>
      </c>
      <c r="C2488" t="s">
        <v>201</v>
      </c>
      <c r="D2488" t="s">
        <v>2241</v>
      </c>
      <c r="E2488" t="s">
        <v>2242</v>
      </c>
      <c r="F2488">
        <v>13695</v>
      </c>
      <c r="G2488">
        <v>4013</v>
      </c>
      <c r="H2488" s="32">
        <f t="shared" si="38"/>
        <v>3.4126588587091953</v>
      </c>
      <c r="I2488">
        <v>1</v>
      </c>
      <c r="J2488" t="s">
        <v>21</v>
      </c>
    </row>
    <row r="2489" spans="1:10" x14ac:dyDescent="0.25">
      <c r="A2489">
        <v>68391</v>
      </c>
      <c r="B2489" t="s">
        <v>5230</v>
      </c>
      <c r="C2489" t="s">
        <v>322</v>
      </c>
      <c r="D2489" t="s">
        <v>2241</v>
      </c>
      <c r="E2489" t="s">
        <v>2242</v>
      </c>
      <c r="F2489">
        <v>3126</v>
      </c>
      <c r="G2489">
        <v>916</v>
      </c>
      <c r="H2489" s="32">
        <f t="shared" si="38"/>
        <v>3.4126637554585151</v>
      </c>
      <c r="I2489">
        <v>1</v>
      </c>
      <c r="J2489" t="s">
        <v>21</v>
      </c>
    </row>
    <row r="2490" spans="1:10" x14ac:dyDescent="0.25">
      <c r="A2490">
        <v>65339</v>
      </c>
      <c r="B2490" t="s">
        <v>4728</v>
      </c>
      <c r="C2490" t="s">
        <v>307</v>
      </c>
      <c r="D2490" t="s">
        <v>2241</v>
      </c>
      <c r="E2490" t="s">
        <v>2242</v>
      </c>
      <c r="F2490">
        <v>9808</v>
      </c>
      <c r="G2490">
        <v>2874</v>
      </c>
      <c r="H2490" s="32">
        <f t="shared" si="38"/>
        <v>3.4126652748782185</v>
      </c>
      <c r="I2490">
        <v>1</v>
      </c>
      <c r="J2490" t="s">
        <v>21</v>
      </c>
    </row>
    <row r="2491" spans="1:10" x14ac:dyDescent="0.25">
      <c r="A2491">
        <v>63366</v>
      </c>
      <c r="B2491" t="s">
        <v>4337</v>
      </c>
      <c r="C2491" t="s">
        <v>241</v>
      </c>
      <c r="D2491" t="s">
        <v>2241</v>
      </c>
      <c r="E2491" t="s">
        <v>2242</v>
      </c>
      <c r="F2491">
        <v>7112</v>
      </c>
      <c r="G2491">
        <v>2084</v>
      </c>
      <c r="H2491" s="32">
        <f t="shared" si="38"/>
        <v>3.4126679462571978</v>
      </c>
      <c r="I2491">
        <v>1</v>
      </c>
      <c r="J2491" t="s">
        <v>21</v>
      </c>
    </row>
    <row r="2492" spans="1:10" x14ac:dyDescent="0.25">
      <c r="A2492">
        <v>60992</v>
      </c>
      <c r="B2492" t="s">
        <v>3918</v>
      </c>
      <c r="C2492" t="s">
        <v>708</v>
      </c>
      <c r="D2492" t="s">
        <v>2241</v>
      </c>
      <c r="E2492" t="s">
        <v>2242</v>
      </c>
      <c r="F2492">
        <v>4201</v>
      </c>
      <c r="G2492">
        <v>1231</v>
      </c>
      <c r="H2492" s="32">
        <f t="shared" si="38"/>
        <v>3.4126726238830218</v>
      </c>
      <c r="I2492">
        <v>1</v>
      </c>
      <c r="J2492" t="s">
        <v>21</v>
      </c>
    </row>
    <row r="2493" spans="1:10" x14ac:dyDescent="0.25">
      <c r="A2493">
        <v>65563</v>
      </c>
      <c r="B2493" t="s">
        <v>4774</v>
      </c>
      <c r="C2493" t="s">
        <v>241</v>
      </c>
      <c r="D2493" t="s">
        <v>2241</v>
      </c>
      <c r="E2493" t="s">
        <v>2242</v>
      </c>
      <c r="F2493">
        <v>2853</v>
      </c>
      <c r="G2493">
        <v>836</v>
      </c>
      <c r="H2493" s="32">
        <f t="shared" si="38"/>
        <v>3.4126794258373208</v>
      </c>
      <c r="I2493">
        <v>1</v>
      </c>
      <c r="J2493" t="s">
        <v>21</v>
      </c>
    </row>
    <row r="2494" spans="1:10" x14ac:dyDescent="0.25">
      <c r="A2494">
        <v>65176</v>
      </c>
      <c r="B2494" t="s">
        <v>4695</v>
      </c>
      <c r="C2494" t="s">
        <v>3055</v>
      </c>
      <c r="D2494" t="s">
        <v>2241</v>
      </c>
      <c r="E2494" t="s">
        <v>2242</v>
      </c>
      <c r="F2494">
        <v>3283</v>
      </c>
      <c r="G2494">
        <v>962</v>
      </c>
      <c r="H2494" s="32">
        <f t="shared" si="38"/>
        <v>3.4126819126819128</v>
      </c>
      <c r="I2494">
        <v>1</v>
      </c>
      <c r="J2494" t="s">
        <v>21</v>
      </c>
    </row>
    <row r="2495" spans="1:10" x14ac:dyDescent="0.25">
      <c r="A2495">
        <v>60849</v>
      </c>
      <c r="B2495" t="s">
        <v>3891</v>
      </c>
      <c r="C2495" t="s">
        <v>307</v>
      </c>
      <c r="D2495" t="s">
        <v>2241</v>
      </c>
      <c r="E2495" t="s">
        <v>2242</v>
      </c>
      <c r="F2495">
        <v>8071</v>
      </c>
      <c r="G2495">
        <v>2365</v>
      </c>
      <c r="H2495" s="32">
        <f t="shared" si="38"/>
        <v>3.4126849894291755</v>
      </c>
      <c r="I2495">
        <v>1</v>
      </c>
      <c r="J2495" t="s">
        <v>21</v>
      </c>
    </row>
    <row r="2496" spans="1:10" x14ac:dyDescent="0.25">
      <c r="A2496">
        <v>59480</v>
      </c>
      <c r="B2496" t="s">
        <v>3465</v>
      </c>
      <c r="C2496" t="s">
        <v>131</v>
      </c>
      <c r="D2496" t="s">
        <v>2241</v>
      </c>
      <c r="E2496" t="s">
        <v>2242</v>
      </c>
      <c r="F2496">
        <v>4143</v>
      </c>
      <c r="G2496">
        <v>1214</v>
      </c>
      <c r="H2496" s="32">
        <f t="shared" si="38"/>
        <v>3.4126853377265238</v>
      </c>
      <c r="I2496">
        <v>1</v>
      </c>
      <c r="J2496" t="s">
        <v>21</v>
      </c>
    </row>
    <row r="2497" spans="1:10" x14ac:dyDescent="0.25">
      <c r="A2497">
        <v>58822</v>
      </c>
      <c r="B2497" t="s">
        <v>3297</v>
      </c>
      <c r="C2497" t="s">
        <v>241</v>
      </c>
      <c r="D2497" t="s">
        <v>2241</v>
      </c>
      <c r="E2497" t="s">
        <v>2242</v>
      </c>
      <c r="F2497">
        <v>4730</v>
      </c>
      <c r="G2497">
        <v>1386</v>
      </c>
      <c r="H2497" s="32">
        <f t="shared" si="38"/>
        <v>3.4126984126984126</v>
      </c>
      <c r="I2497">
        <v>1</v>
      </c>
      <c r="J2497" t="s">
        <v>21</v>
      </c>
    </row>
    <row r="2498" spans="1:10" x14ac:dyDescent="0.25">
      <c r="A2498">
        <v>60201</v>
      </c>
      <c r="B2498" t="s">
        <v>3707</v>
      </c>
      <c r="C2498" t="s">
        <v>241</v>
      </c>
      <c r="D2498" t="s">
        <v>2241</v>
      </c>
      <c r="E2498" t="s">
        <v>2242</v>
      </c>
      <c r="F2498">
        <v>5375</v>
      </c>
      <c r="G2498">
        <v>1575</v>
      </c>
      <c r="H2498" s="32">
        <f t="shared" ref="H2498:H2561" si="39">IF(AND(F2498&gt;0,G2498&gt;0),F2498/G2498,"")</f>
        <v>3.4126984126984126</v>
      </c>
      <c r="I2498">
        <v>1</v>
      </c>
      <c r="J2498" t="s">
        <v>21</v>
      </c>
    </row>
    <row r="2499" spans="1:10" x14ac:dyDescent="0.25">
      <c r="A2499">
        <v>66965</v>
      </c>
      <c r="B2499" t="s">
        <v>4997</v>
      </c>
      <c r="C2499" t="s">
        <v>241</v>
      </c>
      <c r="D2499" t="s">
        <v>2241</v>
      </c>
      <c r="E2499" t="s">
        <v>2242</v>
      </c>
      <c r="F2499">
        <v>6020</v>
      </c>
      <c r="G2499">
        <v>1764</v>
      </c>
      <c r="H2499" s="32">
        <f t="shared" si="39"/>
        <v>3.4126984126984126</v>
      </c>
      <c r="I2499">
        <v>1</v>
      </c>
      <c r="J2499" t="s">
        <v>21</v>
      </c>
    </row>
    <row r="2500" spans="1:10" x14ac:dyDescent="0.25">
      <c r="A2500">
        <v>68803</v>
      </c>
      <c r="B2500" t="s">
        <v>5264</v>
      </c>
      <c r="C2500" t="s">
        <v>143</v>
      </c>
      <c r="D2500" t="s">
        <v>2241</v>
      </c>
      <c r="E2500" t="s">
        <v>2242</v>
      </c>
      <c r="F2500">
        <v>1505</v>
      </c>
      <c r="G2500">
        <v>441</v>
      </c>
      <c r="H2500" s="32">
        <f t="shared" si="39"/>
        <v>3.4126984126984126</v>
      </c>
      <c r="I2500">
        <v>1</v>
      </c>
      <c r="J2500" t="s">
        <v>21</v>
      </c>
    </row>
    <row r="2501" spans="1:10" x14ac:dyDescent="0.25">
      <c r="A2501">
        <v>69005</v>
      </c>
      <c r="B2501" t="s">
        <v>5293</v>
      </c>
      <c r="C2501" t="s">
        <v>307</v>
      </c>
      <c r="D2501" t="s">
        <v>2241</v>
      </c>
      <c r="E2501" t="s">
        <v>2242</v>
      </c>
      <c r="F2501">
        <v>4242</v>
      </c>
      <c r="G2501">
        <v>1243</v>
      </c>
      <c r="H2501" s="32">
        <f t="shared" si="39"/>
        <v>3.412711182622687</v>
      </c>
      <c r="I2501">
        <v>1</v>
      </c>
      <c r="J2501" t="s">
        <v>21</v>
      </c>
    </row>
    <row r="2502" spans="1:10" x14ac:dyDescent="0.25">
      <c r="A2502">
        <v>62355</v>
      </c>
      <c r="B2502" t="s">
        <v>4151</v>
      </c>
      <c r="C2502" t="s">
        <v>201</v>
      </c>
      <c r="D2502" t="s">
        <v>2241</v>
      </c>
      <c r="E2502" t="s">
        <v>2242</v>
      </c>
      <c r="F2502">
        <v>4614</v>
      </c>
      <c r="G2502">
        <v>1352</v>
      </c>
      <c r="H2502" s="32">
        <f t="shared" si="39"/>
        <v>3.4127218934911241</v>
      </c>
      <c r="I2502">
        <v>1</v>
      </c>
      <c r="J2502" t="s">
        <v>21</v>
      </c>
    </row>
    <row r="2503" spans="1:10" x14ac:dyDescent="0.25">
      <c r="A2503">
        <v>65945</v>
      </c>
      <c r="B2503" t="s">
        <v>4816</v>
      </c>
      <c r="C2503" t="s">
        <v>307</v>
      </c>
      <c r="D2503" t="s">
        <v>2241</v>
      </c>
      <c r="E2503" t="s">
        <v>2242</v>
      </c>
      <c r="F2503">
        <v>5846</v>
      </c>
      <c r="G2503">
        <v>1713</v>
      </c>
      <c r="H2503" s="32">
        <f t="shared" si="39"/>
        <v>3.4127262113251606</v>
      </c>
      <c r="I2503">
        <v>1</v>
      </c>
      <c r="J2503" t="s">
        <v>21</v>
      </c>
    </row>
    <row r="2504" spans="1:10" x14ac:dyDescent="0.25">
      <c r="A2504">
        <v>68531</v>
      </c>
      <c r="B2504" t="s">
        <v>5241</v>
      </c>
      <c r="C2504" t="s">
        <v>166</v>
      </c>
      <c r="D2504" t="s">
        <v>2241</v>
      </c>
      <c r="E2504" t="s">
        <v>2242</v>
      </c>
      <c r="F2504">
        <v>7723</v>
      </c>
      <c r="G2504">
        <v>2263</v>
      </c>
      <c r="H2504" s="32">
        <f t="shared" si="39"/>
        <v>3.4127264692885548</v>
      </c>
      <c r="I2504">
        <v>1</v>
      </c>
      <c r="J2504" t="s">
        <v>21</v>
      </c>
    </row>
    <row r="2505" spans="1:10" x14ac:dyDescent="0.25">
      <c r="A2505">
        <v>58529</v>
      </c>
      <c r="B2505" t="s">
        <v>3216</v>
      </c>
      <c r="C2505" t="s">
        <v>708</v>
      </c>
      <c r="D2505" t="s">
        <v>2241</v>
      </c>
      <c r="E2505" t="s">
        <v>2242</v>
      </c>
      <c r="F2505">
        <v>3324</v>
      </c>
      <c r="G2505">
        <v>974</v>
      </c>
      <c r="H2505" s="32">
        <f t="shared" si="39"/>
        <v>3.4127310061601643</v>
      </c>
      <c r="I2505">
        <v>1</v>
      </c>
      <c r="J2505" t="s">
        <v>21</v>
      </c>
    </row>
    <row r="2506" spans="1:10" x14ac:dyDescent="0.25">
      <c r="A2506">
        <v>60765</v>
      </c>
      <c r="B2506" t="s">
        <v>3863</v>
      </c>
      <c r="C2506" t="s">
        <v>241</v>
      </c>
      <c r="D2506" t="s">
        <v>2241</v>
      </c>
      <c r="E2506" t="s">
        <v>2242</v>
      </c>
      <c r="F2506">
        <v>4928</v>
      </c>
      <c r="G2506">
        <v>1444</v>
      </c>
      <c r="H2506" s="32">
        <f t="shared" si="39"/>
        <v>3.412742382271468</v>
      </c>
      <c r="I2506">
        <v>1</v>
      </c>
      <c r="J2506" t="s">
        <v>21</v>
      </c>
    </row>
    <row r="2507" spans="1:10" x14ac:dyDescent="0.25">
      <c r="A2507">
        <v>62790</v>
      </c>
      <c r="B2507" t="s">
        <v>4231</v>
      </c>
      <c r="C2507" t="s">
        <v>131</v>
      </c>
      <c r="D2507" t="s">
        <v>2241</v>
      </c>
      <c r="E2507" t="s">
        <v>2242</v>
      </c>
      <c r="F2507">
        <v>5300</v>
      </c>
      <c r="G2507">
        <v>1553</v>
      </c>
      <c r="H2507" s="32">
        <f t="shared" si="39"/>
        <v>3.4127495170637476</v>
      </c>
      <c r="I2507">
        <v>1</v>
      </c>
      <c r="J2507" t="s">
        <v>21</v>
      </c>
    </row>
    <row r="2508" spans="1:10" x14ac:dyDescent="0.25">
      <c r="A2508">
        <v>62900</v>
      </c>
      <c r="B2508" t="s">
        <v>4249</v>
      </c>
      <c r="C2508" t="s">
        <v>2029</v>
      </c>
      <c r="D2508" t="s">
        <v>2241</v>
      </c>
      <c r="E2508" t="s">
        <v>2242</v>
      </c>
      <c r="F2508">
        <v>6317</v>
      </c>
      <c r="G2508">
        <v>1851</v>
      </c>
      <c r="H2508" s="32">
        <f t="shared" si="39"/>
        <v>3.4127498649378714</v>
      </c>
      <c r="I2508">
        <v>1</v>
      </c>
      <c r="J2508" t="s">
        <v>21</v>
      </c>
    </row>
    <row r="2509" spans="1:10" x14ac:dyDescent="0.25">
      <c r="A2509">
        <v>65289</v>
      </c>
      <c r="B2509" t="s">
        <v>4709</v>
      </c>
      <c r="C2509" t="s">
        <v>241</v>
      </c>
      <c r="D2509" t="s">
        <v>2241</v>
      </c>
      <c r="E2509" t="s">
        <v>2242</v>
      </c>
      <c r="F2509">
        <v>7491</v>
      </c>
      <c r="G2509">
        <v>2195</v>
      </c>
      <c r="H2509" s="32">
        <f t="shared" si="39"/>
        <v>3.412756264236902</v>
      </c>
      <c r="I2509">
        <v>1</v>
      </c>
      <c r="J2509" t="s">
        <v>21</v>
      </c>
    </row>
    <row r="2510" spans="1:10" x14ac:dyDescent="0.25">
      <c r="A2510">
        <v>63525</v>
      </c>
      <c r="B2510" t="s">
        <v>4369</v>
      </c>
      <c r="C2510" t="s">
        <v>307</v>
      </c>
      <c r="D2510" t="s">
        <v>2241</v>
      </c>
      <c r="E2510" t="s">
        <v>2242</v>
      </c>
      <c r="F2510">
        <v>6474</v>
      </c>
      <c r="G2510">
        <v>1897</v>
      </c>
      <c r="H2510" s="32">
        <f t="shared" si="39"/>
        <v>3.4127569847127042</v>
      </c>
      <c r="I2510">
        <v>1</v>
      </c>
      <c r="J2510" t="s">
        <v>21</v>
      </c>
    </row>
    <row r="2511" spans="1:10" x14ac:dyDescent="0.25">
      <c r="A2511">
        <v>57951</v>
      </c>
      <c r="B2511" t="s">
        <v>3082</v>
      </c>
      <c r="C2511" t="s">
        <v>241</v>
      </c>
      <c r="D2511" t="s">
        <v>2241</v>
      </c>
      <c r="E2511" t="s">
        <v>2242</v>
      </c>
      <c r="F2511">
        <v>3953</v>
      </c>
      <c r="G2511">
        <v>1158.3</v>
      </c>
      <c r="H2511" s="32">
        <f t="shared" si="39"/>
        <v>3.4127600794267461</v>
      </c>
      <c r="I2511">
        <v>1</v>
      </c>
      <c r="J2511" t="s">
        <v>21</v>
      </c>
    </row>
    <row r="2512" spans="1:10" x14ac:dyDescent="0.25">
      <c r="A2512">
        <v>67243</v>
      </c>
      <c r="B2512" t="s">
        <v>5068</v>
      </c>
      <c r="C2512" t="s">
        <v>241</v>
      </c>
      <c r="D2512" t="s">
        <v>2241</v>
      </c>
      <c r="E2512" t="s">
        <v>2242</v>
      </c>
      <c r="F2512">
        <v>5242</v>
      </c>
      <c r="G2512">
        <v>1536</v>
      </c>
      <c r="H2512" s="32">
        <f t="shared" si="39"/>
        <v>3.4127604166666665</v>
      </c>
      <c r="I2512">
        <v>1</v>
      </c>
      <c r="J2512" t="s">
        <v>21</v>
      </c>
    </row>
    <row r="2513" spans="1:10" x14ac:dyDescent="0.25">
      <c r="A2513">
        <v>60029</v>
      </c>
      <c r="B2513" t="s">
        <v>3653</v>
      </c>
      <c r="C2513" t="s">
        <v>307</v>
      </c>
      <c r="D2513" t="s">
        <v>2241</v>
      </c>
      <c r="E2513" t="s">
        <v>2242</v>
      </c>
      <c r="F2513">
        <v>5027</v>
      </c>
      <c r="G2513">
        <v>1473</v>
      </c>
      <c r="H2513" s="32">
        <f t="shared" si="39"/>
        <v>3.4127630685675494</v>
      </c>
      <c r="I2513">
        <v>1</v>
      </c>
      <c r="J2513" t="s">
        <v>21</v>
      </c>
    </row>
    <row r="2514" spans="1:10" x14ac:dyDescent="0.25">
      <c r="A2514">
        <v>57734</v>
      </c>
      <c r="B2514" t="s">
        <v>3041</v>
      </c>
      <c r="C2514" t="s">
        <v>241</v>
      </c>
      <c r="D2514" t="s">
        <v>2241</v>
      </c>
      <c r="E2514" t="s">
        <v>2242</v>
      </c>
      <c r="F2514">
        <v>4399</v>
      </c>
      <c r="G2514">
        <v>1288.98</v>
      </c>
      <c r="H2514" s="32">
        <f t="shared" si="39"/>
        <v>3.4127759934211546</v>
      </c>
      <c r="I2514">
        <v>1</v>
      </c>
      <c r="J2514" t="s">
        <v>21</v>
      </c>
    </row>
    <row r="2515" spans="1:10" x14ac:dyDescent="0.25">
      <c r="A2515">
        <v>60117</v>
      </c>
      <c r="B2515" t="s">
        <v>3675</v>
      </c>
      <c r="C2515" t="s">
        <v>250</v>
      </c>
      <c r="D2515" t="s">
        <v>2241</v>
      </c>
      <c r="E2515" t="s">
        <v>2242</v>
      </c>
      <c r="F2515">
        <v>5126</v>
      </c>
      <c r="G2515">
        <v>1502</v>
      </c>
      <c r="H2515" s="32">
        <f t="shared" si="39"/>
        <v>3.4127829560585887</v>
      </c>
      <c r="I2515">
        <v>1</v>
      </c>
      <c r="J2515" t="s">
        <v>21</v>
      </c>
    </row>
    <row r="2516" spans="1:10" x14ac:dyDescent="0.25">
      <c r="A2516">
        <v>64919</v>
      </c>
      <c r="B2516" t="s">
        <v>4663</v>
      </c>
      <c r="C2516" t="s">
        <v>166</v>
      </c>
      <c r="D2516" t="s">
        <v>2241</v>
      </c>
      <c r="E2516" t="s">
        <v>2242</v>
      </c>
      <c r="F2516">
        <v>6829</v>
      </c>
      <c r="G2516">
        <v>2001</v>
      </c>
      <c r="H2516" s="32">
        <f t="shared" si="39"/>
        <v>3.4127936031984007</v>
      </c>
      <c r="I2516">
        <v>1</v>
      </c>
      <c r="J2516" t="s">
        <v>21</v>
      </c>
    </row>
    <row r="2517" spans="1:10" x14ac:dyDescent="0.25">
      <c r="A2517">
        <v>68956</v>
      </c>
      <c r="B2517" t="s">
        <v>5283</v>
      </c>
      <c r="C2517" t="s">
        <v>166</v>
      </c>
      <c r="D2517" t="s">
        <v>2241</v>
      </c>
      <c r="E2517" t="s">
        <v>2242</v>
      </c>
      <c r="F2517">
        <v>5655</v>
      </c>
      <c r="G2517">
        <v>1657</v>
      </c>
      <c r="H2517" s="32">
        <f t="shared" si="39"/>
        <v>3.4127942063971033</v>
      </c>
      <c r="I2517">
        <v>1</v>
      </c>
      <c r="J2517" t="s">
        <v>21</v>
      </c>
    </row>
    <row r="2518" spans="1:10" x14ac:dyDescent="0.25">
      <c r="A2518">
        <v>62710</v>
      </c>
      <c r="B2518" t="s">
        <v>4211</v>
      </c>
      <c r="C2518" t="s">
        <v>3055</v>
      </c>
      <c r="D2518" t="s">
        <v>2241</v>
      </c>
      <c r="E2518" t="s">
        <v>2242</v>
      </c>
      <c r="F2518">
        <v>5597</v>
      </c>
      <c r="G2518">
        <v>1640</v>
      </c>
      <c r="H2518" s="32">
        <f t="shared" si="39"/>
        <v>3.4128048780487803</v>
      </c>
      <c r="I2518">
        <v>1</v>
      </c>
      <c r="J2518" t="s">
        <v>21</v>
      </c>
    </row>
    <row r="2519" spans="1:10" x14ac:dyDescent="0.25">
      <c r="A2519">
        <v>58524</v>
      </c>
      <c r="B2519" t="s">
        <v>3214</v>
      </c>
      <c r="C2519" t="s">
        <v>708</v>
      </c>
      <c r="D2519" t="s">
        <v>2241</v>
      </c>
      <c r="E2519" t="s">
        <v>2242</v>
      </c>
      <c r="F2519">
        <v>4580</v>
      </c>
      <c r="G2519">
        <v>1342</v>
      </c>
      <c r="H2519" s="32">
        <f t="shared" si="39"/>
        <v>3.412816691505216</v>
      </c>
      <c r="I2519">
        <v>1</v>
      </c>
      <c r="J2519" t="s">
        <v>21</v>
      </c>
    </row>
    <row r="2520" spans="1:10" x14ac:dyDescent="0.25">
      <c r="A2520">
        <v>60759</v>
      </c>
      <c r="B2520" t="s">
        <v>3859</v>
      </c>
      <c r="C2520" t="s">
        <v>241</v>
      </c>
      <c r="D2520" t="s">
        <v>2241</v>
      </c>
      <c r="E2520" t="s">
        <v>2242</v>
      </c>
      <c r="F2520">
        <v>6812</v>
      </c>
      <c r="G2520">
        <v>1996</v>
      </c>
      <c r="H2520" s="32">
        <f t="shared" si="39"/>
        <v>3.4128256513026054</v>
      </c>
      <c r="I2520">
        <v>1</v>
      </c>
      <c r="J2520" t="s">
        <v>21</v>
      </c>
    </row>
    <row r="2521" spans="1:10" x14ac:dyDescent="0.25">
      <c r="A2521">
        <v>66906</v>
      </c>
      <c r="B2521" t="s">
        <v>4989</v>
      </c>
      <c r="C2521" t="s">
        <v>241</v>
      </c>
      <c r="D2521" t="s">
        <v>2241</v>
      </c>
      <c r="E2521" t="s">
        <v>2242</v>
      </c>
      <c r="F2521">
        <v>4679</v>
      </c>
      <c r="G2521">
        <v>1371</v>
      </c>
      <c r="H2521" s="32">
        <f t="shared" si="39"/>
        <v>3.4128373450036471</v>
      </c>
      <c r="I2521">
        <v>1</v>
      </c>
      <c r="J2521" t="s">
        <v>21</v>
      </c>
    </row>
    <row r="2522" spans="1:10" x14ac:dyDescent="0.25">
      <c r="A2522">
        <v>67244</v>
      </c>
      <c r="B2522" t="s">
        <v>5069</v>
      </c>
      <c r="C2522" t="s">
        <v>322</v>
      </c>
      <c r="D2522" t="s">
        <v>2241</v>
      </c>
      <c r="E2522" t="s">
        <v>2242</v>
      </c>
      <c r="F2522">
        <v>4993</v>
      </c>
      <c r="G2522">
        <v>1463</v>
      </c>
      <c r="H2522" s="32">
        <f t="shared" si="39"/>
        <v>3.4128503075871497</v>
      </c>
      <c r="I2522">
        <v>1</v>
      </c>
      <c r="J2522" t="s">
        <v>21</v>
      </c>
    </row>
    <row r="2523" spans="1:10" x14ac:dyDescent="0.25">
      <c r="A2523">
        <v>66538</v>
      </c>
      <c r="B2523" t="s">
        <v>4923</v>
      </c>
      <c r="C2523" t="s">
        <v>307</v>
      </c>
      <c r="D2523" t="s">
        <v>2241</v>
      </c>
      <c r="E2523" t="s">
        <v>2242</v>
      </c>
      <c r="F2523">
        <v>7266</v>
      </c>
      <c r="G2523">
        <v>2129</v>
      </c>
      <c r="H2523" s="32">
        <f t="shared" si="39"/>
        <v>3.41286989196806</v>
      </c>
      <c r="I2523">
        <v>1</v>
      </c>
      <c r="J2523" t="s">
        <v>21</v>
      </c>
    </row>
    <row r="2524" spans="1:10" x14ac:dyDescent="0.25">
      <c r="A2524">
        <v>65329</v>
      </c>
      <c r="B2524" t="s">
        <v>4726</v>
      </c>
      <c r="C2524" t="s">
        <v>241</v>
      </c>
      <c r="D2524" t="s">
        <v>2241</v>
      </c>
      <c r="E2524" t="s">
        <v>2242</v>
      </c>
      <c r="F2524">
        <v>12085</v>
      </c>
      <c r="G2524">
        <v>3541</v>
      </c>
      <c r="H2524" s="32">
        <f t="shared" si="39"/>
        <v>3.4128777181587124</v>
      </c>
      <c r="I2524">
        <v>1</v>
      </c>
      <c r="J2524" t="s">
        <v>21</v>
      </c>
    </row>
    <row r="2525" spans="1:10" x14ac:dyDescent="0.25">
      <c r="A2525">
        <v>59987</v>
      </c>
      <c r="B2525" t="s">
        <v>3641</v>
      </c>
      <c r="C2525" t="s">
        <v>131</v>
      </c>
      <c r="D2525" t="s">
        <v>2241</v>
      </c>
      <c r="E2525" t="s">
        <v>2242</v>
      </c>
      <c r="F2525">
        <v>5034</v>
      </c>
      <c r="G2525">
        <v>1475</v>
      </c>
      <c r="H2525" s="32">
        <f t="shared" si="39"/>
        <v>3.4128813559322033</v>
      </c>
      <c r="I2525">
        <v>1</v>
      </c>
      <c r="J2525" t="s">
        <v>21</v>
      </c>
    </row>
    <row r="2526" spans="1:10" x14ac:dyDescent="0.25">
      <c r="A2526">
        <v>62598</v>
      </c>
      <c r="B2526" t="s">
        <v>4177</v>
      </c>
      <c r="C2526" t="s">
        <v>241</v>
      </c>
      <c r="D2526" t="s">
        <v>2241</v>
      </c>
      <c r="E2526" t="s">
        <v>2242</v>
      </c>
      <c r="F2526">
        <v>4389</v>
      </c>
      <c r="G2526">
        <v>1286.01</v>
      </c>
      <c r="H2526" s="32">
        <f t="shared" si="39"/>
        <v>3.4128817038747754</v>
      </c>
      <c r="I2526">
        <v>1</v>
      </c>
      <c r="J2526" t="s">
        <v>21</v>
      </c>
    </row>
    <row r="2527" spans="1:10" x14ac:dyDescent="0.25">
      <c r="A2527">
        <v>59478</v>
      </c>
      <c r="B2527" t="s">
        <v>3463</v>
      </c>
      <c r="C2527" t="s">
        <v>131</v>
      </c>
      <c r="D2527" t="s">
        <v>2241</v>
      </c>
      <c r="E2527" t="s">
        <v>2242</v>
      </c>
      <c r="F2527">
        <v>3017</v>
      </c>
      <c r="G2527">
        <v>884</v>
      </c>
      <c r="H2527" s="32">
        <f t="shared" si="39"/>
        <v>3.4128959276018098</v>
      </c>
      <c r="I2527">
        <v>1</v>
      </c>
      <c r="J2527" t="s">
        <v>21</v>
      </c>
    </row>
    <row r="2528" spans="1:10" x14ac:dyDescent="0.25">
      <c r="A2528">
        <v>57461</v>
      </c>
      <c r="B2528" t="s">
        <v>2998</v>
      </c>
      <c r="C2528" t="s">
        <v>708</v>
      </c>
      <c r="D2528" t="s">
        <v>2241</v>
      </c>
      <c r="E2528" t="s">
        <v>2242</v>
      </c>
      <c r="F2528">
        <v>4232</v>
      </c>
      <c r="G2528">
        <v>1240</v>
      </c>
      <c r="H2528" s="32">
        <f t="shared" si="39"/>
        <v>3.4129032258064518</v>
      </c>
      <c r="I2528">
        <v>1</v>
      </c>
      <c r="J2528" t="s">
        <v>21</v>
      </c>
    </row>
    <row r="2529" spans="1:10" x14ac:dyDescent="0.25">
      <c r="A2529">
        <v>69117</v>
      </c>
      <c r="B2529" t="s">
        <v>5324</v>
      </c>
      <c r="C2529" t="s">
        <v>143</v>
      </c>
      <c r="D2529" t="s">
        <v>2241</v>
      </c>
      <c r="E2529" t="s">
        <v>2242</v>
      </c>
      <c r="F2529">
        <v>1587</v>
      </c>
      <c r="G2529">
        <v>465</v>
      </c>
      <c r="H2529" s="32">
        <f t="shared" si="39"/>
        <v>3.4129032258064518</v>
      </c>
      <c r="I2529">
        <v>1</v>
      </c>
      <c r="J2529" t="s">
        <v>21</v>
      </c>
    </row>
    <row r="2530" spans="1:10" x14ac:dyDescent="0.25">
      <c r="A2530">
        <v>59327</v>
      </c>
      <c r="B2530" t="s">
        <v>3433</v>
      </c>
      <c r="C2530" t="s">
        <v>143</v>
      </c>
      <c r="D2530" t="s">
        <v>2241</v>
      </c>
      <c r="E2530" t="s">
        <v>2242</v>
      </c>
      <c r="F2530">
        <v>4585</v>
      </c>
      <c r="G2530">
        <v>1343.43</v>
      </c>
      <c r="H2530" s="32">
        <f t="shared" si="39"/>
        <v>3.4129057710487332</v>
      </c>
      <c r="I2530">
        <v>1</v>
      </c>
      <c r="J2530" t="s">
        <v>21</v>
      </c>
    </row>
    <row r="2531" spans="1:10" x14ac:dyDescent="0.25">
      <c r="A2531">
        <v>69109</v>
      </c>
      <c r="B2531" t="s">
        <v>5320</v>
      </c>
      <c r="C2531" t="s">
        <v>307</v>
      </c>
      <c r="D2531" t="s">
        <v>2241</v>
      </c>
      <c r="E2531" t="s">
        <v>2242</v>
      </c>
      <c r="F2531">
        <v>5901</v>
      </c>
      <c r="G2531">
        <v>1729</v>
      </c>
      <c r="H2531" s="32">
        <f t="shared" si="39"/>
        <v>3.4129554655870447</v>
      </c>
      <c r="I2531">
        <v>1</v>
      </c>
      <c r="J2531" t="s">
        <v>21</v>
      </c>
    </row>
    <row r="2532" spans="1:10" x14ac:dyDescent="0.25">
      <c r="A2532">
        <v>69118</v>
      </c>
      <c r="B2532" t="s">
        <v>5325</v>
      </c>
      <c r="C2532" t="s">
        <v>143</v>
      </c>
      <c r="D2532" t="s">
        <v>2241</v>
      </c>
      <c r="E2532" t="s">
        <v>2242</v>
      </c>
      <c r="F2532">
        <v>3529</v>
      </c>
      <c r="G2532">
        <v>1034</v>
      </c>
      <c r="H2532" s="32">
        <f t="shared" si="39"/>
        <v>3.4129593810444874</v>
      </c>
      <c r="I2532">
        <v>1</v>
      </c>
      <c r="J2532" t="s">
        <v>21</v>
      </c>
    </row>
    <row r="2533" spans="1:10" x14ac:dyDescent="0.25">
      <c r="A2533">
        <v>60733</v>
      </c>
      <c r="B2533" t="s">
        <v>3848</v>
      </c>
      <c r="C2533" t="s">
        <v>241</v>
      </c>
      <c r="D2533" t="s">
        <v>2241</v>
      </c>
      <c r="E2533" t="s">
        <v>2242</v>
      </c>
      <c r="F2533">
        <v>5529</v>
      </c>
      <c r="G2533">
        <v>1620</v>
      </c>
      <c r="H2533" s="32">
        <f t="shared" si="39"/>
        <v>3.412962962962963</v>
      </c>
      <c r="I2533">
        <v>1</v>
      </c>
      <c r="J2533" t="s">
        <v>21</v>
      </c>
    </row>
    <row r="2534" spans="1:10" x14ac:dyDescent="0.25">
      <c r="A2534">
        <v>58443</v>
      </c>
      <c r="B2534" t="s">
        <v>3196</v>
      </c>
      <c r="C2534" t="s">
        <v>143</v>
      </c>
      <c r="D2534" t="s">
        <v>2241</v>
      </c>
      <c r="E2534" t="s">
        <v>2242</v>
      </c>
      <c r="F2534">
        <v>5000</v>
      </c>
      <c r="G2534">
        <v>1465</v>
      </c>
      <c r="H2534" s="32">
        <f t="shared" si="39"/>
        <v>3.4129692832764507</v>
      </c>
      <c r="I2534">
        <v>1</v>
      </c>
      <c r="J2534" t="s">
        <v>21</v>
      </c>
    </row>
    <row r="2535" spans="1:10" x14ac:dyDescent="0.25">
      <c r="A2535">
        <v>67811</v>
      </c>
      <c r="B2535" t="s">
        <v>5178</v>
      </c>
      <c r="C2535" t="s">
        <v>241</v>
      </c>
      <c r="D2535" t="s">
        <v>2241</v>
      </c>
      <c r="E2535" t="s">
        <v>2242</v>
      </c>
      <c r="F2535">
        <v>5000</v>
      </c>
      <c r="G2535">
        <v>1465</v>
      </c>
      <c r="H2535" s="32">
        <f t="shared" si="39"/>
        <v>3.4129692832764507</v>
      </c>
      <c r="I2535">
        <v>1</v>
      </c>
      <c r="J2535" t="s">
        <v>21</v>
      </c>
    </row>
    <row r="2536" spans="1:10" x14ac:dyDescent="0.25">
      <c r="A2536">
        <v>70267</v>
      </c>
      <c r="B2536" t="s">
        <v>5438</v>
      </c>
      <c r="C2536" t="s">
        <v>166</v>
      </c>
      <c r="D2536" t="s">
        <v>2241</v>
      </c>
      <c r="E2536" t="s">
        <v>2242</v>
      </c>
      <c r="F2536">
        <v>1000</v>
      </c>
      <c r="G2536">
        <v>293</v>
      </c>
      <c r="H2536" s="32">
        <f t="shared" si="39"/>
        <v>3.4129692832764507</v>
      </c>
      <c r="I2536">
        <v>1</v>
      </c>
      <c r="J2536" t="s">
        <v>21</v>
      </c>
    </row>
    <row r="2537" spans="1:10" x14ac:dyDescent="0.25">
      <c r="A2537">
        <v>56966</v>
      </c>
      <c r="B2537" t="s">
        <v>2927</v>
      </c>
      <c r="C2537" t="s">
        <v>708</v>
      </c>
      <c r="D2537" t="s">
        <v>2241</v>
      </c>
      <c r="E2537" t="s">
        <v>2242</v>
      </c>
      <c r="F2537">
        <v>6471</v>
      </c>
      <c r="G2537">
        <v>1896</v>
      </c>
      <c r="H2537" s="32">
        <f t="shared" si="39"/>
        <v>3.412974683544304</v>
      </c>
      <c r="I2537">
        <v>1</v>
      </c>
      <c r="J2537" t="s">
        <v>21</v>
      </c>
    </row>
    <row r="2538" spans="1:10" x14ac:dyDescent="0.25">
      <c r="A2538">
        <v>58049</v>
      </c>
      <c r="B2538" t="s">
        <v>3099</v>
      </c>
      <c r="C2538" t="s">
        <v>241</v>
      </c>
      <c r="D2538" t="s">
        <v>2241</v>
      </c>
      <c r="E2538" t="s">
        <v>2242</v>
      </c>
      <c r="F2538">
        <v>4785</v>
      </c>
      <c r="G2538">
        <v>1402</v>
      </c>
      <c r="H2538" s="32">
        <f t="shared" si="39"/>
        <v>3.4129814550641941</v>
      </c>
      <c r="I2538">
        <v>1</v>
      </c>
      <c r="J2538" t="s">
        <v>21</v>
      </c>
    </row>
    <row r="2539" spans="1:10" x14ac:dyDescent="0.25">
      <c r="A2539">
        <v>69421</v>
      </c>
      <c r="B2539" t="s">
        <v>5364</v>
      </c>
      <c r="C2539" t="s">
        <v>166</v>
      </c>
      <c r="D2539" t="s">
        <v>2241</v>
      </c>
      <c r="E2539" t="s">
        <v>2242</v>
      </c>
      <c r="F2539">
        <v>1314</v>
      </c>
      <c r="G2539">
        <v>385</v>
      </c>
      <c r="H2539" s="32">
        <f t="shared" si="39"/>
        <v>3.412987012987013</v>
      </c>
      <c r="I2539">
        <v>1</v>
      </c>
      <c r="J2539" t="s">
        <v>21</v>
      </c>
    </row>
    <row r="2540" spans="1:10" x14ac:dyDescent="0.25">
      <c r="A2540">
        <v>63020</v>
      </c>
      <c r="B2540" t="s">
        <v>4278</v>
      </c>
      <c r="C2540" t="s">
        <v>250</v>
      </c>
      <c r="D2540" t="s">
        <v>2241</v>
      </c>
      <c r="E2540" t="s">
        <v>2242</v>
      </c>
      <c r="F2540">
        <v>4413</v>
      </c>
      <c r="G2540">
        <v>1293</v>
      </c>
      <c r="H2540" s="32">
        <f t="shared" si="39"/>
        <v>3.4129930394431556</v>
      </c>
      <c r="I2540">
        <v>1</v>
      </c>
      <c r="J2540" t="s">
        <v>21</v>
      </c>
    </row>
    <row r="2541" spans="1:10" x14ac:dyDescent="0.25">
      <c r="A2541">
        <v>63294</v>
      </c>
      <c r="B2541" t="s">
        <v>4320</v>
      </c>
      <c r="C2541" t="s">
        <v>322</v>
      </c>
      <c r="D2541" t="s">
        <v>2241</v>
      </c>
      <c r="E2541" t="s">
        <v>2242</v>
      </c>
      <c r="F2541">
        <v>4826</v>
      </c>
      <c r="G2541">
        <v>1414</v>
      </c>
      <c r="H2541" s="32">
        <f t="shared" si="39"/>
        <v>3.4130127298444131</v>
      </c>
      <c r="I2541">
        <v>1</v>
      </c>
      <c r="J2541" t="s">
        <v>21</v>
      </c>
    </row>
    <row r="2542" spans="1:10" x14ac:dyDescent="0.25">
      <c r="A2542">
        <v>67624</v>
      </c>
      <c r="B2542" t="s">
        <v>5121</v>
      </c>
      <c r="C2542" t="s">
        <v>166</v>
      </c>
      <c r="D2542" t="s">
        <v>2241</v>
      </c>
      <c r="E2542" t="s">
        <v>2242</v>
      </c>
      <c r="F2542">
        <v>2570</v>
      </c>
      <c r="G2542">
        <v>753</v>
      </c>
      <c r="H2542" s="32">
        <f t="shared" si="39"/>
        <v>3.4130146082337318</v>
      </c>
      <c r="I2542">
        <v>1</v>
      </c>
      <c r="J2542" t="s">
        <v>21</v>
      </c>
    </row>
    <row r="2543" spans="1:10" x14ac:dyDescent="0.25">
      <c r="A2543">
        <v>60227</v>
      </c>
      <c r="B2543" t="s">
        <v>3711</v>
      </c>
      <c r="C2543" t="s">
        <v>241</v>
      </c>
      <c r="D2543" t="s">
        <v>2241</v>
      </c>
      <c r="E2543" t="s">
        <v>2242</v>
      </c>
      <c r="F2543">
        <v>6082</v>
      </c>
      <c r="G2543">
        <v>1782</v>
      </c>
      <c r="H2543" s="32">
        <f t="shared" si="39"/>
        <v>3.4130190796857462</v>
      </c>
      <c r="I2543">
        <v>1</v>
      </c>
      <c r="J2543" t="s">
        <v>21</v>
      </c>
    </row>
    <row r="2544" spans="1:10" x14ac:dyDescent="0.25">
      <c r="A2544">
        <v>63530</v>
      </c>
      <c r="B2544" t="s">
        <v>4371</v>
      </c>
      <c r="C2544" t="s">
        <v>241</v>
      </c>
      <c r="D2544" t="s">
        <v>2241</v>
      </c>
      <c r="E2544" t="s">
        <v>2242</v>
      </c>
      <c r="F2544">
        <v>4140</v>
      </c>
      <c r="G2544">
        <v>1213</v>
      </c>
      <c r="H2544" s="32">
        <f t="shared" si="39"/>
        <v>3.4130255564715579</v>
      </c>
      <c r="I2544">
        <v>1</v>
      </c>
      <c r="J2544" t="s">
        <v>21</v>
      </c>
    </row>
    <row r="2545" spans="1:10" x14ac:dyDescent="0.25">
      <c r="A2545">
        <v>62586</v>
      </c>
      <c r="B2545" t="s">
        <v>4172</v>
      </c>
      <c r="C2545" t="s">
        <v>241</v>
      </c>
      <c r="D2545" t="s">
        <v>2241</v>
      </c>
      <c r="E2545" t="s">
        <v>2242</v>
      </c>
      <c r="F2545">
        <v>8536</v>
      </c>
      <c r="G2545">
        <v>2501</v>
      </c>
      <c r="H2545" s="32">
        <f t="shared" si="39"/>
        <v>3.4130347860855657</v>
      </c>
      <c r="I2545">
        <v>1</v>
      </c>
      <c r="J2545" t="s">
        <v>21</v>
      </c>
    </row>
    <row r="2546" spans="1:10" x14ac:dyDescent="0.25">
      <c r="A2546">
        <v>1016</v>
      </c>
      <c r="B2546" t="s">
        <v>2273</v>
      </c>
      <c r="C2546" t="s">
        <v>708</v>
      </c>
      <c r="D2546" t="s">
        <v>2241</v>
      </c>
      <c r="E2546" t="s">
        <v>2242</v>
      </c>
      <c r="F2546">
        <v>4867</v>
      </c>
      <c r="G2546">
        <v>1426</v>
      </c>
      <c r="H2546" s="32">
        <f t="shared" si="39"/>
        <v>3.4130434782608696</v>
      </c>
      <c r="I2546">
        <v>1</v>
      </c>
      <c r="J2546" t="s">
        <v>21</v>
      </c>
    </row>
    <row r="2547" spans="1:10" x14ac:dyDescent="0.25">
      <c r="A2547">
        <v>65414</v>
      </c>
      <c r="B2547" t="s">
        <v>4745</v>
      </c>
      <c r="C2547" t="s">
        <v>166</v>
      </c>
      <c r="D2547" t="s">
        <v>2241</v>
      </c>
      <c r="E2547" t="s">
        <v>2242</v>
      </c>
      <c r="F2547">
        <v>5908</v>
      </c>
      <c r="G2547">
        <v>1731</v>
      </c>
      <c r="H2547" s="32">
        <f t="shared" si="39"/>
        <v>3.413056036972848</v>
      </c>
      <c r="I2547">
        <v>1</v>
      </c>
      <c r="J2547" t="s">
        <v>21</v>
      </c>
    </row>
    <row r="2548" spans="1:10" x14ac:dyDescent="0.25">
      <c r="A2548">
        <v>68892</v>
      </c>
      <c r="B2548" t="s">
        <v>5271</v>
      </c>
      <c r="C2548" t="s">
        <v>307</v>
      </c>
      <c r="D2548" t="s">
        <v>2241</v>
      </c>
      <c r="E2548" t="s">
        <v>2242</v>
      </c>
      <c r="F2548">
        <v>1512</v>
      </c>
      <c r="G2548">
        <v>443</v>
      </c>
      <c r="H2548" s="32">
        <f t="shared" si="39"/>
        <v>3.4130925507900676</v>
      </c>
      <c r="I2548">
        <v>1</v>
      </c>
      <c r="J2548" t="s">
        <v>21</v>
      </c>
    </row>
    <row r="2549" spans="1:10" x14ac:dyDescent="0.25">
      <c r="A2549">
        <v>66499</v>
      </c>
      <c r="B2549" t="s">
        <v>4918</v>
      </c>
      <c r="C2549" t="s">
        <v>307</v>
      </c>
      <c r="D2549" t="s">
        <v>2241</v>
      </c>
      <c r="E2549" t="s">
        <v>2242</v>
      </c>
      <c r="F2549">
        <v>4222</v>
      </c>
      <c r="G2549">
        <v>1237</v>
      </c>
      <c r="H2549" s="32">
        <f t="shared" si="39"/>
        <v>3.4130962004850445</v>
      </c>
      <c r="I2549">
        <v>1</v>
      </c>
      <c r="J2549" t="s">
        <v>21</v>
      </c>
    </row>
    <row r="2550" spans="1:10" x14ac:dyDescent="0.25">
      <c r="A2550">
        <v>62074</v>
      </c>
      <c r="B2550" t="s">
        <v>4105</v>
      </c>
      <c r="C2550" t="s">
        <v>307</v>
      </c>
      <c r="D2550" t="s">
        <v>2241</v>
      </c>
      <c r="E2550" t="s">
        <v>2242</v>
      </c>
      <c r="F2550">
        <v>3908</v>
      </c>
      <c r="G2550">
        <v>1145</v>
      </c>
      <c r="H2550" s="32">
        <f t="shared" si="39"/>
        <v>3.4131004366812228</v>
      </c>
      <c r="I2550">
        <v>1</v>
      </c>
      <c r="J2550" t="s">
        <v>21</v>
      </c>
    </row>
    <row r="2551" spans="1:10" x14ac:dyDescent="0.25">
      <c r="A2551">
        <v>57742</v>
      </c>
      <c r="B2551" t="s">
        <v>3042</v>
      </c>
      <c r="C2551" t="s">
        <v>241</v>
      </c>
      <c r="D2551" t="s">
        <v>2241</v>
      </c>
      <c r="E2551" t="s">
        <v>2242</v>
      </c>
      <c r="F2551">
        <v>3923</v>
      </c>
      <c r="G2551">
        <v>1149.3900000000001</v>
      </c>
      <c r="H2551" s="32">
        <f t="shared" si="39"/>
        <v>3.4131147826238264</v>
      </c>
      <c r="I2551">
        <v>1</v>
      </c>
      <c r="J2551" t="s">
        <v>21</v>
      </c>
    </row>
    <row r="2552" spans="1:10" x14ac:dyDescent="0.25">
      <c r="A2552">
        <v>64509</v>
      </c>
      <c r="B2552" t="s">
        <v>4592</v>
      </c>
      <c r="C2552" t="s">
        <v>708</v>
      </c>
      <c r="D2552" t="s">
        <v>2241</v>
      </c>
      <c r="E2552" t="s">
        <v>2242</v>
      </c>
      <c r="F2552">
        <v>2908</v>
      </c>
      <c r="G2552">
        <v>852</v>
      </c>
      <c r="H2552" s="32">
        <f t="shared" si="39"/>
        <v>3.4131455399061035</v>
      </c>
      <c r="I2552">
        <v>1</v>
      </c>
      <c r="J2552" t="s">
        <v>21</v>
      </c>
    </row>
    <row r="2553" spans="1:10" x14ac:dyDescent="0.25">
      <c r="A2553">
        <v>69599</v>
      </c>
      <c r="B2553" t="s">
        <v>5383</v>
      </c>
      <c r="C2553" t="s">
        <v>166</v>
      </c>
      <c r="D2553" t="s">
        <v>2241</v>
      </c>
      <c r="E2553" t="s">
        <v>2242</v>
      </c>
      <c r="F2553">
        <v>727</v>
      </c>
      <c r="G2553">
        <v>213</v>
      </c>
      <c r="H2553" s="32">
        <f t="shared" si="39"/>
        <v>3.4131455399061035</v>
      </c>
      <c r="I2553">
        <v>1</v>
      </c>
      <c r="J2553" t="s">
        <v>21</v>
      </c>
    </row>
    <row r="2554" spans="1:10" x14ac:dyDescent="0.25">
      <c r="A2554">
        <v>68113</v>
      </c>
      <c r="B2554" t="s">
        <v>5211</v>
      </c>
      <c r="C2554" t="s">
        <v>2029</v>
      </c>
      <c r="D2554" t="s">
        <v>2241</v>
      </c>
      <c r="E2554" t="s">
        <v>2242</v>
      </c>
      <c r="F2554">
        <v>1553</v>
      </c>
      <c r="G2554">
        <v>455</v>
      </c>
      <c r="H2554" s="32">
        <f t="shared" si="39"/>
        <v>3.4131868131868131</v>
      </c>
      <c r="I2554">
        <v>1</v>
      </c>
      <c r="J2554" t="s">
        <v>21</v>
      </c>
    </row>
    <row r="2555" spans="1:10" x14ac:dyDescent="0.25">
      <c r="A2555">
        <v>69920</v>
      </c>
      <c r="B2555" t="s">
        <v>5416</v>
      </c>
      <c r="C2555" t="s">
        <v>166</v>
      </c>
      <c r="D2555" t="s">
        <v>2241</v>
      </c>
      <c r="E2555" t="s">
        <v>2242</v>
      </c>
      <c r="F2555">
        <v>2891</v>
      </c>
      <c r="G2555">
        <v>847</v>
      </c>
      <c r="H2555" s="32">
        <f t="shared" si="39"/>
        <v>3.4132231404958677</v>
      </c>
      <c r="I2555">
        <v>1</v>
      </c>
      <c r="J2555" t="s">
        <v>21</v>
      </c>
    </row>
    <row r="2556" spans="1:10" x14ac:dyDescent="0.25">
      <c r="A2556">
        <v>2854</v>
      </c>
      <c r="B2556" t="s">
        <v>1830</v>
      </c>
      <c r="C2556" t="s">
        <v>322</v>
      </c>
      <c r="D2556" t="s">
        <v>2241</v>
      </c>
      <c r="E2556" t="s">
        <v>2242</v>
      </c>
      <c r="F2556">
        <v>3403</v>
      </c>
      <c r="G2556">
        <v>997</v>
      </c>
      <c r="H2556" s="32">
        <f t="shared" si="39"/>
        <v>3.4132397191574726</v>
      </c>
      <c r="I2556">
        <v>1</v>
      </c>
      <c r="J2556" t="s">
        <v>21</v>
      </c>
    </row>
    <row r="2557" spans="1:10" x14ac:dyDescent="0.25">
      <c r="A2557">
        <v>60771</v>
      </c>
      <c r="B2557" t="s">
        <v>3866</v>
      </c>
      <c r="C2557" t="s">
        <v>241</v>
      </c>
      <c r="D2557" t="s">
        <v>2241</v>
      </c>
      <c r="E2557" t="s">
        <v>2242</v>
      </c>
      <c r="F2557">
        <v>3857</v>
      </c>
      <c r="G2557">
        <v>1130</v>
      </c>
      <c r="H2557" s="32">
        <f t="shared" si="39"/>
        <v>3.4132743362831857</v>
      </c>
      <c r="I2557">
        <v>1</v>
      </c>
      <c r="J2557" t="s">
        <v>21</v>
      </c>
    </row>
    <row r="2558" spans="1:10" x14ac:dyDescent="0.25">
      <c r="A2558">
        <v>63404</v>
      </c>
      <c r="B2558" t="s">
        <v>4346</v>
      </c>
      <c r="C2558" t="s">
        <v>241</v>
      </c>
      <c r="D2558" t="s">
        <v>2241</v>
      </c>
      <c r="E2558" t="s">
        <v>2242</v>
      </c>
      <c r="F2558">
        <v>5451</v>
      </c>
      <c r="G2558">
        <v>1597</v>
      </c>
      <c r="H2558" s="32">
        <f t="shared" si="39"/>
        <v>3.4132748904195367</v>
      </c>
      <c r="I2558">
        <v>1</v>
      </c>
      <c r="J2558" t="s">
        <v>21</v>
      </c>
    </row>
    <row r="2559" spans="1:10" x14ac:dyDescent="0.25">
      <c r="A2559">
        <v>61473</v>
      </c>
      <c r="B2559" t="s">
        <v>4023</v>
      </c>
      <c r="C2559" t="s">
        <v>241</v>
      </c>
      <c r="D2559" t="s">
        <v>2241</v>
      </c>
      <c r="E2559" t="s">
        <v>2242</v>
      </c>
      <c r="F2559">
        <v>3229</v>
      </c>
      <c r="G2559">
        <v>946</v>
      </c>
      <c r="H2559" s="32">
        <f t="shared" si="39"/>
        <v>3.4133192389006344</v>
      </c>
      <c r="I2559">
        <v>1</v>
      </c>
      <c r="J2559" t="s">
        <v>21</v>
      </c>
    </row>
    <row r="2560" spans="1:10" x14ac:dyDescent="0.25">
      <c r="A2560">
        <v>68539</v>
      </c>
      <c r="B2560" t="s">
        <v>5243</v>
      </c>
      <c r="C2560" t="s">
        <v>166</v>
      </c>
      <c r="D2560" t="s">
        <v>2241</v>
      </c>
      <c r="E2560" t="s">
        <v>2242</v>
      </c>
      <c r="F2560">
        <v>2601</v>
      </c>
      <c r="G2560">
        <v>762</v>
      </c>
      <c r="H2560" s="32">
        <f t="shared" si="39"/>
        <v>3.4133858267716537</v>
      </c>
      <c r="I2560">
        <v>1</v>
      </c>
      <c r="J2560" t="s">
        <v>21</v>
      </c>
    </row>
    <row r="2561" spans="1:10" x14ac:dyDescent="0.25">
      <c r="A2561">
        <v>57646</v>
      </c>
      <c r="B2561" t="s">
        <v>3025</v>
      </c>
      <c r="C2561" t="s">
        <v>307</v>
      </c>
      <c r="D2561" t="s">
        <v>2241</v>
      </c>
      <c r="E2561" t="s">
        <v>2242</v>
      </c>
      <c r="F2561">
        <v>2444</v>
      </c>
      <c r="G2561">
        <v>716</v>
      </c>
      <c r="H2561" s="32">
        <f t="shared" si="39"/>
        <v>3.4134078212290504</v>
      </c>
      <c r="I2561">
        <v>1</v>
      </c>
      <c r="J2561" t="s">
        <v>21</v>
      </c>
    </row>
    <row r="2562" spans="1:10" x14ac:dyDescent="0.25">
      <c r="A2562">
        <v>59985</v>
      </c>
      <c r="B2562" t="s">
        <v>3639</v>
      </c>
      <c r="C2562" t="s">
        <v>131</v>
      </c>
      <c r="D2562" t="s">
        <v>2241</v>
      </c>
      <c r="E2562" t="s">
        <v>2242</v>
      </c>
      <c r="F2562">
        <v>4888</v>
      </c>
      <c r="G2562">
        <v>1432</v>
      </c>
      <c r="H2562" s="32">
        <f t="shared" ref="H2562:H2625" si="40">IF(AND(F2562&gt;0,G2562&gt;0),F2562/G2562,"")</f>
        <v>3.4134078212290504</v>
      </c>
      <c r="I2562">
        <v>1</v>
      </c>
      <c r="J2562" t="s">
        <v>21</v>
      </c>
    </row>
    <row r="2563" spans="1:10" x14ac:dyDescent="0.25">
      <c r="A2563">
        <v>68102</v>
      </c>
      <c r="B2563" t="s">
        <v>5209</v>
      </c>
      <c r="C2563" t="s">
        <v>2029</v>
      </c>
      <c r="D2563" t="s">
        <v>2241</v>
      </c>
      <c r="E2563" t="s">
        <v>2242</v>
      </c>
      <c r="F2563">
        <v>966</v>
      </c>
      <c r="G2563">
        <v>283</v>
      </c>
      <c r="H2563" s="32">
        <f t="shared" si="40"/>
        <v>3.4134275618374557</v>
      </c>
      <c r="I2563">
        <v>1</v>
      </c>
      <c r="J2563" t="s">
        <v>21</v>
      </c>
    </row>
    <row r="2564" spans="1:10" x14ac:dyDescent="0.25">
      <c r="A2564">
        <v>69527</v>
      </c>
      <c r="B2564" t="s">
        <v>5373</v>
      </c>
      <c r="C2564" t="s">
        <v>166</v>
      </c>
      <c r="D2564" t="s">
        <v>2241</v>
      </c>
      <c r="E2564" t="s">
        <v>2242</v>
      </c>
      <c r="F2564">
        <v>710</v>
      </c>
      <c r="G2564">
        <v>208</v>
      </c>
      <c r="H2564" s="32">
        <f t="shared" si="40"/>
        <v>3.4134615384615383</v>
      </c>
      <c r="I2564">
        <v>1</v>
      </c>
      <c r="J2564" t="s">
        <v>21</v>
      </c>
    </row>
    <row r="2565" spans="1:10" x14ac:dyDescent="0.25">
      <c r="A2565">
        <v>66537</v>
      </c>
      <c r="B2565" t="s">
        <v>4922</v>
      </c>
      <c r="C2565" t="s">
        <v>307</v>
      </c>
      <c r="D2565" t="s">
        <v>2241</v>
      </c>
      <c r="E2565" t="s">
        <v>2242</v>
      </c>
      <c r="F2565">
        <v>6489</v>
      </c>
      <c r="G2565">
        <v>1901</v>
      </c>
      <c r="H2565" s="32">
        <f t="shared" si="40"/>
        <v>3.413466596528143</v>
      </c>
      <c r="I2565">
        <v>1</v>
      </c>
      <c r="J2565" t="s">
        <v>21</v>
      </c>
    </row>
    <row r="2566" spans="1:10" x14ac:dyDescent="0.25">
      <c r="A2566">
        <v>64195</v>
      </c>
      <c r="B2566" t="s">
        <v>4511</v>
      </c>
      <c r="C2566" t="s">
        <v>241</v>
      </c>
      <c r="D2566" t="s">
        <v>2241</v>
      </c>
      <c r="E2566" t="s">
        <v>2242</v>
      </c>
      <c r="F2566">
        <v>5052</v>
      </c>
      <c r="G2566">
        <v>1480</v>
      </c>
      <c r="H2566" s="32">
        <f t="shared" si="40"/>
        <v>3.4135135135135135</v>
      </c>
      <c r="I2566">
        <v>1</v>
      </c>
      <c r="J2566" t="s">
        <v>21</v>
      </c>
    </row>
    <row r="2567" spans="1:10" x14ac:dyDescent="0.25">
      <c r="A2567">
        <v>69162</v>
      </c>
      <c r="B2567" t="s">
        <v>5332</v>
      </c>
      <c r="C2567" t="s">
        <v>166</v>
      </c>
      <c r="D2567" t="s">
        <v>2241</v>
      </c>
      <c r="E2567" t="s">
        <v>2242</v>
      </c>
      <c r="F2567">
        <v>1263</v>
      </c>
      <c r="G2567">
        <v>370</v>
      </c>
      <c r="H2567" s="32">
        <f t="shared" si="40"/>
        <v>3.4135135135135135</v>
      </c>
      <c r="I2567">
        <v>1</v>
      </c>
      <c r="J2567" t="s">
        <v>21</v>
      </c>
    </row>
    <row r="2568" spans="1:10" x14ac:dyDescent="0.25">
      <c r="A2568">
        <v>69731</v>
      </c>
      <c r="B2568" t="s">
        <v>5396</v>
      </c>
      <c r="C2568" t="s">
        <v>166</v>
      </c>
      <c r="D2568" t="s">
        <v>2241</v>
      </c>
      <c r="E2568" t="s">
        <v>2242</v>
      </c>
      <c r="F2568">
        <v>1758</v>
      </c>
      <c r="G2568">
        <v>515</v>
      </c>
      <c r="H2568" s="32">
        <f t="shared" si="40"/>
        <v>3.4135922330097088</v>
      </c>
      <c r="I2568">
        <v>1</v>
      </c>
      <c r="J2568" t="s">
        <v>21</v>
      </c>
    </row>
    <row r="2569" spans="1:10" x14ac:dyDescent="0.25">
      <c r="A2569">
        <v>944</v>
      </c>
      <c r="B2569" t="s">
        <v>2240</v>
      </c>
      <c r="C2569" t="s">
        <v>166</v>
      </c>
      <c r="D2569" t="s">
        <v>2241</v>
      </c>
      <c r="E2569" t="s">
        <v>2242</v>
      </c>
      <c r="F2569">
        <v>5868</v>
      </c>
      <c r="G2569">
        <v>1719</v>
      </c>
      <c r="H2569" s="32">
        <f t="shared" si="40"/>
        <v>3.413612565445026</v>
      </c>
      <c r="I2569">
        <v>1</v>
      </c>
      <c r="J2569" t="s">
        <v>21</v>
      </c>
    </row>
    <row r="2570" spans="1:10" x14ac:dyDescent="0.25">
      <c r="A2570">
        <v>57200</v>
      </c>
      <c r="B2570" t="s">
        <v>2953</v>
      </c>
      <c r="C2570" t="s">
        <v>708</v>
      </c>
      <c r="D2570" t="s">
        <v>2241</v>
      </c>
      <c r="E2570" t="s">
        <v>2242</v>
      </c>
      <c r="F2570">
        <v>3202</v>
      </c>
      <c r="G2570">
        <v>938</v>
      </c>
      <c r="H2570" s="32">
        <f t="shared" si="40"/>
        <v>3.4136460554371002</v>
      </c>
      <c r="I2570">
        <v>1</v>
      </c>
      <c r="J2570" t="s">
        <v>21</v>
      </c>
    </row>
    <row r="2571" spans="1:10" x14ac:dyDescent="0.25">
      <c r="A2571">
        <v>69387</v>
      </c>
      <c r="B2571" t="s">
        <v>5359</v>
      </c>
      <c r="C2571" t="s">
        <v>166</v>
      </c>
      <c r="D2571" t="s">
        <v>2241</v>
      </c>
      <c r="E2571" t="s">
        <v>2242</v>
      </c>
      <c r="F2571">
        <v>850</v>
      </c>
      <c r="G2571">
        <v>249</v>
      </c>
      <c r="H2571" s="32">
        <f t="shared" si="40"/>
        <v>3.4136546184738954</v>
      </c>
      <c r="I2571">
        <v>1</v>
      </c>
      <c r="J2571" t="s">
        <v>21</v>
      </c>
    </row>
    <row r="2572" spans="1:10" x14ac:dyDescent="0.25">
      <c r="A2572">
        <v>68235</v>
      </c>
      <c r="B2572" t="s">
        <v>5223</v>
      </c>
      <c r="C2572" t="s">
        <v>166</v>
      </c>
      <c r="D2572" t="s">
        <v>2241</v>
      </c>
      <c r="E2572" t="s">
        <v>2242</v>
      </c>
      <c r="F2572">
        <v>1188</v>
      </c>
      <c r="G2572">
        <v>348</v>
      </c>
      <c r="H2572" s="32">
        <f t="shared" si="40"/>
        <v>3.4137931034482758</v>
      </c>
      <c r="I2572">
        <v>1</v>
      </c>
      <c r="J2572" t="s">
        <v>21</v>
      </c>
    </row>
    <row r="2573" spans="1:10" x14ac:dyDescent="0.25">
      <c r="A2573">
        <v>69247</v>
      </c>
      <c r="B2573" t="s">
        <v>5347</v>
      </c>
      <c r="C2573" t="s">
        <v>241</v>
      </c>
      <c r="D2573" t="s">
        <v>2241</v>
      </c>
      <c r="E2573" t="s">
        <v>2242</v>
      </c>
      <c r="F2573">
        <v>1328</v>
      </c>
      <c r="G2573">
        <v>389</v>
      </c>
      <c r="H2573" s="32">
        <f t="shared" si="40"/>
        <v>3.4138817480719794</v>
      </c>
      <c r="I2573">
        <v>1</v>
      </c>
      <c r="J2573" t="s">
        <v>21</v>
      </c>
    </row>
    <row r="2574" spans="1:10" x14ac:dyDescent="0.25">
      <c r="A2574">
        <v>59990</v>
      </c>
      <c r="B2574" t="s">
        <v>3644</v>
      </c>
      <c r="C2574" t="s">
        <v>131</v>
      </c>
      <c r="D2574" t="s">
        <v>2241</v>
      </c>
      <c r="E2574" t="s">
        <v>2242</v>
      </c>
      <c r="F2574">
        <v>2301</v>
      </c>
      <c r="G2574">
        <v>674</v>
      </c>
      <c r="H2574" s="32">
        <f t="shared" si="40"/>
        <v>3.413946587537092</v>
      </c>
      <c r="I2574">
        <v>1</v>
      </c>
      <c r="J2574" t="s">
        <v>21</v>
      </c>
    </row>
    <row r="2575" spans="1:10" x14ac:dyDescent="0.25">
      <c r="A2575">
        <v>60857</v>
      </c>
      <c r="B2575" t="s">
        <v>3893</v>
      </c>
      <c r="C2575" t="s">
        <v>241</v>
      </c>
      <c r="D2575" t="s">
        <v>2241</v>
      </c>
      <c r="E2575" t="s">
        <v>2242</v>
      </c>
      <c r="F2575">
        <v>4206</v>
      </c>
      <c r="G2575">
        <v>1232</v>
      </c>
      <c r="H2575" s="32">
        <f t="shared" si="40"/>
        <v>3.4139610389610389</v>
      </c>
      <c r="I2575">
        <v>1</v>
      </c>
      <c r="J2575" t="s">
        <v>21</v>
      </c>
    </row>
    <row r="2576" spans="1:10" x14ac:dyDescent="0.25">
      <c r="A2576">
        <v>64025</v>
      </c>
      <c r="B2576" t="s">
        <v>4475</v>
      </c>
      <c r="C2576" t="s">
        <v>241</v>
      </c>
      <c r="D2576" t="s">
        <v>2241</v>
      </c>
      <c r="E2576" t="s">
        <v>2242</v>
      </c>
      <c r="F2576">
        <v>1212</v>
      </c>
      <c r="G2576">
        <v>355</v>
      </c>
      <c r="H2576" s="32">
        <f t="shared" si="40"/>
        <v>3.4140845070422534</v>
      </c>
      <c r="I2576">
        <v>1</v>
      </c>
      <c r="J2576" t="s">
        <v>21</v>
      </c>
    </row>
    <row r="2577" spans="1:10" x14ac:dyDescent="0.25">
      <c r="A2577">
        <v>59776</v>
      </c>
      <c r="B2577" t="s">
        <v>3578</v>
      </c>
      <c r="C2577" t="s">
        <v>166</v>
      </c>
      <c r="D2577" t="s">
        <v>2241</v>
      </c>
      <c r="E2577" t="s">
        <v>2242</v>
      </c>
      <c r="F2577">
        <v>676</v>
      </c>
      <c r="G2577">
        <v>198</v>
      </c>
      <c r="H2577" s="32">
        <f t="shared" si="40"/>
        <v>3.4141414141414139</v>
      </c>
      <c r="I2577">
        <v>1</v>
      </c>
      <c r="J2577" t="s">
        <v>21</v>
      </c>
    </row>
    <row r="2578" spans="1:10" x14ac:dyDescent="0.25">
      <c r="A2578">
        <v>67050</v>
      </c>
      <c r="B2578" t="s">
        <v>5009</v>
      </c>
      <c r="C2578" t="s">
        <v>241</v>
      </c>
      <c r="D2578" t="s">
        <v>2241</v>
      </c>
      <c r="E2578" t="s">
        <v>2242</v>
      </c>
      <c r="F2578">
        <v>1632</v>
      </c>
      <c r="G2578">
        <v>478</v>
      </c>
      <c r="H2578" s="32">
        <f t="shared" si="40"/>
        <v>3.4142259414225942</v>
      </c>
      <c r="I2578">
        <v>1</v>
      </c>
      <c r="J2578" t="s">
        <v>21</v>
      </c>
    </row>
    <row r="2579" spans="1:10" x14ac:dyDescent="0.25">
      <c r="A2579">
        <v>67062</v>
      </c>
      <c r="B2579" t="s">
        <v>5012</v>
      </c>
      <c r="C2579" t="s">
        <v>241</v>
      </c>
      <c r="D2579" t="s">
        <v>2241</v>
      </c>
      <c r="E2579" t="s">
        <v>2242</v>
      </c>
      <c r="F2579">
        <v>1632</v>
      </c>
      <c r="G2579">
        <v>478</v>
      </c>
      <c r="H2579" s="32">
        <f t="shared" si="40"/>
        <v>3.4142259414225942</v>
      </c>
      <c r="I2579">
        <v>1</v>
      </c>
      <c r="J2579" t="s">
        <v>21</v>
      </c>
    </row>
    <row r="2580" spans="1:10" x14ac:dyDescent="0.25">
      <c r="A2580">
        <v>60809</v>
      </c>
      <c r="B2580" t="s">
        <v>3882</v>
      </c>
      <c r="C2580" t="s">
        <v>241</v>
      </c>
      <c r="D2580" t="s">
        <v>2241</v>
      </c>
      <c r="E2580" t="s">
        <v>2242</v>
      </c>
      <c r="F2580">
        <v>4261</v>
      </c>
      <c r="G2580">
        <v>1248</v>
      </c>
      <c r="H2580" s="32">
        <f t="shared" si="40"/>
        <v>3.4142628205128207</v>
      </c>
      <c r="I2580">
        <v>1</v>
      </c>
      <c r="J2580" t="s">
        <v>21</v>
      </c>
    </row>
    <row r="2581" spans="1:10" x14ac:dyDescent="0.25">
      <c r="A2581">
        <v>59983</v>
      </c>
      <c r="B2581" t="s">
        <v>3637</v>
      </c>
      <c r="C2581" t="s">
        <v>131</v>
      </c>
      <c r="D2581" t="s">
        <v>2241</v>
      </c>
      <c r="E2581" t="s">
        <v>2242</v>
      </c>
      <c r="F2581">
        <v>3684</v>
      </c>
      <c r="G2581">
        <v>1079</v>
      </c>
      <c r="H2581" s="32">
        <f t="shared" si="40"/>
        <v>3.4142724745134383</v>
      </c>
      <c r="I2581">
        <v>1</v>
      </c>
      <c r="J2581" t="s">
        <v>21</v>
      </c>
    </row>
    <row r="2582" spans="1:10" x14ac:dyDescent="0.25">
      <c r="A2582">
        <v>61271</v>
      </c>
      <c r="B2582" t="s">
        <v>3972</v>
      </c>
      <c r="C2582" t="s">
        <v>708</v>
      </c>
      <c r="D2582" t="s">
        <v>2241</v>
      </c>
      <c r="E2582" t="s">
        <v>2242</v>
      </c>
      <c r="F2582">
        <v>799</v>
      </c>
      <c r="G2582">
        <v>234</v>
      </c>
      <c r="H2582" s="32">
        <f t="shared" si="40"/>
        <v>3.4145299145299144</v>
      </c>
      <c r="I2582">
        <v>1</v>
      </c>
      <c r="J2582" t="s">
        <v>21</v>
      </c>
    </row>
    <row r="2583" spans="1:10" x14ac:dyDescent="0.25">
      <c r="A2583">
        <v>67126</v>
      </c>
      <c r="B2583" t="s">
        <v>5038</v>
      </c>
      <c r="C2583" t="s">
        <v>2029</v>
      </c>
      <c r="D2583" t="s">
        <v>2241</v>
      </c>
      <c r="E2583" t="s">
        <v>2242</v>
      </c>
      <c r="F2583">
        <v>140</v>
      </c>
      <c r="G2583">
        <v>41</v>
      </c>
      <c r="H2583" s="32">
        <f t="shared" si="40"/>
        <v>3.4146341463414633</v>
      </c>
      <c r="I2583">
        <v>1</v>
      </c>
      <c r="J2583" t="s">
        <v>21</v>
      </c>
    </row>
    <row r="2584" spans="1:10" x14ac:dyDescent="0.25">
      <c r="A2584">
        <v>61990</v>
      </c>
      <c r="B2584" t="s">
        <v>4095</v>
      </c>
      <c r="C2584" t="s">
        <v>166</v>
      </c>
      <c r="D2584" t="s">
        <v>2241</v>
      </c>
      <c r="E2584" t="s">
        <v>2242</v>
      </c>
      <c r="F2584">
        <v>642</v>
      </c>
      <c r="G2584">
        <v>188</v>
      </c>
      <c r="H2584" s="32">
        <f t="shared" si="40"/>
        <v>3.4148936170212765</v>
      </c>
      <c r="I2584">
        <v>1</v>
      </c>
      <c r="J2584" t="s">
        <v>21</v>
      </c>
    </row>
    <row r="2585" spans="1:10" x14ac:dyDescent="0.25">
      <c r="A2585">
        <v>67716</v>
      </c>
      <c r="B2585" t="s">
        <v>5157</v>
      </c>
      <c r="C2585" t="s">
        <v>166</v>
      </c>
      <c r="D2585" t="s">
        <v>2241</v>
      </c>
      <c r="E2585" t="s">
        <v>2242</v>
      </c>
      <c r="F2585">
        <v>683</v>
      </c>
      <c r="G2585">
        <v>200</v>
      </c>
      <c r="H2585" s="32">
        <f t="shared" si="40"/>
        <v>3.415</v>
      </c>
      <c r="I2585">
        <v>1</v>
      </c>
      <c r="J2585" t="s">
        <v>21</v>
      </c>
    </row>
    <row r="2586" spans="1:10" x14ac:dyDescent="0.25">
      <c r="A2586">
        <v>960</v>
      </c>
      <c r="B2586" t="s">
        <v>2252</v>
      </c>
      <c r="C2586" t="s">
        <v>166</v>
      </c>
      <c r="D2586" t="s">
        <v>2241</v>
      </c>
      <c r="E2586" t="s">
        <v>2242</v>
      </c>
      <c r="F2586">
        <v>724</v>
      </c>
      <c r="G2586">
        <v>212</v>
      </c>
      <c r="H2586" s="32">
        <f t="shared" si="40"/>
        <v>3.4150943396226414</v>
      </c>
      <c r="I2586">
        <v>1</v>
      </c>
      <c r="J2586" t="s">
        <v>21</v>
      </c>
    </row>
    <row r="2587" spans="1:10" x14ac:dyDescent="0.25">
      <c r="A2587">
        <v>67684</v>
      </c>
      <c r="B2587" t="s">
        <v>5141</v>
      </c>
      <c r="C2587" t="s">
        <v>166</v>
      </c>
      <c r="D2587" t="s">
        <v>2241</v>
      </c>
      <c r="E2587" t="s">
        <v>2242</v>
      </c>
      <c r="F2587">
        <v>362</v>
      </c>
      <c r="G2587">
        <v>106</v>
      </c>
      <c r="H2587" s="32">
        <f t="shared" si="40"/>
        <v>3.4150943396226414</v>
      </c>
      <c r="I2587">
        <v>1</v>
      </c>
      <c r="J2587" t="s">
        <v>21</v>
      </c>
    </row>
    <row r="2588" spans="1:10" x14ac:dyDescent="0.25">
      <c r="A2588">
        <v>68538</v>
      </c>
      <c r="B2588" t="s">
        <v>5242</v>
      </c>
      <c r="C2588" t="s">
        <v>166</v>
      </c>
      <c r="D2588" t="s">
        <v>2241</v>
      </c>
      <c r="E2588" t="s">
        <v>2242</v>
      </c>
      <c r="F2588">
        <v>625</v>
      </c>
      <c r="G2588">
        <v>183</v>
      </c>
      <c r="H2588" s="32">
        <f t="shared" si="40"/>
        <v>3.4153005464480874</v>
      </c>
      <c r="I2588">
        <v>1</v>
      </c>
      <c r="J2588" t="s">
        <v>21</v>
      </c>
    </row>
    <row r="2589" spans="1:10" x14ac:dyDescent="0.25">
      <c r="A2589">
        <v>60500</v>
      </c>
      <c r="B2589" t="s">
        <v>3789</v>
      </c>
      <c r="C2589" t="s">
        <v>241</v>
      </c>
      <c r="D2589" t="s">
        <v>2241</v>
      </c>
      <c r="E2589" t="s">
        <v>2242</v>
      </c>
      <c r="F2589">
        <v>1117</v>
      </c>
      <c r="G2589">
        <v>327</v>
      </c>
      <c r="H2589" s="32">
        <f t="shared" si="40"/>
        <v>3.4159021406727827</v>
      </c>
      <c r="I2589">
        <v>1</v>
      </c>
      <c r="J2589" t="s">
        <v>21</v>
      </c>
    </row>
    <row r="2590" spans="1:10" x14ac:dyDescent="0.25">
      <c r="A2590">
        <v>63496</v>
      </c>
      <c r="B2590" t="s">
        <v>4362</v>
      </c>
      <c r="C2590" t="s">
        <v>307</v>
      </c>
      <c r="D2590" t="s">
        <v>2241</v>
      </c>
      <c r="E2590" t="s">
        <v>2242</v>
      </c>
      <c r="F2590">
        <v>205</v>
      </c>
      <c r="G2590">
        <v>60</v>
      </c>
      <c r="H2590" s="32">
        <f t="shared" si="40"/>
        <v>3.4166666666666665</v>
      </c>
      <c r="I2590">
        <v>1</v>
      </c>
      <c r="J2590" t="s">
        <v>21</v>
      </c>
    </row>
    <row r="2591" spans="1:10" x14ac:dyDescent="0.25">
      <c r="A2591">
        <v>69439</v>
      </c>
      <c r="B2591" t="s">
        <v>5365</v>
      </c>
      <c r="C2591" t="s">
        <v>166</v>
      </c>
      <c r="D2591" t="s">
        <v>2241</v>
      </c>
      <c r="E2591" t="s">
        <v>2242</v>
      </c>
      <c r="F2591">
        <v>328</v>
      </c>
      <c r="G2591">
        <v>96</v>
      </c>
      <c r="H2591" s="32">
        <f t="shared" si="40"/>
        <v>3.4166666666666665</v>
      </c>
      <c r="I2591">
        <v>1</v>
      </c>
      <c r="J2591" t="s">
        <v>21</v>
      </c>
    </row>
    <row r="2592" spans="1:10" x14ac:dyDescent="0.25">
      <c r="A2592">
        <v>54569</v>
      </c>
      <c r="B2592" t="s">
        <v>2709</v>
      </c>
      <c r="C2592" t="s">
        <v>241</v>
      </c>
      <c r="D2592" t="s">
        <v>2241</v>
      </c>
      <c r="E2592" t="s">
        <v>2242</v>
      </c>
      <c r="F2592">
        <v>475</v>
      </c>
      <c r="G2592">
        <v>139</v>
      </c>
      <c r="H2592" s="32">
        <f t="shared" si="40"/>
        <v>3.4172661870503598</v>
      </c>
      <c r="I2592">
        <v>1</v>
      </c>
      <c r="J2592" t="s">
        <v>21</v>
      </c>
    </row>
    <row r="2593" spans="1:10" x14ac:dyDescent="0.25">
      <c r="A2593">
        <v>69683</v>
      </c>
      <c r="B2593" t="s">
        <v>5391</v>
      </c>
      <c r="C2593" t="s">
        <v>322</v>
      </c>
      <c r="D2593" t="s">
        <v>2241</v>
      </c>
      <c r="E2593" t="s">
        <v>2242</v>
      </c>
      <c r="F2593">
        <v>229</v>
      </c>
      <c r="G2593">
        <v>67</v>
      </c>
      <c r="H2593" s="32">
        <f t="shared" si="40"/>
        <v>3.4179104477611939</v>
      </c>
      <c r="I2593">
        <v>1</v>
      </c>
      <c r="J2593" t="s">
        <v>21</v>
      </c>
    </row>
    <row r="2594" spans="1:10" x14ac:dyDescent="0.25">
      <c r="A2594">
        <v>10224</v>
      </c>
      <c r="B2594" t="s">
        <v>2585</v>
      </c>
      <c r="C2594" t="s">
        <v>241</v>
      </c>
      <c r="D2594" t="s">
        <v>2241</v>
      </c>
      <c r="E2594" t="s">
        <v>2242</v>
      </c>
      <c r="F2594">
        <v>564</v>
      </c>
      <c r="G2594">
        <v>165</v>
      </c>
      <c r="H2594" s="32">
        <f t="shared" si="40"/>
        <v>3.418181818181818</v>
      </c>
      <c r="I2594">
        <v>1</v>
      </c>
      <c r="J2594" t="s">
        <v>21</v>
      </c>
    </row>
    <row r="2595" spans="1:10" x14ac:dyDescent="0.25">
      <c r="A2595">
        <v>67623</v>
      </c>
      <c r="B2595" t="s">
        <v>5120</v>
      </c>
      <c r="C2595" t="s">
        <v>166</v>
      </c>
      <c r="D2595" t="s">
        <v>2241</v>
      </c>
      <c r="E2595" t="s">
        <v>2242</v>
      </c>
      <c r="F2595">
        <v>400</v>
      </c>
      <c r="G2595">
        <v>117</v>
      </c>
      <c r="H2595" s="32">
        <f t="shared" si="40"/>
        <v>3.4188034188034186</v>
      </c>
      <c r="I2595">
        <v>1</v>
      </c>
      <c r="J2595" t="s">
        <v>21</v>
      </c>
    </row>
    <row r="2596" spans="1:10" x14ac:dyDescent="0.25">
      <c r="A2596">
        <v>67967</v>
      </c>
      <c r="B2596" t="s">
        <v>5199</v>
      </c>
      <c r="C2596" t="s">
        <v>322</v>
      </c>
      <c r="D2596" t="s">
        <v>2241</v>
      </c>
      <c r="E2596" t="s">
        <v>2242</v>
      </c>
      <c r="F2596">
        <v>1012</v>
      </c>
      <c r="G2596">
        <v>296</v>
      </c>
      <c r="H2596" s="32">
        <f t="shared" si="40"/>
        <v>3.4189189189189189</v>
      </c>
      <c r="I2596">
        <v>1</v>
      </c>
      <c r="J2596" t="s">
        <v>21</v>
      </c>
    </row>
    <row r="2597" spans="1:10" x14ac:dyDescent="0.25">
      <c r="A2597">
        <v>69443</v>
      </c>
      <c r="B2597" t="s">
        <v>5369</v>
      </c>
      <c r="C2597" t="s">
        <v>241</v>
      </c>
      <c r="D2597" t="s">
        <v>2241</v>
      </c>
      <c r="E2597" t="s">
        <v>2242</v>
      </c>
      <c r="F2597">
        <v>277</v>
      </c>
      <c r="G2597">
        <v>81</v>
      </c>
      <c r="H2597" s="32">
        <f t="shared" si="40"/>
        <v>3.4197530864197532</v>
      </c>
      <c r="I2597">
        <v>1</v>
      </c>
      <c r="J2597" t="s">
        <v>21</v>
      </c>
    </row>
    <row r="2598" spans="1:10" x14ac:dyDescent="0.25">
      <c r="A2598">
        <v>68107</v>
      </c>
      <c r="B2598" t="s">
        <v>5210</v>
      </c>
      <c r="C2598" t="s">
        <v>2029</v>
      </c>
      <c r="D2598" t="s">
        <v>2241</v>
      </c>
      <c r="E2598" t="s">
        <v>2242</v>
      </c>
      <c r="F2598">
        <v>130</v>
      </c>
      <c r="G2598">
        <v>38</v>
      </c>
      <c r="H2598" s="32">
        <f t="shared" si="40"/>
        <v>3.4210526315789473</v>
      </c>
      <c r="I2598">
        <v>1</v>
      </c>
      <c r="J2598" t="s">
        <v>21</v>
      </c>
    </row>
    <row r="2599" spans="1:10" x14ac:dyDescent="0.25">
      <c r="A2599">
        <v>58861</v>
      </c>
      <c r="B2599" t="s">
        <v>3314</v>
      </c>
      <c r="C2599" t="s">
        <v>708</v>
      </c>
      <c r="D2599" t="s">
        <v>2241</v>
      </c>
      <c r="E2599" t="s">
        <v>2242</v>
      </c>
      <c r="F2599">
        <v>8489</v>
      </c>
      <c r="G2599">
        <v>2481</v>
      </c>
      <c r="H2599" s="32">
        <f t="shared" si="40"/>
        <v>3.4216041918581217</v>
      </c>
      <c r="I2599">
        <v>1</v>
      </c>
      <c r="J2599" t="s">
        <v>21</v>
      </c>
    </row>
    <row r="2600" spans="1:10" x14ac:dyDescent="0.25">
      <c r="A2600">
        <v>67644</v>
      </c>
      <c r="B2600" t="s">
        <v>5132</v>
      </c>
      <c r="C2600" t="s">
        <v>166</v>
      </c>
      <c r="D2600" t="s">
        <v>2241</v>
      </c>
      <c r="E2600" t="s">
        <v>2242</v>
      </c>
      <c r="F2600">
        <v>24</v>
      </c>
      <c r="G2600">
        <v>7</v>
      </c>
      <c r="H2600" s="32">
        <f t="shared" si="40"/>
        <v>3.4285714285714284</v>
      </c>
      <c r="I2600">
        <v>1</v>
      </c>
      <c r="J2600" t="s">
        <v>21</v>
      </c>
    </row>
    <row r="2601" spans="1:10" x14ac:dyDescent="0.25">
      <c r="A2601">
        <v>70265</v>
      </c>
      <c r="B2601" t="s">
        <v>5436</v>
      </c>
      <c r="C2601" t="s">
        <v>166</v>
      </c>
      <c r="D2601" t="s">
        <v>2241</v>
      </c>
      <c r="E2601" t="s">
        <v>2242</v>
      </c>
      <c r="F2601">
        <v>24</v>
      </c>
      <c r="G2601">
        <v>7</v>
      </c>
      <c r="H2601" s="32">
        <f t="shared" si="40"/>
        <v>3.4285714285714284</v>
      </c>
      <c r="I2601">
        <v>1</v>
      </c>
      <c r="J2601" t="s">
        <v>21</v>
      </c>
    </row>
    <row r="2602" spans="1:10" x14ac:dyDescent="0.25">
      <c r="A2602">
        <v>66939</v>
      </c>
      <c r="B2602" t="s">
        <v>4992</v>
      </c>
      <c r="C2602" t="s">
        <v>131</v>
      </c>
      <c r="D2602" t="s">
        <v>2241</v>
      </c>
      <c r="E2602" t="s">
        <v>2242</v>
      </c>
      <c r="F2602">
        <v>7377</v>
      </c>
      <c r="G2602">
        <v>2054</v>
      </c>
      <c r="H2602" s="32">
        <f t="shared" si="40"/>
        <v>3.5915287244401171</v>
      </c>
      <c r="I2602">
        <v>1</v>
      </c>
      <c r="J2602" t="s">
        <v>21</v>
      </c>
    </row>
    <row r="2603" spans="1:10" x14ac:dyDescent="0.25">
      <c r="A2603">
        <v>10865</v>
      </c>
      <c r="B2603" t="s">
        <v>2615</v>
      </c>
      <c r="C2603" t="s">
        <v>166</v>
      </c>
      <c r="D2603" t="s">
        <v>2218</v>
      </c>
      <c r="E2603" t="s">
        <v>2224</v>
      </c>
      <c r="F2603">
        <v>2093917</v>
      </c>
      <c r="G2603">
        <v>348155.34899999999</v>
      </c>
      <c r="H2603" s="32">
        <f t="shared" si="40"/>
        <v>6.0143180508767653</v>
      </c>
      <c r="I2603">
        <v>1</v>
      </c>
      <c r="J2603" t="s">
        <v>21</v>
      </c>
    </row>
    <row r="2604" spans="1:10" x14ac:dyDescent="0.25">
      <c r="A2604">
        <v>6166</v>
      </c>
      <c r="B2604" t="s">
        <v>1510</v>
      </c>
      <c r="C2604" t="s">
        <v>131</v>
      </c>
      <c r="D2604" t="s">
        <v>2218</v>
      </c>
      <c r="E2604" t="s">
        <v>2224</v>
      </c>
      <c r="F2604">
        <v>92653041</v>
      </c>
      <c r="G2604">
        <v>9377213.3399999999</v>
      </c>
      <c r="H2604" s="32">
        <f t="shared" si="40"/>
        <v>9.8806583193296529</v>
      </c>
      <c r="I2604">
        <v>1</v>
      </c>
      <c r="J2604" t="s">
        <v>21</v>
      </c>
    </row>
    <row r="2605" spans="1:10" x14ac:dyDescent="0.25">
      <c r="A2605">
        <v>1733</v>
      </c>
      <c r="B2605" t="s">
        <v>2310</v>
      </c>
      <c r="C2605" t="s">
        <v>250</v>
      </c>
      <c r="D2605" t="s">
        <v>2218</v>
      </c>
      <c r="E2605" t="s">
        <v>2224</v>
      </c>
      <c r="F2605">
        <v>121904153</v>
      </c>
      <c r="G2605">
        <v>12234971.51</v>
      </c>
      <c r="H2605" s="32">
        <f t="shared" si="40"/>
        <v>9.9635829066184733</v>
      </c>
      <c r="I2605">
        <v>1</v>
      </c>
      <c r="J2605" t="s">
        <v>21</v>
      </c>
    </row>
    <row r="2606" spans="1:10" x14ac:dyDescent="0.25">
      <c r="A2606">
        <v>6071</v>
      </c>
      <c r="B2606" t="s">
        <v>1989</v>
      </c>
      <c r="C2606" t="s">
        <v>266</v>
      </c>
      <c r="D2606" t="s">
        <v>2218</v>
      </c>
      <c r="E2606" t="s">
        <v>2224</v>
      </c>
      <c r="F2606">
        <v>10067127</v>
      </c>
      <c r="G2606">
        <v>996915.59100000001</v>
      </c>
      <c r="H2606" s="32">
        <f t="shared" si="40"/>
        <v>10.098274207851164</v>
      </c>
      <c r="I2606">
        <v>1</v>
      </c>
      <c r="J2606" t="s">
        <v>21</v>
      </c>
    </row>
    <row r="2607" spans="1:10" x14ac:dyDescent="0.25">
      <c r="A2607">
        <v>1710</v>
      </c>
      <c r="B2607" t="s">
        <v>2301</v>
      </c>
      <c r="C2607" t="s">
        <v>250</v>
      </c>
      <c r="D2607" t="s">
        <v>2218</v>
      </c>
      <c r="E2607" t="s">
        <v>2224</v>
      </c>
      <c r="F2607">
        <v>77853444</v>
      </c>
      <c r="G2607">
        <v>7653164.9900000002</v>
      </c>
      <c r="H2607" s="32">
        <f t="shared" si="40"/>
        <v>10.172712087316439</v>
      </c>
      <c r="I2607">
        <v>1</v>
      </c>
      <c r="J2607" t="s">
        <v>21</v>
      </c>
    </row>
    <row r="2608" spans="1:10" x14ac:dyDescent="0.25">
      <c r="A2608">
        <v>3403</v>
      </c>
      <c r="B2608" t="s">
        <v>2426</v>
      </c>
      <c r="C2608" t="s">
        <v>2029</v>
      </c>
      <c r="D2608" t="s">
        <v>2218</v>
      </c>
      <c r="E2608" t="s">
        <v>2224</v>
      </c>
      <c r="F2608">
        <v>44390811</v>
      </c>
      <c r="G2608">
        <v>4196525.8</v>
      </c>
      <c r="H2608" s="32">
        <f t="shared" si="40"/>
        <v>10.577990727472711</v>
      </c>
      <c r="I2608">
        <v>1</v>
      </c>
      <c r="J2608" t="s">
        <v>21</v>
      </c>
    </row>
    <row r="2609" spans="1:10" x14ac:dyDescent="0.25">
      <c r="A2609">
        <v>6034</v>
      </c>
      <c r="B2609" t="s">
        <v>2008</v>
      </c>
      <c r="C2609" t="s">
        <v>250</v>
      </c>
      <c r="D2609" t="s">
        <v>2218</v>
      </c>
      <c r="E2609" t="s">
        <v>2224</v>
      </c>
      <c r="F2609">
        <v>64359943</v>
      </c>
      <c r="G2609">
        <v>6045367.7800000003</v>
      </c>
      <c r="H2609" s="32">
        <f t="shared" si="40"/>
        <v>10.646158404609091</v>
      </c>
      <c r="I2609">
        <v>1</v>
      </c>
      <c r="J2609" t="s">
        <v>21</v>
      </c>
    </row>
    <row r="2610" spans="1:10" x14ac:dyDescent="0.25">
      <c r="A2610">
        <v>889</v>
      </c>
      <c r="B2610" t="s">
        <v>2227</v>
      </c>
      <c r="C2610" t="s">
        <v>166</v>
      </c>
      <c r="D2610" t="s">
        <v>2218</v>
      </c>
      <c r="E2610" t="s">
        <v>2224</v>
      </c>
      <c r="F2610">
        <v>69322846</v>
      </c>
      <c r="G2610">
        <v>6493835.2400000002</v>
      </c>
      <c r="H2610" s="32">
        <f t="shared" si="40"/>
        <v>10.675177832198896</v>
      </c>
      <c r="I2610">
        <v>1</v>
      </c>
      <c r="J2610" t="s">
        <v>21</v>
      </c>
    </row>
    <row r="2611" spans="1:10" x14ac:dyDescent="0.25">
      <c r="A2611">
        <v>997</v>
      </c>
      <c r="B2611" t="s">
        <v>2017</v>
      </c>
      <c r="C2611" t="s">
        <v>131</v>
      </c>
      <c r="D2611" t="s">
        <v>2218</v>
      </c>
      <c r="E2611" t="s">
        <v>2224</v>
      </c>
      <c r="F2611">
        <v>16171924</v>
      </c>
      <c r="G2611">
        <v>1512159.0379999999</v>
      </c>
      <c r="H2611" s="32">
        <f t="shared" si="40"/>
        <v>10.694592032719775</v>
      </c>
      <c r="I2611">
        <v>1</v>
      </c>
      <c r="J2611" t="s">
        <v>21</v>
      </c>
    </row>
    <row r="2612" spans="1:10" x14ac:dyDescent="0.25">
      <c r="A2612">
        <v>983</v>
      </c>
      <c r="B2612" t="s">
        <v>457</v>
      </c>
      <c r="C2612" t="s">
        <v>131</v>
      </c>
      <c r="D2612" t="s">
        <v>2218</v>
      </c>
      <c r="E2612" t="s">
        <v>2224</v>
      </c>
      <c r="F2612">
        <v>1958036</v>
      </c>
      <c r="G2612">
        <v>180794.97899999999</v>
      </c>
      <c r="H2612" s="32">
        <f t="shared" si="40"/>
        <v>10.830145896916751</v>
      </c>
      <c r="I2612">
        <v>1</v>
      </c>
      <c r="J2612" t="s">
        <v>21</v>
      </c>
    </row>
    <row r="2613" spans="1:10" x14ac:dyDescent="0.25">
      <c r="A2613">
        <v>1379</v>
      </c>
      <c r="B2613" t="s">
        <v>2285</v>
      </c>
      <c r="C2613" t="s">
        <v>266</v>
      </c>
      <c r="D2613" t="s">
        <v>2218</v>
      </c>
      <c r="E2613" t="s">
        <v>2224</v>
      </c>
      <c r="F2613">
        <v>76038748</v>
      </c>
      <c r="G2613">
        <v>6952166.9699999997</v>
      </c>
      <c r="H2613" s="32">
        <f t="shared" si="40"/>
        <v>10.937416826742297</v>
      </c>
      <c r="I2613">
        <v>1</v>
      </c>
      <c r="J2613" t="s">
        <v>21</v>
      </c>
    </row>
    <row r="2614" spans="1:10" x14ac:dyDescent="0.25">
      <c r="A2614">
        <v>2876</v>
      </c>
      <c r="B2614" t="s">
        <v>1026</v>
      </c>
      <c r="C2614" t="s">
        <v>322</v>
      </c>
      <c r="D2614" t="s">
        <v>2218</v>
      </c>
      <c r="E2614" t="s">
        <v>2224</v>
      </c>
      <c r="F2614">
        <v>1045496</v>
      </c>
      <c r="G2614">
        <v>93169.145999999993</v>
      </c>
      <c r="H2614" s="32">
        <f t="shared" si="40"/>
        <v>11.221483129189572</v>
      </c>
      <c r="I2614">
        <v>1</v>
      </c>
      <c r="J2614" t="s">
        <v>21</v>
      </c>
    </row>
    <row r="2615" spans="1:10" x14ac:dyDescent="0.25">
      <c r="A2615">
        <v>6017</v>
      </c>
      <c r="B2615" t="s">
        <v>2472</v>
      </c>
      <c r="C2615" t="s">
        <v>166</v>
      </c>
      <c r="D2615" t="s">
        <v>2218</v>
      </c>
      <c r="E2615" t="s">
        <v>2224</v>
      </c>
      <c r="F2615">
        <v>41841342</v>
      </c>
      <c r="G2615">
        <v>3707520.67</v>
      </c>
      <c r="H2615" s="32">
        <f t="shared" si="40"/>
        <v>11.285531686597448</v>
      </c>
      <c r="I2615">
        <v>1</v>
      </c>
      <c r="J2615" t="s">
        <v>21</v>
      </c>
    </row>
    <row r="2616" spans="1:10" x14ac:dyDescent="0.25">
      <c r="A2616">
        <v>876</v>
      </c>
      <c r="B2616" t="s">
        <v>1017</v>
      </c>
      <c r="C2616" t="s">
        <v>166</v>
      </c>
      <c r="D2616" t="s">
        <v>2218</v>
      </c>
      <c r="E2616" t="s">
        <v>2224</v>
      </c>
      <c r="F2616">
        <v>32439159</v>
      </c>
      <c r="G2616">
        <v>2677545.9410000001</v>
      </c>
      <c r="H2616" s="32">
        <f t="shared" si="40"/>
        <v>12.115257670568573</v>
      </c>
      <c r="I2616">
        <v>1</v>
      </c>
      <c r="J2616" t="s">
        <v>21</v>
      </c>
    </row>
    <row r="2617" spans="1:10" x14ac:dyDescent="0.25">
      <c r="A2617">
        <v>3407</v>
      </c>
      <c r="B2617" t="s">
        <v>2430</v>
      </c>
      <c r="C2617" t="s">
        <v>2029</v>
      </c>
      <c r="D2617" t="s">
        <v>2218</v>
      </c>
      <c r="E2617" t="s">
        <v>2224</v>
      </c>
      <c r="F2617">
        <v>29514577</v>
      </c>
      <c r="G2617">
        <v>2287008.0460000001</v>
      </c>
      <c r="H2617" s="32">
        <f t="shared" si="40"/>
        <v>12.905322765095335</v>
      </c>
      <c r="I2617">
        <v>1</v>
      </c>
      <c r="J2617" t="s">
        <v>21</v>
      </c>
    </row>
    <row r="2618" spans="1:10" x14ac:dyDescent="0.25">
      <c r="A2618">
        <v>879</v>
      </c>
      <c r="B2618" t="s">
        <v>1405</v>
      </c>
      <c r="C2618" t="s">
        <v>166</v>
      </c>
      <c r="D2618" t="s">
        <v>2218</v>
      </c>
      <c r="E2618" t="s">
        <v>2224</v>
      </c>
      <c r="F2618">
        <v>45143314</v>
      </c>
      <c r="G2618">
        <v>3354454.0720000002</v>
      </c>
      <c r="H2618" s="32">
        <f t="shared" si="40"/>
        <v>13.457723084306398</v>
      </c>
      <c r="I2618">
        <v>1</v>
      </c>
      <c r="J2618" t="s">
        <v>21</v>
      </c>
    </row>
    <row r="2619" spans="1:10" x14ac:dyDescent="0.25">
      <c r="A2619">
        <v>10017</v>
      </c>
      <c r="B2619" t="s">
        <v>2570</v>
      </c>
      <c r="C2619" t="s">
        <v>201</v>
      </c>
      <c r="D2619" t="s">
        <v>2218</v>
      </c>
      <c r="E2619" t="s">
        <v>2572</v>
      </c>
      <c r="F2619">
        <v>30541</v>
      </c>
      <c r="G2619">
        <v>7648.0110000000004</v>
      </c>
      <c r="H2619" s="32">
        <f t="shared" si="40"/>
        <v>3.993325846419415</v>
      </c>
      <c r="I2619">
        <v>1</v>
      </c>
      <c r="J2619" t="s">
        <v>21</v>
      </c>
    </row>
    <row r="2620" spans="1:10" x14ac:dyDescent="0.25">
      <c r="A2620">
        <v>10208</v>
      </c>
      <c r="B2620" t="s">
        <v>2584</v>
      </c>
      <c r="C2620" t="s">
        <v>250</v>
      </c>
      <c r="D2620" t="s">
        <v>2218</v>
      </c>
      <c r="E2620" t="s">
        <v>2572</v>
      </c>
      <c r="F2620">
        <v>1596</v>
      </c>
      <c r="G2620">
        <v>391.13</v>
      </c>
      <c r="H2620" s="32">
        <f t="shared" si="40"/>
        <v>4.0804847493160841</v>
      </c>
      <c r="I2620">
        <v>1</v>
      </c>
      <c r="J2620" t="s">
        <v>21</v>
      </c>
    </row>
    <row r="2621" spans="1:10" x14ac:dyDescent="0.25">
      <c r="A2621">
        <v>10252</v>
      </c>
      <c r="B2621" t="s">
        <v>2590</v>
      </c>
      <c r="C2621" t="s">
        <v>2029</v>
      </c>
      <c r="D2621" t="s">
        <v>2218</v>
      </c>
      <c r="E2621" t="s">
        <v>2572</v>
      </c>
      <c r="F2621">
        <v>22226</v>
      </c>
      <c r="G2621">
        <v>4429.2430000000004</v>
      </c>
      <c r="H2621" s="32">
        <f t="shared" si="40"/>
        <v>5.0180132361218384</v>
      </c>
      <c r="I2621">
        <v>1</v>
      </c>
      <c r="J2621" t="s">
        <v>21</v>
      </c>
    </row>
    <row r="2622" spans="1:10" x14ac:dyDescent="0.25">
      <c r="A2622">
        <v>50481</v>
      </c>
      <c r="B2622" t="s">
        <v>2646</v>
      </c>
      <c r="C2622" t="s">
        <v>2029</v>
      </c>
      <c r="D2622" t="s">
        <v>2218</v>
      </c>
      <c r="E2622" t="s">
        <v>2572</v>
      </c>
      <c r="F2622">
        <v>42765</v>
      </c>
      <c r="G2622">
        <v>7859.875</v>
      </c>
      <c r="H2622" s="32">
        <f t="shared" si="40"/>
        <v>5.4409262233814149</v>
      </c>
      <c r="I2622">
        <v>1</v>
      </c>
      <c r="J2622" t="s">
        <v>21</v>
      </c>
    </row>
    <row r="2623" spans="1:10" x14ac:dyDescent="0.25">
      <c r="A2623">
        <v>50397</v>
      </c>
      <c r="B2623" t="s">
        <v>2637</v>
      </c>
      <c r="C2623" t="s">
        <v>143</v>
      </c>
      <c r="D2623" t="s">
        <v>2218</v>
      </c>
      <c r="E2623" t="s">
        <v>2572</v>
      </c>
      <c r="F2623">
        <v>13772</v>
      </c>
      <c r="G2623">
        <v>2441.6640000000002</v>
      </c>
      <c r="H2623" s="32">
        <f t="shared" si="40"/>
        <v>5.6404157164949797</v>
      </c>
      <c r="I2623">
        <v>1</v>
      </c>
      <c r="J2623" t="s">
        <v>21</v>
      </c>
    </row>
    <row r="2624" spans="1:10" x14ac:dyDescent="0.25">
      <c r="A2624">
        <v>1004</v>
      </c>
      <c r="B2624" t="s">
        <v>2268</v>
      </c>
      <c r="C2624" t="s">
        <v>131</v>
      </c>
      <c r="D2624" t="s">
        <v>2071</v>
      </c>
      <c r="E2624" t="s">
        <v>2269</v>
      </c>
      <c r="F2624">
        <v>14611858</v>
      </c>
      <c r="G2624">
        <v>954753.7</v>
      </c>
      <c r="H2624" s="32">
        <f t="shared" si="40"/>
        <v>15.304321941878833</v>
      </c>
      <c r="I2624">
        <v>1</v>
      </c>
      <c r="J2624" t="s">
        <v>21</v>
      </c>
    </row>
    <row r="2625" spans="1:10" x14ac:dyDescent="0.25">
      <c r="A2625">
        <v>1004</v>
      </c>
      <c r="B2625" t="s">
        <v>2268</v>
      </c>
      <c r="C2625" t="s">
        <v>131</v>
      </c>
      <c r="D2625" t="s">
        <v>1969</v>
      </c>
      <c r="E2625" t="s">
        <v>2269</v>
      </c>
      <c r="F2625">
        <v>0</v>
      </c>
      <c r="G2625">
        <v>584327.19099999999</v>
      </c>
      <c r="H2625" s="32" t="str">
        <f t="shared" si="40"/>
        <v/>
      </c>
      <c r="I2625">
        <v>1</v>
      </c>
      <c r="J2625" t="s">
        <v>21</v>
      </c>
    </row>
    <row r="2626" spans="1:10" x14ac:dyDescent="0.25">
      <c r="A2626">
        <v>50189</v>
      </c>
      <c r="B2626" t="s">
        <v>2626</v>
      </c>
      <c r="C2626" t="s">
        <v>708</v>
      </c>
      <c r="D2626" t="s">
        <v>2218</v>
      </c>
      <c r="E2626" t="s">
        <v>2221</v>
      </c>
      <c r="F2626">
        <v>1</v>
      </c>
      <c r="G2626">
        <v>0.28100000000000003</v>
      </c>
      <c r="H2626" s="32">
        <f t="shared" ref="H2626:H2689" si="41">IF(AND(F2626&gt;0,G2626&gt;0),F2626/G2626,"")</f>
        <v>3.5587188612099641</v>
      </c>
      <c r="I2626">
        <v>1</v>
      </c>
      <c r="J2626" t="s">
        <v>21</v>
      </c>
    </row>
    <row r="2627" spans="1:10" x14ac:dyDescent="0.25">
      <c r="A2627">
        <v>10017</v>
      </c>
      <c r="B2627" t="s">
        <v>2570</v>
      </c>
      <c r="C2627" t="s">
        <v>201</v>
      </c>
      <c r="D2627" t="s">
        <v>2218</v>
      </c>
      <c r="E2627" t="s">
        <v>2221</v>
      </c>
      <c r="F2627">
        <v>1348</v>
      </c>
      <c r="G2627">
        <v>337.59199999999998</v>
      </c>
      <c r="H2627" s="32">
        <f t="shared" si="41"/>
        <v>3.9929856157728856</v>
      </c>
      <c r="I2627">
        <v>1</v>
      </c>
      <c r="J2627" t="s">
        <v>21</v>
      </c>
    </row>
    <row r="2628" spans="1:10" x14ac:dyDescent="0.25">
      <c r="A2628">
        <v>10208</v>
      </c>
      <c r="B2628" t="s">
        <v>2584</v>
      </c>
      <c r="C2628" t="s">
        <v>250</v>
      </c>
      <c r="D2628" t="s">
        <v>2218</v>
      </c>
      <c r="E2628" t="s">
        <v>2221</v>
      </c>
      <c r="F2628">
        <v>13957</v>
      </c>
      <c r="G2628">
        <v>3417.8049999999998</v>
      </c>
      <c r="H2628" s="32">
        <f t="shared" si="41"/>
        <v>4.0836150687356358</v>
      </c>
      <c r="I2628">
        <v>1</v>
      </c>
      <c r="J2628" t="s">
        <v>21</v>
      </c>
    </row>
    <row r="2629" spans="1:10" x14ac:dyDescent="0.25">
      <c r="A2629">
        <v>50254</v>
      </c>
      <c r="B2629" t="s">
        <v>2629</v>
      </c>
      <c r="C2629" t="s">
        <v>708</v>
      </c>
      <c r="D2629" t="s">
        <v>2218</v>
      </c>
      <c r="E2629" t="s">
        <v>2221</v>
      </c>
      <c r="F2629">
        <v>2752</v>
      </c>
      <c r="G2629">
        <v>594.38599999999997</v>
      </c>
      <c r="H2629" s="32">
        <f t="shared" si="41"/>
        <v>4.6299879203076788</v>
      </c>
      <c r="I2629">
        <v>1</v>
      </c>
      <c r="J2629" t="s">
        <v>21</v>
      </c>
    </row>
    <row r="2630" spans="1:10" x14ac:dyDescent="0.25">
      <c r="A2630">
        <v>54795</v>
      </c>
      <c r="B2630" t="s">
        <v>2727</v>
      </c>
      <c r="C2630" t="s">
        <v>307</v>
      </c>
      <c r="D2630" t="s">
        <v>2218</v>
      </c>
      <c r="E2630" t="s">
        <v>2221</v>
      </c>
      <c r="F2630">
        <v>672</v>
      </c>
      <c r="G2630">
        <v>136.09</v>
      </c>
      <c r="H2630" s="32">
        <f t="shared" si="41"/>
        <v>4.9379087368653094</v>
      </c>
      <c r="I2630">
        <v>1</v>
      </c>
      <c r="J2630" t="s">
        <v>21</v>
      </c>
    </row>
    <row r="2631" spans="1:10" x14ac:dyDescent="0.25">
      <c r="A2631">
        <v>50397</v>
      </c>
      <c r="B2631" t="s">
        <v>2637</v>
      </c>
      <c r="C2631" t="s">
        <v>143</v>
      </c>
      <c r="D2631" t="s">
        <v>2218</v>
      </c>
      <c r="E2631" t="s">
        <v>2221</v>
      </c>
      <c r="F2631">
        <v>14979</v>
      </c>
      <c r="G2631">
        <v>2655.8679999999999</v>
      </c>
      <c r="H2631" s="32">
        <f t="shared" si="41"/>
        <v>5.6399640343571296</v>
      </c>
      <c r="I2631">
        <v>1</v>
      </c>
      <c r="J2631" t="s">
        <v>21</v>
      </c>
    </row>
    <row r="2632" spans="1:10" x14ac:dyDescent="0.25">
      <c r="A2632">
        <v>50733</v>
      </c>
      <c r="B2632" t="s">
        <v>2666</v>
      </c>
      <c r="C2632" t="s">
        <v>131</v>
      </c>
      <c r="D2632" t="s">
        <v>2218</v>
      </c>
      <c r="E2632" t="s">
        <v>2221</v>
      </c>
      <c r="F2632">
        <v>182</v>
      </c>
      <c r="G2632">
        <v>31.327000000000002</v>
      </c>
      <c r="H2632" s="32">
        <f t="shared" si="41"/>
        <v>5.8096849363169145</v>
      </c>
      <c r="I2632">
        <v>1</v>
      </c>
      <c r="J2632" t="s">
        <v>21</v>
      </c>
    </row>
    <row r="2633" spans="1:10" x14ac:dyDescent="0.25">
      <c r="A2633">
        <v>50813</v>
      </c>
      <c r="B2633" t="s">
        <v>2668</v>
      </c>
      <c r="C2633" t="s">
        <v>201</v>
      </c>
      <c r="D2633" t="s">
        <v>2218</v>
      </c>
      <c r="E2633" t="s">
        <v>2221</v>
      </c>
      <c r="F2633">
        <v>3163</v>
      </c>
      <c r="G2633">
        <v>257.50599999999997</v>
      </c>
      <c r="H2633" s="32">
        <f t="shared" si="41"/>
        <v>12.28320893493744</v>
      </c>
      <c r="I2633">
        <v>1</v>
      </c>
      <c r="J2633" t="s">
        <v>21</v>
      </c>
    </row>
    <row r="2634" spans="1:10" x14ac:dyDescent="0.25">
      <c r="A2634">
        <v>3148</v>
      </c>
      <c r="B2634" t="s">
        <v>1145</v>
      </c>
      <c r="C2634" t="s">
        <v>143</v>
      </c>
      <c r="D2634" t="s">
        <v>2218</v>
      </c>
      <c r="E2634" t="s">
        <v>2221</v>
      </c>
      <c r="F2634">
        <v>537300</v>
      </c>
      <c r="G2634">
        <v>42548.12</v>
      </c>
      <c r="H2634" s="32">
        <f t="shared" si="41"/>
        <v>12.628055011596281</v>
      </c>
      <c r="I2634">
        <v>1</v>
      </c>
      <c r="J2634" t="s">
        <v>21</v>
      </c>
    </row>
    <row r="2635" spans="1:10" x14ac:dyDescent="0.25">
      <c r="A2635">
        <v>50900</v>
      </c>
      <c r="B2635" t="s">
        <v>2676</v>
      </c>
      <c r="C2635" t="s">
        <v>201</v>
      </c>
      <c r="D2635" t="s">
        <v>2218</v>
      </c>
      <c r="E2635" t="s">
        <v>2221</v>
      </c>
      <c r="F2635">
        <v>47693</v>
      </c>
      <c r="G2635">
        <v>3625.6320000000001</v>
      </c>
      <c r="H2635" s="32">
        <f t="shared" si="41"/>
        <v>13.154396254225469</v>
      </c>
      <c r="I2635">
        <v>1</v>
      </c>
      <c r="J2635" t="s">
        <v>21</v>
      </c>
    </row>
    <row r="2636" spans="1:10" x14ac:dyDescent="0.25">
      <c r="A2636">
        <v>593</v>
      </c>
      <c r="B2636" t="s">
        <v>670</v>
      </c>
      <c r="C2636" t="s">
        <v>672</v>
      </c>
      <c r="D2636" t="s">
        <v>2218</v>
      </c>
      <c r="E2636" t="s">
        <v>2221</v>
      </c>
      <c r="F2636">
        <v>100374</v>
      </c>
      <c r="G2636">
        <v>7571.482</v>
      </c>
      <c r="H2636" s="32">
        <f t="shared" si="41"/>
        <v>13.256849847889752</v>
      </c>
      <c r="I2636">
        <v>1</v>
      </c>
      <c r="J2636" t="s">
        <v>21</v>
      </c>
    </row>
    <row r="2637" spans="1:10" x14ac:dyDescent="0.25">
      <c r="A2637">
        <v>1564</v>
      </c>
      <c r="B2637" t="s">
        <v>1733</v>
      </c>
      <c r="C2637" t="s">
        <v>307</v>
      </c>
      <c r="D2637" t="s">
        <v>2218</v>
      </c>
      <c r="E2637" t="s">
        <v>2221</v>
      </c>
      <c r="F2637">
        <v>186764</v>
      </c>
      <c r="G2637">
        <v>11049.573</v>
      </c>
      <c r="H2637" s="32">
        <f t="shared" si="41"/>
        <v>16.902372607520672</v>
      </c>
      <c r="I2637">
        <v>1</v>
      </c>
      <c r="J2637" t="s">
        <v>21</v>
      </c>
    </row>
    <row r="2638" spans="1:10" x14ac:dyDescent="0.25">
      <c r="A2638">
        <v>1702</v>
      </c>
      <c r="B2638" t="s">
        <v>2296</v>
      </c>
      <c r="C2638" t="s">
        <v>250</v>
      </c>
      <c r="D2638" t="s">
        <v>2218</v>
      </c>
      <c r="E2638" t="s">
        <v>2221</v>
      </c>
      <c r="F2638">
        <v>116466</v>
      </c>
      <c r="G2638">
        <v>5638.4489999999996</v>
      </c>
      <c r="H2638" s="32">
        <f t="shared" si="41"/>
        <v>20.655680312085824</v>
      </c>
      <c r="I2638">
        <v>1</v>
      </c>
      <c r="J2638" t="s">
        <v>21</v>
      </c>
    </row>
    <row r="2639" spans="1:10" x14ac:dyDescent="0.25">
      <c r="A2639">
        <v>3399</v>
      </c>
      <c r="B2639" t="s">
        <v>2421</v>
      </c>
      <c r="C2639" t="s">
        <v>2029</v>
      </c>
      <c r="D2639" t="s">
        <v>2218</v>
      </c>
      <c r="E2639" t="s">
        <v>2422</v>
      </c>
      <c r="F2639">
        <v>1051592</v>
      </c>
      <c r="G2639">
        <v>103150.689</v>
      </c>
      <c r="H2639" s="32">
        <f t="shared" si="41"/>
        <v>10.194716198163253</v>
      </c>
      <c r="I2639">
        <v>1</v>
      </c>
      <c r="J2639" t="s">
        <v>21</v>
      </c>
    </row>
    <row r="2640" spans="1:10" x14ac:dyDescent="0.25">
      <c r="A2640">
        <v>57072</v>
      </c>
      <c r="B2640" t="s">
        <v>2933</v>
      </c>
      <c r="C2640" t="s">
        <v>166</v>
      </c>
      <c r="D2640" t="s">
        <v>2218</v>
      </c>
      <c r="E2640" t="s">
        <v>2934</v>
      </c>
      <c r="F2640">
        <v>752263</v>
      </c>
      <c r="G2640">
        <v>220475.58600000001</v>
      </c>
      <c r="H2640" s="32">
        <f t="shared" si="41"/>
        <v>3.4120013632711239</v>
      </c>
      <c r="I2640">
        <v>1</v>
      </c>
      <c r="J2640" t="s">
        <v>21</v>
      </c>
    </row>
    <row r="2641" spans="1:10" x14ac:dyDescent="0.25">
      <c r="A2641">
        <v>10143</v>
      </c>
      <c r="B2641" t="s">
        <v>2013</v>
      </c>
      <c r="C2641" t="s">
        <v>143</v>
      </c>
      <c r="D2641" t="s">
        <v>2218</v>
      </c>
      <c r="E2641" t="s">
        <v>2581</v>
      </c>
      <c r="F2641">
        <v>27</v>
      </c>
      <c r="G2641">
        <v>2.0590000000000002</v>
      </c>
      <c r="H2641" s="32">
        <f t="shared" si="41"/>
        <v>13.113161728994656</v>
      </c>
      <c r="I2641">
        <v>1</v>
      </c>
      <c r="J2641" t="s">
        <v>21</v>
      </c>
    </row>
    <row r="2642" spans="1:10" x14ac:dyDescent="0.25">
      <c r="A2642">
        <v>50859</v>
      </c>
      <c r="B2642" t="s">
        <v>2669</v>
      </c>
      <c r="C2642" t="s">
        <v>143</v>
      </c>
      <c r="D2642" t="s">
        <v>2218</v>
      </c>
      <c r="E2642" t="s">
        <v>2581</v>
      </c>
      <c r="F2642">
        <v>12261</v>
      </c>
      <c r="G2642">
        <v>393.27100000000002</v>
      </c>
      <c r="H2642" s="32">
        <f t="shared" si="41"/>
        <v>31.176974656153135</v>
      </c>
      <c r="I2642">
        <v>1</v>
      </c>
      <c r="J2642" t="s">
        <v>21</v>
      </c>
    </row>
    <row r="2643" spans="1:10" x14ac:dyDescent="0.25">
      <c r="A2643">
        <v>50965</v>
      </c>
      <c r="B2643" t="s">
        <v>2680</v>
      </c>
      <c r="C2643" t="s">
        <v>322</v>
      </c>
      <c r="D2643" t="s">
        <v>2599</v>
      </c>
      <c r="E2643" t="s">
        <v>2311</v>
      </c>
      <c r="F2643">
        <v>43</v>
      </c>
      <c r="G2643">
        <v>9.6999999999999993</v>
      </c>
      <c r="H2643" s="32">
        <f t="shared" si="41"/>
        <v>4.4329896907216497</v>
      </c>
      <c r="I2643">
        <v>1</v>
      </c>
      <c r="J2643" t="s">
        <v>21</v>
      </c>
    </row>
    <row r="2644" spans="1:10" x14ac:dyDescent="0.25">
      <c r="A2644">
        <v>1733</v>
      </c>
      <c r="B2644" t="s">
        <v>2310</v>
      </c>
      <c r="C2644" t="s">
        <v>250</v>
      </c>
      <c r="D2644" t="s">
        <v>2218</v>
      </c>
      <c r="E2644" t="s">
        <v>2311</v>
      </c>
      <c r="F2644">
        <v>14871530</v>
      </c>
      <c r="G2644">
        <v>1492997.4469999999</v>
      </c>
      <c r="H2644" s="32">
        <f t="shared" si="41"/>
        <v>9.9608542733161158</v>
      </c>
      <c r="I2644">
        <v>1</v>
      </c>
      <c r="J2644" t="s">
        <v>21</v>
      </c>
    </row>
    <row r="2645" spans="1:10" x14ac:dyDescent="0.25">
      <c r="A2645">
        <v>50305</v>
      </c>
      <c r="B2645" t="s">
        <v>2633</v>
      </c>
      <c r="C2645" t="s">
        <v>250</v>
      </c>
      <c r="D2645" t="s">
        <v>2218</v>
      </c>
      <c r="E2645" t="s">
        <v>2311</v>
      </c>
      <c r="F2645">
        <v>1792484</v>
      </c>
      <c r="G2645">
        <v>148691.96299999999</v>
      </c>
      <c r="H2645" s="32">
        <f t="shared" si="41"/>
        <v>12.055016046832337</v>
      </c>
      <c r="I2645">
        <v>1</v>
      </c>
      <c r="J2645" t="s">
        <v>21</v>
      </c>
    </row>
    <row r="2646" spans="1:10" x14ac:dyDescent="0.25">
      <c r="A2646">
        <v>2878</v>
      </c>
      <c r="B2646" t="s">
        <v>2387</v>
      </c>
      <c r="C2646" t="s">
        <v>322</v>
      </c>
      <c r="D2646" t="s">
        <v>2218</v>
      </c>
      <c r="E2646" t="s">
        <v>2311</v>
      </c>
      <c r="F2646">
        <v>12529400</v>
      </c>
      <c r="G2646">
        <v>993463.05599999998</v>
      </c>
      <c r="H2646" s="32">
        <f t="shared" si="41"/>
        <v>12.611842910844992</v>
      </c>
      <c r="I2646">
        <v>1</v>
      </c>
      <c r="J2646" t="s">
        <v>21</v>
      </c>
    </row>
    <row r="2647" spans="1:10" x14ac:dyDescent="0.25">
      <c r="A2647">
        <v>50888</v>
      </c>
      <c r="B2647" t="s">
        <v>2128</v>
      </c>
      <c r="C2647" t="s">
        <v>143</v>
      </c>
      <c r="D2647" t="s">
        <v>2218</v>
      </c>
      <c r="E2647" t="s">
        <v>2311</v>
      </c>
      <c r="F2647">
        <v>17884</v>
      </c>
      <c r="G2647">
        <v>1362.5930000000001</v>
      </c>
      <c r="H2647" s="32">
        <f t="shared" si="41"/>
        <v>13.124975689732738</v>
      </c>
      <c r="I2647">
        <v>1</v>
      </c>
      <c r="J2647" t="s">
        <v>21</v>
      </c>
    </row>
    <row r="2648" spans="1:10" x14ac:dyDescent="0.25">
      <c r="A2648">
        <v>50481</v>
      </c>
      <c r="B2648" t="s">
        <v>2646</v>
      </c>
      <c r="C2648" t="s">
        <v>2029</v>
      </c>
      <c r="D2648" t="s">
        <v>2218</v>
      </c>
      <c r="E2648" t="s">
        <v>2647</v>
      </c>
      <c r="F2648">
        <v>1139</v>
      </c>
      <c r="G2648">
        <v>209.56899999999999</v>
      </c>
      <c r="H2648" s="32">
        <f t="shared" si="41"/>
        <v>5.4349641406887468</v>
      </c>
      <c r="I2648">
        <v>1</v>
      </c>
      <c r="J2648" t="s">
        <v>21</v>
      </c>
    </row>
    <row r="2649" spans="1:10" x14ac:dyDescent="0.25">
      <c r="A2649">
        <v>50491</v>
      </c>
      <c r="B2649" t="s">
        <v>2648</v>
      </c>
      <c r="C2649" t="s">
        <v>118</v>
      </c>
      <c r="D2649" t="s">
        <v>2218</v>
      </c>
      <c r="E2649" t="s">
        <v>2589</v>
      </c>
      <c r="F2649">
        <v>72880</v>
      </c>
      <c r="G2649">
        <v>17314.163</v>
      </c>
      <c r="H2649" s="32">
        <f t="shared" si="41"/>
        <v>4.2092707571252506</v>
      </c>
      <c r="I2649">
        <v>1</v>
      </c>
      <c r="J2649" t="s">
        <v>21</v>
      </c>
    </row>
    <row r="2650" spans="1:10" x14ac:dyDescent="0.25">
      <c r="A2650">
        <v>50729</v>
      </c>
      <c r="B2650" t="s">
        <v>2664</v>
      </c>
      <c r="C2650" t="s">
        <v>143</v>
      </c>
      <c r="D2650" t="s">
        <v>2218</v>
      </c>
      <c r="E2650" t="s">
        <v>2589</v>
      </c>
      <c r="F2650">
        <v>459319</v>
      </c>
      <c r="G2650">
        <v>105002.652</v>
      </c>
      <c r="H2650" s="32">
        <f t="shared" si="41"/>
        <v>4.3743561829276461</v>
      </c>
      <c r="I2650">
        <v>1</v>
      </c>
      <c r="J2650" t="s">
        <v>21</v>
      </c>
    </row>
    <row r="2651" spans="1:10" x14ac:dyDescent="0.25">
      <c r="A2651">
        <v>57822</v>
      </c>
      <c r="B2651" t="s">
        <v>3059</v>
      </c>
      <c r="C2651" t="s">
        <v>322</v>
      </c>
      <c r="D2651" t="s">
        <v>2218</v>
      </c>
      <c r="E2651" t="s">
        <v>2589</v>
      </c>
      <c r="F2651">
        <v>1323807</v>
      </c>
      <c r="G2651">
        <v>298749.25400000002</v>
      </c>
      <c r="H2651" s="32">
        <f t="shared" si="41"/>
        <v>4.4311642030075156</v>
      </c>
      <c r="I2651">
        <v>1</v>
      </c>
      <c r="J2651" t="s">
        <v>21</v>
      </c>
    </row>
    <row r="2652" spans="1:10" x14ac:dyDescent="0.25">
      <c r="A2652">
        <v>50732</v>
      </c>
      <c r="B2652" t="s">
        <v>2665</v>
      </c>
      <c r="C2652" t="s">
        <v>143</v>
      </c>
      <c r="D2652" t="s">
        <v>2218</v>
      </c>
      <c r="E2652" t="s">
        <v>2589</v>
      </c>
      <c r="F2652">
        <v>155349</v>
      </c>
      <c r="G2652">
        <v>35051.872000000003</v>
      </c>
      <c r="H2652" s="32">
        <f t="shared" si="41"/>
        <v>4.4319744177999958</v>
      </c>
      <c r="I2652">
        <v>1</v>
      </c>
      <c r="J2652" t="s">
        <v>21</v>
      </c>
    </row>
    <row r="2653" spans="1:10" x14ac:dyDescent="0.25">
      <c r="A2653">
        <v>56848</v>
      </c>
      <c r="B2653" t="s">
        <v>2908</v>
      </c>
      <c r="C2653" t="s">
        <v>322</v>
      </c>
      <c r="D2653" t="s">
        <v>2218</v>
      </c>
      <c r="E2653" t="s">
        <v>2589</v>
      </c>
      <c r="F2653">
        <v>1232008</v>
      </c>
      <c r="G2653">
        <v>274421.23700000002</v>
      </c>
      <c r="H2653" s="32">
        <f t="shared" si="41"/>
        <v>4.4894776128423324</v>
      </c>
      <c r="I2653">
        <v>1</v>
      </c>
      <c r="J2653" t="s">
        <v>21</v>
      </c>
    </row>
    <row r="2654" spans="1:10" x14ac:dyDescent="0.25">
      <c r="A2654">
        <v>50628</v>
      </c>
      <c r="B2654" t="s">
        <v>2658</v>
      </c>
      <c r="C2654" t="s">
        <v>241</v>
      </c>
      <c r="D2654" t="s">
        <v>2218</v>
      </c>
      <c r="E2654" t="s">
        <v>2589</v>
      </c>
      <c r="F2654">
        <v>749563</v>
      </c>
      <c r="G2654">
        <v>146008.95000000001</v>
      </c>
      <c r="H2654" s="32">
        <f t="shared" si="41"/>
        <v>5.1336784491635612</v>
      </c>
      <c r="I2654">
        <v>1</v>
      </c>
      <c r="J2654" t="s">
        <v>21</v>
      </c>
    </row>
    <row r="2655" spans="1:10" x14ac:dyDescent="0.25">
      <c r="A2655">
        <v>52193</v>
      </c>
      <c r="B2655" t="s">
        <v>2692</v>
      </c>
      <c r="C2655" t="s">
        <v>672</v>
      </c>
      <c r="D2655" t="s">
        <v>2218</v>
      </c>
      <c r="E2655" t="s">
        <v>2589</v>
      </c>
      <c r="F2655">
        <v>1106602</v>
      </c>
      <c r="G2655">
        <v>206831.323</v>
      </c>
      <c r="H2655" s="32">
        <f t="shared" si="41"/>
        <v>5.3502631223801629</v>
      </c>
      <c r="I2655">
        <v>1</v>
      </c>
      <c r="J2655" t="s">
        <v>21</v>
      </c>
    </row>
    <row r="2656" spans="1:10" x14ac:dyDescent="0.25">
      <c r="A2656">
        <v>50481</v>
      </c>
      <c r="B2656" t="s">
        <v>2646</v>
      </c>
      <c r="C2656" t="s">
        <v>2029</v>
      </c>
      <c r="D2656" t="s">
        <v>2218</v>
      </c>
      <c r="E2656" t="s">
        <v>2589</v>
      </c>
      <c r="F2656">
        <v>55976</v>
      </c>
      <c r="G2656">
        <v>10287.718000000001</v>
      </c>
      <c r="H2656" s="32">
        <f t="shared" si="41"/>
        <v>5.4410511641162786</v>
      </c>
      <c r="I2656">
        <v>1</v>
      </c>
      <c r="J2656" t="s">
        <v>21</v>
      </c>
    </row>
    <row r="2657" spans="1:10" x14ac:dyDescent="0.25">
      <c r="A2657">
        <v>52130</v>
      </c>
      <c r="B2657" t="s">
        <v>2687</v>
      </c>
      <c r="C2657" t="s">
        <v>131</v>
      </c>
      <c r="D2657" t="s">
        <v>2218</v>
      </c>
      <c r="E2657" t="s">
        <v>2589</v>
      </c>
      <c r="F2657">
        <v>1599298</v>
      </c>
      <c r="G2657">
        <v>285539.17300000001</v>
      </c>
      <c r="H2657" s="32">
        <f t="shared" si="41"/>
        <v>5.6009758072669067</v>
      </c>
      <c r="I2657">
        <v>1</v>
      </c>
      <c r="J2657" t="s">
        <v>21</v>
      </c>
    </row>
    <row r="2658" spans="1:10" x14ac:dyDescent="0.25">
      <c r="A2658">
        <v>10245</v>
      </c>
      <c r="B2658" t="s">
        <v>2587</v>
      </c>
      <c r="C2658" t="s">
        <v>131</v>
      </c>
      <c r="D2658" t="s">
        <v>2218</v>
      </c>
      <c r="E2658" t="s">
        <v>2589</v>
      </c>
      <c r="F2658">
        <v>1420748</v>
      </c>
      <c r="G2658">
        <v>221820.867</v>
      </c>
      <c r="H2658" s="32">
        <f t="shared" si="41"/>
        <v>6.4049339415844946</v>
      </c>
      <c r="I2658">
        <v>1</v>
      </c>
      <c r="J2658" t="s">
        <v>21</v>
      </c>
    </row>
    <row r="2659" spans="1:10" x14ac:dyDescent="0.25">
      <c r="A2659">
        <v>50006</v>
      </c>
      <c r="B2659" t="s">
        <v>1984</v>
      </c>
      <c r="C2659" t="s">
        <v>241</v>
      </c>
      <c r="D2659" t="s">
        <v>2071</v>
      </c>
      <c r="E2659" t="s">
        <v>2589</v>
      </c>
      <c r="F2659">
        <v>390206</v>
      </c>
      <c r="G2659">
        <v>48051.826999999997</v>
      </c>
      <c r="H2659" s="32">
        <f t="shared" si="41"/>
        <v>8.1205237003787598</v>
      </c>
      <c r="I2659">
        <v>1</v>
      </c>
      <c r="J2659" t="s">
        <v>21</v>
      </c>
    </row>
    <row r="2660" spans="1:10" x14ac:dyDescent="0.25">
      <c r="A2660">
        <v>50627</v>
      </c>
      <c r="B2660" t="s">
        <v>2657</v>
      </c>
      <c r="C2660" t="s">
        <v>166</v>
      </c>
      <c r="D2660" t="s">
        <v>2214</v>
      </c>
      <c r="E2660" t="s">
        <v>2589</v>
      </c>
      <c r="F2660">
        <v>1315684</v>
      </c>
      <c r="G2660">
        <v>158098</v>
      </c>
      <c r="H2660" s="32">
        <f t="shared" si="41"/>
        <v>8.3219522068590361</v>
      </c>
      <c r="I2660">
        <v>1</v>
      </c>
      <c r="J2660" t="s">
        <v>21</v>
      </c>
    </row>
    <row r="2661" spans="1:10" x14ac:dyDescent="0.25">
      <c r="A2661">
        <v>50627</v>
      </c>
      <c r="B2661" t="s">
        <v>2657</v>
      </c>
      <c r="C2661" t="s">
        <v>166</v>
      </c>
      <c r="D2661" t="s">
        <v>2218</v>
      </c>
      <c r="E2661" t="s">
        <v>2589</v>
      </c>
      <c r="F2661">
        <v>226075</v>
      </c>
      <c r="G2661">
        <v>27166</v>
      </c>
      <c r="H2661" s="32">
        <f t="shared" si="41"/>
        <v>8.3219833615548851</v>
      </c>
      <c r="I2661">
        <v>1</v>
      </c>
      <c r="J2661" t="s">
        <v>21</v>
      </c>
    </row>
    <row r="2662" spans="1:10" x14ac:dyDescent="0.25">
      <c r="A2662">
        <v>50006</v>
      </c>
      <c r="B2662" t="s">
        <v>1984</v>
      </c>
      <c r="C2662" t="s">
        <v>241</v>
      </c>
      <c r="D2662" t="s">
        <v>1969</v>
      </c>
      <c r="E2662" t="s">
        <v>2589</v>
      </c>
      <c r="F2662">
        <v>0</v>
      </c>
      <c r="G2662">
        <v>15666.228999999999</v>
      </c>
      <c r="H2662" s="32" t="str">
        <f t="shared" si="41"/>
        <v/>
      </c>
      <c r="I2662">
        <v>1</v>
      </c>
      <c r="J2662" t="s">
        <v>21</v>
      </c>
    </row>
    <row r="2663" spans="1:10" x14ac:dyDescent="0.25">
      <c r="A2663">
        <v>50479</v>
      </c>
      <c r="B2663" t="s">
        <v>1977</v>
      </c>
      <c r="C2663" t="s">
        <v>201</v>
      </c>
      <c r="D2663" t="s">
        <v>2218</v>
      </c>
      <c r="E2663" t="s">
        <v>2591</v>
      </c>
      <c r="F2663">
        <v>3619</v>
      </c>
      <c r="G2663">
        <v>786.05100000000004</v>
      </c>
      <c r="H2663" s="32">
        <f t="shared" si="41"/>
        <v>4.6040269651714709</v>
      </c>
      <c r="I2663">
        <v>1</v>
      </c>
      <c r="J2663" t="s">
        <v>21</v>
      </c>
    </row>
    <row r="2664" spans="1:10" x14ac:dyDescent="0.25">
      <c r="A2664">
        <v>10252</v>
      </c>
      <c r="B2664" t="s">
        <v>2590</v>
      </c>
      <c r="C2664" t="s">
        <v>2029</v>
      </c>
      <c r="D2664" t="s">
        <v>2218</v>
      </c>
      <c r="E2664" t="s">
        <v>2591</v>
      </c>
      <c r="F2664">
        <v>27538</v>
      </c>
      <c r="G2664">
        <v>5488.02</v>
      </c>
      <c r="H2664" s="32">
        <f t="shared" si="41"/>
        <v>5.0178388562723892</v>
      </c>
      <c r="I2664">
        <v>1</v>
      </c>
      <c r="J2664" t="s">
        <v>21</v>
      </c>
    </row>
    <row r="2665" spans="1:10" x14ac:dyDescent="0.25">
      <c r="A2665">
        <v>10525</v>
      </c>
      <c r="B2665" t="s">
        <v>2601</v>
      </c>
      <c r="C2665" t="s">
        <v>708</v>
      </c>
      <c r="D2665" t="s">
        <v>2218</v>
      </c>
      <c r="E2665" t="s">
        <v>2591</v>
      </c>
      <c r="F2665">
        <v>1513013</v>
      </c>
      <c r="G2665">
        <v>96943.85</v>
      </c>
      <c r="H2665" s="32">
        <f t="shared" si="41"/>
        <v>15.60710658798882</v>
      </c>
      <c r="I2665">
        <v>1</v>
      </c>
      <c r="J2665" t="s">
        <v>21</v>
      </c>
    </row>
    <row r="2666" spans="1:10" x14ac:dyDescent="0.25">
      <c r="A2666">
        <v>58560</v>
      </c>
      <c r="B2666" t="s">
        <v>3227</v>
      </c>
      <c r="C2666" t="s">
        <v>201</v>
      </c>
      <c r="D2666" t="s">
        <v>2218</v>
      </c>
      <c r="E2666" t="s">
        <v>3228</v>
      </c>
      <c r="F2666">
        <v>808</v>
      </c>
      <c r="G2666">
        <v>56.826999999999998</v>
      </c>
      <c r="H2666" s="32">
        <f t="shared" si="41"/>
        <v>14.218593274323826</v>
      </c>
      <c r="I2666">
        <v>1</v>
      </c>
      <c r="J2666" t="s">
        <v>21</v>
      </c>
    </row>
    <row r="2667" spans="1:10" x14ac:dyDescent="0.25">
      <c r="A2667">
        <v>58177</v>
      </c>
      <c r="B2667" t="s">
        <v>3123</v>
      </c>
      <c r="C2667" t="s">
        <v>166</v>
      </c>
      <c r="D2667" t="s">
        <v>2234</v>
      </c>
      <c r="E2667" t="s">
        <v>2710</v>
      </c>
      <c r="F2667">
        <v>34896</v>
      </c>
      <c r="G2667">
        <v>7898.9920000000002</v>
      </c>
      <c r="H2667" s="32">
        <f t="shared" si="41"/>
        <v>4.417778876089506</v>
      </c>
      <c r="I2667">
        <v>1</v>
      </c>
      <c r="J2667" t="s">
        <v>21</v>
      </c>
    </row>
    <row r="2668" spans="1:10" x14ac:dyDescent="0.25">
      <c r="A2668">
        <v>54569</v>
      </c>
      <c r="B2668" t="s">
        <v>2709</v>
      </c>
      <c r="C2668" t="s">
        <v>241</v>
      </c>
      <c r="D2668" t="s">
        <v>2234</v>
      </c>
      <c r="E2668" t="s">
        <v>2710</v>
      </c>
      <c r="F2668">
        <v>5983</v>
      </c>
      <c r="G2668">
        <v>1133.712</v>
      </c>
      <c r="H2668" s="32">
        <f t="shared" si="41"/>
        <v>5.2773543898273987</v>
      </c>
      <c r="I2668">
        <v>1</v>
      </c>
      <c r="J2668" t="s">
        <v>21</v>
      </c>
    </row>
    <row r="2669" spans="1:10" x14ac:dyDescent="0.25">
      <c r="A2669">
        <v>58980</v>
      </c>
      <c r="B2669" t="s">
        <v>3347</v>
      </c>
      <c r="C2669" t="s">
        <v>322</v>
      </c>
      <c r="D2669" t="s">
        <v>2234</v>
      </c>
      <c r="E2669" t="s">
        <v>2710</v>
      </c>
      <c r="F2669">
        <v>50807</v>
      </c>
      <c r="G2669">
        <v>5622</v>
      </c>
      <c r="H2669" s="32">
        <f t="shared" si="41"/>
        <v>9.0371753824261827</v>
      </c>
      <c r="I2669">
        <v>1</v>
      </c>
      <c r="J2669" t="s">
        <v>21</v>
      </c>
    </row>
    <row r="2670" spans="1:10" x14ac:dyDescent="0.25">
      <c r="A2670">
        <v>58057</v>
      </c>
      <c r="B2670" t="s">
        <v>3101</v>
      </c>
      <c r="C2670" t="s">
        <v>201</v>
      </c>
      <c r="D2670" t="s">
        <v>2214</v>
      </c>
      <c r="E2670" t="s">
        <v>2710</v>
      </c>
      <c r="F2670">
        <v>69161</v>
      </c>
      <c r="G2670">
        <v>7570</v>
      </c>
      <c r="H2670" s="32">
        <f t="shared" si="41"/>
        <v>9.1361955085865265</v>
      </c>
      <c r="I2670">
        <v>1</v>
      </c>
      <c r="J2670" t="s">
        <v>21</v>
      </c>
    </row>
    <row r="2671" spans="1:10" x14ac:dyDescent="0.25">
      <c r="A2671">
        <v>59774</v>
      </c>
      <c r="B2671" t="s">
        <v>3577</v>
      </c>
      <c r="C2671" t="s">
        <v>131</v>
      </c>
      <c r="D2671" t="s">
        <v>2234</v>
      </c>
      <c r="E2671" t="s">
        <v>2710</v>
      </c>
      <c r="F2671">
        <v>349219</v>
      </c>
      <c r="G2671">
        <v>36846</v>
      </c>
      <c r="H2671" s="32">
        <f t="shared" si="41"/>
        <v>9.4777994897682252</v>
      </c>
      <c r="I2671">
        <v>1</v>
      </c>
      <c r="J2671" t="s">
        <v>21</v>
      </c>
    </row>
    <row r="2672" spans="1:10" x14ac:dyDescent="0.25">
      <c r="A2672">
        <v>58326</v>
      </c>
      <c r="B2672" t="s">
        <v>2129</v>
      </c>
      <c r="C2672" t="s">
        <v>143</v>
      </c>
      <c r="D2672" t="s">
        <v>2234</v>
      </c>
      <c r="E2672" t="s">
        <v>2710</v>
      </c>
      <c r="F2672">
        <v>267103</v>
      </c>
      <c r="G2672">
        <v>27181.861000000001</v>
      </c>
      <c r="H2672" s="32">
        <f t="shared" si="41"/>
        <v>9.8265162933472432</v>
      </c>
      <c r="I2672">
        <v>1</v>
      </c>
      <c r="J2672" t="s">
        <v>21</v>
      </c>
    </row>
    <row r="2673" spans="1:10" x14ac:dyDescent="0.25">
      <c r="A2673">
        <v>59012</v>
      </c>
      <c r="B2673" t="s">
        <v>3350</v>
      </c>
      <c r="C2673" t="s">
        <v>3055</v>
      </c>
      <c r="D2673" t="s">
        <v>2214</v>
      </c>
      <c r="E2673" t="s">
        <v>2710</v>
      </c>
      <c r="F2673">
        <v>503231</v>
      </c>
      <c r="G2673">
        <v>49147.760999999999</v>
      </c>
      <c r="H2673" s="32">
        <f t="shared" si="41"/>
        <v>10.239143956120403</v>
      </c>
      <c r="I2673">
        <v>1</v>
      </c>
      <c r="J2673" t="s">
        <v>21</v>
      </c>
    </row>
    <row r="2674" spans="1:10" x14ac:dyDescent="0.25">
      <c r="A2674">
        <v>60721</v>
      </c>
      <c r="B2674" t="s">
        <v>3843</v>
      </c>
      <c r="C2674" t="s">
        <v>131</v>
      </c>
      <c r="D2674" t="s">
        <v>2234</v>
      </c>
      <c r="E2674" t="s">
        <v>2710</v>
      </c>
      <c r="F2674">
        <v>113288</v>
      </c>
      <c r="G2674">
        <v>11058</v>
      </c>
      <c r="H2674" s="32">
        <f t="shared" si="41"/>
        <v>10.244890576957859</v>
      </c>
      <c r="I2674">
        <v>1</v>
      </c>
      <c r="J2674" t="s">
        <v>21</v>
      </c>
    </row>
    <row r="2675" spans="1:10" x14ac:dyDescent="0.25">
      <c r="A2675">
        <v>58439</v>
      </c>
      <c r="B2675" t="s">
        <v>3195</v>
      </c>
      <c r="C2675" t="s">
        <v>322</v>
      </c>
      <c r="D2675" t="s">
        <v>2234</v>
      </c>
      <c r="E2675" t="s">
        <v>2710</v>
      </c>
      <c r="F2675">
        <v>46478</v>
      </c>
      <c r="G2675">
        <v>2262</v>
      </c>
      <c r="H2675" s="32">
        <f t="shared" si="41"/>
        <v>20.547303271441201</v>
      </c>
      <c r="I2675">
        <v>1</v>
      </c>
      <c r="J2675" t="s">
        <v>21</v>
      </c>
    </row>
    <row r="2676" spans="1:10" x14ac:dyDescent="0.25">
      <c r="A2676">
        <v>6105</v>
      </c>
      <c r="B2676" t="s">
        <v>2482</v>
      </c>
      <c r="C2676" t="s">
        <v>143</v>
      </c>
      <c r="D2676" t="s">
        <v>2218</v>
      </c>
      <c r="E2676" t="s">
        <v>2219</v>
      </c>
      <c r="F2676">
        <v>203168524</v>
      </c>
      <c r="G2676">
        <v>19454276</v>
      </c>
      <c r="H2676" s="32">
        <f t="shared" si="41"/>
        <v>10.443386533634046</v>
      </c>
      <c r="I2676">
        <v>2</v>
      </c>
      <c r="J2676" t="s">
        <v>21</v>
      </c>
    </row>
    <row r="2677" spans="1:10" x14ac:dyDescent="0.25">
      <c r="A2677">
        <v>6168</v>
      </c>
      <c r="B2677" t="s">
        <v>2488</v>
      </c>
      <c r="C2677" t="s">
        <v>201</v>
      </c>
      <c r="D2677" t="s">
        <v>2218</v>
      </c>
      <c r="E2677" t="s">
        <v>2219</v>
      </c>
      <c r="F2677">
        <v>156609693</v>
      </c>
      <c r="G2677">
        <v>14996064</v>
      </c>
      <c r="H2677" s="32">
        <f t="shared" si="41"/>
        <v>10.443386544629311</v>
      </c>
      <c r="I2677">
        <v>2</v>
      </c>
      <c r="J2677" t="s">
        <v>21</v>
      </c>
    </row>
    <row r="2678" spans="1:10" x14ac:dyDescent="0.25">
      <c r="A2678">
        <v>3806</v>
      </c>
      <c r="B2678" t="s">
        <v>2460</v>
      </c>
      <c r="C2678" t="s">
        <v>201</v>
      </c>
      <c r="D2678" t="s">
        <v>2218</v>
      </c>
      <c r="E2678" t="s">
        <v>2219</v>
      </c>
      <c r="F2678">
        <v>138042156</v>
      </c>
      <c r="G2678">
        <v>13218141</v>
      </c>
      <c r="H2678" s="32">
        <f t="shared" si="41"/>
        <v>10.443386554886954</v>
      </c>
      <c r="I2678">
        <v>2</v>
      </c>
      <c r="J2678" t="s">
        <v>21</v>
      </c>
    </row>
    <row r="2679" spans="1:10" x14ac:dyDescent="0.25">
      <c r="A2679">
        <v>6014</v>
      </c>
      <c r="B2679" t="s">
        <v>2470</v>
      </c>
      <c r="C2679" t="s">
        <v>708</v>
      </c>
      <c r="D2679" t="s">
        <v>2218</v>
      </c>
      <c r="E2679" t="s">
        <v>2219</v>
      </c>
      <c r="F2679">
        <v>164072861</v>
      </c>
      <c r="G2679">
        <v>15710695</v>
      </c>
      <c r="H2679" s="32">
        <f t="shared" si="41"/>
        <v>10.443386559283342</v>
      </c>
      <c r="I2679">
        <v>2</v>
      </c>
      <c r="J2679" t="s">
        <v>21</v>
      </c>
    </row>
    <row r="2680" spans="1:10" x14ac:dyDescent="0.25">
      <c r="A2680">
        <v>6038</v>
      </c>
      <c r="B2680" t="s">
        <v>2478</v>
      </c>
      <c r="C2680" t="s">
        <v>708</v>
      </c>
      <c r="D2680" t="s">
        <v>2218</v>
      </c>
      <c r="E2680" t="s">
        <v>2219</v>
      </c>
      <c r="F2680">
        <v>203703362</v>
      </c>
      <c r="G2680">
        <v>19505489</v>
      </c>
      <c r="H2680" s="32">
        <f t="shared" si="41"/>
        <v>10.443386576978408</v>
      </c>
      <c r="I2680">
        <v>2</v>
      </c>
      <c r="J2680" t="s">
        <v>21</v>
      </c>
    </row>
    <row r="2681" spans="1:10" x14ac:dyDescent="0.25">
      <c r="A2681">
        <v>6015</v>
      </c>
      <c r="B2681" t="s">
        <v>2471</v>
      </c>
      <c r="C2681" t="s">
        <v>708</v>
      </c>
      <c r="D2681" t="s">
        <v>2218</v>
      </c>
      <c r="E2681" t="s">
        <v>2219</v>
      </c>
      <c r="F2681">
        <v>81777513</v>
      </c>
      <c r="G2681">
        <v>7830555</v>
      </c>
      <c r="H2681" s="32">
        <f t="shared" si="41"/>
        <v>10.443386579878437</v>
      </c>
      <c r="I2681">
        <v>1</v>
      </c>
      <c r="J2681" t="s">
        <v>21</v>
      </c>
    </row>
    <row r="2682" spans="1:10" x14ac:dyDescent="0.25">
      <c r="A2682">
        <v>880</v>
      </c>
      <c r="B2682" t="s">
        <v>2225</v>
      </c>
      <c r="C2682" t="s">
        <v>166</v>
      </c>
      <c r="D2682" t="s">
        <v>2218</v>
      </c>
      <c r="E2682" t="s">
        <v>2219</v>
      </c>
      <c r="F2682">
        <v>158463802</v>
      </c>
      <c r="G2682">
        <v>15173603</v>
      </c>
      <c r="H2682" s="32">
        <f t="shared" si="41"/>
        <v>10.443386583924728</v>
      </c>
      <c r="I2682">
        <v>2</v>
      </c>
      <c r="J2682" t="s">
        <v>21</v>
      </c>
    </row>
    <row r="2683" spans="1:10" x14ac:dyDescent="0.25">
      <c r="A2683">
        <v>3166</v>
      </c>
      <c r="B2683" t="s">
        <v>2412</v>
      </c>
      <c r="C2683" t="s">
        <v>143</v>
      </c>
      <c r="D2683" t="s">
        <v>2218</v>
      </c>
      <c r="E2683" t="s">
        <v>2219</v>
      </c>
      <c r="F2683">
        <v>229169759</v>
      </c>
      <c r="G2683">
        <v>21944008</v>
      </c>
      <c r="H2683" s="32">
        <f t="shared" si="41"/>
        <v>10.443386595557202</v>
      </c>
      <c r="I2683">
        <v>2</v>
      </c>
      <c r="J2683" t="s">
        <v>21</v>
      </c>
    </row>
    <row r="2684" spans="1:10" x14ac:dyDescent="0.25">
      <c r="A2684">
        <v>6149</v>
      </c>
      <c r="B2684" t="s">
        <v>2486</v>
      </c>
      <c r="C2684" t="s">
        <v>322</v>
      </c>
      <c r="D2684" t="s">
        <v>2218</v>
      </c>
      <c r="E2684" t="s">
        <v>2219</v>
      </c>
      <c r="F2684">
        <v>81373563</v>
      </c>
      <c r="G2684">
        <v>7791875</v>
      </c>
      <c r="H2684" s="32">
        <f t="shared" si="41"/>
        <v>10.44338660463624</v>
      </c>
      <c r="I2684">
        <v>1</v>
      </c>
      <c r="J2684" t="s">
        <v>21</v>
      </c>
    </row>
    <row r="2685" spans="1:10" x14ac:dyDescent="0.25">
      <c r="A2685">
        <v>6000</v>
      </c>
      <c r="B2685" t="s">
        <v>2467</v>
      </c>
      <c r="C2685" t="s">
        <v>250</v>
      </c>
      <c r="D2685" t="s">
        <v>2218</v>
      </c>
      <c r="E2685" t="s">
        <v>2219</v>
      </c>
      <c r="F2685">
        <v>183657491</v>
      </c>
      <c r="G2685">
        <v>17586009</v>
      </c>
      <c r="H2685" s="32">
        <f t="shared" si="41"/>
        <v>10.443386614893692</v>
      </c>
      <c r="I2685">
        <v>2</v>
      </c>
      <c r="J2685" t="s">
        <v>21</v>
      </c>
    </row>
    <row r="2686" spans="1:10" x14ac:dyDescent="0.25">
      <c r="A2686">
        <v>6040</v>
      </c>
      <c r="B2686" t="s">
        <v>2479</v>
      </c>
      <c r="C2686" t="s">
        <v>143</v>
      </c>
      <c r="D2686" t="s">
        <v>2218</v>
      </c>
      <c r="E2686" t="s">
        <v>2219</v>
      </c>
      <c r="F2686">
        <v>157530759</v>
      </c>
      <c r="G2686">
        <v>15084260</v>
      </c>
      <c r="H2686" s="32">
        <f t="shared" si="41"/>
        <v>10.443386616247665</v>
      </c>
      <c r="I2686">
        <v>2</v>
      </c>
      <c r="J2686" t="s">
        <v>21</v>
      </c>
    </row>
    <row r="2687" spans="1:10" x14ac:dyDescent="0.25">
      <c r="A2687">
        <v>6022</v>
      </c>
      <c r="B2687" t="s">
        <v>2474</v>
      </c>
      <c r="C2687" t="s">
        <v>166</v>
      </c>
      <c r="D2687" t="s">
        <v>2218</v>
      </c>
      <c r="E2687" t="s">
        <v>2219</v>
      </c>
      <c r="F2687">
        <v>210594797</v>
      </c>
      <c r="G2687">
        <v>20165374</v>
      </c>
      <c r="H2687" s="32">
        <f t="shared" si="41"/>
        <v>10.443386619062954</v>
      </c>
      <c r="I2687">
        <v>2</v>
      </c>
      <c r="J2687" t="s">
        <v>21</v>
      </c>
    </row>
    <row r="2688" spans="1:10" x14ac:dyDescent="0.25">
      <c r="A2688">
        <v>6026</v>
      </c>
      <c r="B2688" t="s">
        <v>2476</v>
      </c>
      <c r="C2688" t="s">
        <v>166</v>
      </c>
      <c r="D2688" t="s">
        <v>2218</v>
      </c>
      <c r="E2688" t="s">
        <v>2219</v>
      </c>
      <c r="F2688">
        <v>197107978</v>
      </c>
      <c r="G2688">
        <v>18873952</v>
      </c>
      <c r="H2688" s="32">
        <f t="shared" si="41"/>
        <v>10.443386631480253</v>
      </c>
      <c r="I2688">
        <v>2</v>
      </c>
      <c r="J2688" t="s">
        <v>21</v>
      </c>
    </row>
    <row r="2689" spans="1:10" x14ac:dyDescent="0.25">
      <c r="A2689">
        <v>6103</v>
      </c>
      <c r="B2689" t="s">
        <v>2481</v>
      </c>
      <c r="C2689" t="s">
        <v>143</v>
      </c>
      <c r="D2689" t="s">
        <v>2218</v>
      </c>
      <c r="E2689" t="s">
        <v>2219</v>
      </c>
      <c r="F2689">
        <v>193898872</v>
      </c>
      <c r="G2689">
        <v>18566666</v>
      </c>
      <c r="H2689" s="32">
        <f t="shared" si="41"/>
        <v>10.44338665864943</v>
      </c>
      <c r="I2689">
        <v>2</v>
      </c>
      <c r="J2689" t="s">
        <v>21</v>
      </c>
    </row>
    <row r="2690" spans="1:10" x14ac:dyDescent="0.25">
      <c r="A2690">
        <v>869</v>
      </c>
      <c r="B2690" t="s">
        <v>2223</v>
      </c>
      <c r="C2690" t="s">
        <v>166</v>
      </c>
      <c r="D2690" t="s">
        <v>2218</v>
      </c>
      <c r="E2690" t="s">
        <v>2219</v>
      </c>
      <c r="F2690">
        <v>158795266</v>
      </c>
      <c r="G2690">
        <v>15205342</v>
      </c>
      <c r="H2690" s="32">
        <f t="shared" ref="H2690:H2753" si="42">IF(AND(F2690&gt;0,G2690&gt;0),F2690/G2690,"")</f>
        <v>10.443386672920608</v>
      </c>
      <c r="I2690">
        <v>2</v>
      </c>
      <c r="J2690" t="s">
        <v>21</v>
      </c>
    </row>
    <row r="2691" spans="1:10" x14ac:dyDescent="0.25">
      <c r="A2691">
        <v>6020</v>
      </c>
      <c r="B2691" t="s">
        <v>2473</v>
      </c>
      <c r="C2691" t="s">
        <v>322</v>
      </c>
      <c r="D2691" t="s">
        <v>2218</v>
      </c>
      <c r="E2691" t="s">
        <v>2219</v>
      </c>
      <c r="F2691">
        <v>97645488</v>
      </c>
      <c r="G2691">
        <v>9349983</v>
      </c>
      <c r="H2691" s="32">
        <f t="shared" si="42"/>
        <v>10.443386688510557</v>
      </c>
      <c r="I2691">
        <v>1</v>
      </c>
      <c r="J2691" t="s">
        <v>21</v>
      </c>
    </row>
    <row r="2692" spans="1:10" x14ac:dyDescent="0.25">
      <c r="A2692">
        <v>6023</v>
      </c>
      <c r="B2692" t="s">
        <v>2475</v>
      </c>
      <c r="C2692" t="s">
        <v>166</v>
      </c>
      <c r="D2692" t="s">
        <v>2218</v>
      </c>
      <c r="E2692" t="s">
        <v>2219</v>
      </c>
      <c r="F2692">
        <v>207974323</v>
      </c>
      <c r="G2692">
        <v>19914452</v>
      </c>
      <c r="H2692" s="32">
        <f t="shared" si="42"/>
        <v>10.443386692237377</v>
      </c>
      <c r="I2692">
        <v>2</v>
      </c>
      <c r="J2692" t="s">
        <v>21</v>
      </c>
    </row>
    <row r="2693" spans="1:10" x14ac:dyDescent="0.25">
      <c r="A2693">
        <v>6011</v>
      </c>
      <c r="B2693" t="s">
        <v>2469</v>
      </c>
      <c r="C2693" t="s">
        <v>307</v>
      </c>
      <c r="D2693" t="s">
        <v>2218</v>
      </c>
      <c r="E2693" t="s">
        <v>2219</v>
      </c>
      <c r="F2693">
        <v>154511473</v>
      </c>
      <c r="G2693">
        <v>14795150</v>
      </c>
      <c r="H2693" s="32">
        <f t="shared" si="42"/>
        <v>10.443386717944732</v>
      </c>
      <c r="I2693">
        <v>2</v>
      </c>
      <c r="J2693" t="s">
        <v>21</v>
      </c>
    </row>
    <row r="2694" spans="1:10" x14ac:dyDescent="0.25">
      <c r="A2694">
        <v>1729</v>
      </c>
      <c r="B2694" t="s">
        <v>2308</v>
      </c>
      <c r="C2694" t="s">
        <v>250</v>
      </c>
      <c r="D2694" t="s">
        <v>2218</v>
      </c>
      <c r="E2694" t="s">
        <v>2219</v>
      </c>
      <c r="F2694">
        <v>103890331</v>
      </c>
      <c r="G2694">
        <v>9947954</v>
      </c>
      <c r="H2694" s="32">
        <f t="shared" si="42"/>
        <v>10.443386750682603</v>
      </c>
      <c r="I2694">
        <v>1</v>
      </c>
      <c r="J2694" t="s">
        <v>21</v>
      </c>
    </row>
    <row r="2695" spans="1:10" x14ac:dyDescent="0.25">
      <c r="A2695">
        <v>204</v>
      </c>
      <c r="B2695" t="s">
        <v>2217</v>
      </c>
      <c r="C2695" t="s">
        <v>166</v>
      </c>
      <c r="D2695" t="s">
        <v>2218</v>
      </c>
      <c r="E2695" t="s">
        <v>2219</v>
      </c>
      <c r="F2695">
        <v>87072145</v>
      </c>
      <c r="G2695">
        <v>8337539</v>
      </c>
      <c r="H2695" s="32">
        <f t="shared" si="42"/>
        <v>10.443386831533861</v>
      </c>
      <c r="I2695">
        <v>1</v>
      </c>
      <c r="J2695" t="s">
        <v>21</v>
      </c>
    </row>
    <row r="2696" spans="1:10" x14ac:dyDescent="0.25">
      <c r="A2696">
        <v>2410</v>
      </c>
      <c r="B2696" t="s">
        <v>2356</v>
      </c>
      <c r="C2696" t="s">
        <v>241</v>
      </c>
      <c r="D2696" t="s">
        <v>2218</v>
      </c>
      <c r="E2696" t="s">
        <v>2219</v>
      </c>
      <c r="F2696">
        <v>195431272</v>
      </c>
      <c r="G2696">
        <v>18712636</v>
      </c>
      <c r="H2696" s="32">
        <f t="shared" si="42"/>
        <v>10.443813046969973</v>
      </c>
      <c r="I2696">
        <v>2</v>
      </c>
      <c r="J2696" t="s">
        <v>21</v>
      </c>
    </row>
    <row r="2697" spans="1:10" x14ac:dyDescent="0.25">
      <c r="A2697">
        <v>6118</v>
      </c>
      <c r="B2697" t="s">
        <v>2484</v>
      </c>
      <c r="C2697" t="s">
        <v>241</v>
      </c>
      <c r="D2697" t="s">
        <v>2218</v>
      </c>
      <c r="E2697" t="s">
        <v>2219</v>
      </c>
      <c r="F2697">
        <v>96244904</v>
      </c>
      <c r="G2697">
        <v>9205082</v>
      </c>
      <c r="H2697" s="32">
        <f t="shared" si="42"/>
        <v>10.455627011253132</v>
      </c>
      <c r="I2697">
        <v>1</v>
      </c>
      <c r="J2697" t="s">
        <v>21</v>
      </c>
    </row>
    <row r="2698" spans="1:10" x14ac:dyDescent="0.25">
      <c r="A2698">
        <v>6152</v>
      </c>
      <c r="B2698" t="s">
        <v>2487</v>
      </c>
      <c r="C2698" t="s">
        <v>2029</v>
      </c>
      <c r="D2698" t="s">
        <v>2218</v>
      </c>
      <c r="E2698" t="s">
        <v>2219</v>
      </c>
      <c r="F2698">
        <v>136644496</v>
      </c>
      <c r="G2698">
        <v>13059930</v>
      </c>
      <c r="H2698" s="32">
        <f t="shared" si="42"/>
        <v>10.462881194615898</v>
      </c>
      <c r="I2698">
        <v>2</v>
      </c>
      <c r="J2698" t="s">
        <v>21</v>
      </c>
    </row>
    <row r="2699" spans="1:10" x14ac:dyDescent="0.25">
      <c r="A2699">
        <v>7722</v>
      </c>
      <c r="B2699" t="s">
        <v>2532</v>
      </c>
      <c r="C2699" t="s">
        <v>2029</v>
      </c>
      <c r="D2699" t="s">
        <v>2218</v>
      </c>
      <c r="E2699" t="s">
        <v>2219</v>
      </c>
      <c r="F2699">
        <v>170410880</v>
      </c>
      <c r="G2699">
        <v>16273295</v>
      </c>
      <c r="H2699" s="32">
        <f t="shared" si="42"/>
        <v>10.471811639867648</v>
      </c>
      <c r="I2699">
        <v>2</v>
      </c>
      <c r="J2699" t="s">
        <v>21</v>
      </c>
    </row>
    <row r="2700" spans="1:10" x14ac:dyDescent="0.25">
      <c r="A2700">
        <v>55250</v>
      </c>
      <c r="B2700" t="s">
        <v>2185</v>
      </c>
      <c r="C2700" t="s">
        <v>166</v>
      </c>
      <c r="D2700" t="s">
        <v>2214</v>
      </c>
      <c r="E2700" t="s">
        <v>2216</v>
      </c>
      <c r="F2700">
        <v>1725</v>
      </c>
      <c r="G2700">
        <v>151438</v>
      </c>
      <c r="H2700" s="32">
        <f t="shared" si="42"/>
        <v>1.1390800195459528E-2</v>
      </c>
      <c r="I2700">
        <v>1</v>
      </c>
      <c r="J2700" t="s">
        <v>21</v>
      </c>
    </row>
    <row r="2701" spans="1:10" x14ac:dyDescent="0.25">
      <c r="A2701">
        <v>58427</v>
      </c>
      <c r="B2701" t="s">
        <v>3192</v>
      </c>
      <c r="C2701" t="s">
        <v>250</v>
      </c>
      <c r="D2701" t="s">
        <v>1969</v>
      </c>
      <c r="E2701" t="s">
        <v>2216</v>
      </c>
      <c r="F2701">
        <v>64</v>
      </c>
      <c r="G2701">
        <v>5388</v>
      </c>
      <c r="H2701" s="32">
        <f t="shared" si="42"/>
        <v>1.1878247958426132E-2</v>
      </c>
      <c r="I2701">
        <v>1</v>
      </c>
      <c r="J2701" t="s">
        <v>21</v>
      </c>
    </row>
    <row r="2702" spans="1:10" x14ac:dyDescent="0.25">
      <c r="A2702">
        <v>55334</v>
      </c>
      <c r="B2702" t="s">
        <v>2787</v>
      </c>
      <c r="C2702" t="s">
        <v>166</v>
      </c>
      <c r="D2702" t="s">
        <v>1969</v>
      </c>
      <c r="E2702" t="s">
        <v>2216</v>
      </c>
      <c r="F2702">
        <v>62640</v>
      </c>
      <c r="G2702">
        <v>585809</v>
      </c>
      <c r="H2702" s="32">
        <f t="shared" si="42"/>
        <v>0.10692905025358095</v>
      </c>
      <c r="I2702">
        <v>1</v>
      </c>
      <c r="J2702" t="s">
        <v>21</v>
      </c>
    </row>
    <row r="2703" spans="1:10" x14ac:dyDescent="0.25">
      <c r="A2703">
        <v>58079</v>
      </c>
      <c r="B2703" t="s">
        <v>3105</v>
      </c>
      <c r="C2703" t="s">
        <v>241</v>
      </c>
      <c r="D2703" t="s">
        <v>1969</v>
      </c>
      <c r="E2703" t="s">
        <v>2216</v>
      </c>
      <c r="F2703">
        <v>124261</v>
      </c>
      <c r="G2703">
        <v>1004881</v>
      </c>
      <c r="H2703" s="32">
        <f t="shared" si="42"/>
        <v>0.12365742809347574</v>
      </c>
      <c r="I2703">
        <v>1</v>
      </c>
      <c r="J2703" t="s">
        <v>21</v>
      </c>
    </row>
    <row r="2704" spans="1:10" x14ac:dyDescent="0.25">
      <c r="A2704">
        <v>55460</v>
      </c>
      <c r="B2704" t="s">
        <v>2796</v>
      </c>
      <c r="C2704" t="s">
        <v>250</v>
      </c>
      <c r="D2704" t="s">
        <v>1969</v>
      </c>
      <c r="E2704" t="s">
        <v>2216</v>
      </c>
      <c r="F2704">
        <v>405669</v>
      </c>
      <c r="G2704">
        <v>1999365</v>
      </c>
      <c r="H2704" s="32">
        <f t="shared" si="42"/>
        <v>0.20289892040722929</v>
      </c>
      <c r="I2704">
        <v>1</v>
      </c>
      <c r="J2704" t="s">
        <v>21</v>
      </c>
    </row>
    <row r="2705" spans="1:10" x14ac:dyDescent="0.25">
      <c r="A2705">
        <v>60368</v>
      </c>
      <c r="B2705" t="s">
        <v>3747</v>
      </c>
      <c r="C2705" t="s">
        <v>143</v>
      </c>
      <c r="D2705" t="s">
        <v>1969</v>
      </c>
      <c r="E2705" t="s">
        <v>2216</v>
      </c>
      <c r="F2705">
        <v>629730</v>
      </c>
      <c r="G2705">
        <v>2808605</v>
      </c>
      <c r="H2705" s="32">
        <f t="shared" si="42"/>
        <v>0.22421451218665495</v>
      </c>
      <c r="I2705">
        <v>1</v>
      </c>
      <c r="J2705" t="s">
        <v>21</v>
      </c>
    </row>
    <row r="2706" spans="1:10" x14ac:dyDescent="0.25">
      <c r="A2706">
        <v>57794</v>
      </c>
      <c r="B2706" t="s">
        <v>2177</v>
      </c>
      <c r="C2706" t="s">
        <v>131</v>
      </c>
      <c r="D2706" t="s">
        <v>1969</v>
      </c>
      <c r="E2706" t="s">
        <v>2216</v>
      </c>
      <c r="F2706">
        <v>476216</v>
      </c>
      <c r="G2706">
        <v>1785161</v>
      </c>
      <c r="H2706" s="32">
        <f t="shared" si="42"/>
        <v>0.26676361403817361</v>
      </c>
      <c r="I2706">
        <v>1</v>
      </c>
      <c r="J2706" t="s">
        <v>21</v>
      </c>
    </row>
    <row r="2707" spans="1:10" x14ac:dyDescent="0.25">
      <c r="A2707">
        <v>2398</v>
      </c>
      <c r="B2707" t="s">
        <v>238</v>
      </c>
      <c r="C2707" t="s">
        <v>241</v>
      </c>
      <c r="D2707" t="s">
        <v>1969</v>
      </c>
      <c r="E2707" t="s">
        <v>2216</v>
      </c>
      <c r="F2707">
        <v>321114</v>
      </c>
      <c r="G2707">
        <v>1106848.2509999999</v>
      </c>
      <c r="H2707" s="32">
        <f t="shared" si="42"/>
        <v>0.29011565018952179</v>
      </c>
      <c r="I2707">
        <v>1</v>
      </c>
      <c r="J2707" t="s">
        <v>21</v>
      </c>
    </row>
    <row r="2708" spans="1:10" x14ac:dyDescent="0.25">
      <c r="A2708">
        <v>55297</v>
      </c>
      <c r="B2708" t="s">
        <v>2784</v>
      </c>
      <c r="C2708" t="s">
        <v>250</v>
      </c>
      <c r="D2708" t="s">
        <v>1969</v>
      </c>
      <c r="E2708" t="s">
        <v>2216</v>
      </c>
      <c r="F2708">
        <v>839644</v>
      </c>
      <c r="G2708">
        <v>2574236</v>
      </c>
      <c r="H2708" s="32">
        <f t="shared" si="42"/>
        <v>0.32617211475560126</v>
      </c>
      <c r="I2708">
        <v>1</v>
      </c>
      <c r="J2708" t="s">
        <v>21</v>
      </c>
    </row>
    <row r="2709" spans="1:10" x14ac:dyDescent="0.25">
      <c r="A2709">
        <v>56963</v>
      </c>
      <c r="B2709" t="s">
        <v>2925</v>
      </c>
      <c r="C2709" t="s">
        <v>241</v>
      </c>
      <c r="D2709" t="s">
        <v>1969</v>
      </c>
      <c r="E2709" t="s">
        <v>2216</v>
      </c>
      <c r="F2709">
        <v>37701</v>
      </c>
      <c r="G2709">
        <v>114571</v>
      </c>
      <c r="H2709" s="32">
        <f t="shared" si="42"/>
        <v>0.32906232816332232</v>
      </c>
      <c r="I2709">
        <v>1</v>
      </c>
      <c r="J2709" t="s">
        <v>21</v>
      </c>
    </row>
    <row r="2710" spans="1:10" x14ac:dyDescent="0.25">
      <c r="A2710">
        <v>60376</v>
      </c>
      <c r="B2710" t="s">
        <v>2111</v>
      </c>
      <c r="C2710" t="s">
        <v>322</v>
      </c>
      <c r="D2710" t="s">
        <v>1969</v>
      </c>
      <c r="E2710" t="s">
        <v>2216</v>
      </c>
      <c r="F2710">
        <v>879120</v>
      </c>
      <c r="G2710">
        <v>2309331.36</v>
      </c>
      <c r="H2710" s="32">
        <f t="shared" si="42"/>
        <v>0.38068161859630228</v>
      </c>
      <c r="I2710">
        <v>1</v>
      </c>
      <c r="J2710" t="s">
        <v>21</v>
      </c>
    </row>
    <row r="2711" spans="1:10" x14ac:dyDescent="0.25">
      <c r="A2711">
        <v>2411</v>
      </c>
      <c r="B2711" t="s">
        <v>1558</v>
      </c>
      <c r="C2711" t="s">
        <v>241</v>
      </c>
      <c r="D2711" t="s">
        <v>1969</v>
      </c>
      <c r="E2711" t="s">
        <v>2216</v>
      </c>
      <c r="F2711">
        <v>326791</v>
      </c>
      <c r="G2711">
        <v>670980.43500000006</v>
      </c>
      <c r="H2711" s="32">
        <f t="shared" si="42"/>
        <v>0.48703506533689017</v>
      </c>
      <c r="I2711">
        <v>1</v>
      </c>
      <c r="J2711" t="s">
        <v>21</v>
      </c>
    </row>
    <row r="2712" spans="1:10" x14ac:dyDescent="0.25">
      <c r="A2712">
        <v>57349</v>
      </c>
      <c r="B2712" t="s">
        <v>792</v>
      </c>
      <c r="C2712" t="s">
        <v>672</v>
      </c>
      <c r="D2712" t="s">
        <v>1969</v>
      </c>
      <c r="E2712" t="s">
        <v>2216</v>
      </c>
      <c r="F2712">
        <v>160585</v>
      </c>
      <c r="G2712">
        <v>295969.59100000001</v>
      </c>
      <c r="H2712" s="32">
        <f t="shared" si="42"/>
        <v>0.54257263206475825</v>
      </c>
      <c r="I2712">
        <v>1</v>
      </c>
      <c r="J2712" t="s">
        <v>21</v>
      </c>
    </row>
    <row r="2713" spans="1:10" x14ac:dyDescent="0.25">
      <c r="A2713">
        <v>55231</v>
      </c>
      <c r="B2713" t="s">
        <v>1079</v>
      </c>
      <c r="C2713" t="s">
        <v>143</v>
      </c>
      <c r="D2713" t="s">
        <v>1969</v>
      </c>
      <c r="E2713" t="s">
        <v>2216</v>
      </c>
      <c r="F2713">
        <v>788905</v>
      </c>
      <c r="G2713">
        <v>1443145</v>
      </c>
      <c r="H2713" s="32">
        <f t="shared" si="42"/>
        <v>0.54665678085015712</v>
      </c>
      <c r="I2713">
        <v>1</v>
      </c>
      <c r="J2713" t="s">
        <v>21</v>
      </c>
    </row>
    <row r="2714" spans="1:10" x14ac:dyDescent="0.25">
      <c r="A2714">
        <v>60464</v>
      </c>
      <c r="B2714" t="s">
        <v>1784</v>
      </c>
      <c r="C2714" t="s">
        <v>143</v>
      </c>
      <c r="D2714" t="s">
        <v>1969</v>
      </c>
      <c r="E2714" t="s">
        <v>2216</v>
      </c>
      <c r="F2714">
        <v>1120764</v>
      </c>
      <c r="G2714">
        <v>2048484</v>
      </c>
      <c r="H2714" s="32">
        <f t="shared" si="42"/>
        <v>0.54711874732729182</v>
      </c>
      <c r="I2714">
        <v>1</v>
      </c>
      <c r="J2714" t="s">
        <v>21</v>
      </c>
    </row>
    <row r="2715" spans="1:10" x14ac:dyDescent="0.25">
      <c r="A2715">
        <v>55503</v>
      </c>
      <c r="B2715" t="s">
        <v>1760</v>
      </c>
      <c r="C2715" t="s">
        <v>322</v>
      </c>
      <c r="D2715" t="s">
        <v>1969</v>
      </c>
      <c r="E2715" t="s">
        <v>2216</v>
      </c>
      <c r="F2715">
        <v>1015714</v>
      </c>
      <c r="G2715">
        <v>1852907</v>
      </c>
      <c r="H2715" s="32">
        <f t="shared" si="42"/>
        <v>0.54817322186164763</v>
      </c>
      <c r="I2715">
        <v>1</v>
      </c>
      <c r="J2715" t="s">
        <v>21</v>
      </c>
    </row>
    <row r="2716" spans="1:10" x14ac:dyDescent="0.25">
      <c r="A2716">
        <v>55801</v>
      </c>
      <c r="B2716" t="s">
        <v>2808</v>
      </c>
      <c r="C2716" t="s">
        <v>143</v>
      </c>
      <c r="D2716" t="s">
        <v>1969</v>
      </c>
      <c r="E2716" t="s">
        <v>2216</v>
      </c>
      <c r="F2716">
        <v>1049326</v>
      </c>
      <c r="G2716">
        <v>1885802</v>
      </c>
      <c r="H2716" s="32">
        <f t="shared" si="42"/>
        <v>0.55643487492324217</v>
      </c>
      <c r="I2716">
        <v>1</v>
      </c>
      <c r="J2716" t="s">
        <v>21</v>
      </c>
    </row>
    <row r="2717" spans="1:10" x14ac:dyDescent="0.25">
      <c r="A2717">
        <v>59004</v>
      </c>
      <c r="B2717" t="s">
        <v>3349</v>
      </c>
      <c r="C2717" t="s">
        <v>201</v>
      </c>
      <c r="D2717" t="s">
        <v>1969</v>
      </c>
      <c r="E2717" t="s">
        <v>2216</v>
      </c>
      <c r="F2717">
        <v>985429</v>
      </c>
      <c r="G2717">
        <v>1747270</v>
      </c>
      <c r="H2717" s="32">
        <f t="shared" si="42"/>
        <v>0.56398209778683317</v>
      </c>
      <c r="I2717">
        <v>1</v>
      </c>
      <c r="J2717" t="s">
        <v>21</v>
      </c>
    </row>
    <row r="2718" spans="1:10" x14ac:dyDescent="0.25">
      <c r="A2718">
        <v>55183</v>
      </c>
      <c r="B2718" t="s">
        <v>1253</v>
      </c>
      <c r="C2718" t="s">
        <v>166</v>
      </c>
      <c r="D2718" t="s">
        <v>1969</v>
      </c>
      <c r="E2718" t="s">
        <v>2216</v>
      </c>
      <c r="F2718">
        <v>605201</v>
      </c>
      <c r="G2718">
        <v>1045498</v>
      </c>
      <c r="H2718" s="32">
        <f t="shared" si="42"/>
        <v>0.57886385244161154</v>
      </c>
      <c r="I2718">
        <v>1</v>
      </c>
      <c r="J2718" t="s">
        <v>21</v>
      </c>
    </row>
    <row r="2719" spans="1:10" x14ac:dyDescent="0.25">
      <c r="A2719">
        <v>59764</v>
      </c>
      <c r="B2719" t="s">
        <v>1317</v>
      </c>
      <c r="C2719" t="s">
        <v>322</v>
      </c>
      <c r="D2719" t="s">
        <v>1969</v>
      </c>
      <c r="E2719" t="s">
        <v>2216</v>
      </c>
      <c r="F2719">
        <v>1248095</v>
      </c>
      <c r="G2719">
        <v>2006577</v>
      </c>
      <c r="H2719" s="32">
        <f t="shared" si="42"/>
        <v>0.62200204627083833</v>
      </c>
      <c r="I2719">
        <v>1</v>
      </c>
      <c r="J2719" t="s">
        <v>21</v>
      </c>
    </row>
    <row r="2720" spans="1:10" x14ac:dyDescent="0.25">
      <c r="A2720">
        <v>55667</v>
      </c>
      <c r="B2720" t="s">
        <v>2104</v>
      </c>
      <c r="C2720" t="s">
        <v>143</v>
      </c>
      <c r="D2720" t="s">
        <v>1969</v>
      </c>
      <c r="E2720" t="s">
        <v>2216</v>
      </c>
      <c r="F2720">
        <v>1030735</v>
      </c>
      <c r="G2720">
        <v>1656484</v>
      </c>
      <c r="H2720" s="32">
        <f t="shared" si="42"/>
        <v>0.62224265371715026</v>
      </c>
      <c r="I2720">
        <v>1</v>
      </c>
      <c r="J2720" t="s">
        <v>21</v>
      </c>
    </row>
    <row r="2721" spans="1:10" x14ac:dyDescent="0.25">
      <c r="A2721">
        <v>55502</v>
      </c>
      <c r="B2721" t="s">
        <v>1058</v>
      </c>
      <c r="C2721" t="s">
        <v>131</v>
      </c>
      <c r="D2721" t="s">
        <v>1969</v>
      </c>
      <c r="E2721" t="s">
        <v>2216</v>
      </c>
      <c r="F2721">
        <v>1926453</v>
      </c>
      <c r="G2721">
        <v>3035814</v>
      </c>
      <c r="H2721" s="32">
        <f t="shared" si="42"/>
        <v>0.63457543841618758</v>
      </c>
      <c r="I2721">
        <v>1</v>
      </c>
      <c r="J2721" t="s">
        <v>21</v>
      </c>
    </row>
    <row r="2722" spans="1:10" x14ac:dyDescent="0.25">
      <c r="A2722">
        <v>57839</v>
      </c>
      <c r="B2722" t="s">
        <v>3060</v>
      </c>
      <c r="C2722" t="s">
        <v>241</v>
      </c>
      <c r="D2722" t="s">
        <v>1969</v>
      </c>
      <c r="E2722" t="s">
        <v>2216</v>
      </c>
      <c r="F2722">
        <v>978257</v>
      </c>
      <c r="G2722">
        <v>1471395</v>
      </c>
      <c r="H2722" s="32">
        <f t="shared" si="42"/>
        <v>0.66485002327723008</v>
      </c>
      <c r="I2722">
        <v>1</v>
      </c>
      <c r="J2722" t="s">
        <v>21</v>
      </c>
    </row>
    <row r="2723" spans="1:10" x14ac:dyDescent="0.25">
      <c r="A2723">
        <v>62289</v>
      </c>
      <c r="B2723" t="s">
        <v>4136</v>
      </c>
      <c r="C2723" t="s">
        <v>250</v>
      </c>
      <c r="D2723" t="s">
        <v>1969</v>
      </c>
      <c r="E2723" t="s">
        <v>2216</v>
      </c>
      <c r="F2723">
        <v>3276</v>
      </c>
      <c r="G2723">
        <v>4902</v>
      </c>
      <c r="H2723" s="32">
        <f t="shared" si="42"/>
        <v>0.66829865361077112</v>
      </c>
      <c r="I2723">
        <v>1</v>
      </c>
      <c r="J2723" t="s">
        <v>21</v>
      </c>
    </row>
    <row r="2724" spans="1:10" x14ac:dyDescent="0.25">
      <c r="A2724">
        <v>7805</v>
      </c>
      <c r="B2724" t="s">
        <v>2164</v>
      </c>
      <c r="C2724" t="s">
        <v>708</v>
      </c>
      <c r="D2724" t="s">
        <v>1969</v>
      </c>
      <c r="E2724" t="s">
        <v>2216</v>
      </c>
      <c r="F2724">
        <v>2067083</v>
      </c>
      <c r="G2724">
        <v>2952527.81</v>
      </c>
      <c r="H2724" s="32">
        <f t="shared" si="42"/>
        <v>0.70010619137910846</v>
      </c>
      <c r="I2724">
        <v>1</v>
      </c>
      <c r="J2724" t="s">
        <v>21</v>
      </c>
    </row>
    <row r="2725" spans="1:10" x14ac:dyDescent="0.25">
      <c r="A2725">
        <v>3096</v>
      </c>
      <c r="B2725" t="s">
        <v>330</v>
      </c>
      <c r="C2725" t="s">
        <v>143</v>
      </c>
      <c r="D2725" t="s">
        <v>1969</v>
      </c>
      <c r="E2725" t="s">
        <v>2216</v>
      </c>
      <c r="F2725">
        <v>4681</v>
      </c>
      <c r="G2725">
        <v>6427</v>
      </c>
      <c r="H2725" s="32">
        <f t="shared" si="42"/>
        <v>0.72833359265598252</v>
      </c>
      <c r="I2725">
        <v>1</v>
      </c>
      <c r="J2725" t="s">
        <v>21</v>
      </c>
    </row>
    <row r="2726" spans="1:10" x14ac:dyDescent="0.25">
      <c r="A2726">
        <v>55439</v>
      </c>
      <c r="B2726" t="s">
        <v>2795</v>
      </c>
      <c r="C2726" t="s">
        <v>201</v>
      </c>
      <c r="D2726" t="s">
        <v>1969</v>
      </c>
      <c r="E2726" t="s">
        <v>2216</v>
      </c>
      <c r="F2726">
        <v>1373940</v>
      </c>
      <c r="G2726">
        <v>1860494.19</v>
      </c>
      <c r="H2726" s="32">
        <f t="shared" si="42"/>
        <v>0.73848120966182651</v>
      </c>
      <c r="I2726">
        <v>1</v>
      </c>
      <c r="J2726" t="s">
        <v>21</v>
      </c>
    </row>
    <row r="2727" spans="1:10" x14ac:dyDescent="0.25">
      <c r="A2727">
        <v>10745</v>
      </c>
      <c r="B2727" t="s">
        <v>2609</v>
      </c>
      <c r="C2727" t="s">
        <v>250</v>
      </c>
      <c r="D2727" t="s">
        <v>1969</v>
      </c>
      <c r="E2727" t="s">
        <v>2216</v>
      </c>
      <c r="F2727">
        <v>1693553</v>
      </c>
      <c r="G2727">
        <v>2027371.78</v>
      </c>
      <c r="H2727" s="32">
        <f t="shared" si="42"/>
        <v>0.83534407290605572</v>
      </c>
      <c r="I2727">
        <v>1</v>
      </c>
      <c r="J2727" t="s">
        <v>21</v>
      </c>
    </row>
    <row r="2728" spans="1:10" x14ac:dyDescent="0.25">
      <c r="A2728">
        <v>56846</v>
      </c>
      <c r="B2728" t="s">
        <v>2907</v>
      </c>
      <c r="C2728" t="s">
        <v>307</v>
      </c>
      <c r="D2728" t="s">
        <v>1969</v>
      </c>
      <c r="E2728" t="s">
        <v>2216</v>
      </c>
      <c r="F2728">
        <v>1531851</v>
      </c>
      <c r="G2728">
        <v>1768220</v>
      </c>
      <c r="H2728" s="32">
        <f t="shared" si="42"/>
        <v>0.86632376061802263</v>
      </c>
      <c r="I2728">
        <v>1</v>
      </c>
      <c r="J2728" t="s">
        <v>21</v>
      </c>
    </row>
    <row r="2729" spans="1:10" x14ac:dyDescent="0.25">
      <c r="A2729">
        <v>55976</v>
      </c>
      <c r="B2729" t="s">
        <v>959</v>
      </c>
      <c r="C2729" t="s">
        <v>143</v>
      </c>
      <c r="D2729" t="s">
        <v>1969</v>
      </c>
      <c r="E2729" t="s">
        <v>2216</v>
      </c>
      <c r="F2729">
        <v>1970072</v>
      </c>
      <c r="G2729">
        <v>2196406</v>
      </c>
      <c r="H2729" s="32">
        <f t="shared" si="42"/>
        <v>0.89695256705727444</v>
      </c>
      <c r="I2729">
        <v>1</v>
      </c>
      <c r="J2729" t="s">
        <v>21</v>
      </c>
    </row>
    <row r="2730" spans="1:10" x14ac:dyDescent="0.25">
      <c r="A2730">
        <v>60302</v>
      </c>
      <c r="B2730" t="s">
        <v>3729</v>
      </c>
      <c r="C2730" t="s">
        <v>307</v>
      </c>
      <c r="D2730" t="s">
        <v>1969</v>
      </c>
      <c r="E2730" t="s">
        <v>2216</v>
      </c>
      <c r="F2730">
        <v>1445199</v>
      </c>
      <c r="G2730">
        <v>1593886</v>
      </c>
      <c r="H2730" s="32">
        <f t="shared" si="42"/>
        <v>0.90671415647041254</v>
      </c>
      <c r="I2730">
        <v>1</v>
      </c>
      <c r="J2730" t="s">
        <v>21</v>
      </c>
    </row>
    <row r="2731" spans="1:10" x14ac:dyDescent="0.25">
      <c r="A2731">
        <v>59220</v>
      </c>
      <c r="B2731" t="s">
        <v>1797</v>
      </c>
      <c r="C2731" t="s">
        <v>307</v>
      </c>
      <c r="D2731" t="s">
        <v>1969</v>
      </c>
      <c r="E2731" t="s">
        <v>2216</v>
      </c>
      <c r="F2731">
        <v>1185144</v>
      </c>
      <c r="G2731">
        <v>1302749</v>
      </c>
      <c r="H2731" s="32">
        <f t="shared" si="42"/>
        <v>0.90972551120745437</v>
      </c>
      <c r="I2731">
        <v>1</v>
      </c>
      <c r="J2731" t="s">
        <v>21</v>
      </c>
    </row>
    <row r="2732" spans="1:10" x14ac:dyDescent="0.25">
      <c r="A2732">
        <v>55298</v>
      </c>
      <c r="B2732" t="s">
        <v>2785</v>
      </c>
      <c r="C2732" t="s">
        <v>143</v>
      </c>
      <c r="D2732" t="s">
        <v>1969</v>
      </c>
      <c r="E2732" t="s">
        <v>2216</v>
      </c>
      <c r="F2732">
        <v>2991486</v>
      </c>
      <c r="G2732">
        <v>3171923</v>
      </c>
      <c r="H2732" s="32">
        <f t="shared" si="42"/>
        <v>0.94311431897936993</v>
      </c>
      <c r="I2732">
        <v>1</v>
      </c>
      <c r="J2732" t="s">
        <v>21</v>
      </c>
    </row>
    <row r="2733" spans="1:10" x14ac:dyDescent="0.25">
      <c r="A2733">
        <v>52019</v>
      </c>
      <c r="B2733" t="s">
        <v>2681</v>
      </c>
      <c r="C2733" t="s">
        <v>201</v>
      </c>
      <c r="D2733" t="s">
        <v>1969</v>
      </c>
      <c r="E2733" t="s">
        <v>2216</v>
      </c>
      <c r="F2733">
        <v>1729875</v>
      </c>
      <c r="G2733">
        <v>1494409.088</v>
      </c>
      <c r="H2733" s="32">
        <f t="shared" si="42"/>
        <v>1.157564561063483</v>
      </c>
      <c r="I2733">
        <v>1</v>
      </c>
      <c r="J2733" t="s">
        <v>21</v>
      </c>
    </row>
    <row r="2734" spans="1:10" x14ac:dyDescent="0.25">
      <c r="A2734">
        <v>61028</v>
      </c>
      <c r="B2734" t="s">
        <v>923</v>
      </c>
      <c r="C2734" t="s">
        <v>143</v>
      </c>
      <c r="D2734" t="s">
        <v>1969</v>
      </c>
      <c r="E2734" t="s">
        <v>2216</v>
      </c>
      <c r="F2734">
        <v>2942037</v>
      </c>
      <c r="G2734">
        <v>2524201</v>
      </c>
      <c r="H2734" s="32">
        <f t="shared" si="42"/>
        <v>1.1655319841803407</v>
      </c>
      <c r="I2734">
        <v>1</v>
      </c>
      <c r="J2734" t="s">
        <v>21</v>
      </c>
    </row>
    <row r="2735" spans="1:10" x14ac:dyDescent="0.25">
      <c r="A2735">
        <v>62192</v>
      </c>
      <c r="B2735" t="s">
        <v>4129</v>
      </c>
      <c r="C2735" t="s">
        <v>250</v>
      </c>
      <c r="D2735" t="s">
        <v>1969</v>
      </c>
      <c r="E2735" t="s">
        <v>2216</v>
      </c>
      <c r="F2735">
        <v>3471311</v>
      </c>
      <c r="G2735">
        <v>2952135</v>
      </c>
      <c r="H2735" s="32">
        <f t="shared" si="42"/>
        <v>1.1758645861385066</v>
      </c>
      <c r="I2735">
        <v>1</v>
      </c>
      <c r="J2735" t="s">
        <v>21</v>
      </c>
    </row>
    <row r="2736" spans="1:10" x14ac:dyDescent="0.25">
      <c r="A2736">
        <v>10751</v>
      </c>
      <c r="B2736" t="s">
        <v>1983</v>
      </c>
      <c r="C2736" t="s">
        <v>241</v>
      </c>
      <c r="D2736" t="s">
        <v>1969</v>
      </c>
      <c r="E2736" t="s">
        <v>2216</v>
      </c>
      <c r="F2736">
        <v>36472</v>
      </c>
      <c r="G2736">
        <v>29833</v>
      </c>
      <c r="H2736" s="32">
        <f t="shared" si="42"/>
        <v>1.2225387993161936</v>
      </c>
      <c r="I2736">
        <v>1</v>
      </c>
      <c r="J2736" t="s">
        <v>21</v>
      </c>
    </row>
    <row r="2737" spans="1:10" x14ac:dyDescent="0.25">
      <c r="A2737">
        <v>55087</v>
      </c>
      <c r="B2737" t="s">
        <v>2764</v>
      </c>
      <c r="C2737" t="s">
        <v>250</v>
      </c>
      <c r="D2737" t="s">
        <v>1969</v>
      </c>
      <c r="E2737" t="s">
        <v>2216</v>
      </c>
      <c r="F2737">
        <v>1784071</v>
      </c>
      <c r="G2737">
        <v>1447748</v>
      </c>
      <c r="H2737" s="32">
        <f t="shared" si="42"/>
        <v>1.2323076944330091</v>
      </c>
      <c r="I2737">
        <v>1</v>
      </c>
      <c r="J2737" t="s">
        <v>21</v>
      </c>
    </row>
    <row r="2738" spans="1:10" x14ac:dyDescent="0.25">
      <c r="A2738">
        <v>3176</v>
      </c>
      <c r="B2738" t="s">
        <v>948</v>
      </c>
      <c r="C2738" t="s">
        <v>143</v>
      </c>
      <c r="D2738" t="s">
        <v>1969</v>
      </c>
      <c r="E2738" t="s">
        <v>2216</v>
      </c>
      <c r="F2738">
        <v>52442</v>
      </c>
      <c r="G2738">
        <v>42083</v>
      </c>
      <c r="H2738" s="32">
        <f t="shared" si="42"/>
        <v>1.2461564051992491</v>
      </c>
      <c r="I2738">
        <v>1</v>
      </c>
      <c r="J2738" t="s">
        <v>21</v>
      </c>
    </row>
    <row r="2739" spans="1:10" x14ac:dyDescent="0.25">
      <c r="A2739">
        <v>55524</v>
      </c>
      <c r="B2739" t="s">
        <v>2204</v>
      </c>
      <c r="C2739" t="s">
        <v>143</v>
      </c>
      <c r="D2739" t="s">
        <v>1969</v>
      </c>
      <c r="E2739" t="s">
        <v>2216</v>
      </c>
      <c r="F2739">
        <v>4642720</v>
      </c>
      <c r="G2739">
        <v>3221258.66</v>
      </c>
      <c r="H2739" s="32">
        <f t="shared" si="42"/>
        <v>1.4412751318765564</v>
      </c>
      <c r="I2739">
        <v>1</v>
      </c>
      <c r="J2739" t="s">
        <v>21</v>
      </c>
    </row>
    <row r="2740" spans="1:10" x14ac:dyDescent="0.25">
      <c r="A2740">
        <v>60589</v>
      </c>
      <c r="B2740" t="s">
        <v>3810</v>
      </c>
      <c r="C2740" t="s">
        <v>143</v>
      </c>
      <c r="D2740" t="s">
        <v>1969</v>
      </c>
      <c r="E2740" t="s">
        <v>2216</v>
      </c>
      <c r="F2740">
        <v>4190435</v>
      </c>
      <c r="G2740">
        <v>2655078</v>
      </c>
      <c r="H2740" s="32">
        <f t="shared" si="42"/>
        <v>1.5782719001099026</v>
      </c>
      <c r="I2740">
        <v>1</v>
      </c>
      <c r="J2740" t="s">
        <v>21</v>
      </c>
    </row>
    <row r="2741" spans="1:10" x14ac:dyDescent="0.25">
      <c r="A2741">
        <v>55364</v>
      </c>
      <c r="B2741" t="s">
        <v>2790</v>
      </c>
      <c r="C2741" t="s">
        <v>131</v>
      </c>
      <c r="D2741" t="s">
        <v>1969</v>
      </c>
      <c r="E2741" t="s">
        <v>2216</v>
      </c>
      <c r="F2741">
        <v>2186326</v>
      </c>
      <c r="G2741">
        <v>1349828</v>
      </c>
      <c r="H2741" s="32">
        <f t="shared" si="42"/>
        <v>1.6197071034235473</v>
      </c>
      <c r="I2741">
        <v>1</v>
      </c>
      <c r="J2741" t="s">
        <v>21</v>
      </c>
    </row>
    <row r="2742" spans="1:10" x14ac:dyDescent="0.25">
      <c r="A2742">
        <v>59325</v>
      </c>
      <c r="B2742" t="s">
        <v>3432</v>
      </c>
      <c r="C2742" t="s">
        <v>708</v>
      </c>
      <c r="D2742" t="s">
        <v>1969</v>
      </c>
      <c r="E2742" t="s">
        <v>2216</v>
      </c>
      <c r="F2742">
        <v>2280143</v>
      </c>
      <c r="G2742">
        <v>1304378</v>
      </c>
      <c r="H2742" s="32">
        <f t="shared" si="42"/>
        <v>1.7480691946659634</v>
      </c>
      <c r="I2742">
        <v>1</v>
      </c>
      <c r="J2742" t="s">
        <v>21</v>
      </c>
    </row>
    <row r="2743" spans="1:10" x14ac:dyDescent="0.25">
      <c r="A2743">
        <v>60356</v>
      </c>
      <c r="B2743" t="s">
        <v>2167</v>
      </c>
      <c r="C2743" t="s">
        <v>322</v>
      </c>
      <c r="D2743" t="s">
        <v>1969</v>
      </c>
      <c r="E2743" t="s">
        <v>2216</v>
      </c>
      <c r="F2743">
        <v>5075542</v>
      </c>
      <c r="G2743">
        <v>2759716</v>
      </c>
      <c r="H2743" s="32">
        <f t="shared" si="42"/>
        <v>1.8391537390079269</v>
      </c>
      <c r="I2743">
        <v>1</v>
      </c>
      <c r="J2743" t="s">
        <v>21</v>
      </c>
    </row>
    <row r="2744" spans="1:10" x14ac:dyDescent="0.25">
      <c r="A2744">
        <v>55397</v>
      </c>
      <c r="B2744" t="s">
        <v>1755</v>
      </c>
      <c r="C2744" t="s">
        <v>322</v>
      </c>
      <c r="D2744" t="s">
        <v>1969</v>
      </c>
      <c r="E2744" t="s">
        <v>2216</v>
      </c>
      <c r="F2744">
        <v>2744512</v>
      </c>
      <c r="G2744">
        <v>1394104</v>
      </c>
      <c r="H2744" s="32">
        <f t="shared" si="42"/>
        <v>1.9686565708153767</v>
      </c>
      <c r="I2744">
        <v>1</v>
      </c>
      <c r="J2744" t="s">
        <v>21</v>
      </c>
    </row>
    <row r="2745" spans="1:10" x14ac:dyDescent="0.25">
      <c r="A2745">
        <v>10030</v>
      </c>
      <c r="B2745" t="s">
        <v>2573</v>
      </c>
      <c r="C2745" t="s">
        <v>672</v>
      </c>
      <c r="D2745" t="s">
        <v>1969</v>
      </c>
      <c r="E2745" t="s">
        <v>2216</v>
      </c>
      <c r="F2745">
        <v>18377</v>
      </c>
      <c r="G2745">
        <v>8719</v>
      </c>
      <c r="H2745" s="32">
        <f t="shared" si="42"/>
        <v>2.1076958366785181</v>
      </c>
      <c r="I2745">
        <v>1</v>
      </c>
      <c r="J2745" t="s">
        <v>21</v>
      </c>
    </row>
    <row r="2746" spans="1:10" x14ac:dyDescent="0.25">
      <c r="A2746">
        <v>55131</v>
      </c>
      <c r="B2746" t="s">
        <v>998</v>
      </c>
      <c r="C2746" t="s">
        <v>166</v>
      </c>
      <c r="D2746" t="s">
        <v>1969</v>
      </c>
      <c r="E2746" t="s">
        <v>2216</v>
      </c>
      <c r="F2746">
        <v>4217794</v>
      </c>
      <c r="G2746">
        <v>1989916</v>
      </c>
      <c r="H2746" s="32">
        <f t="shared" si="42"/>
        <v>2.1195839422367579</v>
      </c>
      <c r="I2746">
        <v>1</v>
      </c>
      <c r="J2746" t="s">
        <v>21</v>
      </c>
    </row>
    <row r="2747" spans="1:10" x14ac:dyDescent="0.25">
      <c r="A2747">
        <v>55701</v>
      </c>
      <c r="B2747" t="s">
        <v>2053</v>
      </c>
      <c r="C2747" t="s">
        <v>322</v>
      </c>
      <c r="D2747" t="s">
        <v>1969</v>
      </c>
      <c r="E2747" t="s">
        <v>2216</v>
      </c>
      <c r="F2747">
        <v>3863079</v>
      </c>
      <c r="G2747">
        <v>1734703</v>
      </c>
      <c r="H2747" s="32">
        <f t="shared" si="42"/>
        <v>2.2269397124464532</v>
      </c>
      <c r="I2747">
        <v>1</v>
      </c>
      <c r="J2747" t="s">
        <v>21</v>
      </c>
    </row>
    <row r="2748" spans="1:10" x14ac:dyDescent="0.25">
      <c r="A2748">
        <v>59773</v>
      </c>
      <c r="B2748" t="s">
        <v>386</v>
      </c>
      <c r="C2748" t="s">
        <v>322</v>
      </c>
      <c r="D2748" t="s">
        <v>1969</v>
      </c>
      <c r="E2748" t="s">
        <v>2216</v>
      </c>
      <c r="F2748">
        <v>4682122</v>
      </c>
      <c r="G2748">
        <v>2096734</v>
      </c>
      <c r="H2748" s="32">
        <f t="shared" si="42"/>
        <v>2.2330548367127161</v>
      </c>
      <c r="I2748">
        <v>1</v>
      </c>
      <c r="J2748" t="s">
        <v>21</v>
      </c>
    </row>
    <row r="2749" spans="1:10" x14ac:dyDescent="0.25">
      <c r="A2749">
        <v>55736</v>
      </c>
      <c r="B2749" t="s">
        <v>881</v>
      </c>
      <c r="C2749" t="s">
        <v>322</v>
      </c>
      <c r="D2749" t="s">
        <v>1969</v>
      </c>
      <c r="E2749" t="s">
        <v>2216</v>
      </c>
      <c r="F2749">
        <v>9999547</v>
      </c>
      <c r="G2749">
        <v>4449928</v>
      </c>
      <c r="H2749" s="32">
        <f t="shared" si="42"/>
        <v>2.2471255714699203</v>
      </c>
      <c r="I2749">
        <v>1</v>
      </c>
      <c r="J2749" t="s">
        <v>21</v>
      </c>
    </row>
    <row r="2750" spans="1:10" x14ac:dyDescent="0.25">
      <c r="A2750">
        <v>59326</v>
      </c>
      <c r="B2750" t="s">
        <v>2112</v>
      </c>
      <c r="C2750" t="s">
        <v>322</v>
      </c>
      <c r="D2750" t="s">
        <v>1969</v>
      </c>
      <c r="E2750" t="s">
        <v>2216</v>
      </c>
      <c r="F2750">
        <v>2901430</v>
      </c>
      <c r="G2750">
        <v>1284241</v>
      </c>
      <c r="H2750" s="32">
        <f t="shared" si="42"/>
        <v>2.2592566348528043</v>
      </c>
      <c r="I2750">
        <v>1</v>
      </c>
      <c r="J2750" t="s">
        <v>21</v>
      </c>
    </row>
    <row r="2751" spans="1:10" x14ac:dyDescent="0.25">
      <c r="A2751">
        <v>2406</v>
      </c>
      <c r="B2751" t="s">
        <v>1097</v>
      </c>
      <c r="C2751" t="s">
        <v>241</v>
      </c>
      <c r="D2751" t="s">
        <v>1969</v>
      </c>
      <c r="E2751" t="s">
        <v>2216</v>
      </c>
      <c r="F2751">
        <v>4232787</v>
      </c>
      <c r="G2751">
        <v>1685711.838</v>
      </c>
      <c r="H2751" s="32">
        <f t="shared" si="42"/>
        <v>2.5109789850096549</v>
      </c>
      <c r="I2751">
        <v>1</v>
      </c>
      <c r="J2751" t="s">
        <v>21</v>
      </c>
    </row>
    <row r="2752" spans="1:10" x14ac:dyDescent="0.25">
      <c r="A2752">
        <v>55516</v>
      </c>
      <c r="B2752" t="s">
        <v>2797</v>
      </c>
      <c r="C2752" t="s">
        <v>143</v>
      </c>
      <c r="D2752" t="s">
        <v>1969</v>
      </c>
      <c r="E2752" t="s">
        <v>2216</v>
      </c>
      <c r="F2752">
        <v>5037857</v>
      </c>
      <c r="G2752">
        <v>1981133</v>
      </c>
      <c r="H2752" s="32">
        <f t="shared" si="42"/>
        <v>2.5429171085434445</v>
      </c>
      <c r="I2752">
        <v>1</v>
      </c>
      <c r="J2752" t="s">
        <v>21</v>
      </c>
    </row>
    <row r="2753" spans="1:10" x14ac:dyDescent="0.25">
      <c r="A2753">
        <v>2723</v>
      </c>
      <c r="B2753" t="s">
        <v>2141</v>
      </c>
      <c r="C2753" t="s">
        <v>708</v>
      </c>
      <c r="D2753" t="s">
        <v>1969</v>
      </c>
      <c r="E2753" t="s">
        <v>2216</v>
      </c>
      <c r="F2753">
        <v>4322694</v>
      </c>
      <c r="G2753">
        <v>1677227</v>
      </c>
      <c r="H2753" s="32">
        <f t="shared" si="42"/>
        <v>2.5772861991847256</v>
      </c>
      <c r="I2753">
        <v>1</v>
      </c>
      <c r="J2753" t="s">
        <v>21</v>
      </c>
    </row>
    <row r="2754" spans="1:10" x14ac:dyDescent="0.25">
      <c r="A2754">
        <v>55270</v>
      </c>
      <c r="B2754" t="s">
        <v>2080</v>
      </c>
      <c r="C2754" t="s">
        <v>250</v>
      </c>
      <c r="D2754" t="s">
        <v>1969</v>
      </c>
      <c r="E2754" t="s">
        <v>2216</v>
      </c>
      <c r="F2754">
        <v>1248151</v>
      </c>
      <c r="G2754">
        <v>479287</v>
      </c>
      <c r="H2754" s="32">
        <f t="shared" ref="H2754:H2817" si="43">IF(AND(F2754&gt;0,G2754&gt;0),F2754/G2754,"")</f>
        <v>2.6041828799863129</v>
      </c>
      <c r="I2754">
        <v>1</v>
      </c>
      <c r="J2754" t="s">
        <v>21</v>
      </c>
    </row>
    <row r="2755" spans="1:10" x14ac:dyDescent="0.25">
      <c r="A2755">
        <v>2720</v>
      </c>
      <c r="B2755" t="s">
        <v>2365</v>
      </c>
      <c r="C2755" t="s">
        <v>708</v>
      </c>
      <c r="D2755" t="s">
        <v>1969</v>
      </c>
      <c r="E2755" t="s">
        <v>2216</v>
      </c>
      <c r="F2755">
        <v>4579432</v>
      </c>
      <c r="G2755">
        <v>1693600</v>
      </c>
      <c r="H2755" s="32">
        <f t="shared" si="43"/>
        <v>2.703963155408597</v>
      </c>
      <c r="I2755">
        <v>1</v>
      </c>
      <c r="J2755" t="s">
        <v>21</v>
      </c>
    </row>
    <row r="2756" spans="1:10" x14ac:dyDescent="0.25">
      <c r="A2756">
        <v>58375</v>
      </c>
      <c r="B2756" t="s">
        <v>3182</v>
      </c>
      <c r="C2756" t="s">
        <v>166</v>
      </c>
      <c r="D2756" t="s">
        <v>2234</v>
      </c>
      <c r="E2756" t="s">
        <v>2216</v>
      </c>
      <c r="F2756">
        <v>1028</v>
      </c>
      <c r="G2756">
        <v>362</v>
      </c>
      <c r="H2756" s="32">
        <f t="shared" si="43"/>
        <v>2.839779005524862</v>
      </c>
      <c r="I2756">
        <v>1</v>
      </c>
      <c r="J2756" t="s">
        <v>21</v>
      </c>
    </row>
    <row r="2757" spans="1:10" x14ac:dyDescent="0.25">
      <c r="A2757">
        <v>55216</v>
      </c>
      <c r="B2757" t="s">
        <v>2046</v>
      </c>
      <c r="C2757" t="s">
        <v>166</v>
      </c>
      <c r="D2757" t="s">
        <v>1969</v>
      </c>
      <c r="E2757" t="s">
        <v>2216</v>
      </c>
      <c r="F2757">
        <v>264185</v>
      </c>
      <c r="G2757">
        <v>75783</v>
      </c>
      <c r="H2757" s="32">
        <f t="shared" si="43"/>
        <v>3.4860720742118945</v>
      </c>
      <c r="I2757">
        <v>1</v>
      </c>
      <c r="J2757" t="s">
        <v>21</v>
      </c>
    </row>
    <row r="2758" spans="1:10" x14ac:dyDescent="0.25">
      <c r="A2758">
        <v>55259</v>
      </c>
      <c r="B2758" t="s">
        <v>2778</v>
      </c>
      <c r="C2758" t="s">
        <v>131</v>
      </c>
      <c r="D2758" t="s">
        <v>1969</v>
      </c>
      <c r="E2758" t="s">
        <v>2216</v>
      </c>
      <c r="F2758">
        <v>2455991</v>
      </c>
      <c r="G2758">
        <v>682523</v>
      </c>
      <c r="H2758" s="32">
        <f t="shared" si="43"/>
        <v>3.598400346948015</v>
      </c>
      <c r="I2758">
        <v>1</v>
      </c>
      <c r="J2758" t="s">
        <v>21</v>
      </c>
    </row>
    <row r="2759" spans="1:10" x14ac:dyDescent="0.25">
      <c r="A2759">
        <v>10017</v>
      </c>
      <c r="B2759" t="s">
        <v>2570</v>
      </c>
      <c r="C2759" t="s">
        <v>201</v>
      </c>
      <c r="D2759" t="s">
        <v>2218</v>
      </c>
      <c r="E2759" t="s">
        <v>2216</v>
      </c>
      <c r="F2759">
        <v>800303</v>
      </c>
      <c r="G2759">
        <v>200404.052</v>
      </c>
      <c r="H2759" s="32">
        <f t="shared" si="43"/>
        <v>3.9934471983630351</v>
      </c>
      <c r="I2759">
        <v>1</v>
      </c>
      <c r="J2759" t="s">
        <v>21</v>
      </c>
    </row>
    <row r="2760" spans="1:10" x14ac:dyDescent="0.25">
      <c r="A2760">
        <v>10866</v>
      </c>
      <c r="B2760" t="s">
        <v>2616</v>
      </c>
      <c r="C2760" t="s">
        <v>166</v>
      </c>
      <c r="D2760" t="s">
        <v>2214</v>
      </c>
      <c r="E2760" t="s">
        <v>2216</v>
      </c>
      <c r="F2760">
        <v>292684</v>
      </c>
      <c r="G2760">
        <v>72914</v>
      </c>
      <c r="H2760" s="32">
        <f t="shared" si="43"/>
        <v>4.0140988013275916</v>
      </c>
      <c r="I2760">
        <v>1</v>
      </c>
      <c r="J2760" t="s">
        <v>21</v>
      </c>
    </row>
    <row r="2761" spans="1:10" x14ac:dyDescent="0.25">
      <c r="A2761">
        <v>58194</v>
      </c>
      <c r="B2761" t="s">
        <v>3126</v>
      </c>
      <c r="C2761" t="s">
        <v>143</v>
      </c>
      <c r="D2761" t="s">
        <v>2214</v>
      </c>
      <c r="E2761" t="s">
        <v>2216</v>
      </c>
      <c r="F2761">
        <v>144947</v>
      </c>
      <c r="G2761">
        <v>35803.232000000004</v>
      </c>
      <c r="H2761" s="32">
        <f t="shared" si="43"/>
        <v>4.0484333928288931</v>
      </c>
      <c r="I2761">
        <v>1</v>
      </c>
      <c r="J2761" t="s">
        <v>21</v>
      </c>
    </row>
    <row r="2762" spans="1:10" x14ac:dyDescent="0.25">
      <c r="A2762">
        <v>10123</v>
      </c>
      <c r="B2762" t="s">
        <v>2579</v>
      </c>
      <c r="C2762" t="s">
        <v>241</v>
      </c>
      <c r="D2762" t="s">
        <v>2214</v>
      </c>
      <c r="E2762" t="s">
        <v>2216</v>
      </c>
      <c r="F2762">
        <v>202022</v>
      </c>
      <c r="G2762">
        <v>49735.951999999997</v>
      </c>
      <c r="H2762" s="32">
        <f t="shared" si="43"/>
        <v>4.0618906822171619</v>
      </c>
      <c r="I2762">
        <v>1</v>
      </c>
      <c r="J2762" t="s">
        <v>21</v>
      </c>
    </row>
    <row r="2763" spans="1:10" x14ac:dyDescent="0.25">
      <c r="A2763">
        <v>55990</v>
      </c>
      <c r="B2763" t="s">
        <v>2818</v>
      </c>
      <c r="C2763" t="s">
        <v>322</v>
      </c>
      <c r="D2763" t="s">
        <v>2071</v>
      </c>
      <c r="E2763" t="s">
        <v>2216</v>
      </c>
      <c r="F2763">
        <v>679811</v>
      </c>
      <c r="G2763">
        <v>167205</v>
      </c>
      <c r="H2763" s="32">
        <f t="shared" si="43"/>
        <v>4.0657336802129125</v>
      </c>
      <c r="I2763">
        <v>1</v>
      </c>
      <c r="J2763" t="s">
        <v>21</v>
      </c>
    </row>
    <row r="2764" spans="1:10" x14ac:dyDescent="0.25">
      <c r="A2764">
        <v>50410</v>
      </c>
      <c r="B2764" t="s">
        <v>2639</v>
      </c>
      <c r="C2764" t="s">
        <v>143</v>
      </c>
      <c r="D2764" t="s">
        <v>2071</v>
      </c>
      <c r="E2764" t="s">
        <v>2216</v>
      </c>
      <c r="F2764">
        <v>713477</v>
      </c>
      <c r="G2764">
        <v>175189</v>
      </c>
      <c r="H2764" s="32">
        <f t="shared" si="43"/>
        <v>4.0726130065243824</v>
      </c>
      <c r="I2764">
        <v>1</v>
      </c>
      <c r="J2764" t="s">
        <v>21</v>
      </c>
    </row>
    <row r="2765" spans="1:10" x14ac:dyDescent="0.25">
      <c r="A2765">
        <v>58245</v>
      </c>
      <c r="B2765" t="s">
        <v>3134</v>
      </c>
      <c r="C2765" t="s">
        <v>166</v>
      </c>
      <c r="D2765" t="s">
        <v>2234</v>
      </c>
      <c r="E2765" t="s">
        <v>2216</v>
      </c>
      <c r="F2765">
        <v>8</v>
      </c>
      <c r="G2765">
        <v>1.96</v>
      </c>
      <c r="H2765" s="32">
        <f t="shared" si="43"/>
        <v>4.0816326530612246</v>
      </c>
      <c r="I2765">
        <v>1</v>
      </c>
      <c r="J2765" t="s">
        <v>21</v>
      </c>
    </row>
    <row r="2766" spans="1:10" x14ac:dyDescent="0.25">
      <c r="A2766">
        <v>10208</v>
      </c>
      <c r="B2766" t="s">
        <v>2584</v>
      </c>
      <c r="C2766" t="s">
        <v>250</v>
      </c>
      <c r="D2766" t="s">
        <v>2218</v>
      </c>
      <c r="E2766" t="s">
        <v>2216</v>
      </c>
      <c r="F2766">
        <v>588243</v>
      </c>
      <c r="G2766">
        <v>144036.973</v>
      </c>
      <c r="H2766" s="32">
        <f t="shared" si="43"/>
        <v>4.0839722450984857</v>
      </c>
      <c r="I2766">
        <v>1</v>
      </c>
      <c r="J2766" t="s">
        <v>21</v>
      </c>
    </row>
    <row r="2767" spans="1:10" x14ac:dyDescent="0.25">
      <c r="A2767">
        <v>58194</v>
      </c>
      <c r="B2767" t="s">
        <v>3126</v>
      </c>
      <c r="C2767" t="s">
        <v>143</v>
      </c>
      <c r="D2767" t="s">
        <v>2218</v>
      </c>
      <c r="E2767" t="s">
        <v>2216</v>
      </c>
      <c r="F2767">
        <v>39453</v>
      </c>
      <c r="G2767">
        <v>9645.68</v>
      </c>
      <c r="H2767" s="32">
        <f t="shared" si="43"/>
        <v>4.0902248467707825</v>
      </c>
      <c r="I2767">
        <v>1</v>
      </c>
      <c r="J2767" t="s">
        <v>21</v>
      </c>
    </row>
    <row r="2768" spans="1:10" x14ac:dyDescent="0.25">
      <c r="A2768">
        <v>55308</v>
      </c>
      <c r="B2768" t="s">
        <v>2786</v>
      </c>
      <c r="C2768" t="s">
        <v>266</v>
      </c>
      <c r="D2768" t="s">
        <v>2214</v>
      </c>
      <c r="E2768" t="s">
        <v>2216</v>
      </c>
      <c r="F2768">
        <v>884007</v>
      </c>
      <c r="G2768">
        <v>215820.5</v>
      </c>
      <c r="H2768" s="32">
        <f t="shared" si="43"/>
        <v>4.0960288758482166</v>
      </c>
      <c r="I2768">
        <v>1</v>
      </c>
      <c r="J2768" t="s">
        <v>21</v>
      </c>
    </row>
    <row r="2769" spans="1:10" x14ac:dyDescent="0.25">
      <c r="A2769">
        <v>58215</v>
      </c>
      <c r="B2769" t="s">
        <v>3128</v>
      </c>
      <c r="C2769" t="s">
        <v>708</v>
      </c>
      <c r="D2769" t="s">
        <v>1969</v>
      </c>
      <c r="E2769" t="s">
        <v>2216</v>
      </c>
      <c r="F2769">
        <v>9322525</v>
      </c>
      <c r="G2769">
        <v>2270622</v>
      </c>
      <c r="H2769" s="32">
        <f t="shared" si="43"/>
        <v>4.1057142051825446</v>
      </c>
      <c r="I2769">
        <v>1</v>
      </c>
      <c r="J2769" t="s">
        <v>21</v>
      </c>
    </row>
    <row r="2770" spans="1:10" x14ac:dyDescent="0.25">
      <c r="A2770">
        <v>54995</v>
      </c>
      <c r="B2770" t="s">
        <v>2754</v>
      </c>
      <c r="C2770" t="s">
        <v>131</v>
      </c>
      <c r="D2770" t="s">
        <v>2218</v>
      </c>
      <c r="E2770" t="s">
        <v>2216</v>
      </c>
      <c r="F2770">
        <v>235789</v>
      </c>
      <c r="G2770">
        <v>57181.438999999998</v>
      </c>
      <c r="H2770" s="32">
        <f t="shared" si="43"/>
        <v>4.1235233691827871</v>
      </c>
      <c r="I2770">
        <v>1</v>
      </c>
      <c r="J2770" t="s">
        <v>21</v>
      </c>
    </row>
    <row r="2771" spans="1:10" x14ac:dyDescent="0.25">
      <c r="A2771">
        <v>59860</v>
      </c>
      <c r="B2771" t="s">
        <v>3606</v>
      </c>
      <c r="C2771" t="s">
        <v>201</v>
      </c>
      <c r="D2771" t="s">
        <v>2214</v>
      </c>
      <c r="E2771" t="s">
        <v>2216</v>
      </c>
      <c r="F2771">
        <v>456447</v>
      </c>
      <c r="G2771">
        <v>109697</v>
      </c>
      <c r="H2771" s="32">
        <f t="shared" si="43"/>
        <v>4.1609797897845882</v>
      </c>
      <c r="I2771">
        <v>1</v>
      </c>
      <c r="J2771" t="s">
        <v>21</v>
      </c>
    </row>
    <row r="2772" spans="1:10" x14ac:dyDescent="0.25">
      <c r="A2772">
        <v>55096</v>
      </c>
      <c r="B2772" t="s">
        <v>2766</v>
      </c>
      <c r="C2772" t="s">
        <v>131</v>
      </c>
      <c r="D2772" t="s">
        <v>2214</v>
      </c>
      <c r="E2772" t="s">
        <v>2216</v>
      </c>
      <c r="F2772">
        <v>927405</v>
      </c>
      <c r="G2772">
        <v>221286</v>
      </c>
      <c r="H2772" s="32">
        <f t="shared" si="43"/>
        <v>4.1909790949269272</v>
      </c>
      <c r="I2772">
        <v>1</v>
      </c>
      <c r="J2772" t="s">
        <v>21</v>
      </c>
    </row>
    <row r="2773" spans="1:10" x14ac:dyDescent="0.25">
      <c r="A2773">
        <v>55096</v>
      </c>
      <c r="B2773" t="s">
        <v>2766</v>
      </c>
      <c r="C2773" t="s">
        <v>131</v>
      </c>
      <c r="D2773" t="s">
        <v>2218</v>
      </c>
      <c r="E2773" t="s">
        <v>2216</v>
      </c>
      <c r="F2773">
        <v>172989</v>
      </c>
      <c r="G2773">
        <v>41149</v>
      </c>
      <c r="H2773" s="32">
        <f t="shared" si="43"/>
        <v>4.2039660745097089</v>
      </c>
      <c r="I2773">
        <v>1</v>
      </c>
      <c r="J2773" t="s">
        <v>21</v>
      </c>
    </row>
    <row r="2774" spans="1:10" x14ac:dyDescent="0.25">
      <c r="A2774">
        <v>52089</v>
      </c>
      <c r="B2774" t="s">
        <v>2686</v>
      </c>
      <c r="C2774" t="s">
        <v>201</v>
      </c>
      <c r="D2774" t="s">
        <v>2218</v>
      </c>
      <c r="E2774" t="s">
        <v>2216</v>
      </c>
      <c r="F2774">
        <v>642463</v>
      </c>
      <c r="G2774">
        <v>152519</v>
      </c>
      <c r="H2774" s="32">
        <f t="shared" si="43"/>
        <v>4.212347314105128</v>
      </c>
      <c r="I2774">
        <v>1</v>
      </c>
      <c r="J2774" t="s">
        <v>21</v>
      </c>
    </row>
    <row r="2775" spans="1:10" x14ac:dyDescent="0.25">
      <c r="A2775">
        <v>50491</v>
      </c>
      <c r="B2775" t="s">
        <v>2648</v>
      </c>
      <c r="C2775" t="s">
        <v>118</v>
      </c>
      <c r="D2775" t="s">
        <v>2218</v>
      </c>
      <c r="E2775" t="s">
        <v>2216</v>
      </c>
      <c r="F2775">
        <v>2535693</v>
      </c>
      <c r="G2775">
        <v>599956.31999999995</v>
      </c>
      <c r="H2775" s="32">
        <f t="shared" si="43"/>
        <v>4.2264626864835764</v>
      </c>
      <c r="I2775">
        <v>1</v>
      </c>
      <c r="J2775" t="s">
        <v>21</v>
      </c>
    </row>
    <row r="2776" spans="1:10" x14ac:dyDescent="0.25">
      <c r="A2776">
        <v>52048</v>
      </c>
      <c r="B2776" t="s">
        <v>2683</v>
      </c>
      <c r="C2776" t="s">
        <v>2029</v>
      </c>
      <c r="D2776" t="s">
        <v>2214</v>
      </c>
      <c r="E2776" t="s">
        <v>2216</v>
      </c>
      <c r="F2776">
        <v>450697</v>
      </c>
      <c r="G2776">
        <v>105673</v>
      </c>
      <c r="H2776" s="32">
        <f t="shared" si="43"/>
        <v>4.2650156615218648</v>
      </c>
      <c r="I2776">
        <v>1</v>
      </c>
      <c r="J2776" t="s">
        <v>21</v>
      </c>
    </row>
    <row r="2777" spans="1:10" x14ac:dyDescent="0.25">
      <c r="A2777">
        <v>58195</v>
      </c>
      <c r="B2777" t="s">
        <v>3127</v>
      </c>
      <c r="C2777" t="s">
        <v>143</v>
      </c>
      <c r="D2777" t="s">
        <v>2214</v>
      </c>
      <c r="E2777" t="s">
        <v>2216</v>
      </c>
      <c r="F2777">
        <v>212370</v>
      </c>
      <c r="G2777">
        <v>49407.557999999997</v>
      </c>
      <c r="H2777" s="32">
        <f t="shared" si="43"/>
        <v>4.2983302271284085</v>
      </c>
      <c r="I2777">
        <v>1</v>
      </c>
      <c r="J2777" t="s">
        <v>21</v>
      </c>
    </row>
    <row r="2778" spans="1:10" x14ac:dyDescent="0.25">
      <c r="A2778">
        <v>54915</v>
      </c>
      <c r="B2778" t="s">
        <v>2747</v>
      </c>
      <c r="C2778" t="s">
        <v>250</v>
      </c>
      <c r="D2778" t="s">
        <v>1969</v>
      </c>
      <c r="E2778" t="s">
        <v>2216</v>
      </c>
      <c r="F2778">
        <v>1478860</v>
      </c>
      <c r="G2778">
        <v>342643</v>
      </c>
      <c r="H2778" s="32">
        <f t="shared" si="43"/>
        <v>4.3160373916875585</v>
      </c>
      <c r="I2778">
        <v>1</v>
      </c>
      <c r="J2778" t="s">
        <v>21</v>
      </c>
    </row>
    <row r="2779" spans="1:10" x14ac:dyDescent="0.25">
      <c r="A2779">
        <v>54250</v>
      </c>
      <c r="B2779" t="s">
        <v>2695</v>
      </c>
      <c r="C2779" t="s">
        <v>143</v>
      </c>
      <c r="D2779" t="s">
        <v>2218</v>
      </c>
      <c r="E2779" t="s">
        <v>2216</v>
      </c>
      <c r="F2779">
        <v>44316</v>
      </c>
      <c r="G2779">
        <v>10260.764999999999</v>
      </c>
      <c r="H2779" s="32">
        <f t="shared" si="43"/>
        <v>4.3189762166855985</v>
      </c>
      <c r="I2779">
        <v>1</v>
      </c>
      <c r="J2779" t="s">
        <v>21</v>
      </c>
    </row>
    <row r="2780" spans="1:10" x14ac:dyDescent="0.25">
      <c r="A2780">
        <v>58136</v>
      </c>
      <c r="B2780" t="s">
        <v>3119</v>
      </c>
      <c r="C2780" t="s">
        <v>166</v>
      </c>
      <c r="D2780" t="s">
        <v>2214</v>
      </c>
      <c r="E2780" t="s">
        <v>2216</v>
      </c>
      <c r="F2780">
        <v>121036</v>
      </c>
      <c r="G2780">
        <v>28024</v>
      </c>
      <c r="H2780" s="32">
        <f t="shared" si="43"/>
        <v>4.3190122751926916</v>
      </c>
      <c r="I2780">
        <v>1</v>
      </c>
      <c r="J2780" t="s">
        <v>21</v>
      </c>
    </row>
    <row r="2781" spans="1:10" x14ac:dyDescent="0.25">
      <c r="A2781">
        <v>58136</v>
      </c>
      <c r="B2781" t="s">
        <v>3119</v>
      </c>
      <c r="C2781" t="s">
        <v>166</v>
      </c>
      <c r="D2781" t="s">
        <v>2218</v>
      </c>
      <c r="E2781" t="s">
        <v>2216</v>
      </c>
      <c r="F2781">
        <v>46323</v>
      </c>
      <c r="G2781">
        <v>10725</v>
      </c>
      <c r="H2781" s="32">
        <f t="shared" si="43"/>
        <v>4.3191608391608396</v>
      </c>
      <c r="I2781">
        <v>1</v>
      </c>
      <c r="J2781" t="s">
        <v>21</v>
      </c>
    </row>
    <row r="2782" spans="1:10" x14ac:dyDescent="0.25">
      <c r="A2782">
        <v>54335</v>
      </c>
      <c r="B2782" t="s">
        <v>2698</v>
      </c>
      <c r="C2782" t="s">
        <v>322</v>
      </c>
      <c r="D2782" t="s">
        <v>2218</v>
      </c>
      <c r="E2782" t="s">
        <v>2216</v>
      </c>
      <c r="F2782">
        <v>62017</v>
      </c>
      <c r="G2782">
        <v>14281.31</v>
      </c>
      <c r="H2782" s="32">
        <f t="shared" si="43"/>
        <v>4.3425288016295429</v>
      </c>
      <c r="I2782">
        <v>1</v>
      </c>
      <c r="J2782" t="s">
        <v>21</v>
      </c>
    </row>
    <row r="2783" spans="1:10" x14ac:dyDescent="0.25">
      <c r="A2783">
        <v>56190</v>
      </c>
      <c r="B2783" t="s">
        <v>2831</v>
      </c>
      <c r="C2783" t="s">
        <v>250</v>
      </c>
      <c r="D2783" t="s">
        <v>2214</v>
      </c>
      <c r="E2783" t="s">
        <v>2216</v>
      </c>
      <c r="F2783">
        <v>119460</v>
      </c>
      <c r="G2783">
        <v>27448.82</v>
      </c>
      <c r="H2783" s="32">
        <f t="shared" si="43"/>
        <v>4.3520996530998417</v>
      </c>
      <c r="I2783">
        <v>1</v>
      </c>
      <c r="J2783" t="s">
        <v>21</v>
      </c>
    </row>
    <row r="2784" spans="1:10" x14ac:dyDescent="0.25">
      <c r="A2784">
        <v>54604</v>
      </c>
      <c r="B2784" t="s">
        <v>2711</v>
      </c>
      <c r="C2784" t="s">
        <v>250</v>
      </c>
      <c r="D2784" t="s">
        <v>2214</v>
      </c>
      <c r="E2784" t="s">
        <v>2216</v>
      </c>
      <c r="F2784">
        <v>106421</v>
      </c>
      <c r="G2784">
        <v>24329</v>
      </c>
      <c r="H2784" s="32">
        <f t="shared" si="43"/>
        <v>4.3742447285132968</v>
      </c>
      <c r="I2784">
        <v>1</v>
      </c>
      <c r="J2784" t="s">
        <v>21</v>
      </c>
    </row>
    <row r="2785" spans="1:10" x14ac:dyDescent="0.25">
      <c r="A2785">
        <v>10224</v>
      </c>
      <c r="B2785" t="s">
        <v>2585</v>
      </c>
      <c r="C2785" t="s">
        <v>241</v>
      </c>
      <c r="D2785" t="s">
        <v>2218</v>
      </c>
      <c r="E2785" t="s">
        <v>2216</v>
      </c>
      <c r="F2785">
        <v>171121</v>
      </c>
      <c r="G2785">
        <v>39119.207999999999</v>
      </c>
      <c r="H2785" s="32">
        <f t="shared" si="43"/>
        <v>4.3743472516110247</v>
      </c>
      <c r="I2785">
        <v>1</v>
      </c>
      <c r="J2785" t="s">
        <v>21</v>
      </c>
    </row>
    <row r="2786" spans="1:10" x14ac:dyDescent="0.25">
      <c r="A2786">
        <v>10867</v>
      </c>
      <c r="B2786" t="s">
        <v>2617</v>
      </c>
      <c r="C2786" t="s">
        <v>166</v>
      </c>
      <c r="D2786" t="s">
        <v>2218</v>
      </c>
      <c r="E2786" t="s">
        <v>2216</v>
      </c>
      <c r="F2786">
        <v>656048</v>
      </c>
      <c r="G2786">
        <v>149976</v>
      </c>
      <c r="H2786" s="32">
        <f t="shared" si="43"/>
        <v>4.3743532298501098</v>
      </c>
      <c r="I2786">
        <v>1</v>
      </c>
      <c r="J2786" t="s">
        <v>21</v>
      </c>
    </row>
    <row r="2787" spans="1:10" x14ac:dyDescent="0.25">
      <c r="A2787">
        <v>50729</v>
      </c>
      <c r="B2787" t="s">
        <v>2664</v>
      </c>
      <c r="C2787" t="s">
        <v>143</v>
      </c>
      <c r="D2787" t="s">
        <v>2218</v>
      </c>
      <c r="E2787" t="s">
        <v>2216</v>
      </c>
      <c r="F2787">
        <v>83527</v>
      </c>
      <c r="G2787">
        <v>19094.348000000002</v>
      </c>
      <c r="H2787" s="32">
        <f t="shared" si="43"/>
        <v>4.3744358278166917</v>
      </c>
      <c r="I2787">
        <v>1</v>
      </c>
      <c r="J2787" t="s">
        <v>21</v>
      </c>
    </row>
    <row r="2788" spans="1:10" x14ac:dyDescent="0.25">
      <c r="A2788">
        <v>56190</v>
      </c>
      <c r="B2788" t="s">
        <v>2831</v>
      </c>
      <c r="C2788" t="s">
        <v>250</v>
      </c>
      <c r="D2788" t="s">
        <v>2218</v>
      </c>
      <c r="E2788" t="s">
        <v>2216</v>
      </c>
      <c r="F2788">
        <v>9077</v>
      </c>
      <c r="G2788">
        <v>2064.16</v>
      </c>
      <c r="H2788" s="32">
        <f t="shared" si="43"/>
        <v>4.397430431749477</v>
      </c>
      <c r="I2788">
        <v>1</v>
      </c>
      <c r="J2788" t="s">
        <v>21</v>
      </c>
    </row>
    <row r="2789" spans="1:10" x14ac:dyDescent="0.25">
      <c r="A2789">
        <v>58177</v>
      </c>
      <c r="B2789" t="s">
        <v>3123</v>
      </c>
      <c r="C2789" t="s">
        <v>166</v>
      </c>
      <c r="D2789" t="s">
        <v>2234</v>
      </c>
      <c r="E2789" t="s">
        <v>2216</v>
      </c>
      <c r="F2789">
        <v>4324</v>
      </c>
      <c r="G2789">
        <v>978.00800000000004</v>
      </c>
      <c r="H2789" s="32">
        <f t="shared" si="43"/>
        <v>4.4212317281658224</v>
      </c>
      <c r="I2789">
        <v>1</v>
      </c>
      <c r="J2789" t="s">
        <v>21</v>
      </c>
    </row>
    <row r="2790" spans="1:10" x14ac:dyDescent="0.25">
      <c r="A2790">
        <v>57822</v>
      </c>
      <c r="B2790" t="s">
        <v>3059</v>
      </c>
      <c r="C2790" t="s">
        <v>322</v>
      </c>
      <c r="D2790" t="s">
        <v>2218</v>
      </c>
      <c r="E2790" t="s">
        <v>2216</v>
      </c>
      <c r="F2790">
        <v>12853</v>
      </c>
      <c r="G2790">
        <v>2900.7460000000001</v>
      </c>
      <c r="H2790" s="32">
        <f t="shared" si="43"/>
        <v>4.4309291471917911</v>
      </c>
      <c r="I2790">
        <v>1</v>
      </c>
      <c r="J2790" t="s">
        <v>21</v>
      </c>
    </row>
    <row r="2791" spans="1:10" x14ac:dyDescent="0.25">
      <c r="A2791">
        <v>50431</v>
      </c>
      <c r="B2791" t="s">
        <v>2641</v>
      </c>
      <c r="C2791" t="s">
        <v>250</v>
      </c>
      <c r="D2791" t="s">
        <v>2071</v>
      </c>
      <c r="E2791" t="s">
        <v>2216</v>
      </c>
      <c r="F2791">
        <v>629901</v>
      </c>
      <c r="G2791">
        <v>141520</v>
      </c>
      <c r="H2791" s="32">
        <f t="shared" si="43"/>
        <v>4.4509680610514417</v>
      </c>
      <c r="I2791">
        <v>1</v>
      </c>
      <c r="J2791" t="s">
        <v>21</v>
      </c>
    </row>
    <row r="2792" spans="1:10" x14ac:dyDescent="0.25">
      <c r="A2792">
        <v>50431</v>
      </c>
      <c r="B2792" t="s">
        <v>2641</v>
      </c>
      <c r="C2792" t="s">
        <v>250</v>
      </c>
      <c r="D2792" t="s">
        <v>1969</v>
      </c>
      <c r="E2792" t="s">
        <v>2216</v>
      </c>
      <c r="F2792">
        <v>318241</v>
      </c>
      <c r="G2792">
        <v>71451.447</v>
      </c>
      <c r="H2792" s="32">
        <f t="shared" si="43"/>
        <v>4.4539475876534729</v>
      </c>
      <c r="I2792">
        <v>1</v>
      </c>
      <c r="J2792" t="s">
        <v>21</v>
      </c>
    </row>
    <row r="2793" spans="1:10" x14ac:dyDescent="0.25">
      <c r="A2793">
        <v>10122</v>
      </c>
      <c r="B2793" t="s">
        <v>2578</v>
      </c>
      <c r="C2793" t="s">
        <v>241</v>
      </c>
      <c r="D2793" t="s">
        <v>2214</v>
      </c>
      <c r="E2793" t="s">
        <v>2216</v>
      </c>
      <c r="F2793">
        <v>116062</v>
      </c>
      <c r="G2793">
        <v>26001.976999999999</v>
      </c>
      <c r="H2793" s="32">
        <f t="shared" si="43"/>
        <v>4.4635836728876424</v>
      </c>
      <c r="I2793">
        <v>1</v>
      </c>
      <c r="J2793" t="s">
        <v>21</v>
      </c>
    </row>
    <row r="2794" spans="1:10" x14ac:dyDescent="0.25">
      <c r="A2794">
        <v>55037</v>
      </c>
      <c r="B2794" t="s">
        <v>2758</v>
      </c>
      <c r="C2794" t="s">
        <v>2029</v>
      </c>
      <c r="D2794" t="s">
        <v>2214</v>
      </c>
      <c r="E2794" t="s">
        <v>2216</v>
      </c>
      <c r="F2794">
        <v>112476</v>
      </c>
      <c r="G2794">
        <v>25160</v>
      </c>
      <c r="H2794" s="32">
        <f t="shared" si="43"/>
        <v>4.4704292527821936</v>
      </c>
      <c r="I2794">
        <v>1</v>
      </c>
      <c r="J2794" t="s">
        <v>21</v>
      </c>
    </row>
    <row r="2795" spans="1:10" x14ac:dyDescent="0.25">
      <c r="A2795">
        <v>56848</v>
      </c>
      <c r="B2795" t="s">
        <v>2908</v>
      </c>
      <c r="C2795" t="s">
        <v>322</v>
      </c>
      <c r="D2795" t="s">
        <v>2218</v>
      </c>
      <c r="E2795" t="s">
        <v>2216</v>
      </c>
      <c r="F2795">
        <v>205500</v>
      </c>
      <c r="G2795">
        <v>45773.762999999999</v>
      </c>
      <c r="H2795" s="32">
        <f t="shared" si="43"/>
        <v>4.4894714030830283</v>
      </c>
      <c r="I2795">
        <v>1</v>
      </c>
      <c r="J2795" t="s">
        <v>21</v>
      </c>
    </row>
    <row r="2796" spans="1:10" x14ac:dyDescent="0.25">
      <c r="A2796">
        <v>55429</v>
      </c>
      <c r="B2796" t="s">
        <v>2794</v>
      </c>
      <c r="C2796" t="s">
        <v>266</v>
      </c>
      <c r="D2796" t="s">
        <v>2218</v>
      </c>
      <c r="E2796" t="s">
        <v>2216</v>
      </c>
      <c r="F2796">
        <v>12380</v>
      </c>
      <c r="G2796">
        <v>2721.1469999999999</v>
      </c>
      <c r="H2796" s="32">
        <f t="shared" si="43"/>
        <v>4.5495520822653095</v>
      </c>
      <c r="I2796">
        <v>1</v>
      </c>
      <c r="J2796" t="s">
        <v>21</v>
      </c>
    </row>
    <row r="2797" spans="1:10" x14ac:dyDescent="0.25">
      <c r="A2797">
        <v>58584</v>
      </c>
      <c r="B2797" t="s">
        <v>3234</v>
      </c>
      <c r="C2797" t="s">
        <v>241</v>
      </c>
      <c r="D2797" t="s">
        <v>2214</v>
      </c>
      <c r="E2797" t="s">
        <v>2216</v>
      </c>
      <c r="F2797">
        <v>253321</v>
      </c>
      <c r="G2797">
        <v>55675.576999999997</v>
      </c>
      <c r="H2797" s="32">
        <f t="shared" si="43"/>
        <v>4.5499483552725462</v>
      </c>
      <c r="I2797">
        <v>1</v>
      </c>
      <c r="J2797" t="s">
        <v>21</v>
      </c>
    </row>
    <row r="2798" spans="1:10" x14ac:dyDescent="0.25">
      <c r="A2798">
        <v>50254</v>
      </c>
      <c r="B2798" t="s">
        <v>2629</v>
      </c>
      <c r="C2798" t="s">
        <v>708</v>
      </c>
      <c r="D2798" t="s">
        <v>2218</v>
      </c>
      <c r="E2798" t="s">
        <v>2216</v>
      </c>
      <c r="F2798">
        <v>97867</v>
      </c>
      <c r="G2798">
        <v>21394.331999999999</v>
      </c>
      <c r="H2798" s="32">
        <f t="shared" si="43"/>
        <v>4.5744358832984364</v>
      </c>
      <c r="I2798">
        <v>1</v>
      </c>
      <c r="J2798" t="s">
        <v>21</v>
      </c>
    </row>
    <row r="2799" spans="1:10" x14ac:dyDescent="0.25">
      <c r="A2799">
        <v>50479</v>
      </c>
      <c r="B2799" t="s">
        <v>1977</v>
      </c>
      <c r="C2799" t="s">
        <v>201</v>
      </c>
      <c r="D2799" t="s">
        <v>2218</v>
      </c>
      <c r="E2799" t="s">
        <v>2216</v>
      </c>
      <c r="F2799">
        <v>107293</v>
      </c>
      <c r="G2799">
        <v>23305.248</v>
      </c>
      <c r="H2799" s="32">
        <f t="shared" si="43"/>
        <v>4.6038128407816128</v>
      </c>
      <c r="I2799">
        <v>1</v>
      </c>
      <c r="J2799" t="s">
        <v>21</v>
      </c>
    </row>
    <row r="2800" spans="1:10" x14ac:dyDescent="0.25">
      <c r="A2800">
        <v>55799</v>
      </c>
      <c r="B2800" t="s">
        <v>2807</v>
      </c>
      <c r="C2800" t="s">
        <v>250</v>
      </c>
      <c r="D2800" t="s">
        <v>2214</v>
      </c>
      <c r="E2800" t="s">
        <v>2216</v>
      </c>
      <c r="F2800">
        <v>749423</v>
      </c>
      <c r="G2800">
        <v>162536</v>
      </c>
      <c r="H2800" s="32">
        <f t="shared" si="43"/>
        <v>4.6108123738740954</v>
      </c>
      <c r="I2800">
        <v>1</v>
      </c>
      <c r="J2800" t="s">
        <v>21</v>
      </c>
    </row>
    <row r="2801" spans="1:10" x14ac:dyDescent="0.25">
      <c r="A2801">
        <v>58140</v>
      </c>
      <c r="B2801" t="s">
        <v>3120</v>
      </c>
      <c r="C2801" t="s">
        <v>322</v>
      </c>
      <c r="D2801" t="s">
        <v>2214</v>
      </c>
      <c r="E2801" t="s">
        <v>2216</v>
      </c>
      <c r="F2801">
        <v>134859</v>
      </c>
      <c r="G2801">
        <v>29248.260999999999</v>
      </c>
      <c r="H2801" s="32">
        <f t="shared" si="43"/>
        <v>4.6108382306900229</v>
      </c>
      <c r="I2801">
        <v>1</v>
      </c>
      <c r="J2801" t="s">
        <v>21</v>
      </c>
    </row>
    <row r="2802" spans="1:10" x14ac:dyDescent="0.25">
      <c r="A2802">
        <v>50006</v>
      </c>
      <c r="B2802" t="s">
        <v>1984</v>
      </c>
      <c r="C2802" t="s">
        <v>241</v>
      </c>
      <c r="D2802" t="s">
        <v>1969</v>
      </c>
      <c r="E2802" t="s">
        <v>2216</v>
      </c>
      <c r="F2802">
        <v>7156923</v>
      </c>
      <c r="G2802">
        <v>1533249.7290000001</v>
      </c>
      <c r="H2802" s="32">
        <f t="shared" si="43"/>
        <v>4.667812988734596</v>
      </c>
      <c r="I2802">
        <v>1</v>
      </c>
      <c r="J2802" t="s">
        <v>21</v>
      </c>
    </row>
    <row r="2803" spans="1:10" x14ac:dyDescent="0.25">
      <c r="A2803">
        <v>10244</v>
      </c>
      <c r="B2803" t="s">
        <v>2586</v>
      </c>
      <c r="C2803" t="s">
        <v>322</v>
      </c>
      <c r="D2803" t="s">
        <v>2218</v>
      </c>
      <c r="E2803" t="s">
        <v>2216</v>
      </c>
      <c r="F2803">
        <v>230781</v>
      </c>
      <c r="G2803">
        <v>49375.481</v>
      </c>
      <c r="H2803" s="32">
        <f t="shared" si="43"/>
        <v>4.6740000365768593</v>
      </c>
      <c r="I2803">
        <v>1</v>
      </c>
      <c r="J2803" t="s">
        <v>21</v>
      </c>
    </row>
    <row r="2804" spans="1:10" x14ac:dyDescent="0.25">
      <c r="A2804">
        <v>58165</v>
      </c>
      <c r="B2804" t="s">
        <v>3122</v>
      </c>
      <c r="C2804" t="s">
        <v>241</v>
      </c>
      <c r="D2804" t="s">
        <v>2234</v>
      </c>
      <c r="E2804" t="s">
        <v>2216</v>
      </c>
      <c r="F2804">
        <v>129956</v>
      </c>
      <c r="G2804">
        <v>27804</v>
      </c>
      <c r="H2804" s="32">
        <f t="shared" si="43"/>
        <v>4.6740037404689971</v>
      </c>
      <c r="I2804">
        <v>1</v>
      </c>
      <c r="J2804" t="s">
        <v>21</v>
      </c>
    </row>
    <row r="2805" spans="1:10" x14ac:dyDescent="0.25">
      <c r="A2805">
        <v>54333</v>
      </c>
      <c r="B2805" t="s">
        <v>2697</v>
      </c>
      <c r="C2805" t="s">
        <v>143</v>
      </c>
      <c r="D2805" t="s">
        <v>1969</v>
      </c>
      <c r="E2805" t="s">
        <v>2216</v>
      </c>
      <c r="F2805">
        <v>16649</v>
      </c>
      <c r="G2805">
        <v>3536.8240000000001</v>
      </c>
      <c r="H2805" s="32">
        <f t="shared" si="43"/>
        <v>4.7073306446687759</v>
      </c>
      <c r="I2805">
        <v>1</v>
      </c>
      <c r="J2805" t="s">
        <v>21</v>
      </c>
    </row>
    <row r="2806" spans="1:10" x14ac:dyDescent="0.25">
      <c r="A2806">
        <v>54333</v>
      </c>
      <c r="B2806" t="s">
        <v>2697</v>
      </c>
      <c r="C2806" t="s">
        <v>143</v>
      </c>
      <c r="D2806" t="s">
        <v>2071</v>
      </c>
      <c r="E2806" t="s">
        <v>2216</v>
      </c>
      <c r="F2806">
        <v>184613</v>
      </c>
      <c r="G2806">
        <v>39216.51</v>
      </c>
      <c r="H2806" s="32">
        <f t="shared" si="43"/>
        <v>4.7075326182773525</v>
      </c>
      <c r="I2806">
        <v>1</v>
      </c>
      <c r="J2806" t="s">
        <v>21</v>
      </c>
    </row>
    <row r="2807" spans="1:10" x14ac:dyDescent="0.25">
      <c r="A2807">
        <v>54618</v>
      </c>
      <c r="B2807" t="s">
        <v>2712</v>
      </c>
      <c r="C2807" t="s">
        <v>708</v>
      </c>
      <c r="D2807" t="s">
        <v>2218</v>
      </c>
      <c r="E2807" t="s">
        <v>2216</v>
      </c>
      <c r="F2807">
        <v>32456</v>
      </c>
      <c r="G2807">
        <v>6849.2489999999998</v>
      </c>
      <c r="H2807" s="32">
        <f t="shared" si="43"/>
        <v>4.7386217087450024</v>
      </c>
      <c r="I2807">
        <v>1</v>
      </c>
      <c r="J2807" t="s">
        <v>21</v>
      </c>
    </row>
    <row r="2808" spans="1:10" x14ac:dyDescent="0.25">
      <c r="A2808">
        <v>52148</v>
      </c>
      <c r="B2808" t="s">
        <v>2688</v>
      </c>
      <c r="C2808" t="s">
        <v>201</v>
      </c>
      <c r="D2808" t="s">
        <v>2234</v>
      </c>
      <c r="E2808" t="s">
        <v>2216</v>
      </c>
      <c r="F2808">
        <v>220</v>
      </c>
      <c r="G2808">
        <v>46.412999999999997</v>
      </c>
      <c r="H2808" s="32">
        <f t="shared" si="43"/>
        <v>4.7400512787365612</v>
      </c>
      <c r="I2808">
        <v>1</v>
      </c>
      <c r="J2808" t="s">
        <v>21</v>
      </c>
    </row>
    <row r="2809" spans="1:10" x14ac:dyDescent="0.25">
      <c r="A2809">
        <v>50189</v>
      </c>
      <c r="B2809" t="s">
        <v>2626</v>
      </c>
      <c r="C2809" t="s">
        <v>708</v>
      </c>
      <c r="D2809" t="s">
        <v>2218</v>
      </c>
      <c r="E2809" t="s">
        <v>2216</v>
      </c>
      <c r="F2809">
        <v>154890</v>
      </c>
      <c r="G2809">
        <v>32560.026000000002</v>
      </c>
      <c r="H2809" s="32">
        <f t="shared" si="43"/>
        <v>4.75706008342868</v>
      </c>
      <c r="I2809">
        <v>1</v>
      </c>
      <c r="J2809" t="s">
        <v>21</v>
      </c>
    </row>
    <row r="2810" spans="1:10" x14ac:dyDescent="0.25">
      <c r="A2810">
        <v>59452</v>
      </c>
      <c r="B2810" t="s">
        <v>3460</v>
      </c>
      <c r="C2810" t="s">
        <v>250</v>
      </c>
      <c r="D2810" t="s">
        <v>2214</v>
      </c>
      <c r="E2810" t="s">
        <v>2216</v>
      </c>
      <c r="F2810">
        <v>158022</v>
      </c>
      <c r="G2810">
        <v>33132.82</v>
      </c>
      <c r="H2810" s="32">
        <f t="shared" si="43"/>
        <v>4.7693495452545243</v>
      </c>
      <c r="I2810">
        <v>1</v>
      </c>
      <c r="J2810" t="s">
        <v>21</v>
      </c>
    </row>
    <row r="2811" spans="1:10" x14ac:dyDescent="0.25">
      <c r="A2811">
        <v>52149</v>
      </c>
      <c r="B2811" t="s">
        <v>2689</v>
      </c>
      <c r="C2811" t="s">
        <v>143</v>
      </c>
      <c r="D2811" t="s">
        <v>2234</v>
      </c>
      <c r="E2811" t="s">
        <v>2216</v>
      </c>
      <c r="F2811">
        <v>1450</v>
      </c>
      <c r="G2811">
        <v>300.03199999999998</v>
      </c>
      <c r="H2811" s="32">
        <f t="shared" si="43"/>
        <v>4.8328178327645057</v>
      </c>
      <c r="I2811">
        <v>1</v>
      </c>
      <c r="J2811" t="s">
        <v>21</v>
      </c>
    </row>
    <row r="2812" spans="1:10" x14ac:dyDescent="0.25">
      <c r="A2812">
        <v>52149</v>
      </c>
      <c r="B2812" t="s">
        <v>2689</v>
      </c>
      <c r="C2812" t="s">
        <v>143</v>
      </c>
      <c r="D2812" t="s">
        <v>2214</v>
      </c>
      <c r="E2812" t="s">
        <v>2216</v>
      </c>
      <c r="F2812">
        <v>1281353</v>
      </c>
      <c r="G2812">
        <v>264983.18</v>
      </c>
      <c r="H2812" s="32">
        <f t="shared" si="43"/>
        <v>4.8356012634462306</v>
      </c>
      <c r="I2812">
        <v>1</v>
      </c>
      <c r="J2812" t="s">
        <v>21</v>
      </c>
    </row>
    <row r="2813" spans="1:10" x14ac:dyDescent="0.25">
      <c r="A2813">
        <v>58330</v>
      </c>
      <c r="B2813" t="s">
        <v>3153</v>
      </c>
      <c r="C2813" t="s">
        <v>250</v>
      </c>
      <c r="D2813" t="s">
        <v>2214</v>
      </c>
      <c r="E2813" t="s">
        <v>2216</v>
      </c>
      <c r="F2813">
        <v>298703</v>
      </c>
      <c r="G2813">
        <v>61771.360000000001</v>
      </c>
      <c r="H2813" s="32">
        <f t="shared" si="43"/>
        <v>4.8356228517552466</v>
      </c>
      <c r="I2813">
        <v>1</v>
      </c>
      <c r="J2813" t="s">
        <v>21</v>
      </c>
    </row>
    <row r="2814" spans="1:10" x14ac:dyDescent="0.25">
      <c r="A2814">
        <v>54829</v>
      </c>
      <c r="B2814" t="s">
        <v>2730</v>
      </c>
      <c r="C2814" t="s">
        <v>241</v>
      </c>
      <c r="D2814" t="s">
        <v>2214</v>
      </c>
      <c r="E2814" t="s">
        <v>2216</v>
      </c>
      <c r="F2814">
        <v>272515</v>
      </c>
      <c r="G2814">
        <v>55877.675000000003</v>
      </c>
      <c r="H2814" s="32">
        <f t="shared" si="43"/>
        <v>4.8769924661324939</v>
      </c>
      <c r="I2814">
        <v>1</v>
      </c>
      <c r="J2814" t="s">
        <v>21</v>
      </c>
    </row>
    <row r="2815" spans="1:10" x14ac:dyDescent="0.25">
      <c r="A2815">
        <v>10819</v>
      </c>
      <c r="B2815" t="s">
        <v>2613</v>
      </c>
      <c r="C2815" t="s">
        <v>250</v>
      </c>
      <c r="D2815" t="s">
        <v>1969</v>
      </c>
      <c r="E2815" t="s">
        <v>2216</v>
      </c>
      <c r="F2815">
        <v>203911</v>
      </c>
      <c r="G2815">
        <v>41792</v>
      </c>
      <c r="H2815" s="32">
        <f t="shared" si="43"/>
        <v>4.8791874042879018</v>
      </c>
      <c r="I2815">
        <v>1</v>
      </c>
      <c r="J2815" t="s">
        <v>21</v>
      </c>
    </row>
    <row r="2816" spans="1:10" x14ac:dyDescent="0.25">
      <c r="A2816">
        <v>50188</v>
      </c>
      <c r="B2816" t="s">
        <v>2625</v>
      </c>
      <c r="C2816" t="s">
        <v>708</v>
      </c>
      <c r="D2816" t="s">
        <v>2218</v>
      </c>
      <c r="E2816" t="s">
        <v>2216</v>
      </c>
      <c r="F2816">
        <v>168150</v>
      </c>
      <c r="G2816">
        <v>34429.173000000003</v>
      </c>
      <c r="H2816" s="32">
        <f t="shared" si="43"/>
        <v>4.8839395590477874</v>
      </c>
      <c r="I2816">
        <v>1</v>
      </c>
      <c r="J2816" t="s">
        <v>21</v>
      </c>
    </row>
    <row r="2817" spans="1:10" x14ac:dyDescent="0.25">
      <c r="A2817">
        <v>50240</v>
      </c>
      <c r="B2817" t="s">
        <v>2627</v>
      </c>
      <c r="C2817" t="s">
        <v>131</v>
      </c>
      <c r="D2817" t="s">
        <v>2218</v>
      </c>
      <c r="E2817" t="s">
        <v>2216</v>
      </c>
      <c r="F2817">
        <v>418342</v>
      </c>
      <c r="G2817">
        <v>85239.527000000002</v>
      </c>
      <c r="H2817" s="32">
        <f t="shared" si="43"/>
        <v>4.9078404670171389</v>
      </c>
      <c r="I2817">
        <v>1</v>
      </c>
      <c r="J2817" t="s">
        <v>21</v>
      </c>
    </row>
    <row r="2818" spans="1:10" x14ac:dyDescent="0.25">
      <c r="A2818">
        <v>54795</v>
      </c>
      <c r="B2818" t="s">
        <v>2727</v>
      </c>
      <c r="C2818" t="s">
        <v>307</v>
      </c>
      <c r="D2818" t="s">
        <v>2218</v>
      </c>
      <c r="E2818" t="s">
        <v>2216</v>
      </c>
      <c r="F2818">
        <v>266744</v>
      </c>
      <c r="G2818">
        <v>54053.642999999996</v>
      </c>
      <c r="H2818" s="32">
        <f t="shared" ref="H2818:H2881" si="44">IF(AND(F2818&gt;0,G2818&gt;0),F2818/G2818,"")</f>
        <v>4.9348015266982097</v>
      </c>
      <c r="I2818">
        <v>1</v>
      </c>
      <c r="J2818" t="s">
        <v>21</v>
      </c>
    </row>
    <row r="2819" spans="1:10" x14ac:dyDescent="0.25">
      <c r="A2819">
        <v>54044</v>
      </c>
      <c r="B2819" t="s">
        <v>2693</v>
      </c>
      <c r="C2819" t="s">
        <v>166</v>
      </c>
      <c r="D2819" t="s">
        <v>2214</v>
      </c>
      <c r="E2819" t="s">
        <v>2216</v>
      </c>
      <c r="F2819">
        <v>499889</v>
      </c>
      <c r="G2819">
        <v>100504.88</v>
      </c>
      <c r="H2819" s="32">
        <f t="shared" si="44"/>
        <v>4.9737783876762993</v>
      </c>
      <c r="I2819">
        <v>1</v>
      </c>
      <c r="J2819" t="s">
        <v>21</v>
      </c>
    </row>
    <row r="2820" spans="1:10" x14ac:dyDescent="0.25">
      <c r="A2820">
        <v>54044</v>
      </c>
      <c r="B2820" t="s">
        <v>2693</v>
      </c>
      <c r="C2820" t="s">
        <v>166</v>
      </c>
      <c r="D2820" t="s">
        <v>2234</v>
      </c>
      <c r="E2820" t="s">
        <v>2216</v>
      </c>
      <c r="F2820">
        <v>66630</v>
      </c>
      <c r="G2820">
        <v>13396.108</v>
      </c>
      <c r="H2820" s="32">
        <f t="shared" si="44"/>
        <v>4.9738326982732595</v>
      </c>
      <c r="I2820">
        <v>1</v>
      </c>
      <c r="J2820" t="s">
        <v>21</v>
      </c>
    </row>
    <row r="2821" spans="1:10" x14ac:dyDescent="0.25">
      <c r="A2821">
        <v>58161</v>
      </c>
      <c r="B2821" t="s">
        <v>3121</v>
      </c>
      <c r="C2821" t="s">
        <v>250</v>
      </c>
      <c r="D2821" t="s">
        <v>2234</v>
      </c>
      <c r="E2821" t="s">
        <v>2216</v>
      </c>
      <c r="F2821">
        <v>41219</v>
      </c>
      <c r="G2821">
        <v>8279</v>
      </c>
      <c r="H2821" s="32">
        <f t="shared" si="44"/>
        <v>4.9787413938881508</v>
      </c>
      <c r="I2821">
        <v>1</v>
      </c>
      <c r="J2821" t="s">
        <v>21</v>
      </c>
    </row>
    <row r="2822" spans="1:10" x14ac:dyDescent="0.25">
      <c r="A2822">
        <v>50296</v>
      </c>
      <c r="B2822" t="s">
        <v>2632</v>
      </c>
      <c r="C2822" t="s">
        <v>2029</v>
      </c>
      <c r="D2822" t="s">
        <v>2218</v>
      </c>
      <c r="E2822" t="s">
        <v>2216</v>
      </c>
      <c r="F2822">
        <v>406228</v>
      </c>
      <c r="G2822">
        <v>81175.67</v>
      </c>
      <c r="H2822" s="32">
        <f t="shared" si="44"/>
        <v>5.0043073250889094</v>
      </c>
      <c r="I2822">
        <v>1</v>
      </c>
      <c r="J2822" t="s">
        <v>21</v>
      </c>
    </row>
    <row r="2823" spans="1:10" x14ac:dyDescent="0.25">
      <c r="A2823">
        <v>10252</v>
      </c>
      <c r="B2823" t="s">
        <v>2590</v>
      </c>
      <c r="C2823" t="s">
        <v>2029</v>
      </c>
      <c r="D2823" t="s">
        <v>2218</v>
      </c>
      <c r="E2823" t="s">
        <v>2216</v>
      </c>
      <c r="F2823">
        <v>694383</v>
      </c>
      <c r="G2823">
        <v>138388.01699999999</v>
      </c>
      <c r="H2823" s="32">
        <f t="shared" si="44"/>
        <v>5.0176526483503263</v>
      </c>
      <c r="I2823">
        <v>1</v>
      </c>
      <c r="J2823" t="s">
        <v>21</v>
      </c>
    </row>
    <row r="2824" spans="1:10" x14ac:dyDescent="0.25">
      <c r="A2824">
        <v>50628</v>
      </c>
      <c r="B2824" t="s">
        <v>2658</v>
      </c>
      <c r="C2824" t="s">
        <v>241</v>
      </c>
      <c r="D2824" t="s">
        <v>2214</v>
      </c>
      <c r="E2824" t="s">
        <v>2216</v>
      </c>
      <c r="F2824">
        <v>1028143</v>
      </c>
      <c r="G2824">
        <v>201526.32</v>
      </c>
      <c r="H2824" s="32">
        <f t="shared" si="44"/>
        <v>5.1017802538149857</v>
      </c>
      <c r="I2824">
        <v>1</v>
      </c>
      <c r="J2824" t="s">
        <v>21</v>
      </c>
    </row>
    <row r="2825" spans="1:10" x14ac:dyDescent="0.25">
      <c r="A2825">
        <v>54785</v>
      </c>
      <c r="B2825" t="s">
        <v>2725</v>
      </c>
      <c r="C2825" t="s">
        <v>143</v>
      </c>
      <c r="D2825" t="s">
        <v>2218</v>
      </c>
      <c r="E2825" t="s">
        <v>2216</v>
      </c>
      <c r="F2825">
        <v>989999</v>
      </c>
      <c r="G2825">
        <v>191802.103</v>
      </c>
      <c r="H2825" s="32">
        <f t="shared" si="44"/>
        <v>5.1615648864913641</v>
      </c>
      <c r="I2825">
        <v>1</v>
      </c>
      <c r="J2825" t="s">
        <v>21</v>
      </c>
    </row>
    <row r="2826" spans="1:10" x14ac:dyDescent="0.25">
      <c r="A2826">
        <v>10397</v>
      </c>
      <c r="B2826" t="s">
        <v>2596</v>
      </c>
      <c r="C2826" t="s">
        <v>131</v>
      </c>
      <c r="D2826" t="s">
        <v>2218</v>
      </c>
      <c r="E2826" t="s">
        <v>2216</v>
      </c>
      <c r="F2826">
        <v>1075126</v>
      </c>
      <c r="G2826">
        <v>207840.93</v>
      </c>
      <c r="H2826" s="32">
        <f t="shared" si="44"/>
        <v>5.1728309722247685</v>
      </c>
      <c r="I2826">
        <v>1</v>
      </c>
      <c r="J2826" t="s">
        <v>21</v>
      </c>
    </row>
    <row r="2827" spans="1:10" x14ac:dyDescent="0.25">
      <c r="A2827">
        <v>54785</v>
      </c>
      <c r="B2827" t="s">
        <v>2725</v>
      </c>
      <c r="C2827" t="s">
        <v>143</v>
      </c>
      <c r="D2827" t="s">
        <v>2214</v>
      </c>
      <c r="E2827" t="s">
        <v>2216</v>
      </c>
      <c r="F2827">
        <v>4641840</v>
      </c>
      <c r="G2827">
        <v>897177</v>
      </c>
      <c r="H2827" s="32">
        <f t="shared" si="44"/>
        <v>5.1738285756322329</v>
      </c>
      <c r="I2827">
        <v>1</v>
      </c>
      <c r="J2827" t="s">
        <v>21</v>
      </c>
    </row>
    <row r="2828" spans="1:10" x14ac:dyDescent="0.25">
      <c r="A2828">
        <v>57908</v>
      </c>
      <c r="B2828" t="s">
        <v>3075</v>
      </c>
      <c r="C2828" t="s">
        <v>322</v>
      </c>
      <c r="D2828" t="s">
        <v>1969</v>
      </c>
      <c r="E2828" t="s">
        <v>2216</v>
      </c>
      <c r="F2828">
        <v>213574</v>
      </c>
      <c r="G2828">
        <v>41254.553</v>
      </c>
      <c r="H2828" s="32">
        <f t="shared" si="44"/>
        <v>5.1769801020507966</v>
      </c>
      <c r="I2828">
        <v>1</v>
      </c>
      <c r="J2828" t="s">
        <v>21</v>
      </c>
    </row>
    <row r="2829" spans="1:10" x14ac:dyDescent="0.25">
      <c r="A2829">
        <v>50326</v>
      </c>
      <c r="B2829" t="s">
        <v>2635</v>
      </c>
      <c r="C2829" t="s">
        <v>166</v>
      </c>
      <c r="D2829" t="s">
        <v>2071</v>
      </c>
      <c r="E2829" t="s">
        <v>2216</v>
      </c>
      <c r="F2829">
        <v>109458</v>
      </c>
      <c r="G2829">
        <v>20852</v>
      </c>
      <c r="H2829" s="32">
        <f t="shared" si="44"/>
        <v>5.2492806445424902</v>
      </c>
      <c r="I2829">
        <v>1</v>
      </c>
      <c r="J2829" t="s">
        <v>21</v>
      </c>
    </row>
    <row r="2830" spans="1:10" x14ac:dyDescent="0.25">
      <c r="A2830">
        <v>54569</v>
      </c>
      <c r="B2830" t="s">
        <v>2709</v>
      </c>
      <c r="C2830" t="s">
        <v>241</v>
      </c>
      <c r="D2830" t="s">
        <v>2234</v>
      </c>
      <c r="E2830" t="s">
        <v>2216</v>
      </c>
      <c r="F2830">
        <v>678</v>
      </c>
      <c r="G2830">
        <v>128.56700000000001</v>
      </c>
      <c r="H2830" s="32">
        <f t="shared" si="44"/>
        <v>5.2735149766269727</v>
      </c>
      <c r="I2830">
        <v>1</v>
      </c>
      <c r="J2830" t="s">
        <v>21</v>
      </c>
    </row>
    <row r="2831" spans="1:10" x14ac:dyDescent="0.25">
      <c r="A2831">
        <v>58161</v>
      </c>
      <c r="B2831" t="s">
        <v>3121</v>
      </c>
      <c r="C2831" t="s">
        <v>250</v>
      </c>
      <c r="D2831" t="s">
        <v>2071</v>
      </c>
      <c r="E2831" t="s">
        <v>2216</v>
      </c>
      <c r="F2831">
        <v>361739</v>
      </c>
      <c r="G2831">
        <v>68435</v>
      </c>
      <c r="H2831" s="32">
        <f t="shared" si="44"/>
        <v>5.2858771096661066</v>
      </c>
      <c r="I2831">
        <v>1</v>
      </c>
      <c r="J2831" t="s">
        <v>21</v>
      </c>
    </row>
    <row r="2832" spans="1:10" x14ac:dyDescent="0.25">
      <c r="A2832">
        <v>55036</v>
      </c>
      <c r="B2832" t="s">
        <v>2757</v>
      </c>
      <c r="C2832" t="s">
        <v>2029</v>
      </c>
      <c r="D2832" t="s">
        <v>2214</v>
      </c>
      <c r="E2832" t="s">
        <v>2216</v>
      </c>
      <c r="F2832">
        <v>178817</v>
      </c>
      <c r="G2832">
        <v>33384.68</v>
      </c>
      <c r="H2832" s="32">
        <f t="shared" si="44"/>
        <v>5.3562592183001305</v>
      </c>
      <c r="I2832">
        <v>1</v>
      </c>
      <c r="J2832" t="s">
        <v>21</v>
      </c>
    </row>
    <row r="2833" spans="1:10" x14ac:dyDescent="0.25">
      <c r="A2833">
        <v>52193</v>
      </c>
      <c r="B2833" t="s">
        <v>2692</v>
      </c>
      <c r="C2833" t="s">
        <v>672</v>
      </c>
      <c r="D2833" t="s">
        <v>2218</v>
      </c>
      <c r="E2833" t="s">
        <v>2216</v>
      </c>
      <c r="F2833">
        <v>298943</v>
      </c>
      <c r="G2833">
        <v>55807.677000000003</v>
      </c>
      <c r="H2833" s="32">
        <f t="shared" si="44"/>
        <v>5.35666446033939</v>
      </c>
      <c r="I2833">
        <v>1</v>
      </c>
      <c r="J2833" t="s">
        <v>21</v>
      </c>
    </row>
    <row r="2834" spans="1:10" x14ac:dyDescent="0.25">
      <c r="A2834">
        <v>52193</v>
      </c>
      <c r="B2834" t="s">
        <v>2692</v>
      </c>
      <c r="C2834" t="s">
        <v>672</v>
      </c>
      <c r="D2834" t="s">
        <v>2214</v>
      </c>
      <c r="E2834" t="s">
        <v>2216</v>
      </c>
      <c r="F2834">
        <v>4674980</v>
      </c>
      <c r="G2834">
        <v>872119</v>
      </c>
      <c r="H2834" s="32">
        <f t="shared" si="44"/>
        <v>5.3604840623813956</v>
      </c>
      <c r="I2834">
        <v>1</v>
      </c>
      <c r="J2834" t="s">
        <v>21</v>
      </c>
    </row>
    <row r="2835" spans="1:10" x14ac:dyDescent="0.25">
      <c r="A2835">
        <v>50366</v>
      </c>
      <c r="B2835" t="s">
        <v>2636</v>
      </c>
      <c r="C2835" t="s">
        <v>131</v>
      </c>
      <c r="D2835" t="s">
        <v>2214</v>
      </c>
      <c r="E2835" t="s">
        <v>2216</v>
      </c>
      <c r="F2835">
        <v>205062</v>
      </c>
      <c r="G2835">
        <v>37694.720000000001</v>
      </c>
      <c r="H2835" s="32">
        <f t="shared" si="44"/>
        <v>5.4400722435396789</v>
      </c>
      <c r="I2835">
        <v>1</v>
      </c>
      <c r="J2835" t="s">
        <v>21</v>
      </c>
    </row>
    <row r="2836" spans="1:10" x14ac:dyDescent="0.25">
      <c r="A2836">
        <v>50481</v>
      </c>
      <c r="B2836" t="s">
        <v>2646</v>
      </c>
      <c r="C2836" t="s">
        <v>2029</v>
      </c>
      <c r="D2836" t="s">
        <v>2218</v>
      </c>
      <c r="E2836" t="s">
        <v>2216</v>
      </c>
      <c r="F2836">
        <v>3632286</v>
      </c>
      <c r="G2836">
        <v>667549.53200000001</v>
      </c>
      <c r="H2836" s="32">
        <f t="shared" si="44"/>
        <v>5.4412231990000111</v>
      </c>
      <c r="I2836">
        <v>1</v>
      </c>
      <c r="J2836" t="s">
        <v>21</v>
      </c>
    </row>
    <row r="2837" spans="1:10" x14ac:dyDescent="0.25">
      <c r="A2837">
        <v>57908</v>
      </c>
      <c r="B2837" t="s">
        <v>3075</v>
      </c>
      <c r="C2837" t="s">
        <v>322</v>
      </c>
      <c r="D2837" t="s">
        <v>2071</v>
      </c>
      <c r="E2837" t="s">
        <v>2216</v>
      </c>
      <c r="F2837">
        <v>937208</v>
      </c>
      <c r="G2837">
        <v>171397.61499999999</v>
      </c>
      <c r="H2837" s="32">
        <f t="shared" si="44"/>
        <v>5.4680340797040845</v>
      </c>
      <c r="I2837">
        <v>1</v>
      </c>
      <c r="J2837" t="s">
        <v>21</v>
      </c>
    </row>
    <row r="2838" spans="1:10" x14ac:dyDescent="0.25">
      <c r="A2838">
        <v>50411</v>
      </c>
      <c r="B2838" t="s">
        <v>2640</v>
      </c>
      <c r="C2838" t="s">
        <v>241</v>
      </c>
      <c r="D2838" t="s">
        <v>2214</v>
      </c>
      <c r="E2838" t="s">
        <v>2216</v>
      </c>
      <c r="F2838">
        <v>258810</v>
      </c>
      <c r="G2838">
        <v>47060</v>
      </c>
      <c r="H2838" s="32">
        <f t="shared" si="44"/>
        <v>5.4995750106247341</v>
      </c>
      <c r="I2838">
        <v>1</v>
      </c>
      <c r="J2838" t="s">
        <v>21</v>
      </c>
    </row>
    <row r="2839" spans="1:10" x14ac:dyDescent="0.25">
      <c r="A2839">
        <v>50366</v>
      </c>
      <c r="B2839" t="s">
        <v>2636</v>
      </c>
      <c r="C2839" t="s">
        <v>131</v>
      </c>
      <c r="D2839" t="s">
        <v>2218</v>
      </c>
      <c r="E2839" t="s">
        <v>2216</v>
      </c>
      <c r="F2839">
        <v>267858</v>
      </c>
      <c r="G2839">
        <v>48248.423000000003</v>
      </c>
      <c r="H2839" s="32">
        <f t="shared" si="44"/>
        <v>5.551642589437586</v>
      </c>
      <c r="I2839">
        <v>1</v>
      </c>
      <c r="J2839" t="s">
        <v>21</v>
      </c>
    </row>
    <row r="2840" spans="1:10" x14ac:dyDescent="0.25">
      <c r="A2840">
        <v>58427</v>
      </c>
      <c r="B2840" t="s">
        <v>3192</v>
      </c>
      <c r="C2840" t="s">
        <v>250</v>
      </c>
      <c r="D2840" t="s">
        <v>2071</v>
      </c>
      <c r="E2840" t="s">
        <v>2216</v>
      </c>
      <c r="F2840">
        <v>2634751</v>
      </c>
      <c r="G2840">
        <v>471860</v>
      </c>
      <c r="H2840" s="32">
        <f t="shared" si="44"/>
        <v>5.5837557750180142</v>
      </c>
      <c r="I2840">
        <v>1</v>
      </c>
      <c r="J2840" t="s">
        <v>21</v>
      </c>
    </row>
    <row r="2841" spans="1:10" x14ac:dyDescent="0.25">
      <c r="A2841">
        <v>52130</v>
      </c>
      <c r="B2841" t="s">
        <v>2687</v>
      </c>
      <c r="C2841" t="s">
        <v>131</v>
      </c>
      <c r="D2841" t="s">
        <v>2218</v>
      </c>
      <c r="E2841" t="s">
        <v>2216</v>
      </c>
      <c r="F2841">
        <v>236527</v>
      </c>
      <c r="G2841">
        <v>42229.826999999997</v>
      </c>
      <c r="H2841" s="32">
        <f t="shared" si="44"/>
        <v>5.6009464590039642</v>
      </c>
      <c r="I2841">
        <v>1</v>
      </c>
      <c r="J2841" t="s">
        <v>21</v>
      </c>
    </row>
    <row r="2842" spans="1:10" x14ac:dyDescent="0.25">
      <c r="A2842">
        <v>60102</v>
      </c>
      <c r="B2842" t="s">
        <v>3669</v>
      </c>
      <c r="C2842" t="s">
        <v>250</v>
      </c>
      <c r="D2842" t="s">
        <v>2234</v>
      </c>
      <c r="E2842" t="s">
        <v>2216</v>
      </c>
      <c r="F2842">
        <v>23538</v>
      </c>
      <c r="G2842">
        <v>4191.46</v>
      </c>
      <c r="H2842" s="32">
        <f t="shared" si="44"/>
        <v>5.6157043130555939</v>
      </c>
      <c r="I2842">
        <v>1</v>
      </c>
      <c r="J2842" t="s">
        <v>21</v>
      </c>
    </row>
    <row r="2843" spans="1:10" x14ac:dyDescent="0.25">
      <c r="A2843">
        <v>58328</v>
      </c>
      <c r="B2843" t="s">
        <v>3151</v>
      </c>
      <c r="C2843" t="s">
        <v>166</v>
      </c>
      <c r="D2843" t="s">
        <v>2214</v>
      </c>
      <c r="E2843" t="s">
        <v>2216</v>
      </c>
      <c r="F2843">
        <v>219515</v>
      </c>
      <c r="G2843">
        <v>38957</v>
      </c>
      <c r="H2843" s="32">
        <f t="shared" si="44"/>
        <v>5.6348024745231919</v>
      </c>
      <c r="I2843">
        <v>1</v>
      </c>
      <c r="J2843" t="s">
        <v>21</v>
      </c>
    </row>
    <row r="2844" spans="1:10" x14ac:dyDescent="0.25">
      <c r="A2844">
        <v>50397</v>
      </c>
      <c r="B2844" t="s">
        <v>2637</v>
      </c>
      <c r="C2844" t="s">
        <v>143</v>
      </c>
      <c r="D2844" t="s">
        <v>2218</v>
      </c>
      <c r="E2844" t="s">
        <v>2216</v>
      </c>
      <c r="F2844">
        <v>599374</v>
      </c>
      <c r="G2844">
        <v>106276.245</v>
      </c>
      <c r="H2844" s="32">
        <f t="shared" si="44"/>
        <v>5.6397739683030768</v>
      </c>
      <c r="I2844">
        <v>1</v>
      </c>
      <c r="J2844" t="s">
        <v>21</v>
      </c>
    </row>
    <row r="2845" spans="1:10" x14ac:dyDescent="0.25">
      <c r="A2845">
        <v>52152</v>
      </c>
      <c r="B2845" t="s">
        <v>2690</v>
      </c>
      <c r="C2845" t="s">
        <v>201</v>
      </c>
      <c r="D2845" t="s">
        <v>2218</v>
      </c>
      <c r="E2845" t="s">
        <v>2216</v>
      </c>
      <c r="F2845">
        <v>174088</v>
      </c>
      <c r="G2845">
        <v>30613.280999999999</v>
      </c>
      <c r="H2845" s="32">
        <f t="shared" si="44"/>
        <v>5.6866821952210875</v>
      </c>
      <c r="I2845">
        <v>1</v>
      </c>
      <c r="J2845" t="s">
        <v>21</v>
      </c>
    </row>
    <row r="2846" spans="1:10" x14ac:dyDescent="0.25">
      <c r="A2846">
        <v>56785</v>
      </c>
      <c r="B2846" t="s">
        <v>2904</v>
      </c>
      <c r="C2846" t="s">
        <v>201</v>
      </c>
      <c r="D2846" t="s">
        <v>2218</v>
      </c>
      <c r="E2846" t="s">
        <v>2216</v>
      </c>
      <c r="F2846">
        <v>54824</v>
      </c>
      <c r="G2846">
        <v>9612.0210000000006</v>
      </c>
      <c r="H2846" s="32">
        <f t="shared" si="44"/>
        <v>5.7036912424556707</v>
      </c>
      <c r="I2846">
        <v>1</v>
      </c>
      <c r="J2846" t="s">
        <v>21</v>
      </c>
    </row>
    <row r="2847" spans="1:10" x14ac:dyDescent="0.25">
      <c r="A2847">
        <v>54780</v>
      </c>
      <c r="B2847" t="s">
        <v>2724</v>
      </c>
      <c r="C2847" t="s">
        <v>166</v>
      </c>
      <c r="D2847" t="s">
        <v>2214</v>
      </c>
      <c r="E2847" t="s">
        <v>2216</v>
      </c>
      <c r="F2847">
        <v>770665</v>
      </c>
      <c r="G2847">
        <v>135024.4</v>
      </c>
      <c r="H2847" s="32">
        <f t="shared" si="44"/>
        <v>5.7075980341330901</v>
      </c>
      <c r="I2847">
        <v>1</v>
      </c>
      <c r="J2847" t="s">
        <v>21</v>
      </c>
    </row>
    <row r="2848" spans="1:10" x14ac:dyDescent="0.25">
      <c r="A2848">
        <v>50316</v>
      </c>
      <c r="B2848" t="s">
        <v>2634</v>
      </c>
      <c r="C2848" t="s">
        <v>131</v>
      </c>
      <c r="D2848" t="s">
        <v>2218</v>
      </c>
      <c r="E2848" t="s">
        <v>2216</v>
      </c>
      <c r="F2848">
        <v>31034</v>
      </c>
      <c r="G2848">
        <v>5435</v>
      </c>
      <c r="H2848" s="32">
        <f t="shared" si="44"/>
        <v>5.7100275988960441</v>
      </c>
      <c r="I2848">
        <v>1</v>
      </c>
      <c r="J2848" t="s">
        <v>21</v>
      </c>
    </row>
    <row r="2849" spans="1:10" x14ac:dyDescent="0.25">
      <c r="A2849">
        <v>50733</v>
      </c>
      <c r="B2849" t="s">
        <v>2666</v>
      </c>
      <c r="C2849" t="s">
        <v>131</v>
      </c>
      <c r="D2849" t="s">
        <v>2218</v>
      </c>
      <c r="E2849" t="s">
        <v>2216</v>
      </c>
      <c r="F2849">
        <v>2582636</v>
      </c>
      <c r="G2849">
        <v>445561.446</v>
      </c>
      <c r="H2849" s="32">
        <f t="shared" si="44"/>
        <v>5.7963632697250924</v>
      </c>
      <c r="I2849">
        <v>1</v>
      </c>
      <c r="J2849" t="s">
        <v>21</v>
      </c>
    </row>
    <row r="2850" spans="1:10" x14ac:dyDescent="0.25">
      <c r="A2850">
        <v>58933</v>
      </c>
      <c r="B2850" t="s">
        <v>3337</v>
      </c>
      <c r="C2850" t="s">
        <v>143</v>
      </c>
      <c r="D2850" t="s">
        <v>1969</v>
      </c>
      <c r="E2850" t="s">
        <v>2216</v>
      </c>
      <c r="F2850">
        <v>3789392</v>
      </c>
      <c r="G2850">
        <v>645302</v>
      </c>
      <c r="H2850" s="32">
        <f t="shared" si="44"/>
        <v>5.8722768564176153</v>
      </c>
      <c r="I2850">
        <v>1</v>
      </c>
      <c r="J2850" t="s">
        <v>21</v>
      </c>
    </row>
    <row r="2851" spans="1:10" x14ac:dyDescent="0.25">
      <c r="A2851">
        <v>50463</v>
      </c>
      <c r="B2851" t="s">
        <v>2645</v>
      </c>
      <c r="C2851" t="s">
        <v>143</v>
      </c>
      <c r="D2851" t="s">
        <v>2218</v>
      </c>
      <c r="E2851" t="s">
        <v>2216</v>
      </c>
      <c r="F2851">
        <v>26833</v>
      </c>
      <c r="G2851">
        <v>4483</v>
      </c>
      <c r="H2851" s="32">
        <f t="shared" si="44"/>
        <v>5.9855007807271914</v>
      </c>
      <c r="I2851">
        <v>1</v>
      </c>
      <c r="J2851" t="s">
        <v>21</v>
      </c>
    </row>
    <row r="2852" spans="1:10" x14ac:dyDescent="0.25">
      <c r="A2852">
        <v>50463</v>
      </c>
      <c r="B2852" t="s">
        <v>2645</v>
      </c>
      <c r="C2852" t="s">
        <v>143</v>
      </c>
      <c r="D2852" t="s">
        <v>2214</v>
      </c>
      <c r="E2852" t="s">
        <v>2216</v>
      </c>
      <c r="F2852">
        <v>4530608</v>
      </c>
      <c r="G2852">
        <v>756872</v>
      </c>
      <c r="H2852" s="32">
        <f t="shared" si="44"/>
        <v>5.9859632804490062</v>
      </c>
      <c r="I2852">
        <v>1</v>
      </c>
      <c r="J2852" t="s">
        <v>21</v>
      </c>
    </row>
    <row r="2853" spans="1:10" x14ac:dyDescent="0.25">
      <c r="A2853">
        <v>54656</v>
      </c>
      <c r="B2853" t="s">
        <v>2717</v>
      </c>
      <c r="C2853" t="s">
        <v>708</v>
      </c>
      <c r="D2853" t="s">
        <v>2218</v>
      </c>
      <c r="E2853" t="s">
        <v>2216</v>
      </c>
      <c r="F2853">
        <v>347459</v>
      </c>
      <c r="G2853">
        <v>57863.447</v>
      </c>
      <c r="H2853" s="32">
        <f t="shared" si="44"/>
        <v>6.0048099104776806</v>
      </c>
      <c r="I2853">
        <v>1</v>
      </c>
      <c r="J2853" t="s">
        <v>21</v>
      </c>
    </row>
    <row r="2854" spans="1:10" x14ac:dyDescent="0.25">
      <c r="A2854">
        <v>54780</v>
      </c>
      <c r="B2854" t="s">
        <v>2724</v>
      </c>
      <c r="C2854" t="s">
        <v>166</v>
      </c>
      <c r="D2854" t="s">
        <v>2218</v>
      </c>
      <c r="E2854" t="s">
        <v>2216</v>
      </c>
      <c r="F2854">
        <v>426638</v>
      </c>
      <c r="G2854">
        <v>71048.885999999999</v>
      </c>
      <c r="H2854" s="32">
        <f t="shared" si="44"/>
        <v>6.0048513638904906</v>
      </c>
      <c r="I2854">
        <v>1</v>
      </c>
      <c r="J2854" t="s">
        <v>21</v>
      </c>
    </row>
    <row r="2855" spans="1:10" x14ac:dyDescent="0.25">
      <c r="A2855">
        <v>10328</v>
      </c>
      <c r="B2855" t="s">
        <v>2595</v>
      </c>
      <c r="C2855" t="s">
        <v>250</v>
      </c>
      <c r="D2855" t="s">
        <v>2214</v>
      </c>
      <c r="E2855" t="s">
        <v>2216</v>
      </c>
      <c r="F2855">
        <v>140251</v>
      </c>
      <c r="G2855">
        <v>22961.4</v>
      </c>
      <c r="H2855" s="32">
        <f t="shared" si="44"/>
        <v>6.1081205849817515</v>
      </c>
      <c r="I2855">
        <v>1</v>
      </c>
      <c r="J2855" t="s">
        <v>21</v>
      </c>
    </row>
    <row r="2856" spans="1:10" x14ac:dyDescent="0.25">
      <c r="A2856">
        <v>10328</v>
      </c>
      <c r="B2856" t="s">
        <v>2595</v>
      </c>
      <c r="C2856" t="s">
        <v>250</v>
      </c>
      <c r="D2856" t="s">
        <v>2234</v>
      </c>
      <c r="E2856" t="s">
        <v>2216</v>
      </c>
      <c r="F2856">
        <v>185788</v>
      </c>
      <c r="G2856">
        <v>30416.26</v>
      </c>
      <c r="H2856" s="32">
        <f t="shared" si="44"/>
        <v>6.1081802956708025</v>
      </c>
      <c r="I2856">
        <v>1</v>
      </c>
      <c r="J2856" t="s">
        <v>21</v>
      </c>
    </row>
    <row r="2857" spans="1:10" x14ac:dyDescent="0.25">
      <c r="A2857">
        <v>10865</v>
      </c>
      <c r="B2857" t="s">
        <v>2615</v>
      </c>
      <c r="C2857" t="s">
        <v>166</v>
      </c>
      <c r="D2857" t="s">
        <v>2218</v>
      </c>
      <c r="E2857" t="s">
        <v>2216</v>
      </c>
      <c r="F2857">
        <v>13743</v>
      </c>
      <c r="G2857">
        <v>2242.44</v>
      </c>
      <c r="H2857" s="32">
        <f t="shared" si="44"/>
        <v>6.1285920693530258</v>
      </c>
      <c r="I2857">
        <v>1</v>
      </c>
      <c r="J2857" t="s">
        <v>21</v>
      </c>
    </row>
    <row r="2858" spans="1:10" x14ac:dyDescent="0.25">
      <c r="A2858">
        <v>59794</v>
      </c>
      <c r="B2858" t="s">
        <v>3581</v>
      </c>
      <c r="C2858" t="s">
        <v>166</v>
      </c>
      <c r="D2858" t="s">
        <v>2214</v>
      </c>
      <c r="E2858" t="s">
        <v>2216</v>
      </c>
      <c r="F2858">
        <v>106646</v>
      </c>
      <c r="G2858">
        <v>17396</v>
      </c>
      <c r="H2858" s="32">
        <f t="shared" si="44"/>
        <v>6.1304897677627039</v>
      </c>
      <c r="I2858">
        <v>1</v>
      </c>
      <c r="J2858" t="s">
        <v>21</v>
      </c>
    </row>
    <row r="2859" spans="1:10" x14ac:dyDescent="0.25">
      <c r="A2859">
        <v>54974</v>
      </c>
      <c r="B2859" t="s">
        <v>2751</v>
      </c>
      <c r="C2859" t="s">
        <v>322</v>
      </c>
      <c r="D2859" t="s">
        <v>2218</v>
      </c>
      <c r="E2859" t="s">
        <v>2216</v>
      </c>
      <c r="F2859">
        <v>32</v>
      </c>
      <c r="G2859">
        <v>5.1639999999999997</v>
      </c>
      <c r="H2859" s="32">
        <f t="shared" si="44"/>
        <v>6.1967467079783116</v>
      </c>
      <c r="I2859">
        <v>1</v>
      </c>
      <c r="J2859" t="s">
        <v>21</v>
      </c>
    </row>
    <row r="2860" spans="1:10" x14ac:dyDescent="0.25">
      <c r="A2860">
        <v>10129</v>
      </c>
      <c r="B2860" t="s">
        <v>2580</v>
      </c>
      <c r="C2860" t="s">
        <v>143</v>
      </c>
      <c r="D2860" t="s">
        <v>2234</v>
      </c>
      <c r="E2860" t="s">
        <v>2216</v>
      </c>
      <c r="F2860">
        <v>122982</v>
      </c>
      <c r="G2860">
        <v>19824.206999999999</v>
      </c>
      <c r="H2860" s="32">
        <f t="shared" si="44"/>
        <v>6.2036277163570785</v>
      </c>
      <c r="I2860">
        <v>1</v>
      </c>
      <c r="J2860" t="s">
        <v>21</v>
      </c>
    </row>
    <row r="2861" spans="1:10" x14ac:dyDescent="0.25">
      <c r="A2861">
        <v>54638</v>
      </c>
      <c r="B2861" t="s">
        <v>2715</v>
      </c>
      <c r="C2861" t="s">
        <v>143</v>
      </c>
      <c r="D2861" t="s">
        <v>2218</v>
      </c>
      <c r="E2861" t="s">
        <v>2216</v>
      </c>
      <c r="F2861">
        <v>427804</v>
      </c>
      <c r="G2861">
        <v>68250.077000000005</v>
      </c>
      <c r="H2861" s="32">
        <f t="shared" si="44"/>
        <v>6.2681834043938141</v>
      </c>
      <c r="I2861">
        <v>1</v>
      </c>
      <c r="J2861" t="s">
        <v>21</v>
      </c>
    </row>
    <row r="2862" spans="1:10" x14ac:dyDescent="0.25">
      <c r="A2862">
        <v>60357</v>
      </c>
      <c r="B2862" t="s">
        <v>2094</v>
      </c>
      <c r="C2862" t="s">
        <v>143</v>
      </c>
      <c r="D2862" t="s">
        <v>3191</v>
      </c>
      <c r="E2862" t="s">
        <v>2216</v>
      </c>
      <c r="F2862">
        <v>57098441</v>
      </c>
      <c r="G2862">
        <v>9043168</v>
      </c>
      <c r="H2862" s="32">
        <f t="shared" si="44"/>
        <v>6.3139865365765626</v>
      </c>
      <c r="I2862">
        <v>1</v>
      </c>
      <c r="J2862" t="s">
        <v>21</v>
      </c>
    </row>
    <row r="2863" spans="1:10" x14ac:dyDescent="0.25">
      <c r="A2863">
        <v>10398</v>
      </c>
      <c r="B2863" t="s">
        <v>2597</v>
      </c>
      <c r="C2863" t="s">
        <v>322</v>
      </c>
      <c r="D2863" t="s">
        <v>2218</v>
      </c>
      <c r="E2863" t="s">
        <v>2216</v>
      </c>
      <c r="F2863">
        <v>1100615</v>
      </c>
      <c r="G2863">
        <v>174189.079</v>
      </c>
      <c r="H2863" s="32">
        <f t="shared" si="44"/>
        <v>6.3185074880612921</v>
      </c>
      <c r="I2863">
        <v>1</v>
      </c>
      <c r="J2863" t="s">
        <v>21</v>
      </c>
    </row>
    <row r="2864" spans="1:10" x14ac:dyDescent="0.25">
      <c r="A2864">
        <v>10245</v>
      </c>
      <c r="B2864" t="s">
        <v>2587</v>
      </c>
      <c r="C2864" t="s">
        <v>131</v>
      </c>
      <c r="D2864" t="s">
        <v>2218</v>
      </c>
      <c r="E2864" t="s">
        <v>2216</v>
      </c>
      <c r="F2864">
        <v>1479174</v>
      </c>
      <c r="G2864">
        <v>230961.71100000001</v>
      </c>
      <c r="H2864" s="32">
        <f t="shared" si="44"/>
        <v>6.4044122014665881</v>
      </c>
      <c r="I2864">
        <v>1</v>
      </c>
      <c r="J2864" t="s">
        <v>21</v>
      </c>
    </row>
    <row r="2865" spans="1:10" x14ac:dyDescent="0.25">
      <c r="A2865">
        <v>3393</v>
      </c>
      <c r="B2865" t="s">
        <v>2416</v>
      </c>
      <c r="C2865" t="s">
        <v>2029</v>
      </c>
      <c r="D2865" t="s">
        <v>2071</v>
      </c>
      <c r="E2865" t="s">
        <v>2216</v>
      </c>
      <c r="F2865">
        <v>26997802</v>
      </c>
      <c r="G2865">
        <v>4210333</v>
      </c>
      <c r="H2865" s="32">
        <f t="shared" si="44"/>
        <v>6.412272378455576</v>
      </c>
      <c r="I2865">
        <v>1</v>
      </c>
      <c r="J2865" t="s">
        <v>21</v>
      </c>
    </row>
    <row r="2866" spans="1:10" x14ac:dyDescent="0.25">
      <c r="A2866">
        <v>3393</v>
      </c>
      <c r="B2866" t="s">
        <v>2416</v>
      </c>
      <c r="C2866" t="s">
        <v>2029</v>
      </c>
      <c r="D2866" t="s">
        <v>1969</v>
      </c>
      <c r="E2866" t="s">
        <v>2216</v>
      </c>
      <c r="F2866">
        <v>10482806</v>
      </c>
      <c r="G2866">
        <v>1634802</v>
      </c>
      <c r="H2866" s="32">
        <f t="shared" si="44"/>
        <v>6.4122786735029687</v>
      </c>
      <c r="I2866">
        <v>1</v>
      </c>
      <c r="J2866" t="s">
        <v>21</v>
      </c>
    </row>
    <row r="2867" spans="1:10" x14ac:dyDescent="0.25">
      <c r="A2867">
        <v>10328</v>
      </c>
      <c r="B2867" t="s">
        <v>2595</v>
      </c>
      <c r="C2867" t="s">
        <v>250</v>
      </c>
      <c r="D2867" t="s">
        <v>2218</v>
      </c>
      <c r="E2867" t="s">
        <v>2216</v>
      </c>
      <c r="F2867">
        <v>1267474</v>
      </c>
      <c r="G2867">
        <v>197234.837</v>
      </c>
      <c r="H2867" s="32">
        <f t="shared" si="44"/>
        <v>6.4262176970288465</v>
      </c>
      <c r="I2867">
        <v>1</v>
      </c>
      <c r="J2867" t="s">
        <v>21</v>
      </c>
    </row>
    <row r="2868" spans="1:10" x14ac:dyDescent="0.25">
      <c r="A2868">
        <v>61322</v>
      </c>
      <c r="B2868" t="s">
        <v>3992</v>
      </c>
      <c r="C2868" t="s">
        <v>322</v>
      </c>
      <c r="D2868" t="s">
        <v>3191</v>
      </c>
      <c r="E2868" t="s">
        <v>2216</v>
      </c>
      <c r="F2868">
        <v>24530067</v>
      </c>
      <c r="G2868">
        <v>3808688</v>
      </c>
      <c r="H2868" s="32">
        <f t="shared" si="44"/>
        <v>6.4405556454086028</v>
      </c>
      <c r="I2868">
        <v>1</v>
      </c>
      <c r="J2868" t="s">
        <v>21</v>
      </c>
    </row>
    <row r="2869" spans="1:10" x14ac:dyDescent="0.25">
      <c r="A2869">
        <v>62926</v>
      </c>
      <c r="B2869" t="s">
        <v>2079</v>
      </c>
      <c r="C2869" t="s">
        <v>166</v>
      </c>
      <c r="D2869" t="s">
        <v>3191</v>
      </c>
      <c r="E2869" t="s">
        <v>2216</v>
      </c>
      <c r="F2869">
        <v>48759600</v>
      </c>
      <c r="G2869">
        <v>7550957</v>
      </c>
      <c r="H2869" s="32">
        <f t="shared" si="44"/>
        <v>6.4574066571959028</v>
      </c>
      <c r="I2869">
        <v>1</v>
      </c>
      <c r="J2869" t="s">
        <v>21</v>
      </c>
    </row>
    <row r="2870" spans="1:10" x14ac:dyDescent="0.25">
      <c r="A2870">
        <v>61035</v>
      </c>
      <c r="B2870" t="s">
        <v>280</v>
      </c>
      <c r="C2870" t="s">
        <v>143</v>
      </c>
      <c r="D2870" t="s">
        <v>3191</v>
      </c>
      <c r="E2870" t="s">
        <v>2216</v>
      </c>
      <c r="F2870">
        <v>21872108</v>
      </c>
      <c r="G2870">
        <v>3377539</v>
      </c>
      <c r="H2870" s="32">
        <f t="shared" si="44"/>
        <v>6.4757529076644262</v>
      </c>
      <c r="I2870">
        <v>1</v>
      </c>
      <c r="J2870" t="s">
        <v>21</v>
      </c>
    </row>
    <row r="2871" spans="1:10" x14ac:dyDescent="0.25">
      <c r="A2871">
        <v>59913</v>
      </c>
      <c r="B2871" t="s">
        <v>854</v>
      </c>
      <c r="C2871" t="s">
        <v>201</v>
      </c>
      <c r="D2871" t="s">
        <v>2071</v>
      </c>
      <c r="E2871" t="s">
        <v>2216</v>
      </c>
      <c r="F2871">
        <v>73871197</v>
      </c>
      <c r="G2871">
        <v>11337552</v>
      </c>
      <c r="H2871" s="32">
        <f t="shared" si="44"/>
        <v>6.5156214498509026</v>
      </c>
      <c r="I2871">
        <v>1</v>
      </c>
      <c r="J2871" t="s">
        <v>21</v>
      </c>
    </row>
    <row r="2872" spans="1:10" x14ac:dyDescent="0.25">
      <c r="A2872">
        <v>59906</v>
      </c>
      <c r="B2872" t="s">
        <v>1232</v>
      </c>
      <c r="C2872" t="s">
        <v>143</v>
      </c>
      <c r="D2872" t="s">
        <v>3191</v>
      </c>
      <c r="E2872" t="s">
        <v>2216</v>
      </c>
      <c r="F2872">
        <v>45919317</v>
      </c>
      <c r="G2872">
        <v>7044975</v>
      </c>
      <c r="H2872" s="32">
        <f t="shared" si="44"/>
        <v>6.5180241235774439</v>
      </c>
      <c r="I2872">
        <v>1</v>
      </c>
      <c r="J2872" t="s">
        <v>21</v>
      </c>
    </row>
    <row r="2873" spans="1:10" x14ac:dyDescent="0.25">
      <c r="A2873">
        <v>50006</v>
      </c>
      <c r="B2873" t="s">
        <v>1984</v>
      </c>
      <c r="C2873" t="s">
        <v>241</v>
      </c>
      <c r="D2873" t="s">
        <v>2071</v>
      </c>
      <c r="E2873" t="s">
        <v>2216</v>
      </c>
      <c r="F2873">
        <v>27154814</v>
      </c>
      <c r="G2873">
        <v>4117670.94</v>
      </c>
      <c r="H2873" s="32">
        <f t="shared" si="44"/>
        <v>6.5947022954680303</v>
      </c>
      <c r="I2873">
        <v>1</v>
      </c>
      <c r="J2873" t="s">
        <v>21</v>
      </c>
    </row>
    <row r="2874" spans="1:10" x14ac:dyDescent="0.25">
      <c r="A2874">
        <v>10118</v>
      </c>
      <c r="B2874" t="s">
        <v>2069</v>
      </c>
      <c r="C2874" t="s">
        <v>143</v>
      </c>
      <c r="D2874" t="s">
        <v>2218</v>
      </c>
      <c r="E2874" t="s">
        <v>2216</v>
      </c>
      <c r="F2874">
        <v>35477</v>
      </c>
      <c r="G2874">
        <v>5365.7</v>
      </c>
      <c r="H2874" s="32">
        <f t="shared" si="44"/>
        <v>6.6118120655273316</v>
      </c>
      <c r="I2874">
        <v>1</v>
      </c>
      <c r="J2874" t="s">
        <v>21</v>
      </c>
    </row>
    <row r="2875" spans="1:10" x14ac:dyDescent="0.25">
      <c r="A2875">
        <v>62949</v>
      </c>
      <c r="B2875" t="s">
        <v>864</v>
      </c>
      <c r="C2875" t="s">
        <v>322</v>
      </c>
      <c r="D2875" t="s">
        <v>3191</v>
      </c>
      <c r="E2875" t="s">
        <v>2216</v>
      </c>
      <c r="F2875">
        <v>75101830</v>
      </c>
      <c r="G2875">
        <v>11309051</v>
      </c>
      <c r="H2875" s="32">
        <f t="shared" si="44"/>
        <v>6.6408604930687822</v>
      </c>
      <c r="I2875">
        <v>1</v>
      </c>
      <c r="J2875" t="s">
        <v>21</v>
      </c>
    </row>
    <row r="2876" spans="1:10" x14ac:dyDescent="0.25">
      <c r="A2876">
        <v>58426</v>
      </c>
      <c r="B2876" t="s">
        <v>2117</v>
      </c>
      <c r="C2876" t="s">
        <v>143</v>
      </c>
      <c r="D2876" t="s">
        <v>3191</v>
      </c>
      <c r="E2876" t="s">
        <v>2216</v>
      </c>
      <c r="F2876">
        <v>40765309</v>
      </c>
      <c r="G2876">
        <v>6102059</v>
      </c>
      <c r="H2876" s="32">
        <f t="shared" si="44"/>
        <v>6.680582570571671</v>
      </c>
      <c r="I2876">
        <v>1</v>
      </c>
      <c r="J2876" t="s">
        <v>21</v>
      </c>
    </row>
    <row r="2877" spans="1:10" x14ac:dyDescent="0.25">
      <c r="A2877">
        <v>58433</v>
      </c>
      <c r="B2877" t="s">
        <v>3194</v>
      </c>
      <c r="C2877" t="s">
        <v>672</v>
      </c>
      <c r="D2877" t="s">
        <v>3113</v>
      </c>
      <c r="E2877" t="s">
        <v>2216</v>
      </c>
      <c r="F2877">
        <v>1347760</v>
      </c>
      <c r="G2877">
        <v>201661</v>
      </c>
      <c r="H2877" s="32">
        <f t="shared" si="44"/>
        <v>6.6832952330891944</v>
      </c>
      <c r="I2877">
        <v>1</v>
      </c>
      <c r="J2877" t="s">
        <v>21</v>
      </c>
    </row>
    <row r="2878" spans="1:10" x14ac:dyDescent="0.25">
      <c r="A2878">
        <v>62565</v>
      </c>
      <c r="B2878" t="s">
        <v>4171</v>
      </c>
      <c r="C2878" t="s">
        <v>143</v>
      </c>
      <c r="D2878" t="s">
        <v>3191</v>
      </c>
      <c r="E2878" t="s">
        <v>2216</v>
      </c>
      <c r="F2878">
        <v>28478969</v>
      </c>
      <c r="G2878">
        <v>4258836</v>
      </c>
      <c r="H2878" s="32">
        <f t="shared" si="44"/>
        <v>6.6870311512347502</v>
      </c>
      <c r="I2878">
        <v>1</v>
      </c>
      <c r="J2878" t="s">
        <v>21</v>
      </c>
    </row>
    <row r="2879" spans="1:10" x14ac:dyDescent="0.25">
      <c r="A2879">
        <v>63931</v>
      </c>
      <c r="B2879" t="s">
        <v>1680</v>
      </c>
      <c r="C2879" t="s">
        <v>166</v>
      </c>
      <c r="D2879" t="s">
        <v>3191</v>
      </c>
      <c r="E2879" t="s">
        <v>2216</v>
      </c>
      <c r="F2879">
        <v>43371450</v>
      </c>
      <c r="G2879">
        <v>6456046</v>
      </c>
      <c r="H2879" s="32">
        <f t="shared" si="44"/>
        <v>6.7179586390803285</v>
      </c>
      <c r="I2879">
        <v>1</v>
      </c>
      <c r="J2879" t="s">
        <v>21</v>
      </c>
    </row>
    <row r="2880" spans="1:10" x14ac:dyDescent="0.25">
      <c r="A2880">
        <v>1378</v>
      </c>
      <c r="B2880" t="s">
        <v>2284</v>
      </c>
      <c r="C2880" t="s">
        <v>266</v>
      </c>
      <c r="D2880" t="s">
        <v>1969</v>
      </c>
      <c r="E2880" t="s">
        <v>2216</v>
      </c>
      <c r="F2880">
        <v>17264886</v>
      </c>
      <c r="G2880">
        <v>2563900</v>
      </c>
      <c r="H2880" s="32">
        <f t="shared" si="44"/>
        <v>6.7338375131635395</v>
      </c>
      <c r="I2880">
        <v>1</v>
      </c>
      <c r="J2880" t="s">
        <v>21</v>
      </c>
    </row>
    <row r="2881" spans="1:10" x14ac:dyDescent="0.25">
      <c r="A2881">
        <v>58110</v>
      </c>
      <c r="B2881" t="s">
        <v>3112</v>
      </c>
      <c r="C2881" t="s">
        <v>672</v>
      </c>
      <c r="D2881" t="s">
        <v>3113</v>
      </c>
      <c r="E2881" t="s">
        <v>2216</v>
      </c>
      <c r="F2881">
        <v>138511</v>
      </c>
      <c r="G2881">
        <v>20540</v>
      </c>
      <c r="H2881" s="32">
        <f t="shared" si="44"/>
        <v>6.7434761441090556</v>
      </c>
      <c r="I2881">
        <v>1</v>
      </c>
      <c r="J2881" t="s">
        <v>21</v>
      </c>
    </row>
    <row r="2882" spans="1:10" x14ac:dyDescent="0.25">
      <c r="A2882">
        <v>1378</v>
      </c>
      <c r="B2882" t="s">
        <v>2284</v>
      </c>
      <c r="C2882" t="s">
        <v>266</v>
      </c>
      <c r="D2882" t="s">
        <v>2071</v>
      </c>
      <c r="E2882" t="s">
        <v>2216</v>
      </c>
      <c r="F2882">
        <v>30929729</v>
      </c>
      <c r="G2882">
        <v>4585613</v>
      </c>
      <c r="H2882" s="32">
        <f t="shared" ref="H2882:H2945" si="45">IF(AND(F2882&gt;0,G2882&gt;0),F2882/G2882,"")</f>
        <v>6.7449496937486879</v>
      </c>
      <c r="I2882">
        <v>1</v>
      </c>
      <c r="J2882" t="s">
        <v>21</v>
      </c>
    </row>
    <row r="2883" spans="1:10" x14ac:dyDescent="0.25">
      <c r="A2883">
        <v>52148</v>
      </c>
      <c r="B2883" t="s">
        <v>2688</v>
      </c>
      <c r="C2883" t="s">
        <v>201</v>
      </c>
      <c r="D2883" t="s">
        <v>2218</v>
      </c>
      <c r="E2883" t="s">
        <v>2216</v>
      </c>
      <c r="F2883">
        <v>49701</v>
      </c>
      <c r="G2883">
        <v>7347.3370000000004</v>
      </c>
      <c r="H2883" s="32">
        <f t="shared" si="45"/>
        <v>6.7644916790940712</v>
      </c>
      <c r="I2883">
        <v>1</v>
      </c>
      <c r="J2883" t="s">
        <v>21</v>
      </c>
    </row>
    <row r="2884" spans="1:10" x14ac:dyDescent="0.25">
      <c r="A2884">
        <v>58420</v>
      </c>
      <c r="B2884" t="s">
        <v>2101</v>
      </c>
      <c r="C2884" t="s">
        <v>143</v>
      </c>
      <c r="D2884" t="s">
        <v>3191</v>
      </c>
      <c r="E2884" t="s">
        <v>2216</v>
      </c>
      <c r="F2884">
        <v>35343927</v>
      </c>
      <c r="G2884">
        <v>5197158</v>
      </c>
      <c r="H2884" s="32">
        <f t="shared" si="45"/>
        <v>6.8006258420467498</v>
      </c>
      <c r="I2884">
        <v>1</v>
      </c>
      <c r="J2884" t="s">
        <v>21</v>
      </c>
    </row>
    <row r="2885" spans="1:10" x14ac:dyDescent="0.25">
      <c r="A2885">
        <v>50251</v>
      </c>
      <c r="B2885" t="s">
        <v>2628</v>
      </c>
      <c r="C2885" t="s">
        <v>250</v>
      </c>
      <c r="D2885" t="s">
        <v>2218</v>
      </c>
      <c r="E2885" t="s">
        <v>2216</v>
      </c>
      <c r="F2885">
        <v>67560</v>
      </c>
      <c r="G2885">
        <v>9887.7250000000004</v>
      </c>
      <c r="H2885" s="32">
        <f t="shared" si="45"/>
        <v>6.8327142998010153</v>
      </c>
      <c r="I2885">
        <v>1</v>
      </c>
      <c r="J2885" t="s">
        <v>21</v>
      </c>
    </row>
    <row r="2886" spans="1:10" x14ac:dyDescent="0.25">
      <c r="A2886">
        <v>65194</v>
      </c>
      <c r="B2886" t="s">
        <v>4696</v>
      </c>
      <c r="C2886" t="s">
        <v>241</v>
      </c>
      <c r="D2886" t="s">
        <v>3113</v>
      </c>
      <c r="E2886" t="s">
        <v>2216</v>
      </c>
      <c r="F2886">
        <v>115936</v>
      </c>
      <c r="G2886">
        <v>16796</v>
      </c>
      <c r="H2886" s="32">
        <f t="shared" si="45"/>
        <v>6.9025958561562275</v>
      </c>
      <c r="I2886">
        <v>1</v>
      </c>
      <c r="J2886" t="s">
        <v>21</v>
      </c>
    </row>
    <row r="2887" spans="1:10" x14ac:dyDescent="0.25">
      <c r="A2887">
        <v>54276</v>
      </c>
      <c r="B2887" t="s">
        <v>2696</v>
      </c>
      <c r="C2887" t="s">
        <v>708</v>
      </c>
      <c r="D2887" t="s">
        <v>2218</v>
      </c>
      <c r="E2887" t="s">
        <v>2216</v>
      </c>
      <c r="F2887">
        <v>177809</v>
      </c>
      <c r="G2887">
        <v>25756.867999999999</v>
      </c>
      <c r="H2887" s="32">
        <f t="shared" si="45"/>
        <v>6.9033626293383188</v>
      </c>
      <c r="I2887">
        <v>1</v>
      </c>
      <c r="J2887" t="s">
        <v>21</v>
      </c>
    </row>
    <row r="2888" spans="1:10" x14ac:dyDescent="0.25">
      <c r="A2888">
        <v>55939</v>
      </c>
      <c r="B2888" t="s">
        <v>1749</v>
      </c>
      <c r="C2888" t="s">
        <v>201</v>
      </c>
      <c r="D2888" t="s">
        <v>2071</v>
      </c>
      <c r="E2888" t="s">
        <v>2216</v>
      </c>
      <c r="F2888">
        <v>60111851</v>
      </c>
      <c r="G2888">
        <v>8696953</v>
      </c>
      <c r="H2888" s="32">
        <f t="shared" si="45"/>
        <v>6.9118288899572065</v>
      </c>
      <c r="I2888">
        <v>1</v>
      </c>
      <c r="J2888" t="s">
        <v>21</v>
      </c>
    </row>
    <row r="2889" spans="1:10" x14ac:dyDescent="0.25">
      <c r="A2889">
        <v>54915</v>
      </c>
      <c r="B2889" t="s">
        <v>2747</v>
      </c>
      <c r="C2889" t="s">
        <v>250</v>
      </c>
      <c r="D2889" t="s">
        <v>2071</v>
      </c>
      <c r="E2889" t="s">
        <v>2216</v>
      </c>
      <c r="F2889">
        <v>4864658</v>
      </c>
      <c r="G2889">
        <v>698497</v>
      </c>
      <c r="H2889" s="32">
        <f t="shared" si="45"/>
        <v>6.9644651301294065</v>
      </c>
      <c r="I2889">
        <v>1</v>
      </c>
      <c r="J2889" t="s">
        <v>21</v>
      </c>
    </row>
    <row r="2890" spans="1:10" x14ac:dyDescent="0.25">
      <c r="A2890">
        <v>63706</v>
      </c>
      <c r="B2890" t="s">
        <v>4397</v>
      </c>
      <c r="C2890" t="s">
        <v>241</v>
      </c>
      <c r="D2890" t="s">
        <v>3113</v>
      </c>
      <c r="E2890" t="s">
        <v>2216</v>
      </c>
      <c r="F2890">
        <v>133400</v>
      </c>
      <c r="G2890">
        <v>19075</v>
      </c>
      <c r="H2890" s="32">
        <f t="shared" si="45"/>
        <v>6.993446920052425</v>
      </c>
      <c r="I2890">
        <v>1</v>
      </c>
      <c r="J2890" t="s">
        <v>21</v>
      </c>
    </row>
    <row r="2891" spans="1:10" x14ac:dyDescent="0.25">
      <c r="A2891">
        <v>58260</v>
      </c>
      <c r="B2891" t="s">
        <v>339</v>
      </c>
      <c r="C2891" t="s">
        <v>201</v>
      </c>
      <c r="D2891" t="s">
        <v>2071</v>
      </c>
      <c r="E2891" t="s">
        <v>2216</v>
      </c>
      <c r="F2891">
        <v>68067301</v>
      </c>
      <c r="G2891">
        <v>9690280</v>
      </c>
      <c r="H2891" s="32">
        <f t="shared" si="45"/>
        <v>7.0242862951328551</v>
      </c>
      <c r="I2891">
        <v>1</v>
      </c>
      <c r="J2891" t="s">
        <v>21</v>
      </c>
    </row>
    <row r="2892" spans="1:10" x14ac:dyDescent="0.25">
      <c r="A2892">
        <v>56807</v>
      </c>
      <c r="B2892" t="s">
        <v>215</v>
      </c>
      <c r="C2892" t="s">
        <v>201</v>
      </c>
      <c r="D2892" t="s">
        <v>2071</v>
      </c>
      <c r="E2892" t="s">
        <v>2216</v>
      </c>
      <c r="F2892">
        <v>23780807</v>
      </c>
      <c r="G2892">
        <v>3367324.27</v>
      </c>
      <c r="H2892" s="32">
        <f t="shared" si="45"/>
        <v>7.0622265909662447</v>
      </c>
      <c r="I2892">
        <v>1</v>
      </c>
      <c r="J2892" t="s">
        <v>21</v>
      </c>
    </row>
    <row r="2893" spans="1:10" x14ac:dyDescent="0.25">
      <c r="A2893">
        <v>3405</v>
      </c>
      <c r="B2893" t="s">
        <v>2428</v>
      </c>
      <c r="C2893" t="s">
        <v>2029</v>
      </c>
      <c r="D2893" t="s">
        <v>1969</v>
      </c>
      <c r="E2893" t="s">
        <v>2216</v>
      </c>
      <c r="F2893">
        <v>12157043</v>
      </c>
      <c r="G2893">
        <v>1718948</v>
      </c>
      <c r="H2893" s="32">
        <f t="shared" si="45"/>
        <v>7.072373917070208</v>
      </c>
      <c r="I2893">
        <v>1</v>
      </c>
      <c r="J2893" t="s">
        <v>21</v>
      </c>
    </row>
    <row r="2894" spans="1:10" x14ac:dyDescent="0.25">
      <c r="A2894">
        <v>3405</v>
      </c>
      <c r="B2894" t="s">
        <v>2428</v>
      </c>
      <c r="C2894" t="s">
        <v>2029</v>
      </c>
      <c r="D2894" t="s">
        <v>2071</v>
      </c>
      <c r="E2894" t="s">
        <v>2216</v>
      </c>
      <c r="F2894">
        <v>21435829</v>
      </c>
      <c r="G2894">
        <v>3030923</v>
      </c>
      <c r="H2894" s="32">
        <f t="shared" si="45"/>
        <v>7.0723766324647643</v>
      </c>
      <c r="I2894">
        <v>1</v>
      </c>
      <c r="J2894" t="s">
        <v>21</v>
      </c>
    </row>
    <row r="2895" spans="1:10" x14ac:dyDescent="0.25">
      <c r="A2895">
        <v>7845</v>
      </c>
      <c r="B2895" t="s">
        <v>2028</v>
      </c>
      <c r="C2895" t="s">
        <v>2029</v>
      </c>
      <c r="D2895" t="s">
        <v>2071</v>
      </c>
      <c r="E2895" t="s">
        <v>2216</v>
      </c>
      <c r="F2895">
        <v>16032015</v>
      </c>
      <c r="G2895">
        <v>2256659</v>
      </c>
      <c r="H2895" s="32">
        <f t="shared" si="45"/>
        <v>7.1043143868878724</v>
      </c>
      <c r="I2895">
        <v>1</v>
      </c>
      <c r="J2895" t="s">
        <v>21</v>
      </c>
    </row>
    <row r="2896" spans="1:10" x14ac:dyDescent="0.25">
      <c r="A2896">
        <v>7845</v>
      </c>
      <c r="B2896" t="s">
        <v>2028</v>
      </c>
      <c r="C2896" t="s">
        <v>2029</v>
      </c>
      <c r="D2896" t="s">
        <v>1969</v>
      </c>
      <c r="E2896" t="s">
        <v>2216</v>
      </c>
      <c r="F2896">
        <v>8052051</v>
      </c>
      <c r="G2896">
        <v>1133402</v>
      </c>
      <c r="H2896" s="32">
        <f t="shared" si="45"/>
        <v>7.1043204441142684</v>
      </c>
      <c r="I2896">
        <v>1</v>
      </c>
      <c r="J2896" t="s">
        <v>21</v>
      </c>
    </row>
    <row r="2897" spans="1:10" x14ac:dyDescent="0.25">
      <c r="A2897">
        <v>63702</v>
      </c>
      <c r="B2897" t="s">
        <v>4395</v>
      </c>
      <c r="C2897" t="s">
        <v>241</v>
      </c>
      <c r="D2897" t="s">
        <v>3113</v>
      </c>
      <c r="E2897" t="s">
        <v>2216</v>
      </c>
      <c r="F2897">
        <v>86001</v>
      </c>
      <c r="G2897">
        <v>12093</v>
      </c>
      <c r="H2897" s="32">
        <f t="shared" si="45"/>
        <v>7.1116348300669809</v>
      </c>
      <c r="I2897">
        <v>1</v>
      </c>
      <c r="J2897" t="s">
        <v>21</v>
      </c>
    </row>
    <row r="2898" spans="1:10" x14ac:dyDescent="0.25">
      <c r="A2898">
        <v>10030</v>
      </c>
      <c r="B2898" t="s">
        <v>2573</v>
      </c>
      <c r="C2898" t="s">
        <v>672</v>
      </c>
      <c r="D2898" t="s">
        <v>2214</v>
      </c>
      <c r="E2898" t="s">
        <v>2216</v>
      </c>
      <c r="F2898">
        <v>131022</v>
      </c>
      <c r="G2898">
        <v>18048.530999999999</v>
      </c>
      <c r="H2898" s="32">
        <f t="shared" si="45"/>
        <v>7.2594273738954156</v>
      </c>
      <c r="I2898">
        <v>1</v>
      </c>
      <c r="J2898" t="s">
        <v>21</v>
      </c>
    </row>
    <row r="2899" spans="1:10" x14ac:dyDescent="0.25">
      <c r="A2899">
        <v>63700</v>
      </c>
      <c r="B2899" t="s">
        <v>4394</v>
      </c>
      <c r="C2899" t="s">
        <v>672</v>
      </c>
      <c r="D2899" t="s">
        <v>3113</v>
      </c>
      <c r="E2899" t="s">
        <v>2216</v>
      </c>
      <c r="F2899">
        <v>73573</v>
      </c>
      <c r="G2899">
        <v>10120</v>
      </c>
      <c r="H2899" s="32">
        <f t="shared" si="45"/>
        <v>7.2700592885375492</v>
      </c>
      <c r="I2899">
        <v>1</v>
      </c>
      <c r="J2899" t="s">
        <v>21</v>
      </c>
    </row>
    <row r="2900" spans="1:10" x14ac:dyDescent="0.25">
      <c r="A2900">
        <v>3804</v>
      </c>
      <c r="B2900" t="s">
        <v>1398</v>
      </c>
      <c r="C2900" t="s">
        <v>201</v>
      </c>
      <c r="D2900" t="s">
        <v>2071</v>
      </c>
      <c r="E2900" t="s">
        <v>2216</v>
      </c>
      <c r="F2900">
        <v>20496221</v>
      </c>
      <c r="G2900">
        <v>2796932.54</v>
      </c>
      <c r="H2900" s="32">
        <f t="shared" si="45"/>
        <v>7.3281070268502075</v>
      </c>
      <c r="I2900">
        <v>1</v>
      </c>
      <c r="J2900" t="s">
        <v>21</v>
      </c>
    </row>
    <row r="2901" spans="1:10" x14ac:dyDescent="0.25">
      <c r="A2901">
        <v>63703</v>
      </c>
      <c r="B2901" t="s">
        <v>4396</v>
      </c>
      <c r="C2901" t="s">
        <v>241</v>
      </c>
      <c r="D2901" t="s">
        <v>3113</v>
      </c>
      <c r="E2901" t="s">
        <v>2216</v>
      </c>
      <c r="F2901">
        <v>114189</v>
      </c>
      <c r="G2901">
        <v>15443</v>
      </c>
      <c r="H2901" s="32">
        <f t="shared" si="45"/>
        <v>7.3942239202227542</v>
      </c>
      <c r="I2901">
        <v>1</v>
      </c>
      <c r="J2901" t="s">
        <v>21</v>
      </c>
    </row>
    <row r="2902" spans="1:10" x14ac:dyDescent="0.25">
      <c r="A2902">
        <v>58179</v>
      </c>
      <c r="B2902" t="s">
        <v>3124</v>
      </c>
      <c r="C2902" t="s">
        <v>2029</v>
      </c>
      <c r="D2902" t="s">
        <v>2214</v>
      </c>
      <c r="E2902" t="s">
        <v>2216</v>
      </c>
      <c r="F2902">
        <v>277989</v>
      </c>
      <c r="G2902">
        <v>37478</v>
      </c>
      <c r="H2902" s="32">
        <f t="shared" si="45"/>
        <v>7.4173915363680027</v>
      </c>
      <c r="I2902">
        <v>1</v>
      </c>
      <c r="J2902" t="s">
        <v>21</v>
      </c>
    </row>
    <row r="2903" spans="1:10" x14ac:dyDescent="0.25">
      <c r="A2903">
        <v>62622</v>
      </c>
      <c r="B2903" t="s">
        <v>4186</v>
      </c>
      <c r="C2903" t="s">
        <v>241</v>
      </c>
      <c r="D2903" t="s">
        <v>2234</v>
      </c>
      <c r="E2903" t="s">
        <v>2216</v>
      </c>
      <c r="F2903">
        <v>85613</v>
      </c>
      <c r="G2903">
        <v>11428</v>
      </c>
      <c r="H2903" s="32">
        <f t="shared" si="45"/>
        <v>7.4915120756037803</v>
      </c>
      <c r="I2903">
        <v>1</v>
      </c>
      <c r="J2903" t="s">
        <v>21</v>
      </c>
    </row>
    <row r="2904" spans="1:10" x14ac:dyDescent="0.25">
      <c r="A2904">
        <v>55088</v>
      </c>
      <c r="B2904" t="s">
        <v>2765</v>
      </c>
      <c r="C2904" t="s">
        <v>250</v>
      </c>
      <c r="D2904" t="s">
        <v>2214</v>
      </c>
      <c r="E2904" t="s">
        <v>2216</v>
      </c>
      <c r="F2904">
        <v>5521996</v>
      </c>
      <c r="G2904">
        <v>734916</v>
      </c>
      <c r="H2904" s="32">
        <f t="shared" si="45"/>
        <v>7.5137784454277767</v>
      </c>
      <c r="I2904">
        <v>1</v>
      </c>
      <c r="J2904" t="s">
        <v>21</v>
      </c>
    </row>
    <row r="2905" spans="1:10" x14ac:dyDescent="0.25">
      <c r="A2905">
        <v>63713</v>
      </c>
      <c r="B2905" t="s">
        <v>4398</v>
      </c>
      <c r="C2905" t="s">
        <v>241</v>
      </c>
      <c r="D2905" t="s">
        <v>3113</v>
      </c>
      <c r="E2905" t="s">
        <v>2216</v>
      </c>
      <c r="F2905">
        <v>146501</v>
      </c>
      <c r="G2905">
        <v>19393</v>
      </c>
      <c r="H2905" s="32">
        <f t="shared" si="45"/>
        <v>7.5543237250554327</v>
      </c>
      <c r="I2905">
        <v>1</v>
      </c>
      <c r="J2905" t="s">
        <v>21</v>
      </c>
    </row>
    <row r="2906" spans="1:10" x14ac:dyDescent="0.25">
      <c r="A2906">
        <v>55216</v>
      </c>
      <c r="B2906" t="s">
        <v>2046</v>
      </c>
      <c r="C2906" t="s">
        <v>166</v>
      </c>
      <c r="D2906" t="s">
        <v>2071</v>
      </c>
      <c r="E2906" t="s">
        <v>2216</v>
      </c>
      <c r="F2906">
        <v>4018308</v>
      </c>
      <c r="G2906">
        <v>526821</v>
      </c>
      <c r="H2906" s="32">
        <f t="shared" si="45"/>
        <v>7.6274635976925751</v>
      </c>
      <c r="I2906">
        <v>1</v>
      </c>
      <c r="J2906" t="s">
        <v>21</v>
      </c>
    </row>
    <row r="2907" spans="1:10" x14ac:dyDescent="0.25">
      <c r="A2907">
        <v>3797</v>
      </c>
      <c r="B2907" t="s">
        <v>436</v>
      </c>
      <c r="C2907" t="s">
        <v>201</v>
      </c>
      <c r="D2907" t="s">
        <v>2071</v>
      </c>
      <c r="E2907" t="s">
        <v>2216</v>
      </c>
      <c r="F2907">
        <v>15635090</v>
      </c>
      <c r="G2907">
        <v>2017121.49</v>
      </c>
      <c r="H2907" s="32">
        <f t="shared" si="45"/>
        <v>7.751189047120806</v>
      </c>
      <c r="I2907">
        <v>1</v>
      </c>
      <c r="J2907" t="s">
        <v>21</v>
      </c>
    </row>
    <row r="2908" spans="1:10" x14ac:dyDescent="0.25">
      <c r="A2908">
        <v>10061</v>
      </c>
      <c r="B2908" t="s">
        <v>2575</v>
      </c>
      <c r="C2908" t="s">
        <v>241</v>
      </c>
      <c r="D2908" t="s">
        <v>2071</v>
      </c>
      <c r="E2908" t="s">
        <v>2216</v>
      </c>
      <c r="F2908">
        <v>435456</v>
      </c>
      <c r="G2908">
        <v>55159</v>
      </c>
      <c r="H2908" s="32">
        <f t="shared" si="45"/>
        <v>7.8945593647455539</v>
      </c>
      <c r="I2908">
        <v>1</v>
      </c>
      <c r="J2908" t="s">
        <v>21</v>
      </c>
    </row>
    <row r="2909" spans="1:10" x14ac:dyDescent="0.25">
      <c r="A2909">
        <v>60559</v>
      </c>
      <c r="B2909" t="s">
        <v>3800</v>
      </c>
      <c r="C2909" t="s">
        <v>250</v>
      </c>
      <c r="D2909" t="s">
        <v>2234</v>
      </c>
      <c r="E2909" t="s">
        <v>2216</v>
      </c>
      <c r="F2909">
        <v>1284567</v>
      </c>
      <c r="G2909">
        <v>161962.87100000001</v>
      </c>
      <c r="H2909" s="32">
        <f t="shared" si="45"/>
        <v>7.9312436984399959</v>
      </c>
      <c r="I2909">
        <v>1</v>
      </c>
      <c r="J2909" t="s">
        <v>21</v>
      </c>
    </row>
    <row r="2910" spans="1:10" x14ac:dyDescent="0.25">
      <c r="A2910">
        <v>1007</v>
      </c>
      <c r="B2910" t="s">
        <v>2271</v>
      </c>
      <c r="C2910" t="s">
        <v>131</v>
      </c>
      <c r="D2910" t="s">
        <v>2071</v>
      </c>
      <c r="E2910" t="s">
        <v>2216</v>
      </c>
      <c r="F2910">
        <v>13504730</v>
      </c>
      <c r="G2910">
        <v>1689705</v>
      </c>
      <c r="H2910" s="32">
        <f t="shared" si="45"/>
        <v>7.9923596130685537</v>
      </c>
      <c r="I2910">
        <v>1</v>
      </c>
      <c r="J2910" t="s">
        <v>21</v>
      </c>
    </row>
    <row r="2911" spans="1:10" x14ac:dyDescent="0.25">
      <c r="A2911">
        <v>1829</v>
      </c>
      <c r="B2911" t="s">
        <v>2339</v>
      </c>
      <c r="C2911" t="s">
        <v>250</v>
      </c>
      <c r="D2911" t="s">
        <v>2234</v>
      </c>
      <c r="E2911" t="s">
        <v>2216</v>
      </c>
      <c r="F2911">
        <v>4742</v>
      </c>
      <c r="G2911">
        <v>582.08699999999999</v>
      </c>
      <c r="H2911" s="32">
        <f t="shared" si="45"/>
        <v>8.14654853999488</v>
      </c>
      <c r="I2911">
        <v>1</v>
      </c>
      <c r="J2911" t="s">
        <v>21</v>
      </c>
    </row>
    <row r="2912" spans="1:10" x14ac:dyDescent="0.25">
      <c r="A2912">
        <v>10030</v>
      </c>
      <c r="B2912" t="s">
        <v>2573</v>
      </c>
      <c r="C2912" t="s">
        <v>672</v>
      </c>
      <c r="D2912" t="s">
        <v>2071</v>
      </c>
      <c r="E2912" t="s">
        <v>2216</v>
      </c>
      <c r="F2912">
        <v>581496</v>
      </c>
      <c r="G2912">
        <v>71175</v>
      </c>
      <c r="H2912" s="32">
        <f t="shared" si="45"/>
        <v>8.1699473129610123</v>
      </c>
      <c r="I2912">
        <v>1</v>
      </c>
      <c r="J2912" t="s">
        <v>21</v>
      </c>
    </row>
    <row r="2913" spans="1:10" x14ac:dyDescent="0.25">
      <c r="A2913">
        <v>66393</v>
      </c>
      <c r="B2913" t="s">
        <v>4896</v>
      </c>
      <c r="C2913" t="s">
        <v>143</v>
      </c>
      <c r="D2913" t="s">
        <v>2234</v>
      </c>
      <c r="E2913" t="s">
        <v>2216</v>
      </c>
      <c r="F2913">
        <v>95697</v>
      </c>
      <c r="G2913">
        <v>11689</v>
      </c>
      <c r="H2913" s="32">
        <f t="shared" si="45"/>
        <v>8.1869278809136787</v>
      </c>
      <c r="I2913">
        <v>1</v>
      </c>
      <c r="J2913" t="s">
        <v>21</v>
      </c>
    </row>
    <row r="2914" spans="1:10" x14ac:dyDescent="0.25">
      <c r="A2914">
        <v>65213</v>
      </c>
      <c r="B2914" t="s">
        <v>4697</v>
      </c>
      <c r="C2914" t="s">
        <v>241</v>
      </c>
      <c r="D2914" t="s">
        <v>3113</v>
      </c>
      <c r="E2914" t="s">
        <v>2216</v>
      </c>
      <c r="F2914">
        <v>136757</v>
      </c>
      <c r="G2914">
        <v>16381</v>
      </c>
      <c r="H2914" s="32">
        <f t="shared" si="45"/>
        <v>8.3485135217630173</v>
      </c>
      <c r="I2914">
        <v>1</v>
      </c>
      <c r="J2914" t="s">
        <v>21</v>
      </c>
    </row>
    <row r="2915" spans="1:10" x14ac:dyDescent="0.25">
      <c r="A2915">
        <v>57072</v>
      </c>
      <c r="B2915" t="s">
        <v>2933</v>
      </c>
      <c r="C2915" t="s">
        <v>166</v>
      </c>
      <c r="D2915" t="s">
        <v>2218</v>
      </c>
      <c r="E2915" t="s">
        <v>2216</v>
      </c>
      <c r="F2915">
        <v>1899562</v>
      </c>
      <c r="G2915">
        <v>227502.41399999999</v>
      </c>
      <c r="H2915" s="32">
        <f t="shared" si="45"/>
        <v>8.3496344790433739</v>
      </c>
      <c r="I2915">
        <v>1</v>
      </c>
      <c r="J2915" t="s">
        <v>21</v>
      </c>
    </row>
    <row r="2916" spans="1:10" x14ac:dyDescent="0.25">
      <c r="A2916">
        <v>50094</v>
      </c>
      <c r="B2916" t="s">
        <v>2622</v>
      </c>
      <c r="C2916" t="s">
        <v>241</v>
      </c>
      <c r="D2916" t="s">
        <v>2234</v>
      </c>
      <c r="E2916" t="s">
        <v>2216</v>
      </c>
      <c r="F2916">
        <v>1924</v>
      </c>
      <c r="G2916">
        <v>228.03200000000001</v>
      </c>
      <c r="H2916" s="32">
        <f t="shared" si="45"/>
        <v>8.4374122930115067</v>
      </c>
      <c r="I2916">
        <v>1</v>
      </c>
      <c r="J2916" t="s">
        <v>21</v>
      </c>
    </row>
    <row r="2917" spans="1:10" x14ac:dyDescent="0.25">
      <c r="A2917">
        <v>61391</v>
      </c>
      <c r="B2917" t="s">
        <v>4007</v>
      </c>
      <c r="C2917" t="s">
        <v>250</v>
      </c>
      <c r="D2917" t="s">
        <v>2234</v>
      </c>
      <c r="E2917" t="s">
        <v>2216</v>
      </c>
      <c r="F2917">
        <v>1567339</v>
      </c>
      <c r="G2917">
        <v>184546</v>
      </c>
      <c r="H2917" s="32">
        <f t="shared" si="45"/>
        <v>8.4929448484388708</v>
      </c>
      <c r="I2917">
        <v>1</v>
      </c>
      <c r="J2917" t="s">
        <v>21</v>
      </c>
    </row>
    <row r="2918" spans="1:10" x14ac:dyDescent="0.25">
      <c r="A2918">
        <v>54844</v>
      </c>
      <c r="B2918" t="s">
        <v>2732</v>
      </c>
      <c r="C2918" t="s">
        <v>201</v>
      </c>
      <c r="D2918" t="s">
        <v>2071</v>
      </c>
      <c r="E2918" t="s">
        <v>2216</v>
      </c>
      <c r="F2918">
        <v>11857725</v>
      </c>
      <c r="G2918">
        <v>1384716.6869999999</v>
      </c>
      <c r="H2918" s="32">
        <f t="shared" si="45"/>
        <v>8.5632859857346411</v>
      </c>
      <c r="I2918">
        <v>1</v>
      </c>
      <c r="J2918" t="s">
        <v>21</v>
      </c>
    </row>
    <row r="2919" spans="1:10" x14ac:dyDescent="0.25">
      <c r="A2919">
        <v>56462</v>
      </c>
      <c r="B2919" t="s">
        <v>2868</v>
      </c>
      <c r="C2919" t="s">
        <v>166</v>
      </c>
      <c r="D2919" t="s">
        <v>2234</v>
      </c>
      <c r="E2919" t="s">
        <v>2216</v>
      </c>
      <c r="F2919">
        <v>109555</v>
      </c>
      <c r="G2919">
        <v>12727</v>
      </c>
      <c r="H2919" s="32">
        <f t="shared" si="45"/>
        <v>8.6080773159424844</v>
      </c>
      <c r="I2919">
        <v>1</v>
      </c>
      <c r="J2919" t="s">
        <v>21</v>
      </c>
    </row>
    <row r="2920" spans="1:10" x14ac:dyDescent="0.25">
      <c r="A2920">
        <v>10819</v>
      </c>
      <c r="B2920" t="s">
        <v>2613</v>
      </c>
      <c r="C2920" t="s">
        <v>250</v>
      </c>
      <c r="D2920" t="s">
        <v>2071</v>
      </c>
      <c r="E2920" t="s">
        <v>2216</v>
      </c>
      <c r="F2920">
        <v>1231941</v>
      </c>
      <c r="G2920">
        <v>143065</v>
      </c>
      <c r="H2920" s="32">
        <f t="shared" si="45"/>
        <v>8.6110579107398735</v>
      </c>
      <c r="I2920">
        <v>1</v>
      </c>
      <c r="J2920" t="s">
        <v>21</v>
      </c>
    </row>
    <row r="2921" spans="1:10" x14ac:dyDescent="0.25">
      <c r="A2921">
        <v>61392</v>
      </c>
      <c r="B2921" t="s">
        <v>4008</v>
      </c>
      <c r="C2921" t="s">
        <v>250</v>
      </c>
      <c r="D2921" t="s">
        <v>2234</v>
      </c>
      <c r="E2921" t="s">
        <v>2216</v>
      </c>
      <c r="F2921">
        <v>3170804</v>
      </c>
      <c r="G2921">
        <v>368170</v>
      </c>
      <c r="H2921" s="32">
        <f t="shared" si="45"/>
        <v>8.6123366922888884</v>
      </c>
      <c r="I2921">
        <v>1</v>
      </c>
      <c r="J2921" t="s">
        <v>21</v>
      </c>
    </row>
    <row r="2922" spans="1:10" x14ac:dyDescent="0.25">
      <c r="A2922">
        <v>55259</v>
      </c>
      <c r="B2922" t="s">
        <v>2778</v>
      </c>
      <c r="C2922" t="s">
        <v>131</v>
      </c>
      <c r="D2922" t="s">
        <v>2071</v>
      </c>
      <c r="E2922" t="s">
        <v>2216</v>
      </c>
      <c r="F2922">
        <v>17756008</v>
      </c>
      <c r="G2922">
        <v>2045529</v>
      </c>
      <c r="H2922" s="32">
        <f t="shared" si="45"/>
        <v>8.6803990556965953</v>
      </c>
      <c r="I2922">
        <v>1</v>
      </c>
      <c r="J2922" t="s">
        <v>21</v>
      </c>
    </row>
    <row r="2923" spans="1:10" x14ac:dyDescent="0.25">
      <c r="A2923">
        <v>56671</v>
      </c>
      <c r="B2923" t="s">
        <v>1285</v>
      </c>
      <c r="C2923" t="s">
        <v>118</v>
      </c>
      <c r="D2923" t="s">
        <v>2218</v>
      </c>
      <c r="E2923" t="s">
        <v>2216</v>
      </c>
      <c r="F2923">
        <v>134131</v>
      </c>
      <c r="G2923">
        <v>15317.004000000001</v>
      </c>
      <c r="H2923" s="32">
        <f t="shared" si="45"/>
        <v>8.7569997370242891</v>
      </c>
      <c r="I2923">
        <v>1</v>
      </c>
      <c r="J2923" t="s">
        <v>21</v>
      </c>
    </row>
    <row r="2924" spans="1:10" x14ac:dyDescent="0.25">
      <c r="A2924">
        <v>59056</v>
      </c>
      <c r="B2924" t="s">
        <v>3363</v>
      </c>
      <c r="C2924" t="s">
        <v>143</v>
      </c>
      <c r="D2924" t="s">
        <v>2234</v>
      </c>
      <c r="E2924" t="s">
        <v>2216</v>
      </c>
      <c r="F2924">
        <v>162167</v>
      </c>
      <c r="G2924">
        <v>18502</v>
      </c>
      <c r="H2924" s="32">
        <f t="shared" si="45"/>
        <v>8.7648362339206578</v>
      </c>
      <c r="I2924">
        <v>1</v>
      </c>
      <c r="J2924" t="s">
        <v>21</v>
      </c>
    </row>
    <row r="2925" spans="1:10" x14ac:dyDescent="0.25">
      <c r="A2925">
        <v>50373</v>
      </c>
      <c r="B2925" t="s">
        <v>2135</v>
      </c>
      <c r="C2925" t="s">
        <v>143</v>
      </c>
      <c r="D2925" t="s">
        <v>2234</v>
      </c>
      <c r="E2925" t="s">
        <v>2216</v>
      </c>
      <c r="F2925">
        <v>7961</v>
      </c>
      <c r="G2925">
        <v>894.91399999999999</v>
      </c>
      <c r="H2925" s="32">
        <f t="shared" si="45"/>
        <v>8.8958268615755252</v>
      </c>
      <c r="I2925">
        <v>1</v>
      </c>
      <c r="J2925" t="s">
        <v>21</v>
      </c>
    </row>
    <row r="2926" spans="1:10" x14ac:dyDescent="0.25">
      <c r="A2926">
        <v>63501</v>
      </c>
      <c r="B2926" t="s">
        <v>4363</v>
      </c>
      <c r="C2926" t="s">
        <v>241</v>
      </c>
      <c r="D2926" t="s">
        <v>2234</v>
      </c>
      <c r="E2926" t="s">
        <v>2216</v>
      </c>
      <c r="F2926">
        <v>16311</v>
      </c>
      <c r="G2926">
        <v>1826.72</v>
      </c>
      <c r="H2926" s="32">
        <f t="shared" si="45"/>
        <v>8.9291188578435658</v>
      </c>
      <c r="I2926">
        <v>1</v>
      </c>
      <c r="J2926" t="s">
        <v>21</v>
      </c>
    </row>
    <row r="2927" spans="1:10" x14ac:dyDescent="0.25">
      <c r="A2927">
        <v>1851</v>
      </c>
      <c r="B2927" t="s">
        <v>2343</v>
      </c>
      <c r="C2927" t="s">
        <v>250</v>
      </c>
      <c r="D2927" t="s">
        <v>2234</v>
      </c>
      <c r="E2927" t="s">
        <v>2216</v>
      </c>
      <c r="F2927">
        <v>321</v>
      </c>
      <c r="G2927">
        <v>35.588000000000001</v>
      </c>
      <c r="H2927" s="32">
        <f t="shared" si="45"/>
        <v>9.0198943464089023</v>
      </c>
      <c r="I2927">
        <v>1</v>
      </c>
      <c r="J2927" t="s">
        <v>21</v>
      </c>
    </row>
    <row r="2928" spans="1:10" x14ac:dyDescent="0.25">
      <c r="A2928">
        <v>58811</v>
      </c>
      <c r="B2928" t="s">
        <v>3293</v>
      </c>
      <c r="C2928" t="s">
        <v>143</v>
      </c>
      <c r="D2928" t="s">
        <v>2234</v>
      </c>
      <c r="E2928" t="s">
        <v>2216</v>
      </c>
      <c r="F2928">
        <v>396572</v>
      </c>
      <c r="G2928">
        <v>43693</v>
      </c>
      <c r="H2928" s="32">
        <f t="shared" si="45"/>
        <v>9.0763280159293256</v>
      </c>
      <c r="I2928">
        <v>1</v>
      </c>
      <c r="J2928" t="s">
        <v>21</v>
      </c>
    </row>
    <row r="2929" spans="1:10" x14ac:dyDescent="0.25">
      <c r="A2929">
        <v>60356</v>
      </c>
      <c r="B2929" t="s">
        <v>2167</v>
      </c>
      <c r="C2929" t="s">
        <v>322</v>
      </c>
      <c r="D2929" t="s">
        <v>2071</v>
      </c>
      <c r="E2929" t="s">
        <v>2216</v>
      </c>
      <c r="F2929">
        <v>40690629</v>
      </c>
      <c r="G2929">
        <v>4458459</v>
      </c>
      <c r="H2929" s="32">
        <f t="shared" si="45"/>
        <v>9.1266128050072908</v>
      </c>
      <c r="I2929">
        <v>1</v>
      </c>
      <c r="J2929" t="s">
        <v>21</v>
      </c>
    </row>
    <row r="2930" spans="1:10" x14ac:dyDescent="0.25">
      <c r="A2930">
        <v>58269</v>
      </c>
      <c r="B2930" t="s">
        <v>3138</v>
      </c>
      <c r="C2930" t="s">
        <v>322</v>
      </c>
      <c r="D2930" t="s">
        <v>2234</v>
      </c>
      <c r="E2930" t="s">
        <v>2216</v>
      </c>
      <c r="F2930">
        <v>4227</v>
      </c>
      <c r="G2930">
        <v>461.077</v>
      </c>
      <c r="H2930" s="32">
        <f t="shared" si="45"/>
        <v>9.1676661381938374</v>
      </c>
      <c r="I2930">
        <v>1</v>
      </c>
      <c r="J2930" t="s">
        <v>21</v>
      </c>
    </row>
    <row r="2931" spans="1:10" x14ac:dyDescent="0.25">
      <c r="A2931">
        <v>60589</v>
      </c>
      <c r="B2931" t="s">
        <v>3810</v>
      </c>
      <c r="C2931" t="s">
        <v>143</v>
      </c>
      <c r="D2931" t="s">
        <v>2071</v>
      </c>
      <c r="E2931" t="s">
        <v>2216</v>
      </c>
      <c r="F2931">
        <v>44844814</v>
      </c>
      <c r="G2931">
        <v>4857828</v>
      </c>
      <c r="H2931" s="32">
        <f t="shared" si="45"/>
        <v>9.2314536455387053</v>
      </c>
      <c r="I2931">
        <v>1</v>
      </c>
      <c r="J2931" t="s">
        <v>21</v>
      </c>
    </row>
    <row r="2932" spans="1:10" x14ac:dyDescent="0.25">
      <c r="A2932">
        <v>58207</v>
      </c>
      <c r="B2932" t="s">
        <v>2146</v>
      </c>
      <c r="C2932" t="s">
        <v>307</v>
      </c>
      <c r="D2932" t="s">
        <v>2234</v>
      </c>
      <c r="E2932" t="s">
        <v>2216</v>
      </c>
      <c r="F2932">
        <v>21314</v>
      </c>
      <c r="G2932">
        <v>2308.5790000000002</v>
      </c>
      <c r="H2932" s="32">
        <f t="shared" si="45"/>
        <v>9.232519225029769</v>
      </c>
      <c r="I2932">
        <v>1</v>
      </c>
      <c r="J2932" t="s">
        <v>21</v>
      </c>
    </row>
    <row r="2933" spans="1:10" x14ac:dyDescent="0.25">
      <c r="A2933">
        <v>62192</v>
      </c>
      <c r="B2933" t="s">
        <v>4129</v>
      </c>
      <c r="C2933" t="s">
        <v>250</v>
      </c>
      <c r="D2933" t="s">
        <v>2071</v>
      </c>
      <c r="E2933" t="s">
        <v>2216</v>
      </c>
      <c r="F2933">
        <v>49849227</v>
      </c>
      <c r="G2933">
        <v>5398732</v>
      </c>
      <c r="H2933" s="32">
        <f t="shared" si="45"/>
        <v>9.2335064974516232</v>
      </c>
      <c r="I2933">
        <v>1</v>
      </c>
      <c r="J2933" t="s">
        <v>21</v>
      </c>
    </row>
    <row r="2934" spans="1:10" x14ac:dyDescent="0.25">
      <c r="A2934">
        <v>55460</v>
      </c>
      <c r="B2934" t="s">
        <v>2796</v>
      </c>
      <c r="C2934" t="s">
        <v>250</v>
      </c>
      <c r="D2934" t="s">
        <v>2071</v>
      </c>
      <c r="E2934" t="s">
        <v>2216</v>
      </c>
      <c r="F2934">
        <v>38247545</v>
      </c>
      <c r="G2934">
        <v>4139396</v>
      </c>
      <c r="H2934" s="32">
        <f t="shared" si="45"/>
        <v>9.2398854808769197</v>
      </c>
      <c r="I2934">
        <v>1</v>
      </c>
      <c r="J2934" t="s">
        <v>21</v>
      </c>
    </row>
    <row r="2935" spans="1:10" x14ac:dyDescent="0.25">
      <c r="A2935">
        <v>58215</v>
      </c>
      <c r="B2935" t="s">
        <v>3128</v>
      </c>
      <c r="C2935" t="s">
        <v>708</v>
      </c>
      <c r="D2935" t="s">
        <v>2071</v>
      </c>
      <c r="E2935" t="s">
        <v>2216</v>
      </c>
      <c r="F2935">
        <v>32034169</v>
      </c>
      <c r="G2935">
        <v>3465196</v>
      </c>
      <c r="H2935" s="32">
        <f t="shared" si="45"/>
        <v>9.2445474945717354</v>
      </c>
      <c r="I2935">
        <v>1</v>
      </c>
      <c r="J2935" t="s">
        <v>21</v>
      </c>
    </row>
    <row r="2936" spans="1:10" x14ac:dyDescent="0.25">
      <c r="A2936">
        <v>7806</v>
      </c>
      <c r="B2936" t="s">
        <v>2547</v>
      </c>
      <c r="C2936" t="s">
        <v>250</v>
      </c>
      <c r="D2936" t="s">
        <v>2234</v>
      </c>
      <c r="E2936" t="s">
        <v>2216</v>
      </c>
      <c r="F2936">
        <v>4283</v>
      </c>
      <c r="G2936">
        <v>462</v>
      </c>
      <c r="H2936" s="32">
        <f t="shared" si="45"/>
        <v>9.2705627705627709</v>
      </c>
      <c r="I2936">
        <v>1</v>
      </c>
      <c r="J2936" t="s">
        <v>21</v>
      </c>
    </row>
    <row r="2937" spans="1:10" x14ac:dyDescent="0.25">
      <c r="A2937">
        <v>58813</v>
      </c>
      <c r="B2937" t="s">
        <v>3295</v>
      </c>
      <c r="C2937" t="s">
        <v>143</v>
      </c>
      <c r="D2937" t="s">
        <v>2234</v>
      </c>
      <c r="E2937" t="s">
        <v>2216</v>
      </c>
      <c r="F2937">
        <v>383959</v>
      </c>
      <c r="G2937">
        <v>41220</v>
      </c>
      <c r="H2937" s="32">
        <f t="shared" si="45"/>
        <v>9.3148714216399799</v>
      </c>
      <c r="I2937">
        <v>1</v>
      </c>
      <c r="J2937" t="s">
        <v>21</v>
      </c>
    </row>
    <row r="2938" spans="1:10" x14ac:dyDescent="0.25">
      <c r="A2938">
        <v>60464</v>
      </c>
      <c r="B2938" t="s">
        <v>1784</v>
      </c>
      <c r="C2938" t="s">
        <v>143</v>
      </c>
      <c r="D2938" t="s">
        <v>2071</v>
      </c>
      <c r="E2938" t="s">
        <v>2216</v>
      </c>
      <c r="F2938">
        <v>39797788</v>
      </c>
      <c r="G2938">
        <v>4249813</v>
      </c>
      <c r="H2938" s="32">
        <f t="shared" si="45"/>
        <v>9.3645974540526851</v>
      </c>
      <c r="I2938">
        <v>1</v>
      </c>
      <c r="J2938" t="s">
        <v>21</v>
      </c>
    </row>
    <row r="2939" spans="1:10" x14ac:dyDescent="0.25">
      <c r="A2939">
        <v>64873</v>
      </c>
      <c r="B2939" t="s">
        <v>4657</v>
      </c>
      <c r="C2939" t="s">
        <v>143</v>
      </c>
      <c r="D2939" t="s">
        <v>2234</v>
      </c>
      <c r="E2939" t="s">
        <v>2216</v>
      </c>
      <c r="F2939">
        <v>1111716</v>
      </c>
      <c r="G2939">
        <v>118006</v>
      </c>
      <c r="H2939" s="32">
        <f t="shared" si="45"/>
        <v>9.4208430079826453</v>
      </c>
      <c r="I2939">
        <v>1</v>
      </c>
      <c r="J2939" t="s">
        <v>21</v>
      </c>
    </row>
    <row r="2940" spans="1:10" x14ac:dyDescent="0.25">
      <c r="A2940">
        <v>55997</v>
      </c>
      <c r="B2940" t="s">
        <v>2819</v>
      </c>
      <c r="C2940" t="s">
        <v>143</v>
      </c>
      <c r="D2940" t="s">
        <v>2234</v>
      </c>
      <c r="E2940" t="s">
        <v>2216</v>
      </c>
      <c r="F2940">
        <v>448069</v>
      </c>
      <c r="G2940">
        <v>47529.77</v>
      </c>
      <c r="H2940" s="32">
        <f t="shared" si="45"/>
        <v>9.4271232534893397</v>
      </c>
      <c r="I2940">
        <v>1</v>
      </c>
      <c r="J2940" t="s">
        <v>21</v>
      </c>
    </row>
    <row r="2941" spans="1:10" x14ac:dyDescent="0.25">
      <c r="A2941">
        <v>10745</v>
      </c>
      <c r="B2941" t="s">
        <v>2609</v>
      </c>
      <c r="C2941" t="s">
        <v>250</v>
      </c>
      <c r="D2941" t="s">
        <v>2071</v>
      </c>
      <c r="E2941" t="s">
        <v>2216</v>
      </c>
      <c r="F2941">
        <v>72002488</v>
      </c>
      <c r="G2941">
        <v>7610135</v>
      </c>
      <c r="H2941" s="32">
        <f t="shared" si="45"/>
        <v>9.4613943116646428</v>
      </c>
      <c r="I2941">
        <v>1</v>
      </c>
      <c r="J2941" t="s">
        <v>21</v>
      </c>
    </row>
    <row r="2942" spans="1:10" x14ac:dyDescent="0.25">
      <c r="A2942">
        <v>7277</v>
      </c>
      <c r="B2942" t="s">
        <v>2102</v>
      </c>
      <c r="C2942" t="s">
        <v>708</v>
      </c>
      <c r="D2942" t="s">
        <v>2214</v>
      </c>
      <c r="E2942" t="s">
        <v>2216</v>
      </c>
      <c r="F2942">
        <v>9066550</v>
      </c>
      <c r="G2942">
        <v>957135.90700000001</v>
      </c>
      <c r="H2942" s="32">
        <f t="shared" si="45"/>
        <v>9.472583709055229</v>
      </c>
      <c r="I2942">
        <v>1</v>
      </c>
      <c r="J2942" t="s">
        <v>21</v>
      </c>
    </row>
    <row r="2943" spans="1:10" x14ac:dyDescent="0.25">
      <c r="A2943">
        <v>55856</v>
      </c>
      <c r="B2943" t="s">
        <v>2811</v>
      </c>
      <c r="C2943" t="s">
        <v>166</v>
      </c>
      <c r="D2943" t="s">
        <v>2218</v>
      </c>
      <c r="E2943" t="s">
        <v>2216</v>
      </c>
      <c r="F2943">
        <v>198655</v>
      </c>
      <c r="G2943">
        <v>20949.618999999999</v>
      </c>
      <c r="H2943" s="32">
        <f t="shared" si="45"/>
        <v>9.4825113525930949</v>
      </c>
      <c r="I2943">
        <v>1</v>
      </c>
      <c r="J2943" t="s">
        <v>21</v>
      </c>
    </row>
    <row r="2944" spans="1:10" x14ac:dyDescent="0.25">
      <c r="A2944">
        <v>57625</v>
      </c>
      <c r="B2944" t="s">
        <v>3021</v>
      </c>
      <c r="C2944" t="s">
        <v>131</v>
      </c>
      <c r="D2944" t="s">
        <v>2234</v>
      </c>
      <c r="E2944" t="s">
        <v>2216</v>
      </c>
      <c r="F2944">
        <v>64778</v>
      </c>
      <c r="G2944">
        <v>6788.46</v>
      </c>
      <c r="H2944" s="32">
        <f t="shared" si="45"/>
        <v>9.5423704345315432</v>
      </c>
      <c r="I2944">
        <v>1</v>
      </c>
      <c r="J2944" t="s">
        <v>21</v>
      </c>
    </row>
    <row r="2945" spans="1:10" x14ac:dyDescent="0.25">
      <c r="A2945">
        <v>58818</v>
      </c>
      <c r="B2945" t="s">
        <v>3296</v>
      </c>
      <c r="C2945" t="s">
        <v>143</v>
      </c>
      <c r="D2945" t="s">
        <v>2234</v>
      </c>
      <c r="E2945" t="s">
        <v>2216</v>
      </c>
      <c r="F2945">
        <v>397011</v>
      </c>
      <c r="G2945">
        <v>41422</v>
      </c>
      <c r="H2945" s="32">
        <f t="shared" si="45"/>
        <v>9.5845444449809278</v>
      </c>
      <c r="I2945">
        <v>1</v>
      </c>
      <c r="J2945" t="s">
        <v>21</v>
      </c>
    </row>
    <row r="2946" spans="1:10" x14ac:dyDescent="0.25">
      <c r="A2946">
        <v>55088</v>
      </c>
      <c r="B2946" t="s">
        <v>2765</v>
      </c>
      <c r="C2946" t="s">
        <v>250</v>
      </c>
      <c r="D2946" t="s">
        <v>2218</v>
      </c>
      <c r="E2946" t="s">
        <v>2216</v>
      </c>
      <c r="F2946">
        <v>1994448</v>
      </c>
      <c r="G2946">
        <v>207845.603</v>
      </c>
      <c r="H2946" s="32">
        <f t="shared" ref="H2946:H3009" si="46">IF(AND(F2946&gt;0,G2946&gt;0),F2946/G2946,"")</f>
        <v>9.5958152167404762</v>
      </c>
      <c r="I2946">
        <v>1</v>
      </c>
      <c r="J2946" t="s">
        <v>21</v>
      </c>
    </row>
    <row r="2947" spans="1:10" x14ac:dyDescent="0.25">
      <c r="A2947">
        <v>7399</v>
      </c>
      <c r="B2947" t="s">
        <v>2519</v>
      </c>
      <c r="C2947" t="s">
        <v>250</v>
      </c>
      <c r="D2947" t="s">
        <v>2234</v>
      </c>
      <c r="E2947" t="s">
        <v>2216</v>
      </c>
      <c r="F2947">
        <v>12109</v>
      </c>
      <c r="G2947">
        <v>1261.3240000000001</v>
      </c>
      <c r="H2947" s="32">
        <f t="shared" si="46"/>
        <v>9.6002296000076104</v>
      </c>
      <c r="I2947">
        <v>1</v>
      </c>
      <c r="J2947" t="s">
        <v>21</v>
      </c>
    </row>
    <row r="2948" spans="1:10" x14ac:dyDescent="0.25">
      <c r="A2948">
        <v>8042</v>
      </c>
      <c r="B2948" t="s">
        <v>2150</v>
      </c>
      <c r="C2948" t="s">
        <v>708</v>
      </c>
      <c r="D2948" t="s">
        <v>2218</v>
      </c>
      <c r="E2948" t="s">
        <v>2216</v>
      </c>
      <c r="F2948">
        <v>48714764</v>
      </c>
      <c r="G2948">
        <v>5051008.6900000004</v>
      </c>
      <c r="H2948" s="32">
        <f t="shared" si="46"/>
        <v>9.6445615103465592</v>
      </c>
      <c r="I2948">
        <v>1</v>
      </c>
      <c r="J2948" t="s">
        <v>21</v>
      </c>
    </row>
    <row r="2949" spans="1:10" x14ac:dyDescent="0.25">
      <c r="A2949">
        <v>10805</v>
      </c>
      <c r="B2949" t="s">
        <v>1004</v>
      </c>
      <c r="C2949" t="s">
        <v>241</v>
      </c>
      <c r="D2949" t="s">
        <v>2071</v>
      </c>
      <c r="E2949" t="s">
        <v>2216</v>
      </c>
      <c r="F2949">
        <v>1334925</v>
      </c>
      <c r="G2949">
        <v>137975.70800000001</v>
      </c>
      <c r="H2949" s="32">
        <f t="shared" si="46"/>
        <v>9.6750726584421649</v>
      </c>
      <c r="I2949">
        <v>1</v>
      </c>
      <c r="J2949" t="s">
        <v>21</v>
      </c>
    </row>
    <row r="2950" spans="1:10" x14ac:dyDescent="0.25">
      <c r="A2950">
        <v>56397</v>
      </c>
      <c r="B2950" t="s">
        <v>951</v>
      </c>
      <c r="C2950" t="s">
        <v>143</v>
      </c>
      <c r="D2950" t="s">
        <v>2214</v>
      </c>
      <c r="E2950" t="s">
        <v>2216</v>
      </c>
      <c r="F2950">
        <v>368573</v>
      </c>
      <c r="G2950">
        <v>37882.000999999997</v>
      </c>
      <c r="H2950" s="32">
        <f t="shared" si="46"/>
        <v>9.7295018813816103</v>
      </c>
      <c r="I2950">
        <v>1</v>
      </c>
      <c r="J2950" t="s">
        <v>21</v>
      </c>
    </row>
    <row r="2951" spans="1:10" x14ac:dyDescent="0.25">
      <c r="A2951">
        <v>59260</v>
      </c>
      <c r="B2951" t="s">
        <v>3424</v>
      </c>
      <c r="C2951" t="s">
        <v>131</v>
      </c>
      <c r="D2951" t="s">
        <v>2234</v>
      </c>
      <c r="E2951" t="s">
        <v>2216</v>
      </c>
      <c r="F2951">
        <v>62621</v>
      </c>
      <c r="G2951">
        <v>6387.64</v>
      </c>
      <c r="H2951" s="32">
        <f t="shared" si="46"/>
        <v>9.8034641902173565</v>
      </c>
      <c r="I2951">
        <v>1</v>
      </c>
      <c r="J2951" t="s">
        <v>21</v>
      </c>
    </row>
    <row r="2952" spans="1:10" x14ac:dyDescent="0.25">
      <c r="A2952">
        <v>56964</v>
      </c>
      <c r="B2952" t="s">
        <v>2926</v>
      </c>
      <c r="C2952" t="s">
        <v>241</v>
      </c>
      <c r="D2952" t="s">
        <v>2214</v>
      </c>
      <c r="E2952" t="s">
        <v>2216</v>
      </c>
      <c r="F2952">
        <v>9161472</v>
      </c>
      <c r="G2952">
        <v>931712.45</v>
      </c>
      <c r="H2952" s="32">
        <f t="shared" si="46"/>
        <v>9.8329393365946771</v>
      </c>
      <c r="I2952">
        <v>1</v>
      </c>
      <c r="J2952" t="s">
        <v>21</v>
      </c>
    </row>
    <row r="2953" spans="1:10" x14ac:dyDescent="0.25">
      <c r="A2953">
        <v>58326</v>
      </c>
      <c r="B2953" t="s">
        <v>2129</v>
      </c>
      <c r="C2953" t="s">
        <v>143</v>
      </c>
      <c r="D2953" t="s">
        <v>2234</v>
      </c>
      <c r="E2953" t="s">
        <v>2216</v>
      </c>
      <c r="F2953">
        <v>23542</v>
      </c>
      <c r="G2953">
        <v>2393.1390000000001</v>
      </c>
      <c r="H2953" s="32">
        <f t="shared" si="46"/>
        <v>9.8372890166429947</v>
      </c>
      <c r="I2953">
        <v>1</v>
      </c>
      <c r="J2953" t="s">
        <v>21</v>
      </c>
    </row>
    <row r="2954" spans="1:10" x14ac:dyDescent="0.25">
      <c r="A2954">
        <v>69547</v>
      </c>
      <c r="B2954" t="s">
        <v>5375</v>
      </c>
      <c r="C2954" t="s">
        <v>241</v>
      </c>
      <c r="D2954" t="s">
        <v>2214</v>
      </c>
      <c r="E2954" t="s">
        <v>2216</v>
      </c>
      <c r="F2954">
        <v>319493</v>
      </c>
      <c r="G2954">
        <v>32469</v>
      </c>
      <c r="H2954" s="32">
        <f t="shared" si="46"/>
        <v>9.8399396347285109</v>
      </c>
      <c r="I2954">
        <v>1</v>
      </c>
      <c r="J2954" t="s">
        <v>21</v>
      </c>
    </row>
    <row r="2955" spans="1:10" x14ac:dyDescent="0.25">
      <c r="A2955">
        <v>2721</v>
      </c>
      <c r="B2955" t="s">
        <v>2366</v>
      </c>
      <c r="C2955" t="s">
        <v>708</v>
      </c>
      <c r="D2955" t="s">
        <v>2218</v>
      </c>
      <c r="E2955" t="s">
        <v>2216</v>
      </c>
      <c r="F2955">
        <v>30566951</v>
      </c>
      <c r="G2955">
        <v>3105685.77</v>
      </c>
      <c r="H2955" s="32">
        <f t="shared" si="46"/>
        <v>9.8422549039789047</v>
      </c>
      <c r="I2955">
        <v>1</v>
      </c>
      <c r="J2955" t="s">
        <v>21</v>
      </c>
    </row>
    <row r="2956" spans="1:10" x14ac:dyDescent="0.25">
      <c r="A2956">
        <v>61263</v>
      </c>
      <c r="B2956" t="s">
        <v>3971</v>
      </c>
      <c r="C2956" t="s">
        <v>143</v>
      </c>
      <c r="D2956" t="s">
        <v>2234</v>
      </c>
      <c r="E2956" t="s">
        <v>2216</v>
      </c>
      <c r="F2956">
        <v>394849</v>
      </c>
      <c r="G2956">
        <v>39999</v>
      </c>
      <c r="H2956" s="32">
        <f t="shared" si="46"/>
        <v>9.87147178679467</v>
      </c>
      <c r="I2956">
        <v>1</v>
      </c>
      <c r="J2956" t="s">
        <v>21</v>
      </c>
    </row>
    <row r="2957" spans="1:10" x14ac:dyDescent="0.25">
      <c r="A2957">
        <v>50935</v>
      </c>
      <c r="B2957" t="s">
        <v>2678</v>
      </c>
      <c r="C2957" t="s">
        <v>131</v>
      </c>
      <c r="D2957" t="s">
        <v>2234</v>
      </c>
      <c r="E2957" t="s">
        <v>2216</v>
      </c>
      <c r="F2957">
        <v>208355</v>
      </c>
      <c r="G2957">
        <v>21094.432000000001</v>
      </c>
      <c r="H2957" s="32">
        <f t="shared" si="46"/>
        <v>9.8772510205536701</v>
      </c>
      <c r="I2957">
        <v>1</v>
      </c>
      <c r="J2957" t="s">
        <v>21</v>
      </c>
    </row>
    <row r="2958" spans="1:10" x14ac:dyDescent="0.25">
      <c r="A2958">
        <v>55088</v>
      </c>
      <c r="B2958" t="s">
        <v>2765</v>
      </c>
      <c r="C2958" t="s">
        <v>250</v>
      </c>
      <c r="D2958" t="s">
        <v>2071</v>
      </c>
      <c r="E2958" t="s">
        <v>2216</v>
      </c>
      <c r="F2958">
        <v>20270490</v>
      </c>
      <c r="G2958">
        <v>2047959</v>
      </c>
      <c r="H2958" s="32">
        <f t="shared" si="46"/>
        <v>9.8978983465977599</v>
      </c>
      <c r="I2958">
        <v>1</v>
      </c>
      <c r="J2958" t="s">
        <v>21</v>
      </c>
    </row>
    <row r="2959" spans="1:10" x14ac:dyDescent="0.25">
      <c r="A2959">
        <v>2706</v>
      </c>
      <c r="B2959" t="s">
        <v>2358</v>
      </c>
      <c r="C2959" t="s">
        <v>708</v>
      </c>
      <c r="D2959" t="s">
        <v>2071</v>
      </c>
      <c r="E2959" t="s">
        <v>2216</v>
      </c>
      <c r="F2959">
        <v>22286007</v>
      </c>
      <c r="G2959">
        <v>2251470.08</v>
      </c>
      <c r="H2959" s="32">
        <f t="shared" si="46"/>
        <v>9.8984246772668634</v>
      </c>
      <c r="I2959">
        <v>1</v>
      </c>
      <c r="J2959" t="s">
        <v>21</v>
      </c>
    </row>
    <row r="2960" spans="1:10" x14ac:dyDescent="0.25">
      <c r="A2960">
        <v>2399</v>
      </c>
      <c r="B2960" t="s">
        <v>351</v>
      </c>
      <c r="C2960" t="s">
        <v>241</v>
      </c>
      <c r="D2960" t="s">
        <v>2214</v>
      </c>
      <c r="E2960" t="s">
        <v>2216</v>
      </c>
      <c r="F2960">
        <v>518086</v>
      </c>
      <c r="G2960">
        <v>52339.504999999997</v>
      </c>
      <c r="H2960" s="32">
        <f t="shared" si="46"/>
        <v>9.8985651469191396</v>
      </c>
      <c r="I2960">
        <v>1</v>
      </c>
      <c r="J2960" t="s">
        <v>21</v>
      </c>
    </row>
    <row r="2961" spans="1:10" x14ac:dyDescent="0.25">
      <c r="A2961">
        <v>2727</v>
      </c>
      <c r="B2961" t="s">
        <v>2369</v>
      </c>
      <c r="C2961" t="s">
        <v>708</v>
      </c>
      <c r="D2961" t="s">
        <v>2218</v>
      </c>
      <c r="E2961" t="s">
        <v>2216</v>
      </c>
      <c r="F2961">
        <v>30993163</v>
      </c>
      <c r="G2961">
        <v>3127993.32</v>
      </c>
      <c r="H2961" s="32">
        <f t="shared" si="46"/>
        <v>9.9083213515302528</v>
      </c>
      <c r="I2961">
        <v>1</v>
      </c>
      <c r="J2961" t="s">
        <v>21</v>
      </c>
    </row>
    <row r="2962" spans="1:10" x14ac:dyDescent="0.25">
      <c r="A2962">
        <v>59373</v>
      </c>
      <c r="B2962" t="s">
        <v>3442</v>
      </c>
      <c r="C2962" t="s">
        <v>322</v>
      </c>
      <c r="D2962" t="s">
        <v>2214</v>
      </c>
      <c r="E2962" t="s">
        <v>2216</v>
      </c>
      <c r="F2962">
        <v>1919</v>
      </c>
      <c r="G2962">
        <v>193</v>
      </c>
      <c r="H2962" s="32">
        <f t="shared" si="46"/>
        <v>9.9430051813471501</v>
      </c>
      <c r="I2962">
        <v>1</v>
      </c>
      <c r="J2962" t="s">
        <v>21</v>
      </c>
    </row>
    <row r="2963" spans="1:10" x14ac:dyDescent="0.25">
      <c r="A2963">
        <v>61028</v>
      </c>
      <c r="B2963" t="s">
        <v>923</v>
      </c>
      <c r="C2963" t="s">
        <v>143</v>
      </c>
      <c r="D2963" t="s">
        <v>2071</v>
      </c>
      <c r="E2963" t="s">
        <v>2216</v>
      </c>
      <c r="F2963">
        <v>41233065</v>
      </c>
      <c r="G2963">
        <v>4144379</v>
      </c>
      <c r="H2963" s="32">
        <f t="shared" si="46"/>
        <v>9.9491540228343016</v>
      </c>
      <c r="I2963">
        <v>1</v>
      </c>
      <c r="J2963" t="s">
        <v>21</v>
      </c>
    </row>
    <row r="2964" spans="1:10" x14ac:dyDescent="0.25">
      <c r="A2964">
        <v>55284</v>
      </c>
      <c r="B2964" t="s">
        <v>269</v>
      </c>
      <c r="C2964" t="s">
        <v>118</v>
      </c>
      <c r="D2964" t="s">
        <v>2214</v>
      </c>
      <c r="E2964" t="s">
        <v>2216</v>
      </c>
      <c r="F2964">
        <v>3283857</v>
      </c>
      <c r="G2964">
        <v>329839</v>
      </c>
      <c r="H2964" s="32">
        <f t="shared" si="46"/>
        <v>9.955939109686847</v>
      </c>
      <c r="I2964">
        <v>1</v>
      </c>
      <c r="J2964" t="s">
        <v>21</v>
      </c>
    </row>
    <row r="2965" spans="1:10" x14ac:dyDescent="0.25">
      <c r="A2965">
        <v>7838</v>
      </c>
      <c r="B2965" t="s">
        <v>1468</v>
      </c>
      <c r="C2965" t="s">
        <v>201</v>
      </c>
      <c r="D2965" t="s">
        <v>2214</v>
      </c>
      <c r="E2965" t="s">
        <v>2216</v>
      </c>
      <c r="F2965">
        <v>12227713</v>
      </c>
      <c r="G2965">
        <v>1224496.25</v>
      </c>
      <c r="H2965" s="32">
        <f t="shared" si="46"/>
        <v>9.9859129825836543</v>
      </c>
      <c r="I2965">
        <v>1</v>
      </c>
      <c r="J2965" t="s">
        <v>21</v>
      </c>
    </row>
    <row r="2966" spans="1:10" x14ac:dyDescent="0.25">
      <c r="A2966">
        <v>63259</v>
      </c>
      <c r="B2966" t="s">
        <v>598</v>
      </c>
      <c r="C2966" t="s">
        <v>250</v>
      </c>
      <c r="D2966" t="s">
        <v>2214</v>
      </c>
      <c r="E2966" t="s">
        <v>2216</v>
      </c>
      <c r="F2966">
        <v>1544711</v>
      </c>
      <c r="G2966">
        <v>154260</v>
      </c>
      <c r="H2966" s="32">
        <f t="shared" si="46"/>
        <v>10.013684688188771</v>
      </c>
      <c r="I2966">
        <v>1</v>
      </c>
      <c r="J2966" t="s">
        <v>21</v>
      </c>
    </row>
    <row r="2967" spans="1:10" x14ac:dyDescent="0.25">
      <c r="A2967">
        <v>60376</v>
      </c>
      <c r="B2967" t="s">
        <v>2111</v>
      </c>
      <c r="C2967" t="s">
        <v>322</v>
      </c>
      <c r="D2967" t="s">
        <v>2071</v>
      </c>
      <c r="E2967" t="s">
        <v>2216</v>
      </c>
      <c r="F2967">
        <v>42274158</v>
      </c>
      <c r="G2967">
        <v>4220554.22</v>
      </c>
      <c r="H2967" s="32">
        <f t="shared" si="46"/>
        <v>10.016257533116114</v>
      </c>
      <c r="I2967">
        <v>1</v>
      </c>
      <c r="J2967" t="s">
        <v>21</v>
      </c>
    </row>
    <row r="2968" spans="1:10" x14ac:dyDescent="0.25">
      <c r="A2968">
        <v>55936</v>
      </c>
      <c r="B2968" t="s">
        <v>2157</v>
      </c>
      <c r="C2968" t="s">
        <v>166</v>
      </c>
      <c r="D2968" t="s">
        <v>2214</v>
      </c>
      <c r="E2968" t="s">
        <v>2216</v>
      </c>
      <c r="F2968">
        <v>562520</v>
      </c>
      <c r="G2968">
        <v>56115.999000000003</v>
      </c>
      <c r="H2968" s="32">
        <f t="shared" si="46"/>
        <v>10.024235690787577</v>
      </c>
      <c r="I2968">
        <v>1</v>
      </c>
      <c r="J2968" t="s">
        <v>21</v>
      </c>
    </row>
    <row r="2969" spans="1:10" x14ac:dyDescent="0.25">
      <c r="A2969">
        <v>65400</v>
      </c>
      <c r="B2969" t="s">
        <v>4741</v>
      </c>
      <c r="C2969" t="s">
        <v>131</v>
      </c>
      <c r="D2969" t="s">
        <v>2214</v>
      </c>
      <c r="E2969" t="s">
        <v>2216</v>
      </c>
      <c r="F2969">
        <v>1251848</v>
      </c>
      <c r="G2969">
        <v>124657</v>
      </c>
      <c r="H2969" s="32">
        <f t="shared" si="46"/>
        <v>10.04234018145792</v>
      </c>
      <c r="I2969">
        <v>1</v>
      </c>
      <c r="J2969" t="s">
        <v>21</v>
      </c>
    </row>
    <row r="2970" spans="1:10" x14ac:dyDescent="0.25">
      <c r="A2970">
        <v>57794</v>
      </c>
      <c r="B2970" t="s">
        <v>2177</v>
      </c>
      <c r="C2970" t="s">
        <v>131</v>
      </c>
      <c r="D2970" t="s">
        <v>2071</v>
      </c>
      <c r="E2970" t="s">
        <v>2216</v>
      </c>
      <c r="F2970">
        <v>35691325</v>
      </c>
      <c r="G2970">
        <v>3550073</v>
      </c>
      <c r="H2970" s="32">
        <f t="shared" si="46"/>
        <v>10.053687628395247</v>
      </c>
      <c r="I2970">
        <v>1</v>
      </c>
      <c r="J2970" t="s">
        <v>21</v>
      </c>
    </row>
    <row r="2971" spans="1:10" x14ac:dyDescent="0.25">
      <c r="A2971">
        <v>3176</v>
      </c>
      <c r="B2971" t="s">
        <v>948</v>
      </c>
      <c r="C2971" t="s">
        <v>143</v>
      </c>
      <c r="D2971" t="s">
        <v>2071</v>
      </c>
      <c r="E2971" t="s">
        <v>2216</v>
      </c>
      <c r="F2971">
        <v>1920408</v>
      </c>
      <c r="G2971">
        <v>190436</v>
      </c>
      <c r="H2971" s="32">
        <f t="shared" si="46"/>
        <v>10.084269780923774</v>
      </c>
      <c r="I2971">
        <v>1</v>
      </c>
      <c r="J2971" t="s">
        <v>21</v>
      </c>
    </row>
    <row r="2972" spans="1:10" x14ac:dyDescent="0.25">
      <c r="A2972">
        <v>55654</v>
      </c>
      <c r="B2972" t="s">
        <v>2802</v>
      </c>
      <c r="C2972" t="s">
        <v>143</v>
      </c>
      <c r="D2972" t="s">
        <v>2214</v>
      </c>
      <c r="E2972" t="s">
        <v>2216</v>
      </c>
      <c r="F2972">
        <v>2464984</v>
      </c>
      <c r="G2972">
        <v>244434.99900000001</v>
      </c>
      <c r="H2972" s="32">
        <f t="shared" si="46"/>
        <v>10.084415120929553</v>
      </c>
      <c r="I2972">
        <v>1</v>
      </c>
      <c r="J2972" t="s">
        <v>21</v>
      </c>
    </row>
    <row r="2973" spans="1:10" x14ac:dyDescent="0.25">
      <c r="A2973">
        <v>58714</v>
      </c>
      <c r="B2973" t="s">
        <v>3260</v>
      </c>
      <c r="C2973" t="s">
        <v>143</v>
      </c>
      <c r="D2973" t="s">
        <v>2234</v>
      </c>
      <c r="E2973" t="s">
        <v>2216</v>
      </c>
      <c r="F2973">
        <v>409381</v>
      </c>
      <c r="G2973">
        <v>40575</v>
      </c>
      <c r="H2973" s="32">
        <f t="shared" si="46"/>
        <v>10.089488601355514</v>
      </c>
      <c r="I2973">
        <v>1</v>
      </c>
      <c r="J2973" t="s">
        <v>21</v>
      </c>
    </row>
    <row r="2974" spans="1:10" x14ac:dyDescent="0.25">
      <c r="A2974">
        <v>55364</v>
      </c>
      <c r="B2974" t="s">
        <v>2790</v>
      </c>
      <c r="C2974" t="s">
        <v>131</v>
      </c>
      <c r="D2974" t="s">
        <v>2071</v>
      </c>
      <c r="E2974" t="s">
        <v>2216</v>
      </c>
      <c r="F2974">
        <v>24638841</v>
      </c>
      <c r="G2974">
        <v>2441256</v>
      </c>
      <c r="H2974" s="32">
        <f t="shared" si="46"/>
        <v>10.092690401989795</v>
      </c>
      <c r="I2974">
        <v>1</v>
      </c>
      <c r="J2974" t="s">
        <v>21</v>
      </c>
    </row>
    <row r="2975" spans="1:10" x14ac:dyDescent="0.25">
      <c r="A2975">
        <v>2942</v>
      </c>
      <c r="B2975" t="s">
        <v>2396</v>
      </c>
      <c r="C2975" t="s">
        <v>322</v>
      </c>
      <c r="D2975" t="s">
        <v>2214</v>
      </c>
      <c r="E2975" t="s">
        <v>2216</v>
      </c>
      <c r="F2975">
        <v>1</v>
      </c>
      <c r="G2975">
        <v>9.9000000000000005E-2</v>
      </c>
      <c r="H2975" s="32">
        <f t="shared" si="46"/>
        <v>10.1010101010101</v>
      </c>
      <c r="I2975">
        <v>1</v>
      </c>
      <c r="J2975" t="s">
        <v>21</v>
      </c>
    </row>
    <row r="2976" spans="1:10" x14ac:dyDescent="0.25">
      <c r="A2976">
        <v>59012</v>
      </c>
      <c r="B2976" t="s">
        <v>3350</v>
      </c>
      <c r="C2976" t="s">
        <v>3055</v>
      </c>
      <c r="D2976" t="s">
        <v>2214</v>
      </c>
      <c r="E2976" t="s">
        <v>2216</v>
      </c>
      <c r="F2976">
        <v>14785</v>
      </c>
      <c r="G2976">
        <v>1462.239</v>
      </c>
      <c r="H2976" s="32">
        <f t="shared" si="46"/>
        <v>10.111206170810654</v>
      </c>
      <c r="I2976">
        <v>1</v>
      </c>
      <c r="J2976" t="s">
        <v>21</v>
      </c>
    </row>
    <row r="2977" spans="1:10" x14ac:dyDescent="0.25">
      <c r="A2977">
        <v>6071</v>
      </c>
      <c r="B2977" t="s">
        <v>1989</v>
      </c>
      <c r="C2977" t="s">
        <v>266</v>
      </c>
      <c r="D2977" t="s">
        <v>2218</v>
      </c>
      <c r="E2977" t="s">
        <v>2216</v>
      </c>
      <c r="F2977">
        <v>221740</v>
      </c>
      <c r="G2977">
        <v>21895.768</v>
      </c>
      <c r="H2977" s="32">
        <f t="shared" si="46"/>
        <v>10.127071130823088</v>
      </c>
      <c r="I2977">
        <v>1</v>
      </c>
      <c r="J2977" t="s">
        <v>21</v>
      </c>
    </row>
    <row r="2978" spans="1:10" x14ac:dyDescent="0.25">
      <c r="A2978">
        <v>54081</v>
      </c>
      <c r="B2978" t="s">
        <v>2174</v>
      </c>
      <c r="C2978" t="s">
        <v>201</v>
      </c>
      <c r="D2978" t="s">
        <v>2218</v>
      </c>
      <c r="E2978" t="s">
        <v>2216</v>
      </c>
      <c r="F2978">
        <v>674063</v>
      </c>
      <c r="G2978">
        <v>66468.22</v>
      </c>
      <c r="H2978" s="32">
        <f t="shared" si="46"/>
        <v>10.141132107945722</v>
      </c>
      <c r="I2978">
        <v>1</v>
      </c>
      <c r="J2978" t="s">
        <v>21</v>
      </c>
    </row>
    <row r="2979" spans="1:10" x14ac:dyDescent="0.25">
      <c r="A2979">
        <v>2411</v>
      </c>
      <c r="B2979" t="s">
        <v>1558</v>
      </c>
      <c r="C2979" t="s">
        <v>241</v>
      </c>
      <c r="D2979" t="s">
        <v>2071</v>
      </c>
      <c r="E2979" t="s">
        <v>2216</v>
      </c>
      <c r="F2979">
        <v>14723938</v>
      </c>
      <c r="G2979">
        <v>1451584.4569999999</v>
      </c>
      <c r="H2979" s="32">
        <f t="shared" si="46"/>
        <v>10.143356061024564</v>
      </c>
      <c r="I2979">
        <v>1</v>
      </c>
      <c r="J2979" t="s">
        <v>21</v>
      </c>
    </row>
    <row r="2980" spans="1:10" x14ac:dyDescent="0.25">
      <c r="A2980">
        <v>58715</v>
      </c>
      <c r="B2980" t="s">
        <v>3261</v>
      </c>
      <c r="C2980" t="s">
        <v>143</v>
      </c>
      <c r="D2980" t="s">
        <v>2234</v>
      </c>
      <c r="E2980" t="s">
        <v>2216</v>
      </c>
      <c r="F2980">
        <v>328633</v>
      </c>
      <c r="G2980">
        <v>32384</v>
      </c>
      <c r="H2980" s="32">
        <f t="shared" si="46"/>
        <v>10.148005187747035</v>
      </c>
      <c r="I2980">
        <v>1</v>
      </c>
      <c r="J2980" t="s">
        <v>21</v>
      </c>
    </row>
    <row r="2981" spans="1:10" x14ac:dyDescent="0.25">
      <c r="A2981">
        <v>7398</v>
      </c>
      <c r="B2981" t="s">
        <v>2518</v>
      </c>
      <c r="C2981" t="s">
        <v>250</v>
      </c>
      <c r="D2981" t="s">
        <v>2234</v>
      </c>
      <c r="E2981" t="s">
        <v>2216</v>
      </c>
      <c r="F2981">
        <v>9591</v>
      </c>
      <c r="G2981">
        <v>944.74099999999999</v>
      </c>
      <c r="H2981" s="32">
        <f t="shared" si="46"/>
        <v>10.151988746121953</v>
      </c>
      <c r="I2981">
        <v>1</v>
      </c>
      <c r="J2981" t="s">
        <v>21</v>
      </c>
    </row>
    <row r="2982" spans="1:10" x14ac:dyDescent="0.25">
      <c r="A2982">
        <v>59326</v>
      </c>
      <c r="B2982" t="s">
        <v>2112</v>
      </c>
      <c r="C2982" t="s">
        <v>322</v>
      </c>
      <c r="D2982" t="s">
        <v>2071</v>
      </c>
      <c r="E2982" t="s">
        <v>2216</v>
      </c>
      <c r="F2982">
        <v>18909133</v>
      </c>
      <c r="G2982">
        <v>1860673</v>
      </c>
      <c r="H2982" s="32">
        <f t="shared" si="46"/>
        <v>10.162523452535723</v>
      </c>
      <c r="I2982">
        <v>1</v>
      </c>
      <c r="J2982" t="s">
        <v>21</v>
      </c>
    </row>
    <row r="2983" spans="1:10" x14ac:dyDescent="0.25">
      <c r="A2983">
        <v>3149</v>
      </c>
      <c r="B2983" t="s">
        <v>1202</v>
      </c>
      <c r="C2983" t="s">
        <v>143</v>
      </c>
      <c r="D2983" t="s">
        <v>2218</v>
      </c>
      <c r="E2983" t="s">
        <v>2216</v>
      </c>
      <c r="F2983">
        <v>47922303</v>
      </c>
      <c r="G2983">
        <v>4715555.92</v>
      </c>
      <c r="H2983" s="32">
        <f t="shared" si="46"/>
        <v>10.162598814012156</v>
      </c>
      <c r="I2983">
        <v>1</v>
      </c>
      <c r="J2983" t="s">
        <v>21</v>
      </c>
    </row>
    <row r="2984" spans="1:10" x14ac:dyDescent="0.25">
      <c r="A2984">
        <v>58235</v>
      </c>
      <c r="B2984" t="s">
        <v>452</v>
      </c>
      <c r="C2984" t="s">
        <v>241</v>
      </c>
      <c r="D2984" t="s">
        <v>2214</v>
      </c>
      <c r="E2984" t="s">
        <v>2216</v>
      </c>
      <c r="F2984">
        <v>717748</v>
      </c>
      <c r="G2984">
        <v>70157.998000000007</v>
      </c>
      <c r="H2984" s="32">
        <f t="shared" si="46"/>
        <v>10.230451558780226</v>
      </c>
      <c r="I2984">
        <v>1</v>
      </c>
      <c r="J2984" t="s">
        <v>21</v>
      </c>
    </row>
    <row r="2985" spans="1:10" x14ac:dyDescent="0.25">
      <c r="A2985">
        <v>1363</v>
      </c>
      <c r="B2985" t="s">
        <v>2074</v>
      </c>
      <c r="C2985" t="s">
        <v>266</v>
      </c>
      <c r="D2985" t="s">
        <v>2071</v>
      </c>
      <c r="E2985" t="s">
        <v>2216</v>
      </c>
      <c r="F2985">
        <v>34557757</v>
      </c>
      <c r="G2985">
        <v>3377520</v>
      </c>
      <c r="H2985" s="32">
        <f t="shared" si="46"/>
        <v>10.231695741253938</v>
      </c>
      <c r="I2985">
        <v>1</v>
      </c>
      <c r="J2985" t="s">
        <v>21</v>
      </c>
    </row>
    <row r="2986" spans="1:10" x14ac:dyDescent="0.25">
      <c r="A2986">
        <v>60368</v>
      </c>
      <c r="B2986" t="s">
        <v>3747</v>
      </c>
      <c r="C2986" t="s">
        <v>143</v>
      </c>
      <c r="D2986" t="s">
        <v>2071</v>
      </c>
      <c r="E2986" t="s">
        <v>2216</v>
      </c>
      <c r="F2986">
        <v>55487511</v>
      </c>
      <c r="G2986">
        <v>5419922</v>
      </c>
      <c r="H2986" s="32">
        <f t="shared" si="46"/>
        <v>10.237695487130626</v>
      </c>
      <c r="I2986">
        <v>1</v>
      </c>
      <c r="J2986" t="s">
        <v>21</v>
      </c>
    </row>
    <row r="2987" spans="1:10" x14ac:dyDescent="0.25">
      <c r="A2987">
        <v>55237</v>
      </c>
      <c r="B2987" t="s">
        <v>2068</v>
      </c>
      <c r="C2987" t="s">
        <v>166</v>
      </c>
      <c r="D2987" t="s">
        <v>2214</v>
      </c>
      <c r="E2987" t="s">
        <v>2216</v>
      </c>
      <c r="F2987">
        <v>1884364</v>
      </c>
      <c r="G2987">
        <v>183906.99900000001</v>
      </c>
      <c r="H2987" s="32">
        <f t="shared" si="46"/>
        <v>10.246287581474808</v>
      </c>
      <c r="I2987">
        <v>1</v>
      </c>
      <c r="J2987" t="s">
        <v>21</v>
      </c>
    </row>
    <row r="2988" spans="1:10" x14ac:dyDescent="0.25">
      <c r="A2988">
        <v>1353</v>
      </c>
      <c r="B2988" t="s">
        <v>264</v>
      </c>
      <c r="C2988" t="s">
        <v>266</v>
      </c>
      <c r="D2988" t="s">
        <v>2218</v>
      </c>
      <c r="E2988" t="s">
        <v>2216</v>
      </c>
      <c r="F2988">
        <v>12370172</v>
      </c>
      <c r="G2988">
        <v>1206248</v>
      </c>
      <c r="H2988" s="32">
        <f t="shared" si="46"/>
        <v>10.255081873710878</v>
      </c>
      <c r="I2988">
        <v>1</v>
      </c>
      <c r="J2988" t="s">
        <v>21</v>
      </c>
    </row>
    <row r="2989" spans="1:10" x14ac:dyDescent="0.25">
      <c r="A2989">
        <v>3944</v>
      </c>
      <c r="B2989" t="s">
        <v>899</v>
      </c>
      <c r="C2989" t="s">
        <v>118</v>
      </c>
      <c r="D2989" t="s">
        <v>2218</v>
      </c>
      <c r="E2989" t="s">
        <v>2216</v>
      </c>
      <c r="F2989">
        <v>269958</v>
      </c>
      <c r="G2989">
        <v>26300.679</v>
      </c>
      <c r="H2989" s="32">
        <f t="shared" si="46"/>
        <v>10.264297739233273</v>
      </c>
      <c r="I2989">
        <v>1</v>
      </c>
      <c r="J2989" t="s">
        <v>21</v>
      </c>
    </row>
    <row r="2990" spans="1:10" x14ac:dyDescent="0.25">
      <c r="A2990">
        <v>55087</v>
      </c>
      <c r="B2990" t="s">
        <v>2764</v>
      </c>
      <c r="C2990" t="s">
        <v>250</v>
      </c>
      <c r="D2990" t="s">
        <v>2071</v>
      </c>
      <c r="E2990" t="s">
        <v>2216</v>
      </c>
      <c r="F2990">
        <v>25802667</v>
      </c>
      <c r="G2990">
        <v>2504551</v>
      </c>
      <c r="H2990" s="32">
        <f t="shared" si="46"/>
        <v>10.302312470378922</v>
      </c>
      <c r="I2990">
        <v>1</v>
      </c>
      <c r="J2990" t="s">
        <v>21</v>
      </c>
    </row>
    <row r="2991" spans="1:10" x14ac:dyDescent="0.25">
      <c r="A2991">
        <v>2720</v>
      </c>
      <c r="B2991" t="s">
        <v>2365</v>
      </c>
      <c r="C2991" t="s">
        <v>708</v>
      </c>
      <c r="D2991" t="s">
        <v>2071</v>
      </c>
      <c r="E2991" t="s">
        <v>2216</v>
      </c>
      <c r="F2991">
        <v>23303385</v>
      </c>
      <c r="G2991">
        <v>2260547</v>
      </c>
      <c r="H2991" s="32">
        <f t="shared" si="46"/>
        <v>10.308737221566284</v>
      </c>
      <c r="I2991">
        <v>1</v>
      </c>
      <c r="J2991" t="s">
        <v>21</v>
      </c>
    </row>
    <row r="2992" spans="1:10" x14ac:dyDescent="0.25">
      <c r="A2992">
        <v>1378</v>
      </c>
      <c r="B2992" t="s">
        <v>2284</v>
      </c>
      <c r="C2992" t="s">
        <v>266</v>
      </c>
      <c r="D2992" t="s">
        <v>2214</v>
      </c>
      <c r="E2992" t="s">
        <v>2216</v>
      </c>
      <c r="F2992">
        <v>10776693</v>
      </c>
      <c r="G2992">
        <v>1041767</v>
      </c>
      <c r="H2992" s="32">
        <f t="shared" si="46"/>
        <v>10.344628885345763</v>
      </c>
      <c r="I2992">
        <v>1</v>
      </c>
      <c r="J2992" t="s">
        <v>21</v>
      </c>
    </row>
    <row r="2993" spans="1:10" x14ac:dyDescent="0.25">
      <c r="A2993">
        <v>50279</v>
      </c>
      <c r="B2993" t="s">
        <v>140</v>
      </c>
      <c r="C2993" t="s">
        <v>143</v>
      </c>
      <c r="D2993" t="s">
        <v>2214</v>
      </c>
      <c r="E2993" t="s">
        <v>2216</v>
      </c>
      <c r="F2993">
        <v>621918</v>
      </c>
      <c r="G2993">
        <v>60106.080999999998</v>
      </c>
      <c r="H2993" s="32">
        <f t="shared" si="46"/>
        <v>10.347006320375471</v>
      </c>
      <c r="I2993">
        <v>1</v>
      </c>
      <c r="J2993" t="s">
        <v>21</v>
      </c>
    </row>
    <row r="2994" spans="1:10" x14ac:dyDescent="0.25">
      <c r="A2994">
        <v>59764</v>
      </c>
      <c r="B2994" t="s">
        <v>1317</v>
      </c>
      <c r="C2994" t="s">
        <v>322</v>
      </c>
      <c r="D2994" t="s">
        <v>2071</v>
      </c>
      <c r="E2994" t="s">
        <v>2216</v>
      </c>
      <c r="F2994">
        <v>37303589</v>
      </c>
      <c r="G2994">
        <v>3603018</v>
      </c>
      <c r="H2994" s="32">
        <f t="shared" si="46"/>
        <v>10.353428431387243</v>
      </c>
      <c r="I2994">
        <v>1</v>
      </c>
      <c r="J2994" t="s">
        <v>21</v>
      </c>
    </row>
    <row r="2995" spans="1:10" x14ac:dyDescent="0.25">
      <c r="A2995">
        <v>59773</v>
      </c>
      <c r="B2995" t="s">
        <v>386</v>
      </c>
      <c r="C2995" t="s">
        <v>322</v>
      </c>
      <c r="D2995" t="s">
        <v>2071</v>
      </c>
      <c r="E2995" t="s">
        <v>2216</v>
      </c>
      <c r="F2995">
        <v>32930779</v>
      </c>
      <c r="G2995">
        <v>3173323</v>
      </c>
      <c r="H2995" s="32">
        <f t="shared" si="46"/>
        <v>10.377380115418443</v>
      </c>
      <c r="I2995">
        <v>1</v>
      </c>
      <c r="J2995" t="s">
        <v>21</v>
      </c>
    </row>
    <row r="2996" spans="1:10" x14ac:dyDescent="0.25">
      <c r="A2996">
        <v>2434</v>
      </c>
      <c r="B2996" t="s">
        <v>2357</v>
      </c>
      <c r="C2996" t="s">
        <v>241</v>
      </c>
      <c r="D2996" t="s">
        <v>2214</v>
      </c>
      <c r="E2996" t="s">
        <v>2216</v>
      </c>
      <c r="F2996">
        <v>699309</v>
      </c>
      <c r="G2996">
        <v>67305</v>
      </c>
      <c r="H2996" s="32">
        <f t="shared" si="46"/>
        <v>10.390149320258525</v>
      </c>
      <c r="I2996">
        <v>1</v>
      </c>
      <c r="J2996" t="s">
        <v>21</v>
      </c>
    </row>
    <row r="2997" spans="1:10" x14ac:dyDescent="0.25">
      <c r="A2997">
        <v>63023</v>
      </c>
      <c r="B2997" t="s">
        <v>4279</v>
      </c>
      <c r="C2997" t="s">
        <v>143</v>
      </c>
      <c r="D2997" t="s">
        <v>2234</v>
      </c>
      <c r="E2997" t="s">
        <v>2216</v>
      </c>
      <c r="F2997">
        <v>17545</v>
      </c>
      <c r="G2997">
        <v>1688</v>
      </c>
      <c r="H2997" s="32">
        <f t="shared" si="46"/>
        <v>10.393957345971565</v>
      </c>
      <c r="I2997">
        <v>1</v>
      </c>
      <c r="J2997" t="s">
        <v>21</v>
      </c>
    </row>
    <row r="2998" spans="1:10" x14ac:dyDescent="0.25">
      <c r="A2998">
        <v>1855</v>
      </c>
      <c r="B2998" t="s">
        <v>2345</v>
      </c>
      <c r="C2998" t="s">
        <v>250</v>
      </c>
      <c r="D2998" t="s">
        <v>2234</v>
      </c>
      <c r="E2998" t="s">
        <v>2216</v>
      </c>
      <c r="F2998">
        <v>12175</v>
      </c>
      <c r="G2998">
        <v>1168.4369999999999</v>
      </c>
      <c r="H2998" s="32">
        <f t="shared" si="46"/>
        <v>10.4199028274524</v>
      </c>
      <c r="I2998">
        <v>1</v>
      </c>
      <c r="J2998" t="s">
        <v>21</v>
      </c>
    </row>
    <row r="2999" spans="1:10" x14ac:dyDescent="0.25">
      <c r="A2999">
        <v>55270</v>
      </c>
      <c r="B2999" t="s">
        <v>2080</v>
      </c>
      <c r="C2999" t="s">
        <v>250</v>
      </c>
      <c r="D2999" t="s">
        <v>2071</v>
      </c>
      <c r="E2999" t="s">
        <v>2216</v>
      </c>
      <c r="F2999">
        <v>15457311</v>
      </c>
      <c r="G2999">
        <v>1479209</v>
      </c>
      <c r="H2999" s="32">
        <f t="shared" si="46"/>
        <v>10.449714002551364</v>
      </c>
      <c r="I2999">
        <v>1</v>
      </c>
      <c r="J2999" t="s">
        <v>21</v>
      </c>
    </row>
    <row r="3000" spans="1:10" x14ac:dyDescent="0.25">
      <c r="A3000">
        <v>7839</v>
      </c>
      <c r="B3000" t="s">
        <v>1038</v>
      </c>
      <c r="C3000" t="s">
        <v>201</v>
      </c>
      <c r="D3000" t="s">
        <v>2214</v>
      </c>
      <c r="E3000" t="s">
        <v>2216</v>
      </c>
      <c r="F3000">
        <v>8979690</v>
      </c>
      <c r="G3000">
        <v>858292.07700000005</v>
      </c>
      <c r="H3000" s="32">
        <f t="shared" si="46"/>
        <v>10.462277633258404</v>
      </c>
      <c r="I3000">
        <v>1</v>
      </c>
      <c r="J3000" t="s">
        <v>21</v>
      </c>
    </row>
    <row r="3001" spans="1:10" x14ac:dyDescent="0.25">
      <c r="A3001">
        <v>59325</v>
      </c>
      <c r="B3001" t="s">
        <v>3432</v>
      </c>
      <c r="C3001" t="s">
        <v>708</v>
      </c>
      <c r="D3001" t="s">
        <v>2071</v>
      </c>
      <c r="E3001" t="s">
        <v>2216</v>
      </c>
      <c r="F3001">
        <v>19464796</v>
      </c>
      <c r="G3001">
        <v>1857373</v>
      </c>
      <c r="H3001" s="32">
        <f t="shared" si="46"/>
        <v>10.479745317714858</v>
      </c>
      <c r="I3001">
        <v>1</v>
      </c>
      <c r="J3001" t="s">
        <v>21</v>
      </c>
    </row>
    <row r="3002" spans="1:10" x14ac:dyDescent="0.25">
      <c r="A3002">
        <v>5083</v>
      </c>
      <c r="B3002" t="s">
        <v>553</v>
      </c>
      <c r="C3002" t="s">
        <v>241</v>
      </c>
      <c r="D3002" t="s">
        <v>2214</v>
      </c>
      <c r="E3002" t="s">
        <v>2216</v>
      </c>
      <c r="F3002">
        <v>1213433</v>
      </c>
      <c r="G3002">
        <v>115760.299</v>
      </c>
      <c r="H3002" s="32">
        <f t="shared" si="46"/>
        <v>10.482289787451222</v>
      </c>
      <c r="I3002">
        <v>1</v>
      </c>
      <c r="J3002" t="s">
        <v>21</v>
      </c>
    </row>
    <row r="3003" spans="1:10" x14ac:dyDescent="0.25">
      <c r="A3003">
        <v>7826</v>
      </c>
      <c r="B3003" t="s">
        <v>2552</v>
      </c>
      <c r="C3003" t="s">
        <v>708</v>
      </c>
      <c r="D3003" t="s">
        <v>2071</v>
      </c>
      <c r="E3003" t="s">
        <v>2216</v>
      </c>
      <c r="F3003">
        <v>25805598</v>
      </c>
      <c r="G3003">
        <v>2461679</v>
      </c>
      <c r="H3003" s="32">
        <f t="shared" si="46"/>
        <v>10.482925677962074</v>
      </c>
      <c r="I3003">
        <v>1</v>
      </c>
      <c r="J3003" t="s">
        <v>21</v>
      </c>
    </row>
    <row r="3004" spans="1:10" x14ac:dyDescent="0.25">
      <c r="A3004">
        <v>55377</v>
      </c>
      <c r="B3004" t="s">
        <v>786</v>
      </c>
      <c r="C3004" t="s">
        <v>143</v>
      </c>
      <c r="D3004" t="s">
        <v>2214</v>
      </c>
      <c r="E3004" t="s">
        <v>2216</v>
      </c>
      <c r="F3004">
        <v>1526314</v>
      </c>
      <c r="G3004">
        <v>145465.00099999999</v>
      </c>
      <c r="H3004" s="32">
        <f t="shared" si="46"/>
        <v>10.492654518319497</v>
      </c>
      <c r="I3004">
        <v>1</v>
      </c>
      <c r="J3004" t="s">
        <v>21</v>
      </c>
    </row>
    <row r="3005" spans="1:10" x14ac:dyDescent="0.25">
      <c r="A3005">
        <v>1364</v>
      </c>
      <c r="B3005" t="s">
        <v>2092</v>
      </c>
      <c r="C3005" t="s">
        <v>266</v>
      </c>
      <c r="D3005" t="s">
        <v>2218</v>
      </c>
      <c r="E3005" t="s">
        <v>2216</v>
      </c>
      <c r="F3005">
        <v>235176</v>
      </c>
      <c r="G3005">
        <v>22383.15</v>
      </c>
      <c r="H3005" s="32">
        <f t="shared" si="46"/>
        <v>10.506832148290119</v>
      </c>
      <c r="I3005">
        <v>1</v>
      </c>
      <c r="J3005" t="s">
        <v>21</v>
      </c>
    </row>
    <row r="3006" spans="1:10" x14ac:dyDescent="0.25">
      <c r="A3006">
        <v>63540</v>
      </c>
      <c r="B3006" t="s">
        <v>4373</v>
      </c>
      <c r="C3006" t="s">
        <v>241</v>
      </c>
      <c r="D3006" t="s">
        <v>2234</v>
      </c>
      <c r="E3006" t="s">
        <v>2216</v>
      </c>
      <c r="F3006">
        <v>250188</v>
      </c>
      <c r="G3006">
        <v>23792.44</v>
      </c>
      <c r="H3006" s="32">
        <f t="shared" si="46"/>
        <v>10.515441039254487</v>
      </c>
      <c r="I3006">
        <v>1</v>
      </c>
      <c r="J3006" t="s">
        <v>21</v>
      </c>
    </row>
    <row r="3007" spans="1:10" x14ac:dyDescent="0.25">
      <c r="A3007">
        <v>55976</v>
      </c>
      <c r="B3007" t="s">
        <v>959</v>
      </c>
      <c r="C3007" t="s">
        <v>143</v>
      </c>
      <c r="D3007" t="s">
        <v>2071</v>
      </c>
      <c r="E3007" t="s">
        <v>2216</v>
      </c>
      <c r="F3007">
        <v>41042024</v>
      </c>
      <c r="G3007">
        <v>3890177</v>
      </c>
      <c r="H3007" s="32">
        <f t="shared" si="46"/>
        <v>10.550168796946771</v>
      </c>
      <c r="I3007">
        <v>1</v>
      </c>
      <c r="J3007" t="s">
        <v>21</v>
      </c>
    </row>
    <row r="3008" spans="1:10" x14ac:dyDescent="0.25">
      <c r="A3008">
        <v>7835</v>
      </c>
      <c r="B3008" t="s">
        <v>1500</v>
      </c>
      <c r="C3008" t="s">
        <v>307</v>
      </c>
      <c r="D3008" t="s">
        <v>2214</v>
      </c>
      <c r="E3008" t="s">
        <v>2216</v>
      </c>
      <c r="F3008">
        <v>4306303</v>
      </c>
      <c r="G3008">
        <v>407685.99699999997</v>
      </c>
      <c r="H3008" s="32">
        <f t="shared" si="46"/>
        <v>10.562793502078513</v>
      </c>
      <c r="I3008">
        <v>1</v>
      </c>
      <c r="J3008" t="s">
        <v>21</v>
      </c>
    </row>
    <row r="3009" spans="1:10" x14ac:dyDescent="0.25">
      <c r="A3009">
        <v>55251</v>
      </c>
      <c r="B3009" t="s">
        <v>2777</v>
      </c>
      <c r="C3009" t="s">
        <v>2029</v>
      </c>
      <c r="D3009" t="s">
        <v>2214</v>
      </c>
      <c r="E3009" t="s">
        <v>2216</v>
      </c>
      <c r="F3009">
        <v>7613337</v>
      </c>
      <c r="G3009">
        <v>719947.99899999995</v>
      </c>
      <c r="H3009" s="32">
        <f t="shared" si="46"/>
        <v>10.574842920009283</v>
      </c>
      <c r="I3009">
        <v>1</v>
      </c>
      <c r="J3009" t="s">
        <v>21</v>
      </c>
    </row>
    <row r="3010" spans="1:10" x14ac:dyDescent="0.25">
      <c r="A3010">
        <v>7984</v>
      </c>
      <c r="B3010" t="s">
        <v>2565</v>
      </c>
      <c r="C3010" t="s">
        <v>250</v>
      </c>
      <c r="D3010" t="s">
        <v>2214</v>
      </c>
      <c r="E3010" t="s">
        <v>2216</v>
      </c>
      <c r="F3010">
        <v>609192</v>
      </c>
      <c r="G3010">
        <v>57549.999000000003</v>
      </c>
      <c r="H3010" s="32">
        <f t="shared" ref="H3010:H3073" si="47">IF(AND(F3010&gt;0,G3010&gt;0),F3010/G3010,"")</f>
        <v>10.585438932848634</v>
      </c>
      <c r="I3010">
        <v>1</v>
      </c>
      <c r="J3010" t="s">
        <v>21</v>
      </c>
    </row>
    <row r="3011" spans="1:10" x14ac:dyDescent="0.25">
      <c r="A3011">
        <v>55349</v>
      </c>
      <c r="B3011" t="s">
        <v>2789</v>
      </c>
      <c r="C3011" t="s">
        <v>118</v>
      </c>
      <c r="D3011" t="s">
        <v>2214</v>
      </c>
      <c r="E3011" t="s">
        <v>2216</v>
      </c>
      <c r="F3011">
        <v>16303137</v>
      </c>
      <c r="G3011">
        <v>1538323</v>
      </c>
      <c r="H3011" s="32">
        <f t="shared" si="47"/>
        <v>10.597993399305608</v>
      </c>
      <c r="I3011">
        <v>1</v>
      </c>
      <c r="J3011" t="s">
        <v>21</v>
      </c>
    </row>
    <row r="3012" spans="1:10" x14ac:dyDescent="0.25">
      <c r="A3012">
        <v>55228</v>
      </c>
      <c r="B3012" t="s">
        <v>857</v>
      </c>
      <c r="C3012" t="s">
        <v>322</v>
      </c>
      <c r="D3012" t="s">
        <v>2214</v>
      </c>
      <c r="E3012" t="s">
        <v>2216</v>
      </c>
      <c r="F3012">
        <v>859132</v>
      </c>
      <c r="G3012">
        <v>81026.317999999999</v>
      </c>
      <c r="H3012" s="32">
        <f t="shared" si="47"/>
        <v>10.603122802642963</v>
      </c>
      <c r="I3012">
        <v>1</v>
      </c>
      <c r="J3012" t="s">
        <v>21</v>
      </c>
    </row>
    <row r="3013" spans="1:10" x14ac:dyDescent="0.25">
      <c r="A3013">
        <v>55503</v>
      </c>
      <c r="B3013" t="s">
        <v>1760</v>
      </c>
      <c r="C3013" t="s">
        <v>322</v>
      </c>
      <c r="D3013" t="s">
        <v>2071</v>
      </c>
      <c r="E3013" t="s">
        <v>2216</v>
      </c>
      <c r="F3013">
        <v>35239827</v>
      </c>
      <c r="G3013">
        <v>3320363</v>
      </c>
      <c r="H3013" s="32">
        <f t="shared" si="47"/>
        <v>10.613245298782092</v>
      </c>
      <c r="I3013">
        <v>1</v>
      </c>
      <c r="J3013" t="s">
        <v>21</v>
      </c>
    </row>
    <row r="3014" spans="1:10" x14ac:dyDescent="0.25">
      <c r="A3014">
        <v>2723</v>
      </c>
      <c r="B3014" t="s">
        <v>2141</v>
      </c>
      <c r="C3014" t="s">
        <v>708</v>
      </c>
      <c r="D3014" t="s">
        <v>2071</v>
      </c>
      <c r="E3014" t="s">
        <v>2216</v>
      </c>
      <c r="F3014">
        <v>23921436</v>
      </c>
      <c r="G3014">
        <v>2250988</v>
      </c>
      <c r="H3014" s="32">
        <f t="shared" si="47"/>
        <v>10.627082863169417</v>
      </c>
      <c r="I3014">
        <v>1</v>
      </c>
      <c r="J3014" t="s">
        <v>21</v>
      </c>
    </row>
    <row r="3015" spans="1:10" x14ac:dyDescent="0.25">
      <c r="A3015">
        <v>57029</v>
      </c>
      <c r="B3015" t="s">
        <v>2931</v>
      </c>
      <c r="C3015" t="s">
        <v>708</v>
      </c>
      <c r="D3015" t="s">
        <v>2214</v>
      </c>
      <c r="E3015" t="s">
        <v>2216</v>
      </c>
      <c r="F3015">
        <v>10430613</v>
      </c>
      <c r="G3015">
        <v>980686.85</v>
      </c>
      <c r="H3015" s="32">
        <f t="shared" si="47"/>
        <v>10.636028208188986</v>
      </c>
      <c r="I3015">
        <v>1</v>
      </c>
      <c r="J3015" t="s">
        <v>21</v>
      </c>
    </row>
    <row r="3016" spans="1:10" x14ac:dyDescent="0.25">
      <c r="A3016">
        <v>1571</v>
      </c>
      <c r="B3016" t="s">
        <v>406</v>
      </c>
      <c r="C3016" t="s">
        <v>307</v>
      </c>
      <c r="D3016" t="s">
        <v>2218</v>
      </c>
      <c r="E3016" t="s">
        <v>2216</v>
      </c>
      <c r="F3016">
        <v>17574144</v>
      </c>
      <c r="G3016">
        <v>1651996</v>
      </c>
      <c r="H3016" s="32">
        <f t="shared" si="47"/>
        <v>10.638127453093107</v>
      </c>
      <c r="I3016">
        <v>1</v>
      </c>
      <c r="J3016" t="s">
        <v>21</v>
      </c>
    </row>
    <row r="3017" spans="1:10" x14ac:dyDescent="0.25">
      <c r="A3017">
        <v>55801</v>
      </c>
      <c r="B3017" t="s">
        <v>2808</v>
      </c>
      <c r="C3017" t="s">
        <v>143</v>
      </c>
      <c r="D3017" t="s">
        <v>2071</v>
      </c>
      <c r="E3017" t="s">
        <v>2216</v>
      </c>
      <c r="F3017">
        <v>39741196</v>
      </c>
      <c r="G3017">
        <v>3731686</v>
      </c>
      <c r="H3017" s="32">
        <f t="shared" si="47"/>
        <v>10.649662377809923</v>
      </c>
      <c r="I3017">
        <v>1</v>
      </c>
      <c r="J3017" t="s">
        <v>21</v>
      </c>
    </row>
    <row r="3018" spans="1:10" x14ac:dyDescent="0.25">
      <c r="A3018">
        <v>55347</v>
      </c>
      <c r="B3018" t="s">
        <v>2788</v>
      </c>
      <c r="C3018" t="s">
        <v>143</v>
      </c>
      <c r="D3018" t="s">
        <v>2214</v>
      </c>
      <c r="E3018" t="s">
        <v>2216</v>
      </c>
      <c r="F3018">
        <v>13596890</v>
      </c>
      <c r="G3018">
        <v>1275382.0419999999</v>
      </c>
      <c r="H3018" s="32">
        <f t="shared" si="47"/>
        <v>10.661032970699457</v>
      </c>
      <c r="I3018">
        <v>1</v>
      </c>
      <c r="J3018" t="s">
        <v>21</v>
      </c>
    </row>
    <row r="3019" spans="1:10" x14ac:dyDescent="0.25">
      <c r="A3019">
        <v>55285</v>
      </c>
      <c r="B3019" t="s">
        <v>2782</v>
      </c>
      <c r="C3019" t="s">
        <v>201</v>
      </c>
      <c r="D3019" t="s">
        <v>2214</v>
      </c>
      <c r="E3019" t="s">
        <v>2216</v>
      </c>
      <c r="F3019">
        <v>3061430</v>
      </c>
      <c r="G3019">
        <v>286951.00099999999</v>
      </c>
      <c r="H3019" s="32">
        <f t="shared" si="47"/>
        <v>10.668824953846389</v>
      </c>
      <c r="I3019">
        <v>1</v>
      </c>
      <c r="J3019" t="s">
        <v>21</v>
      </c>
    </row>
    <row r="3020" spans="1:10" x14ac:dyDescent="0.25">
      <c r="A3020">
        <v>57842</v>
      </c>
      <c r="B3020" t="s">
        <v>3061</v>
      </c>
      <c r="C3020" t="s">
        <v>131</v>
      </c>
      <c r="D3020" t="s">
        <v>2214</v>
      </c>
      <c r="E3020" t="s">
        <v>2216</v>
      </c>
      <c r="F3020">
        <v>3778393</v>
      </c>
      <c r="G3020">
        <v>354088</v>
      </c>
      <c r="H3020" s="32">
        <f t="shared" si="47"/>
        <v>10.670773931903934</v>
      </c>
      <c r="I3020">
        <v>1</v>
      </c>
      <c r="J3020" t="s">
        <v>21</v>
      </c>
    </row>
    <row r="3021" spans="1:10" x14ac:dyDescent="0.25">
      <c r="A3021">
        <v>60933</v>
      </c>
      <c r="B3021" t="s">
        <v>3908</v>
      </c>
      <c r="C3021" t="s">
        <v>241</v>
      </c>
      <c r="D3021" t="s">
        <v>2234</v>
      </c>
      <c r="E3021" t="s">
        <v>2216</v>
      </c>
      <c r="F3021">
        <v>2892</v>
      </c>
      <c r="G3021">
        <v>271</v>
      </c>
      <c r="H3021" s="32">
        <f t="shared" si="47"/>
        <v>10.671586715867159</v>
      </c>
      <c r="I3021">
        <v>1</v>
      </c>
      <c r="J3021" t="s">
        <v>21</v>
      </c>
    </row>
    <row r="3022" spans="1:10" x14ac:dyDescent="0.25">
      <c r="A3022">
        <v>56292</v>
      </c>
      <c r="B3022" t="s">
        <v>2841</v>
      </c>
      <c r="C3022" t="s">
        <v>708</v>
      </c>
      <c r="D3022" t="s">
        <v>2214</v>
      </c>
      <c r="E3022" t="s">
        <v>2216</v>
      </c>
      <c r="F3022">
        <v>2017845</v>
      </c>
      <c r="G3022">
        <v>189004.56</v>
      </c>
      <c r="H3022" s="32">
        <f t="shared" si="47"/>
        <v>10.676170987620615</v>
      </c>
      <c r="I3022">
        <v>1</v>
      </c>
      <c r="J3022" t="s">
        <v>21</v>
      </c>
    </row>
    <row r="3023" spans="1:10" x14ac:dyDescent="0.25">
      <c r="A3023">
        <v>59004</v>
      </c>
      <c r="B3023" t="s">
        <v>3349</v>
      </c>
      <c r="C3023" t="s">
        <v>201</v>
      </c>
      <c r="D3023" t="s">
        <v>2071</v>
      </c>
      <c r="E3023" t="s">
        <v>2216</v>
      </c>
      <c r="F3023">
        <v>31987078</v>
      </c>
      <c r="G3023">
        <v>2995066</v>
      </c>
      <c r="H3023" s="32">
        <f t="shared" si="47"/>
        <v>10.679924248747774</v>
      </c>
      <c r="I3023">
        <v>1</v>
      </c>
      <c r="J3023" t="s">
        <v>21</v>
      </c>
    </row>
    <row r="3024" spans="1:10" x14ac:dyDescent="0.25">
      <c r="A3024">
        <v>55279</v>
      </c>
      <c r="B3024" t="s">
        <v>164</v>
      </c>
      <c r="C3024" t="s">
        <v>166</v>
      </c>
      <c r="D3024" t="s">
        <v>2214</v>
      </c>
      <c r="E3024" t="s">
        <v>2216</v>
      </c>
      <c r="F3024">
        <v>5330425</v>
      </c>
      <c r="G3024">
        <v>498735</v>
      </c>
      <c r="H3024" s="32">
        <f t="shared" si="47"/>
        <v>10.687890362617422</v>
      </c>
      <c r="I3024">
        <v>1</v>
      </c>
      <c r="J3024" t="s">
        <v>21</v>
      </c>
    </row>
    <row r="3025" spans="1:10" x14ac:dyDescent="0.25">
      <c r="A3025">
        <v>7826</v>
      </c>
      <c r="B3025" t="s">
        <v>2552</v>
      </c>
      <c r="C3025" t="s">
        <v>708</v>
      </c>
      <c r="D3025" t="s">
        <v>2214</v>
      </c>
      <c r="E3025" t="s">
        <v>2216</v>
      </c>
      <c r="F3025">
        <v>5159717</v>
      </c>
      <c r="G3025">
        <v>482173.23800000001</v>
      </c>
      <c r="H3025" s="32">
        <f t="shared" si="47"/>
        <v>10.70096096872137</v>
      </c>
      <c r="I3025">
        <v>1</v>
      </c>
      <c r="J3025" t="s">
        <v>21</v>
      </c>
    </row>
    <row r="3026" spans="1:10" x14ac:dyDescent="0.25">
      <c r="A3026">
        <v>55298</v>
      </c>
      <c r="B3026" t="s">
        <v>2785</v>
      </c>
      <c r="C3026" t="s">
        <v>143</v>
      </c>
      <c r="D3026" t="s">
        <v>2071</v>
      </c>
      <c r="E3026" t="s">
        <v>2216</v>
      </c>
      <c r="F3026">
        <v>57457195</v>
      </c>
      <c r="G3026">
        <v>5362994</v>
      </c>
      <c r="H3026" s="32">
        <f t="shared" si="47"/>
        <v>10.713641484588646</v>
      </c>
      <c r="I3026">
        <v>1</v>
      </c>
      <c r="J3026" t="s">
        <v>21</v>
      </c>
    </row>
    <row r="3027" spans="1:10" x14ac:dyDescent="0.25">
      <c r="A3027">
        <v>2406</v>
      </c>
      <c r="B3027" t="s">
        <v>1097</v>
      </c>
      <c r="C3027" t="s">
        <v>241</v>
      </c>
      <c r="D3027" t="s">
        <v>2071</v>
      </c>
      <c r="E3027" t="s">
        <v>2216</v>
      </c>
      <c r="F3027">
        <v>28148996</v>
      </c>
      <c r="G3027">
        <v>2626409.392</v>
      </c>
      <c r="H3027" s="32">
        <f t="shared" si="47"/>
        <v>10.717672608749185</v>
      </c>
      <c r="I3027">
        <v>1</v>
      </c>
      <c r="J3027" t="s">
        <v>21</v>
      </c>
    </row>
    <row r="3028" spans="1:10" x14ac:dyDescent="0.25">
      <c r="A3028">
        <v>991</v>
      </c>
      <c r="B3028" t="s">
        <v>2033</v>
      </c>
      <c r="C3028" t="s">
        <v>131</v>
      </c>
      <c r="D3028" t="s">
        <v>2071</v>
      </c>
      <c r="E3028" t="s">
        <v>2216</v>
      </c>
      <c r="F3028">
        <v>38081789</v>
      </c>
      <c r="G3028">
        <v>3550183</v>
      </c>
      <c r="H3028" s="32">
        <f t="shared" si="47"/>
        <v>10.726711552615738</v>
      </c>
      <c r="I3028">
        <v>1</v>
      </c>
      <c r="J3028" t="s">
        <v>21</v>
      </c>
    </row>
    <row r="3029" spans="1:10" x14ac:dyDescent="0.25">
      <c r="A3029">
        <v>55516</v>
      </c>
      <c r="B3029" t="s">
        <v>2797</v>
      </c>
      <c r="C3029" t="s">
        <v>143</v>
      </c>
      <c r="D3029" t="s">
        <v>2071</v>
      </c>
      <c r="E3029" t="s">
        <v>2216</v>
      </c>
      <c r="F3029">
        <v>27954731</v>
      </c>
      <c r="G3029">
        <v>2605078</v>
      </c>
      <c r="H3029" s="32">
        <f t="shared" si="47"/>
        <v>10.730861417585194</v>
      </c>
      <c r="I3029">
        <v>1</v>
      </c>
      <c r="J3029" t="s">
        <v>21</v>
      </c>
    </row>
    <row r="3030" spans="1:10" x14ac:dyDescent="0.25">
      <c r="A3030">
        <v>64854</v>
      </c>
      <c r="B3030" t="s">
        <v>4654</v>
      </c>
      <c r="C3030" t="s">
        <v>131</v>
      </c>
      <c r="D3030" t="s">
        <v>2214</v>
      </c>
      <c r="E3030" t="s">
        <v>2216</v>
      </c>
      <c r="F3030">
        <v>4380411</v>
      </c>
      <c r="G3030">
        <v>408001</v>
      </c>
      <c r="H3030" s="32">
        <f t="shared" si="47"/>
        <v>10.736275156188343</v>
      </c>
      <c r="I3030">
        <v>1</v>
      </c>
      <c r="J3030" t="s">
        <v>21</v>
      </c>
    </row>
    <row r="3031" spans="1:10" x14ac:dyDescent="0.25">
      <c r="A3031">
        <v>55938</v>
      </c>
      <c r="B3031" t="s">
        <v>2813</v>
      </c>
      <c r="C3031" t="s">
        <v>241</v>
      </c>
      <c r="D3031" t="s">
        <v>2214</v>
      </c>
      <c r="E3031" t="s">
        <v>2216</v>
      </c>
      <c r="F3031">
        <v>3250176</v>
      </c>
      <c r="G3031">
        <v>302350.00199999998</v>
      </c>
      <c r="H3031" s="32">
        <f t="shared" si="47"/>
        <v>10.74971383661509</v>
      </c>
      <c r="I3031">
        <v>1</v>
      </c>
      <c r="J3031" t="s">
        <v>21</v>
      </c>
    </row>
    <row r="3032" spans="1:10" x14ac:dyDescent="0.25">
      <c r="A3032">
        <v>55710</v>
      </c>
      <c r="B3032" t="s">
        <v>2804</v>
      </c>
      <c r="C3032" t="s">
        <v>143</v>
      </c>
      <c r="D3032" t="s">
        <v>2071</v>
      </c>
      <c r="E3032" t="s">
        <v>2216</v>
      </c>
      <c r="F3032">
        <v>31051666</v>
      </c>
      <c r="G3032">
        <v>2886457</v>
      </c>
      <c r="H3032" s="32">
        <f t="shared" si="47"/>
        <v>10.757709538025336</v>
      </c>
      <c r="I3032">
        <v>1</v>
      </c>
      <c r="J3032" t="s">
        <v>21</v>
      </c>
    </row>
    <row r="3033" spans="1:10" x14ac:dyDescent="0.25">
      <c r="A3033">
        <v>55348</v>
      </c>
      <c r="B3033" t="s">
        <v>1696</v>
      </c>
      <c r="C3033" t="s">
        <v>322</v>
      </c>
      <c r="D3033" t="s">
        <v>2214</v>
      </c>
      <c r="E3033" t="s">
        <v>2216</v>
      </c>
      <c r="F3033">
        <v>13723024</v>
      </c>
      <c r="G3033">
        <v>1274333.9310000001</v>
      </c>
      <c r="H3033" s="32">
        <f t="shared" si="47"/>
        <v>10.768781766040881</v>
      </c>
      <c r="I3033">
        <v>1</v>
      </c>
      <c r="J3033" t="s">
        <v>21</v>
      </c>
    </row>
    <row r="3034" spans="1:10" x14ac:dyDescent="0.25">
      <c r="A3034">
        <v>55640</v>
      </c>
      <c r="B3034" t="s">
        <v>1709</v>
      </c>
      <c r="C3034" t="s">
        <v>166</v>
      </c>
      <c r="D3034" t="s">
        <v>2214</v>
      </c>
      <c r="E3034" t="s">
        <v>2216</v>
      </c>
      <c r="F3034">
        <v>2991172</v>
      </c>
      <c r="G3034">
        <v>277572</v>
      </c>
      <c r="H3034" s="32">
        <f t="shared" si="47"/>
        <v>10.77620221059761</v>
      </c>
      <c r="I3034">
        <v>1</v>
      </c>
      <c r="J3034" t="s">
        <v>21</v>
      </c>
    </row>
    <row r="3035" spans="1:10" x14ac:dyDescent="0.25">
      <c r="A3035">
        <v>60302</v>
      </c>
      <c r="B3035" t="s">
        <v>3729</v>
      </c>
      <c r="C3035" t="s">
        <v>307</v>
      </c>
      <c r="D3035" t="s">
        <v>2071</v>
      </c>
      <c r="E3035" t="s">
        <v>2216</v>
      </c>
      <c r="F3035">
        <v>30012148</v>
      </c>
      <c r="G3035">
        <v>2776704</v>
      </c>
      <c r="H3035" s="32">
        <f t="shared" si="47"/>
        <v>10.808551433642188</v>
      </c>
      <c r="I3035">
        <v>1</v>
      </c>
      <c r="J3035" t="s">
        <v>21</v>
      </c>
    </row>
    <row r="3036" spans="1:10" x14ac:dyDescent="0.25">
      <c r="A3036">
        <v>58635</v>
      </c>
      <c r="B3036" t="s">
        <v>3241</v>
      </c>
      <c r="C3036" t="s">
        <v>166</v>
      </c>
      <c r="D3036" t="s">
        <v>2234</v>
      </c>
      <c r="E3036" t="s">
        <v>2216</v>
      </c>
      <c r="F3036">
        <v>445</v>
      </c>
      <c r="G3036">
        <v>41.16</v>
      </c>
      <c r="H3036" s="32">
        <f t="shared" si="47"/>
        <v>10.811467444120506</v>
      </c>
      <c r="I3036">
        <v>1</v>
      </c>
      <c r="J3036" t="s">
        <v>21</v>
      </c>
    </row>
    <row r="3037" spans="1:10" x14ac:dyDescent="0.25">
      <c r="A3037">
        <v>55524</v>
      </c>
      <c r="B3037" t="s">
        <v>2204</v>
      </c>
      <c r="C3037" t="s">
        <v>143</v>
      </c>
      <c r="D3037" t="s">
        <v>2071</v>
      </c>
      <c r="E3037" t="s">
        <v>2216</v>
      </c>
      <c r="F3037">
        <v>59810013</v>
      </c>
      <c r="G3037">
        <v>5531897.1399999997</v>
      </c>
      <c r="H3037" s="32">
        <f t="shared" si="47"/>
        <v>10.811844740844188</v>
      </c>
      <c r="I3037">
        <v>1</v>
      </c>
      <c r="J3037" t="s">
        <v>21</v>
      </c>
    </row>
    <row r="3038" spans="1:10" x14ac:dyDescent="0.25">
      <c r="A3038">
        <v>59093</v>
      </c>
      <c r="B3038" t="s">
        <v>3367</v>
      </c>
      <c r="C3038" t="s">
        <v>250</v>
      </c>
      <c r="D3038" t="s">
        <v>2071</v>
      </c>
      <c r="E3038" t="s">
        <v>2216</v>
      </c>
      <c r="F3038">
        <v>7231351</v>
      </c>
      <c r="G3038">
        <v>668679</v>
      </c>
      <c r="H3038" s="32">
        <f t="shared" si="47"/>
        <v>10.814383284057074</v>
      </c>
      <c r="I3038">
        <v>1</v>
      </c>
      <c r="J3038" t="s">
        <v>21</v>
      </c>
    </row>
    <row r="3039" spans="1:10" x14ac:dyDescent="0.25">
      <c r="A3039">
        <v>55350</v>
      </c>
      <c r="B3039" t="s">
        <v>620</v>
      </c>
      <c r="C3039" t="s">
        <v>322</v>
      </c>
      <c r="D3039" t="s">
        <v>2071</v>
      </c>
      <c r="E3039" t="s">
        <v>2216</v>
      </c>
      <c r="F3039">
        <v>28402131</v>
      </c>
      <c r="G3039">
        <v>2619664</v>
      </c>
      <c r="H3039" s="32">
        <f t="shared" si="47"/>
        <v>10.841898426668457</v>
      </c>
      <c r="I3039">
        <v>1</v>
      </c>
      <c r="J3039" t="s">
        <v>21</v>
      </c>
    </row>
    <row r="3040" spans="1:10" x14ac:dyDescent="0.25">
      <c r="A3040">
        <v>65945</v>
      </c>
      <c r="B3040" t="s">
        <v>4816</v>
      </c>
      <c r="C3040" t="s">
        <v>307</v>
      </c>
      <c r="D3040" t="s">
        <v>2234</v>
      </c>
      <c r="E3040" t="s">
        <v>2216</v>
      </c>
      <c r="F3040">
        <v>16325</v>
      </c>
      <c r="G3040">
        <v>1505</v>
      </c>
      <c r="H3040" s="32">
        <f t="shared" si="47"/>
        <v>10.847176079734218</v>
      </c>
      <c r="I3040">
        <v>1</v>
      </c>
      <c r="J3040" t="s">
        <v>21</v>
      </c>
    </row>
    <row r="3041" spans="1:10" x14ac:dyDescent="0.25">
      <c r="A3041">
        <v>55238</v>
      </c>
      <c r="B3041" t="s">
        <v>1505</v>
      </c>
      <c r="C3041" t="s">
        <v>166</v>
      </c>
      <c r="D3041" t="s">
        <v>2214</v>
      </c>
      <c r="E3041" t="s">
        <v>2216</v>
      </c>
      <c r="F3041">
        <v>1156723</v>
      </c>
      <c r="G3041">
        <v>106527</v>
      </c>
      <c r="H3041" s="32">
        <f t="shared" si="47"/>
        <v>10.858495968158307</v>
      </c>
      <c r="I3041">
        <v>1</v>
      </c>
      <c r="J3041" t="s">
        <v>21</v>
      </c>
    </row>
    <row r="3042" spans="1:10" x14ac:dyDescent="0.25">
      <c r="A3042">
        <v>55397</v>
      </c>
      <c r="B3042" t="s">
        <v>1755</v>
      </c>
      <c r="C3042" t="s">
        <v>322</v>
      </c>
      <c r="D3042" t="s">
        <v>2071</v>
      </c>
      <c r="E3042" t="s">
        <v>2216</v>
      </c>
      <c r="F3042">
        <v>22963116</v>
      </c>
      <c r="G3042">
        <v>2114718</v>
      </c>
      <c r="H3042" s="32">
        <f t="shared" si="47"/>
        <v>10.858713076637169</v>
      </c>
      <c r="I3042">
        <v>1</v>
      </c>
      <c r="J3042" t="s">
        <v>21</v>
      </c>
    </row>
    <row r="3043" spans="1:10" x14ac:dyDescent="0.25">
      <c r="A3043">
        <v>55193</v>
      </c>
      <c r="B3043" t="s">
        <v>1311</v>
      </c>
      <c r="C3043" t="s">
        <v>143</v>
      </c>
      <c r="D3043" t="s">
        <v>2071</v>
      </c>
      <c r="E3043" t="s">
        <v>2216</v>
      </c>
      <c r="F3043">
        <v>29581610</v>
      </c>
      <c r="G3043">
        <v>2719518</v>
      </c>
      <c r="H3043" s="32">
        <f t="shared" si="47"/>
        <v>10.877519472200589</v>
      </c>
      <c r="I3043">
        <v>1</v>
      </c>
      <c r="J3043" t="s">
        <v>21</v>
      </c>
    </row>
    <row r="3044" spans="1:10" x14ac:dyDescent="0.25">
      <c r="A3044">
        <v>59847</v>
      </c>
      <c r="B3044" t="s">
        <v>3599</v>
      </c>
      <c r="C3044" t="s">
        <v>166</v>
      </c>
      <c r="D3044" t="s">
        <v>2234</v>
      </c>
      <c r="E3044" t="s">
        <v>2216</v>
      </c>
      <c r="F3044">
        <v>6386</v>
      </c>
      <c r="G3044">
        <v>587</v>
      </c>
      <c r="H3044" s="32">
        <f t="shared" si="47"/>
        <v>10.879045996592845</v>
      </c>
      <c r="I3044">
        <v>1</v>
      </c>
      <c r="J3044" t="s">
        <v>21</v>
      </c>
    </row>
    <row r="3045" spans="1:10" x14ac:dyDescent="0.25">
      <c r="A3045">
        <v>61822</v>
      </c>
      <c r="B3045" t="s">
        <v>4071</v>
      </c>
      <c r="C3045" t="s">
        <v>241</v>
      </c>
      <c r="D3045" t="s">
        <v>2214</v>
      </c>
      <c r="E3045" t="s">
        <v>2216</v>
      </c>
      <c r="F3045">
        <v>281749</v>
      </c>
      <c r="G3045">
        <v>25885</v>
      </c>
      <c r="H3045" s="32">
        <f t="shared" si="47"/>
        <v>10.884643615993818</v>
      </c>
      <c r="I3045">
        <v>1</v>
      </c>
      <c r="J3045" t="s">
        <v>21</v>
      </c>
    </row>
    <row r="3046" spans="1:10" x14ac:dyDescent="0.25">
      <c r="A3046">
        <v>6035</v>
      </c>
      <c r="B3046" t="s">
        <v>2477</v>
      </c>
      <c r="C3046" t="s">
        <v>250</v>
      </c>
      <c r="D3046" t="s">
        <v>2218</v>
      </c>
      <c r="E3046" t="s">
        <v>2216</v>
      </c>
      <c r="F3046">
        <v>11033697</v>
      </c>
      <c r="G3046">
        <v>1013499.12</v>
      </c>
      <c r="H3046" s="32">
        <f t="shared" si="47"/>
        <v>10.886735649064994</v>
      </c>
      <c r="I3046">
        <v>1</v>
      </c>
      <c r="J3046" t="s">
        <v>21</v>
      </c>
    </row>
    <row r="3047" spans="1:10" x14ac:dyDescent="0.25">
      <c r="A3047">
        <v>55439</v>
      </c>
      <c r="B3047" t="s">
        <v>2795</v>
      </c>
      <c r="C3047" t="s">
        <v>201</v>
      </c>
      <c r="D3047" t="s">
        <v>2071</v>
      </c>
      <c r="E3047" t="s">
        <v>2216</v>
      </c>
      <c r="F3047">
        <v>35550083</v>
      </c>
      <c r="G3047">
        <v>3262573.82</v>
      </c>
      <c r="H3047" s="32">
        <f t="shared" si="47"/>
        <v>10.896330615440297</v>
      </c>
      <c r="I3047">
        <v>1</v>
      </c>
      <c r="J3047" t="s">
        <v>21</v>
      </c>
    </row>
    <row r="3048" spans="1:10" x14ac:dyDescent="0.25">
      <c r="A3048">
        <v>6705</v>
      </c>
      <c r="B3048" t="s">
        <v>2509</v>
      </c>
      <c r="C3048" t="s">
        <v>131</v>
      </c>
      <c r="D3048" t="s">
        <v>2218</v>
      </c>
      <c r="E3048" t="s">
        <v>2216</v>
      </c>
      <c r="F3048">
        <v>536294</v>
      </c>
      <c r="G3048">
        <v>49172.324999999997</v>
      </c>
      <c r="H3048" s="32">
        <f t="shared" si="47"/>
        <v>10.906419413765772</v>
      </c>
      <c r="I3048">
        <v>1</v>
      </c>
      <c r="J3048" t="s">
        <v>21</v>
      </c>
    </row>
    <row r="3049" spans="1:10" x14ac:dyDescent="0.25">
      <c r="A3049">
        <v>55131</v>
      </c>
      <c r="B3049" t="s">
        <v>998</v>
      </c>
      <c r="C3049" t="s">
        <v>166</v>
      </c>
      <c r="D3049" t="s">
        <v>2071</v>
      </c>
      <c r="E3049" t="s">
        <v>2216</v>
      </c>
      <c r="F3049">
        <v>38694421</v>
      </c>
      <c r="G3049">
        <v>3545445</v>
      </c>
      <c r="H3049" s="32">
        <f t="shared" si="47"/>
        <v>10.913840434698606</v>
      </c>
      <c r="I3049">
        <v>1</v>
      </c>
      <c r="J3049" t="s">
        <v>21</v>
      </c>
    </row>
    <row r="3050" spans="1:10" x14ac:dyDescent="0.25">
      <c r="A3050">
        <v>3140</v>
      </c>
      <c r="B3050" t="s">
        <v>325</v>
      </c>
      <c r="C3050" t="s">
        <v>143</v>
      </c>
      <c r="D3050" t="s">
        <v>2218</v>
      </c>
      <c r="E3050" t="s">
        <v>2216</v>
      </c>
      <c r="F3050">
        <v>25914051</v>
      </c>
      <c r="G3050">
        <v>2370762.2039999999</v>
      </c>
      <c r="H3050" s="32">
        <f t="shared" si="47"/>
        <v>10.93068337105985</v>
      </c>
      <c r="I3050">
        <v>1</v>
      </c>
      <c r="J3050" t="s">
        <v>21</v>
      </c>
    </row>
    <row r="3051" spans="1:10" x14ac:dyDescent="0.25">
      <c r="A3051">
        <v>56846</v>
      </c>
      <c r="B3051" t="s">
        <v>2907</v>
      </c>
      <c r="C3051" t="s">
        <v>307</v>
      </c>
      <c r="D3051" t="s">
        <v>2071</v>
      </c>
      <c r="E3051" t="s">
        <v>2216</v>
      </c>
      <c r="F3051">
        <v>32257555</v>
      </c>
      <c r="G3051">
        <v>2950016</v>
      </c>
      <c r="H3051" s="32">
        <f t="shared" si="47"/>
        <v>10.934705099904543</v>
      </c>
      <c r="I3051">
        <v>1</v>
      </c>
      <c r="J3051" t="s">
        <v>21</v>
      </c>
    </row>
    <row r="3052" spans="1:10" x14ac:dyDescent="0.25">
      <c r="A3052">
        <v>50835</v>
      </c>
      <c r="B3052" t="s">
        <v>2187</v>
      </c>
      <c r="C3052" t="s">
        <v>250</v>
      </c>
      <c r="D3052" t="s">
        <v>2218</v>
      </c>
      <c r="E3052" t="s">
        <v>2216</v>
      </c>
      <c r="F3052">
        <v>812272</v>
      </c>
      <c r="G3052">
        <v>74230.441000000006</v>
      </c>
      <c r="H3052" s="32">
        <f t="shared" si="47"/>
        <v>10.942572737780177</v>
      </c>
      <c r="I3052">
        <v>1</v>
      </c>
      <c r="J3052" t="s">
        <v>21</v>
      </c>
    </row>
    <row r="3053" spans="1:10" x14ac:dyDescent="0.25">
      <c r="A3053">
        <v>55297</v>
      </c>
      <c r="B3053" t="s">
        <v>2784</v>
      </c>
      <c r="C3053" t="s">
        <v>250</v>
      </c>
      <c r="D3053" t="s">
        <v>2071</v>
      </c>
      <c r="E3053" t="s">
        <v>2216</v>
      </c>
      <c r="F3053">
        <v>52138804</v>
      </c>
      <c r="G3053">
        <v>4764731</v>
      </c>
      <c r="H3053" s="32">
        <f t="shared" si="47"/>
        <v>10.942654265267022</v>
      </c>
      <c r="I3053">
        <v>1</v>
      </c>
      <c r="J3053" t="s">
        <v>21</v>
      </c>
    </row>
    <row r="3054" spans="1:10" x14ac:dyDescent="0.25">
      <c r="A3054">
        <v>55337</v>
      </c>
      <c r="B3054" t="s">
        <v>971</v>
      </c>
      <c r="C3054" t="s">
        <v>143</v>
      </c>
      <c r="D3054" t="s">
        <v>2071</v>
      </c>
      <c r="E3054" t="s">
        <v>2216</v>
      </c>
      <c r="F3054">
        <v>35608166</v>
      </c>
      <c r="G3054">
        <v>3251935</v>
      </c>
      <c r="H3054" s="32">
        <f t="shared" si="47"/>
        <v>10.949839403309106</v>
      </c>
      <c r="I3054">
        <v>1</v>
      </c>
      <c r="J3054" t="s">
        <v>21</v>
      </c>
    </row>
    <row r="3055" spans="1:10" x14ac:dyDescent="0.25">
      <c r="A3055">
        <v>59220</v>
      </c>
      <c r="B3055" t="s">
        <v>1797</v>
      </c>
      <c r="C3055" t="s">
        <v>307</v>
      </c>
      <c r="D3055" t="s">
        <v>2071</v>
      </c>
      <c r="E3055" t="s">
        <v>2216</v>
      </c>
      <c r="F3055">
        <v>22238970</v>
      </c>
      <c r="G3055">
        <v>2030695</v>
      </c>
      <c r="H3055" s="32">
        <f t="shared" si="47"/>
        <v>10.951408261703506</v>
      </c>
      <c r="I3055">
        <v>1</v>
      </c>
      <c r="J3055" t="s">
        <v>21</v>
      </c>
    </row>
    <row r="3056" spans="1:10" x14ac:dyDescent="0.25">
      <c r="A3056">
        <v>55148</v>
      </c>
      <c r="B3056" t="s">
        <v>2772</v>
      </c>
      <c r="C3056" t="s">
        <v>131</v>
      </c>
      <c r="D3056" t="s">
        <v>2214</v>
      </c>
      <c r="E3056" t="s">
        <v>2216</v>
      </c>
      <c r="F3056">
        <v>2228329</v>
      </c>
      <c r="G3056">
        <v>203354.99900000001</v>
      </c>
      <c r="H3056" s="32">
        <f t="shared" si="47"/>
        <v>10.95782749850177</v>
      </c>
      <c r="I3056">
        <v>1</v>
      </c>
      <c r="J3056" t="s">
        <v>21</v>
      </c>
    </row>
    <row r="3057" spans="1:10" x14ac:dyDescent="0.25">
      <c r="A3057">
        <v>55202</v>
      </c>
      <c r="B3057" t="s">
        <v>2773</v>
      </c>
      <c r="C3057" t="s">
        <v>166</v>
      </c>
      <c r="D3057" t="s">
        <v>2214</v>
      </c>
      <c r="E3057" t="s">
        <v>2216</v>
      </c>
      <c r="F3057">
        <v>729584</v>
      </c>
      <c r="G3057">
        <v>66564.998999999996</v>
      </c>
      <c r="H3057" s="32">
        <f t="shared" si="47"/>
        <v>10.960474888612257</v>
      </c>
      <c r="I3057">
        <v>1</v>
      </c>
      <c r="J3057" t="s">
        <v>21</v>
      </c>
    </row>
    <row r="3058" spans="1:10" x14ac:dyDescent="0.25">
      <c r="A3058">
        <v>960</v>
      </c>
      <c r="B3058" t="s">
        <v>2252</v>
      </c>
      <c r="C3058" t="s">
        <v>166</v>
      </c>
      <c r="D3058" t="s">
        <v>2234</v>
      </c>
      <c r="E3058" t="s">
        <v>2216</v>
      </c>
      <c r="F3058">
        <v>13177</v>
      </c>
      <c r="G3058">
        <v>1201.4949999999999</v>
      </c>
      <c r="H3058" s="32">
        <f t="shared" si="47"/>
        <v>10.967170067291168</v>
      </c>
      <c r="I3058">
        <v>1</v>
      </c>
      <c r="J3058" t="s">
        <v>21</v>
      </c>
    </row>
    <row r="3059" spans="1:10" x14ac:dyDescent="0.25">
      <c r="A3059">
        <v>7805</v>
      </c>
      <c r="B3059" t="s">
        <v>2164</v>
      </c>
      <c r="C3059" t="s">
        <v>708</v>
      </c>
      <c r="D3059" t="s">
        <v>2214</v>
      </c>
      <c r="E3059" t="s">
        <v>2216</v>
      </c>
      <c r="F3059">
        <v>24766503</v>
      </c>
      <c r="G3059">
        <v>2257549.5499999998</v>
      </c>
      <c r="H3059" s="32">
        <f t="shared" si="47"/>
        <v>10.970524655815417</v>
      </c>
      <c r="I3059">
        <v>1</v>
      </c>
      <c r="J3059" t="s">
        <v>21</v>
      </c>
    </row>
    <row r="3060" spans="1:10" x14ac:dyDescent="0.25">
      <c r="A3060">
        <v>57839</v>
      </c>
      <c r="B3060" t="s">
        <v>3060</v>
      </c>
      <c r="C3060" t="s">
        <v>241</v>
      </c>
      <c r="D3060" t="s">
        <v>2071</v>
      </c>
      <c r="E3060" t="s">
        <v>2216</v>
      </c>
      <c r="F3060">
        <v>25851570</v>
      </c>
      <c r="G3060">
        <v>2356446</v>
      </c>
      <c r="H3060" s="32">
        <f t="shared" si="47"/>
        <v>10.970576028476783</v>
      </c>
      <c r="I3060">
        <v>1</v>
      </c>
      <c r="J3060" t="s">
        <v>21</v>
      </c>
    </row>
    <row r="3061" spans="1:10" x14ac:dyDescent="0.25">
      <c r="A3061">
        <v>55502</v>
      </c>
      <c r="B3061" t="s">
        <v>1058</v>
      </c>
      <c r="C3061" t="s">
        <v>131</v>
      </c>
      <c r="D3061" t="s">
        <v>2071</v>
      </c>
      <c r="E3061" t="s">
        <v>2216</v>
      </c>
      <c r="F3061">
        <v>56986975</v>
      </c>
      <c r="G3061">
        <v>5189208</v>
      </c>
      <c r="H3061" s="32">
        <f t="shared" si="47"/>
        <v>10.98182516484211</v>
      </c>
      <c r="I3061">
        <v>1</v>
      </c>
      <c r="J3061" t="s">
        <v>21</v>
      </c>
    </row>
    <row r="3062" spans="1:10" x14ac:dyDescent="0.25">
      <c r="A3062">
        <v>57349</v>
      </c>
      <c r="B3062" t="s">
        <v>792</v>
      </c>
      <c r="C3062" t="s">
        <v>672</v>
      </c>
      <c r="D3062" t="s">
        <v>2071</v>
      </c>
      <c r="E3062" t="s">
        <v>2216</v>
      </c>
      <c r="F3062">
        <v>5951259</v>
      </c>
      <c r="G3062">
        <v>540991.15500000003</v>
      </c>
      <c r="H3062" s="32">
        <f t="shared" si="47"/>
        <v>11.000658596719571</v>
      </c>
      <c r="I3062">
        <v>1</v>
      </c>
      <c r="J3062" t="s">
        <v>21</v>
      </c>
    </row>
    <row r="3063" spans="1:10" x14ac:dyDescent="0.25">
      <c r="A3063">
        <v>1877</v>
      </c>
      <c r="B3063" t="s">
        <v>2352</v>
      </c>
      <c r="C3063" t="s">
        <v>250</v>
      </c>
      <c r="D3063" t="s">
        <v>2214</v>
      </c>
      <c r="E3063" t="s">
        <v>2216</v>
      </c>
      <c r="F3063">
        <v>470012</v>
      </c>
      <c r="G3063">
        <v>42719</v>
      </c>
      <c r="H3063" s="32">
        <f t="shared" si="47"/>
        <v>11.002411105128866</v>
      </c>
      <c r="I3063">
        <v>1</v>
      </c>
      <c r="J3063" t="s">
        <v>21</v>
      </c>
    </row>
    <row r="3064" spans="1:10" x14ac:dyDescent="0.25">
      <c r="A3064">
        <v>62289</v>
      </c>
      <c r="B3064" t="s">
        <v>4136</v>
      </c>
      <c r="C3064" t="s">
        <v>250</v>
      </c>
      <c r="D3064" t="s">
        <v>2071</v>
      </c>
      <c r="E3064" t="s">
        <v>2216</v>
      </c>
      <c r="F3064">
        <v>2559354</v>
      </c>
      <c r="G3064">
        <v>232387</v>
      </c>
      <c r="H3064" s="32">
        <f t="shared" si="47"/>
        <v>11.013326907271061</v>
      </c>
      <c r="I3064">
        <v>1</v>
      </c>
      <c r="J3064" t="s">
        <v>21</v>
      </c>
    </row>
    <row r="3065" spans="1:10" x14ac:dyDescent="0.25">
      <c r="A3065">
        <v>56701</v>
      </c>
      <c r="B3065" t="s">
        <v>2901</v>
      </c>
      <c r="C3065" t="s">
        <v>241</v>
      </c>
      <c r="D3065" t="s">
        <v>2234</v>
      </c>
      <c r="E3065" t="s">
        <v>2216</v>
      </c>
      <c r="F3065">
        <v>161148</v>
      </c>
      <c r="G3065">
        <v>14631</v>
      </c>
      <c r="H3065" s="32">
        <f t="shared" si="47"/>
        <v>11.014148041828994</v>
      </c>
      <c r="I3065">
        <v>1</v>
      </c>
      <c r="J3065" t="s">
        <v>21</v>
      </c>
    </row>
    <row r="3066" spans="1:10" x14ac:dyDescent="0.25">
      <c r="A3066">
        <v>50566</v>
      </c>
      <c r="B3066" t="s">
        <v>2653</v>
      </c>
      <c r="C3066" t="s">
        <v>166</v>
      </c>
      <c r="D3066" t="s">
        <v>2234</v>
      </c>
      <c r="E3066" t="s">
        <v>2216</v>
      </c>
      <c r="F3066">
        <v>213345</v>
      </c>
      <c r="G3066">
        <v>19356</v>
      </c>
      <c r="H3066" s="32">
        <f t="shared" si="47"/>
        <v>11.02216367017979</v>
      </c>
      <c r="I3066">
        <v>1</v>
      </c>
      <c r="J3066" t="s">
        <v>21</v>
      </c>
    </row>
    <row r="3067" spans="1:10" x14ac:dyDescent="0.25">
      <c r="A3067">
        <v>62741</v>
      </c>
      <c r="B3067" t="s">
        <v>4218</v>
      </c>
      <c r="C3067" t="s">
        <v>143</v>
      </c>
      <c r="D3067" t="s">
        <v>2234</v>
      </c>
      <c r="E3067" t="s">
        <v>2216</v>
      </c>
      <c r="F3067">
        <v>56772</v>
      </c>
      <c r="G3067">
        <v>5147.9399999999996</v>
      </c>
      <c r="H3067" s="32">
        <f t="shared" si="47"/>
        <v>11.028100560612595</v>
      </c>
      <c r="I3067">
        <v>1</v>
      </c>
      <c r="J3067" t="s">
        <v>21</v>
      </c>
    </row>
    <row r="3068" spans="1:10" x14ac:dyDescent="0.25">
      <c r="A3068">
        <v>60387</v>
      </c>
      <c r="B3068" t="s">
        <v>1257</v>
      </c>
      <c r="C3068" t="s">
        <v>166</v>
      </c>
      <c r="D3068" t="s">
        <v>2214</v>
      </c>
      <c r="E3068" t="s">
        <v>2216</v>
      </c>
      <c r="F3068">
        <v>9480753</v>
      </c>
      <c r="G3068">
        <v>857926.96100000001</v>
      </c>
      <c r="H3068" s="32">
        <f t="shared" si="47"/>
        <v>11.050769390612496</v>
      </c>
      <c r="I3068">
        <v>1</v>
      </c>
      <c r="J3068" t="s">
        <v>21</v>
      </c>
    </row>
    <row r="3069" spans="1:10" x14ac:dyDescent="0.25">
      <c r="A3069">
        <v>55667</v>
      </c>
      <c r="B3069" t="s">
        <v>2104</v>
      </c>
      <c r="C3069" t="s">
        <v>143</v>
      </c>
      <c r="D3069" t="s">
        <v>2071</v>
      </c>
      <c r="E3069" t="s">
        <v>2216</v>
      </c>
      <c r="F3069">
        <v>31277419</v>
      </c>
      <c r="G3069">
        <v>2828374</v>
      </c>
      <c r="H3069" s="32">
        <f t="shared" si="47"/>
        <v>11.05844524097591</v>
      </c>
      <c r="I3069">
        <v>1</v>
      </c>
      <c r="J3069" t="s">
        <v>21</v>
      </c>
    </row>
    <row r="3070" spans="1:10" x14ac:dyDescent="0.25">
      <c r="A3070">
        <v>59926</v>
      </c>
      <c r="B3070" t="s">
        <v>3621</v>
      </c>
      <c r="C3070" t="s">
        <v>250</v>
      </c>
      <c r="D3070" t="s">
        <v>2214</v>
      </c>
      <c r="E3070" t="s">
        <v>2216</v>
      </c>
      <c r="F3070">
        <v>8580025</v>
      </c>
      <c r="G3070">
        <v>775507.01</v>
      </c>
      <c r="H3070" s="32">
        <f t="shared" si="47"/>
        <v>11.063762015510344</v>
      </c>
      <c r="I3070">
        <v>1</v>
      </c>
      <c r="J3070" t="s">
        <v>21</v>
      </c>
    </row>
    <row r="3071" spans="1:10" x14ac:dyDescent="0.25">
      <c r="A3071">
        <v>7763</v>
      </c>
      <c r="B3071" t="s">
        <v>2066</v>
      </c>
      <c r="C3071" t="s">
        <v>131</v>
      </c>
      <c r="D3071" t="s">
        <v>2214</v>
      </c>
      <c r="E3071" t="s">
        <v>2216</v>
      </c>
      <c r="F3071">
        <v>3043117</v>
      </c>
      <c r="G3071">
        <v>274901</v>
      </c>
      <c r="H3071" s="32">
        <f t="shared" si="47"/>
        <v>11.069865151454524</v>
      </c>
      <c r="I3071">
        <v>1</v>
      </c>
      <c r="J3071" t="s">
        <v>21</v>
      </c>
    </row>
    <row r="3072" spans="1:10" x14ac:dyDescent="0.25">
      <c r="A3072">
        <v>55087</v>
      </c>
      <c r="B3072" t="s">
        <v>2764</v>
      </c>
      <c r="C3072" t="s">
        <v>250</v>
      </c>
      <c r="D3072" t="s">
        <v>2214</v>
      </c>
      <c r="E3072" t="s">
        <v>2216</v>
      </c>
      <c r="F3072">
        <v>15089212</v>
      </c>
      <c r="G3072">
        <v>1362064</v>
      </c>
      <c r="H3072" s="32">
        <f t="shared" si="47"/>
        <v>11.078196031904522</v>
      </c>
      <c r="I3072">
        <v>1</v>
      </c>
      <c r="J3072" t="s">
        <v>21</v>
      </c>
    </row>
    <row r="3073" spans="1:10" x14ac:dyDescent="0.25">
      <c r="A3073">
        <v>10693</v>
      </c>
      <c r="B3073" t="s">
        <v>2608</v>
      </c>
      <c r="C3073" t="s">
        <v>307</v>
      </c>
      <c r="D3073" t="s">
        <v>2218</v>
      </c>
      <c r="E3073" t="s">
        <v>2216</v>
      </c>
      <c r="F3073">
        <v>132209</v>
      </c>
      <c r="G3073">
        <v>11914.620999999999</v>
      </c>
      <c r="H3073" s="32">
        <f t="shared" si="47"/>
        <v>11.096366388825965</v>
      </c>
      <c r="I3073">
        <v>1</v>
      </c>
      <c r="J3073" t="s">
        <v>21</v>
      </c>
    </row>
    <row r="3074" spans="1:10" x14ac:dyDescent="0.25">
      <c r="A3074">
        <v>7962</v>
      </c>
      <c r="B3074" t="s">
        <v>2188</v>
      </c>
      <c r="C3074" t="s">
        <v>672</v>
      </c>
      <c r="D3074" t="s">
        <v>2214</v>
      </c>
      <c r="E3074" t="s">
        <v>2216</v>
      </c>
      <c r="F3074">
        <v>809900</v>
      </c>
      <c r="G3074">
        <v>72960.881999999998</v>
      </c>
      <c r="H3074" s="32">
        <f t="shared" ref="H3074:H3137" si="48">IF(AND(F3074&gt;0,G3074&gt;0),F3074/G3074,"")</f>
        <v>11.100468878651988</v>
      </c>
      <c r="I3074">
        <v>1</v>
      </c>
      <c r="J3074" t="s">
        <v>21</v>
      </c>
    </row>
    <row r="3075" spans="1:10" x14ac:dyDescent="0.25">
      <c r="A3075">
        <v>55239</v>
      </c>
      <c r="B3075" t="s">
        <v>1458</v>
      </c>
      <c r="C3075" t="s">
        <v>241</v>
      </c>
      <c r="D3075" t="s">
        <v>2071</v>
      </c>
      <c r="E3075" t="s">
        <v>2216</v>
      </c>
      <c r="F3075">
        <v>25009533</v>
      </c>
      <c r="G3075">
        <v>2249597</v>
      </c>
      <c r="H3075" s="32">
        <f t="shared" si="48"/>
        <v>11.117339238983693</v>
      </c>
      <c r="I3075">
        <v>1</v>
      </c>
      <c r="J3075" t="s">
        <v>21</v>
      </c>
    </row>
    <row r="3076" spans="1:10" x14ac:dyDescent="0.25">
      <c r="A3076">
        <v>55736</v>
      </c>
      <c r="B3076" t="s">
        <v>881</v>
      </c>
      <c r="C3076" t="s">
        <v>322</v>
      </c>
      <c r="D3076" t="s">
        <v>2071</v>
      </c>
      <c r="E3076" t="s">
        <v>2216</v>
      </c>
      <c r="F3076">
        <v>63955772</v>
      </c>
      <c r="G3076">
        <v>5751845</v>
      </c>
      <c r="H3076" s="32">
        <f t="shared" si="48"/>
        <v>11.119175151625262</v>
      </c>
      <c r="I3076">
        <v>1</v>
      </c>
      <c r="J3076" t="s">
        <v>21</v>
      </c>
    </row>
    <row r="3077" spans="1:10" x14ac:dyDescent="0.25">
      <c r="A3077">
        <v>55116</v>
      </c>
      <c r="B3077" t="s">
        <v>2771</v>
      </c>
      <c r="C3077" t="s">
        <v>708</v>
      </c>
      <c r="D3077" t="s">
        <v>2214</v>
      </c>
      <c r="E3077" t="s">
        <v>2216</v>
      </c>
      <c r="F3077">
        <v>20015345</v>
      </c>
      <c r="G3077">
        <v>1798021.4820000001</v>
      </c>
      <c r="H3077" s="32">
        <f t="shared" si="48"/>
        <v>11.13187200507541</v>
      </c>
      <c r="I3077">
        <v>1</v>
      </c>
      <c r="J3077" t="s">
        <v>21</v>
      </c>
    </row>
    <row r="3078" spans="1:10" x14ac:dyDescent="0.25">
      <c r="A3078">
        <v>55402</v>
      </c>
      <c r="B3078" t="s">
        <v>2793</v>
      </c>
      <c r="C3078" t="s">
        <v>250</v>
      </c>
      <c r="D3078" t="s">
        <v>2214</v>
      </c>
      <c r="E3078" t="s">
        <v>2216</v>
      </c>
      <c r="F3078">
        <v>13745397</v>
      </c>
      <c r="G3078">
        <v>1234095</v>
      </c>
      <c r="H3078" s="32">
        <f t="shared" si="48"/>
        <v>11.138037995454159</v>
      </c>
      <c r="I3078">
        <v>1</v>
      </c>
      <c r="J3078" t="s">
        <v>21</v>
      </c>
    </row>
    <row r="3079" spans="1:10" x14ac:dyDescent="0.25">
      <c r="A3079">
        <v>7948</v>
      </c>
      <c r="B3079" t="s">
        <v>2067</v>
      </c>
      <c r="C3079" t="s">
        <v>131</v>
      </c>
      <c r="D3079" t="s">
        <v>2214</v>
      </c>
      <c r="E3079" t="s">
        <v>2216</v>
      </c>
      <c r="F3079">
        <v>1825474</v>
      </c>
      <c r="G3079">
        <v>163729</v>
      </c>
      <c r="H3079" s="32">
        <f t="shared" si="48"/>
        <v>11.149362666357213</v>
      </c>
      <c r="I3079">
        <v>1</v>
      </c>
      <c r="J3079" t="s">
        <v>21</v>
      </c>
    </row>
    <row r="3080" spans="1:10" x14ac:dyDescent="0.25">
      <c r="A3080">
        <v>7538</v>
      </c>
      <c r="B3080" t="s">
        <v>2527</v>
      </c>
      <c r="C3080" t="s">
        <v>708</v>
      </c>
      <c r="D3080" t="s">
        <v>2214</v>
      </c>
      <c r="E3080" t="s">
        <v>2216</v>
      </c>
      <c r="F3080">
        <v>6239305</v>
      </c>
      <c r="G3080">
        <v>559319.76500000001</v>
      </c>
      <c r="H3080" s="32">
        <f t="shared" si="48"/>
        <v>11.155166311707221</v>
      </c>
      <c r="I3080">
        <v>1</v>
      </c>
      <c r="J3080" t="s">
        <v>21</v>
      </c>
    </row>
    <row r="3081" spans="1:10" x14ac:dyDescent="0.25">
      <c r="A3081">
        <v>58697</v>
      </c>
      <c r="B3081" t="s">
        <v>3257</v>
      </c>
      <c r="C3081" t="s">
        <v>708</v>
      </c>
      <c r="D3081" t="s">
        <v>2071</v>
      </c>
      <c r="E3081" t="s">
        <v>2216</v>
      </c>
      <c r="F3081">
        <v>25832954</v>
      </c>
      <c r="G3081">
        <v>2312075</v>
      </c>
      <c r="H3081" s="32">
        <f t="shared" si="48"/>
        <v>11.173060562481753</v>
      </c>
      <c r="I3081">
        <v>1</v>
      </c>
      <c r="J3081" t="s">
        <v>21</v>
      </c>
    </row>
    <row r="3082" spans="1:10" x14ac:dyDescent="0.25">
      <c r="A3082">
        <v>64241</v>
      </c>
      <c r="B3082" t="s">
        <v>4520</v>
      </c>
      <c r="C3082" t="s">
        <v>307</v>
      </c>
      <c r="D3082" t="s">
        <v>2214</v>
      </c>
      <c r="E3082" t="s">
        <v>2216</v>
      </c>
      <c r="F3082">
        <v>33677</v>
      </c>
      <c r="G3082">
        <v>3007</v>
      </c>
      <c r="H3082" s="32">
        <f t="shared" si="48"/>
        <v>11.199534419687396</v>
      </c>
      <c r="I3082">
        <v>1</v>
      </c>
      <c r="J3082" t="s">
        <v>21</v>
      </c>
    </row>
    <row r="3083" spans="1:10" x14ac:dyDescent="0.25">
      <c r="A3083">
        <v>55231</v>
      </c>
      <c r="B3083" t="s">
        <v>1079</v>
      </c>
      <c r="C3083" t="s">
        <v>143</v>
      </c>
      <c r="D3083" t="s">
        <v>2071</v>
      </c>
      <c r="E3083" t="s">
        <v>2216</v>
      </c>
      <c r="F3083">
        <v>27936082</v>
      </c>
      <c r="G3083">
        <v>2488798</v>
      </c>
      <c r="H3083" s="32">
        <f t="shared" si="48"/>
        <v>11.224728563748444</v>
      </c>
      <c r="I3083">
        <v>1</v>
      </c>
      <c r="J3083" t="s">
        <v>21</v>
      </c>
    </row>
    <row r="3084" spans="1:10" x14ac:dyDescent="0.25">
      <c r="A3084">
        <v>56556</v>
      </c>
      <c r="B3084" t="s">
        <v>2883</v>
      </c>
      <c r="C3084" t="s">
        <v>266</v>
      </c>
      <c r="D3084" t="s">
        <v>2214</v>
      </c>
      <c r="E3084" t="s">
        <v>2216</v>
      </c>
      <c r="F3084">
        <v>1728382</v>
      </c>
      <c r="G3084">
        <v>153508</v>
      </c>
      <c r="H3084" s="32">
        <f t="shared" si="48"/>
        <v>11.259230789274826</v>
      </c>
      <c r="I3084">
        <v>1</v>
      </c>
      <c r="J3084" t="s">
        <v>21</v>
      </c>
    </row>
    <row r="3085" spans="1:10" x14ac:dyDescent="0.25">
      <c r="A3085">
        <v>3406</v>
      </c>
      <c r="B3085" t="s">
        <v>2429</v>
      </c>
      <c r="C3085" t="s">
        <v>2029</v>
      </c>
      <c r="D3085" t="s">
        <v>2214</v>
      </c>
      <c r="E3085" t="s">
        <v>2216</v>
      </c>
      <c r="F3085">
        <v>16114853</v>
      </c>
      <c r="G3085">
        <v>1431215.6880000001</v>
      </c>
      <c r="H3085" s="32">
        <f t="shared" si="48"/>
        <v>11.259555869261824</v>
      </c>
      <c r="I3085">
        <v>1</v>
      </c>
      <c r="J3085" t="s">
        <v>21</v>
      </c>
    </row>
    <row r="3086" spans="1:10" x14ac:dyDescent="0.25">
      <c r="A3086">
        <v>1556</v>
      </c>
      <c r="B3086" t="s">
        <v>1348</v>
      </c>
      <c r="C3086" t="s">
        <v>307</v>
      </c>
      <c r="D3086" t="s">
        <v>2214</v>
      </c>
      <c r="E3086" t="s">
        <v>2216</v>
      </c>
      <c r="F3086">
        <v>2377887</v>
      </c>
      <c r="G3086">
        <v>210929.93900000001</v>
      </c>
      <c r="H3086" s="32">
        <f t="shared" si="48"/>
        <v>11.273349868081079</v>
      </c>
      <c r="I3086">
        <v>1</v>
      </c>
      <c r="J3086" t="s">
        <v>21</v>
      </c>
    </row>
    <row r="3087" spans="1:10" x14ac:dyDescent="0.25">
      <c r="A3087">
        <v>55701</v>
      </c>
      <c r="B3087" t="s">
        <v>2053</v>
      </c>
      <c r="C3087" t="s">
        <v>322</v>
      </c>
      <c r="D3087" t="s">
        <v>2071</v>
      </c>
      <c r="E3087" t="s">
        <v>2216</v>
      </c>
      <c r="F3087">
        <v>25880728</v>
      </c>
      <c r="G3087">
        <v>2294082</v>
      </c>
      <c r="H3087" s="32">
        <f t="shared" si="48"/>
        <v>11.281518271796736</v>
      </c>
      <c r="I3087">
        <v>1</v>
      </c>
      <c r="J3087" t="s">
        <v>21</v>
      </c>
    </row>
    <row r="3088" spans="1:10" x14ac:dyDescent="0.25">
      <c r="A3088">
        <v>55196</v>
      </c>
      <c r="B3088" t="s">
        <v>1625</v>
      </c>
      <c r="C3088" t="s">
        <v>143</v>
      </c>
      <c r="D3088" t="s">
        <v>2214</v>
      </c>
      <c r="E3088" t="s">
        <v>2216</v>
      </c>
      <c r="F3088">
        <v>1663306</v>
      </c>
      <c r="G3088">
        <v>147318.00099999999</v>
      </c>
      <c r="H3088" s="32">
        <f t="shared" si="48"/>
        <v>11.290582201152731</v>
      </c>
      <c r="I3088">
        <v>1</v>
      </c>
      <c r="J3088" t="s">
        <v>21</v>
      </c>
    </row>
    <row r="3089" spans="1:10" x14ac:dyDescent="0.25">
      <c r="A3089">
        <v>3148</v>
      </c>
      <c r="B3089" t="s">
        <v>1145</v>
      </c>
      <c r="C3089" t="s">
        <v>143</v>
      </c>
      <c r="D3089" t="s">
        <v>2218</v>
      </c>
      <c r="E3089" t="s">
        <v>2216</v>
      </c>
      <c r="F3089">
        <v>24931730</v>
      </c>
      <c r="G3089">
        <v>2206402.0290000001</v>
      </c>
      <c r="H3089" s="32">
        <f t="shared" si="48"/>
        <v>11.29972220488744</v>
      </c>
      <c r="I3089">
        <v>1</v>
      </c>
      <c r="J3089" t="s">
        <v>21</v>
      </c>
    </row>
    <row r="3090" spans="1:10" x14ac:dyDescent="0.25">
      <c r="A3090">
        <v>7836</v>
      </c>
      <c r="B3090" t="s">
        <v>1140</v>
      </c>
      <c r="C3090" t="s">
        <v>201</v>
      </c>
      <c r="D3090" t="s">
        <v>2214</v>
      </c>
      <c r="E3090" t="s">
        <v>2216</v>
      </c>
      <c r="F3090">
        <v>7334999</v>
      </c>
      <c r="G3090">
        <v>648629.63899999997</v>
      </c>
      <c r="H3090" s="32">
        <f t="shared" si="48"/>
        <v>11.308454870037169</v>
      </c>
      <c r="I3090">
        <v>1</v>
      </c>
      <c r="J3090" t="s">
        <v>21</v>
      </c>
    </row>
    <row r="3091" spans="1:10" x14ac:dyDescent="0.25">
      <c r="A3091">
        <v>63632</v>
      </c>
      <c r="B3091" t="s">
        <v>4381</v>
      </c>
      <c r="C3091" t="s">
        <v>2029</v>
      </c>
      <c r="D3091" t="s">
        <v>2214</v>
      </c>
      <c r="E3091" t="s">
        <v>2216</v>
      </c>
      <c r="F3091">
        <v>4149233</v>
      </c>
      <c r="G3091">
        <v>366385</v>
      </c>
      <c r="H3091" s="32">
        <f t="shared" si="48"/>
        <v>11.324789497386629</v>
      </c>
      <c r="I3091">
        <v>1</v>
      </c>
      <c r="J3091" t="s">
        <v>21</v>
      </c>
    </row>
    <row r="3092" spans="1:10" x14ac:dyDescent="0.25">
      <c r="A3092">
        <v>3131</v>
      </c>
      <c r="B3092" t="s">
        <v>1564</v>
      </c>
      <c r="C3092" t="s">
        <v>143</v>
      </c>
      <c r="D3092" t="s">
        <v>2218</v>
      </c>
      <c r="E3092" t="s">
        <v>2216</v>
      </c>
      <c r="F3092">
        <v>11946265</v>
      </c>
      <c r="G3092">
        <v>1054049</v>
      </c>
      <c r="H3092" s="32">
        <f t="shared" si="48"/>
        <v>11.33369036923331</v>
      </c>
      <c r="I3092">
        <v>1</v>
      </c>
      <c r="J3092" t="s">
        <v>21</v>
      </c>
    </row>
    <row r="3093" spans="1:10" x14ac:dyDescent="0.25">
      <c r="A3093">
        <v>55392</v>
      </c>
      <c r="B3093" t="s">
        <v>1858</v>
      </c>
      <c r="C3093" t="s">
        <v>166</v>
      </c>
      <c r="D3093" t="s">
        <v>2214</v>
      </c>
      <c r="E3093" t="s">
        <v>2216</v>
      </c>
      <c r="F3093">
        <v>5275298</v>
      </c>
      <c r="G3093">
        <v>464665.34100000001</v>
      </c>
      <c r="H3093" s="32">
        <f t="shared" si="48"/>
        <v>11.352897525447244</v>
      </c>
      <c r="I3093">
        <v>1</v>
      </c>
      <c r="J3093" t="s">
        <v>21</v>
      </c>
    </row>
    <row r="3094" spans="1:10" x14ac:dyDescent="0.25">
      <c r="A3094">
        <v>55296</v>
      </c>
      <c r="B3094" t="s">
        <v>2783</v>
      </c>
      <c r="C3094" t="s">
        <v>166</v>
      </c>
      <c r="D3094" t="s">
        <v>2214</v>
      </c>
      <c r="E3094" t="s">
        <v>2216</v>
      </c>
      <c r="F3094">
        <v>86661</v>
      </c>
      <c r="G3094">
        <v>7629.9989999999998</v>
      </c>
      <c r="H3094" s="32">
        <f t="shared" si="48"/>
        <v>11.357930715325127</v>
      </c>
      <c r="I3094">
        <v>1</v>
      </c>
      <c r="J3094" t="s">
        <v>21</v>
      </c>
    </row>
    <row r="3095" spans="1:10" x14ac:dyDescent="0.25">
      <c r="A3095">
        <v>7805</v>
      </c>
      <c r="B3095" t="s">
        <v>2164</v>
      </c>
      <c r="C3095" t="s">
        <v>708</v>
      </c>
      <c r="D3095" t="s">
        <v>2071</v>
      </c>
      <c r="E3095" t="s">
        <v>2216</v>
      </c>
      <c r="F3095">
        <v>52707120</v>
      </c>
      <c r="G3095">
        <v>4638230.3600000003</v>
      </c>
      <c r="H3095" s="32">
        <f t="shared" si="48"/>
        <v>11.363627053659318</v>
      </c>
      <c r="I3095">
        <v>1</v>
      </c>
      <c r="J3095" t="s">
        <v>21</v>
      </c>
    </row>
    <row r="3096" spans="1:10" x14ac:dyDescent="0.25">
      <c r="A3096">
        <v>63924</v>
      </c>
      <c r="B3096" t="s">
        <v>4443</v>
      </c>
      <c r="C3096" t="s">
        <v>131</v>
      </c>
      <c r="D3096" t="s">
        <v>2218</v>
      </c>
      <c r="E3096" t="s">
        <v>2216</v>
      </c>
      <c r="F3096">
        <v>210918</v>
      </c>
      <c r="G3096">
        <v>18545</v>
      </c>
      <c r="H3096" s="32">
        <f t="shared" si="48"/>
        <v>11.373308169317875</v>
      </c>
      <c r="I3096">
        <v>1</v>
      </c>
      <c r="J3096" t="s">
        <v>21</v>
      </c>
    </row>
    <row r="3097" spans="1:10" x14ac:dyDescent="0.25">
      <c r="A3097">
        <v>63483</v>
      </c>
      <c r="B3097" t="s">
        <v>4360</v>
      </c>
      <c r="C3097" t="s">
        <v>241</v>
      </c>
      <c r="D3097" t="s">
        <v>2214</v>
      </c>
      <c r="E3097" t="s">
        <v>2216</v>
      </c>
      <c r="F3097">
        <v>520945</v>
      </c>
      <c r="G3097">
        <v>45804.124000000003</v>
      </c>
      <c r="H3097" s="32">
        <f t="shared" si="48"/>
        <v>11.373320882634934</v>
      </c>
      <c r="I3097">
        <v>1</v>
      </c>
      <c r="J3097" t="s">
        <v>21</v>
      </c>
    </row>
    <row r="3098" spans="1:10" x14ac:dyDescent="0.25">
      <c r="A3098">
        <v>58947</v>
      </c>
      <c r="B3098" t="s">
        <v>3340</v>
      </c>
      <c r="C3098" t="s">
        <v>241</v>
      </c>
      <c r="D3098" t="s">
        <v>2214</v>
      </c>
      <c r="E3098" t="s">
        <v>2216</v>
      </c>
      <c r="F3098">
        <v>495193</v>
      </c>
      <c r="G3098">
        <v>43539.707000000002</v>
      </c>
      <c r="H3098" s="32">
        <f t="shared" si="48"/>
        <v>11.373365466147945</v>
      </c>
      <c r="I3098">
        <v>1</v>
      </c>
      <c r="J3098" t="s">
        <v>21</v>
      </c>
    </row>
    <row r="3099" spans="1:10" x14ac:dyDescent="0.25">
      <c r="A3099">
        <v>58181</v>
      </c>
      <c r="B3099" t="s">
        <v>2180</v>
      </c>
      <c r="C3099" t="s">
        <v>166</v>
      </c>
      <c r="D3099" t="s">
        <v>2214</v>
      </c>
      <c r="E3099" t="s">
        <v>2216</v>
      </c>
      <c r="F3099">
        <v>221212</v>
      </c>
      <c r="G3099">
        <v>19450</v>
      </c>
      <c r="H3099" s="32">
        <f t="shared" si="48"/>
        <v>11.373367609254499</v>
      </c>
      <c r="I3099">
        <v>1</v>
      </c>
      <c r="J3099" t="s">
        <v>21</v>
      </c>
    </row>
    <row r="3100" spans="1:10" x14ac:dyDescent="0.25">
      <c r="A3100">
        <v>63921</v>
      </c>
      <c r="B3100" t="s">
        <v>4441</v>
      </c>
      <c r="C3100" t="s">
        <v>131</v>
      </c>
      <c r="D3100" t="s">
        <v>2218</v>
      </c>
      <c r="E3100" t="s">
        <v>2216</v>
      </c>
      <c r="F3100">
        <v>391608</v>
      </c>
      <c r="G3100">
        <v>34432</v>
      </c>
      <c r="H3100" s="32">
        <f t="shared" si="48"/>
        <v>11.373373605947956</v>
      </c>
      <c r="I3100">
        <v>1</v>
      </c>
      <c r="J3100" t="s">
        <v>21</v>
      </c>
    </row>
    <row r="3101" spans="1:10" x14ac:dyDescent="0.25">
      <c r="A3101">
        <v>61838</v>
      </c>
      <c r="B3101" t="s">
        <v>4072</v>
      </c>
      <c r="C3101" t="s">
        <v>322</v>
      </c>
      <c r="D3101" t="s">
        <v>2218</v>
      </c>
      <c r="E3101" t="s">
        <v>2216</v>
      </c>
      <c r="F3101">
        <v>14012</v>
      </c>
      <c r="G3101">
        <v>1232</v>
      </c>
      <c r="H3101" s="32">
        <f t="shared" si="48"/>
        <v>11.373376623376624</v>
      </c>
      <c r="I3101">
        <v>1</v>
      </c>
      <c r="J3101" t="s">
        <v>21</v>
      </c>
    </row>
    <row r="3102" spans="1:10" x14ac:dyDescent="0.25">
      <c r="A3102">
        <v>63478</v>
      </c>
      <c r="B3102" t="s">
        <v>4359</v>
      </c>
      <c r="C3102" t="s">
        <v>3055</v>
      </c>
      <c r="D3102" t="s">
        <v>2214</v>
      </c>
      <c r="E3102" t="s">
        <v>2216</v>
      </c>
      <c r="F3102">
        <v>255048</v>
      </c>
      <c r="G3102">
        <v>22425</v>
      </c>
      <c r="H3102" s="32">
        <f t="shared" si="48"/>
        <v>11.373377926421405</v>
      </c>
      <c r="I3102">
        <v>1</v>
      </c>
      <c r="J3102" t="s">
        <v>21</v>
      </c>
    </row>
    <row r="3103" spans="1:10" x14ac:dyDescent="0.25">
      <c r="A3103">
        <v>63922</v>
      </c>
      <c r="B3103" t="s">
        <v>4442</v>
      </c>
      <c r="C3103" t="s">
        <v>131</v>
      </c>
      <c r="D3103" t="s">
        <v>2218</v>
      </c>
      <c r="E3103" t="s">
        <v>2216</v>
      </c>
      <c r="F3103">
        <v>143589</v>
      </c>
      <c r="G3103">
        <v>12625</v>
      </c>
      <c r="H3103" s="32">
        <f t="shared" si="48"/>
        <v>11.373386138613862</v>
      </c>
      <c r="I3103">
        <v>1</v>
      </c>
      <c r="J3103" t="s">
        <v>21</v>
      </c>
    </row>
    <row r="3104" spans="1:10" x14ac:dyDescent="0.25">
      <c r="A3104">
        <v>57950</v>
      </c>
      <c r="B3104" t="s">
        <v>3081</v>
      </c>
      <c r="C3104" t="s">
        <v>250</v>
      </c>
      <c r="D3104" t="s">
        <v>2218</v>
      </c>
      <c r="E3104" t="s">
        <v>2216</v>
      </c>
      <c r="F3104">
        <v>91</v>
      </c>
      <c r="G3104">
        <v>8</v>
      </c>
      <c r="H3104" s="32">
        <f t="shared" si="48"/>
        <v>11.375</v>
      </c>
      <c r="I3104">
        <v>1</v>
      </c>
      <c r="J3104" t="s">
        <v>21</v>
      </c>
    </row>
    <row r="3105" spans="1:10" x14ac:dyDescent="0.25">
      <c r="A3105">
        <v>57949</v>
      </c>
      <c r="B3105" t="s">
        <v>3080</v>
      </c>
      <c r="C3105" t="s">
        <v>250</v>
      </c>
      <c r="D3105" t="s">
        <v>2218</v>
      </c>
      <c r="E3105" t="s">
        <v>2216</v>
      </c>
      <c r="F3105">
        <v>3751</v>
      </c>
      <c r="G3105">
        <v>329.72500000000002</v>
      </c>
      <c r="H3105" s="32">
        <f t="shared" si="48"/>
        <v>11.376146788990825</v>
      </c>
      <c r="I3105">
        <v>1</v>
      </c>
      <c r="J3105" t="s">
        <v>21</v>
      </c>
    </row>
    <row r="3106" spans="1:10" x14ac:dyDescent="0.25">
      <c r="A3106">
        <v>60797</v>
      </c>
      <c r="B3106" t="s">
        <v>3875</v>
      </c>
      <c r="C3106" t="s">
        <v>166</v>
      </c>
      <c r="D3106" t="s">
        <v>2234</v>
      </c>
      <c r="E3106" t="s">
        <v>2216</v>
      </c>
      <c r="F3106">
        <v>1936</v>
      </c>
      <c r="G3106">
        <v>170</v>
      </c>
      <c r="H3106" s="32">
        <f t="shared" si="48"/>
        <v>11.388235294117647</v>
      </c>
      <c r="I3106">
        <v>1</v>
      </c>
      <c r="J3106" t="s">
        <v>21</v>
      </c>
    </row>
    <row r="3107" spans="1:10" x14ac:dyDescent="0.25">
      <c r="A3107">
        <v>54556</v>
      </c>
      <c r="B3107" t="s">
        <v>2708</v>
      </c>
      <c r="C3107" t="s">
        <v>166</v>
      </c>
      <c r="D3107" t="s">
        <v>2218</v>
      </c>
      <c r="E3107" t="s">
        <v>2216</v>
      </c>
      <c r="F3107">
        <v>2124993</v>
      </c>
      <c r="G3107">
        <v>186300</v>
      </c>
      <c r="H3107" s="32">
        <f t="shared" si="48"/>
        <v>11.406296296296297</v>
      </c>
      <c r="I3107">
        <v>1</v>
      </c>
      <c r="J3107" t="s">
        <v>21</v>
      </c>
    </row>
    <row r="3108" spans="1:10" x14ac:dyDescent="0.25">
      <c r="A3108">
        <v>58066</v>
      </c>
      <c r="B3108" t="s">
        <v>3103</v>
      </c>
      <c r="C3108" t="s">
        <v>250</v>
      </c>
      <c r="D3108" t="s">
        <v>2218</v>
      </c>
      <c r="E3108" t="s">
        <v>2216</v>
      </c>
      <c r="F3108">
        <v>1025215</v>
      </c>
      <c r="G3108">
        <v>89742</v>
      </c>
      <c r="H3108" s="32">
        <f t="shared" si="48"/>
        <v>11.424026654186445</v>
      </c>
      <c r="I3108">
        <v>1</v>
      </c>
      <c r="J3108" t="s">
        <v>21</v>
      </c>
    </row>
    <row r="3109" spans="1:10" x14ac:dyDescent="0.25">
      <c r="A3109">
        <v>55334</v>
      </c>
      <c r="B3109" t="s">
        <v>2787</v>
      </c>
      <c r="C3109" t="s">
        <v>166</v>
      </c>
      <c r="D3109" t="s">
        <v>2071</v>
      </c>
      <c r="E3109" t="s">
        <v>2216</v>
      </c>
      <c r="F3109">
        <v>11820325</v>
      </c>
      <c r="G3109">
        <v>1033480</v>
      </c>
      <c r="H3109" s="32">
        <f t="shared" si="48"/>
        <v>11.437400820528699</v>
      </c>
      <c r="I3109">
        <v>1</v>
      </c>
      <c r="J3109" t="s">
        <v>21</v>
      </c>
    </row>
    <row r="3110" spans="1:10" x14ac:dyDescent="0.25">
      <c r="A3110">
        <v>1012</v>
      </c>
      <c r="B3110" t="s">
        <v>2272</v>
      </c>
      <c r="C3110" t="s">
        <v>131</v>
      </c>
      <c r="D3110" t="s">
        <v>2218</v>
      </c>
      <c r="E3110" t="s">
        <v>2216</v>
      </c>
      <c r="F3110">
        <v>399951</v>
      </c>
      <c r="G3110">
        <v>34949.148000000001</v>
      </c>
      <c r="H3110" s="32">
        <f t="shared" si="48"/>
        <v>11.44379828658484</v>
      </c>
      <c r="I3110">
        <v>1</v>
      </c>
      <c r="J3110" t="s">
        <v>21</v>
      </c>
    </row>
    <row r="3111" spans="1:10" x14ac:dyDescent="0.25">
      <c r="A3111">
        <v>60742</v>
      </c>
      <c r="B3111" t="s">
        <v>3854</v>
      </c>
      <c r="C3111" t="s">
        <v>166</v>
      </c>
      <c r="D3111" t="s">
        <v>2214</v>
      </c>
      <c r="E3111" t="s">
        <v>2216</v>
      </c>
      <c r="F3111">
        <v>462928</v>
      </c>
      <c r="G3111">
        <v>40296</v>
      </c>
      <c r="H3111" s="32">
        <f t="shared" si="48"/>
        <v>11.488187413142743</v>
      </c>
      <c r="I3111">
        <v>1</v>
      </c>
      <c r="J3111" t="s">
        <v>21</v>
      </c>
    </row>
    <row r="3112" spans="1:10" x14ac:dyDescent="0.25">
      <c r="A3112">
        <v>63485</v>
      </c>
      <c r="B3112" t="s">
        <v>4361</v>
      </c>
      <c r="C3112" t="s">
        <v>143</v>
      </c>
      <c r="D3112" t="s">
        <v>2214</v>
      </c>
      <c r="E3112" t="s">
        <v>2216</v>
      </c>
      <c r="F3112">
        <v>339165</v>
      </c>
      <c r="G3112">
        <v>29522</v>
      </c>
      <c r="H3112" s="32">
        <f t="shared" si="48"/>
        <v>11.488550911184879</v>
      </c>
      <c r="I3112">
        <v>1</v>
      </c>
      <c r="J3112" t="s">
        <v>21</v>
      </c>
    </row>
    <row r="3113" spans="1:10" x14ac:dyDescent="0.25">
      <c r="A3113">
        <v>10308</v>
      </c>
      <c r="B3113" t="s">
        <v>2594</v>
      </c>
      <c r="C3113" t="s">
        <v>241</v>
      </c>
      <c r="D3113" t="s">
        <v>2071</v>
      </c>
      <c r="E3113" t="s">
        <v>2216</v>
      </c>
      <c r="F3113">
        <v>7476492</v>
      </c>
      <c r="G3113">
        <v>648961</v>
      </c>
      <c r="H3113" s="32">
        <f t="shared" si="48"/>
        <v>11.52071079772128</v>
      </c>
      <c r="I3113">
        <v>1</v>
      </c>
      <c r="J3113" t="s">
        <v>21</v>
      </c>
    </row>
    <row r="3114" spans="1:10" x14ac:dyDescent="0.25">
      <c r="A3114">
        <v>2706</v>
      </c>
      <c r="B3114" t="s">
        <v>2358</v>
      </c>
      <c r="C3114" t="s">
        <v>708</v>
      </c>
      <c r="D3114" t="s">
        <v>2214</v>
      </c>
      <c r="E3114" t="s">
        <v>2216</v>
      </c>
      <c r="F3114">
        <v>3133258</v>
      </c>
      <c r="G3114">
        <v>271398.59399999998</v>
      </c>
      <c r="H3114" s="32">
        <f t="shared" si="48"/>
        <v>11.544857155744882</v>
      </c>
      <c r="I3114">
        <v>1</v>
      </c>
      <c r="J3114" t="s">
        <v>21</v>
      </c>
    </row>
    <row r="3115" spans="1:10" x14ac:dyDescent="0.25">
      <c r="A3115">
        <v>55201</v>
      </c>
      <c r="B3115" t="s">
        <v>2024</v>
      </c>
      <c r="C3115" t="s">
        <v>166</v>
      </c>
      <c r="D3115" t="s">
        <v>2214</v>
      </c>
      <c r="E3115" t="s">
        <v>2216</v>
      </c>
      <c r="F3115">
        <v>893501</v>
      </c>
      <c r="G3115">
        <v>77332.001000000004</v>
      </c>
      <c r="H3115" s="32">
        <f t="shared" si="48"/>
        <v>11.554091300443654</v>
      </c>
      <c r="I3115">
        <v>1</v>
      </c>
      <c r="J3115" t="s">
        <v>21</v>
      </c>
    </row>
    <row r="3116" spans="1:10" x14ac:dyDescent="0.25">
      <c r="A3116">
        <v>55229</v>
      </c>
      <c r="B3116" t="s">
        <v>1206</v>
      </c>
      <c r="C3116" t="s">
        <v>131</v>
      </c>
      <c r="D3116" t="s">
        <v>2214</v>
      </c>
      <c r="E3116" t="s">
        <v>2216</v>
      </c>
      <c r="F3116">
        <v>1639993</v>
      </c>
      <c r="G3116">
        <v>141926</v>
      </c>
      <c r="H3116" s="32">
        <f t="shared" si="48"/>
        <v>11.555268238377746</v>
      </c>
      <c r="I3116">
        <v>1</v>
      </c>
      <c r="J3116" t="s">
        <v>21</v>
      </c>
    </row>
    <row r="3117" spans="1:10" x14ac:dyDescent="0.25">
      <c r="A3117">
        <v>52019</v>
      </c>
      <c r="B3117" t="s">
        <v>2681</v>
      </c>
      <c r="C3117" t="s">
        <v>201</v>
      </c>
      <c r="D3117" t="s">
        <v>2214</v>
      </c>
      <c r="E3117" t="s">
        <v>2216</v>
      </c>
      <c r="F3117">
        <v>11850952</v>
      </c>
      <c r="G3117">
        <v>1023283.688</v>
      </c>
      <c r="H3117" s="32">
        <f t="shared" si="48"/>
        <v>11.581296700978976</v>
      </c>
      <c r="I3117">
        <v>1</v>
      </c>
      <c r="J3117" t="s">
        <v>21</v>
      </c>
    </row>
    <row r="3118" spans="1:10" x14ac:dyDescent="0.25">
      <c r="A3118">
        <v>52087</v>
      </c>
      <c r="B3118" t="s">
        <v>685</v>
      </c>
      <c r="C3118" t="s">
        <v>201</v>
      </c>
      <c r="D3118" t="s">
        <v>2214</v>
      </c>
      <c r="E3118" t="s">
        <v>2216</v>
      </c>
      <c r="F3118">
        <v>1251575</v>
      </c>
      <c r="G3118">
        <v>107982.986</v>
      </c>
      <c r="H3118" s="32">
        <f t="shared" si="48"/>
        <v>11.590483337810273</v>
      </c>
      <c r="I3118">
        <v>1</v>
      </c>
      <c r="J3118" t="s">
        <v>21</v>
      </c>
    </row>
    <row r="3119" spans="1:10" x14ac:dyDescent="0.25">
      <c r="A3119">
        <v>55188</v>
      </c>
      <c r="B3119" t="s">
        <v>514</v>
      </c>
      <c r="C3119" t="s">
        <v>166</v>
      </c>
      <c r="D3119" t="s">
        <v>2071</v>
      </c>
      <c r="E3119" t="s">
        <v>2216</v>
      </c>
      <c r="F3119">
        <v>8268679</v>
      </c>
      <c r="G3119">
        <v>713168</v>
      </c>
      <c r="H3119" s="32">
        <f t="shared" si="48"/>
        <v>11.594293350234446</v>
      </c>
      <c r="I3119">
        <v>1</v>
      </c>
      <c r="J3119" t="s">
        <v>21</v>
      </c>
    </row>
    <row r="3120" spans="1:10" x14ac:dyDescent="0.25">
      <c r="A3120">
        <v>63347</v>
      </c>
      <c r="B3120" t="s">
        <v>4332</v>
      </c>
      <c r="C3120" t="s">
        <v>3055</v>
      </c>
      <c r="D3120" t="s">
        <v>2214</v>
      </c>
      <c r="E3120" t="s">
        <v>2216</v>
      </c>
      <c r="F3120">
        <v>622054</v>
      </c>
      <c r="G3120">
        <v>53600.137000000002</v>
      </c>
      <c r="H3120" s="32">
        <f t="shared" si="48"/>
        <v>11.605455411429265</v>
      </c>
      <c r="I3120">
        <v>1</v>
      </c>
      <c r="J3120" t="s">
        <v>21</v>
      </c>
    </row>
    <row r="3121" spans="1:10" x14ac:dyDescent="0.25">
      <c r="A3121">
        <v>57788</v>
      </c>
      <c r="B3121" t="s">
        <v>3054</v>
      </c>
      <c r="C3121" t="s">
        <v>3055</v>
      </c>
      <c r="D3121" t="s">
        <v>2214</v>
      </c>
      <c r="E3121" t="s">
        <v>2216</v>
      </c>
      <c r="F3121">
        <v>399000</v>
      </c>
      <c r="G3121">
        <v>34380.36</v>
      </c>
      <c r="H3121" s="32">
        <f t="shared" si="48"/>
        <v>11.605463119059834</v>
      </c>
      <c r="I3121">
        <v>1</v>
      </c>
      <c r="J3121" t="s">
        <v>21</v>
      </c>
    </row>
    <row r="3122" spans="1:10" x14ac:dyDescent="0.25">
      <c r="A3122">
        <v>63501</v>
      </c>
      <c r="B3122" t="s">
        <v>4363</v>
      </c>
      <c r="C3122" t="s">
        <v>241</v>
      </c>
      <c r="D3122" t="s">
        <v>2214</v>
      </c>
      <c r="E3122" t="s">
        <v>2216</v>
      </c>
      <c r="F3122">
        <v>521982</v>
      </c>
      <c r="G3122">
        <v>44977.161999999997</v>
      </c>
      <c r="H3122" s="32">
        <f t="shared" si="48"/>
        <v>11.605489915081792</v>
      </c>
      <c r="I3122">
        <v>1</v>
      </c>
      <c r="J3122" t="s">
        <v>21</v>
      </c>
    </row>
    <row r="3123" spans="1:10" x14ac:dyDescent="0.25">
      <c r="A3123">
        <v>2404</v>
      </c>
      <c r="B3123" t="s">
        <v>988</v>
      </c>
      <c r="C3123" t="s">
        <v>241</v>
      </c>
      <c r="D3123" t="s">
        <v>2214</v>
      </c>
      <c r="E3123" t="s">
        <v>2216</v>
      </c>
      <c r="F3123">
        <v>3132634</v>
      </c>
      <c r="G3123">
        <v>269513.55</v>
      </c>
      <c r="H3123" s="32">
        <f t="shared" si="48"/>
        <v>11.623289441291542</v>
      </c>
      <c r="I3123">
        <v>1</v>
      </c>
      <c r="J3123" t="s">
        <v>21</v>
      </c>
    </row>
    <row r="3124" spans="1:10" x14ac:dyDescent="0.25">
      <c r="A3124">
        <v>7872</v>
      </c>
      <c r="B3124" t="s">
        <v>1443</v>
      </c>
      <c r="C3124" t="s">
        <v>322</v>
      </c>
      <c r="D3124" t="s">
        <v>2214</v>
      </c>
      <c r="E3124" t="s">
        <v>2216</v>
      </c>
      <c r="F3124">
        <v>3736436</v>
      </c>
      <c r="G3124">
        <v>321405.12900000002</v>
      </c>
      <c r="H3124" s="32">
        <f t="shared" si="48"/>
        <v>11.62531541305926</v>
      </c>
      <c r="I3124">
        <v>1</v>
      </c>
      <c r="J3124" t="s">
        <v>21</v>
      </c>
    </row>
    <row r="3125" spans="1:10" x14ac:dyDescent="0.25">
      <c r="A3125">
        <v>6137</v>
      </c>
      <c r="B3125" t="s">
        <v>2485</v>
      </c>
      <c r="C3125" t="s">
        <v>131</v>
      </c>
      <c r="D3125" t="s">
        <v>2214</v>
      </c>
      <c r="E3125" t="s">
        <v>2216</v>
      </c>
      <c r="F3125">
        <v>5792353</v>
      </c>
      <c r="G3125">
        <v>497159.48499999999</v>
      </c>
      <c r="H3125" s="32">
        <f t="shared" si="48"/>
        <v>11.650895084501908</v>
      </c>
      <c r="I3125">
        <v>1</v>
      </c>
      <c r="J3125" t="s">
        <v>21</v>
      </c>
    </row>
    <row r="3126" spans="1:10" x14ac:dyDescent="0.25">
      <c r="A3126">
        <v>55164</v>
      </c>
      <c r="B3126" t="s">
        <v>296</v>
      </c>
      <c r="C3126" t="s">
        <v>266</v>
      </c>
      <c r="D3126" t="s">
        <v>2214</v>
      </c>
      <c r="E3126" t="s">
        <v>2216</v>
      </c>
      <c r="F3126">
        <v>2396839</v>
      </c>
      <c r="G3126">
        <v>205720.97200000001</v>
      </c>
      <c r="H3126" s="32">
        <f t="shared" si="48"/>
        <v>11.65092200711554</v>
      </c>
      <c r="I3126">
        <v>1</v>
      </c>
      <c r="J3126" t="s">
        <v>21</v>
      </c>
    </row>
    <row r="3127" spans="1:10" x14ac:dyDescent="0.25">
      <c r="A3127">
        <v>61737</v>
      </c>
      <c r="B3127" t="s">
        <v>4054</v>
      </c>
      <c r="C3127" t="s">
        <v>143</v>
      </c>
      <c r="D3127" t="s">
        <v>2234</v>
      </c>
      <c r="E3127" t="s">
        <v>2216</v>
      </c>
      <c r="F3127">
        <v>35051</v>
      </c>
      <c r="G3127">
        <v>3007</v>
      </c>
      <c r="H3127" s="32">
        <f t="shared" si="48"/>
        <v>11.656468240771533</v>
      </c>
      <c r="I3127">
        <v>1</v>
      </c>
      <c r="J3127" t="s">
        <v>21</v>
      </c>
    </row>
    <row r="3128" spans="1:10" x14ac:dyDescent="0.25">
      <c r="A3128">
        <v>55183</v>
      </c>
      <c r="B3128" t="s">
        <v>1253</v>
      </c>
      <c r="C3128" t="s">
        <v>166</v>
      </c>
      <c r="D3128" t="s">
        <v>2071</v>
      </c>
      <c r="E3128" t="s">
        <v>2216</v>
      </c>
      <c r="F3128">
        <v>23182187</v>
      </c>
      <c r="G3128">
        <v>1981935</v>
      </c>
      <c r="H3128" s="32">
        <f t="shared" si="48"/>
        <v>11.696744343280683</v>
      </c>
      <c r="I3128">
        <v>1</v>
      </c>
      <c r="J3128" t="s">
        <v>21</v>
      </c>
    </row>
    <row r="3129" spans="1:10" x14ac:dyDescent="0.25">
      <c r="A3129">
        <v>7783</v>
      </c>
      <c r="B3129" t="s">
        <v>2543</v>
      </c>
      <c r="C3129" t="s">
        <v>322</v>
      </c>
      <c r="D3129" t="s">
        <v>2214</v>
      </c>
      <c r="E3129" t="s">
        <v>2216</v>
      </c>
      <c r="F3129">
        <v>26488</v>
      </c>
      <c r="G3129">
        <v>2262</v>
      </c>
      <c r="H3129" s="32">
        <f t="shared" si="48"/>
        <v>11.70999115826702</v>
      </c>
      <c r="I3129">
        <v>1</v>
      </c>
      <c r="J3129" t="s">
        <v>21</v>
      </c>
    </row>
    <row r="3130" spans="1:10" x14ac:dyDescent="0.25">
      <c r="A3130">
        <v>63927</v>
      </c>
      <c r="B3130" t="s">
        <v>4444</v>
      </c>
      <c r="C3130" t="s">
        <v>322</v>
      </c>
      <c r="D3130" t="s">
        <v>2218</v>
      </c>
      <c r="E3130" t="s">
        <v>2216</v>
      </c>
      <c r="F3130">
        <v>165912</v>
      </c>
      <c r="G3130">
        <v>14150.36</v>
      </c>
      <c r="H3130" s="32">
        <f t="shared" si="48"/>
        <v>11.724931379837686</v>
      </c>
      <c r="I3130">
        <v>1</v>
      </c>
      <c r="J3130" t="s">
        <v>21</v>
      </c>
    </row>
    <row r="3131" spans="1:10" x14ac:dyDescent="0.25">
      <c r="A3131">
        <v>63920</v>
      </c>
      <c r="B3131" t="s">
        <v>4440</v>
      </c>
      <c r="C3131" t="s">
        <v>322</v>
      </c>
      <c r="D3131" t="s">
        <v>2218</v>
      </c>
      <c r="E3131" t="s">
        <v>2216</v>
      </c>
      <c r="F3131">
        <v>217218</v>
      </c>
      <c r="G3131">
        <v>18526.03</v>
      </c>
      <c r="H3131" s="32">
        <f t="shared" si="48"/>
        <v>11.725016098969936</v>
      </c>
      <c r="I3131">
        <v>1</v>
      </c>
      <c r="J3131" t="s">
        <v>21</v>
      </c>
    </row>
    <row r="3132" spans="1:10" x14ac:dyDescent="0.25">
      <c r="A3132">
        <v>58079</v>
      </c>
      <c r="B3132" t="s">
        <v>3105</v>
      </c>
      <c r="C3132" t="s">
        <v>241</v>
      </c>
      <c r="D3132" t="s">
        <v>2071</v>
      </c>
      <c r="E3132" t="s">
        <v>2216</v>
      </c>
      <c r="F3132">
        <v>18715714</v>
      </c>
      <c r="G3132">
        <v>1596220</v>
      </c>
      <c r="H3132" s="32">
        <f t="shared" si="48"/>
        <v>11.72502161356204</v>
      </c>
      <c r="I3132">
        <v>1</v>
      </c>
      <c r="J3132" t="s">
        <v>21</v>
      </c>
    </row>
    <row r="3133" spans="1:10" x14ac:dyDescent="0.25">
      <c r="A3133">
        <v>63831</v>
      </c>
      <c r="B3133" t="s">
        <v>4422</v>
      </c>
      <c r="C3133" t="s">
        <v>250</v>
      </c>
      <c r="D3133" t="s">
        <v>2218</v>
      </c>
      <c r="E3133" t="s">
        <v>2216</v>
      </c>
      <c r="F3133">
        <v>153562</v>
      </c>
      <c r="G3133">
        <v>13096.94</v>
      </c>
      <c r="H3133" s="32">
        <f t="shared" si="48"/>
        <v>11.72502889988043</v>
      </c>
      <c r="I3133">
        <v>1</v>
      </c>
      <c r="J3133" t="s">
        <v>21</v>
      </c>
    </row>
    <row r="3134" spans="1:10" x14ac:dyDescent="0.25">
      <c r="A3134">
        <v>63852</v>
      </c>
      <c r="B3134" t="s">
        <v>4429</v>
      </c>
      <c r="C3134" t="s">
        <v>131</v>
      </c>
      <c r="D3134" t="s">
        <v>2218</v>
      </c>
      <c r="E3134" t="s">
        <v>2216</v>
      </c>
      <c r="F3134">
        <v>203639</v>
      </c>
      <c r="G3134">
        <v>17367.849999999999</v>
      </c>
      <c r="H3134" s="32">
        <f t="shared" si="48"/>
        <v>11.72505520257257</v>
      </c>
      <c r="I3134">
        <v>1</v>
      </c>
      <c r="J3134" t="s">
        <v>21</v>
      </c>
    </row>
    <row r="3135" spans="1:10" x14ac:dyDescent="0.25">
      <c r="A3135">
        <v>63829</v>
      </c>
      <c r="B3135" t="s">
        <v>4420</v>
      </c>
      <c r="C3135" t="s">
        <v>322</v>
      </c>
      <c r="D3135" t="s">
        <v>2218</v>
      </c>
      <c r="E3135" t="s">
        <v>2216</v>
      </c>
      <c r="F3135">
        <v>276190</v>
      </c>
      <c r="G3135">
        <v>23555.48</v>
      </c>
      <c r="H3135" s="32">
        <f t="shared" si="48"/>
        <v>11.725084778573818</v>
      </c>
      <c r="I3135">
        <v>1</v>
      </c>
      <c r="J3135" t="s">
        <v>21</v>
      </c>
    </row>
    <row r="3136" spans="1:10" x14ac:dyDescent="0.25">
      <c r="A3136">
        <v>62901</v>
      </c>
      <c r="B3136" t="s">
        <v>4250</v>
      </c>
      <c r="C3136" t="s">
        <v>143</v>
      </c>
      <c r="D3136" t="s">
        <v>2214</v>
      </c>
      <c r="E3136" t="s">
        <v>2216</v>
      </c>
      <c r="F3136">
        <v>45767</v>
      </c>
      <c r="G3136">
        <v>3903</v>
      </c>
      <c r="H3136" s="32">
        <f t="shared" si="48"/>
        <v>11.726108121957468</v>
      </c>
      <c r="I3136">
        <v>1</v>
      </c>
      <c r="J3136" t="s">
        <v>21</v>
      </c>
    </row>
    <row r="3137" spans="1:10" x14ac:dyDescent="0.25">
      <c r="A3137">
        <v>55232</v>
      </c>
      <c r="B3137" t="s">
        <v>2776</v>
      </c>
      <c r="C3137" t="s">
        <v>266</v>
      </c>
      <c r="D3137" t="s">
        <v>2214</v>
      </c>
      <c r="E3137" t="s">
        <v>2216</v>
      </c>
      <c r="F3137">
        <v>1508955</v>
      </c>
      <c r="G3137">
        <v>128574.738</v>
      </c>
      <c r="H3137" s="32">
        <f t="shared" si="48"/>
        <v>11.736014581651336</v>
      </c>
      <c r="I3137">
        <v>1</v>
      </c>
      <c r="J3137" t="s">
        <v>21</v>
      </c>
    </row>
    <row r="3138" spans="1:10" x14ac:dyDescent="0.25">
      <c r="A3138">
        <v>7845</v>
      </c>
      <c r="B3138" t="s">
        <v>2028</v>
      </c>
      <c r="C3138" t="s">
        <v>2029</v>
      </c>
      <c r="D3138" t="s">
        <v>2214</v>
      </c>
      <c r="E3138" t="s">
        <v>2216</v>
      </c>
      <c r="F3138">
        <v>695994</v>
      </c>
      <c r="G3138">
        <v>59252.063999999998</v>
      </c>
      <c r="H3138" s="32">
        <f t="shared" ref="H3138:H3201" si="49">IF(AND(F3138&gt;0,G3138&gt;0),F3138/G3138,"")</f>
        <v>11.746324988780138</v>
      </c>
      <c r="I3138">
        <v>1</v>
      </c>
      <c r="J3138" t="s">
        <v>21</v>
      </c>
    </row>
    <row r="3139" spans="1:10" x14ac:dyDescent="0.25">
      <c r="A3139">
        <v>61675</v>
      </c>
      <c r="B3139" t="s">
        <v>4047</v>
      </c>
      <c r="C3139" t="s">
        <v>708</v>
      </c>
      <c r="D3139" t="s">
        <v>2218</v>
      </c>
      <c r="E3139" t="s">
        <v>2216</v>
      </c>
      <c r="F3139">
        <v>22817</v>
      </c>
      <c r="G3139">
        <v>1942</v>
      </c>
      <c r="H3139" s="32">
        <f t="shared" si="49"/>
        <v>11.749227600411947</v>
      </c>
      <c r="I3139">
        <v>1</v>
      </c>
      <c r="J3139" t="s">
        <v>21</v>
      </c>
    </row>
    <row r="3140" spans="1:10" x14ac:dyDescent="0.25">
      <c r="A3140">
        <v>56504</v>
      </c>
      <c r="B3140" t="s">
        <v>2874</v>
      </c>
      <c r="C3140" t="s">
        <v>250</v>
      </c>
      <c r="D3140" t="s">
        <v>2234</v>
      </c>
      <c r="E3140" t="s">
        <v>2216</v>
      </c>
      <c r="F3140">
        <v>2417</v>
      </c>
      <c r="G3140">
        <v>205</v>
      </c>
      <c r="H3140" s="32">
        <f t="shared" si="49"/>
        <v>11.790243902439025</v>
      </c>
      <c r="I3140">
        <v>1</v>
      </c>
      <c r="J3140" t="s">
        <v>21</v>
      </c>
    </row>
    <row r="3141" spans="1:10" x14ac:dyDescent="0.25">
      <c r="A3141">
        <v>913</v>
      </c>
      <c r="B3141" t="s">
        <v>2232</v>
      </c>
      <c r="C3141" t="s">
        <v>166</v>
      </c>
      <c r="D3141" t="s">
        <v>2214</v>
      </c>
      <c r="E3141" t="s">
        <v>2216</v>
      </c>
      <c r="F3141">
        <v>216245</v>
      </c>
      <c r="G3141">
        <v>18330</v>
      </c>
      <c r="H3141" s="32">
        <f t="shared" si="49"/>
        <v>11.797326786688489</v>
      </c>
      <c r="I3141">
        <v>1</v>
      </c>
      <c r="J3141" t="s">
        <v>21</v>
      </c>
    </row>
    <row r="3142" spans="1:10" x14ac:dyDescent="0.25">
      <c r="A3142">
        <v>7818</v>
      </c>
      <c r="B3142" t="s">
        <v>2549</v>
      </c>
      <c r="C3142" t="s">
        <v>166</v>
      </c>
      <c r="D3142" t="s">
        <v>2214</v>
      </c>
      <c r="E3142" t="s">
        <v>2216</v>
      </c>
      <c r="F3142">
        <v>408298</v>
      </c>
      <c r="G3142">
        <v>34609.120999999999</v>
      </c>
      <c r="H3142" s="32">
        <f t="shared" si="49"/>
        <v>11.797410283838182</v>
      </c>
      <c r="I3142">
        <v>1</v>
      </c>
      <c r="J3142" t="s">
        <v>21</v>
      </c>
    </row>
    <row r="3143" spans="1:10" x14ac:dyDescent="0.25">
      <c r="A3143">
        <v>990</v>
      </c>
      <c r="B3143" t="s">
        <v>2262</v>
      </c>
      <c r="C3143" t="s">
        <v>131</v>
      </c>
      <c r="D3143" t="s">
        <v>2218</v>
      </c>
      <c r="E3143" t="s">
        <v>2216</v>
      </c>
      <c r="F3143">
        <v>35681204</v>
      </c>
      <c r="G3143">
        <v>3015854.72</v>
      </c>
      <c r="H3143" s="32">
        <f t="shared" si="49"/>
        <v>11.831207837491588</v>
      </c>
      <c r="I3143">
        <v>1</v>
      </c>
      <c r="J3143" t="s">
        <v>21</v>
      </c>
    </row>
    <row r="3144" spans="1:10" x14ac:dyDescent="0.25">
      <c r="A3144">
        <v>50275</v>
      </c>
      <c r="B3144" t="s">
        <v>2631</v>
      </c>
      <c r="C3144" t="s">
        <v>201</v>
      </c>
      <c r="D3144" t="s">
        <v>2218</v>
      </c>
      <c r="E3144" t="s">
        <v>2216</v>
      </c>
      <c r="F3144">
        <v>158657</v>
      </c>
      <c r="G3144">
        <v>13396.184999999999</v>
      </c>
      <c r="H3144" s="32">
        <f t="shared" si="49"/>
        <v>11.843446473753536</v>
      </c>
      <c r="I3144">
        <v>1</v>
      </c>
      <c r="J3144" t="s">
        <v>21</v>
      </c>
    </row>
    <row r="3145" spans="1:10" x14ac:dyDescent="0.25">
      <c r="A3145">
        <v>6071</v>
      </c>
      <c r="B3145" t="s">
        <v>1989</v>
      </c>
      <c r="C3145" t="s">
        <v>266</v>
      </c>
      <c r="D3145" t="s">
        <v>2214</v>
      </c>
      <c r="E3145" t="s">
        <v>2216</v>
      </c>
      <c r="F3145">
        <v>12254344</v>
      </c>
      <c r="G3145">
        <v>1034434</v>
      </c>
      <c r="H3145" s="32">
        <f t="shared" si="49"/>
        <v>11.846424228128619</v>
      </c>
      <c r="I3145">
        <v>1</v>
      </c>
      <c r="J3145" t="s">
        <v>21</v>
      </c>
    </row>
    <row r="3146" spans="1:10" x14ac:dyDescent="0.25">
      <c r="A3146">
        <v>7268</v>
      </c>
      <c r="B3146" t="s">
        <v>2515</v>
      </c>
      <c r="C3146" t="s">
        <v>250</v>
      </c>
      <c r="D3146" t="s">
        <v>2214</v>
      </c>
      <c r="E3146" t="s">
        <v>2216</v>
      </c>
      <c r="F3146">
        <v>1685380</v>
      </c>
      <c r="G3146">
        <v>142118.935</v>
      </c>
      <c r="H3146" s="32">
        <f t="shared" si="49"/>
        <v>11.858940541596375</v>
      </c>
      <c r="I3146">
        <v>1</v>
      </c>
      <c r="J3146" t="s">
        <v>21</v>
      </c>
    </row>
    <row r="3147" spans="1:10" x14ac:dyDescent="0.25">
      <c r="A3147">
        <v>55718</v>
      </c>
      <c r="B3147" t="s">
        <v>2805</v>
      </c>
      <c r="C3147" t="s">
        <v>250</v>
      </c>
      <c r="D3147" t="s">
        <v>2214</v>
      </c>
      <c r="E3147" t="s">
        <v>2216</v>
      </c>
      <c r="F3147">
        <v>8369434</v>
      </c>
      <c r="G3147">
        <v>704817.00699999998</v>
      </c>
      <c r="H3147" s="32">
        <f t="shared" si="49"/>
        <v>11.874619818871652</v>
      </c>
      <c r="I3147">
        <v>1</v>
      </c>
      <c r="J3147" t="s">
        <v>21</v>
      </c>
    </row>
    <row r="3148" spans="1:10" x14ac:dyDescent="0.25">
      <c r="A3148">
        <v>10633</v>
      </c>
      <c r="B3148" t="s">
        <v>2078</v>
      </c>
      <c r="C3148" t="s">
        <v>201</v>
      </c>
      <c r="D3148" t="s">
        <v>2071</v>
      </c>
      <c r="E3148" t="s">
        <v>2216</v>
      </c>
      <c r="F3148">
        <v>15617492</v>
      </c>
      <c r="G3148">
        <v>1313164.172</v>
      </c>
      <c r="H3148" s="32">
        <f t="shared" si="49"/>
        <v>11.89302322817257</v>
      </c>
      <c r="I3148">
        <v>1</v>
      </c>
      <c r="J3148" t="s">
        <v>21</v>
      </c>
    </row>
    <row r="3149" spans="1:10" x14ac:dyDescent="0.25">
      <c r="A3149">
        <v>7397</v>
      </c>
      <c r="B3149" t="s">
        <v>2517</v>
      </c>
      <c r="C3149" t="s">
        <v>143</v>
      </c>
      <c r="D3149" t="s">
        <v>2234</v>
      </c>
      <c r="E3149" t="s">
        <v>2216</v>
      </c>
      <c r="F3149">
        <v>7760</v>
      </c>
      <c r="G3149">
        <v>652.05799999999999</v>
      </c>
      <c r="H3149" s="32">
        <f t="shared" si="49"/>
        <v>11.900781832290992</v>
      </c>
      <c r="I3149">
        <v>1</v>
      </c>
      <c r="J3149" t="s">
        <v>21</v>
      </c>
    </row>
    <row r="3150" spans="1:10" x14ac:dyDescent="0.25">
      <c r="A3150">
        <v>7972</v>
      </c>
      <c r="B3150" t="s">
        <v>2564</v>
      </c>
      <c r="C3150" t="s">
        <v>250</v>
      </c>
      <c r="D3150" t="s">
        <v>2214</v>
      </c>
      <c r="E3150" t="s">
        <v>2216</v>
      </c>
      <c r="F3150">
        <v>3461936</v>
      </c>
      <c r="G3150">
        <v>290872.99900000001</v>
      </c>
      <c r="H3150" s="32">
        <f t="shared" si="49"/>
        <v>11.901881618100964</v>
      </c>
      <c r="I3150">
        <v>1</v>
      </c>
      <c r="J3150" t="s">
        <v>21</v>
      </c>
    </row>
    <row r="3151" spans="1:10" x14ac:dyDescent="0.25">
      <c r="A3151">
        <v>58063</v>
      </c>
      <c r="B3151" t="s">
        <v>3102</v>
      </c>
      <c r="C3151" t="s">
        <v>131</v>
      </c>
      <c r="D3151" t="s">
        <v>2214</v>
      </c>
      <c r="E3151" t="s">
        <v>2216</v>
      </c>
      <c r="F3151">
        <v>5706873</v>
      </c>
      <c r="G3151">
        <v>478448</v>
      </c>
      <c r="H3151" s="32">
        <f t="shared" si="49"/>
        <v>11.927885580042137</v>
      </c>
      <c r="I3151">
        <v>1</v>
      </c>
      <c r="J3151" t="s">
        <v>21</v>
      </c>
    </row>
    <row r="3152" spans="1:10" x14ac:dyDescent="0.25">
      <c r="A3152">
        <v>61675</v>
      </c>
      <c r="B3152" t="s">
        <v>4047</v>
      </c>
      <c r="C3152" t="s">
        <v>708</v>
      </c>
      <c r="D3152" t="s">
        <v>2214</v>
      </c>
      <c r="E3152" t="s">
        <v>2216</v>
      </c>
      <c r="F3152">
        <v>304014</v>
      </c>
      <c r="G3152">
        <v>25486.341</v>
      </c>
      <c r="H3152" s="32">
        <f t="shared" si="49"/>
        <v>11.928507116812099</v>
      </c>
      <c r="I3152">
        <v>1</v>
      </c>
      <c r="J3152" t="s">
        <v>21</v>
      </c>
    </row>
    <row r="3153" spans="1:10" x14ac:dyDescent="0.25">
      <c r="A3153">
        <v>1572</v>
      </c>
      <c r="B3153" t="s">
        <v>604</v>
      </c>
      <c r="C3153" t="s">
        <v>307</v>
      </c>
      <c r="D3153" t="s">
        <v>2214</v>
      </c>
      <c r="E3153" t="s">
        <v>2216</v>
      </c>
      <c r="F3153">
        <v>2671768</v>
      </c>
      <c r="G3153">
        <v>223735.93400000001</v>
      </c>
      <c r="H3153" s="32">
        <f t="shared" si="49"/>
        <v>11.94161327701611</v>
      </c>
      <c r="I3153">
        <v>1</v>
      </c>
      <c r="J3153" t="s">
        <v>21</v>
      </c>
    </row>
    <row r="3154" spans="1:10" x14ac:dyDescent="0.25">
      <c r="A3154">
        <v>56249</v>
      </c>
      <c r="B3154" t="s">
        <v>2833</v>
      </c>
      <c r="C3154" t="s">
        <v>708</v>
      </c>
      <c r="D3154" t="s">
        <v>2214</v>
      </c>
      <c r="E3154" t="s">
        <v>2216</v>
      </c>
      <c r="F3154">
        <v>379769</v>
      </c>
      <c r="G3154">
        <v>31755.248</v>
      </c>
      <c r="H3154" s="32">
        <f t="shared" si="49"/>
        <v>11.959251585753638</v>
      </c>
      <c r="I3154">
        <v>1</v>
      </c>
      <c r="J3154" t="s">
        <v>21</v>
      </c>
    </row>
    <row r="3155" spans="1:10" x14ac:dyDescent="0.25">
      <c r="A3155">
        <v>58207</v>
      </c>
      <c r="B3155" t="s">
        <v>2146</v>
      </c>
      <c r="C3155" t="s">
        <v>307</v>
      </c>
      <c r="D3155" t="s">
        <v>2214</v>
      </c>
      <c r="E3155" t="s">
        <v>2216</v>
      </c>
      <c r="F3155">
        <v>633827</v>
      </c>
      <c r="G3155">
        <v>52850.006999999998</v>
      </c>
      <c r="H3155" s="32">
        <f t="shared" si="49"/>
        <v>11.992940701029614</v>
      </c>
      <c r="I3155">
        <v>1</v>
      </c>
      <c r="J3155" t="s">
        <v>21</v>
      </c>
    </row>
    <row r="3156" spans="1:10" x14ac:dyDescent="0.25">
      <c r="A3156">
        <v>3138</v>
      </c>
      <c r="B3156" t="s">
        <v>1262</v>
      </c>
      <c r="C3156" t="s">
        <v>143</v>
      </c>
      <c r="D3156" t="s">
        <v>2218</v>
      </c>
      <c r="E3156" t="s">
        <v>2216</v>
      </c>
      <c r="F3156">
        <v>8352664</v>
      </c>
      <c r="G3156">
        <v>695342</v>
      </c>
      <c r="H3156" s="32">
        <f t="shared" si="49"/>
        <v>12.012310488939256</v>
      </c>
      <c r="I3156">
        <v>1</v>
      </c>
      <c r="J3156" t="s">
        <v>21</v>
      </c>
    </row>
    <row r="3157" spans="1:10" x14ac:dyDescent="0.25">
      <c r="A3157">
        <v>10870</v>
      </c>
      <c r="B3157" t="s">
        <v>915</v>
      </c>
      <c r="C3157" t="s">
        <v>143</v>
      </c>
      <c r="D3157" t="s">
        <v>2214</v>
      </c>
      <c r="E3157" t="s">
        <v>2216</v>
      </c>
      <c r="F3157">
        <v>87203</v>
      </c>
      <c r="G3157">
        <v>7257.9549999999999</v>
      </c>
      <c r="H3157" s="32">
        <f t="shared" si="49"/>
        <v>12.014816845791962</v>
      </c>
      <c r="I3157">
        <v>1</v>
      </c>
      <c r="J3157" t="s">
        <v>21</v>
      </c>
    </row>
    <row r="3158" spans="1:10" x14ac:dyDescent="0.25">
      <c r="A3158">
        <v>55101</v>
      </c>
      <c r="B3158" t="s">
        <v>2767</v>
      </c>
      <c r="C3158" t="s">
        <v>250</v>
      </c>
      <c r="D3158" t="s">
        <v>2214</v>
      </c>
      <c r="E3158" t="s">
        <v>2216</v>
      </c>
      <c r="F3158">
        <v>1638128</v>
      </c>
      <c r="G3158">
        <v>136326.00099999999</v>
      </c>
      <c r="H3158" s="32">
        <f t="shared" si="49"/>
        <v>12.016255064945389</v>
      </c>
      <c r="I3158">
        <v>1</v>
      </c>
      <c r="J3158" t="s">
        <v>21</v>
      </c>
    </row>
    <row r="3159" spans="1:10" x14ac:dyDescent="0.25">
      <c r="A3159">
        <v>55081</v>
      </c>
      <c r="B3159" t="s">
        <v>2763</v>
      </c>
      <c r="C3159" t="s">
        <v>2029</v>
      </c>
      <c r="D3159" t="s">
        <v>2214</v>
      </c>
      <c r="E3159" t="s">
        <v>2216</v>
      </c>
      <c r="F3159">
        <v>1437999</v>
      </c>
      <c r="G3159">
        <v>119443.00199999999</v>
      </c>
      <c r="H3159" s="32">
        <f t="shared" si="49"/>
        <v>12.039206784169743</v>
      </c>
      <c r="I3159">
        <v>1</v>
      </c>
      <c r="J3159" t="s">
        <v>21</v>
      </c>
    </row>
    <row r="3160" spans="1:10" x14ac:dyDescent="0.25">
      <c r="A3160">
        <v>61676</v>
      </c>
      <c r="B3160" t="s">
        <v>4048</v>
      </c>
      <c r="C3160" t="s">
        <v>708</v>
      </c>
      <c r="D3160" t="s">
        <v>2214</v>
      </c>
      <c r="E3160" t="s">
        <v>2216</v>
      </c>
      <c r="F3160">
        <v>831049</v>
      </c>
      <c r="G3160">
        <v>68955.551999999996</v>
      </c>
      <c r="H3160" s="32">
        <f t="shared" si="49"/>
        <v>12.051951958850246</v>
      </c>
      <c r="I3160">
        <v>1</v>
      </c>
      <c r="J3160" t="s">
        <v>21</v>
      </c>
    </row>
    <row r="3161" spans="1:10" x14ac:dyDescent="0.25">
      <c r="A3161">
        <v>50305</v>
      </c>
      <c r="B3161" t="s">
        <v>2633</v>
      </c>
      <c r="C3161" t="s">
        <v>250</v>
      </c>
      <c r="D3161" t="s">
        <v>2218</v>
      </c>
      <c r="E3161" t="s">
        <v>2216</v>
      </c>
      <c r="F3161">
        <v>315745</v>
      </c>
      <c r="G3161">
        <v>26172.037</v>
      </c>
      <c r="H3161" s="32">
        <f t="shared" si="49"/>
        <v>12.0642118914932</v>
      </c>
      <c r="I3161">
        <v>1</v>
      </c>
      <c r="J3161" t="s">
        <v>21</v>
      </c>
    </row>
    <row r="3162" spans="1:10" x14ac:dyDescent="0.25">
      <c r="A3162">
        <v>56668</v>
      </c>
      <c r="B3162" t="s">
        <v>2890</v>
      </c>
      <c r="C3162" t="s">
        <v>307</v>
      </c>
      <c r="D3162" t="s">
        <v>2214</v>
      </c>
      <c r="E3162" t="s">
        <v>2216</v>
      </c>
      <c r="F3162">
        <v>1842518</v>
      </c>
      <c r="G3162">
        <v>152409</v>
      </c>
      <c r="H3162" s="32">
        <f t="shared" si="49"/>
        <v>12.089299188368141</v>
      </c>
      <c r="I3162">
        <v>1</v>
      </c>
      <c r="J3162" t="s">
        <v>21</v>
      </c>
    </row>
    <row r="3163" spans="1:10" x14ac:dyDescent="0.25">
      <c r="A3163">
        <v>52019</v>
      </c>
      <c r="B3163" t="s">
        <v>2681</v>
      </c>
      <c r="C3163" t="s">
        <v>201</v>
      </c>
      <c r="D3163" t="s">
        <v>2071</v>
      </c>
      <c r="E3163" t="s">
        <v>2216</v>
      </c>
      <c r="F3163">
        <v>35491602</v>
      </c>
      <c r="G3163">
        <v>2928491.03</v>
      </c>
      <c r="H3163" s="32">
        <f t="shared" si="49"/>
        <v>12.119416326161669</v>
      </c>
      <c r="I3163">
        <v>1</v>
      </c>
      <c r="J3163" t="s">
        <v>21</v>
      </c>
    </row>
    <row r="3164" spans="1:10" x14ac:dyDescent="0.25">
      <c r="A3164">
        <v>1728</v>
      </c>
      <c r="B3164" t="s">
        <v>2307</v>
      </c>
      <c r="C3164" t="s">
        <v>250</v>
      </c>
      <c r="D3164" t="s">
        <v>2214</v>
      </c>
      <c r="E3164" t="s">
        <v>2216</v>
      </c>
      <c r="F3164">
        <v>1759393</v>
      </c>
      <c r="G3164">
        <v>145139.99900000001</v>
      </c>
      <c r="H3164" s="32">
        <f t="shared" si="49"/>
        <v>12.122040871724133</v>
      </c>
      <c r="I3164">
        <v>1</v>
      </c>
      <c r="J3164" t="s">
        <v>21</v>
      </c>
    </row>
    <row r="3165" spans="1:10" x14ac:dyDescent="0.25">
      <c r="A3165">
        <v>58207</v>
      </c>
      <c r="B3165" t="s">
        <v>2146</v>
      </c>
      <c r="C3165" t="s">
        <v>307</v>
      </c>
      <c r="D3165" t="s">
        <v>2071</v>
      </c>
      <c r="E3165" t="s">
        <v>2216</v>
      </c>
      <c r="F3165">
        <v>461480</v>
      </c>
      <c r="G3165">
        <v>38046.305</v>
      </c>
      <c r="H3165" s="32">
        <f t="shared" si="49"/>
        <v>12.129430177253743</v>
      </c>
      <c r="I3165">
        <v>1</v>
      </c>
      <c r="J3165" t="s">
        <v>21</v>
      </c>
    </row>
    <row r="3166" spans="1:10" x14ac:dyDescent="0.25">
      <c r="A3166">
        <v>55438</v>
      </c>
      <c r="B3166" t="s">
        <v>678</v>
      </c>
      <c r="C3166" t="s">
        <v>166</v>
      </c>
      <c r="D3166" t="s">
        <v>2214</v>
      </c>
      <c r="E3166" t="s">
        <v>2216</v>
      </c>
      <c r="F3166">
        <v>2401675</v>
      </c>
      <c r="G3166">
        <v>197855.99900000001</v>
      </c>
      <c r="H3166" s="32">
        <f t="shared" si="49"/>
        <v>12.138499778316046</v>
      </c>
      <c r="I3166">
        <v>1</v>
      </c>
      <c r="J3166" t="s">
        <v>21</v>
      </c>
    </row>
    <row r="3167" spans="1:10" x14ac:dyDescent="0.25">
      <c r="A3167">
        <v>55401</v>
      </c>
      <c r="B3167" t="s">
        <v>2792</v>
      </c>
      <c r="C3167" t="s">
        <v>322</v>
      </c>
      <c r="D3167" t="s">
        <v>2214</v>
      </c>
      <c r="E3167" t="s">
        <v>2216</v>
      </c>
      <c r="F3167">
        <v>24809810</v>
      </c>
      <c r="G3167">
        <v>2041916.003</v>
      </c>
      <c r="H3167" s="32">
        <f t="shared" si="49"/>
        <v>12.150259836129019</v>
      </c>
      <c r="I3167">
        <v>1</v>
      </c>
      <c r="J3167" t="s">
        <v>21</v>
      </c>
    </row>
    <row r="3168" spans="1:10" x14ac:dyDescent="0.25">
      <c r="A3168">
        <v>2398</v>
      </c>
      <c r="B3168" t="s">
        <v>238</v>
      </c>
      <c r="C3168" t="s">
        <v>241</v>
      </c>
      <c r="D3168" t="s">
        <v>2071</v>
      </c>
      <c r="E3168" t="s">
        <v>2216</v>
      </c>
      <c r="F3168">
        <v>24604207</v>
      </c>
      <c r="G3168">
        <v>2024376.8570000001</v>
      </c>
      <c r="H3168" s="32">
        <f t="shared" si="49"/>
        <v>12.153965757374788</v>
      </c>
      <c r="I3168">
        <v>1</v>
      </c>
      <c r="J3168" t="s">
        <v>21</v>
      </c>
    </row>
    <row r="3169" spans="1:10" x14ac:dyDescent="0.25">
      <c r="A3169">
        <v>61282</v>
      </c>
      <c r="B3169" t="s">
        <v>3980</v>
      </c>
      <c r="C3169" t="s">
        <v>307</v>
      </c>
      <c r="D3169" t="s">
        <v>2214</v>
      </c>
      <c r="E3169" t="s">
        <v>2216</v>
      </c>
      <c r="F3169">
        <v>573465</v>
      </c>
      <c r="G3169">
        <v>47117</v>
      </c>
      <c r="H3169" s="32">
        <f t="shared" si="49"/>
        <v>12.171084746482162</v>
      </c>
      <c r="I3169">
        <v>1</v>
      </c>
      <c r="J3169" t="s">
        <v>21</v>
      </c>
    </row>
    <row r="3170" spans="1:10" x14ac:dyDescent="0.25">
      <c r="A3170">
        <v>55276</v>
      </c>
      <c r="B3170" t="s">
        <v>397</v>
      </c>
      <c r="C3170" t="s">
        <v>118</v>
      </c>
      <c r="D3170" t="s">
        <v>2214</v>
      </c>
      <c r="E3170" t="s">
        <v>2216</v>
      </c>
      <c r="F3170">
        <v>8546211</v>
      </c>
      <c r="G3170">
        <v>702143</v>
      </c>
      <c r="H3170" s="32">
        <f t="shared" si="49"/>
        <v>12.171610341483145</v>
      </c>
      <c r="I3170">
        <v>1</v>
      </c>
      <c r="J3170" t="s">
        <v>21</v>
      </c>
    </row>
    <row r="3171" spans="1:10" x14ac:dyDescent="0.25">
      <c r="A3171">
        <v>3118</v>
      </c>
      <c r="B3171" t="s">
        <v>490</v>
      </c>
      <c r="C3171" t="s">
        <v>143</v>
      </c>
      <c r="D3171" t="s">
        <v>2218</v>
      </c>
      <c r="E3171" t="s">
        <v>2216</v>
      </c>
      <c r="F3171">
        <v>241028</v>
      </c>
      <c r="G3171">
        <v>19760.060000000001</v>
      </c>
      <c r="H3171" s="32">
        <f t="shared" si="49"/>
        <v>12.197736241691572</v>
      </c>
      <c r="I3171">
        <v>1</v>
      </c>
      <c r="J3171" t="s">
        <v>21</v>
      </c>
    </row>
    <row r="3172" spans="1:10" x14ac:dyDescent="0.25">
      <c r="A3172">
        <v>2869</v>
      </c>
      <c r="B3172" t="s">
        <v>1772</v>
      </c>
      <c r="C3172" t="s">
        <v>322</v>
      </c>
      <c r="D3172" t="s">
        <v>2214</v>
      </c>
      <c r="E3172" t="s">
        <v>2216</v>
      </c>
      <c r="F3172">
        <v>15863520</v>
      </c>
      <c r="G3172">
        <v>1299162.118</v>
      </c>
      <c r="H3172" s="32">
        <f t="shared" si="49"/>
        <v>12.210577710209989</v>
      </c>
      <c r="I3172">
        <v>1</v>
      </c>
      <c r="J3172" t="s">
        <v>21</v>
      </c>
    </row>
    <row r="3173" spans="1:10" x14ac:dyDescent="0.25">
      <c r="A3173">
        <v>876</v>
      </c>
      <c r="B3173" t="s">
        <v>1017</v>
      </c>
      <c r="C3173" t="s">
        <v>166</v>
      </c>
      <c r="D3173" t="s">
        <v>2218</v>
      </c>
      <c r="E3173" t="s">
        <v>2216</v>
      </c>
      <c r="F3173">
        <v>152485</v>
      </c>
      <c r="G3173">
        <v>12445.058999999999</v>
      </c>
      <c r="H3173" s="32">
        <f t="shared" si="49"/>
        <v>12.252653844389167</v>
      </c>
      <c r="I3173">
        <v>1</v>
      </c>
      <c r="J3173" t="s">
        <v>21</v>
      </c>
    </row>
    <row r="3174" spans="1:10" x14ac:dyDescent="0.25">
      <c r="A3174">
        <v>62492</v>
      </c>
      <c r="B3174" t="s">
        <v>4167</v>
      </c>
      <c r="C3174" t="s">
        <v>241</v>
      </c>
      <c r="D3174" t="s">
        <v>2214</v>
      </c>
      <c r="E3174" t="s">
        <v>2216</v>
      </c>
      <c r="F3174">
        <v>714516</v>
      </c>
      <c r="G3174">
        <v>58314</v>
      </c>
      <c r="H3174" s="32">
        <f t="shared" si="49"/>
        <v>12.252906677641732</v>
      </c>
      <c r="I3174">
        <v>1</v>
      </c>
      <c r="J3174" t="s">
        <v>21</v>
      </c>
    </row>
    <row r="3175" spans="1:10" x14ac:dyDescent="0.25">
      <c r="A3175">
        <v>7760</v>
      </c>
      <c r="B3175" t="s">
        <v>2534</v>
      </c>
      <c r="C3175" t="s">
        <v>166</v>
      </c>
      <c r="D3175" t="s">
        <v>2214</v>
      </c>
      <c r="E3175" t="s">
        <v>2216</v>
      </c>
      <c r="F3175">
        <v>660597</v>
      </c>
      <c r="G3175">
        <v>53790</v>
      </c>
      <c r="H3175" s="32">
        <f t="shared" si="49"/>
        <v>12.281037367540435</v>
      </c>
      <c r="I3175">
        <v>1</v>
      </c>
      <c r="J3175" t="s">
        <v>21</v>
      </c>
    </row>
    <row r="3176" spans="1:10" x14ac:dyDescent="0.25">
      <c r="A3176">
        <v>7759</v>
      </c>
      <c r="B3176" t="s">
        <v>2533</v>
      </c>
      <c r="C3176" t="s">
        <v>131</v>
      </c>
      <c r="D3176" t="s">
        <v>2214</v>
      </c>
      <c r="E3176" t="s">
        <v>2216</v>
      </c>
      <c r="F3176">
        <v>3777675</v>
      </c>
      <c r="G3176">
        <v>306968</v>
      </c>
      <c r="H3176" s="32">
        <f t="shared" si="49"/>
        <v>12.306413046311016</v>
      </c>
      <c r="I3176">
        <v>1</v>
      </c>
      <c r="J3176" t="s">
        <v>21</v>
      </c>
    </row>
    <row r="3177" spans="1:10" x14ac:dyDescent="0.25">
      <c r="A3177">
        <v>55233</v>
      </c>
      <c r="B3177" t="s">
        <v>874</v>
      </c>
      <c r="C3177" t="s">
        <v>143</v>
      </c>
      <c r="D3177" t="s">
        <v>2214</v>
      </c>
      <c r="E3177" t="s">
        <v>2216</v>
      </c>
      <c r="F3177">
        <v>2013990</v>
      </c>
      <c r="G3177">
        <v>163619.00099999999</v>
      </c>
      <c r="H3177" s="32">
        <f t="shared" si="49"/>
        <v>12.309022715521898</v>
      </c>
      <c r="I3177">
        <v>1</v>
      </c>
      <c r="J3177" t="s">
        <v>21</v>
      </c>
    </row>
    <row r="3178" spans="1:10" x14ac:dyDescent="0.25">
      <c r="A3178">
        <v>54640</v>
      </c>
      <c r="B3178" t="s">
        <v>2098</v>
      </c>
      <c r="C3178" t="s">
        <v>241</v>
      </c>
      <c r="D3178" t="s">
        <v>2071</v>
      </c>
      <c r="E3178" t="s">
        <v>2216</v>
      </c>
      <c r="F3178">
        <v>1866541</v>
      </c>
      <c r="G3178">
        <v>151071.774</v>
      </c>
      <c r="H3178" s="32">
        <f t="shared" si="49"/>
        <v>12.355325886356507</v>
      </c>
      <c r="I3178">
        <v>1</v>
      </c>
      <c r="J3178" t="s">
        <v>21</v>
      </c>
    </row>
    <row r="3179" spans="1:10" x14ac:dyDescent="0.25">
      <c r="A3179">
        <v>59467</v>
      </c>
      <c r="B3179" t="s">
        <v>3461</v>
      </c>
      <c r="C3179" t="s">
        <v>250</v>
      </c>
      <c r="D3179" t="s">
        <v>2234</v>
      </c>
      <c r="E3179" t="s">
        <v>2216</v>
      </c>
      <c r="F3179">
        <v>20968</v>
      </c>
      <c r="G3179">
        <v>1688</v>
      </c>
      <c r="H3179" s="32">
        <f t="shared" si="49"/>
        <v>12.421800947867299</v>
      </c>
      <c r="I3179">
        <v>1</v>
      </c>
      <c r="J3179" t="s">
        <v>21</v>
      </c>
    </row>
    <row r="3180" spans="1:10" x14ac:dyDescent="0.25">
      <c r="A3180">
        <v>54523</v>
      </c>
      <c r="B3180" t="s">
        <v>2704</v>
      </c>
      <c r="C3180" t="s">
        <v>166</v>
      </c>
      <c r="D3180" t="s">
        <v>2234</v>
      </c>
      <c r="E3180" t="s">
        <v>2216</v>
      </c>
      <c r="F3180">
        <v>33381</v>
      </c>
      <c r="G3180">
        <v>2684</v>
      </c>
      <c r="H3180" s="32">
        <f t="shared" si="49"/>
        <v>12.437034277198212</v>
      </c>
      <c r="I3180">
        <v>1</v>
      </c>
      <c r="J3180" t="s">
        <v>21</v>
      </c>
    </row>
    <row r="3181" spans="1:10" x14ac:dyDescent="0.25">
      <c r="A3181">
        <v>7425</v>
      </c>
      <c r="B3181" t="s">
        <v>2520</v>
      </c>
      <c r="C3181" t="s">
        <v>166</v>
      </c>
      <c r="D3181" t="s">
        <v>2214</v>
      </c>
      <c r="E3181" t="s">
        <v>2216</v>
      </c>
      <c r="F3181">
        <v>712348</v>
      </c>
      <c r="G3181">
        <v>57066.326000000001</v>
      </c>
      <c r="H3181" s="32">
        <f t="shared" si="49"/>
        <v>12.482808162558072</v>
      </c>
      <c r="I3181">
        <v>1</v>
      </c>
      <c r="J3181" t="s">
        <v>21</v>
      </c>
    </row>
    <row r="3182" spans="1:10" x14ac:dyDescent="0.25">
      <c r="A3182">
        <v>54</v>
      </c>
      <c r="B3182" t="s">
        <v>1579</v>
      </c>
      <c r="C3182" t="s">
        <v>266</v>
      </c>
      <c r="D3182" t="s">
        <v>2214</v>
      </c>
      <c r="E3182" t="s">
        <v>2216</v>
      </c>
      <c r="F3182">
        <v>11897887</v>
      </c>
      <c r="G3182">
        <v>952624.65399999998</v>
      </c>
      <c r="H3182" s="32">
        <f t="shared" si="49"/>
        <v>12.489585431199643</v>
      </c>
      <c r="I3182">
        <v>1</v>
      </c>
      <c r="J3182" t="s">
        <v>21</v>
      </c>
    </row>
    <row r="3183" spans="1:10" x14ac:dyDescent="0.25">
      <c r="A3183">
        <v>54790</v>
      </c>
      <c r="B3183" t="s">
        <v>2726</v>
      </c>
      <c r="C3183" t="s">
        <v>166</v>
      </c>
      <c r="D3183" t="s">
        <v>2214</v>
      </c>
      <c r="E3183" t="s">
        <v>2216</v>
      </c>
      <c r="F3183">
        <v>372209</v>
      </c>
      <c r="G3183">
        <v>29800</v>
      </c>
      <c r="H3183" s="32">
        <f t="shared" si="49"/>
        <v>12.490234899328859</v>
      </c>
      <c r="I3183">
        <v>1</v>
      </c>
      <c r="J3183" t="s">
        <v>21</v>
      </c>
    </row>
    <row r="3184" spans="1:10" x14ac:dyDescent="0.25">
      <c r="A3184">
        <v>7837</v>
      </c>
      <c r="B3184" t="s">
        <v>1115</v>
      </c>
      <c r="C3184" t="s">
        <v>201</v>
      </c>
      <c r="D3184" t="s">
        <v>2214</v>
      </c>
      <c r="E3184" t="s">
        <v>2216</v>
      </c>
      <c r="F3184">
        <v>7655767</v>
      </c>
      <c r="G3184">
        <v>612858.59600000002</v>
      </c>
      <c r="H3184" s="32">
        <f t="shared" si="49"/>
        <v>12.491897886343752</v>
      </c>
      <c r="I3184">
        <v>1</v>
      </c>
      <c r="J3184" t="s">
        <v>21</v>
      </c>
    </row>
    <row r="3185" spans="1:10" x14ac:dyDescent="0.25">
      <c r="A3185">
        <v>1366</v>
      </c>
      <c r="B3185" t="s">
        <v>2105</v>
      </c>
      <c r="C3185" t="s">
        <v>266</v>
      </c>
      <c r="D3185" t="s">
        <v>2214</v>
      </c>
      <c r="E3185" t="s">
        <v>2216</v>
      </c>
      <c r="F3185">
        <v>837036</v>
      </c>
      <c r="G3185">
        <v>66972</v>
      </c>
      <c r="H3185" s="32">
        <f t="shared" si="49"/>
        <v>12.49829779609389</v>
      </c>
      <c r="I3185">
        <v>1</v>
      </c>
      <c r="J3185" t="s">
        <v>21</v>
      </c>
    </row>
    <row r="3186" spans="1:10" x14ac:dyDescent="0.25">
      <c r="A3186">
        <v>55110</v>
      </c>
      <c r="B3186" t="s">
        <v>2769</v>
      </c>
      <c r="C3186" t="s">
        <v>322</v>
      </c>
      <c r="D3186" t="s">
        <v>2214</v>
      </c>
      <c r="E3186" t="s">
        <v>2216</v>
      </c>
      <c r="F3186">
        <v>8539590</v>
      </c>
      <c r="G3186">
        <v>681498.005</v>
      </c>
      <c r="H3186" s="32">
        <f t="shared" si="49"/>
        <v>12.530616285516492</v>
      </c>
      <c r="I3186">
        <v>1</v>
      </c>
      <c r="J3186" t="s">
        <v>21</v>
      </c>
    </row>
    <row r="3187" spans="1:10" x14ac:dyDescent="0.25">
      <c r="A3187">
        <v>50813</v>
      </c>
      <c r="B3187" t="s">
        <v>2668</v>
      </c>
      <c r="C3187" t="s">
        <v>201</v>
      </c>
      <c r="D3187" t="s">
        <v>2218</v>
      </c>
      <c r="E3187" t="s">
        <v>2216</v>
      </c>
      <c r="F3187">
        <v>675724</v>
      </c>
      <c r="G3187">
        <v>53901.107000000004</v>
      </c>
      <c r="H3187" s="32">
        <f t="shared" si="49"/>
        <v>12.536365904321778</v>
      </c>
      <c r="I3187">
        <v>1</v>
      </c>
      <c r="J3187" t="s">
        <v>21</v>
      </c>
    </row>
    <row r="3188" spans="1:10" x14ac:dyDescent="0.25">
      <c r="A3188">
        <v>2393</v>
      </c>
      <c r="B3188" t="s">
        <v>808</v>
      </c>
      <c r="C3188" t="s">
        <v>241</v>
      </c>
      <c r="D3188" t="s">
        <v>2214</v>
      </c>
      <c r="E3188" t="s">
        <v>2216</v>
      </c>
      <c r="F3188">
        <v>326444</v>
      </c>
      <c r="G3188">
        <v>26037</v>
      </c>
      <c r="H3188" s="32">
        <f t="shared" si="49"/>
        <v>12.537696355186849</v>
      </c>
      <c r="I3188">
        <v>1</v>
      </c>
      <c r="J3188" t="s">
        <v>21</v>
      </c>
    </row>
    <row r="3189" spans="1:10" x14ac:dyDescent="0.25">
      <c r="A3189">
        <v>10822</v>
      </c>
      <c r="B3189" t="s">
        <v>2614</v>
      </c>
      <c r="C3189" t="s">
        <v>250</v>
      </c>
      <c r="D3189" t="s">
        <v>2218</v>
      </c>
      <c r="E3189" t="s">
        <v>2216</v>
      </c>
      <c r="F3189">
        <v>499</v>
      </c>
      <c r="G3189">
        <v>39.798999999999999</v>
      </c>
      <c r="H3189" s="32">
        <f t="shared" si="49"/>
        <v>12.538003467423804</v>
      </c>
      <c r="I3189">
        <v>1</v>
      </c>
      <c r="J3189" t="s">
        <v>21</v>
      </c>
    </row>
    <row r="3190" spans="1:10" x14ac:dyDescent="0.25">
      <c r="A3190">
        <v>58254</v>
      </c>
      <c r="B3190" t="s">
        <v>3137</v>
      </c>
      <c r="C3190" t="s">
        <v>250</v>
      </c>
      <c r="D3190" t="s">
        <v>2214</v>
      </c>
      <c r="E3190" t="s">
        <v>2216</v>
      </c>
      <c r="F3190">
        <v>1294</v>
      </c>
      <c r="G3190">
        <v>103</v>
      </c>
      <c r="H3190" s="32">
        <f t="shared" si="49"/>
        <v>12.563106796116505</v>
      </c>
      <c r="I3190">
        <v>1</v>
      </c>
      <c r="J3190" t="s">
        <v>21</v>
      </c>
    </row>
    <row r="3191" spans="1:10" x14ac:dyDescent="0.25">
      <c r="A3191">
        <v>58933</v>
      </c>
      <c r="B3191" t="s">
        <v>3337</v>
      </c>
      <c r="C3191" t="s">
        <v>143</v>
      </c>
      <c r="D3191" t="s">
        <v>2071</v>
      </c>
      <c r="E3191" t="s">
        <v>2216</v>
      </c>
      <c r="F3191">
        <v>11613363</v>
      </c>
      <c r="G3191">
        <v>918481</v>
      </c>
      <c r="H3191" s="32">
        <f t="shared" si="49"/>
        <v>12.644097156065286</v>
      </c>
      <c r="I3191">
        <v>1</v>
      </c>
      <c r="J3191" t="s">
        <v>21</v>
      </c>
    </row>
    <row r="3192" spans="1:10" x14ac:dyDescent="0.25">
      <c r="A3192">
        <v>10751</v>
      </c>
      <c r="B3192" t="s">
        <v>1983</v>
      </c>
      <c r="C3192" t="s">
        <v>241</v>
      </c>
      <c r="D3192" t="s">
        <v>2071</v>
      </c>
      <c r="E3192" t="s">
        <v>2216</v>
      </c>
      <c r="F3192">
        <v>863374</v>
      </c>
      <c r="G3192">
        <v>68047</v>
      </c>
      <c r="H3192" s="32">
        <f t="shared" si="49"/>
        <v>12.687906887886314</v>
      </c>
      <c r="I3192">
        <v>1</v>
      </c>
      <c r="J3192" t="s">
        <v>21</v>
      </c>
    </row>
    <row r="3193" spans="1:10" x14ac:dyDescent="0.25">
      <c r="A3193">
        <v>997</v>
      </c>
      <c r="B3193" t="s">
        <v>2017</v>
      </c>
      <c r="C3193" t="s">
        <v>131</v>
      </c>
      <c r="D3193" t="s">
        <v>2218</v>
      </c>
      <c r="E3193" t="s">
        <v>2216</v>
      </c>
      <c r="F3193">
        <v>357177</v>
      </c>
      <c r="G3193">
        <v>28146.893</v>
      </c>
      <c r="H3193" s="32">
        <f t="shared" si="49"/>
        <v>12.68974874065141</v>
      </c>
      <c r="I3193">
        <v>1</v>
      </c>
      <c r="J3193" t="s">
        <v>21</v>
      </c>
    </row>
    <row r="3194" spans="1:10" x14ac:dyDescent="0.25">
      <c r="A3194">
        <v>63259</v>
      </c>
      <c r="B3194" t="s">
        <v>598</v>
      </c>
      <c r="C3194" t="s">
        <v>250</v>
      </c>
      <c r="D3194" t="s">
        <v>2071</v>
      </c>
      <c r="E3194" t="s">
        <v>2216</v>
      </c>
      <c r="F3194">
        <v>9991067</v>
      </c>
      <c r="G3194">
        <v>785697</v>
      </c>
      <c r="H3194" s="32">
        <f t="shared" si="49"/>
        <v>12.716183210576087</v>
      </c>
      <c r="I3194">
        <v>1</v>
      </c>
      <c r="J3194" t="s">
        <v>21</v>
      </c>
    </row>
    <row r="3195" spans="1:10" x14ac:dyDescent="0.25">
      <c r="A3195">
        <v>57893</v>
      </c>
      <c r="B3195" t="s">
        <v>3072</v>
      </c>
      <c r="C3195" t="s">
        <v>201</v>
      </c>
      <c r="D3195" t="s">
        <v>2234</v>
      </c>
      <c r="E3195" t="s">
        <v>2216</v>
      </c>
      <c r="F3195">
        <v>2829</v>
      </c>
      <c r="G3195">
        <v>222</v>
      </c>
      <c r="H3195" s="32">
        <f t="shared" si="49"/>
        <v>12.743243243243244</v>
      </c>
      <c r="I3195">
        <v>1</v>
      </c>
      <c r="J3195" t="s">
        <v>21</v>
      </c>
    </row>
    <row r="3196" spans="1:10" x14ac:dyDescent="0.25">
      <c r="A3196">
        <v>7153</v>
      </c>
      <c r="B3196" t="s">
        <v>904</v>
      </c>
      <c r="C3196" t="s">
        <v>672</v>
      </c>
      <c r="D3196" t="s">
        <v>2071</v>
      </c>
      <c r="E3196" t="s">
        <v>2216</v>
      </c>
      <c r="F3196">
        <v>18181789</v>
      </c>
      <c r="G3196">
        <v>1425182.0330000001</v>
      </c>
      <c r="H3196" s="32">
        <f t="shared" si="49"/>
        <v>12.757520498435865</v>
      </c>
      <c r="I3196">
        <v>1</v>
      </c>
      <c r="J3196" t="s">
        <v>21</v>
      </c>
    </row>
    <row r="3197" spans="1:10" x14ac:dyDescent="0.25">
      <c r="A3197">
        <v>56963</v>
      </c>
      <c r="B3197" t="s">
        <v>2925</v>
      </c>
      <c r="C3197" t="s">
        <v>241</v>
      </c>
      <c r="D3197" t="s">
        <v>2071</v>
      </c>
      <c r="E3197" t="s">
        <v>2216</v>
      </c>
      <c r="F3197">
        <v>3376317</v>
      </c>
      <c r="G3197">
        <v>264419</v>
      </c>
      <c r="H3197" s="32">
        <f t="shared" si="49"/>
        <v>12.768813890075977</v>
      </c>
      <c r="I3197">
        <v>1</v>
      </c>
      <c r="J3197" t="s">
        <v>21</v>
      </c>
    </row>
    <row r="3198" spans="1:10" x14ac:dyDescent="0.25">
      <c r="A3198">
        <v>1355</v>
      </c>
      <c r="B3198" t="s">
        <v>2276</v>
      </c>
      <c r="C3198" t="s">
        <v>266</v>
      </c>
      <c r="D3198" t="s">
        <v>2214</v>
      </c>
      <c r="E3198" t="s">
        <v>2216</v>
      </c>
      <c r="F3198">
        <v>3610007</v>
      </c>
      <c r="G3198">
        <v>282680.67099999997</v>
      </c>
      <c r="H3198" s="32">
        <f t="shared" si="49"/>
        <v>12.770618476422111</v>
      </c>
      <c r="I3198">
        <v>1</v>
      </c>
      <c r="J3198" t="s">
        <v>21</v>
      </c>
    </row>
    <row r="3199" spans="1:10" x14ac:dyDescent="0.25">
      <c r="A3199">
        <v>7212</v>
      </c>
      <c r="B3199" t="s">
        <v>566</v>
      </c>
      <c r="C3199" t="s">
        <v>201</v>
      </c>
      <c r="D3199" t="s">
        <v>2214</v>
      </c>
      <c r="E3199" t="s">
        <v>2216</v>
      </c>
      <c r="F3199">
        <v>1576147</v>
      </c>
      <c r="G3199">
        <v>123358.86900000001</v>
      </c>
      <c r="H3199" s="32">
        <f t="shared" si="49"/>
        <v>12.776924859776397</v>
      </c>
      <c r="I3199">
        <v>1</v>
      </c>
      <c r="J3199" t="s">
        <v>21</v>
      </c>
    </row>
    <row r="3200" spans="1:10" x14ac:dyDescent="0.25">
      <c r="A3200">
        <v>3775</v>
      </c>
      <c r="B3200" t="s">
        <v>466</v>
      </c>
      <c r="C3200" t="s">
        <v>201</v>
      </c>
      <c r="D3200" t="s">
        <v>2218</v>
      </c>
      <c r="E3200" t="s">
        <v>2216</v>
      </c>
      <c r="F3200">
        <v>3549198</v>
      </c>
      <c r="G3200">
        <v>277194</v>
      </c>
      <c r="H3200" s="32">
        <f t="shared" si="49"/>
        <v>12.804021732072123</v>
      </c>
      <c r="I3200">
        <v>1</v>
      </c>
      <c r="J3200" t="s">
        <v>21</v>
      </c>
    </row>
    <row r="3201" spans="1:10" x14ac:dyDescent="0.25">
      <c r="A3201">
        <v>50561</v>
      </c>
      <c r="B3201" t="s">
        <v>630</v>
      </c>
      <c r="C3201" t="s">
        <v>241</v>
      </c>
      <c r="D3201" t="s">
        <v>2071</v>
      </c>
      <c r="E3201" t="s">
        <v>2216</v>
      </c>
      <c r="F3201">
        <v>1648466</v>
      </c>
      <c r="G3201">
        <v>128550.836</v>
      </c>
      <c r="H3201" s="32">
        <f t="shared" si="49"/>
        <v>12.823456083941766</v>
      </c>
      <c r="I3201">
        <v>1</v>
      </c>
      <c r="J3201" t="s">
        <v>21</v>
      </c>
    </row>
    <row r="3202" spans="1:10" x14ac:dyDescent="0.25">
      <c r="A3202">
        <v>7782</v>
      </c>
      <c r="B3202" t="s">
        <v>2542</v>
      </c>
      <c r="C3202" t="s">
        <v>322</v>
      </c>
      <c r="D3202" t="s">
        <v>2214</v>
      </c>
      <c r="E3202" t="s">
        <v>2216</v>
      </c>
      <c r="F3202">
        <v>19848</v>
      </c>
      <c r="G3202">
        <v>1547</v>
      </c>
      <c r="H3202" s="32">
        <f t="shared" ref="H3202:H3265" si="50">IF(AND(F3202&gt;0,G3202&gt;0),F3202/G3202,"")</f>
        <v>12.829993535875889</v>
      </c>
      <c r="I3202">
        <v>1</v>
      </c>
      <c r="J3202" t="s">
        <v>21</v>
      </c>
    </row>
    <row r="3203" spans="1:10" x14ac:dyDescent="0.25">
      <c r="A3203">
        <v>2847</v>
      </c>
      <c r="B3203" t="s">
        <v>1668</v>
      </c>
      <c r="C3203" t="s">
        <v>322</v>
      </c>
      <c r="D3203" t="s">
        <v>2214</v>
      </c>
      <c r="E3203" t="s">
        <v>2216</v>
      </c>
      <c r="F3203">
        <v>12245749</v>
      </c>
      <c r="G3203">
        <v>954295.67200000002</v>
      </c>
      <c r="H3203" s="32">
        <f t="shared" si="50"/>
        <v>12.832237805643112</v>
      </c>
      <c r="I3203">
        <v>1</v>
      </c>
      <c r="J3203" t="s">
        <v>21</v>
      </c>
    </row>
    <row r="3204" spans="1:10" x14ac:dyDescent="0.25">
      <c r="A3204">
        <v>990</v>
      </c>
      <c r="B3204" t="s">
        <v>2262</v>
      </c>
      <c r="C3204" t="s">
        <v>131</v>
      </c>
      <c r="D3204" t="s">
        <v>2214</v>
      </c>
      <c r="E3204" t="s">
        <v>2216</v>
      </c>
      <c r="F3204">
        <v>5249709</v>
      </c>
      <c r="G3204">
        <v>408593.21600000001</v>
      </c>
      <c r="H3204" s="32">
        <f t="shared" si="50"/>
        <v>12.848252967567625</v>
      </c>
      <c r="I3204">
        <v>1</v>
      </c>
      <c r="J3204" t="s">
        <v>21</v>
      </c>
    </row>
    <row r="3205" spans="1:10" x14ac:dyDescent="0.25">
      <c r="A3205">
        <v>55690</v>
      </c>
      <c r="B3205" t="s">
        <v>2803</v>
      </c>
      <c r="C3205" t="s">
        <v>143</v>
      </c>
      <c r="D3205" t="s">
        <v>2071</v>
      </c>
      <c r="E3205" t="s">
        <v>2216</v>
      </c>
      <c r="F3205">
        <v>47056402</v>
      </c>
      <c r="G3205">
        <v>3662014.27</v>
      </c>
      <c r="H3205" s="32">
        <f t="shared" si="50"/>
        <v>12.849868550621458</v>
      </c>
      <c r="I3205">
        <v>1</v>
      </c>
      <c r="J3205" t="s">
        <v>21</v>
      </c>
    </row>
    <row r="3206" spans="1:10" x14ac:dyDescent="0.25">
      <c r="A3206">
        <v>6034</v>
      </c>
      <c r="B3206" t="s">
        <v>2008</v>
      </c>
      <c r="C3206" t="s">
        <v>250</v>
      </c>
      <c r="D3206" t="s">
        <v>2214</v>
      </c>
      <c r="E3206" t="s">
        <v>2216</v>
      </c>
      <c r="F3206">
        <v>5385579</v>
      </c>
      <c r="G3206">
        <v>418576</v>
      </c>
      <c r="H3206" s="32">
        <f t="shared" si="50"/>
        <v>12.866430469018768</v>
      </c>
      <c r="I3206">
        <v>1</v>
      </c>
      <c r="J3206" t="s">
        <v>21</v>
      </c>
    </row>
    <row r="3207" spans="1:10" x14ac:dyDescent="0.25">
      <c r="A3207">
        <v>55247</v>
      </c>
      <c r="B3207" t="s">
        <v>559</v>
      </c>
      <c r="C3207" t="s">
        <v>322</v>
      </c>
      <c r="D3207" t="s">
        <v>2214</v>
      </c>
      <c r="E3207" t="s">
        <v>2216</v>
      </c>
      <c r="F3207">
        <v>6912267</v>
      </c>
      <c r="G3207">
        <v>536879.35199999996</v>
      </c>
      <c r="H3207" s="32">
        <f t="shared" si="50"/>
        <v>12.874898195004528</v>
      </c>
      <c r="I3207">
        <v>1</v>
      </c>
      <c r="J3207" t="s">
        <v>21</v>
      </c>
    </row>
    <row r="3208" spans="1:10" x14ac:dyDescent="0.25">
      <c r="A3208">
        <v>593</v>
      </c>
      <c r="B3208" t="s">
        <v>670</v>
      </c>
      <c r="C3208" t="s">
        <v>672</v>
      </c>
      <c r="D3208" t="s">
        <v>2218</v>
      </c>
      <c r="E3208" t="s">
        <v>2216</v>
      </c>
      <c r="F3208">
        <v>5004582</v>
      </c>
      <c r="G3208">
        <v>388230.58799999999</v>
      </c>
      <c r="H3208" s="32">
        <f t="shared" si="50"/>
        <v>12.890746259282384</v>
      </c>
      <c r="I3208">
        <v>1</v>
      </c>
      <c r="J3208" t="s">
        <v>21</v>
      </c>
    </row>
    <row r="3209" spans="1:10" x14ac:dyDescent="0.25">
      <c r="A3209">
        <v>976</v>
      </c>
      <c r="B3209" t="s">
        <v>2259</v>
      </c>
      <c r="C3209" t="s">
        <v>166</v>
      </c>
      <c r="D3209" t="s">
        <v>2214</v>
      </c>
      <c r="E3209" t="s">
        <v>2216</v>
      </c>
      <c r="F3209">
        <v>1205083</v>
      </c>
      <c r="G3209">
        <v>92982.957999999999</v>
      </c>
      <c r="H3209" s="32">
        <f t="shared" si="50"/>
        <v>12.9602566526223</v>
      </c>
      <c r="I3209">
        <v>1</v>
      </c>
      <c r="J3209" t="s">
        <v>21</v>
      </c>
    </row>
    <row r="3210" spans="1:10" x14ac:dyDescent="0.25">
      <c r="A3210">
        <v>971</v>
      </c>
      <c r="B3210" t="s">
        <v>2257</v>
      </c>
      <c r="C3210" t="s">
        <v>166</v>
      </c>
      <c r="D3210" t="s">
        <v>2214</v>
      </c>
      <c r="E3210" t="s">
        <v>2216</v>
      </c>
      <c r="F3210">
        <v>7164</v>
      </c>
      <c r="G3210">
        <v>552.69000000000005</v>
      </c>
      <c r="H3210" s="32">
        <f t="shared" si="50"/>
        <v>12.962058296694348</v>
      </c>
      <c r="I3210">
        <v>1</v>
      </c>
      <c r="J3210" t="s">
        <v>21</v>
      </c>
    </row>
    <row r="3211" spans="1:10" x14ac:dyDescent="0.25">
      <c r="A3211">
        <v>963</v>
      </c>
      <c r="B3211" t="s">
        <v>2254</v>
      </c>
      <c r="C3211" t="s">
        <v>166</v>
      </c>
      <c r="D3211" t="s">
        <v>2218</v>
      </c>
      <c r="E3211" t="s">
        <v>2216</v>
      </c>
      <c r="F3211">
        <v>33420</v>
      </c>
      <c r="G3211">
        <v>2578.0630000000001</v>
      </c>
      <c r="H3211" s="32">
        <f t="shared" si="50"/>
        <v>12.96322083672897</v>
      </c>
      <c r="I3211">
        <v>1</v>
      </c>
      <c r="J3211" t="s">
        <v>21</v>
      </c>
    </row>
    <row r="3212" spans="1:10" x14ac:dyDescent="0.25">
      <c r="A3212">
        <v>2406</v>
      </c>
      <c r="B3212" t="s">
        <v>1097</v>
      </c>
      <c r="C3212" t="s">
        <v>241</v>
      </c>
      <c r="D3212" t="s">
        <v>2214</v>
      </c>
      <c r="E3212" t="s">
        <v>2216</v>
      </c>
      <c r="F3212">
        <v>1306662</v>
      </c>
      <c r="G3212">
        <v>100603.709</v>
      </c>
      <c r="H3212" s="32">
        <f t="shared" si="50"/>
        <v>12.988209013248209</v>
      </c>
      <c r="I3212">
        <v>1</v>
      </c>
      <c r="J3212" t="s">
        <v>21</v>
      </c>
    </row>
    <row r="3213" spans="1:10" x14ac:dyDescent="0.25">
      <c r="A3213">
        <v>55198</v>
      </c>
      <c r="B3213" t="s">
        <v>1851</v>
      </c>
      <c r="C3213" t="s">
        <v>266</v>
      </c>
      <c r="D3213" t="s">
        <v>2214</v>
      </c>
      <c r="E3213" t="s">
        <v>2216</v>
      </c>
      <c r="F3213">
        <v>10167653</v>
      </c>
      <c r="G3213">
        <v>774692</v>
      </c>
      <c r="H3213" s="32">
        <f t="shared" si="50"/>
        <v>13.124768295012728</v>
      </c>
      <c r="I3213">
        <v>1</v>
      </c>
      <c r="J3213" t="s">
        <v>21</v>
      </c>
    </row>
    <row r="3214" spans="1:10" x14ac:dyDescent="0.25">
      <c r="A3214">
        <v>58897</v>
      </c>
      <c r="B3214" t="s">
        <v>3331</v>
      </c>
      <c r="C3214" t="s">
        <v>143</v>
      </c>
      <c r="D3214" t="s">
        <v>2234</v>
      </c>
      <c r="E3214" t="s">
        <v>2216</v>
      </c>
      <c r="F3214">
        <v>17532</v>
      </c>
      <c r="G3214">
        <v>1334</v>
      </c>
      <c r="H3214" s="32">
        <f t="shared" si="50"/>
        <v>13.142428785607196</v>
      </c>
      <c r="I3214">
        <v>1</v>
      </c>
      <c r="J3214" t="s">
        <v>21</v>
      </c>
    </row>
    <row r="3215" spans="1:10" x14ac:dyDescent="0.25">
      <c r="A3215">
        <v>50900</v>
      </c>
      <c r="B3215" t="s">
        <v>2676</v>
      </c>
      <c r="C3215" t="s">
        <v>201</v>
      </c>
      <c r="D3215" t="s">
        <v>2218</v>
      </c>
      <c r="E3215" t="s">
        <v>2216</v>
      </c>
      <c r="F3215">
        <v>2354032</v>
      </c>
      <c r="G3215">
        <v>179005.94099999999</v>
      </c>
      <c r="H3215" s="32">
        <f t="shared" si="50"/>
        <v>13.15058029275129</v>
      </c>
      <c r="I3215">
        <v>1</v>
      </c>
      <c r="J3215" t="s">
        <v>21</v>
      </c>
    </row>
    <row r="3216" spans="1:10" x14ac:dyDescent="0.25">
      <c r="A3216">
        <v>56503</v>
      </c>
      <c r="B3216" t="s">
        <v>2873</v>
      </c>
      <c r="C3216" t="s">
        <v>250</v>
      </c>
      <c r="D3216" t="s">
        <v>2234</v>
      </c>
      <c r="E3216" t="s">
        <v>2216</v>
      </c>
      <c r="F3216">
        <v>11110</v>
      </c>
      <c r="G3216">
        <v>844</v>
      </c>
      <c r="H3216" s="32">
        <f t="shared" si="50"/>
        <v>13.163507109004739</v>
      </c>
      <c r="I3216">
        <v>1</v>
      </c>
      <c r="J3216" t="s">
        <v>21</v>
      </c>
    </row>
    <row r="3217" spans="1:10" x14ac:dyDescent="0.25">
      <c r="A3217">
        <v>6035</v>
      </c>
      <c r="B3217" t="s">
        <v>2477</v>
      </c>
      <c r="C3217" t="s">
        <v>250</v>
      </c>
      <c r="D3217" t="s">
        <v>2214</v>
      </c>
      <c r="E3217" t="s">
        <v>2216</v>
      </c>
      <c r="F3217">
        <v>3105430</v>
      </c>
      <c r="G3217">
        <v>235864</v>
      </c>
      <c r="H3217" s="32">
        <f t="shared" si="50"/>
        <v>13.166188990265576</v>
      </c>
      <c r="I3217">
        <v>1</v>
      </c>
      <c r="J3217" t="s">
        <v>21</v>
      </c>
    </row>
    <row r="3218" spans="1:10" x14ac:dyDescent="0.25">
      <c r="A3218">
        <v>55109</v>
      </c>
      <c r="B3218" t="s">
        <v>1513</v>
      </c>
      <c r="C3218" t="s">
        <v>166</v>
      </c>
      <c r="D3218" t="s">
        <v>2214</v>
      </c>
      <c r="E3218" t="s">
        <v>2216</v>
      </c>
      <c r="F3218">
        <v>447388</v>
      </c>
      <c r="G3218">
        <v>33814.999000000003</v>
      </c>
      <c r="H3218" s="32">
        <f t="shared" si="50"/>
        <v>13.23046024635399</v>
      </c>
      <c r="I3218">
        <v>1</v>
      </c>
      <c r="J3218" t="s">
        <v>21</v>
      </c>
    </row>
    <row r="3219" spans="1:10" x14ac:dyDescent="0.25">
      <c r="A3219">
        <v>55199</v>
      </c>
      <c r="B3219" t="s">
        <v>693</v>
      </c>
      <c r="C3219" t="s">
        <v>166</v>
      </c>
      <c r="D3219" t="s">
        <v>2214</v>
      </c>
      <c r="E3219" t="s">
        <v>2216</v>
      </c>
      <c r="F3219">
        <v>2542216</v>
      </c>
      <c r="G3219">
        <v>191685</v>
      </c>
      <c r="H3219" s="32">
        <f t="shared" si="50"/>
        <v>13.262467068367373</v>
      </c>
      <c r="I3219">
        <v>1</v>
      </c>
      <c r="J3219" t="s">
        <v>21</v>
      </c>
    </row>
    <row r="3220" spans="1:10" x14ac:dyDescent="0.25">
      <c r="A3220">
        <v>7335</v>
      </c>
      <c r="B3220" t="s">
        <v>2153</v>
      </c>
      <c r="C3220" t="s">
        <v>131</v>
      </c>
      <c r="D3220" t="s">
        <v>2214</v>
      </c>
      <c r="E3220" t="s">
        <v>2216</v>
      </c>
      <c r="F3220">
        <v>588643</v>
      </c>
      <c r="G3220">
        <v>44281.607000000004</v>
      </c>
      <c r="H3220" s="32">
        <f t="shared" si="50"/>
        <v>13.293171587020316</v>
      </c>
      <c r="I3220">
        <v>1</v>
      </c>
      <c r="J3220" t="s">
        <v>21</v>
      </c>
    </row>
    <row r="3221" spans="1:10" x14ac:dyDescent="0.25">
      <c r="A3221">
        <v>7032</v>
      </c>
      <c r="B3221" t="s">
        <v>835</v>
      </c>
      <c r="C3221" t="s">
        <v>201</v>
      </c>
      <c r="D3221" t="s">
        <v>2214</v>
      </c>
      <c r="E3221" t="s">
        <v>2216</v>
      </c>
      <c r="F3221">
        <v>1019152</v>
      </c>
      <c r="G3221">
        <v>76509.558000000005</v>
      </c>
      <c r="H3221" s="32">
        <f t="shared" si="50"/>
        <v>13.32058407656727</v>
      </c>
      <c r="I3221">
        <v>1</v>
      </c>
      <c r="J3221" t="s">
        <v>21</v>
      </c>
    </row>
    <row r="3222" spans="1:10" x14ac:dyDescent="0.25">
      <c r="A3222">
        <v>6639</v>
      </c>
      <c r="B3222" t="s">
        <v>2508</v>
      </c>
      <c r="C3222" t="s">
        <v>266</v>
      </c>
      <c r="D3222" t="s">
        <v>2218</v>
      </c>
      <c r="E3222" t="s">
        <v>2216</v>
      </c>
      <c r="F3222">
        <v>9510041</v>
      </c>
      <c r="G3222">
        <v>713488</v>
      </c>
      <c r="H3222" s="32">
        <f t="shared" si="50"/>
        <v>13.328943163725249</v>
      </c>
      <c r="I3222">
        <v>1</v>
      </c>
      <c r="J3222" t="s">
        <v>21</v>
      </c>
    </row>
    <row r="3223" spans="1:10" x14ac:dyDescent="0.25">
      <c r="A3223">
        <v>54832</v>
      </c>
      <c r="B3223" t="s">
        <v>2731</v>
      </c>
      <c r="C3223" t="s">
        <v>307</v>
      </c>
      <c r="D3223" t="s">
        <v>2071</v>
      </c>
      <c r="E3223" t="s">
        <v>2216</v>
      </c>
      <c r="F3223">
        <v>5616690</v>
      </c>
      <c r="G3223">
        <v>419816.76899999997</v>
      </c>
      <c r="H3223" s="32">
        <f t="shared" si="50"/>
        <v>13.378908168387149</v>
      </c>
      <c r="I3223">
        <v>1</v>
      </c>
      <c r="J3223" t="s">
        <v>21</v>
      </c>
    </row>
    <row r="3224" spans="1:10" x14ac:dyDescent="0.25">
      <c r="A3224">
        <v>58697</v>
      </c>
      <c r="B3224" t="s">
        <v>3257</v>
      </c>
      <c r="C3224" t="s">
        <v>708</v>
      </c>
      <c r="D3224" t="s">
        <v>2214</v>
      </c>
      <c r="E3224" t="s">
        <v>2216</v>
      </c>
      <c r="F3224">
        <v>11084</v>
      </c>
      <c r="G3224">
        <v>825.76099999999997</v>
      </c>
      <c r="H3224" s="32">
        <f t="shared" si="50"/>
        <v>13.422770026678423</v>
      </c>
      <c r="I3224">
        <v>1</v>
      </c>
      <c r="J3224" t="s">
        <v>21</v>
      </c>
    </row>
    <row r="3225" spans="1:10" x14ac:dyDescent="0.25">
      <c r="A3225">
        <v>1571</v>
      </c>
      <c r="B3225" t="s">
        <v>406</v>
      </c>
      <c r="C3225" t="s">
        <v>307</v>
      </c>
      <c r="D3225" t="s">
        <v>2214</v>
      </c>
      <c r="E3225" t="s">
        <v>2216</v>
      </c>
      <c r="F3225">
        <v>242953</v>
      </c>
      <c r="G3225">
        <v>18082.719000000001</v>
      </c>
      <c r="H3225" s="32">
        <f t="shared" si="50"/>
        <v>13.435645380542605</v>
      </c>
      <c r="I3225">
        <v>1</v>
      </c>
      <c r="J3225" t="s">
        <v>21</v>
      </c>
    </row>
    <row r="3226" spans="1:10" x14ac:dyDescent="0.25">
      <c r="A3226">
        <v>55224</v>
      </c>
      <c r="B3226" t="s">
        <v>2775</v>
      </c>
      <c r="C3226" t="s">
        <v>131</v>
      </c>
      <c r="D3226" t="s">
        <v>2214</v>
      </c>
      <c r="E3226" t="s">
        <v>2216</v>
      </c>
      <c r="F3226">
        <v>2062799</v>
      </c>
      <c r="G3226">
        <v>153310</v>
      </c>
      <c r="H3226" s="32">
        <f t="shared" si="50"/>
        <v>13.455084469375775</v>
      </c>
      <c r="I3226">
        <v>1</v>
      </c>
      <c r="J3226" t="s">
        <v>21</v>
      </c>
    </row>
    <row r="3227" spans="1:10" x14ac:dyDescent="0.25">
      <c r="A3227">
        <v>6085</v>
      </c>
      <c r="B3227" t="s">
        <v>2480</v>
      </c>
      <c r="C3227" t="s">
        <v>131</v>
      </c>
      <c r="D3227" t="s">
        <v>2218</v>
      </c>
      <c r="E3227" t="s">
        <v>2216</v>
      </c>
      <c r="F3227">
        <v>111000</v>
      </c>
      <c r="G3227">
        <v>8133.8389999999999</v>
      </c>
      <c r="H3227" s="32">
        <f t="shared" si="50"/>
        <v>13.646692539648253</v>
      </c>
      <c r="I3227">
        <v>1</v>
      </c>
      <c r="J3227" t="s">
        <v>21</v>
      </c>
    </row>
    <row r="3228" spans="1:10" x14ac:dyDescent="0.25">
      <c r="A3228">
        <v>7138</v>
      </c>
      <c r="B3228" t="s">
        <v>748</v>
      </c>
      <c r="C3228" t="s">
        <v>241</v>
      </c>
      <c r="D3228" t="s">
        <v>2214</v>
      </c>
      <c r="E3228" t="s">
        <v>2216</v>
      </c>
      <c r="F3228">
        <v>214651</v>
      </c>
      <c r="G3228">
        <v>15720</v>
      </c>
      <c r="H3228" s="32">
        <f t="shared" si="50"/>
        <v>13.654643765903307</v>
      </c>
      <c r="I3228">
        <v>1</v>
      </c>
      <c r="J3228" t="s">
        <v>21</v>
      </c>
    </row>
    <row r="3229" spans="1:10" x14ac:dyDescent="0.25">
      <c r="A3229">
        <v>7288</v>
      </c>
      <c r="B3229" t="s">
        <v>1571</v>
      </c>
      <c r="C3229" t="s">
        <v>241</v>
      </c>
      <c r="D3229" t="s">
        <v>2214</v>
      </c>
      <c r="E3229" t="s">
        <v>2216</v>
      </c>
      <c r="F3229">
        <v>578488</v>
      </c>
      <c r="G3229">
        <v>42341.915999999997</v>
      </c>
      <c r="H3229" s="32">
        <f t="shared" si="50"/>
        <v>13.662300969091715</v>
      </c>
      <c r="I3229">
        <v>1</v>
      </c>
      <c r="J3229" t="s">
        <v>21</v>
      </c>
    </row>
    <row r="3230" spans="1:10" x14ac:dyDescent="0.25">
      <c r="A3230">
        <v>64142</v>
      </c>
      <c r="B3230" t="s">
        <v>4497</v>
      </c>
      <c r="C3230" t="s">
        <v>241</v>
      </c>
      <c r="D3230" t="s">
        <v>2234</v>
      </c>
      <c r="E3230" t="s">
        <v>2216</v>
      </c>
      <c r="F3230">
        <v>3114</v>
      </c>
      <c r="G3230">
        <v>225</v>
      </c>
      <c r="H3230" s="32">
        <f t="shared" si="50"/>
        <v>13.84</v>
      </c>
      <c r="I3230">
        <v>1</v>
      </c>
      <c r="J3230" t="s">
        <v>21</v>
      </c>
    </row>
    <row r="3231" spans="1:10" x14ac:dyDescent="0.25">
      <c r="A3231">
        <v>2880</v>
      </c>
      <c r="B3231" t="s">
        <v>1478</v>
      </c>
      <c r="C3231" t="s">
        <v>322</v>
      </c>
      <c r="D3231" t="s">
        <v>2214</v>
      </c>
      <c r="E3231" t="s">
        <v>2216</v>
      </c>
      <c r="F3231">
        <v>5112414</v>
      </c>
      <c r="G3231">
        <v>367360.065</v>
      </c>
      <c r="H3231" s="32">
        <f t="shared" si="50"/>
        <v>13.916629724028386</v>
      </c>
      <c r="I3231">
        <v>1</v>
      </c>
      <c r="J3231" t="s">
        <v>21</v>
      </c>
    </row>
    <row r="3232" spans="1:10" x14ac:dyDescent="0.25">
      <c r="A3232">
        <v>52072</v>
      </c>
      <c r="B3232" t="s">
        <v>2685</v>
      </c>
      <c r="C3232" t="s">
        <v>201</v>
      </c>
      <c r="D3232" t="s">
        <v>2218</v>
      </c>
      <c r="E3232" t="s">
        <v>2216</v>
      </c>
      <c r="F3232">
        <v>445256</v>
      </c>
      <c r="G3232">
        <v>31985</v>
      </c>
      <c r="H3232" s="32">
        <f t="shared" si="50"/>
        <v>13.920775363451618</v>
      </c>
      <c r="I3232">
        <v>1</v>
      </c>
      <c r="J3232" t="s">
        <v>21</v>
      </c>
    </row>
    <row r="3233" spans="1:10" x14ac:dyDescent="0.25">
      <c r="A3233">
        <v>3096</v>
      </c>
      <c r="B3233" t="s">
        <v>330</v>
      </c>
      <c r="C3233" t="s">
        <v>143</v>
      </c>
      <c r="D3233" t="s">
        <v>2071</v>
      </c>
      <c r="E3233" t="s">
        <v>2216</v>
      </c>
      <c r="F3233">
        <v>532359</v>
      </c>
      <c r="G3233">
        <v>38089</v>
      </c>
      <c r="H3233" s="32">
        <f t="shared" si="50"/>
        <v>13.976712436661503</v>
      </c>
      <c r="I3233">
        <v>1</v>
      </c>
      <c r="J3233" t="s">
        <v>21</v>
      </c>
    </row>
    <row r="3234" spans="1:10" x14ac:dyDescent="0.25">
      <c r="A3234">
        <v>50770</v>
      </c>
      <c r="B3234" t="s">
        <v>2667</v>
      </c>
      <c r="C3234" t="s">
        <v>250</v>
      </c>
      <c r="D3234" t="s">
        <v>2218</v>
      </c>
      <c r="E3234" t="s">
        <v>2216</v>
      </c>
      <c r="F3234">
        <v>2252</v>
      </c>
      <c r="G3234">
        <v>160.88499999999999</v>
      </c>
      <c r="H3234" s="32">
        <f t="shared" si="50"/>
        <v>13.997575908257451</v>
      </c>
      <c r="I3234">
        <v>1</v>
      </c>
      <c r="J3234" t="s">
        <v>21</v>
      </c>
    </row>
    <row r="3235" spans="1:10" x14ac:dyDescent="0.25">
      <c r="A3235">
        <v>64157</v>
      </c>
      <c r="B3235" t="s">
        <v>4499</v>
      </c>
      <c r="C3235" t="s">
        <v>322</v>
      </c>
      <c r="D3235" t="s">
        <v>2234</v>
      </c>
      <c r="E3235" t="s">
        <v>2216</v>
      </c>
      <c r="F3235">
        <v>11798</v>
      </c>
      <c r="G3235">
        <v>841</v>
      </c>
      <c r="H3235" s="32">
        <f t="shared" si="50"/>
        <v>14.028537455410225</v>
      </c>
      <c r="I3235">
        <v>1</v>
      </c>
      <c r="J3235" t="s">
        <v>21</v>
      </c>
    </row>
    <row r="3236" spans="1:10" x14ac:dyDescent="0.25">
      <c r="A3236">
        <v>879</v>
      </c>
      <c r="B3236" t="s">
        <v>1405</v>
      </c>
      <c r="C3236" t="s">
        <v>166</v>
      </c>
      <c r="D3236" t="s">
        <v>2218</v>
      </c>
      <c r="E3236" t="s">
        <v>2216</v>
      </c>
      <c r="F3236">
        <v>81469</v>
      </c>
      <c r="G3236">
        <v>5778.9189999999999</v>
      </c>
      <c r="H3236" s="32">
        <f t="shared" si="50"/>
        <v>14.097619295234974</v>
      </c>
      <c r="I3236">
        <v>1</v>
      </c>
      <c r="J3236" t="s">
        <v>21</v>
      </c>
    </row>
    <row r="3237" spans="1:10" x14ac:dyDescent="0.25">
      <c r="A3237">
        <v>55253</v>
      </c>
      <c r="B3237" t="s">
        <v>527</v>
      </c>
      <c r="C3237" t="s">
        <v>166</v>
      </c>
      <c r="D3237" t="s">
        <v>2214</v>
      </c>
      <c r="E3237" t="s">
        <v>2216</v>
      </c>
      <c r="F3237">
        <v>845329</v>
      </c>
      <c r="G3237">
        <v>59759.999000000003</v>
      </c>
      <c r="H3237" s="32">
        <f t="shared" si="50"/>
        <v>14.145398496408943</v>
      </c>
      <c r="I3237">
        <v>1</v>
      </c>
      <c r="J3237" t="s">
        <v>21</v>
      </c>
    </row>
    <row r="3238" spans="1:10" x14ac:dyDescent="0.25">
      <c r="A3238">
        <v>1743</v>
      </c>
      <c r="B3238" t="s">
        <v>2315</v>
      </c>
      <c r="C3238" t="s">
        <v>250</v>
      </c>
      <c r="D3238" t="s">
        <v>2214</v>
      </c>
      <c r="E3238" t="s">
        <v>2216</v>
      </c>
      <c r="F3238">
        <v>65008</v>
      </c>
      <c r="G3238">
        <v>4561</v>
      </c>
      <c r="H3238" s="32">
        <f t="shared" si="50"/>
        <v>14.253014689761017</v>
      </c>
      <c r="I3238">
        <v>1</v>
      </c>
      <c r="J3238" t="s">
        <v>21</v>
      </c>
    </row>
    <row r="3239" spans="1:10" x14ac:dyDescent="0.25">
      <c r="A3239">
        <v>1004</v>
      </c>
      <c r="B3239" t="s">
        <v>2268</v>
      </c>
      <c r="C3239" t="s">
        <v>131</v>
      </c>
      <c r="D3239" t="s">
        <v>2071</v>
      </c>
      <c r="E3239" t="s">
        <v>2216</v>
      </c>
      <c r="F3239">
        <v>16328189</v>
      </c>
      <c r="G3239">
        <v>1127353.297</v>
      </c>
      <c r="H3239" s="32">
        <f t="shared" si="50"/>
        <v>14.483648598403841</v>
      </c>
      <c r="I3239">
        <v>1</v>
      </c>
      <c r="J3239" t="s">
        <v>21</v>
      </c>
    </row>
    <row r="3240" spans="1:10" x14ac:dyDescent="0.25">
      <c r="A3240">
        <v>1730</v>
      </c>
      <c r="B3240" t="s">
        <v>2309</v>
      </c>
      <c r="C3240" t="s">
        <v>250</v>
      </c>
      <c r="D3240" t="s">
        <v>2214</v>
      </c>
      <c r="E3240" t="s">
        <v>2216</v>
      </c>
      <c r="F3240">
        <v>297610</v>
      </c>
      <c r="G3240">
        <v>20385</v>
      </c>
      <c r="H3240" s="32">
        <f t="shared" si="50"/>
        <v>14.599460387539859</v>
      </c>
      <c r="I3240">
        <v>1</v>
      </c>
      <c r="J3240" t="s">
        <v>21</v>
      </c>
    </row>
    <row r="3241" spans="1:10" x14ac:dyDescent="0.25">
      <c r="A3241">
        <v>2393</v>
      </c>
      <c r="B3241" t="s">
        <v>808</v>
      </c>
      <c r="C3241" t="s">
        <v>241</v>
      </c>
      <c r="D3241" t="s">
        <v>2071</v>
      </c>
      <c r="E3241" t="s">
        <v>2216</v>
      </c>
      <c r="F3241">
        <v>749295</v>
      </c>
      <c r="G3241">
        <v>51272</v>
      </c>
      <c r="H3241" s="32">
        <f t="shared" si="50"/>
        <v>14.614116866905913</v>
      </c>
      <c r="I3241">
        <v>1</v>
      </c>
      <c r="J3241" t="s">
        <v>21</v>
      </c>
    </row>
    <row r="3242" spans="1:10" x14ac:dyDescent="0.25">
      <c r="A3242">
        <v>3403</v>
      </c>
      <c r="B3242" t="s">
        <v>2426</v>
      </c>
      <c r="C3242" t="s">
        <v>2029</v>
      </c>
      <c r="D3242" t="s">
        <v>2214</v>
      </c>
      <c r="E3242" t="s">
        <v>2216</v>
      </c>
      <c r="F3242">
        <v>1698349</v>
      </c>
      <c r="G3242">
        <v>115843.34299999999</v>
      </c>
      <c r="H3242" s="32">
        <f t="shared" si="50"/>
        <v>14.660738856612591</v>
      </c>
      <c r="I3242">
        <v>1</v>
      </c>
      <c r="J3242" t="s">
        <v>21</v>
      </c>
    </row>
    <row r="3243" spans="1:10" x14ac:dyDescent="0.25">
      <c r="A3243">
        <v>3110</v>
      </c>
      <c r="B3243" t="s">
        <v>957</v>
      </c>
      <c r="C3243" t="s">
        <v>143</v>
      </c>
      <c r="D3243" t="s">
        <v>2214</v>
      </c>
      <c r="E3243" t="s">
        <v>2216</v>
      </c>
      <c r="F3243">
        <v>363984</v>
      </c>
      <c r="G3243">
        <v>24504</v>
      </c>
      <c r="H3243" s="32">
        <f t="shared" si="50"/>
        <v>14.854064642507346</v>
      </c>
      <c r="I3243">
        <v>1</v>
      </c>
      <c r="J3243" t="s">
        <v>21</v>
      </c>
    </row>
    <row r="3244" spans="1:10" x14ac:dyDescent="0.25">
      <c r="A3244">
        <v>10151</v>
      </c>
      <c r="B3244" t="s">
        <v>831</v>
      </c>
      <c r="C3244" t="s">
        <v>118</v>
      </c>
      <c r="D3244" t="s">
        <v>2218</v>
      </c>
      <c r="E3244" t="s">
        <v>2216</v>
      </c>
      <c r="F3244">
        <v>1168748</v>
      </c>
      <c r="G3244">
        <v>77739.726999999999</v>
      </c>
      <c r="H3244" s="32">
        <f t="shared" si="50"/>
        <v>15.034115054198738</v>
      </c>
      <c r="I3244">
        <v>1</v>
      </c>
      <c r="J3244" t="s">
        <v>21</v>
      </c>
    </row>
    <row r="3245" spans="1:10" x14ac:dyDescent="0.25">
      <c r="A3245">
        <v>2854</v>
      </c>
      <c r="B3245" t="s">
        <v>1830</v>
      </c>
      <c r="C3245" t="s">
        <v>322</v>
      </c>
      <c r="D3245" t="s">
        <v>2214</v>
      </c>
      <c r="E3245" t="s">
        <v>2216</v>
      </c>
      <c r="F3245">
        <v>412221</v>
      </c>
      <c r="G3245">
        <v>27413.280999999999</v>
      </c>
      <c r="H3245" s="32">
        <f t="shared" si="50"/>
        <v>15.037273356662416</v>
      </c>
      <c r="I3245">
        <v>1</v>
      </c>
      <c r="J3245" t="s">
        <v>21</v>
      </c>
    </row>
    <row r="3246" spans="1:10" x14ac:dyDescent="0.25">
      <c r="A3246">
        <v>3132</v>
      </c>
      <c r="B3246" t="s">
        <v>1752</v>
      </c>
      <c r="C3246" t="s">
        <v>143</v>
      </c>
      <c r="D3246" t="s">
        <v>2214</v>
      </c>
      <c r="E3246" t="s">
        <v>2216</v>
      </c>
      <c r="F3246">
        <v>171866</v>
      </c>
      <c r="G3246">
        <v>11399.031999999999</v>
      </c>
      <c r="H3246" s="32">
        <f t="shared" si="50"/>
        <v>15.077245155553561</v>
      </c>
      <c r="I3246">
        <v>1</v>
      </c>
      <c r="J3246" t="s">
        <v>21</v>
      </c>
    </row>
    <row r="3247" spans="1:10" x14ac:dyDescent="0.25">
      <c r="A3247">
        <v>6085</v>
      </c>
      <c r="B3247" t="s">
        <v>2480</v>
      </c>
      <c r="C3247" t="s">
        <v>131</v>
      </c>
      <c r="D3247" t="s">
        <v>2214</v>
      </c>
      <c r="E3247" t="s">
        <v>2216</v>
      </c>
      <c r="F3247">
        <v>1230231</v>
      </c>
      <c r="G3247">
        <v>81258</v>
      </c>
      <c r="H3247" s="32">
        <f t="shared" si="50"/>
        <v>15.139813926013439</v>
      </c>
      <c r="I3247">
        <v>1</v>
      </c>
      <c r="J3247" t="s">
        <v>21</v>
      </c>
    </row>
    <row r="3248" spans="1:10" x14ac:dyDescent="0.25">
      <c r="A3248">
        <v>55222</v>
      </c>
      <c r="B3248" t="s">
        <v>1087</v>
      </c>
      <c r="C3248" t="s">
        <v>166</v>
      </c>
      <c r="D3248" t="s">
        <v>2214</v>
      </c>
      <c r="E3248" t="s">
        <v>2216</v>
      </c>
      <c r="F3248">
        <v>124913</v>
      </c>
      <c r="G3248">
        <v>8241</v>
      </c>
      <c r="H3248" s="32">
        <f t="shared" si="50"/>
        <v>15.157505157141124</v>
      </c>
      <c r="I3248">
        <v>1</v>
      </c>
      <c r="J3248" t="s">
        <v>21</v>
      </c>
    </row>
    <row r="3249" spans="1:10" x14ac:dyDescent="0.25">
      <c r="A3249">
        <v>1016</v>
      </c>
      <c r="B3249" t="s">
        <v>2273</v>
      </c>
      <c r="C3249" t="s">
        <v>708</v>
      </c>
      <c r="D3249" t="s">
        <v>2214</v>
      </c>
      <c r="E3249" t="s">
        <v>2216</v>
      </c>
      <c r="F3249">
        <v>168134</v>
      </c>
      <c r="G3249">
        <v>11089.393</v>
      </c>
      <c r="H3249" s="32">
        <f t="shared" si="50"/>
        <v>15.161695504884714</v>
      </c>
      <c r="I3249">
        <v>1</v>
      </c>
      <c r="J3249" t="s">
        <v>21</v>
      </c>
    </row>
    <row r="3250" spans="1:10" x14ac:dyDescent="0.25">
      <c r="A3250">
        <v>1554</v>
      </c>
      <c r="B3250" t="s">
        <v>1741</v>
      </c>
      <c r="C3250" t="s">
        <v>307</v>
      </c>
      <c r="D3250" t="s">
        <v>2218</v>
      </c>
      <c r="E3250" t="s">
        <v>2216</v>
      </c>
      <c r="F3250">
        <v>343083</v>
      </c>
      <c r="G3250">
        <v>22583.329000000002</v>
      </c>
      <c r="H3250" s="32">
        <f t="shared" si="50"/>
        <v>15.191870073716766</v>
      </c>
      <c r="I3250">
        <v>1</v>
      </c>
      <c r="J3250" t="s">
        <v>21</v>
      </c>
    </row>
    <row r="3251" spans="1:10" x14ac:dyDescent="0.25">
      <c r="A3251">
        <v>1734</v>
      </c>
      <c r="B3251" t="s">
        <v>2312</v>
      </c>
      <c r="C3251" t="s">
        <v>250</v>
      </c>
      <c r="D3251" t="s">
        <v>2214</v>
      </c>
      <c r="E3251" t="s">
        <v>2216</v>
      </c>
      <c r="F3251">
        <v>196927</v>
      </c>
      <c r="G3251">
        <v>12844.14</v>
      </c>
      <c r="H3251" s="32">
        <f t="shared" si="50"/>
        <v>15.33205025793864</v>
      </c>
      <c r="I3251">
        <v>1</v>
      </c>
      <c r="J3251" t="s">
        <v>21</v>
      </c>
    </row>
    <row r="3252" spans="1:10" x14ac:dyDescent="0.25">
      <c r="A3252">
        <v>7932</v>
      </c>
      <c r="B3252" t="s">
        <v>2562</v>
      </c>
      <c r="C3252" t="s">
        <v>250</v>
      </c>
      <c r="D3252" t="s">
        <v>2214</v>
      </c>
      <c r="E3252" t="s">
        <v>2216</v>
      </c>
      <c r="F3252">
        <v>575975</v>
      </c>
      <c r="G3252">
        <v>37086.14</v>
      </c>
      <c r="H3252" s="32">
        <f t="shared" si="50"/>
        <v>15.53073466259902</v>
      </c>
      <c r="I3252">
        <v>1</v>
      </c>
      <c r="J3252" t="s">
        <v>21</v>
      </c>
    </row>
    <row r="3253" spans="1:10" x14ac:dyDescent="0.25">
      <c r="A3253">
        <v>2933</v>
      </c>
      <c r="B3253" t="s">
        <v>2392</v>
      </c>
      <c r="C3253" t="s">
        <v>322</v>
      </c>
      <c r="D3253" t="s">
        <v>2234</v>
      </c>
      <c r="E3253" t="s">
        <v>2216</v>
      </c>
      <c r="F3253">
        <v>8085</v>
      </c>
      <c r="G3253">
        <v>520.00900000000001</v>
      </c>
      <c r="H3253" s="32">
        <f t="shared" si="50"/>
        <v>15.547807826403004</v>
      </c>
      <c r="I3253">
        <v>1</v>
      </c>
      <c r="J3253" t="s">
        <v>21</v>
      </c>
    </row>
    <row r="3254" spans="1:10" x14ac:dyDescent="0.25">
      <c r="A3254">
        <v>10603</v>
      </c>
      <c r="B3254" t="s">
        <v>661</v>
      </c>
      <c r="C3254" t="s">
        <v>143</v>
      </c>
      <c r="D3254" t="s">
        <v>2218</v>
      </c>
      <c r="E3254" t="s">
        <v>2216</v>
      </c>
      <c r="F3254">
        <v>10360</v>
      </c>
      <c r="G3254">
        <v>656.428</v>
      </c>
      <c r="H3254" s="32">
        <f t="shared" si="50"/>
        <v>15.782385882381616</v>
      </c>
      <c r="I3254">
        <v>1</v>
      </c>
      <c r="J3254" t="s">
        <v>21</v>
      </c>
    </row>
    <row r="3255" spans="1:10" x14ac:dyDescent="0.25">
      <c r="A3255">
        <v>54415</v>
      </c>
      <c r="B3255" t="s">
        <v>2703</v>
      </c>
      <c r="C3255" t="s">
        <v>250</v>
      </c>
      <c r="D3255" t="s">
        <v>2218</v>
      </c>
      <c r="E3255" t="s">
        <v>2216</v>
      </c>
      <c r="F3255">
        <v>78</v>
      </c>
      <c r="G3255">
        <v>4.9039999999999999</v>
      </c>
      <c r="H3255" s="32">
        <f t="shared" si="50"/>
        <v>15.905383360522023</v>
      </c>
      <c r="I3255">
        <v>1</v>
      </c>
      <c r="J3255" t="s">
        <v>21</v>
      </c>
    </row>
    <row r="3256" spans="1:10" x14ac:dyDescent="0.25">
      <c r="A3256">
        <v>55111</v>
      </c>
      <c r="B3256" t="s">
        <v>2770</v>
      </c>
      <c r="C3256" t="s">
        <v>131</v>
      </c>
      <c r="D3256" t="s">
        <v>2214</v>
      </c>
      <c r="E3256" t="s">
        <v>2216</v>
      </c>
      <c r="F3256">
        <v>6727908</v>
      </c>
      <c r="G3256">
        <v>422287</v>
      </c>
      <c r="H3256" s="32">
        <f t="shared" si="50"/>
        <v>15.93207463170782</v>
      </c>
      <c r="I3256">
        <v>1</v>
      </c>
      <c r="J3256" t="s">
        <v>21</v>
      </c>
    </row>
    <row r="3257" spans="1:10" x14ac:dyDescent="0.25">
      <c r="A3257">
        <v>54751</v>
      </c>
      <c r="B3257" t="s">
        <v>2722</v>
      </c>
      <c r="C3257" t="s">
        <v>250</v>
      </c>
      <c r="D3257" t="s">
        <v>2218</v>
      </c>
      <c r="E3257" t="s">
        <v>2216</v>
      </c>
      <c r="F3257">
        <v>1586</v>
      </c>
      <c r="G3257">
        <v>98.619</v>
      </c>
      <c r="H3257" s="32">
        <f t="shared" si="50"/>
        <v>16.082093714193004</v>
      </c>
      <c r="I3257">
        <v>1</v>
      </c>
      <c r="J3257" t="s">
        <v>21</v>
      </c>
    </row>
    <row r="3258" spans="1:10" x14ac:dyDescent="0.25">
      <c r="A3258">
        <v>1016</v>
      </c>
      <c r="B3258" t="s">
        <v>2273</v>
      </c>
      <c r="C3258" t="s">
        <v>708</v>
      </c>
      <c r="D3258" t="s">
        <v>2071</v>
      </c>
      <c r="E3258" t="s">
        <v>2216</v>
      </c>
      <c r="F3258">
        <v>1139126</v>
      </c>
      <c r="G3258">
        <v>70319.324999999997</v>
      </c>
      <c r="H3258" s="32">
        <f t="shared" si="50"/>
        <v>16.199330696078214</v>
      </c>
      <c r="I3258">
        <v>1</v>
      </c>
      <c r="J3258" t="s">
        <v>21</v>
      </c>
    </row>
    <row r="3259" spans="1:10" x14ac:dyDescent="0.25">
      <c r="A3259">
        <v>10771</v>
      </c>
      <c r="B3259" t="s">
        <v>2610</v>
      </c>
      <c r="C3259" t="s">
        <v>201</v>
      </c>
      <c r="D3259" t="s">
        <v>2218</v>
      </c>
      <c r="E3259" t="s">
        <v>2216</v>
      </c>
      <c r="F3259">
        <v>10161</v>
      </c>
      <c r="G3259">
        <v>626.30499999999995</v>
      </c>
      <c r="H3259" s="32">
        <f t="shared" si="50"/>
        <v>16.223724862487128</v>
      </c>
      <c r="I3259">
        <v>1</v>
      </c>
      <c r="J3259" t="s">
        <v>21</v>
      </c>
    </row>
    <row r="3260" spans="1:10" x14ac:dyDescent="0.25">
      <c r="A3260">
        <v>55102</v>
      </c>
      <c r="B3260" t="s">
        <v>2768</v>
      </c>
      <c r="C3260" t="s">
        <v>250</v>
      </c>
      <c r="D3260" t="s">
        <v>2214</v>
      </c>
      <c r="E3260" t="s">
        <v>2216</v>
      </c>
      <c r="F3260">
        <v>372123</v>
      </c>
      <c r="G3260">
        <v>22259.999</v>
      </c>
      <c r="H3260" s="32">
        <f t="shared" si="50"/>
        <v>16.71711665395852</v>
      </c>
      <c r="I3260">
        <v>1</v>
      </c>
      <c r="J3260" t="s">
        <v>21</v>
      </c>
    </row>
    <row r="3261" spans="1:10" x14ac:dyDescent="0.25">
      <c r="A3261">
        <v>3120</v>
      </c>
      <c r="B3261" t="s">
        <v>290</v>
      </c>
      <c r="C3261" t="s">
        <v>143</v>
      </c>
      <c r="D3261" t="s">
        <v>2214</v>
      </c>
      <c r="E3261" t="s">
        <v>2216</v>
      </c>
      <c r="F3261">
        <v>49760</v>
      </c>
      <c r="G3261">
        <v>2955</v>
      </c>
      <c r="H3261" s="32">
        <f t="shared" si="50"/>
        <v>16.839255499153975</v>
      </c>
      <c r="I3261">
        <v>1</v>
      </c>
      <c r="J3261" t="s">
        <v>21</v>
      </c>
    </row>
    <row r="3262" spans="1:10" x14ac:dyDescent="0.25">
      <c r="A3262">
        <v>2935</v>
      </c>
      <c r="B3262" t="s">
        <v>2393</v>
      </c>
      <c r="C3262" t="s">
        <v>322</v>
      </c>
      <c r="D3262" t="s">
        <v>2218</v>
      </c>
      <c r="E3262" t="s">
        <v>2216</v>
      </c>
      <c r="F3262">
        <v>226126</v>
      </c>
      <c r="G3262">
        <v>13406.347</v>
      </c>
      <c r="H3262" s="32">
        <f t="shared" si="50"/>
        <v>16.86708541857077</v>
      </c>
      <c r="I3262">
        <v>1</v>
      </c>
      <c r="J3262" t="s">
        <v>21</v>
      </c>
    </row>
    <row r="3263" spans="1:10" x14ac:dyDescent="0.25">
      <c r="A3263">
        <v>55236</v>
      </c>
      <c r="B3263" t="s">
        <v>2099</v>
      </c>
      <c r="C3263" t="s">
        <v>166</v>
      </c>
      <c r="D3263" t="s">
        <v>2214</v>
      </c>
      <c r="E3263" t="s">
        <v>2216</v>
      </c>
      <c r="F3263">
        <v>1106209</v>
      </c>
      <c r="G3263">
        <v>65200.002</v>
      </c>
      <c r="H3263" s="32">
        <f t="shared" si="50"/>
        <v>16.966395185079904</v>
      </c>
      <c r="I3263">
        <v>1</v>
      </c>
      <c r="J3263" t="s">
        <v>21</v>
      </c>
    </row>
    <row r="3264" spans="1:10" x14ac:dyDescent="0.25">
      <c r="A3264">
        <v>972</v>
      </c>
      <c r="B3264" t="s">
        <v>2258</v>
      </c>
      <c r="C3264" t="s">
        <v>166</v>
      </c>
      <c r="D3264" t="s">
        <v>2218</v>
      </c>
      <c r="E3264" t="s">
        <v>2216</v>
      </c>
      <c r="F3264">
        <v>44794</v>
      </c>
      <c r="G3264">
        <v>2630</v>
      </c>
      <c r="H3264" s="32">
        <f t="shared" si="50"/>
        <v>17.031939163498098</v>
      </c>
      <c r="I3264">
        <v>1</v>
      </c>
      <c r="J3264" t="s">
        <v>21</v>
      </c>
    </row>
    <row r="3265" spans="1:10" x14ac:dyDescent="0.25">
      <c r="A3265">
        <v>1772</v>
      </c>
      <c r="B3265" t="s">
        <v>2325</v>
      </c>
      <c r="C3265" t="s">
        <v>250</v>
      </c>
      <c r="D3265" t="s">
        <v>2218</v>
      </c>
      <c r="E3265" t="s">
        <v>2216</v>
      </c>
      <c r="F3265">
        <v>1924</v>
      </c>
      <c r="G3265">
        <v>112.825</v>
      </c>
      <c r="H3265" s="32">
        <f t="shared" si="50"/>
        <v>17.052958120983824</v>
      </c>
      <c r="I3265">
        <v>1</v>
      </c>
      <c r="J3265" t="s">
        <v>21</v>
      </c>
    </row>
    <row r="3266" spans="1:10" x14ac:dyDescent="0.25">
      <c r="A3266">
        <v>54540</v>
      </c>
      <c r="B3266" t="s">
        <v>2707</v>
      </c>
      <c r="C3266" t="s">
        <v>166</v>
      </c>
      <c r="D3266" t="s">
        <v>2234</v>
      </c>
      <c r="E3266" t="s">
        <v>2216</v>
      </c>
      <c r="F3266">
        <v>136320</v>
      </c>
      <c r="G3266">
        <v>7983.14</v>
      </c>
      <c r="H3266" s="32">
        <f t="shared" ref="H3266:H3329" si="51">IF(AND(F3266&gt;0,G3266&gt;0),F3266/G3266,"")</f>
        <v>17.075987643959643</v>
      </c>
      <c r="I3266">
        <v>1</v>
      </c>
      <c r="J3266" t="s">
        <v>21</v>
      </c>
    </row>
    <row r="3267" spans="1:10" x14ac:dyDescent="0.25">
      <c r="A3267">
        <v>50658</v>
      </c>
      <c r="B3267" t="s">
        <v>2661</v>
      </c>
      <c r="C3267" t="s">
        <v>201</v>
      </c>
      <c r="D3267" t="s">
        <v>2218</v>
      </c>
      <c r="E3267" t="s">
        <v>2216</v>
      </c>
      <c r="F3267">
        <v>117940</v>
      </c>
      <c r="G3267">
        <v>6841.7579999999998</v>
      </c>
      <c r="H3267" s="32">
        <f t="shared" si="51"/>
        <v>17.238259523356426</v>
      </c>
      <c r="I3267">
        <v>1</v>
      </c>
      <c r="J3267" t="s">
        <v>21</v>
      </c>
    </row>
    <row r="3268" spans="1:10" x14ac:dyDescent="0.25">
      <c r="A3268">
        <v>1880</v>
      </c>
      <c r="B3268" t="s">
        <v>2353</v>
      </c>
      <c r="C3268" t="s">
        <v>250</v>
      </c>
      <c r="D3268" t="s">
        <v>2214</v>
      </c>
      <c r="E3268" t="s">
        <v>2216</v>
      </c>
      <c r="F3268">
        <v>144500</v>
      </c>
      <c r="G3268">
        <v>8353</v>
      </c>
      <c r="H3268" s="32">
        <f t="shared" si="51"/>
        <v>17.299173949479229</v>
      </c>
      <c r="I3268">
        <v>1</v>
      </c>
      <c r="J3268" t="s">
        <v>21</v>
      </c>
    </row>
    <row r="3269" spans="1:10" x14ac:dyDescent="0.25">
      <c r="A3269">
        <v>50215</v>
      </c>
      <c r="B3269" t="s">
        <v>2205</v>
      </c>
      <c r="C3269" t="s">
        <v>143</v>
      </c>
      <c r="D3269" t="s">
        <v>2218</v>
      </c>
      <c r="E3269" t="s">
        <v>2216</v>
      </c>
      <c r="F3269">
        <v>93956</v>
      </c>
      <c r="G3269">
        <v>5408.625</v>
      </c>
      <c r="H3269" s="32">
        <f t="shared" si="51"/>
        <v>17.37151309251427</v>
      </c>
      <c r="I3269">
        <v>1</v>
      </c>
      <c r="J3269" t="s">
        <v>21</v>
      </c>
    </row>
    <row r="3270" spans="1:10" x14ac:dyDescent="0.25">
      <c r="A3270">
        <v>57505</v>
      </c>
      <c r="B3270" t="s">
        <v>3010</v>
      </c>
      <c r="C3270" t="s">
        <v>708</v>
      </c>
      <c r="D3270" t="s">
        <v>2214</v>
      </c>
      <c r="E3270" t="s">
        <v>2216</v>
      </c>
      <c r="F3270">
        <v>26948</v>
      </c>
      <c r="G3270">
        <v>1543.2539999999999</v>
      </c>
      <c r="H3270" s="32">
        <f t="shared" si="51"/>
        <v>17.461804732079102</v>
      </c>
      <c r="I3270">
        <v>1</v>
      </c>
      <c r="J3270" t="s">
        <v>21</v>
      </c>
    </row>
    <row r="3271" spans="1:10" x14ac:dyDescent="0.25">
      <c r="A3271">
        <v>10773</v>
      </c>
      <c r="B3271" t="s">
        <v>2611</v>
      </c>
      <c r="C3271" t="s">
        <v>201</v>
      </c>
      <c r="D3271" t="s">
        <v>2218</v>
      </c>
      <c r="E3271" t="s">
        <v>2216</v>
      </c>
      <c r="F3271">
        <v>1402</v>
      </c>
      <c r="G3271">
        <v>80.155000000000001</v>
      </c>
      <c r="H3271" s="32">
        <f t="shared" si="51"/>
        <v>17.491110972490798</v>
      </c>
      <c r="I3271">
        <v>1</v>
      </c>
      <c r="J3271" t="s">
        <v>21</v>
      </c>
    </row>
    <row r="3272" spans="1:10" x14ac:dyDescent="0.25">
      <c r="A3272">
        <v>55262</v>
      </c>
      <c r="B3272" t="s">
        <v>2779</v>
      </c>
      <c r="C3272" t="s">
        <v>322</v>
      </c>
      <c r="D3272" t="s">
        <v>2214</v>
      </c>
      <c r="E3272" t="s">
        <v>2216</v>
      </c>
      <c r="F3272">
        <v>49210</v>
      </c>
      <c r="G3272">
        <v>2777</v>
      </c>
      <c r="H3272" s="32">
        <f t="shared" si="51"/>
        <v>17.720561757292042</v>
      </c>
      <c r="I3272">
        <v>1</v>
      </c>
      <c r="J3272" t="s">
        <v>21</v>
      </c>
    </row>
    <row r="3273" spans="1:10" x14ac:dyDescent="0.25">
      <c r="A3273">
        <v>2903</v>
      </c>
      <c r="B3273" t="s">
        <v>2389</v>
      </c>
      <c r="C3273" t="s">
        <v>322</v>
      </c>
      <c r="D3273" t="s">
        <v>2214</v>
      </c>
      <c r="E3273" t="s">
        <v>2216</v>
      </c>
      <c r="F3273">
        <v>54016</v>
      </c>
      <c r="G3273">
        <v>3035</v>
      </c>
      <c r="H3273" s="32">
        <f t="shared" si="51"/>
        <v>17.797693574958814</v>
      </c>
      <c r="I3273">
        <v>1</v>
      </c>
      <c r="J3273" t="s">
        <v>21</v>
      </c>
    </row>
    <row r="3274" spans="1:10" x14ac:dyDescent="0.25">
      <c r="A3274">
        <v>7158</v>
      </c>
      <c r="B3274" t="s">
        <v>1819</v>
      </c>
      <c r="C3274" t="s">
        <v>322</v>
      </c>
      <c r="D3274" t="s">
        <v>2214</v>
      </c>
      <c r="E3274" t="s">
        <v>2216</v>
      </c>
      <c r="F3274">
        <v>5678883</v>
      </c>
      <c r="G3274">
        <v>318677.45</v>
      </c>
      <c r="H3274" s="32">
        <f t="shared" si="51"/>
        <v>17.820159537488454</v>
      </c>
      <c r="I3274">
        <v>1</v>
      </c>
      <c r="J3274" t="s">
        <v>21</v>
      </c>
    </row>
    <row r="3275" spans="1:10" x14ac:dyDescent="0.25">
      <c r="A3275">
        <v>3161</v>
      </c>
      <c r="B3275" t="s">
        <v>2409</v>
      </c>
      <c r="C3275" t="s">
        <v>143</v>
      </c>
      <c r="D3275" t="s">
        <v>2218</v>
      </c>
      <c r="E3275" t="s">
        <v>2216</v>
      </c>
      <c r="F3275">
        <v>341304</v>
      </c>
      <c r="G3275">
        <v>19136.48</v>
      </c>
      <c r="H3275" s="32">
        <f t="shared" si="51"/>
        <v>17.835254968520857</v>
      </c>
      <c r="I3275">
        <v>1</v>
      </c>
      <c r="J3275" t="s">
        <v>21</v>
      </c>
    </row>
    <row r="3276" spans="1:10" x14ac:dyDescent="0.25">
      <c r="A3276">
        <v>55263</v>
      </c>
      <c r="B3276" t="s">
        <v>2780</v>
      </c>
      <c r="C3276" t="s">
        <v>322</v>
      </c>
      <c r="D3276" t="s">
        <v>2214</v>
      </c>
      <c r="E3276" t="s">
        <v>2216</v>
      </c>
      <c r="F3276">
        <v>46548</v>
      </c>
      <c r="G3276">
        <v>2522</v>
      </c>
      <c r="H3276" s="32">
        <f t="shared" si="51"/>
        <v>18.456780333068991</v>
      </c>
      <c r="I3276">
        <v>1</v>
      </c>
      <c r="J3276" t="s">
        <v>21</v>
      </c>
    </row>
    <row r="3277" spans="1:10" x14ac:dyDescent="0.25">
      <c r="A3277">
        <v>55264</v>
      </c>
      <c r="B3277" t="s">
        <v>2781</v>
      </c>
      <c r="C3277" t="s">
        <v>322</v>
      </c>
      <c r="D3277" t="s">
        <v>2214</v>
      </c>
      <c r="E3277" t="s">
        <v>2216</v>
      </c>
      <c r="F3277">
        <v>48219</v>
      </c>
      <c r="G3277">
        <v>2570</v>
      </c>
      <c r="H3277" s="32">
        <f t="shared" si="51"/>
        <v>18.76225680933852</v>
      </c>
      <c r="I3277">
        <v>1</v>
      </c>
      <c r="J3277" t="s">
        <v>21</v>
      </c>
    </row>
    <row r="3278" spans="1:10" x14ac:dyDescent="0.25">
      <c r="A3278">
        <v>1881</v>
      </c>
      <c r="B3278" t="s">
        <v>2354</v>
      </c>
      <c r="C3278" t="s">
        <v>250</v>
      </c>
      <c r="D3278" t="s">
        <v>2214</v>
      </c>
      <c r="E3278" t="s">
        <v>2216</v>
      </c>
      <c r="F3278">
        <v>82600</v>
      </c>
      <c r="G3278">
        <v>4397.26</v>
      </c>
      <c r="H3278" s="32">
        <f t="shared" si="51"/>
        <v>18.784424846381608</v>
      </c>
      <c r="I3278">
        <v>1</v>
      </c>
      <c r="J3278" t="s">
        <v>21</v>
      </c>
    </row>
    <row r="3279" spans="1:10" x14ac:dyDescent="0.25">
      <c r="A3279">
        <v>1001</v>
      </c>
      <c r="B3279" t="s">
        <v>2267</v>
      </c>
      <c r="C3279" t="s">
        <v>131</v>
      </c>
      <c r="D3279" t="s">
        <v>2214</v>
      </c>
      <c r="E3279" t="s">
        <v>2216</v>
      </c>
      <c r="F3279">
        <v>169006</v>
      </c>
      <c r="G3279">
        <v>8944.7610000000004</v>
      </c>
      <c r="H3279" s="32">
        <f t="shared" si="51"/>
        <v>18.89441204745437</v>
      </c>
      <c r="I3279">
        <v>1</v>
      </c>
      <c r="J3279" t="s">
        <v>21</v>
      </c>
    </row>
    <row r="3280" spans="1:10" x14ac:dyDescent="0.25">
      <c r="A3280">
        <v>6004</v>
      </c>
      <c r="B3280" t="s">
        <v>1387</v>
      </c>
      <c r="C3280" t="s">
        <v>118</v>
      </c>
      <c r="D3280" t="s">
        <v>2218</v>
      </c>
      <c r="E3280" t="s">
        <v>2216</v>
      </c>
      <c r="F3280">
        <v>393997</v>
      </c>
      <c r="G3280">
        <v>20324.525000000001</v>
      </c>
      <c r="H3280" s="32">
        <f t="shared" si="51"/>
        <v>19.385299287437221</v>
      </c>
      <c r="I3280">
        <v>1</v>
      </c>
      <c r="J3280" t="s">
        <v>21</v>
      </c>
    </row>
    <row r="3281" spans="1:10" x14ac:dyDescent="0.25">
      <c r="A3281">
        <v>10746</v>
      </c>
      <c r="B3281" t="s">
        <v>2018</v>
      </c>
      <c r="C3281" t="s">
        <v>143</v>
      </c>
      <c r="D3281" t="s">
        <v>2218</v>
      </c>
      <c r="E3281" t="s">
        <v>2216</v>
      </c>
      <c r="F3281">
        <v>10075</v>
      </c>
      <c r="G3281">
        <v>514.95600000000002</v>
      </c>
      <c r="H3281" s="32">
        <f t="shared" si="51"/>
        <v>19.564778349994949</v>
      </c>
      <c r="I3281">
        <v>1</v>
      </c>
      <c r="J3281" t="s">
        <v>21</v>
      </c>
    </row>
    <row r="3282" spans="1:10" x14ac:dyDescent="0.25">
      <c r="A3282">
        <v>2936</v>
      </c>
      <c r="B3282" t="s">
        <v>2394</v>
      </c>
      <c r="C3282" t="s">
        <v>322</v>
      </c>
      <c r="D3282" t="s">
        <v>2218</v>
      </c>
      <c r="E3282" t="s">
        <v>2216</v>
      </c>
      <c r="F3282">
        <v>5409</v>
      </c>
      <c r="G3282">
        <v>271.17099999999999</v>
      </c>
      <c r="H3282" s="32">
        <f t="shared" si="51"/>
        <v>19.946823222247218</v>
      </c>
      <c r="I3282">
        <v>1</v>
      </c>
      <c r="J3282" t="s">
        <v>21</v>
      </c>
    </row>
    <row r="3283" spans="1:10" x14ac:dyDescent="0.25">
      <c r="A3283">
        <v>55204</v>
      </c>
      <c r="B3283" t="s">
        <v>2774</v>
      </c>
      <c r="C3283" t="s">
        <v>166</v>
      </c>
      <c r="D3283" t="s">
        <v>2214</v>
      </c>
      <c r="E3283" t="s">
        <v>2216</v>
      </c>
      <c r="F3283">
        <v>61605</v>
      </c>
      <c r="G3283">
        <v>3060</v>
      </c>
      <c r="H3283" s="32">
        <f t="shared" si="51"/>
        <v>20.132352941176471</v>
      </c>
      <c r="I3283">
        <v>1</v>
      </c>
      <c r="J3283" t="s">
        <v>21</v>
      </c>
    </row>
    <row r="3284" spans="1:10" x14ac:dyDescent="0.25">
      <c r="A3284">
        <v>1867</v>
      </c>
      <c r="B3284" t="s">
        <v>2349</v>
      </c>
      <c r="C3284" t="s">
        <v>250</v>
      </c>
      <c r="D3284" t="s">
        <v>2234</v>
      </c>
      <c r="E3284" t="s">
        <v>2216</v>
      </c>
      <c r="F3284">
        <v>10872</v>
      </c>
      <c r="G3284">
        <v>534.92999999999995</v>
      </c>
      <c r="H3284" s="32">
        <f t="shared" si="51"/>
        <v>20.32415456227918</v>
      </c>
      <c r="I3284">
        <v>1</v>
      </c>
      <c r="J3284" t="s">
        <v>21</v>
      </c>
    </row>
    <row r="3285" spans="1:10" x14ac:dyDescent="0.25">
      <c r="A3285">
        <v>50860</v>
      </c>
      <c r="B3285" t="s">
        <v>2670</v>
      </c>
      <c r="C3285" t="s">
        <v>250</v>
      </c>
      <c r="D3285" t="s">
        <v>2218</v>
      </c>
      <c r="E3285" t="s">
        <v>2216</v>
      </c>
      <c r="F3285">
        <v>8172</v>
      </c>
      <c r="G3285">
        <v>399.19900000000001</v>
      </c>
      <c r="H3285" s="32">
        <f t="shared" si="51"/>
        <v>20.47099316381053</v>
      </c>
      <c r="I3285">
        <v>1</v>
      </c>
      <c r="J3285" t="s">
        <v>21</v>
      </c>
    </row>
    <row r="3286" spans="1:10" x14ac:dyDescent="0.25">
      <c r="A3286">
        <v>50657</v>
      </c>
      <c r="B3286" t="s">
        <v>2660</v>
      </c>
      <c r="C3286" t="s">
        <v>307</v>
      </c>
      <c r="D3286" t="s">
        <v>2218</v>
      </c>
      <c r="E3286" t="s">
        <v>2216</v>
      </c>
      <c r="F3286">
        <v>56360</v>
      </c>
      <c r="G3286">
        <v>2729.6640000000002</v>
      </c>
      <c r="H3286" s="32">
        <f t="shared" si="51"/>
        <v>20.647229842207683</v>
      </c>
      <c r="I3286">
        <v>1</v>
      </c>
      <c r="J3286" t="s">
        <v>21</v>
      </c>
    </row>
    <row r="3287" spans="1:10" x14ac:dyDescent="0.25">
      <c r="A3287">
        <v>7318</v>
      </c>
      <c r="B3287" t="s">
        <v>2516</v>
      </c>
      <c r="C3287" t="s">
        <v>672</v>
      </c>
      <c r="D3287" t="s">
        <v>2214</v>
      </c>
      <c r="E3287" t="s">
        <v>2216</v>
      </c>
      <c r="F3287">
        <v>67217</v>
      </c>
      <c r="G3287">
        <v>3088.9760000000001</v>
      </c>
      <c r="H3287" s="32">
        <f t="shared" si="51"/>
        <v>21.760285609211596</v>
      </c>
      <c r="I3287">
        <v>1</v>
      </c>
      <c r="J3287" t="s">
        <v>21</v>
      </c>
    </row>
    <row r="3288" spans="1:10" x14ac:dyDescent="0.25">
      <c r="A3288">
        <v>2848</v>
      </c>
      <c r="B3288" t="s">
        <v>967</v>
      </c>
      <c r="C3288" t="s">
        <v>322</v>
      </c>
      <c r="D3288" t="s">
        <v>2214</v>
      </c>
      <c r="E3288" t="s">
        <v>2216</v>
      </c>
      <c r="F3288">
        <v>20519</v>
      </c>
      <c r="G3288">
        <v>912.84500000000003</v>
      </c>
      <c r="H3288" s="32">
        <f t="shared" si="51"/>
        <v>22.478076781929023</v>
      </c>
      <c r="I3288">
        <v>1</v>
      </c>
      <c r="J3288" t="s">
        <v>21</v>
      </c>
    </row>
    <row r="3289" spans="1:10" x14ac:dyDescent="0.25">
      <c r="A3289">
        <v>7336</v>
      </c>
      <c r="B3289" t="s">
        <v>129</v>
      </c>
      <c r="C3289" t="s">
        <v>131</v>
      </c>
      <c r="D3289" t="s">
        <v>2214</v>
      </c>
      <c r="E3289" t="s">
        <v>2216</v>
      </c>
      <c r="F3289">
        <v>2109838</v>
      </c>
      <c r="G3289">
        <v>92079.876999999993</v>
      </c>
      <c r="H3289" s="32">
        <f t="shared" si="51"/>
        <v>22.913127913930644</v>
      </c>
      <c r="I3289">
        <v>1</v>
      </c>
      <c r="J3289" t="s">
        <v>21</v>
      </c>
    </row>
    <row r="3290" spans="1:10" x14ac:dyDescent="0.25">
      <c r="A3290">
        <v>65494</v>
      </c>
      <c r="B3290" t="s">
        <v>4756</v>
      </c>
      <c r="C3290" t="s">
        <v>131</v>
      </c>
      <c r="D3290" t="s">
        <v>2234</v>
      </c>
      <c r="E3290" t="s">
        <v>2216</v>
      </c>
      <c r="F3290">
        <v>1736</v>
      </c>
      <c r="G3290">
        <v>74.48</v>
      </c>
      <c r="H3290" s="32">
        <f t="shared" si="51"/>
        <v>23.308270676691727</v>
      </c>
      <c r="I3290">
        <v>1</v>
      </c>
      <c r="J3290" t="s">
        <v>21</v>
      </c>
    </row>
    <row r="3291" spans="1:10" x14ac:dyDescent="0.25">
      <c r="A3291">
        <v>50903</v>
      </c>
      <c r="B3291" t="s">
        <v>2677</v>
      </c>
      <c r="C3291" t="s">
        <v>131</v>
      </c>
      <c r="D3291" t="s">
        <v>2218</v>
      </c>
      <c r="E3291" t="s">
        <v>2216</v>
      </c>
      <c r="F3291">
        <v>499335</v>
      </c>
      <c r="G3291">
        <v>21293.439999999999</v>
      </c>
      <c r="H3291" s="32">
        <f t="shared" si="51"/>
        <v>23.450179961528058</v>
      </c>
      <c r="I3291">
        <v>1</v>
      </c>
      <c r="J3291" t="s">
        <v>21</v>
      </c>
    </row>
    <row r="3292" spans="1:10" x14ac:dyDescent="0.25">
      <c r="A3292">
        <v>10435</v>
      </c>
      <c r="B3292" t="s">
        <v>1988</v>
      </c>
      <c r="C3292" t="s">
        <v>241</v>
      </c>
      <c r="D3292" t="s">
        <v>2218</v>
      </c>
      <c r="E3292" t="s">
        <v>2216</v>
      </c>
      <c r="F3292">
        <v>46813</v>
      </c>
      <c r="G3292">
        <v>1943.44</v>
      </c>
      <c r="H3292" s="32">
        <f t="shared" si="51"/>
        <v>24.087700160540074</v>
      </c>
      <c r="I3292">
        <v>1</v>
      </c>
      <c r="J3292" t="s">
        <v>21</v>
      </c>
    </row>
    <row r="3293" spans="1:10" x14ac:dyDescent="0.25">
      <c r="A3293">
        <v>2831</v>
      </c>
      <c r="B3293" t="s">
        <v>2027</v>
      </c>
      <c r="C3293" t="s">
        <v>322</v>
      </c>
      <c r="D3293" t="s">
        <v>2214</v>
      </c>
      <c r="E3293" t="s">
        <v>2216</v>
      </c>
      <c r="F3293">
        <v>361390</v>
      </c>
      <c r="G3293">
        <v>14974</v>
      </c>
      <c r="H3293" s="32">
        <f t="shared" si="51"/>
        <v>24.13449979965273</v>
      </c>
      <c r="I3293">
        <v>1</v>
      </c>
      <c r="J3293" t="s">
        <v>21</v>
      </c>
    </row>
    <row r="3294" spans="1:10" x14ac:dyDescent="0.25">
      <c r="A3294">
        <v>2917</v>
      </c>
      <c r="B3294" t="s">
        <v>2391</v>
      </c>
      <c r="C3294" t="s">
        <v>322</v>
      </c>
      <c r="D3294" t="s">
        <v>2214</v>
      </c>
      <c r="E3294" t="s">
        <v>2216</v>
      </c>
      <c r="F3294">
        <v>29600</v>
      </c>
      <c r="G3294">
        <v>1193</v>
      </c>
      <c r="H3294" s="32">
        <f t="shared" si="51"/>
        <v>24.811399832355406</v>
      </c>
      <c r="I3294">
        <v>1</v>
      </c>
      <c r="J3294" t="s">
        <v>21</v>
      </c>
    </row>
    <row r="3295" spans="1:10" x14ac:dyDescent="0.25">
      <c r="A3295">
        <v>54886</v>
      </c>
      <c r="B3295" t="s">
        <v>2734</v>
      </c>
      <c r="C3295" t="s">
        <v>166</v>
      </c>
      <c r="D3295" t="s">
        <v>2234</v>
      </c>
      <c r="E3295" t="s">
        <v>2216</v>
      </c>
      <c r="F3295">
        <v>25</v>
      </c>
      <c r="G3295">
        <v>0.98</v>
      </c>
      <c r="H3295" s="32">
        <f t="shared" si="51"/>
        <v>25.510204081632654</v>
      </c>
      <c r="I3295">
        <v>1</v>
      </c>
      <c r="J3295" t="s">
        <v>21</v>
      </c>
    </row>
    <row r="3296" spans="1:10" x14ac:dyDescent="0.25">
      <c r="A3296">
        <v>1702</v>
      </c>
      <c r="B3296" t="s">
        <v>2296</v>
      </c>
      <c r="C3296" t="s">
        <v>250</v>
      </c>
      <c r="D3296" t="s">
        <v>2218</v>
      </c>
      <c r="E3296" t="s">
        <v>2216</v>
      </c>
      <c r="F3296">
        <v>1981248</v>
      </c>
      <c r="G3296">
        <v>76985.551000000007</v>
      </c>
      <c r="H3296" s="32">
        <f t="shared" si="51"/>
        <v>25.735322723091244</v>
      </c>
      <c r="I3296">
        <v>1</v>
      </c>
      <c r="J3296" t="s">
        <v>21</v>
      </c>
    </row>
    <row r="3297" spans="1:10" x14ac:dyDescent="0.25">
      <c r="A3297">
        <v>2914</v>
      </c>
      <c r="B3297" t="s">
        <v>2390</v>
      </c>
      <c r="C3297" t="s">
        <v>322</v>
      </c>
      <c r="D3297" t="s">
        <v>2218</v>
      </c>
      <c r="E3297" t="s">
        <v>2216</v>
      </c>
      <c r="F3297">
        <v>3251</v>
      </c>
      <c r="G3297">
        <v>123.899</v>
      </c>
      <c r="H3297" s="32">
        <f t="shared" si="51"/>
        <v>26.239114117143803</v>
      </c>
      <c r="I3297">
        <v>1</v>
      </c>
      <c r="J3297" t="s">
        <v>21</v>
      </c>
    </row>
    <row r="3298" spans="1:10" x14ac:dyDescent="0.25">
      <c r="A3298">
        <v>61990</v>
      </c>
      <c r="B3298" t="s">
        <v>4095</v>
      </c>
      <c r="C3298" t="s">
        <v>166</v>
      </c>
      <c r="D3298" t="s">
        <v>2234</v>
      </c>
      <c r="E3298" t="s">
        <v>2216</v>
      </c>
      <c r="F3298">
        <v>29</v>
      </c>
      <c r="G3298">
        <v>1</v>
      </c>
      <c r="H3298" s="32">
        <f t="shared" si="51"/>
        <v>29</v>
      </c>
      <c r="I3298">
        <v>1</v>
      </c>
      <c r="J3298" t="s">
        <v>21</v>
      </c>
    </row>
    <row r="3299" spans="1:10" x14ac:dyDescent="0.25">
      <c r="A3299">
        <v>899</v>
      </c>
      <c r="B3299" t="s">
        <v>2228</v>
      </c>
      <c r="C3299" t="s">
        <v>166</v>
      </c>
      <c r="D3299" t="s">
        <v>2214</v>
      </c>
      <c r="E3299" t="s">
        <v>2216</v>
      </c>
      <c r="F3299">
        <v>19943</v>
      </c>
      <c r="G3299">
        <v>624</v>
      </c>
      <c r="H3299" s="32">
        <f t="shared" si="51"/>
        <v>31.959935897435898</v>
      </c>
      <c r="I3299">
        <v>1</v>
      </c>
      <c r="J3299" t="s">
        <v>21</v>
      </c>
    </row>
    <row r="3300" spans="1:10" x14ac:dyDescent="0.25">
      <c r="A3300">
        <v>2914</v>
      </c>
      <c r="B3300" t="s">
        <v>2390</v>
      </c>
      <c r="C3300" t="s">
        <v>322</v>
      </c>
      <c r="D3300" t="s">
        <v>2214</v>
      </c>
      <c r="E3300" t="s">
        <v>2216</v>
      </c>
      <c r="F3300">
        <v>15992</v>
      </c>
      <c r="G3300">
        <v>350</v>
      </c>
      <c r="H3300" s="32">
        <f t="shared" si="51"/>
        <v>45.691428571428574</v>
      </c>
      <c r="I3300">
        <v>1</v>
      </c>
      <c r="J3300" t="s">
        <v>21</v>
      </c>
    </row>
    <row r="3301" spans="1:10" x14ac:dyDescent="0.25">
      <c r="A3301">
        <v>2390</v>
      </c>
      <c r="B3301" t="s">
        <v>2162</v>
      </c>
      <c r="C3301" t="s">
        <v>241</v>
      </c>
      <c r="D3301" t="s">
        <v>2214</v>
      </c>
      <c r="E3301" t="s">
        <v>2216</v>
      </c>
      <c r="F3301">
        <v>21130</v>
      </c>
      <c r="G3301">
        <v>334.49299999999999</v>
      </c>
      <c r="H3301" s="32">
        <f t="shared" si="51"/>
        <v>63.170230767161044</v>
      </c>
      <c r="I3301">
        <v>1</v>
      </c>
      <c r="J3301" t="s">
        <v>21</v>
      </c>
    </row>
    <row r="3302" spans="1:10" x14ac:dyDescent="0.25">
      <c r="A3302">
        <v>1358</v>
      </c>
      <c r="B3302" t="s">
        <v>2278</v>
      </c>
      <c r="C3302" t="s">
        <v>266</v>
      </c>
      <c r="D3302" t="s">
        <v>2214</v>
      </c>
      <c r="E3302" t="s">
        <v>2216</v>
      </c>
      <c r="F3302">
        <v>4930</v>
      </c>
      <c r="G3302">
        <v>76</v>
      </c>
      <c r="H3302" s="32">
        <f t="shared" si="51"/>
        <v>64.868421052631575</v>
      </c>
      <c r="I3302">
        <v>1</v>
      </c>
      <c r="J3302" t="s">
        <v>21</v>
      </c>
    </row>
    <row r="3303" spans="1:10" x14ac:dyDescent="0.25">
      <c r="A3303">
        <v>6565</v>
      </c>
      <c r="B3303" t="s">
        <v>2506</v>
      </c>
      <c r="C3303" t="s">
        <v>307</v>
      </c>
      <c r="D3303" t="s">
        <v>2234</v>
      </c>
      <c r="E3303" t="s">
        <v>2216</v>
      </c>
      <c r="F3303">
        <v>1777</v>
      </c>
      <c r="G3303">
        <v>24.949000000000002</v>
      </c>
      <c r="H3303" s="32">
        <f t="shared" si="51"/>
        <v>71.225299611206864</v>
      </c>
      <c r="I3303">
        <v>1</v>
      </c>
      <c r="J3303" t="s">
        <v>21</v>
      </c>
    </row>
    <row r="3304" spans="1:10" x14ac:dyDescent="0.25">
      <c r="A3304">
        <v>992</v>
      </c>
      <c r="B3304" t="s">
        <v>2263</v>
      </c>
      <c r="C3304" t="s">
        <v>131</v>
      </c>
      <c r="D3304" t="s">
        <v>2218</v>
      </c>
      <c r="E3304" t="s">
        <v>2216</v>
      </c>
      <c r="F3304">
        <v>3192225</v>
      </c>
      <c r="G3304">
        <v>11085.125</v>
      </c>
      <c r="H3304" s="32">
        <f t="shared" si="51"/>
        <v>287.97374860454892</v>
      </c>
      <c r="I3304">
        <v>1</v>
      </c>
      <c r="J3304" t="s">
        <v>21</v>
      </c>
    </row>
    <row r="3305" spans="1:10" x14ac:dyDescent="0.25">
      <c r="A3305">
        <v>957</v>
      </c>
      <c r="B3305" t="s">
        <v>2249</v>
      </c>
      <c r="C3305" t="s">
        <v>166</v>
      </c>
      <c r="D3305" t="s">
        <v>2234</v>
      </c>
      <c r="E3305" t="s">
        <v>2216</v>
      </c>
      <c r="F3305">
        <v>2376152</v>
      </c>
      <c r="G3305">
        <v>811.09199999999998</v>
      </c>
      <c r="H3305" s="32">
        <f t="shared" si="51"/>
        <v>2929.5714912734929</v>
      </c>
      <c r="I3305">
        <v>1</v>
      </c>
      <c r="J3305" t="s">
        <v>21</v>
      </c>
    </row>
    <row r="3306" spans="1:10" x14ac:dyDescent="0.25">
      <c r="A3306">
        <v>991</v>
      </c>
      <c r="B3306" t="s">
        <v>2033</v>
      </c>
      <c r="C3306" t="s">
        <v>131</v>
      </c>
      <c r="D3306" t="s">
        <v>1969</v>
      </c>
      <c r="E3306" t="s">
        <v>2216</v>
      </c>
      <c r="F3306">
        <v>0</v>
      </c>
      <c r="G3306">
        <v>2009939</v>
      </c>
      <c r="H3306" s="32" t="str">
        <f t="shared" si="51"/>
        <v/>
      </c>
      <c r="I3306">
        <v>1</v>
      </c>
      <c r="J3306" t="s">
        <v>21</v>
      </c>
    </row>
    <row r="3307" spans="1:10" x14ac:dyDescent="0.25">
      <c r="A3307">
        <v>1004</v>
      </c>
      <c r="B3307" t="s">
        <v>2268</v>
      </c>
      <c r="C3307" t="s">
        <v>131</v>
      </c>
      <c r="D3307" t="s">
        <v>1969</v>
      </c>
      <c r="E3307" t="s">
        <v>2216</v>
      </c>
      <c r="F3307">
        <v>0</v>
      </c>
      <c r="G3307">
        <v>566090.13600000006</v>
      </c>
      <c r="H3307" s="32" t="str">
        <f t="shared" si="51"/>
        <v/>
      </c>
      <c r="I3307">
        <v>1</v>
      </c>
      <c r="J3307" t="s">
        <v>21</v>
      </c>
    </row>
    <row r="3308" spans="1:10" x14ac:dyDescent="0.25">
      <c r="A3308">
        <v>1016</v>
      </c>
      <c r="B3308" t="s">
        <v>2273</v>
      </c>
      <c r="C3308" t="s">
        <v>708</v>
      </c>
      <c r="D3308" t="s">
        <v>1969</v>
      </c>
      <c r="E3308" t="s">
        <v>2216</v>
      </c>
      <c r="F3308">
        <v>0</v>
      </c>
      <c r="G3308">
        <v>26236.117999999999</v>
      </c>
      <c r="H3308" s="32" t="str">
        <f t="shared" si="51"/>
        <v/>
      </c>
      <c r="I3308">
        <v>1</v>
      </c>
      <c r="J3308" t="s">
        <v>21</v>
      </c>
    </row>
    <row r="3309" spans="1:10" x14ac:dyDescent="0.25">
      <c r="A3309">
        <v>1363</v>
      </c>
      <c r="B3309" t="s">
        <v>2074</v>
      </c>
      <c r="C3309" t="s">
        <v>266</v>
      </c>
      <c r="D3309" t="s">
        <v>1969</v>
      </c>
      <c r="E3309" t="s">
        <v>2216</v>
      </c>
      <c r="F3309">
        <v>0</v>
      </c>
      <c r="G3309">
        <v>1750830</v>
      </c>
      <c r="H3309" s="32" t="str">
        <f t="shared" si="51"/>
        <v/>
      </c>
      <c r="I3309">
        <v>1</v>
      </c>
      <c r="J3309" t="s">
        <v>21</v>
      </c>
    </row>
    <row r="3310" spans="1:10" x14ac:dyDescent="0.25">
      <c r="A3310">
        <v>2393</v>
      </c>
      <c r="B3310" t="s">
        <v>808</v>
      </c>
      <c r="C3310" t="s">
        <v>241</v>
      </c>
      <c r="D3310" t="s">
        <v>1969</v>
      </c>
      <c r="E3310" t="s">
        <v>2216</v>
      </c>
      <c r="F3310">
        <v>0</v>
      </c>
      <c r="G3310">
        <v>11012</v>
      </c>
      <c r="H3310" s="32" t="str">
        <f t="shared" si="51"/>
        <v/>
      </c>
      <c r="I3310">
        <v>1</v>
      </c>
      <c r="J3310" t="s">
        <v>21</v>
      </c>
    </row>
    <row r="3311" spans="1:10" x14ac:dyDescent="0.25">
      <c r="A3311">
        <v>2706</v>
      </c>
      <c r="B3311" t="s">
        <v>2358</v>
      </c>
      <c r="C3311" t="s">
        <v>708</v>
      </c>
      <c r="D3311" t="s">
        <v>1969</v>
      </c>
      <c r="E3311" t="s">
        <v>2216</v>
      </c>
      <c r="F3311">
        <v>0</v>
      </c>
      <c r="G3311">
        <v>1130189.638</v>
      </c>
      <c r="H3311" s="32" t="str">
        <f t="shared" si="51"/>
        <v/>
      </c>
      <c r="I3311">
        <v>1</v>
      </c>
      <c r="J3311" t="s">
        <v>21</v>
      </c>
    </row>
    <row r="3312" spans="1:10" x14ac:dyDescent="0.25">
      <c r="A3312">
        <v>7153</v>
      </c>
      <c r="B3312" t="s">
        <v>904</v>
      </c>
      <c r="C3312" t="s">
        <v>672</v>
      </c>
      <c r="D3312" t="s">
        <v>1969</v>
      </c>
      <c r="E3312" t="s">
        <v>2216</v>
      </c>
      <c r="F3312">
        <v>0</v>
      </c>
      <c r="G3312">
        <v>715220.451</v>
      </c>
      <c r="H3312" s="32" t="str">
        <f t="shared" si="51"/>
        <v/>
      </c>
      <c r="I3312">
        <v>1</v>
      </c>
      <c r="J3312" t="s">
        <v>21</v>
      </c>
    </row>
    <row r="3313" spans="1:10" x14ac:dyDescent="0.25">
      <c r="A3313">
        <v>7826</v>
      </c>
      <c r="B3313" t="s">
        <v>2552</v>
      </c>
      <c r="C3313" t="s">
        <v>708</v>
      </c>
      <c r="D3313" t="s">
        <v>1969</v>
      </c>
      <c r="E3313" t="s">
        <v>2216</v>
      </c>
      <c r="F3313">
        <v>0</v>
      </c>
      <c r="G3313">
        <v>1328636</v>
      </c>
      <c r="H3313" s="32" t="str">
        <f t="shared" si="51"/>
        <v/>
      </c>
      <c r="I3313">
        <v>1</v>
      </c>
      <c r="J3313" t="s">
        <v>21</v>
      </c>
    </row>
    <row r="3314" spans="1:10" x14ac:dyDescent="0.25">
      <c r="A3314">
        <v>10308</v>
      </c>
      <c r="B3314" t="s">
        <v>2594</v>
      </c>
      <c r="C3314" t="s">
        <v>241</v>
      </c>
      <c r="D3314" t="s">
        <v>1969</v>
      </c>
      <c r="E3314" t="s">
        <v>2216</v>
      </c>
      <c r="F3314">
        <v>0</v>
      </c>
      <c r="G3314">
        <v>229800</v>
      </c>
      <c r="H3314" s="32" t="str">
        <f t="shared" si="51"/>
        <v/>
      </c>
      <c r="I3314">
        <v>1</v>
      </c>
      <c r="J3314" t="s">
        <v>21</v>
      </c>
    </row>
    <row r="3315" spans="1:10" x14ac:dyDescent="0.25">
      <c r="A3315">
        <v>10633</v>
      </c>
      <c r="B3315" t="s">
        <v>2078</v>
      </c>
      <c r="C3315" t="s">
        <v>201</v>
      </c>
      <c r="D3315" t="s">
        <v>1969</v>
      </c>
      <c r="E3315" t="s">
        <v>2216</v>
      </c>
      <c r="F3315">
        <v>0</v>
      </c>
      <c r="G3315">
        <v>440865.20899999997</v>
      </c>
      <c r="H3315" s="32" t="str">
        <f t="shared" si="51"/>
        <v/>
      </c>
      <c r="I3315">
        <v>1</v>
      </c>
      <c r="J3315" t="s">
        <v>21</v>
      </c>
    </row>
    <row r="3316" spans="1:10" x14ac:dyDescent="0.25">
      <c r="A3316">
        <v>10805</v>
      </c>
      <c r="B3316" t="s">
        <v>1004</v>
      </c>
      <c r="C3316" t="s">
        <v>241</v>
      </c>
      <c r="D3316" t="s">
        <v>1969</v>
      </c>
      <c r="E3316" t="s">
        <v>2216</v>
      </c>
      <c r="F3316">
        <v>0</v>
      </c>
      <c r="G3316">
        <v>25212.239000000001</v>
      </c>
      <c r="H3316" s="32" t="str">
        <f t="shared" si="51"/>
        <v/>
      </c>
      <c r="I3316">
        <v>1</v>
      </c>
      <c r="J3316" t="s">
        <v>21</v>
      </c>
    </row>
    <row r="3317" spans="1:10" x14ac:dyDescent="0.25">
      <c r="A3317">
        <v>50561</v>
      </c>
      <c r="B3317" t="s">
        <v>630</v>
      </c>
      <c r="C3317" t="s">
        <v>241</v>
      </c>
      <c r="D3317" t="s">
        <v>1969</v>
      </c>
      <c r="E3317" t="s">
        <v>2216</v>
      </c>
      <c r="F3317">
        <v>0</v>
      </c>
      <c r="G3317">
        <v>49532.178</v>
      </c>
      <c r="H3317" s="32" t="str">
        <f t="shared" si="51"/>
        <v/>
      </c>
      <c r="I3317">
        <v>1</v>
      </c>
      <c r="J3317" t="s">
        <v>21</v>
      </c>
    </row>
    <row r="3318" spans="1:10" x14ac:dyDescent="0.25">
      <c r="A3318">
        <v>50647</v>
      </c>
      <c r="B3318" t="s">
        <v>2659</v>
      </c>
      <c r="C3318" t="s">
        <v>131</v>
      </c>
      <c r="D3318" t="s">
        <v>2218</v>
      </c>
      <c r="E3318" t="s">
        <v>2216</v>
      </c>
      <c r="F3318">
        <v>6478</v>
      </c>
      <c r="G3318">
        <v>0</v>
      </c>
      <c r="H3318" s="32" t="str">
        <f t="shared" si="51"/>
        <v/>
      </c>
      <c r="I3318">
        <v>1</v>
      </c>
      <c r="J3318" t="s">
        <v>21</v>
      </c>
    </row>
    <row r="3319" spans="1:10" x14ac:dyDescent="0.25">
      <c r="A3319">
        <v>54640</v>
      </c>
      <c r="B3319" t="s">
        <v>2098</v>
      </c>
      <c r="C3319" t="s">
        <v>241</v>
      </c>
      <c r="D3319" t="s">
        <v>1969</v>
      </c>
      <c r="E3319" t="s">
        <v>2216</v>
      </c>
      <c r="F3319">
        <v>0</v>
      </c>
      <c r="G3319">
        <v>74955.601999999999</v>
      </c>
      <c r="H3319" s="32" t="str">
        <f t="shared" si="51"/>
        <v/>
      </c>
      <c r="I3319">
        <v>1</v>
      </c>
      <c r="J3319" t="s">
        <v>21</v>
      </c>
    </row>
    <row r="3320" spans="1:10" x14ac:dyDescent="0.25">
      <c r="A3320">
        <v>54832</v>
      </c>
      <c r="B3320" t="s">
        <v>2731</v>
      </c>
      <c r="C3320" t="s">
        <v>307</v>
      </c>
      <c r="D3320" t="s">
        <v>1969</v>
      </c>
      <c r="E3320" t="s">
        <v>2216</v>
      </c>
      <c r="F3320">
        <v>0</v>
      </c>
      <c r="G3320">
        <v>246022.348</v>
      </c>
      <c r="H3320" s="32" t="str">
        <f t="shared" si="51"/>
        <v/>
      </c>
      <c r="I3320">
        <v>1</v>
      </c>
      <c r="J3320" t="s">
        <v>21</v>
      </c>
    </row>
    <row r="3321" spans="1:10" x14ac:dyDescent="0.25">
      <c r="A3321">
        <v>54965</v>
      </c>
      <c r="B3321" t="s">
        <v>2749</v>
      </c>
      <c r="C3321" t="s">
        <v>250</v>
      </c>
      <c r="D3321" t="s">
        <v>2218</v>
      </c>
      <c r="E3321" t="s">
        <v>2216</v>
      </c>
      <c r="F3321">
        <v>22206</v>
      </c>
      <c r="G3321">
        <v>0</v>
      </c>
      <c r="H3321" s="32" t="str">
        <f t="shared" si="51"/>
        <v/>
      </c>
      <c r="I3321">
        <v>1</v>
      </c>
      <c r="J3321" t="s">
        <v>21</v>
      </c>
    </row>
    <row r="3322" spans="1:10" x14ac:dyDescent="0.25">
      <c r="A3322">
        <v>55088</v>
      </c>
      <c r="B3322" t="s">
        <v>2765</v>
      </c>
      <c r="C3322" t="s">
        <v>250</v>
      </c>
      <c r="D3322" t="s">
        <v>1969</v>
      </c>
      <c r="E3322" t="s">
        <v>2216</v>
      </c>
      <c r="F3322">
        <v>0</v>
      </c>
      <c r="G3322">
        <v>778201</v>
      </c>
      <c r="H3322" s="32" t="str">
        <f t="shared" si="51"/>
        <v/>
      </c>
      <c r="I3322">
        <v>1</v>
      </c>
      <c r="J3322" t="s">
        <v>21</v>
      </c>
    </row>
    <row r="3323" spans="1:10" x14ac:dyDescent="0.25">
      <c r="A3323">
        <v>55188</v>
      </c>
      <c r="B3323" t="s">
        <v>514</v>
      </c>
      <c r="C3323" t="s">
        <v>166</v>
      </c>
      <c r="D3323" t="s">
        <v>1969</v>
      </c>
      <c r="E3323" t="s">
        <v>2216</v>
      </c>
      <c r="F3323">
        <v>0</v>
      </c>
      <c r="G3323">
        <v>382097</v>
      </c>
      <c r="H3323" s="32" t="str">
        <f t="shared" si="51"/>
        <v/>
      </c>
      <c r="I3323">
        <v>1</v>
      </c>
      <c r="J3323" t="s">
        <v>21</v>
      </c>
    </row>
    <row r="3324" spans="1:10" x14ac:dyDescent="0.25">
      <c r="A3324">
        <v>55193</v>
      </c>
      <c r="B3324" t="s">
        <v>1311</v>
      </c>
      <c r="C3324" t="s">
        <v>143</v>
      </c>
      <c r="D3324" t="s">
        <v>1969</v>
      </c>
      <c r="E3324" t="s">
        <v>2216</v>
      </c>
      <c r="F3324">
        <v>0</v>
      </c>
      <c r="G3324">
        <v>1394928</v>
      </c>
      <c r="H3324" s="32" t="str">
        <f t="shared" si="51"/>
        <v/>
      </c>
      <c r="I3324">
        <v>1</v>
      </c>
      <c r="J3324" t="s">
        <v>21</v>
      </c>
    </row>
    <row r="3325" spans="1:10" x14ac:dyDescent="0.25">
      <c r="A3325">
        <v>55239</v>
      </c>
      <c r="B3325" t="s">
        <v>1458</v>
      </c>
      <c r="C3325" t="s">
        <v>241</v>
      </c>
      <c r="D3325" t="s">
        <v>1969</v>
      </c>
      <c r="E3325" t="s">
        <v>2216</v>
      </c>
      <c r="F3325">
        <v>0</v>
      </c>
      <c r="G3325">
        <v>1199031</v>
      </c>
      <c r="H3325" s="32" t="str">
        <f t="shared" si="51"/>
        <v/>
      </c>
      <c r="I3325">
        <v>1</v>
      </c>
      <c r="J3325" t="s">
        <v>21</v>
      </c>
    </row>
    <row r="3326" spans="1:10" x14ac:dyDescent="0.25">
      <c r="A3326">
        <v>55337</v>
      </c>
      <c r="B3326" t="s">
        <v>971</v>
      </c>
      <c r="C3326" t="s">
        <v>143</v>
      </c>
      <c r="D3326" t="s">
        <v>1969</v>
      </c>
      <c r="E3326" t="s">
        <v>2216</v>
      </c>
      <c r="F3326">
        <v>0</v>
      </c>
      <c r="G3326">
        <v>1647116</v>
      </c>
      <c r="H3326" s="32" t="str">
        <f t="shared" si="51"/>
        <v/>
      </c>
      <c r="I3326">
        <v>1</v>
      </c>
      <c r="J3326" t="s">
        <v>21</v>
      </c>
    </row>
    <row r="3327" spans="1:10" x14ac:dyDescent="0.25">
      <c r="A3327">
        <v>55350</v>
      </c>
      <c r="B3327" t="s">
        <v>620</v>
      </c>
      <c r="C3327" t="s">
        <v>322</v>
      </c>
      <c r="D3327" t="s">
        <v>1969</v>
      </c>
      <c r="E3327" t="s">
        <v>2216</v>
      </c>
      <c r="F3327">
        <v>0</v>
      </c>
      <c r="G3327">
        <v>1569516</v>
      </c>
      <c r="H3327" s="32" t="str">
        <f t="shared" si="51"/>
        <v/>
      </c>
      <c r="I3327">
        <v>1</v>
      </c>
      <c r="J3327" t="s">
        <v>21</v>
      </c>
    </row>
    <row r="3328" spans="1:10" x14ac:dyDescent="0.25">
      <c r="A3328">
        <v>55690</v>
      </c>
      <c r="B3328" t="s">
        <v>2803</v>
      </c>
      <c r="C3328" t="s">
        <v>143</v>
      </c>
      <c r="D3328" t="s">
        <v>1969</v>
      </c>
      <c r="E3328" t="s">
        <v>2216</v>
      </c>
      <c r="F3328">
        <v>0</v>
      </c>
      <c r="G3328">
        <v>2118070.83</v>
      </c>
      <c r="H3328" s="32" t="str">
        <f t="shared" si="51"/>
        <v/>
      </c>
      <c r="I3328">
        <v>1</v>
      </c>
      <c r="J3328" t="s">
        <v>21</v>
      </c>
    </row>
    <row r="3329" spans="1:10" x14ac:dyDescent="0.25">
      <c r="A3329">
        <v>55710</v>
      </c>
      <c r="B3329" t="s">
        <v>2804</v>
      </c>
      <c r="C3329" t="s">
        <v>143</v>
      </c>
      <c r="D3329" t="s">
        <v>1969</v>
      </c>
      <c r="E3329" t="s">
        <v>2216</v>
      </c>
      <c r="F3329">
        <v>0</v>
      </c>
      <c r="G3329">
        <v>1521591</v>
      </c>
      <c r="H3329" s="32" t="str">
        <f t="shared" si="51"/>
        <v/>
      </c>
      <c r="I3329">
        <v>1</v>
      </c>
      <c r="J3329" t="s">
        <v>21</v>
      </c>
    </row>
    <row r="3330" spans="1:10" x14ac:dyDescent="0.25">
      <c r="A3330">
        <v>58161</v>
      </c>
      <c r="B3330" t="s">
        <v>3121</v>
      </c>
      <c r="C3330" t="s">
        <v>250</v>
      </c>
      <c r="D3330" t="s">
        <v>1969</v>
      </c>
      <c r="E3330" t="s">
        <v>2216</v>
      </c>
      <c r="F3330">
        <v>0</v>
      </c>
      <c r="G3330">
        <v>4222</v>
      </c>
      <c r="H3330" s="32" t="str">
        <f t="shared" ref="H3330:H3393" si="52">IF(AND(F3330&gt;0,G3330&gt;0),F3330/G3330,"")</f>
        <v/>
      </c>
      <c r="I3330">
        <v>1</v>
      </c>
      <c r="J3330" t="s">
        <v>21</v>
      </c>
    </row>
    <row r="3331" spans="1:10" x14ac:dyDescent="0.25">
      <c r="A3331">
        <v>58330</v>
      </c>
      <c r="B3331" t="s">
        <v>3153</v>
      </c>
      <c r="C3331" t="s">
        <v>250</v>
      </c>
      <c r="D3331" t="s">
        <v>2218</v>
      </c>
      <c r="E3331" t="s">
        <v>2216</v>
      </c>
      <c r="F3331">
        <v>0</v>
      </c>
      <c r="G3331">
        <v>180.42</v>
      </c>
      <c r="H3331" s="32" t="str">
        <f t="shared" si="52"/>
        <v/>
      </c>
      <c r="I3331">
        <v>1</v>
      </c>
      <c r="J3331" t="s">
        <v>21</v>
      </c>
    </row>
    <row r="3332" spans="1:10" x14ac:dyDescent="0.25">
      <c r="A3332">
        <v>58697</v>
      </c>
      <c r="B3332" t="s">
        <v>3257</v>
      </c>
      <c r="C3332" t="s">
        <v>708</v>
      </c>
      <c r="D3332" t="s">
        <v>1969</v>
      </c>
      <c r="E3332" t="s">
        <v>2216</v>
      </c>
      <c r="F3332">
        <v>0</v>
      </c>
      <c r="G3332">
        <v>1221290</v>
      </c>
      <c r="H3332" s="32" t="str">
        <f t="shared" si="52"/>
        <v/>
      </c>
      <c r="I3332">
        <v>1</v>
      </c>
      <c r="J3332" t="s">
        <v>21</v>
      </c>
    </row>
    <row r="3333" spans="1:10" x14ac:dyDescent="0.25">
      <c r="A3333">
        <v>59093</v>
      </c>
      <c r="B3333" t="s">
        <v>3367</v>
      </c>
      <c r="C3333" t="s">
        <v>250</v>
      </c>
      <c r="D3333" t="s">
        <v>1969</v>
      </c>
      <c r="E3333" t="s">
        <v>2216</v>
      </c>
      <c r="F3333">
        <v>0</v>
      </c>
      <c r="G3333">
        <v>304833</v>
      </c>
      <c r="H3333" s="32" t="str">
        <f t="shared" si="52"/>
        <v/>
      </c>
      <c r="I3333">
        <v>1</v>
      </c>
      <c r="J3333" t="s">
        <v>21</v>
      </c>
    </row>
    <row r="3334" spans="1:10" x14ac:dyDescent="0.25">
      <c r="A3334">
        <v>63259</v>
      </c>
      <c r="B3334" t="s">
        <v>598</v>
      </c>
      <c r="C3334" t="s">
        <v>250</v>
      </c>
      <c r="D3334" t="s">
        <v>1969</v>
      </c>
      <c r="E3334" t="s">
        <v>2216</v>
      </c>
      <c r="F3334">
        <v>0</v>
      </c>
      <c r="G3334">
        <v>531958</v>
      </c>
      <c r="H3334" s="32" t="str">
        <f t="shared" si="52"/>
        <v/>
      </c>
      <c r="I3334">
        <v>1</v>
      </c>
      <c r="J3334" t="s">
        <v>21</v>
      </c>
    </row>
    <row r="3335" spans="1:10" x14ac:dyDescent="0.25">
      <c r="A3335">
        <v>69727</v>
      </c>
      <c r="B3335" t="s">
        <v>5393</v>
      </c>
      <c r="C3335" t="s">
        <v>201</v>
      </c>
      <c r="D3335" t="s">
        <v>5394</v>
      </c>
      <c r="E3335" t="s">
        <v>5395</v>
      </c>
      <c r="F3335">
        <v>0</v>
      </c>
      <c r="G3335">
        <v>937</v>
      </c>
      <c r="H3335" s="32" t="str">
        <f t="shared" si="52"/>
        <v/>
      </c>
      <c r="I3335">
        <v>1</v>
      </c>
      <c r="J3335" t="s">
        <v>21</v>
      </c>
    </row>
    <row r="3336" spans="1:10" x14ac:dyDescent="0.25">
      <c r="A3336">
        <v>10118</v>
      </c>
      <c r="B3336" t="s">
        <v>2069</v>
      </c>
      <c r="C3336" t="s">
        <v>143</v>
      </c>
      <c r="D3336" t="s">
        <v>2218</v>
      </c>
      <c r="E3336" t="s">
        <v>2577</v>
      </c>
      <c r="F3336">
        <v>354271</v>
      </c>
      <c r="G3336">
        <v>53594.207999999999</v>
      </c>
      <c r="H3336" s="32">
        <f t="shared" si="52"/>
        <v>6.6102478835026357</v>
      </c>
      <c r="I3336">
        <v>1</v>
      </c>
      <c r="J3336" t="s">
        <v>21</v>
      </c>
    </row>
    <row r="3337" spans="1:10" x14ac:dyDescent="0.25">
      <c r="A3337">
        <v>10629</v>
      </c>
      <c r="B3337" t="s">
        <v>2605</v>
      </c>
      <c r="C3337" t="s">
        <v>307</v>
      </c>
      <c r="D3337" t="s">
        <v>2218</v>
      </c>
      <c r="E3337" t="s">
        <v>2577</v>
      </c>
      <c r="F3337">
        <v>2096459</v>
      </c>
      <c r="G3337">
        <v>161923.09700000001</v>
      </c>
      <c r="H3337" s="32">
        <f t="shared" si="52"/>
        <v>12.947251126255322</v>
      </c>
      <c r="I3337">
        <v>1</v>
      </c>
      <c r="J3337" t="s">
        <v>21</v>
      </c>
    </row>
    <row r="3338" spans="1:10" x14ac:dyDescent="0.25">
      <c r="A3338">
        <v>50215</v>
      </c>
      <c r="B3338" t="s">
        <v>2205</v>
      </c>
      <c r="C3338" t="s">
        <v>143</v>
      </c>
      <c r="D3338" t="s">
        <v>2218</v>
      </c>
      <c r="E3338" t="s">
        <v>2577</v>
      </c>
      <c r="F3338">
        <v>2051344</v>
      </c>
      <c r="G3338">
        <v>120652.21400000001</v>
      </c>
      <c r="H3338" s="32">
        <f t="shared" si="52"/>
        <v>17.002124801456191</v>
      </c>
      <c r="I3338">
        <v>1</v>
      </c>
      <c r="J3338" t="s">
        <v>21</v>
      </c>
    </row>
    <row r="3339" spans="1:10" x14ac:dyDescent="0.25">
      <c r="A3339">
        <v>50658</v>
      </c>
      <c r="B3339" t="s">
        <v>2661</v>
      </c>
      <c r="C3339" t="s">
        <v>201</v>
      </c>
      <c r="D3339" t="s">
        <v>2218</v>
      </c>
      <c r="E3339" t="s">
        <v>2577</v>
      </c>
      <c r="F3339">
        <v>6615191</v>
      </c>
      <c r="G3339">
        <v>386028.65899999999</v>
      </c>
      <c r="H3339" s="32">
        <f t="shared" si="52"/>
        <v>17.136528197508778</v>
      </c>
      <c r="I3339">
        <v>1</v>
      </c>
      <c r="J3339" t="s">
        <v>21</v>
      </c>
    </row>
    <row r="3340" spans="1:10" x14ac:dyDescent="0.25">
      <c r="A3340">
        <v>54625</v>
      </c>
      <c r="B3340" t="s">
        <v>2713</v>
      </c>
      <c r="C3340" t="s">
        <v>143</v>
      </c>
      <c r="D3340" t="s">
        <v>2218</v>
      </c>
      <c r="E3340" t="s">
        <v>2577</v>
      </c>
      <c r="F3340">
        <v>2033150</v>
      </c>
      <c r="G3340">
        <v>115270.982</v>
      </c>
      <c r="H3340" s="32">
        <f t="shared" si="52"/>
        <v>17.638003639111879</v>
      </c>
      <c r="I3340">
        <v>1</v>
      </c>
      <c r="J3340" t="s">
        <v>21</v>
      </c>
    </row>
    <row r="3341" spans="1:10" x14ac:dyDescent="0.25">
      <c r="A3341">
        <v>54746</v>
      </c>
      <c r="B3341" t="s">
        <v>2721</v>
      </c>
      <c r="C3341" t="s">
        <v>143</v>
      </c>
      <c r="D3341" t="s">
        <v>2218</v>
      </c>
      <c r="E3341" t="s">
        <v>2577</v>
      </c>
      <c r="F3341">
        <v>2598488</v>
      </c>
      <c r="G3341">
        <v>144092.68599999999</v>
      </c>
      <c r="H3341" s="32">
        <f t="shared" si="52"/>
        <v>18.03344827647949</v>
      </c>
      <c r="I3341">
        <v>1</v>
      </c>
      <c r="J3341" t="s">
        <v>21</v>
      </c>
    </row>
    <row r="3342" spans="1:10" x14ac:dyDescent="0.25">
      <c r="A3342">
        <v>50960</v>
      </c>
      <c r="B3342" t="s">
        <v>2679</v>
      </c>
      <c r="C3342" t="s">
        <v>241</v>
      </c>
      <c r="D3342" t="s">
        <v>2218</v>
      </c>
      <c r="E3342" t="s">
        <v>2577</v>
      </c>
      <c r="F3342">
        <v>3018269</v>
      </c>
      <c r="G3342">
        <v>160906.23499999999</v>
      </c>
      <c r="H3342" s="32">
        <f t="shared" si="52"/>
        <v>18.757936881687652</v>
      </c>
      <c r="I3342">
        <v>1</v>
      </c>
      <c r="J3342" t="s">
        <v>21</v>
      </c>
    </row>
    <row r="3343" spans="1:10" x14ac:dyDescent="0.25">
      <c r="A3343">
        <v>10746</v>
      </c>
      <c r="B3343" t="s">
        <v>2018</v>
      </c>
      <c r="C3343" t="s">
        <v>143</v>
      </c>
      <c r="D3343" t="s">
        <v>2218</v>
      </c>
      <c r="E3343" t="s">
        <v>2577</v>
      </c>
      <c r="F3343">
        <v>5925288</v>
      </c>
      <c r="G3343">
        <v>301870.16399999999</v>
      </c>
      <c r="H3343" s="32">
        <f t="shared" si="52"/>
        <v>19.628597677510125</v>
      </c>
      <c r="I3343">
        <v>1</v>
      </c>
      <c r="J3343" t="s">
        <v>21</v>
      </c>
    </row>
    <row r="3344" spans="1:10" x14ac:dyDescent="0.25">
      <c r="A3344">
        <v>50657</v>
      </c>
      <c r="B3344" t="s">
        <v>2660</v>
      </c>
      <c r="C3344" t="s">
        <v>307</v>
      </c>
      <c r="D3344" t="s">
        <v>2218</v>
      </c>
      <c r="E3344" t="s">
        <v>2577</v>
      </c>
      <c r="F3344">
        <v>2790517</v>
      </c>
      <c r="G3344">
        <v>138301.37100000001</v>
      </c>
      <c r="H3344" s="32">
        <f t="shared" si="52"/>
        <v>20.177074021919854</v>
      </c>
      <c r="I3344">
        <v>1</v>
      </c>
      <c r="J3344" t="s">
        <v>21</v>
      </c>
    </row>
    <row r="3345" spans="1:10" x14ac:dyDescent="0.25">
      <c r="A3345">
        <v>10643</v>
      </c>
      <c r="B3345" t="s">
        <v>2606</v>
      </c>
      <c r="C3345" t="s">
        <v>241</v>
      </c>
      <c r="D3345" t="s">
        <v>2218</v>
      </c>
      <c r="E3345" t="s">
        <v>2577</v>
      </c>
      <c r="F3345">
        <v>5446195</v>
      </c>
      <c r="G3345">
        <v>269250.02</v>
      </c>
      <c r="H3345" s="32">
        <f t="shared" si="52"/>
        <v>20.227277977546667</v>
      </c>
      <c r="I3345">
        <v>1</v>
      </c>
      <c r="J3345" t="s">
        <v>21</v>
      </c>
    </row>
    <row r="3346" spans="1:10" x14ac:dyDescent="0.25">
      <c r="A3346">
        <v>50860</v>
      </c>
      <c r="B3346" t="s">
        <v>2670</v>
      </c>
      <c r="C3346" t="s">
        <v>250</v>
      </c>
      <c r="D3346" t="s">
        <v>2218</v>
      </c>
      <c r="E3346" t="s">
        <v>2577</v>
      </c>
      <c r="F3346">
        <v>1112753</v>
      </c>
      <c r="G3346">
        <v>54520.542999999998</v>
      </c>
      <c r="H3346" s="32">
        <f t="shared" si="52"/>
        <v>20.409793057270175</v>
      </c>
      <c r="I3346">
        <v>1</v>
      </c>
      <c r="J3346" t="s">
        <v>21</v>
      </c>
    </row>
    <row r="3347" spans="1:10" x14ac:dyDescent="0.25">
      <c r="A3347">
        <v>50885</v>
      </c>
      <c r="B3347" t="s">
        <v>2671</v>
      </c>
      <c r="C3347" t="s">
        <v>241</v>
      </c>
      <c r="D3347" t="s">
        <v>2218</v>
      </c>
      <c r="E3347" t="s">
        <v>2577</v>
      </c>
      <c r="F3347">
        <v>1013484</v>
      </c>
      <c r="G3347">
        <v>46480.275000000001</v>
      </c>
      <c r="H3347" s="32">
        <f t="shared" si="52"/>
        <v>21.804604211141179</v>
      </c>
      <c r="I3347">
        <v>1</v>
      </c>
      <c r="J3347" t="s">
        <v>21</v>
      </c>
    </row>
    <row r="3348" spans="1:10" x14ac:dyDescent="0.25">
      <c r="A3348">
        <v>10435</v>
      </c>
      <c r="B3348" t="s">
        <v>1988</v>
      </c>
      <c r="C3348" t="s">
        <v>241</v>
      </c>
      <c r="D3348" t="s">
        <v>2218</v>
      </c>
      <c r="E3348" t="s">
        <v>2577</v>
      </c>
      <c r="F3348">
        <v>2010205</v>
      </c>
      <c r="G3348">
        <v>88764.338000000003</v>
      </c>
      <c r="H3348" s="32">
        <f t="shared" si="52"/>
        <v>22.64653852316231</v>
      </c>
      <c r="I3348">
        <v>1</v>
      </c>
      <c r="J3348" t="s">
        <v>21</v>
      </c>
    </row>
    <row r="3349" spans="1:10" x14ac:dyDescent="0.25">
      <c r="A3349">
        <v>50859</v>
      </c>
      <c r="B3349" t="s">
        <v>2669</v>
      </c>
      <c r="C3349" t="s">
        <v>143</v>
      </c>
      <c r="D3349" t="s">
        <v>2218</v>
      </c>
      <c r="E3349" t="s">
        <v>2577</v>
      </c>
      <c r="F3349">
        <v>2260159</v>
      </c>
      <c r="G3349">
        <v>97933.551999999996</v>
      </c>
      <c r="H3349" s="32">
        <f t="shared" si="52"/>
        <v>23.078495100432995</v>
      </c>
      <c r="I3349">
        <v>1</v>
      </c>
      <c r="J3349" t="s">
        <v>21</v>
      </c>
    </row>
    <row r="3350" spans="1:10" x14ac:dyDescent="0.25">
      <c r="A3350">
        <v>50663</v>
      </c>
      <c r="B3350" t="s">
        <v>2662</v>
      </c>
      <c r="C3350" t="s">
        <v>201</v>
      </c>
      <c r="D3350" t="s">
        <v>2218</v>
      </c>
      <c r="E3350" t="s">
        <v>2577</v>
      </c>
      <c r="F3350">
        <v>1879687</v>
      </c>
      <c r="G3350">
        <v>81037.127999999997</v>
      </c>
      <c r="H3350" s="32">
        <f t="shared" si="52"/>
        <v>23.195380270633482</v>
      </c>
      <c r="I3350">
        <v>1</v>
      </c>
      <c r="J3350" t="s">
        <v>21</v>
      </c>
    </row>
    <row r="3351" spans="1:10" x14ac:dyDescent="0.25">
      <c r="A3351">
        <v>50647</v>
      </c>
      <c r="B3351" t="s">
        <v>2659</v>
      </c>
      <c r="C3351" t="s">
        <v>131</v>
      </c>
      <c r="D3351" t="s">
        <v>2218</v>
      </c>
      <c r="E3351" t="s">
        <v>2577</v>
      </c>
      <c r="F3351">
        <v>163900</v>
      </c>
      <c r="G3351">
        <v>0</v>
      </c>
      <c r="H3351" s="32" t="str">
        <f t="shared" si="52"/>
        <v/>
      </c>
      <c r="I3351">
        <v>1</v>
      </c>
      <c r="J3351" t="s">
        <v>21</v>
      </c>
    </row>
    <row r="3352" spans="1:10" x14ac:dyDescent="0.25">
      <c r="A3352">
        <v>10118</v>
      </c>
      <c r="B3352" t="s">
        <v>2069</v>
      </c>
      <c r="C3352" t="s">
        <v>143</v>
      </c>
      <c r="D3352" t="s">
        <v>2218</v>
      </c>
      <c r="E3352" t="s">
        <v>2576</v>
      </c>
      <c r="F3352">
        <v>289867</v>
      </c>
      <c r="G3352">
        <v>43851.091999999997</v>
      </c>
      <c r="H3352" s="32">
        <f t="shared" si="52"/>
        <v>6.6102572770593726</v>
      </c>
      <c r="I3352">
        <v>1</v>
      </c>
      <c r="J3352" t="s">
        <v>21</v>
      </c>
    </row>
    <row r="3353" spans="1:10" x14ac:dyDescent="0.25">
      <c r="A3353">
        <v>10629</v>
      </c>
      <c r="B3353" t="s">
        <v>2605</v>
      </c>
      <c r="C3353" t="s">
        <v>307</v>
      </c>
      <c r="D3353" t="s">
        <v>2218</v>
      </c>
      <c r="E3353" t="s">
        <v>2576</v>
      </c>
      <c r="F3353">
        <v>1715264</v>
      </c>
      <c r="G3353">
        <v>132480.90299999999</v>
      </c>
      <c r="H3353" s="32">
        <f t="shared" si="52"/>
        <v>12.94725474508579</v>
      </c>
      <c r="I3353">
        <v>1</v>
      </c>
      <c r="J3353" t="s">
        <v>21</v>
      </c>
    </row>
    <row r="3354" spans="1:10" x14ac:dyDescent="0.25">
      <c r="A3354">
        <v>50215</v>
      </c>
      <c r="B3354" t="s">
        <v>2205</v>
      </c>
      <c r="C3354" t="s">
        <v>143</v>
      </c>
      <c r="D3354" t="s">
        <v>2218</v>
      </c>
      <c r="E3354" t="s">
        <v>2576</v>
      </c>
      <c r="F3354">
        <v>1678390</v>
      </c>
      <c r="G3354">
        <v>98716.160999999993</v>
      </c>
      <c r="H3354" s="32">
        <f t="shared" si="52"/>
        <v>17.002180625723483</v>
      </c>
      <c r="I3354">
        <v>1</v>
      </c>
      <c r="J3354" t="s">
        <v>21</v>
      </c>
    </row>
    <row r="3355" spans="1:10" x14ac:dyDescent="0.25">
      <c r="A3355">
        <v>50658</v>
      </c>
      <c r="B3355" t="s">
        <v>2661</v>
      </c>
      <c r="C3355" t="s">
        <v>201</v>
      </c>
      <c r="D3355" t="s">
        <v>2218</v>
      </c>
      <c r="E3355" t="s">
        <v>2576</v>
      </c>
      <c r="F3355">
        <v>5412358</v>
      </c>
      <c r="G3355">
        <v>315837.58299999998</v>
      </c>
      <c r="H3355" s="32">
        <f t="shared" si="52"/>
        <v>17.136522983080201</v>
      </c>
      <c r="I3355">
        <v>1</v>
      </c>
      <c r="J3355" t="s">
        <v>21</v>
      </c>
    </row>
    <row r="3356" spans="1:10" x14ac:dyDescent="0.25">
      <c r="A3356">
        <v>54625</v>
      </c>
      <c r="B3356" t="s">
        <v>2713</v>
      </c>
      <c r="C3356" t="s">
        <v>143</v>
      </c>
      <c r="D3356" t="s">
        <v>2218</v>
      </c>
      <c r="E3356" t="s">
        <v>2576</v>
      </c>
      <c r="F3356">
        <v>1663442</v>
      </c>
      <c r="G3356">
        <v>94310.126999999993</v>
      </c>
      <c r="H3356" s="32">
        <f t="shared" si="52"/>
        <v>17.637999787658011</v>
      </c>
      <c r="I3356">
        <v>1</v>
      </c>
      <c r="J3356" t="s">
        <v>21</v>
      </c>
    </row>
    <row r="3357" spans="1:10" x14ac:dyDescent="0.25">
      <c r="A3357">
        <v>54746</v>
      </c>
      <c r="B3357" t="s">
        <v>2721</v>
      </c>
      <c r="C3357" t="s">
        <v>143</v>
      </c>
      <c r="D3357" t="s">
        <v>2218</v>
      </c>
      <c r="E3357" t="s">
        <v>2576</v>
      </c>
      <c r="F3357">
        <v>2125950</v>
      </c>
      <c r="G3357">
        <v>117889.314</v>
      </c>
      <c r="H3357" s="32">
        <f t="shared" si="52"/>
        <v>18.033441097129465</v>
      </c>
      <c r="I3357">
        <v>1</v>
      </c>
      <c r="J3357" t="s">
        <v>21</v>
      </c>
    </row>
    <row r="3358" spans="1:10" x14ac:dyDescent="0.25">
      <c r="A3358">
        <v>50960</v>
      </c>
      <c r="B3358" t="s">
        <v>2679</v>
      </c>
      <c r="C3358" t="s">
        <v>241</v>
      </c>
      <c r="D3358" t="s">
        <v>2218</v>
      </c>
      <c r="E3358" t="s">
        <v>2576</v>
      </c>
      <c r="F3358">
        <v>2469496</v>
      </c>
      <c r="G3358">
        <v>131650.76500000001</v>
      </c>
      <c r="H3358" s="32">
        <f t="shared" si="52"/>
        <v>18.757931258508066</v>
      </c>
      <c r="I3358">
        <v>1</v>
      </c>
      <c r="J3358" t="s">
        <v>21</v>
      </c>
    </row>
    <row r="3359" spans="1:10" x14ac:dyDescent="0.25">
      <c r="A3359">
        <v>10746</v>
      </c>
      <c r="B3359" t="s">
        <v>2018</v>
      </c>
      <c r="C3359" t="s">
        <v>143</v>
      </c>
      <c r="D3359" t="s">
        <v>2218</v>
      </c>
      <c r="E3359" t="s">
        <v>2576</v>
      </c>
      <c r="F3359">
        <v>4848067</v>
      </c>
      <c r="G3359">
        <v>246989.88</v>
      </c>
      <c r="H3359" s="32">
        <f t="shared" si="52"/>
        <v>19.628605835996193</v>
      </c>
      <c r="I3359">
        <v>1</v>
      </c>
      <c r="J3359" t="s">
        <v>21</v>
      </c>
    </row>
    <row r="3360" spans="1:10" x14ac:dyDescent="0.25">
      <c r="A3360">
        <v>50657</v>
      </c>
      <c r="B3360" t="s">
        <v>2660</v>
      </c>
      <c r="C3360" t="s">
        <v>307</v>
      </c>
      <c r="D3360" t="s">
        <v>2218</v>
      </c>
      <c r="E3360" t="s">
        <v>2576</v>
      </c>
      <c r="F3360">
        <v>2283155</v>
      </c>
      <c r="G3360">
        <v>113155.965</v>
      </c>
      <c r="H3360" s="32">
        <f t="shared" si="52"/>
        <v>20.177062693955197</v>
      </c>
      <c r="I3360">
        <v>1</v>
      </c>
      <c r="J3360" t="s">
        <v>21</v>
      </c>
    </row>
    <row r="3361" spans="1:10" x14ac:dyDescent="0.25">
      <c r="A3361">
        <v>10643</v>
      </c>
      <c r="B3361" t="s">
        <v>2606</v>
      </c>
      <c r="C3361" t="s">
        <v>241</v>
      </c>
      <c r="D3361" t="s">
        <v>2218</v>
      </c>
      <c r="E3361" t="s">
        <v>2576</v>
      </c>
      <c r="F3361">
        <v>4455974</v>
      </c>
      <c r="G3361">
        <v>220294.98</v>
      </c>
      <c r="H3361" s="32">
        <f t="shared" si="52"/>
        <v>20.227306132895084</v>
      </c>
      <c r="I3361">
        <v>1</v>
      </c>
      <c r="J3361" t="s">
        <v>21</v>
      </c>
    </row>
    <row r="3362" spans="1:10" x14ac:dyDescent="0.25">
      <c r="A3362">
        <v>50860</v>
      </c>
      <c r="B3362" t="s">
        <v>2670</v>
      </c>
      <c r="C3362" t="s">
        <v>250</v>
      </c>
      <c r="D3362" t="s">
        <v>2218</v>
      </c>
      <c r="E3362" t="s">
        <v>2576</v>
      </c>
      <c r="F3362">
        <v>910443</v>
      </c>
      <c r="G3362">
        <v>44608.258000000002</v>
      </c>
      <c r="H3362" s="32">
        <f t="shared" si="52"/>
        <v>20.409741173932414</v>
      </c>
      <c r="I3362">
        <v>1</v>
      </c>
      <c r="J3362" t="s">
        <v>21</v>
      </c>
    </row>
    <row r="3363" spans="1:10" x14ac:dyDescent="0.25">
      <c r="A3363">
        <v>50885</v>
      </c>
      <c r="B3363" t="s">
        <v>2671</v>
      </c>
      <c r="C3363" t="s">
        <v>241</v>
      </c>
      <c r="D3363" t="s">
        <v>2218</v>
      </c>
      <c r="E3363" t="s">
        <v>2576</v>
      </c>
      <c r="F3363">
        <v>829222</v>
      </c>
      <c r="G3363">
        <v>38029.724999999999</v>
      </c>
      <c r="H3363" s="32">
        <f t="shared" si="52"/>
        <v>21.804575236870633</v>
      </c>
      <c r="I3363">
        <v>1</v>
      </c>
      <c r="J3363" t="s">
        <v>21</v>
      </c>
    </row>
    <row r="3364" spans="1:10" x14ac:dyDescent="0.25">
      <c r="A3364">
        <v>10435</v>
      </c>
      <c r="B3364" t="s">
        <v>1988</v>
      </c>
      <c r="C3364" t="s">
        <v>241</v>
      </c>
      <c r="D3364" t="s">
        <v>2218</v>
      </c>
      <c r="E3364" t="s">
        <v>2576</v>
      </c>
      <c r="F3364">
        <v>1644754</v>
      </c>
      <c r="G3364">
        <v>72627.221999999994</v>
      </c>
      <c r="H3364" s="32">
        <f t="shared" si="52"/>
        <v>22.646522264062366</v>
      </c>
      <c r="I3364">
        <v>1</v>
      </c>
      <c r="J3364" t="s">
        <v>21</v>
      </c>
    </row>
    <row r="3365" spans="1:10" x14ac:dyDescent="0.25">
      <c r="A3365">
        <v>50859</v>
      </c>
      <c r="B3365" t="s">
        <v>2669</v>
      </c>
      <c r="C3365" t="s">
        <v>143</v>
      </c>
      <c r="D3365" t="s">
        <v>2218</v>
      </c>
      <c r="E3365" t="s">
        <v>2576</v>
      </c>
      <c r="F3365">
        <v>1849240</v>
      </c>
      <c r="G3365">
        <v>80128.176999999996</v>
      </c>
      <c r="H3365" s="32">
        <f t="shared" si="52"/>
        <v>23.078523301484822</v>
      </c>
      <c r="I3365">
        <v>1</v>
      </c>
      <c r="J3365" t="s">
        <v>21</v>
      </c>
    </row>
    <row r="3366" spans="1:10" x14ac:dyDescent="0.25">
      <c r="A3366">
        <v>50663</v>
      </c>
      <c r="B3366" t="s">
        <v>2662</v>
      </c>
      <c r="C3366" t="s">
        <v>201</v>
      </c>
      <c r="D3366" t="s">
        <v>2218</v>
      </c>
      <c r="E3366" t="s">
        <v>2576</v>
      </c>
      <c r="F3366">
        <v>1537919</v>
      </c>
      <c r="G3366">
        <v>66302.872000000003</v>
      </c>
      <c r="H3366" s="32">
        <f t="shared" si="52"/>
        <v>23.195360225119661</v>
      </c>
      <c r="I3366">
        <v>1</v>
      </c>
      <c r="J3366" t="s">
        <v>21</v>
      </c>
    </row>
    <row r="3367" spans="1:10" x14ac:dyDescent="0.25">
      <c r="A3367">
        <v>50647</v>
      </c>
      <c r="B3367" t="s">
        <v>2659</v>
      </c>
      <c r="C3367" t="s">
        <v>131</v>
      </c>
      <c r="D3367" t="s">
        <v>2218</v>
      </c>
      <c r="E3367" t="s">
        <v>2576</v>
      </c>
      <c r="F3367">
        <v>134099</v>
      </c>
      <c r="G3367">
        <v>0</v>
      </c>
      <c r="H3367" s="32" t="str">
        <f t="shared" si="52"/>
        <v/>
      </c>
      <c r="I3367">
        <v>1</v>
      </c>
      <c r="J3367" t="s">
        <v>21</v>
      </c>
    </row>
    <row r="3368" spans="1:10" x14ac:dyDescent="0.25">
      <c r="A3368">
        <v>58865</v>
      </c>
      <c r="B3368" t="s">
        <v>3318</v>
      </c>
      <c r="C3368" t="s">
        <v>708</v>
      </c>
      <c r="D3368" t="s">
        <v>2234</v>
      </c>
      <c r="E3368" t="s">
        <v>2602</v>
      </c>
      <c r="F3368">
        <v>109582</v>
      </c>
      <c r="G3368">
        <v>26664</v>
      </c>
      <c r="H3368" s="32">
        <f t="shared" si="52"/>
        <v>4.1097359735973598</v>
      </c>
      <c r="I3368">
        <v>1</v>
      </c>
      <c r="J3368" t="s">
        <v>21</v>
      </c>
    </row>
    <row r="3369" spans="1:10" x14ac:dyDescent="0.25">
      <c r="A3369">
        <v>63246</v>
      </c>
      <c r="B3369" t="s">
        <v>4309</v>
      </c>
      <c r="C3369" t="s">
        <v>118</v>
      </c>
      <c r="D3369" t="s">
        <v>2234</v>
      </c>
      <c r="E3369" t="s">
        <v>2602</v>
      </c>
      <c r="F3369">
        <v>29897</v>
      </c>
      <c r="G3369">
        <v>6794</v>
      </c>
      <c r="H3369" s="32">
        <f t="shared" si="52"/>
        <v>4.4005004415660878</v>
      </c>
      <c r="I3369">
        <v>1</v>
      </c>
      <c r="J3369" t="s">
        <v>21</v>
      </c>
    </row>
    <row r="3370" spans="1:10" x14ac:dyDescent="0.25">
      <c r="A3370">
        <v>59783</v>
      </c>
      <c r="B3370" t="s">
        <v>3580</v>
      </c>
      <c r="C3370" t="s">
        <v>672</v>
      </c>
      <c r="D3370" t="s">
        <v>2234</v>
      </c>
      <c r="E3370" t="s">
        <v>2602</v>
      </c>
      <c r="F3370">
        <v>37237</v>
      </c>
      <c r="G3370">
        <v>8076</v>
      </c>
      <c r="H3370" s="32">
        <f t="shared" si="52"/>
        <v>4.6108221892025751</v>
      </c>
      <c r="I3370">
        <v>1</v>
      </c>
      <c r="J3370" t="s">
        <v>21</v>
      </c>
    </row>
    <row r="3371" spans="1:10" x14ac:dyDescent="0.25">
      <c r="A3371">
        <v>59759</v>
      </c>
      <c r="B3371" t="s">
        <v>3572</v>
      </c>
      <c r="C3371" t="s">
        <v>143</v>
      </c>
      <c r="D3371" t="s">
        <v>2234</v>
      </c>
      <c r="E3371" t="s">
        <v>2602</v>
      </c>
      <c r="F3371">
        <v>77049</v>
      </c>
      <c r="G3371">
        <v>8443</v>
      </c>
      <c r="H3371" s="32">
        <f t="shared" si="52"/>
        <v>9.1257846736941843</v>
      </c>
      <c r="I3371">
        <v>1</v>
      </c>
      <c r="J3371" t="s">
        <v>21</v>
      </c>
    </row>
    <row r="3372" spans="1:10" x14ac:dyDescent="0.25">
      <c r="A3372">
        <v>56280</v>
      </c>
      <c r="B3372" t="s">
        <v>2048</v>
      </c>
      <c r="C3372" t="s">
        <v>266</v>
      </c>
      <c r="D3372" t="s">
        <v>2234</v>
      </c>
      <c r="E3372" t="s">
        <v>2602</v>
      </c>
      <c r="F3372">
        <v>36662</v>
      </c>
      <c r="G3372">
        <v>3997</v>
      </c>
      <c r="H3372" s="32">
        <f t="shared" si="52"/>
        <v>9.1723792844633483</v>
      </c>
      <c r="I3372">
        <v>1</v>
      </c>
      <c r="J3372" t="s">
        <v>21</v>
      </c>
    </row>
    <row r="3373" spans="1:10" x14ac:dyDescent="0.25">
      <c r="A3373">
        <v>58252</v>
      </c>
      <c r="B3373" t="s">
        <v>3136</v>
      </c>
      <c r="C3373" t="s">
        <v>307</v>
      </c>
      <c r="D3373" t="s">
        <v>2234</v>
      </c>
      <c r="E3373" t="s">
        <v>2602</v>
      </c>
      <c r="F3373">
        <v>2327</v>
      </c>
      <c r="G3373">
        <v>250</v>
      </c>
      <c r="H3373" s="32">
        <f t="shared" si="52"/>
        <v>9.3079999999999998</v>
      </c>
      <c r="I3373">
        <v>1</v>
      </c>
      <c r="J3373" t="s">
        <v>21</v>
      </c>
    </row>
    <row r="3374" spans="1:10" x14ac:dyDescent="0.25">
      <c r="A3374">
        <v>69146</v>
      </c>
      <c r="B3374" t="s">
        <v>5330</v>
      </c>
      <c r="C3374" t="s">
        <v>322</v>
      </c>
      <c r="D3374" t="s">
        <v>2234</v>
      </c>
      <c r="E3374" t="s">
        <v>2602</v>
      </c>
      <c r="F3374">
        <v>35803</v>
      </c>
      <c r="G3374">
        <v>3768</v>
      </c>
      <c r="H3374" s="32">
        <f t="shared" si="52"/>
        <v>9.5018577494692149</v>
      </c>
      <c r="I3374">
        <v>1</v>
      </c>
      <c r="J3374" t="s">
        <v>21</v>
      </c>
    </row>
    <row r="3375" spans="1:10" x14ac:dyDescent="0.25">
      <c r="A3375">
        <v>57436</v>
      </c>
      <c r="B3375" t="s">
        <v>2992</v>
      </c>
      <c r="C3375" t="s">
        <v>708</v>
      </c>
      <c r="D3375" t="s">
        <v>2234</v>
      </c>
      <c r="E3375" t="s">
        <v>2602</v>
      </c>
      <c r="F3375">
        <v>109721</v>
      </c>
      <c r="G3375">
        <v>11341</v>
      </c>
      <c r="H3375" s="32">
        <f t="shared" si="52"/>
        <v>9.67472004232431</v>
      </c>
      <c r="I3375">
        <v>1</v>
      </c>
      <c r="J3375" t="s">
        <v>21</v>
      </c>
    </row>
    <row r="3376" spans="1:10" x14ac:dyDescent="0.25">
      <c r="A3376">
        <v>56119</v>
      </c>
      <c r="B3376" t="s">
        <v>2829</v>
      </c>
      <c r="C3376" t="s">
        <v>241</v>
      </c>
      <c r="D3376" t="s">
        <v>2071</v>
      </c>
      <c r="E3376" t="s">
        <v>2602</v>
      </c>
      <c r="F3376">
        <v>668547</v>
      </c>
      <c r="G3376">
        <v>68071</v>
      </c>
      <c r="H3376" s="32">
        <f t="shared" si="52"/>
        <v>9.8213189170131194</v>
      </c>
      <c r="I3376">
        <v>1</v>
      </c>
      <c r="J3376" t="s">
        <v>21</v>
      </c>
    </row>
    <row r="3377" spans="1:10" x14ac:dyDescent="0.25">
      <c r="A3377">
        <v>56686</v>
      </c>
      <c r="B3377" t="s">
        <v>2090</v>
      </c>
      <c r="C3377" t="s">
        <v>201</v>
      </c>
      <c r="D3377" t="s">
        <v>2234</v>
      </c>
      <c r="E3377" t="s">
        <v>2602</v>
      </c>
      <c r="F3377">
        <v>614410</v>
      </c>
      <c r="G3377">
        <v>61969.277000000002</v>
      </c>
      <c r="H3377" s="32">
        <f t="shared" si="52"/>
        <v>9.9147517890195811</v>
      </c>
      <c r="I3377">
        <v>1</v>
      </c>
      <c r="J3377" t="s">
        <v>21</v>
      </c>
    </row>
    <row r="3378" spans="1:10" x14ac:dyDescent="0.25">
      <c r="A3378">
        <v>56682</v>
      </c>
      <c r="B3378" t="s">
        <v>2894</v>
      </c>
      <c r="C3378" t="s">
        <v>201</v>
      </c>
      <c r="D3378" t="s">
        <v>2234</v>
      </c>
      <c r="E3378" t="s">
        <v>2602</v>
      </c>
      <c r="F3378">
        <v>413078</v>
      </c>
      <c r="G3378">
        <v>41103.252</v>
      </c>
      <c r="H3378" s="32">
        <f t="shared" si="52"/>
        <v>10.049764432264386</v>
      </c>
      <c r="I3378">
        <v>1</v>
      </c>
      <c r="J3378" t="s">
        <v>21</v>
      </c>
    </row>
    <row r="3379" spans="1:10" x14ac:dyDescent="0.25">
      <c r="A3379">
        <v>57409</v>
      </c>
      <c r="B3379" t="s">
        <v>2988</v>
      </c>
      <c r="C3379" t="s">
        <v>2029</v>
      </c>
      <c r="D3379" t="s">
        <v>2234</v>
      </c>
      <c r="E3379" t="s">
        <v>2602</v>
      </c>
      <c r="F3379">
        <v>341591</v>
      </c>
      <c r="G3379">
        <v>33626</v>
      </c>
      <c r="H3379" s="32">
        <f t="shared" si="52"/>
        <v>10.158538036043538</v>
      </c>
      <c r="I3379">
        <v>1</v>
      </c>
      <c r="J3379" t="s">
        <v>21</v>
      </c>
    </row>
    <row r="3380" spans="1:10" x14ac:dyDescent="0.25">
      <c r="A3380">
        <v>56962</v>
      </c>
      <c r="B3380" t="s">
        <v>2047</v>
      </c>
      <c r="C3380" t="s">
        <v>708</v>
      </c>
      <c r="D3380" t="s">
        <v>2234</v>
      </c>
      <c r="E3380" t="s">
        <v>2602</v>
      </c>
      <c r="F3380">
        <v>269639</v>
      </c>
      <c r="G3380">
        <v>25978</v>
      </c>
      <c r="H3380" s="32">
        <f t="shared" si="52"/>
        <v>10.379513434444529</v>
      </c>
      <c r="I3380">
        <v>1</v>
      </c>
      <c r="J3380" t="s">
        <v>21</v>
      </c>
    </row>
    <row r="3381" spans="1:10" x14ac:dyDescent="0.25">
      <c r="A3381">
        <v>57754</v>
      </c>
      <c r="B3381" t="s">
        <v>3047</v>
      </c>
      <c r="C3381" t="s">
        <v>201</v>
      </c>
      <c r="D3381" t="s">
        <v>2234</v>
      </c>
      <c r="E3381" t="s">
        <v>2602</v>
      </c>
      <c r="F3381">
        <v>126484</v>
      </c>
      <c r="G3381">
        <v>12152</v>
      </c>
      <c r="H3381" s="32">
        <f t="shared" si="52"/>
        <v>10.408492429229756</v>
      </c>
      <c r="I3381">
        <v>1</v>
      </c>
      <c r="J3381" t="s">
        <v>21</v>
      </c>
    </row>
    <row r="3382" spans="1:10" x14ac:dyDescent="0.25">
      <c r="A3382">
        <v>57706</v>
      </c>
      <c r="B3382" t="s">
        <v>3034</v>
      </c>
      <c r="C3382" t="s">
        <v>250</v>
      </c>
      <c r="D3382" t="s">
        <v>2234</v>
      </c>
      <c r="E3382" t="s">
        <v>2602</v>
      </c>
      <c r="F3382">
        <v>203686</v>
      </c>
      <c r="G3382">
        <v>19514</v>
      </c>
      <c r="H3382" s="32">
        <f t="shared" si="52"/>
        <v>10.437941990365891</v>
      </c>
      <c r="I3382">
        <v>1</v>
      </c>
      <c r="J3382" t="s">
        <v>21</v>
      </c>
    </row>
    <row r="3383" spans="1:10" x14ac:dyDescent="0.25">
      <c r="A3383">
        <v>56688</v>
      </c>
      <c r="B3383" t="s">
        <v>2897</v>
      </c>
      <c r="C3383" t="s">
        <v>708</v>
      </c>
      <c r="D3383" t="s">
        <v>2234</v>
      </c>
      <c r="E3383" t="s">
        <v>2602</v>
      </c>
      <c r="F3383">
        <v>72128</v>
      </c>
      <c r="G3383">
        <v>6894.2539999999999</v>
      </c>
      <c r="H3383" s="32">
        <f t="shared" si="52"/>
        <v>10.462045639745794</v>
      </c>
      <c r="I3383">
        <v>1</v>
      </c>
      <c r="J3383" t="s">
        <v>21</v>
      </c>
    </row>
    <row r="3384" spans="1:10" x14ac:dyDescent="0.25">
      <c r="A3384">
        <v>59635</v>
      </c>
      <c r="B3384" t="s">
        <v>3543</v>
      </c>
      <c r="C3384" t="s">
        <v>166</v>
      </c>
      <c r="D3384" t="s">
        <v>2234</v>
      </c>
      <c r="E3384" t="s">
        <v>2602</v>
      </c>
      <c r="F3384">
        <v>163555</v>
      </c>
      <c r="G3384">
        <v>15577</v>
      </c>
      <c r="H3384" s="32">
        <f t="shared" si="52"/>
        <v>10.499775309751557</v>
      </c>
      <c r="I3384">
        <v>1</v>
      </c>
      <c r="J3384" t="s">
        <v>21</v>
      </c>
    </row>
    <row r="3385" spans="1:10" x14ac:dyDescent="0.25">
      <c r="A3385">
        <v>57250</v>
      </c>
      <c r="B3385" t="s">
        <v>2959</v>
      </c>
      <c r="C3385" t="s">
        <v>131</v>
      </c>
      <c r="D3385" t="s">
        <v>2234</v>
      </c>
      <c r="E3385" t="s">
        <v>2602</v>
      </c>
      <c r="F3385">
        <v>218672</v>
      </c>
      <c r="G3385">
        <v>20826</v>
      </c>
      <c r="H3385" s="32">
        <f t="shared" si="52"/>
        <v>10.49995198309805</v>
      </c>
      <c r="I3385">
        <v>1</v>
      </c>
      <c r="J3385" t="s">
        <v>21</v>
      </c>
    </row>
    <row r="3386" spans="1:10" x14ac:dyDescent="0.25">
      <c r="A3386">
        <v>56463</v>
      </c>
      <c r="B3386" t="s">
        <v>2869</v>
      </c>
      <c r="C3386" t="s">
        <v>131</v>
      </c>
      <c r="D3386" t="s">
        <v>2234</v>
      </c>
      <c r="E3386" t="s">
        <v>2602</v>
      </c>
      <c r="F3386">
        <v>241447</v>
      </c>
      <c r="G3386">
        <v>22995</v>
      </c>
      <c r="H3386" s="32">
        <f t="shared" si="52"/>
        <v>10.49997825614264</v>
      </c>
      <c r="I3386">
        <v>1</v>
      </c>
      <c r="J3386" t="s">
        <v>21</v>
      </c>
    </row>
    <row r="3387" spans="1:10" x14ac:dyDescent="0.25">
      <c r="A3387">
        <v>56464</v>
      </c>
      <c r="B3387" t="s">
        <v>983</v>
      </c>
      <c r="C3387" t="s">
        <v>131</v>
      </c>
      <c r="D3387" t="s">
        <v>2234</v>
      </c>
      <c r="E3387" t="s">
        <v>2602</v>
      </c>
      <c r="F3387">
        <v>177630</v>
      </c>
      <c r="G3387">
        <v>16917</v>
      </c>
      <c r="H3387" s="32">
        <f t="shared" si="52"/>
        <v>10.500088668203583</v>
      </c>
      <c r="I3387">
        <v>1</v>
      </c>
      <c r="J3387" t="s">
        <v>21</v>
      </c>
    </row>
    <row r="3388" spans="1:10" x14ac:dyDescent="0.25">
      <c r="A3388">
        <v>54956</v>
      </c>
      <c r="B3388" t="s">
        <v>2748</v>
      </c>
      <c r="C3388" t="s">
        <v>131</v>
      </c>
      <c r="D3388" t="s">
        <v>2234</v>
      </c>
      <c r="E3388" t="s">
        <v>2602</v>
      </c>
      <c r="F3388">
        <v>203660</v>
      </c>
      <c r="G3388">
        <v>19396</v>
      </c>
      <c r="H3388" s="32">
        <f t="shared" si="52"/>
        <v>10.500103114044133</v>
      </c>
      <c r="I3388">
        <v>1</v>
      </c>
      <c r="J3388" t="s">
        <v>21</v>
      </c>
    </row>
    <row r="3389" spans="1:10" x14ac:dyDescent="0.25">
      <c r="A3389">
        <v>58246</v>
      </c>
      <c r="B3389" t="s">
        <v>2115</v>
      </c>
      <c r="C3389" t="s">
        <v>307</v>
      </c>
      <c r="D3389" t="s">
        <v>2234</v>
      </c>
      <c r="E3389" t="s">
        <v>2602</v>
      </c>
      <c r="F3389">
        <v>220882</v>
      </c>
      <c r="G3389">
        <v>20895</v>
      </c>
      <c r="H3389" s="32">
        <f t="shared" si="52"/>
        <v>10.571045704714047</v>
      </c>
      <c r="I3389">
        <v>1</v>
      </c>
      <c r="J3389" t="s">
        <v>21</v>
      </c>
    </row>
    <row r="3390" spans="1:10" x14ac:dyDescent="0.25">
      <c r="A3390">
        <v>56465</v>
      </c>
      <c r="B3390" t="s">
        <v>2870</v>
      </c>
      <c r="C3390" t="s">
        <v>131</v>
      </c>
      <c r="D3390" t="s">
        <v>2234</v>
      </c>
      <c r="E3390" t="s">
        <v>2602</v>
      </c>
      <c r="F3390">
        <v>106</v>
      </c>
      <c r="G3390">
        <v>10</v>
      </c>
      <c r="H3390" s="32">
        <f t="shared" si="52"/>
        <v>10.6</v>
      </c>
      <c r="I3390">
        <v>1</v>
      </c>
      <c r="J3390" t="s">
        <v>21</v>
      </c>
    </row>
    <row r="3391" spans="1:10" x14ac:dyDescent="0.25">
      <c r="A3391">
        <v>56681</v>
      </c>
      <c r="B3391" t="s">
        <v>2893</v>
      </c>
      <c r="C3391" t="s">
        <v>201</v>
      </c>
      <c r="D3391" t="s">
        <v>2234</v>
      </c>
      <c r="E3391" t="s">
        <v>2602</v>
      </c>
      <c r="F3391">
        <v>35244</v>
      </c>
      <c r="G3391">
        <v>3322.7350000000001</v>
      </c>
      <c r="H3391" s="32">
        <f t="shared" si="52"/>
        <v>10.60692471713814</v>
      </c>
      <c r="I3391">
        <v>1</v>
      </c>
      <c r="J3391" t="s">
        <v>21</v>
      </c>
    </row>
    <row r="3392" spans="1:10" x14ac:dyDescent="0.25">
      <c r="A3392">
        <v>60388</v>
      </c>
      <c r="B3392" t="s">
        <v>3755</v>
      </c>
      <c r="C3392" t="s">
        <v>143</v>
      </c>
      <c r="D3392" t="s">
        <v>2234</v>
      </c>
      <c r="E3392" t="s">
        <v>2602</v>
      </c>
      <c r="F3392">
        <v>84179</v>
      </c>
      <c r="G3392">
        <v>7888</v>
      </c>
      <c r="H3392" s="32">
        <f t="shared" si="52"/>
        <v>10.671779918864097</v>
      </c>
      <c r="I3392">
        <v>1</v>
      </c>
      <c r="J3392" t="s">
        <v>21</v>
      </c>
    </row>
    <row r="3393" spans="1:10" x14ac:dyDescent="0.25">
      <c r="A3393">
        <v>59439</v>
      </c>
      <c r="B3393" t="s">
        <v>3457</v>
      </c>
      <c r="C3393" t="s">
        <v>708</v>
      </c>
      <c r="D3393" t="s">
        <v>2234</v>
      </c>
      <c r="E3393" t="s">
        <v>2602</v>
      </c>
      <c r="F3393">
        <v>89273</v>
      </c>
      <c r="G3393">
        <v>8315</v>
      </c>
      <c r="H3393" s="32">
        <f t="shared" si="52"/>
        <v>10.736380036079375</v>
      </c>
      <c r="I3393">
        <v>1</v>
      </c>
      <c r="J3393" t="s">
        <v>21</v>
      </c>
    </row>
    <row r="3394" spans="1:10" x14ac:dyDescent="0.25">
      <c r="A3394">
        <v>56684</v>
      </c>
      <c r="B3394" t="s">
        <v>2896</v>
      </c>
      <c r="C3394" t="s">
        <v>201</v>
      </c>
      <c r="D3394" t="s">
        <v>2234</v>
      </c>
      <c r="E3394" t="s">
        <v>2602</v>
      </c>
      <c r="F3394">
        <v>753</v>
      </c>
      <c r="G3394">
        <v>69.688999999999993</v>
      </c>
      <c r="H3394" s="32">
        <f t="shared" ref="H3394:H3457" si="53">IF(AND(F3394&gt;0,G3394&gt;0),F3394/G3394,"")</f>
        <v>10.80514858872993</v>
      </c>
      <c r="I3394">
        <v>1</v>
      </c>
      <c r="J3394" t="s">
        <v>21</v>
      </c>
    </row>
    <row r="3395" spans="1:10" x14ac:dyDescent="0.25">
      <c r="A3395">
        <v>58497</v>
      </c>
      <c r="B3395" t="s">
        <v>3209</v>
      </c>
      <c r="C3395" t="s">
        <v>143</v>
      </c>
      <c r="D3395" t="s">
        <v>2234</v>
      </c>
      <c r="E3395" t="s">
        <v>2602</v>
      </c>
      <c r="F3395">
        <v>241608</v>
      </c>
      <c r="G3395">
        <v>22251</v>
      </c>
      <c r="H3395" s="32">
        <f t="shared" si="53"/>
        <v>10.858298503438048</v>
      </c>
      <c r="I3395">
        <v>1</v>
      </c>
      <c r="J3395" t="s">
        <v>21</v>
      </c>
    </row>
    <row r="3396" spans="1:10" x14ac:dyDescent="0.25">
      <c r="A3396">
        <v>56429</v>
      </c>
      <c r="B3396" t="s">
        <v>2865</v>
      </c>
      <c r="C3396" t="s">
        <v>672</v>
      </c>
      <c r="D3396" t="s">
        <v>2234</v>
      </c>
      <c r="E3396" t="s">
        <v>2602</v>
      </c>
      <c r="F3396">
        <v>246012</v>
      </c>
      <c r="G3396">
        <v>22631</v>
      </c>
      <c r="H3396" s="32">
        <f t="shared" si="53"/>
        <v>10.870575758914763</v>
      </c>
      <c r="I3396">
        <v>1</v>
      </c>
      <c r="J3396" t="s">
        <v>21</v>
      </c>
    </row>
    <row r="3397" spans="1:10" x14ac:dyDescent="0.25">
      <c r="A3397">
        <v>58250</v>
      </c>
      <c r="B3397" t="s">
        <v>3135</v>
      </c>
      <c r="C3397" t="s">
        <v>143</v>
      </c>
      <c r="D3397" t="s">
        <v>2234</v>
      </c>
      <c r="E3397" t="s">
        <v>2602</v>
      </c>
      <c r="F3397">
        <v>117244</v>
      </c>
      <c r="G3397">
        <v>10766</v>
      </c>
      <c r="H3397" s="32">
        <f t="shared" si="53"/>
        <v>10.890209920118894</v>
      </c>
      <c r="I3397">
        <v>1</v>
      </c>
      <c r="J3397" t="s">
        <v>21</v>
      </c>
    </row>
    <row r="3398" spans="1:10" x14ac:dyDescent="0.25">
      <c r="A3398">
        <v>58546</v>
      </c>
      <c r="B3398" t="s">
        <v>3221</v>
      </c>
      <c r="C3398" t="s">
        <v>250</v>
      </c>
      <c r="D3398" t="s">
        <v>2234</v>
      </c>
      <c r="E3398" t="s">
        <v>2602</v>
      </c>
      <c r="F3398">
        <v>281333</v>
      </c>
      <c r="G3398">
        <v>25769</v>
      </c>
      <c r="H3398" s="32">
        <f t="shared" si="53"/>
        <v>10.917497768636734</v>
      </c>
      <c r="I3398">
        <v>1</v>
      </c>
      <c r="J3398" t="s">
        <v>21</v>
      </c>
    </row>
    <row r="3399" spans="1:10" x14ac:dyDescent="0.25">
      <c r="A3399">
        <v>58526</v>
      </c>
      <c r="B3399" t="s">
        <v>3215</v>
      </c>
      <c r="C3399" t="s">
        <v>708</v>
      </c>
      <c r="D3399" t="s">
        <v>2234</v>
      </c>
      <c r="E3399" t="s">
        <v>2602</v>
      </c>
      <c r="F3399">
        <v>354928</v>
      </c>
      <c r="G3399">
        <v>32386</v>
      </c>
      <c r="H3399" s="32">
        <f t="shared" si="53"/>
        <v>10.959303402704872</v>
      </c>
      <c r="I3399">
        <v>1</v>
      </c>
      <c r="J3399" t="s">
        <v>21</v>
      </c>
    </row>
    <row r="3400" spans="1:10" x14ac:dyDescent="0.25">
      <c r="A3400">
        <v>57405</v>
      </c>
      <c r="B3400" t="s">
        <v>2987</v>
      </c>
      <c r="C3400" t="s">
        <v>250</v>
      </c>
      <c r="D3400" t="s">
        <v>2234</v>
      </c>
      <c r="E3400" t="s">
        <v>2602</v>
      </c>
      <c r="F3400">
        <v>253110</v>
      </c>
      <c r="G3400">
        <v>23026</v>
      </c>
      <c r="H3400" s="32">
        <f t="shared" si="53"/>
        <v>10.99235646660297</v>
      </c>
      <c r="I3400">
        <v>1</v>
      </c>
      <c r="J3400" t="s">
        <v>21</v>
      </c>
    </row>
    <row r="3401" spans="1:10" x14ac:dyDescent="0.25">
      <c r="A3401">
        <v>57897</v>
      </c>
      <c r="B3401" t="s">
        <v>3074</v>
      </c>
      <c r="C3401" t="s">
        <v>201</v>
      </c>
      <c r="D3401" t="s">
        <v>2234</v>
      </c>
      <c r="E3401" t="s">
        <v>2602</v>
      </c>
      <c r="F3401">
        <v>86075</v>
      </c>
      <c r="G3401">
        <v>7827</v>
      </c>
      <c r="H3401" s="32">
        <f t="shared" si="53"/>
        <v>10.997189216813593</v>
      </c>
      <c r="I3401">
        <v>1</v>
      </c>
      <c r="J3401" t="s">
        <v>21</v>
      </c>
    </row>
    <row r="3402" spans="1:10" x14ac:dyDescent="0.25">
      <c r="A3402">
        <v>54890</v>
      </c>
      <c r="B3402" t="s">
        <v>2736</v>
      </c>
      <c r="C3402" t="s">
        <v>250</v>
      </c>
      <c r="D3402" t="s">
        <v>2234</v>
      </c>
      <c r="E3402" t="s">
        <v>2602</v>
      </c>
      <c r="F3402">
        <v>280249</v>
      </c>
      <c r="G3402">
        <v>25475</v>
      </c>
      <c r="H3402" s="32">
        <f t="shared" si="53"/>
        <v>11.000942100098136</v>
      </c>
      <c r="I3402">
        <v>1</v>
      </c>
      <c r="J3402" t="s">
        <v>21</v>
      </c>
    </row>
    <row r="3403" spans="1:10" x14ac:dyDescent="0.25">
      <c r="A3403">
        <v>56680</v>
      </c>
      <c r="B3403" t="s">
        <v>2892</v>
      </c>
      <c r="C3403" t="s">
        <v>307</v>
      </c>
      <c r="D3403" t="s">
        <v>2234</v>
      </c>
      <c r="E3403" t="s">
        <v>2602</v>
      </c>
      <c r="F3403">
        <v>144753</v>
      </c>
      <c r="G3403">
        <v>13117.964</v>
      </c>
      <c r="H3403" s="32">
        <f t="shared" si="53"/>
        <v>11.034715448220471</v>
      </c>
      <c r="I3403">
        <v>1</v>
      </c>
      <c r="J3403" t="s">
        <v>21</v>
      </c>
    </row>
    <row r="3404" spans="1:10" x14ac:dyDescent="0.25">
      <c r="A3404">
        <v>56851</v>
      </c>
      <c r="B3404" t="s">
        <v>2910</v>
      </c>
      <c r="C3404" t="s">
        <v>250</v>
      </c>
      <c r="D3404" t="s">
        <v>2234</v>
      </c>
      <c r="E3404" t="s">
        <v>2602</v>
      </c>
      <c r="F3404">
        <v>341036</v>
      </c>
      <c r="G3404">
        <v>30848</v>
      </c>
      <c r="H3404" s="32">
        <f t="shared" si="53"/>
        <v>11.05536825726141</v>
      </c>
      <c r="I3404">
        <v>1</v>
      </c>
      <c r="J3404" t="s">
        <v>21</v>
      </c>
    </row>
    <row r="3405" spans="1:10" x14ac:dyDescent="0.25">
      <c r="A3405">
        <v>56419</v>
      </c>
      <c r="B3405" t="s">
        <v>2860</v>
      </c>
      <c r="C3405" t="s">
        <v>166</v>
      </c>
      <c r="D3405" t="s">
        <v>2234</v>
      </c>
      <c r="E3405" t="s">
        <v>2602</v>
      </c>
      <c r="F3405">
        <v>36119</v>
      </c>
      <c r="G3405">
        <v>3263</v>
      </c>
      <c r="H3405" s="32">
        <f t="shared" si="53"/>
        <v>11.069261415874962</v>
      </c>
      <c r="I3405">
        <v>1</v>
      </c>
      <c r="J3405" t="s">
        <v>21</v>
      </c>
    </row>
    <row r="3406" spans="1:10" x14ac:dyDescent="0.25">
      <c r="A3406">
        <v>57249</v>
      </c>
      <c r="B3406" t="s">
        <v>2958</v>
      </c>
      <c r="C3406" t="s">
        <v>322</v>
      </c>
      <c r="D3406" t="s">
        <v>2234</v>
      </c>
      <c r="E3406" t="s">
        <v>2602</v>
      </c>
      <c r="F3406">
        <v>110443</v>
      </c>
      <c r="G3406">
        <v>9975</v>
      </c>
      <c r="H3406" s="32">
        <f t="shared" si="53"/>
        <v>11.071979949874686</v>
      </c>
      <c r="I3406">
        <v>1</v>
      </c>
      <c r="J3406" t="s">
        <v>21</v>
      </c>
    </row>
    <row r="3407" spans="1:10" x14ac:dyDescent="0.25">
      <c r="A3407">
        <v>57581</v>
      </c>
      <c r="B3407" t="s">
        <v>3012</v>
      </c>
      <c r="C3407" t="s">
        <v>143</v>
      </c>
      <c r="D3407" t="s">
        <v>2234</v>
      </c>
      <c r="E3407" t="s">
        <v>2602</v>
      </c>
      <c r="F3407">
        <v>107025</v>
      </c>
      <c r="G3407">
        <v>9661</v>
      </c>
      <c r="H3407" s="32">
        <f t="shared" si="53"/>
        <v>11.078045750957457</v>
      </c>
      <c r="I3407">
        <v>1</v>
      </c>
      <c r="J3407" t="s">
        <v>21</v>
      </c>
    </row>
    <row r="3408" spans="1:10" x14ac:dyDescent="0.25">
      <c r="A3408">
        <v>54662</v>
      </c>
      <c r="B3408" t="s">
        <v>2718</v>
      </c>
      <c r="C3408" t="s">
        <v>166</v>
      </c>
      <c r="D3408" t="s">
        <v>2234</v>
      </c>
      <c r="E3408" t="s">
        <v>2602</v>
      </c>
      <c r="F3408">
        <v>143633</v>
      </c>
      <c r="G3408">
        <v>12874</v>
      </c>
      <c r="H3408" s="32">
        <f t="shared" si="53"/>
        <v>11.156827714773963</v>
      </c>
      <c r="I3408">
        <v>1</v>
      </c>
      <c r="J3408" t="s">
        <v>21</v>
      </c>
    </row>
    <row r="3409" spans="1:10" x14ac:dyDescent="0.25">
      <c r="A3409">
        <v>56683</v>
      </c>
      <c r="B3409" t="s">
        <v>2895</v>
      </c>
      <c r="C3409" t="s">
        <v>201</v>
      </c>
      <c r="D3409" t="s">
        <v>2234</v>
      </c>
      <c r="E3409" t="s">
        <v>2602</v>
      </c>
      <c r="F3409">
        <v>425303</v>
      </c>
      <c r="G3409">
        <v>38020.690999999999</v>
      </c>
      <c r="H3409" s="32">
        <f t="shared" si="53"/>
        <v>11.186093382679447</v>
      </c>
      <c r="I3409">
        <v>1</v>
      </c>
      <c r="J3409" t="s">
        <v>21</v>
      </c>
    </row>
    <row r="3410" spans="1:10" x14ac:dyDescent="0.25">
      <c r="A3410">
        <v>57024</v>
      </c>
      <c r="B3410" t="s">
        <v>2930</v>
      </c>
      <c r="C3410" t="s">
        <v>250</v>
      </c>
      <c r="D3410" t="s">
        <v>2234</v>
      </c>
      <c r="E3410" t="s">
        <v>2602</v>
      </c>
      <c r="F3410">
        <v>96980</v>
      </c>
      <c r="G3410">
        <v>8663</v>
      </c>
      <c r="H3410" s="32">
        <f t="shared" si="53"/>
        <v>11.194736234560775</v>
      </c>
      <c r="I3410">
        <v>1</v>
      </c>
      <c r="J3410" t="s">
        <v>21</v>
      </c>
    </row>
    <row r="3411" spans="1:10" x14ac:dyDescent="0.25">
      <c r="A3411">
        <v>56852</v>
      </c>
      <c r="B3411" t="s">
        <v>2911</v>
      </c>
      <c r="C3411" t="s">
        <v>250</v>
      </c>
      <c r="D3411" t="s">
        <v>2234</v>
      </c>
      <c r="E3411" t="s">
        <v>2602</v>
      </c>
      <c r="F3411">
        <v>180903</v>
      </c>
      <c r="G3411">
        <v>16129</v>
      </c>
      <c r="H3411" s="32">
        <f t="shared" si="53"/>
        <v>11.216008432016864</v>
      </c>
      <c r="I3411">
        <v>1</v>
      </c>
      <c r="J3411" t="s">
        <v>21</v>
      </c>
    </row>
    <row r="3412" spans="1:10" x14ac:dyDescent="0.25">
      <c r="A3412">
        <v>57443</v>
      </c>
      <c r="B3412" t="s">
        <v>2993</v>
      </c>
      <c r="C3412" t="s">
        <v>250</v>
      </c>
      <c r="D3412" t="s">
        <v>2234</v>
      </c>
      <c r="E3412" t="s">
        <v>2602</v>
      </c>
      <c r="F3412">
        <v>993462</v>
      </c>
      <c r="G3412">
        <v>88164</v>
      </c>
      <c r="H3412" s="32">
        <f t="shared" si="53"/>
        <v>11.268340819382061</v>
      </c>
      <c r="I3412">
        <v>1</v>
      </c>
      <c r="J3412" t="s">
        <v>21</v>
      </c>
    </row>
    <row r="3413" spans="1:10" x14ac:dyDescent="0.25">
      <c r="A3413">
        <v>56957</v>
      </c>
      <c r="B3413" t="s">
        <v>1377</v>
      </c>
      <c r="C3413" t="s">
        <v>143</v>
      </c>
      <c r="D3413" t="s">
        <v>2234</v>
      </c>
      <c r="E3413" t="s">
        <v>2602</v>
      </c>
      <c r="F3413">
        <v>429321</v>
      </c>
      <c r="G3413">
        <v>38037</v>
      </c>
      <c r="H3413" s="32">
        <f t="shared" si="53"/>
        <v>11.286931145989431</v>
      </c>
      <c r="I3413">
        <v>1</v>
      </c>
      <c r="J3413" t="s">
        <v>21</v>
      </c>
    </row>
    <row r="3414" spans="1:10" x14ac:dyDescent="0.25">
      <c r="A3414">
        <v>56510</v>
      </c>
      <c r="B3414" t="s">
        <v>2097</v>
      </c>
      <c r="C3414" t="s">
        <v>143</v>
      </c>
      <c r="D3414" t="s">
        <v>2234</v>
      </c>
      <c r="E3414" t="s">
        <v>2602</v>
      </c>
      <c r="F3414">
        <v>172816</v>
      </c>
      <c r="G3414">
        <v>15300</v>
      </c>
      <c r="H3414" s="32">
        <f t="shared" si="53"/>
        <v>11.295163398692811</v>
      </c>
      <c r="I3414">
        <v>1</v>
      </c>
      <c r="J3414" t="s">
        <v>21</v>
      </c>
    </row>
    <row r="3415" spans="1:10" x14ac:dyDescent="0.25">
      <c r="A3415">
        <v>59845</v>
      </c>
      <c r="B3415" t="s">
        <v>3598</v>
      </c>
      <c r="C3415" t="s">
        <v>201</v>
      </c>
      <c r="D3415" t="s">
        <v>2234</v>
      </c>
      <c r="E3415" t="s">
        <v>2602</v>
      </c>
      <c r="F3415">
        <v>125085</v>
      </c>
      <c r="G3415">
        <v>11024.623</v>
      </c>
      <c r="H3415" s="32">
        <f t="shared" si="53"/>
        <v>11.345966206735596</v>
      </c>
      <c r="I3415">
        <v>1</v>
      </c>
      <c r="J3415" t="s">
        <v>21</v>
      </c>
    </row>
    <row r="3416" spans="1:10" x14ac:dyDescent="0.25">
      <c r="A3416">
        <v>57018</v>
      </c>
      <c r="B3416" t="s">
        <v>2110</v>
      </c>
      <c r="C3416" t="s">
        <v>201</v>
      </c>
      <c r="D3416" t="s">
        <v>2234</v>
      </c>
      <c r="E3416" t="s">
        <v>2602</v>
      </c>
      <c r="F3416">
        <v>551848</v>
      </c>
      <c r="G3416">
        <v>48568</v>
      </c>
      <c r="H3416" s="32">
        <f t="shared" si="53"/>
        <v>11.362378520836765</v>
      </c>
      <c r="I3416">
        <v>1</v>
      </c>
      <c r="J3416" t="s">
        <v>21</v>
      </c>
    </row>
    <row r="3417" spans="1:10" x14ac:dyDescent="0.25">
      <c r="A3417">
        <v>56890</v>
      </c>
      <c r="B3417" t="s">
        <v>2920</v>
      </c>
      <c r="C3417" t="s">
        <v>143</v>
      </c>
      <c r="D3417" t="s">
        <v>2234</v>
      </c>
      <c r="E3417" t="s">
        <v>2602</v>
      </c>
      <c r="F3417">
        <v>96524</v>
      </c>
      <c r="G3417">
        <v>8451</v>
      </c>
      <c r="H3417" s="32">
        <f t="shared" si="53"/>
        <v>11.421606910424801</v>
      </c>
      <c r="I3417">
        <v>1</v>
      </c>
      <c r="J3417" t="s">
        <v>21</v>
      </c>
    </row>
    <row r="3418" spans="1:10" x14ac:dyDescent="0.25">
      <c r="A3418">
        <v>50279</v>
      </c>
      <c r="B3418" t="s">
        <v>140</v>
      </c>
      <c r="C3418" t="s">
        <v>143</v>
      </c>
      <c r="D3418" t="s">
        <v>2214</v>
      </c>
      <c r="E3418" t="s">
        <v>2602</v>
      </c>
      <c r="F3418">
        <v>61456</v>
      </c>
      <c r="G3418">
        <v>5370.9189999999999</v>
      </c>
      <c r="H3418" s="32">
        <f t="shared" si="53"/>
        <v>11.442362098553339</v>
      </c>
      <c r="I3418">
        <v>1</v>
      </c>
      <c r="J3418" t="s">
        <v>21</v>
      </c>
    </row>
    <row r="3419" spans="1:10" x14ac:dyDescent="0.25">
      <c r="A3419">
        <v>57365</v>
      </c>
      <c r="B3419" t="s">
        <v>2975</v>
      </c>
      <c r="C3419" t="s">
        <v>708</v>
      </c>
      <c r="D3419" t="s">
        <v>2234</v>
      </c>
      <c r="E3419" t="s">
        <v>2602</v>
      </c>
      <c r="F3419">
        <v>141517</v>
      </c>
      <c r="G3419">
        <v>12269</v>
      </c>
      <c r="H3419" s="32">
        <f t="shared" si="53"/>
        <v>11.534517890618632</v>
      </c>
      <c r="I3419">
        <v>1</v>
      </c>
      <c r="J3419" t="s">
        <v>21</v>
      </c>
    </row>
    <row r="3420" spans="1:10" x14ac:dyDescent="0.25">
      <c r="A3420">
        <v>57356</v>
      </c>
      <c r="B3420" t="s">
        <v>2973</v>
      </c>
      <c r="C3420" t="s">
        <v>201</v>
      </c>
      <c r="D3420" t="s">
        <v>2234</v>
      </c>
      <c r="E3420" t="s">
        <v>2602</v>
      </c>
      <c r="F3420">
        <v>37972</v>
      </c>
      <c r="G3420">
        <v>3286.4209999999998</v>
      </c>
      <c r="H3420" s="32">
        <f t="shared" si="53"/>
        <v>11.554210492204135</v>
      </c>
      <c r="I3420">
        <v>1</v>
      </c>
      <c r="J3420" t="s">
        <v>21</v>
      </c>
    </row>
    <row r="3421" spans="1:10" x14ac:dyDescent="0.25">
      <c r="A3421">
        <v>59711</v>
      </c>
      <c r="B3421" t="s">
        <v>3568</v>
      </c>
      <c r="C3421" t="s">
        <v>708</v>
      </c>
      <c r="D3421" t="s">
        <v>2234</v>
      </c>
      <c r="E3421" t="s">
        <v>2602</v>
      </c>
      <c r="F3421">
        <v>121550</v>
      </c>
      <c r="G3421">
        <v>10513</v>
      </c>
      <c r="H3421" s="32">
        <f t="shared" si="53"/>
        <v>11.561875772852659</v>
      </c>
      <c r="I3421">
        <v>1</v>
      </c>
      <c r="J3421" t="s">
        <v>21</v>
      </c>
    </row>
    <row r="3422" spans="1:10" x14ac:dyDescent="0.25">
      <c r="A3422">
        <v>56430</v>
      </c>
      <c r="B3422" t="s">
        <v>1996</v>
      </c>
      <c r="C3422" t="s">
        <v>672</v>
      </c>
      <c r="D3422" t="s">
        <v>2234</v>
      </c>
      <c r="E3422" t="s">
        <v>2602</v>
      </c>
      <c r="F3422">
        <v>308351</v>
      </c>
      <c r="G3422">
        <v>26592</v>
      </c>
      <c r="H3422" s="32">
        <f t="shared" si="53"/>
        <v>11.595630264741276</v>
      </c>
      <c r="I3422">
        <v>1</v>
      </c>
      <c r="J3422" t="s">
        <v>21</v>
      </c>
    </row>
    <row r="3423" spans="1:10" x14ac:dyDescent="0.25">
      <c r="A3423">
        <v>61758</v>
      </c>
      <c r="B3423" t="s">
        <v>4059</v>
      </c>
      <c r="C3423" t="s">
        <v>708</v>
      </c>
      <c r="D3423" t="s">
        <v>2234</v>
      </c>
      <c r="E3423" t="s">
        <v>2602</v>
      </c>
      <c r="F3423">
        <v>267719</v>
      </c>
      <c r="G3423">
        <v>23050.58</v>
      </c>
      <c r="H3423" s="32">
        <f t="shared" si="53"/>
        <v>11.614414908431804</v>
      </c>
      <c r="I3423">
        <v>1</v>
      </c>
      <c r="J3423" t="s">
        <v>21</v>
      </c>
    </row>
    <row r="3424" spans="1:10" x14ac:dyDescent="0.25">
      <c r="A3424">
        <v>58476</v>
      </c>
      <c r="B3424" t="s">
        <v>3200</v>
      </c>
      <c r="C3424" t="s">
        <v>143</v>
      </c>
      <c r="D3424" t="s">
        <v>2214</v>
      </c>
      <c r="E3424" t="s">
        <v>2602</v>
      </c>
      <c r="F3424">
        <v>583002</v>
      </c>
      <c r="G3424">
        <v>50130</v>
      </c>
      <c r="H3424" s="32">
        <f t="shared" si="53"/>
        <v>11.629802513464991</v>
      </c>
      <c r="I3424">
        <v>1</v>
      </c>
      <c r="J3424" t="s">
        <v>21</v>
      </c>
    </row>
    <row r="3425" spans="1:10" x14ac:dyDescent="0.25">
      <c r="A3425">
        <v>54910</v>
      </c>
      <c r="B3425" t="s">
        <v>2746</v>
      </c>
      <c r="C3425" t="s">
        <v>250</v>
      </c>
      <c r="D3425" t="s">
        <v>2234</v>
      </c>
      <c r="E3425" t="s">
        <v>2602</v>
      </c>
      <c r="F3425">
        <v>580692</v>
      </c>
      <c r="G3425">
        <v>49774</v>
      </c>
      <c r="H3425" s="32">
        <f t="shared" si="53"/>
        <v>11.666572909551171</v>
      </c>
      <c r="I3425">
        <v>1</v>
      </c>
      <c r="J3425" t="s">
        <v>21</v>
      </c>
    </row>
    <row r="3426" spans="1:10" x14ac:dyDescent="0.25">
      <c r="A3426">
        <v>56531</v>
      </c>
      <c r="B3426" t="s">
        <v>1960</v>
      </c>
      <c r="C3426" t="s">
        <v>201</v>
      </c>
      <c r="D3426" t="s">
        <v>2234</v>
      </c>
      <c r="E3426" t="s">
        <v>2602</v>
      </c>
      <c r="F3426">
        <v>436339</v>
      </c>
      <c r="G3426">
        <v>37317</v>
      </c>
      <c r="H3426" s="32">
        <f t="shared" si="53"/>
        <v>11.69276737143929</v>
      </c>
      <c r="I3426">
        <v>1</v>
      </c>
      <c r="J3426" t="s">
        <v>21</v>
      </c>
    </row>
    <row r="3427" spans="1:10" x14ac:dyDescent="0.25">
      <c r="A3427">
        <v>61145</v>
      </c>
      <c r="B3427" t="s">
        <v>320</v>
      </c>
      <c r="C3427" t="s">
        <v>322</v>
      </c>
      <c r="D3427" t="s">
        <v>2234</v>
      </c>
      <c r="E3427" t="s">
        <v>2602</v>
      </c>
      <c r="F3427">
        <v>309357</v>
      </c>
      <c r="G3427">
        <v>26363</v>
      </c>
      <c r="H3427" s="32">
        <f t="shared" si="53"/>
        <v>11.734514281379205</v>
      </c>
      <c r="I3427">
        <v>1</v>
      </c>
      <c r="J3427" t="s">
        <v>21</v>
      </c>
    </row>
    <row r="3428" spans="1:10" x14ac:dyDescent="0.25">
      <c r="A3428">
        <v>56512</v>
      </c>
      <c r="B3428" t="s">
        <v>2095</v>
      </c>
      <c r="C3428" t="s">
        <v>143</v>
      </c>
      <c r="D3428" t="s">
        <v>2234</v>
      </c>
      <c r="E3428" t="s">
        <v>2602</v>
      </c>
      <c r="F3428">
        <v>122333</v>
      </c>
      <c r="G3428">
        <v>10418</v>
      </c>
      <c r="H3428" s="32">
        <f t="shared" si="53"/>
        <v>11.742464964484546</v>
      </c>
      <c r="I3428">
        <v>1</v>
      </c>
      <c r="J3428" t="s">
        <v>21</v>
      </c>
    </row>
    <row r="3429" spans="1:10" x14ac:dyDescent="0.25">
      <c r="A3429">
        <v>55074</v>
      </c>
      <c r="B3429" t="s">
        <v>2762</v>
      </c>
      <c r="C3429" t="s">
        <v>143</v>
      </c>
      <c r="D3429" t="s">
        <v>2234</v>
      </c>
      <c r="E3429" t="s">
        <v>2602</v>
      </c>
      <c r="F3429">
        <v>383252</v>
      </c>
      <c r="G3429">
        <v>32635</v>
      </c>
      <c r="H3429" s="32">
        <f t="shared" si="53"/>
        <v>11.743588172207753</v>
      </c>
      <c r="I3429">
        <v>1</v>
      </c>
      <c r="J3429" t="s">
        <v>21</v>
      </c>
    </row>
    <row r="3430" spans="1:10" x14ac:dyDescent="0.25">
      <c r="A3430">
        <v>59425</v>
      </c>
      <c r="B3430" t="s">
        <v>3449</v>
      </c>
      <c r="C3430" t="s">
        <v>131</v>
      </c>
      <c r="D3430" t="s">
        <v>2234</v>
      </c>
      <c r="E3430" t="s">
        <v>2602</v>
      </c>
      <c r="F3430">
        <v>475181</v>
      </c>
      <c r="G3430">
        <v>40462</v>
      </c>
      <c r="H3430" s="32">
        <f t="shared" si="53"/>
        <v>11.743883149621867</v>
      </c>
      <c r="I3430">
        <v>1</v>
      </c>
      <c r="J3430" t="s">
        <v>21</v>
      </c>
    </row>
    <row r="3431" spans="1:10" x14ac:dyDescent="0.25">
      <c r="A3431">
        <v>57582</v>
      </c>
      <c r="B3431" t="s">
        <v>1970</v>
      </c>
      <c r="C3431" t="s">
        <v>143</v>
      </c>
      <c r="D3431" t="s">
        <v>2234</v>
      </c>
      <c r="E3431" t="s">
        <v>2602</v>
      </c>
      <c r="F3431">
        <v>266943</v>
      </c>
      <c r="G3431">
        <v>22701</v>
      </c>
      <c r="H3431" s="32">
        <f t="shared" si="53"/>
        <v>11.759085502841284</v>
      </c>
      <c r="I3431">
        <v>1</v>
      </c>
      <c r="J3431" t="s">
        <v>21</v>
      </c>
    </row>
    <row r="3432" spans="1:10" x14ac:dyDescent="0.25">
      <c r="A3432">
        <v>57170</v>
      </c>
      <c r="B3432" t="s">
        <v>2947</v>
      </c>
      <c r="C3432" t="s">
        <v>322</v>
      </c>
      <c r="D3432" t="s">
        <v>2234</v>
      </c>
      <c r="E3432" t="s">
        <v>2602</v>
      </c>
      <c r="F3432">
        <v>387634</v>
      </c>
      <c r="G3432">
        <v>32872</v>
      </c>
      <c r="H3432" s="32">
        <f t="shared" si="53"/>
        <v>11.792224385495254</v>
      </c>
      <c r="I3432">
        <v>1</v>
      </c>
      <c r="J3432" t="s">
        <v>21</v>
      </c>
    </row>
    <row r="3433" spans="1:10" x14ac:dyDescent="0.25">
      <c r="A3433">
        <v>50570</v>
      </c>
      <c r="B3433" t="s">
        <v>2654</v>
      </c>
      <c r="C3433" t="s">
        <v>2029</v>
      </c>
      <c r="D3433" t="s">
        <v>2234</v>
      </c>
      <c r="E3433" t="s">
        <v>2602</v>
      </c>
      <c r="F3433">
        <v>405479</v>
      </c>
      <c r="G3433">
        <v>33962</v>
      </c>
      <c r="H3433" s="32">
        <f t="shared" si="53"/>
        <v>11.939196749308049</v>
      </c>
      <c r="I3433">
        <v>1</v>
      </c>
      <c r="J3433" t="s">
        <v>21</v>
      </c>
    </row>
    <row r="3434" spans="1:10" x14ac:dyDescent="0.25">
      <c r="A3434">
        <v>56277</v>
      </c>
      <c r="B3434" t="s">
        <v>2837</v>
      </c>
      <c r="C3434" t="s">
        <v>266</v>
      </c>
      <c r="D3434" t="s">
        <v>2234</v>
      </c>
      <c r="E3434" t="s">
        <v>2602</v>
      </c>
      <c r="F3434">
        <v>369003</v>
      </c>
      <c r="G3434">
        <v>30882</v>
      </c>
      <c r="H3434" s="32">
        <f t="shared" si="53"/>
        <v>11.948805129201476</v>
      </c>
      <c r="I3434">
        <v>1</v>
      </c>
      <c r="J3434" t="s">
        <v>21</v>
      </c>
    </row>
    <row r="3435" spans="1:10" x14ac:dyDescent="0.25">
      <c r="A3435">
        <v>57411</v>
      </c>
      <c r="B3435" t="s">
        <v>1134</v>
      </c>
      <c r="C3435" t="s">
        <v>322</v>
      </c>
      <c r="D3435" t="s">
        <v>2234</v>
      </c>
      <c r="E3435" t="s">
        <v>2602</v>
      </c>
      <c r="F3435">
        <v>327802</v>
      </c>
      <c r="G3435">
        <v>27413</v>
      </c>
      <c r="H3435" s="32">
        <f t="shared" si="53"/>
        <v>11.957903184620436</v>
      </c>
      <c r="I3435">
        <v>1</v>
      </c>
      <c r="J3435" t="s">
        <v>21</v>
      </c>
    </row>
    <row r="3436" spans="1:10" x14ac:dyDescent="0.25">
      <c r="A3436">
        <v>57014</v>
      </c>
      <c r="B3436" t="s">
        <v>1957</v>
      </c>
      <c r="C3436" t="s">
        <v>143</v>
      </c>
      <c r="D3436" t="s">
        <v>2234</v>
      </c>
      <c r="E3436" t="s">
        <v>2602</v>
      </c>
      <c r="F3436">
        <v>436339</v>
      </c>
      <c r="G3436">
        <v>36439</v>
      </c>
      <c r="H3436" s="32">
        <f t="shared" si="53"/>
        <v>11.974505337687642</v>
      </c>
      <c r="I3436">
        <v>1</v>
      </c>
      <c r="J3436" t="s">
        <v>21</v>
      </c>
    </row>
    <row r="3437" spans="1:10" x14ac:dyDescent="0.25">
      <c r="A3437">
        <v>54756</v>
      </c>
      <c r="B3437" t="s">
        <v>2723</v>
      </c>
      <c r="C3437" t="s">
        <v>250</v>
      </c>
      <c r="D3437" t="s">
        <v>2234</v>
      </c>
      <c r="E3437" t="s">
        <v>2602</v>
      </c>
      <c r="F3437">
        <v>455210</v>
      </c>
      <c r="G3437">
        <v>37878</v>
      </c>
      <c r="H3437" s="32">
        <f t="shared" si="53"/>
        <v>12.017793970114578</v>
      </c>
      <c r="I3437">
        <v>1</v>
      </c>
      <c r="J3437" t="s">
        <v>21</v>
      </c>
    </row>
    <row r="3438" spans="1:10" x14ac:dyDescent="0.25">
      <c r="A3438">
        <v>58377</v>
      </c>
      <c r="B3438" t="s">
        <v>3183</v>
      </c>
      <c r="C3438" t="s">
        <v>166</v>
      </c>
      <c r="D3438" t="s">
        <v>2234</v>
      </c>
      <c r="E3438" t="s">
        <v>2602</v>
      </c>
      <c r="F3438">
        <v>158679</v>
      </c>
      <c r="G3438">
        <v>13104</v>
      </c>
      <c r="H3438" s="32">
        <f t="shared" si="53"/>
        <v>12.109203296703297</v>
      </c>
      <c r="I3438">
        <v>1</v>
      </c>
      <c r="J3438" t="s">
        <v>21</v>
      </c>
    </row>
    <row r="3439" spans="1:10" x14ac:dyDescent="0.25">
      <c r="A3439">
        <v>68608</v>
      </c>
      <c r="B3439" t="s">
        <v>5250</v>
      </c>
      <c r="C3439" t="s">
        <v>143</v>
      </c>
      <c r="D3439" t="s">
        <v>2234</v>
      </c>
      <c r="E3439" t="s">
        <v>2602</v>
      </c>
      <c r="F3439">
        <v>217148</v>
      </c>
      <c r="G3439">
        <v>17928</v>
      </c>
      <c r="H3439" s="32">
        <f t="shared" si="53"/>
        <v>12.112226684515841</v>
      </c>
      <c r="I3439">
        <v>1</v>
      </c>
      <c r="J3439" t="s">
        <v>21</v>
      </c>
    </row>
    <row r="3440" spans="1:10" x14ac:dyDescent="0.25">
      <c r="A3440">
        <v>59436</v>
      </c>
      <c r="B3440" t="s">
        <v>3456</v>
      </c>
      <c r="C3440" t="s">
        <v>250</v>
      </c>
      <c r="D3440" t="s">
        <v>2234</v>
      </c>
      <c r="E3440" t="s">
        <v>2602</v>
      </c>
      <c r="F3440">
        <v>311253</v>
      </c>
      <c r="G3440">
        <v>25629</v>
      </c>
      <c r="H3440" s="32">
        <f t="shared" si="53"/>
        <v>12.144562799953178</v>
      </c>
      <c r="I3440">
        <v>1</v>
      </c>
      <c r="J3440" t="s">
        <v>21</v>
      </c>
    </row>
    <row r="3441" spans="1:10" x14ac:dyDescent="0.25">
      <c r="A3441">
        <v>54757</v>
      </c>
      <c r="B3441" t="s">
        <v>2055</v>
      </c>
      <c r="C3441" t="s">
        <v>250</v>
      </c>
      <c r="D3441" t="s">
        <v>2234</v>
      </c>
      <c r="E3441" t="s">
        <v>2602</v>
      </c>
      <c r="F3441">
        <v>612925</v>
      </c>
      <c r="G3441">
        <v>50178</v>
      </c>
      <c r="H3441" s="32">
        <f t="shared" si="53"/>
        <v>12.215014548208378</v>
      </c>
      <c r="I3441">
        <v>1</v>
      </c>
      <c r="J3441" t="s">
        <v>21</v>
      </c>
    </row>
    <row r="3442" spans="1:10" x14ac:dyDescent="0.25">
      <c r="A3442">
        <v>56887</v>
      </c>
      <c r="B3442" t="s">
        <v>2918</v>
      </c>
      <c r="C3442" t="s">
        <v>143</v>
      </c>
      <c r="D3442" t="s">
        <v>2234</v>
      </c>
      <c r="E3442" t="s">
        <v>2602</v>
      </c>
      <c r="F3442">
        <v>504508</v>
      </c>
      <c r="G3442">
        <v>41207</v>
      </c>
      <c r="H3442" s="32">
        <f t="shared" si="53"/>
        <v>12.243259640352367</v>
      </c>
      <c r="I3442">
        <v>1</v>
      </c>
      <c r="J3442" t="s">
        <v>21</v>
      </c>
    </row>
    <row r="3443" spans="1:10" x14ac:dyDescent="0.25">
      <c r="A3443">
        <v>58577</v>
      </c>
      <c r="B3443" t="s">
        <v>3232</v>
      </c>
      <c r="C3443" t="s">
        <v>131</v>
      </c>
      <c r="D3443" t="s">
        <v>2234</v>
      </c>
      <c r="E3443" t="s">
        <v>2602</v>
      </c>
      <c r="F3443">
        <v>53948</v>
      </c>
      <c r="G3443">
        <v>4394</v>
      </c>
      <c r="H3443" s="32">
        <f t="shared" si="53"/>
        <v>12.2776513427401</v>
      </c>
      <c r="I3443">
        <v>1</v>
      </c>
      <c r="J3443" t="s">
        <v>21</v>
      </c>
    </row>
    <row r="3444" spans="1:10" x14ac:dyDescent="0.25">
      <c r="A3444">
        <v>56687</v>
      </c>
      <c r="B3444" t="s">
        <v>1965</v>
      </c>
      <c r="C3444" t="s">
        <v>143</v>
      </c>
      <c r="D3444" t="s">
        <v>2234</v>
      </c>
      <c r="E3444" t="s">
        <v>2602</v>
      </c>
      <c r="F3444">
        <v>309587</v>
      </c>
      <c r="G3444">
        <v>25122.39</v>
      </c>
      <c r="H3444" s="32">
        <f t="shared" si="53"/>
        <v>12.323150783026616</v>
      </c>
      <c r="I3444">
        <v>1</v>
      </c>
      <c r="J3444" t="s">
        <v>21</v>
      </c>
    </row>
    <row r="3445" spans="1:10" x14ac:dyDescent="0.25">
      <c r="A3445">
        <v>59574</v>
      </c>
      <c r="B3445" t="s">
        <v>1959</v>
      </c>
      <c r="C3445" t="s">
        <v>250</v>
      </c>
      <c r="D3445" t="s">
        <v>2234</v>
      </c>
      <c r="E3445" t="s">
        <v>2602</v>
      </c>
      <c r="F3445">
        <v>253537</v>
      </c>
      <c r="G3445">
        <v>20457</v>
      </c>
      <c r="H3445" s="32">
        <f t="shared" si="53"/>
        <v>12.393654983624188</v>
      </c>
      <c r="I3445">
        <v>1</v>
      </c>
      <c r="J3445" t="s">
        <v>21</v>
      </c>
    </row>
    <row r="3446" spans="1:10" x14ac:dyDescent="0.25">
      <c r="A3446">
        <v>63977</v>
      </c>
      <c r="B3446" t="s">
        <v>394</v>
      </c>
      <c r="C3446" t="s">
        <v>250</v>
      </c>
      <c r="D3446" t="s">
        <v>2234</v>
      </c>
      <c r="E3446" t="s">
        <v>2602</v>
      </c>
      <c r="F3446">
        <v>160777</v>
      </c>
      <c r="G3446">
        <v>12864</v>
      </c>
      <c r="H3446" s="32">
        <f t="shared" si="53"/>
        <v>12.498212064676617</v>
      </c>
      <c r="I3446">
        <v>1</v>
      </c>
      <c r="J3446" t="s">
        <v>21</v>
      </c>
    </row>
    <row r="3447" spans="1:10" x14ac:dyDescent="0.25">
      <c r="A3447">
        <v>67027</v>
      </c>
      <c r="B3447" t="s">
        <v>5007</v>
      </c>
      <c r="C3447" t="s">
        <v>322</v>
      </c>
      <c r="D3447" t="s">
        <v>2234</v>
      </c>
      <c r="E3447" t="s">
        <v>2602</v>
      </c>
      <c r="F3447">
        <v>222902</v>
      </c>
      <c r="G3447">
        <v>17763</v>
      </c>
      <c r="H3447" s="32">
        <f t="shared" si="53"/>
        <v>12.548668580757754</v>
      </c>
      <c r="I3447">
        <v>1</v>
      </c>
      <c r="J3447" t="s">
        <v>21</v>
      </c>
    </row>
    <row r="3448" spans="1:10" x14ac:dyDescent="0.25">
      <c r="A3448">
        <v>57410</v>
      </c>
      <c r="B3448" t="s">
        <v>804</v>
      </c>
      <c r="C3448" t="s">
        <v>322</v>
      </c>
      <c r="D3448" t="s">
        <v>2234</v>
      </c>
      <c r="E3448" t="s">
        <v>2602</v>
      </c>
      <c r="F3448">
        <v>205785</v>
      </c>
      <c r="G3448">
        <v>16382</v>
      </c>
      <c r="H3448" s="32">
        <f t="shared" si="53"/>
        <v>12.561653033817604</v>
      </c>
      <c r="I3448">
        <v>1</v>
      </c>
      <c r="J3448" t="s">
        <v>21</v>
      </c>
    </row>
    <row r="3449" spans="1:10" x14ac:dyDescent="0.25">
      <c r="A3449">
        <v>56873</v>
      </c>
      <c r="B3449" t="s">
        <v>2014</v>
      </c>
      <c r="C3449" t="s">
        <v>143</v>
      </c>
      <c r="D3449" t="s">
        <v>2234</v>
      </c>
      <c r="E3449" t="s">
        <v>2602</v>
      </c>
      <c r="F3449">
        <v>25477</v>
      </c>
      <c r="G3449">
        <v>2028</v>
      </c>
      <c r="H3449" s="32">
        <f t="shared" si="53"/>
        <v>12.562623274161735</v>
      </c>
      <c r="I3449">
        <v>1</v>
      </c>
      <c r="J3449" t="s">
        <v>21</v>
      </c>
    </row>
    <row r="3450" spans="1:10" x14ac:dyDescent="0.25">
      <c r="A3450">
        <v>54539</v>
      </c>
      <c r="B3450" t="s">
        <v>2706</v>
      </c>
      <c r="C3450" t="s">
        <v>250</v>
      </c>
      <c r="D3450" t="s">
        <v>2234</v>
      </c>
      <c r="E3450" t="s">
        <v>2602</v>
      </c>
      <c r="F3450">
        <v>159803</v>
      </c>
      <c r="G3450">
        <v>12672</v>
      </c>
      <c r="H3450" s="32">
        <f t="shared" si="53"/>
        <v>12.61071654040404</v>
      </c>
      <c r="I3450">
        <v>1</v>
      </c>
      <c r="J3450" t="s">
        <v>21</v>
      </c>
    </row>
    <row r="3451" spans="1:10" x14ac:dyDescent="0.25">
      <c r="A3451">
        <v>56529</v>
      </c>
      <c r="B3451" t="s">
        <v>2877</v>
      </c>
      <c r="C3451" t="s">
        <v>166</v>
      </c>
      <c r="D3451" t="s">
        <v>2234</v>
      </c>
      <c r="E3451" t="s">
        <v>2602</v>
      </c>
      <c r="F3451">
        <v>299419</v>
      </c>
      <c r="G3451">
        <v>23690</v>
      </c>
      <c r="H3451" s="32">
        <f t="shared" si="53"/>
        <v>12.639046010975095</v>
      </c>
      <c r="I3451">
        <v>1</v>
      </c>
      <c r="J3451" t="s">
        <v>21</v>
      </c>
    </row>
    <row r="3452" spans="1:10" x14ac:dyDescent="0.25">
      <c r="A3452">
        <v>56327</v>
      </c>
      <c r="B3452" t="s">
        <v>2140</v>
      </c>
      <c r="C3452" t="s">
        <v>266</v>
      </c>
      <c r="D3452" t="s">
        <v>2234</v>
      </c>
      <c r="E3452" t="s">
        <v>2602</v>
      </c>
      <c r="F3452">
        <v>304004</v>
      </c>
      <c r="G3452">
        <v>24018</v>
      </c>
      <c r="H3452" s="32">
        <f t="shared" si="53"/>
        <v>12.657340328087267</v>
      </c>
      <c r="I3452">
        <v>1</v>
      </c>
      <c r="J3452" t="s">
        <v>21</v>
      </c>
    </row>
    <row r="3453" spans="1:10" x14ac:dyDescent="0.25">
      <c r="A3453">
        <v>57466</v>
      </c>
      <c r="B3453" t="s">
        <v>3002</v>
      </c>
      <c r="C3453" t="s">
        <v>143</v>
      </c>
      <c r="D3453" t="s">
        <v>2234</v>
      </c>
      <c r="E3453" t="s">
        <v>2602</v>
      </c>
      <c r="F3453">
        <v>532229</v>
      </c>
      <c r="G3453">
        <v>41661</v>
      </c>
      <c r="H3453" s="32">
        <f t="shared" si="53"/>
        <v>12.775233431746718</v>
      </c>
      <c r="I3453">
        <v>1</v>
      </c>
      <c r="J3453" t="s">
        <v>21</v>
      </c>
    </row>
    <row r="3454" spans="1:10" x14ac:dyDescent="0.25">
      <c r="A3454">
        <v>56278</v>
      </c>
      <c r="B3454" t="s">
        <v>2838</v>
      </c>
      <c r="C3454" t="s">
        <v>266</v>
      </c>
      <c r="D3454" t="s">
        <v>2234</v>
      </c>
      <c r="E3454" t="s">
        <v>2602</v>
      </c>
      <c r="F3454">
        <v>237503</v>
      </c>
      <c r="G3454">
        <v>18465</v>
      </c>
      <c r="H3454" s="32">
        <f t="shared" si="53"/>
        <v>12.862334145681018</v>
      </c>
      <c r="I3454">
        <v>1</v>
      </c>
      <c r="J3454" t="s">
        <v>21</v>
      </c>
    </row>
    <row r="3455" spans="1:10" x14ac:dyDescent="0.25">
      <c r="A3455">
        <v>57169</v>
      </c>
      <c r="B3455" t="s">
        <v>2946</v>
      </c>
      <c r="C3455" t="s">
        <v>708</v>
      </c>
      <c r="D3455" t="s">
        <v>2234</v>
      </c>
      <c r="E3455" t="s">
        <v>2602</v>
      </c>
      <c r="F3455">
        <v>115724</v>
      </c>
      <c r="G3455">
        <v>8953</v>
      </c>
      <c r="H3455" s="32">
        <f t="shared" si="53"/>
        <v>12.925723221266615</v>
      </c>
      <c r="I3455">
        <v>1</v>
      </c>
      <c r="J3455" t="s">
        <v>21</v>
      </c>
    </row>
    <row r="3456" spans="1:10" x14ac:dyDescent="0.25">
      <c r="A3456">
        <v>54989</v>
      </c>
      <c r="B3456" t="s">
        <v>2753</v>
      </c>
      <c r="C3456" t="s">
        <v>250</v>
      </c>
      <c r="D3456" t="s">
        <v>2234</v>
      </c>
      <c r="E3456" t="s">
        <v>2602</v>
      </c>
      <c r="F3456">
        <v>789480</v>
      </c>
      <c r="G3456">
        <v>60438</v>
      </c>
      <c r="H3456" s="32">
        <f t="shared" si="53"/>
        <v>13.062642708229921</v>
      </c>
      <c r="I3456">
        <v>1</v>
      </c>
      <c r="J3456" t="s">
        <v>21</v>
      </c>
    </row>
    <row r="3457" spans="1:10" x14ac:dyDescent="0.25">
      <c r="A3457">
        <v>10532</v>
      </c>
      <c r="B3457" t="s">
        <v>2057</v>
      </c>
      <c r="C3457" t="s">
        <v>250</v>
      </c>
      <c r="D3457" t="s">
        <v>2234</v>
      </c>
      <c r="E3457" t="s">
        <v>2602</v>
      </c>
      <c r="F3457">
        <v>104525</v>
      </c>
      <c r="G3457">
        <v>7944</v>
      </c>
      <c r="H3457" s="32">
        <f t="shared" si="53"/>
        <v>13.157729103726082</v>
      </c>
      <c r="I3457">
        <v>1</v>
      </c>
      <c r="J3457" t="s">
        <v>21</v>
      </c>
    </row>
    <row r="3458" spans="1:10" x14ac:dyDescent="0.25">
      <c r="A3458">
        <v>56571</v>
      </c>
      <c r="B3458" t="s">
        <v>2096</v>
      </c>
      <c r="C3458" t="s">
        <v>307</v>
      </c>
      <c r="D3458" t="s">
        <v>2234</v>
      </c>
      <c r="E3458" t="s">
        <v>2602</v>
      </c>
      <c r="F3458">
        <v>255672</v>
      </c>
      <c r="G3458">
        <v>19271</v>
      </c>
      <c r="H3458" s="32">
        <f t="shared" ref="H3458:H3521" si="54">IF(AND(F3458&gt;0,G3458&gt;0),F3458/G3458,"")</f>
        <v>13.267189040527217</v>
      </c>
      <c r="I3458">
        <v>1</v>
      </c>
      <c r="J3458" t="s">
        <v>21</v>
      </c>
    </row>
    <row r="3459" spans="1:10" x14ac:dyDescent="0.25">
      <c r="A3459">
        <v>60137</v>
      </c>
      <c r="B3459" t="s">
        <v>3687</v>
      </c>
      <c r="C3459" t="s">
        <v>266</v>
      </c>
      <c r="D3459" t="s">
        <v>2234</v>
      </c>
      <c r="E3459" t="s">
        <v>2602</v>
      </c>
      <c r="F3459">
        <v>60501</v>
      </c>
      <c r="G3459">
        <v>4490</v>
      </c>
      <c r="H3459" s="32">
        <f t="shared" si="54"/>
        <v>13.474610244988865</v>
      </c>
      <c r="I3459">
        <v>1</v>
      </c>
      <c r="J3459" t="s">
        <v>21</v>
      </c>
    </row>
    <row r="3460" spans="1:10" x14ac:dyDescent="0.25">
      <c r="A3460">
        <v>56884</v>
      </c>
      <c r="B3460" t="s">
        <v>2917</v>
      </c>
      <c r="C3460" t="s">
        <v>241</v>
      </c>
      <c r="D3460" t="s">
        <v>2234</v>
      </c>
      <c r="E3460" t="s">
        <v>2602</v>
      </c>
      <c r="F3460">
        <v>316123</v>
      </c>
      <c r="G3460">
        <v>23258</v>
      </c>
      <c r="H3460" s="32">
        <f t="shared" si="54"/>
        <v>13.592011350933012</v>
      </c>
      <c r="I3460">
        <v>1</v>
      </c>
      <c r="J3460" t="s">
        <v>21</v>
      </c>
    </row>
    <row r="3461" spans="1:10" x14ac:dyDescent="0.25">
      <c r="A3461">
        <v>50721</v>
      </c>
      <c r="B3461" t="s">
        <v>2663</v>
      </c>
      <c r="C3461" t="s">
        <v>166</v>
      </c>
      <c r="D3461" t="s">
        <v>2234</v>
      </c>
      <c r="E3461" t="s">
        <v>2602</v>
      </c>
      <c r="F3461">
        <v>147120</v>
      </c>
      <c r="G3461">
        <v>10720</v>
      </c>
      <c r="H3461" s="32">
        <f t="shared" si="54"/>
        <v>13.723880597014926</v>
      </c>
      <c r="I3461">
        <v>1</v>
      </c>
      <c r="J3461" t="s">
        <v>21</v>
      </c>
    </row>
    <row r="3462" spans="1:10" x14ac:dyDescent="0.25">
      <c r="A3462">
        <v>58558</v>
      </c>
      <c r="B3462" t="s">
        <v>3225</v>
      </c>
      <c r="C3462" t="s">
        <v>708</v>
      </c>
      <c r="D3462" t="s">
        <v>2234</v>
      </c>
      <c r="E3462" t="s">
        <v>2602</v>
      </c>
      <c r="F3462">
        <v>162981</v>
      </c>
      <c r="G3462">
        <v>11237</v>
      </c>
      <c r="H3462" s="32">
        <f t="shared" si="54"/>
        <v>14.503960131707752</v>
      </c>
      <c r="I3462">
        <v>1</v>
      </c>
      <c r="J3462" t="s">
        <v>21</v>
      </c>
    </row>
    <row r="3463" spans="1:10" x14ac:dyDescent="0.25">
      <c r="A3463">
        <v>54536</v>
      </c>
      <c r="B3463" t="s">
        <v>2705</v>
      </c>
      <c r="C3463" t="s">
        <v>250</v>
      </c>
      <c r="D3463" t="s">
        <v>2234</v>
      </c>
      <c r="E3463" t="s">
        <v>2602</v>
      </c>
      <c r="F3463">
        <v>762455</v>
      </c>
      <c r="G3463">
        <v>52464</v>
      </c>
      <c r="H3463" s="32">
        <f t="shared" si="54"/>
        <v>14.532917810308021</v>
      </c>
      <c r="I3463">
        <v>1</v>
      </c>
      <c r="J3463" t="s">
        <v>21</v>
      </c>
    </row>
    <row r="3464" spans="1:10" x14ac:dyDescent="0.25">
      <c r="A3464">
        <v>62641</v>
      </c>
      <c r="B3464" t="s">
        <v>4193</v>
      </c>
      <c r="C3464" t="s">
        <v>266</v>
      </c>
      <c r="D3464" t="s">
        <v>2234</v>
      </c>
      <c r="E3464" t="s">
        <v>2602</v>
      </c>
      <c r="F3464">
        <v>98807</v>
      </c>
      <c r="G3464">
        <v>6774</v>
      </c>
      <c r="H3464" s="32">
        <f t="shared" si="54"/>
        <v>14.586211987009152</v>
      </c>
      <c r="I3464">
        <v>1</v>
      </c>
      <c r="J3464" t="s">
        <v>21</v>
      </c>
    </row>
    <row r="3465" spans="1:10" x14ac:dyDescent="0.25">
      <c r="A3465">
        <v>57896</v>
      </c>
      <c r="B3465" t="s">
        <v>3073</v>
      </c>
      <c r="C3465" t="s">
        <v>708</v>
      </c>
      <c r="D3465" t="s">
        <v>2214</v>
      </c>
      <c r="E3465" t="s">
        <v>2602</v>
      </c>
      <c r="F3465">
        <v>962911</v>
      </c>
      <c r="G3465">
        <v>63897</v>
      </c>
      <c r="H3465" s="32">
        <f t="shared" si="54"/>
        <v>15.069737233359939</v>
      </c>
      <c r="I3465">
        <v>1</v>
      </c>
      <c r="J3465" t="s">
        <v>21</v>
      </c>
    </row>
    <row r="3466" spans="1:10" x14ac:dyDescent="0.25">
      <c r="A3466">
        <v>59116</v>
      </c>
      <c r="B3466" t="s">
        <v>2203</v>
      </c>
      <c r="C3466" t="s">
        <v>241</v>
      </c>
      <c r="D3466" t="s">
        <v>2234</v>
      </c>
      <c r="E3466" t="s">
        <v>2602</v>
      </c>
      <c r="F3466">
        <v>19144</v>
      </c>
      <c r="G3466">
        <v>1238</v>
      </c>
      <c r="H3466" s="32">
        <f t="shared" si="54"/>
        <v>15.463651050080776</v>
      </c>
      <c r="I3466">
        <v>1</v>
      </c>
      <c r="J3466" t="s">
        <v>21</v>
      </c>
    </row>
    <row r="3467" spans="1:10" x14ac:dyDescent="0.25">
      <c r="A3467">
        <v>56850</v>
      </c>
      <c r="B3467" t="s">
        <v>2909</v>
      </c>
      <c r="C3467" t="s">
        <v>143</v>
      </c>
      <c r="D3467" t="s">
        <v>2234</v>
      </c>
      <c r="E3467" t="s">
        <v>2602</v>
      </c>
      <c r="F3467">
        <v>213363</v>
      </c>
      <c r="G3467">
        <v>13401</v>
      </c>
      <c r="H3467" s="32">
        <f t="shared" si="54"/>
        <v>15.921423774345199</v>
      </c>
      <c r="I3467">
        <v>1</v>
      </c>
      <c r="J3467" t="s">
        <v>21</v>
      </c>
    </row>
    <row r="3468" spans="1:10" x14ac:dyDescent="0.25">
      <c r="A3468">
        <v>54903</v>
      </c>
      <c r="B3468" t="s">
        <v>2745</v>
      </c>
      <c r="C3468" t="s">
        <v>250</v>
      </c>
      <c r="D3468" t="s">
        <v>2234</v>
      </c>
      <c r="E3468" t="s">
        <v>2602</v>
      </c>
      <c r="F3468">
        <v>34048</v>
      </c>
      <c r="G3468">
        <v>2136</v>
      </c>
      <c r="H3468" s="32">
        <f t="shared" si="54"/>
        <v>15.940074906367041</v>
      </c>
      <c r="I3468">
        <v>1</v>
      </c>
      <c r="J3468" t="s">
        <v>21</v>
      </c>
    </row>
    <row r="3469" spans="1:10" x14ac:dyDescent="0.25">
      <c r="A3469">
        <v>54723</v>
      </c>
      <c r="B3469" t="s">
        <v>2719</v>
      </c>
      <c r="C3469" t="s">
        <v>201</v>
      </c>
      <c r="D3469" t="s">
        <v>2234</v>
      </c>
      <c r="E3469" t="s">
        <v>2602</v>
      </c>
      <c r="F3469">
        <v>206440</v>
      </c>
      <c r="G3469">
        <v>12938</v>
      </c>
      <c r="H3469" s="32">
        <f t="shared" si="54"/>
        <v>15.956098315040965</v>
      </c>
      <c r="I3469">
        <v>1</v>
      </c>
      <c r="J3469" t="s">
        <v>21</v>
      </c>
    </row>
    <row r="3470" spans="1:10" x14ac:dyDescent="0.25">
      <c r="A3470">
        <v>58559</v>
      </c>
      <c r="B3470" t="s">
        <v>3226</v>
      </c>
      <c r="C3470" t="s">
        <v>2029</v>
      </c>
      <c r="D3470" t="s">
        <v>2234</v>
      </c>
      <c r="E3470" t="s">
        <v>2602</v>
      </c>
      <c r="F3470">
        <v>116724</v>
      </c>
      <c r="G3470">
        <v>7275</v>
      </c>
      <c r="H3470" s="32">
        <f t="shared" si="54"/>
        <v>16.044536082474227</v>
      </c>
      <c r="I3470">
        <v>1</v>
      </c>
      <c r="J3470" t="s">
        <v>21</v>
      </c>
    </row>
    <row r="3471" spans="1:10" x14ac:dyDescent="0.25">
      <c r="A3471">
        <v>55599</v>
      </c>
      <c r="B3471" t="s">
        <v>2801</v>
      </c>
      <c r="C3471" t="s">
        <v>708</v>
      </c>
      <c r="D3471" t="s">
        <v>2214</v>
      </c>
      <c r="E3471" t="s">
        <v>2602</v>
      </c>
      <c r="F3471">
        <v>69177</v>
      </c>
      <c r="G3471">
        <v>4272</v>
      </c>
      <c r="H3471" s="32">
        <f t="shared" si="54"/>
        <v>16.19311797752809</v>
      </c>
      <c r="I3471">
        <v>1</v>
      </c>
      <c r="J3471" t="s">
        <v>21</v>
      </c>
    </row>
    <row r="3472" spans="1:10" x14ac:dyDescent="0.25">
      <c r="A3472">
        <v>56511</v>
      </c>
      <c r="B3472" t="s">
        <v>2875</v>
      </c>
      <c r="C3472" t="s">
        <v>241</v>
      </c>
      <c r="D3472" t="s">
        <v>2234</v>
      </c>
      <c r="E3472" t="s">
        <v>2602</v>
      </c>
      <c r="F3472">
        <v>11163</v>
      </c>
      <c r="G3472">
        <v>670</v>
      </c>
      <c r="H3472" s="32">
        <f t="shared" si="54"/>
        <v>16.661194029850748</v>
      </c>
      <c r="I3472">
        <v>1</v>
      </c>
      <c r="J3472" t="s">
        <v>21</v>
      </c>
    </row>
    <row r="3473" spans="1:10" x14ac:dyDescent="0.25">
      <c r="A3473">
        <v>59392</v>
      </c>
      <c r="B3473" t="s">
        <v>3446</v>
      </c>
      <c r="C3473" t="s">
        <v>266</v>
      </c>
      <c r="D3473" t="s">
        <v>2234</v>
      </c>
      <c r="E3473" t="s">
        <v>2602</v>
      </c>
      <c r="F3473">
        <v>41027</v>
      </c>
      <c r="G3473">
        <v>2317</v>
      </c>
      <c r="H3473" s="32">
        <f t="shared" si="54"/>
        <v>17.706948640483382</v>
      </c>
      <c r="I3473">
        <v>1</v>
      </c>
      <c r="J3473" t="s">
        <v>21</v>
      </c>
    </row>
    <row r="3474" spans="1:10" x14ac:dyDescent="0.25">
      <c r="A3474">
        <v>55597</v>
      </c>
      <c r="B3474" t="s">
        <v>2800</v>
      </c>
      <c r="C3474" t="s">
        <v>250</v>
      </c>
      <c r="D3474" t="s">
        <v>2234</v>
      </c>
      <c r="E3474" t="s">
        <v>2602</v>
      </c>
      <c r="F3474">
        <v>124276</v>
      </c>
      <c r="G3474">
        <v>6955</v>
      </c>
      <c r="H3474" s="32">
        <f t="shared" si="54"/>
        <v>17.868583752695901</v>
      </c>
      <c r="I3474">
        <v>1</v>
      </c>
      <c r="J3474" t="s">
        <v>21</v>
      </c>
    </row>
    <row r="3475" spans="1:10" x14ac:dyDescent="0.25">
      <c r="A3475">
        <v>60364</v>
      </c>
      <c r="B3475" t="s">
        <v>3745</v>
      </c>
      <c r="C3475" t="s">
        <v>708</v>
      </c>
      <c r="D3475" t="s">
        <v>2234</v>
      </c>
      <c r="E3475" t="s">
        <v>2602</v>
      </c>
      <c r="F3475">
        <v>63995</v>
      </c>
      <c r="G3475">
        <v>3566</v>
      </c>
      <c r="H3475" s="32">
        <f t="shared" si="54"/>
        <v>17.945877734155918</v>
      </c>
      <c r="I3475">
        <v>1</v>
      </c>
      <c r="J3475" t="s">
        <v>21</v>
      </c>
    </row>
    <row r="3476" spans="1:10" x14ac:dyDescent="0.25">
      <c r="A3476">
        <v>57022</v>
      </c>
      <c r="B3476" t="s">
        <v>2088</v>
      </c>
      <c r="C3476" t="s">
        <v>201</v>
      </c>
      <c r="D3476" t="s">
        <v>2214</v>
      </c>
      <c r="E3476" t="s">
        <v>2602</v>
      </c>
      <c r="F3476">
        <v>1399339</v>
      </c>
      <c r="G3476">
        <v>77850</v>
      </c>
      <c r="H3476" s="32">
        <f t="shared" si="54"/>
        <v>17.974810533076429</v>
      </c>
      <c r="I3476">
        <v>1</v>
      </c>
      <c r="J3476" t="s">
        <v>21</v>
      </c>
    </row>
    <row r="3477" spans="1:10" x14ac:dyDescent="0.25">
      <c r="A3477">
        <v>55054</v>
      </c>
      <c r="B3477" t="s">
        <v>2759</v>
      </c>
      <c r="C3477" t="s">
        <v>166</v>
      </c>
      <c r="D3477" t="s">
        <v>2214</v>
      </c>
      <c r="E3477" t="s">
        <v>2602</v>
      </c>
      <c r="F3477">
        <v>903613</v>
      </c>
      <c r="G3477">
        <v>50051</v>
      </c>
      <c r="H3477" s="32">
        <f t="shared" si="54"/>
        <v>18.053845078020419</v>
      </c>
      <c r="I3477">
        <v>1</v>
      </c>
      <c r="J3477" t="s">
        <v>21</v>
      </c>
    </row>
    <row r="3478" spans="1:10" x14ac:dyDescent="0.25">
      <c r="A3478">
        <v>55964</v>
      </c>
      <c r="B3478" t="s">
        <v>2816</v>
      </c>
      <c r="C3478" t="s">
        <v>307</v>
      </c>
      <c r="D3478" t="s">
        <v>2234</v>
      </c>
      <c r="E3478" t="s">
        <v>2602</v>
      </c>
      <c r="F3478">
        <v>11067</v>
      </c>
      <c r="G3478">
        <v>590</v>
      </c>
      <c r="H3478" s="32">
        <f t="shared" si="54"/>
        <v>18.757627118644066</v>
      </c>
      <c r="I3478">
        <v>1</v>
      </c>
      <c r="J3478" t="s">
        <v>21</v>
      </c>
    </row>
    <row r="3479" spans="1:10" x14ac:dyDescent="0.25">
      <c r="A3479">
        <v>50563</v>
      </c>
      <c r="B3479" t="s">
        <v>2652</v>
      </c>
      <c r="C3479" t="s">
        <v>166</v>
      </c>
      <c r="D3479" t="s">
        <v>2214</v>
      </c>
      <c r="E3479" t="s">
        <v>2602</v>
      </c>
      <c r="F3479">
        <v>424060</v>
      </c>
      <c r="G3479">
        <v>22229</v>
      </c>
      <c r="H3479" s="32">
        <f t="shared" si="54"/>
        <v>19.076881551126906</v>
      </c>
      <c r="I3479">
        <v>1</v>
      </c>
      <c r="J3479" t="s">
        <v>21</v>
      </c>
    </row>
    <row r="3480" spans="1:10" x14ac:dyDescent="0.25">
      <c r="A3480">
        <v>55597</v>
      </c>
      <c r="B3480" t="s">
        <v>2800</v>
      </c>
      <c r="C3480" t="s">
        <v>250</v>
      </c>
      <c r="D3480" t="s">
        <v>2214</v>
      </c>
      <c r="E3480" t="s">
        <v>2602</v>
      </c>
      <c r="F3480">
        <v>275386</v>
      </c>
      <c r="G3480">
        <v>14015</v>
      </c>
      <c r="H3480" s="32">
        <f t="shared" si="54"/>
        <v>19.649375668926151</v>
      </c>
      <c r="I3480">
        <v>1</v>
      </c>
      <c r="J3480" t="s">
        <v>21</v>
      </c>
    </row>
    <row r="3481" spans="1:10" x14ac:dyDescent="0.25">
      <c r="A3481">
        <v>50573</v>
      </c>
      <c r="B3481" t="s">
        <v>2655</v>
      </c>
      <c r="C3481" t="s">
        <v>166</v>
      </c>
      <c r="D3481" t="s">
        <v>2214</v>
      </c>
      <c r="E3481" t="s">
        <v>2602</v>
      </c>
      <c r="F3481">
        <v>279170</v>
      </c>
      <c r="G3481">
        <v>13324</v>
      </c>
      <c r="H3481" s="32">
        <f t="shared" si="54"/>
        <v>20.952416691684178</v>
      </c>
      <c r="I3481">
        <v>1</v>
      </c>
      <c r="J3481" t="s">
        <v>21</v>
      </c>
    </row>
    <row r="3482" spans="1:10" x14ac:dyDescent="0.25">
      <c r="A3482">
        <v>55014</v>
      </c>
      <c r="B3482" t="s">
        <v>2756</v>
      </c>
      <c r="C3482" t="s">
        <v>166</v>
      </c>
      <c r="D3482" t="s">
        <v>2214</v>
      </c>
      <c r="E3482" t="s">
        <v>2602</v>
      </c>
      <c r="F3482">
        <v>477194</v>
      </c>
      <c r="G3482">
        <v>22352</v>
      </c>
      <c r="H3482" s="32">
        <f t="shared" si="54"/>
        <v>21.349051539012169</v>
      </c>
      <c r="I3482">
        <v>1</v>
      </c>
      <c r="J3482" t="s">
        <v>21</v>
      </c>
    </row>
    <row r="3483" spans="1:10" x14ac:dyDescent="0.25">
      <c r="A3483">
        <v>55765</v>
      </c>
      <c r="B3483" t="s">
        <v>2806</v>
      </c>
      <c r="C3483" t="s">
        <v>143</v>
      </c>
      <c r="D3483" t="s">
        <v>2214</v>
      </c>
      <c r="E3483" t="s">
        <v>2602</v>
      </c>
      <c r="F3483">
        <v>661078</v>
      </c>
      <c r="G3483">
        <v>30445</v>
      </c>
      <c r="H3483" s="32">
        <f t="shared" si="54"/>
        <v>21.713844637871571</v>
      </c>
      <c r="I3483">
        <v>1</v>
      </c>
      <c r="J3483" t="s">
        <v>21</v>
      </c>
    </row>
    <row r="3484" spans="1:10" x14ac:dyDescent="0.25">
      <c r="A3484">
        <v>50575</v>
      </c>
      <c r="B3484" t="s">
        <v>2656</v>
      </c>
      <c r="C3484" t="s">
        <v>166</v>
      </c>
      <c r="D3484" t="s">
        <v>2214</v>
      </c>
      <c r="E3484" t="s">
        <v>2602</v>
      </c>
      <c r="F3484">
        <v>247679</v>
      </c>
      <c r="G3484">
        <v>10757</v>
      </c>
      <c r="H3484" s="32">
        <f t="shared" si="54"/>
        <v>23.024914009482199</v>
      </c>
      <c r="I3484">
        <v>1</v>
      </c>
      <c r="J3484" t="s">
        <v>21</v>
      </c>
    </row>
    <row r="3485" spans="1:10" x14ac:dyDescent="0.25">
      <c r="A3485">
        <v>55596</v>
      </c>
      <c r="B3485" t="s">
        <v>2799</v>
      </c>
      <c r="C3485" t="s">
        <v>250</v>
      </c>
      <c r="D3485" t="s">
        <v>2071</v>
      </c>
      <c r="E3485" t="s">
        <v>2602</v>
      </c>
      <c r="F3485">
        <v>22044</v>
      </c>
      <c r="G3485">
        <v>925</v>
      </c>
      <c r="H3485" s="32">
        <f t="shared" si="54"/>
        <v>23.831351351351351</v>
      </c>
      <c r="I3485">
        <v>1</v>
      </c>
      <c r="J3485" t="s">
        <v>21</v>
      </c>
    </row>
    <row r="3486" spans="1:10" x14ac:dyDescent="0.25">
      <c r="A3486">
        <v>54984</v>
      </c>
      <c r="B3486" t="s">
        <v>2752</v>
      </c>
      <c r="C3486" t="s">
        <v>708</v>
      </c>
      <c r="D3486" t="s">
        <v>2214</v>
      </c>
      <c r="E3486" t="s">
        <v>2602</v>
      </c>
      <c r="F3486">
        <v>1951</v>
      </c>
      <c r="G3486">
        <v>76</v>
      </c>
      <c r="H3486" s="32">
        <f t="shared" si="54"/>
        <v>25.671052631578949</v>
      </c>
      <c r="I3486">
        <v>1</v>
      </c>
      <c r="J3486" t="s">
        <v>21</v>
      </c>
    </row>
    <row r="3487" spans="1:10" x14ac:dyDescent="0.25">
      <c r="A3487">
        <v>56690</v>
      </c>
      <c r="B3487" t="s">
        <v>2898</v>
      </c>
      <c r="C3487" t="s">
        <v>143</v>
      </c>
      <c r="D3487" t="s">
        <v>2234</v>
      </c>
      <c r="E3487" t="s">
        <v>2602</v>
      </c>
      <c r="F3487">
        <v>27686</v>
      </c>
      <c r="G3487">
        <v>92.766000000000005</v>
      </c>
      <c r="H3487" s="32">
        <f t="shared" si="54"/>
        <v>298.44986309639307</v>
      </c>
      <c r="I3487">
        <v>1</v>
      </c>
      <c r="J3487" t="s">
        <v>21</v>
      </c>
    </row>
    <row r="3488" spans="1:10" x14ac:dyDescent="0.25">
      <c r="A3488">
        <v>54057</v>
      </c>
      <c r="B3488" t="s">
        <v>2694</v>
      </c>
      <c r="C3488" t="s">
        <v>250</v>
      </c>
      <c r="D3488" t="s">
        <v>2214</v>
      </c>
      <c r="E3488" t="s">
        <v>2602</v>
      </c>
      <c r="F3488">
        <v>890880</v>
      </c>
      <c r="G3488">
        <v>36</v>
      </c>
      <c r="H3488" s="32">
        <f t="shared" si="54"/>
        <v>24746.666666666668</v>
      </c>
      <c r="I3488">
        <v>1</v>
      </c>
      <c r="J3488" t="s">
        <v>21</v>
      </c>
    </row>
    <row r="3489" spans="1:10" x14ac:dyDescent="0.25">
      <c r="A3489">
        <v>55596</v>
      </c>
      <c r="B3489" t="s">
        <v>2799</v>
      </c>
      <c r="C3489" t="s">
        <v>250</v>
      </c>
      <c r="D3489" t="s">
        <v>1969</v>
      </c>
      <c r="E3489" t="s">
        <v>2602</v>
      </c>
      <c r="F3489">
        <v>0</v>
      </c>
      <c r="G3489">
        <v>213</v>
      </c>
      <c r="H3489" s="32" t="str">
        <f t="shared" si="54"/>
        <v/>
      </c>
      <c r="I3489">
        <v>1</v>
      </c>
      <c r="J3489" t="s">
        <v>21</v>
      </c>
    </row>
    <row r="3490" spans="1:10" x14ac:dyDescent="0.25">
      <c r="A3490">
        <v>56119</v>
      </c>
      <c r="B3490" t="s">
        <v>2829</v>
      </c>
      <c r="C3490" t="s">
        <v>241</v>
      </c>
      <c r="D3490" t="s">
        <v>1969</v>
      </c>
      <c r="E3490" t="s">
        <v>2602</v>
      </c>
      <c r="F3490">
        <v>0</v>
      </c>
      <c r="G3490">
        <v>39696</v>
      </c>
      <c r="H3490" s="32" t="str">
        <f t="shared" si="54"/>
        <v/>
      </c>
      <c r="I3490">
        <v>1</v>
      </c>
      <c r="J3490" t="s">
        <v>21</v>
      </c>
    </row>
    <row r="3491" spans="1:10" x14ac:dyDescent="0.25">
      <c r="A3491">
        <v>2399</v>
      </c>
      <c r="B3491" t="s">
        <v>351</v>
      </c>
      <c r="C3491" t="s">
        <v>241</v>
      </c>
      <c r="D3491" t="s">
        <v>2214</v>
      </c>
      <c r="E3491" t="s">
        <v>2355</v>
      </c>
      <c r="F3491">
        <v>6257</v>
      </c>
      <c r="G3491">
        <v>631.49400000000003</v>
      </c>
      <c r="H3491" s="32">
        <f t="shared" si="54"/>
        <v>9.9082493262010409</v>
      </c>
      <c r="I3491">
        <v>1</v>
      </c>
      <c r="J3491" t="s">
        <v>21</v>
      </c>
    </row>
    <row r="3492" spans="1:10" x14ac:dyDescent="0.25">
      <c r="A3492">
        <v>5083</v>
      </c>
      <c r="B3492" t="s">
        <v>553</v>
      </c>
      <c r="C3492" t="s">
        <v>241</v>
      </c>
      <c r="D3492" t="s">
        <v>2214</v>
      </c>
      <c r="E3492" t="s">
        <v>2355</v>
      </c>
      <c r="F3492">
        <v>38083</v>
      </c>
      <c r="G3492">
        <v>3632.7040000000002</v>
      </c>
      <c r="H3492" s="32">
        <f t="shared" si="54"/>
        <v>10.483375469072074</v>
      </c>
      <c r="I3492">
        <v>1</v>
      </c>
      <c r="J3492" t="s">
        <v>21</v>
      </c>
    </row>
    <row r="3493" spans="1:10" x14ac:dyDescent="0.25">
      <c r="A3493">
        <v>2404</v>
      </c>
      <c r="B3493" t="s">
        <v>988</v>
      </c>
      <c r="C3493" t="s">
        <v>241</v>
      </c>
      <c r="D3493" t="s">
        <v>2214</v>
      </c>
      <c r="E3493" t="s">
        <v>2355</v>
      </c>
      <c r="F3493">
        <v>6376</v>
      </c>
      <c r="G3493">
        <v>548.45000000000005</v>
      </c>
      <c r="H3493" s="32">
        <f t="shared" si="54"/>
        <v>11.625490017321541</v>
      </c>
      <c r="I3493">
        <v>1</v>
      </c>
      <c r="J3493" t="s">
        <v>21</v>
      </c>
    </row>
    <row r="3494" spans="1:10" x14ac:dyDescent="0.25">
      <c r="A3494">
        <v>7288</v>
      </c>
      <c r="B3494" t="s">
        <v>1571</v>
      </c>
      <c r="C3494" t="s">
        <v>241</v>
      </c>
      <c r="D3494" t="s">
        <v>2214</v>
      </c>
      <c r="E3494" t="s">
        <v>2355</v>
      </c>
      <c r="F3494">
        <v>9229</v>
      </c>
      <c r="G3494">
        <v>675.08399999999995</v>
      </c>
      <c r="H3494" s="32">
        <f t="shared" si="54"/>
        <v>13.670891326116454</v>
      </c>
      <c r="I3494">
        <v>1</v>
      </c>
      <c r="J3494" t="s">
        <v>21</v>
      </c>
    </row>
    <row r="3495" spans="1:10" x14ac:dyDescent="0.25">
      <c r="A3495">
        <v>3954</v>
      </c>
      <c r="B3495" t="s">
        <v>1238</v>
      </c>
      <c r="C3495" t="s">
        <v>118</v>
      </c>
      <c r="D3495" t="s">
        <v>2214</v>
      </c>
      <c r="E3495" t="s">
        <v>2248</v>
      </c>
      <c r="F3495">
        <v>4805</v>
      </c>
      <c r="G3495">
        <v>289</v>
      </c>
      <c r="H3495" s="32">
        <f t="shared" si="54"/>
        <v>16.626297577854672</v>
      </c>
      <c r="I3495">
        <v>1</v>
      </c>
      <c r="J3495" t="s">
        <v>21</v>
      </c>
    </row>
    <row r="3496" spans="1:10" x14ac:dyDescent="0.25">
      <c r="A3496">
        <v>68752</v>
      </c>
      <c r="B3496" t="s">
        <v>2022</v>
      </c>
      <c r="C3496" t="s">
        <v>166</v>
      </c>
      <c r="D3496" t="s">
        <v>2214</v>
      </c>
      <c r="E3496" t="s">
        <v>2248</v>
      </c>
      <c r="F3496">
        <v>623</v>
      </c>
      <c r="G3496">
        <v>33</v>
      </c>
      <c r="H3496" s="32">
        <f t="shared" si="54"/>
        <v>18.878787878787879</v>
      </c>
      <c r="I3496">
        <v>1</v>
      </c>
      <c r="J3496" t="s">
        <v>21</v>
      </c>
    </row>
    <row r="3497" spans="1:10" x14ac:dyDescent="0.25">
      <c r="A3497">
        <v>955</v>
      </c>
      <c r="B3497" t="s">
        <v>2159</v>
      </c>
      <c r="C3497" t="s">
        <v>166</v>
      </c>
      <c r="D3497" t="s">
        <v>2214</v>
      </c>
      <c r="E3497" t="s">
        <v>2248</v>
      </c>
      <c r="F3497">
        <v>618</v>
      </c>
      <c r="G3497">
        <v>28</v>
      </c>
      <c r="H3497" s="32">
        <f t="shared" si="54"/>
        <v>22.071428571428573</v>
      </c>
      <c r="I3497">
        <v>1</v>
      </c>
      <c r="J3497" t="s">
        <v>21</v>
      </c>
    </row>
    <row r="3498" spans="1:10" x14ac:dyDescent="0.25">
      <c r="A3498">
        <v>10017</v>
      </c>
      <c r="B3498" t="s">
        <v>2570</v>
      </c>
      <c r="C3498" t="s">
        <v>201</v>
      </c>
      <c r="D3498" t="s">
        <v>2218</v>
      </c>
      <c r="E3498" t="s">
        <v>2215</v>
      </c>
      <c r="F3498">
        <v>1898</v>
      </c>
      <c r="G3498">
        <v>475.54500000000002</v>
      </c>
      <c r="H3498" s="32">
        <f t="shared" si="54"/>
        <v>3.9912100852705841</v>
      </c>
      <c r="I3498">
        <v>1</v>
      </c>
      <c r="J3498" t="s">
        <v>21</v>
      </c>
    </row>
    <row r="3499" spans="1:10" x14ac:dyDescent="0.25">
      <c r="A3499">
        <v>10123</v>
      </c>
      <c r="B3499" t="s">
        <v>2579</v>
      </c>
      <c r="C3499" t="s">
        <v>241</v>
      </c>
      <c r="D3499" t="s">
        <v>2214</v>
      </c>
      <c r="E3499" t="s">
        <v>2215</v>
      </c>
      <c r="F3499">
        <v>918</v>
      </c>
      <c r="G3499">
        <v>226.048</v>
      </c>
      <c r="H3499" s="32">
        <f t="shared" si="54"/>
        <v>4.0610843714609288</v>
      </c>
      <c r="I3499">
        <v>1</v>
      </c>
      <c r="J3499" t="s">
        <v>21</v>
      </c>
    </row>
    <row r="3500" spans="1:10" x14ac:dyDescent="0.25">
      <c r="A3500">
        <v>58194</v>
      </c>
      <c r="B3500" t="s">
        <v>3126</v>
      </c>
      <c r="C3500" t="s">
        <v>143</v>
      </c>
      <c r="D3500" t="s">
        <v>2214</v>
      </c>
      <c r="E3500" t="s">
        <v>2215</v>
      </c>
      <c r="F3500">
        <v>92</v>
      </c>
      <c r="G3500">
        <v>22.628</v>
      </c>
      <c r="H3500" s="32">
        <f t="shared" si="54"/>
        <v>4.065759236344352</v>
      </c>
      <c r="I3500">
        <v>1</v>
      </c>
      <c r="J3500" t="s">
        <v>21</v>
      </c>
    </row>
    <row r="3501" spans="1:10" x14ac:dyDescent="0.25">
      <c r="A3501">
        <v>56785</v>
      </c>
      <c r="B3501" t="s">
        <v>2904</v>
      </c>
      <c r="C3501" t="s">
        <v>201</v>
      </c>
      <c r="D3501" t="s">
        <v>2218</v>
      </c>
      <c r="E3501" t="s">
        <v>2215</v>
      </c>
      <c r="F3501">
        <v>663</v>
      </c>
      <c r="G3501">
        <v>154.97900000000001</v>
      </c>
      <c r="H3501" s="32">
        <f t="shared" si="54"/>
        <v>4.2779989546970878</v>
      </c>
      <c r="I3501">
        <v>1</v>
      </c>
      <c r="J3501" t="s">
        <v>21</v>
      </c>
    </row>
    <row r="3502" spans="1:10" x14ac:dyDescent="0.25">
      <c r="A3502">
        <v>58195</v>
      </c>
      <c r="B3502" t="s">
        <v>3127</v>
      </c>
      <c r="C3502" t="s">
        <v>143</v>
      </c>
      <c r="D3502" t="s">
        <v>2214</v>
      </c>
      <c r="E3502" t="s">
        <v>2215</v>
      </c>
      <c r="F3502">
        <v>203</v>
      </c>
      <c r="G3502">
        <v>47.161999999999999</v>
      </c>
      <c r="H3502" s="32">
        <f t="shared" si="54"/>
        <v>4.3043127941987196</v>
      </c>
      <c r="I3502">
        <v>1</v>
      </c>
      <c r="J3502" t="s">
        <v>21</v>
      </c>
    </row>
    <row r="3503" spans="1:10" x14ac:dyDescent="0.25">
      <c r="A3503">
        <v>54250</v>
      </c>
      <c r="B3503" t="s">
        <v>2695</v>
      </c>
      <c r="C3503" t="s">
        <v>143</v>
      </c>
      <c r="D3503" t="s">
        <v>2218</v>
      </c>
      <c r="E3503" t="s">
        <v>2215</v>
      </c>
      <c r="F3503">
        <v>174</v>
      </c>
      <c r="G3503">
        <v>40.234999999999999</v>
      </c>
      <c r="H3503" s="32">
        <f t="shared" si="54"/>
        <v>4.3245930160308186</v>
      </c>
      <c r="I3503">
        <v>1</v>
      </c>
      <c r="J3503" t="s">
        <v>21</v>
      </c>
    </row>
    <row r="3504" spans="1:10" x14ac:dyDescent="0.25">
      <c r="A3504">
        <v>10224</v>
      </c>
      <c r="B3504" t="s">
        <v>2585</v>
      </c>
      <c r="C3504" t="s">
        <v>241</v>
      </c>
      <c r="D3504" t="s">
        <v>2218</v>
      </c>
      <c r="E3504" t="s">
        <v>2215</v>
      </c>
      <c r="F3504">
        <v>126</v>
      </c>
      <c r="G3504">
        <v>28.792000000000002</v>
      </c>
      <c r="H3504" s="32">
        <f t="shared" si="54"/>
        <v>4.3762156154487357</v>
      </c>
      <c r="I3504">
        <v>1</v>
      </c>
      <c r="J3504" t="s">
        <v>21</v>
      </c>
    </row>
    <row r="3505" spans="1:10" x14ac:dyDescent="0.25">
      <c r="A3505">
        <v>50431</v>
      </c>
      <c r="B3505" t="s">
        <v>2641</v>
      </c>
      <c r="C3505" t="s">
        <v>250</v>
      </c>
      <c r="D3505" t="s">
        <v>1969</v>
      </c>
      <c r="E3505" t="s">
        <v>2215</v>
      </c>
      <c r="F3505">
        <v>207</v>
      </c>
      <c r="G3505">
        <v>46.552999999999997</v>
      </c>
      <c r="H3505" s="32">
        <f t="shared" si="54"/>
        <v>4.4465447984018223</v>
      </c>
      <c r="I3505">
        <v>1</v>
      </c>
      <c r="J3505" t="s">
        <v>21</v>
      </c>
    </row>
    <row r="3506" spans="1:10" x14ac:dyDescent="0.25">
      <c r="A3506">
        <v>10122</v>
      </c>
      <c r="B3506" t="s">
        <v>2578</v>
      </c>
      <c r="C3506" t="s">
        <v>241</v>
      </c>
      <c r="D3506" t="s">
        <v>2214</v>
      </c>
      <c r="E3506" t="s">
        <v>2215</v>
      </c>
      <c r="F3506">
        <v>514</v>
      </c>
      <c r="G3506">
        <v>115.023</v>
      </c>
      <c r="H3506" s="32">
        <f t="shared" si="54"/>
        <v>4.4686714830946856</v>
      </c>
      <c r="I3506">
        <v>1</v>
      </c>
      <c r="J3506" t="s">
        <v>21</v>
      </c>
    </row>
    <row r="3507" spans="1:10" x14ac:dyDescent="0.25">
      <c r="A3507">
        <v>58584</v>
      </c>
      <c r="B3507" t="s">
        <v>3234</v>
      </c>
      <c r="C3507" t="s">
        <v>241</v>
      </c>
      <c r="D3507" t="s">
        <v>2214</v>
      </c>
      <c r="E3507" t="s">
        <v>2215</v>
      </c>
      <c r="F3507">
        <v>3771</v>
      </c>
      <c r="G3507">
        <v>840.423</v>
      </c>
      <c r="H3507" s="32">
        <f t="shared" si="54"/>
        <v>4.4870261761041759</v>
      </c>
      <c r="I3507">
        <v>1</v>
      </c>
      <c r="J3507" t="s">
        <v>21</v>
      </c>
    </row>
    <row r="3508" spans="1:10" x14ac:dyDescent="0.25">
      <c r="A3508">
        <v>50254</v>
      </c>
      <c r="B3508" t="s">
        <v>2629</v>
      </c>
      <c r="C3508" t="s">
        <v>708</v>
      </c>
      <c r="D3508" t="s">
        <v>2218</v>
      </c>
      <c r="E3508" t="s">
        <v>2215</v>
      </c>
      <c r="F3508">
        <v>1042</v>
      </c>
      <c r="G3508">
        <v>227.34299999999999</v>
      </c>
      <c r="H3508" s="32">
        <f t="shared" si="54"/>
        <v>4.5833828180326641</v>
      </c>
      <c r="I3508">
        <v>1</v>
      </c>
      <c r="J3508" t="s">
        <v>21</v>
      </c>
    </row>
    <row r="3509" spans="1:10" x14ac:dyDescent="0.25">
      <c r="A3509">
        <v>58140</v>
      </c>
      <c r="B3509" t="s">
        <v>3120</v>
      </c>
      <c r="C3509" t="s">
        <v>322</v>
      </c>
      <c r="D3509" t="s">
        <v>2214</v>
      </c>
      <c r="E3509" t="s">
        <v>2215</v>
      </c>
      <c r="F3509">
        <v>59</v>
      </c>
      <c r="G3509">
        <v>12.739000000000001</v>
      </c>
      <c r="H3509" s="32">
        <f t="shared" si="54"/>
        <v>4.6314467383625084</v>
      </c>
      <c r="I3509">
        <v>1</v>
      </c>
      <c r="J3509" t="s">
        <v>21</v>
      </c>
    </row>
    <row r="3510" spans="1:10" x14ac:dyDescent="0.25">
      <c r="A3510">
        <v>10244</v>
      </c>
      <c r="B3510" t="s">
        <v>2586</v>
      </c>
      <c r="C3510" t="s">
        <v>322</v>
      </c>
      <c r="D3510" t="s">
        <v>2218</v>
      </c>
      <c r="E3510" t="s">
        <v>2215</v>
      </c>
      <c r="F3510">
        <v>2640</v>
      </c>
      <c r="G3510">
        <v>564.91999999999996</v>
      </c>
      <c r="H3510" s="32">
        <f t="shared" si="54"/>
        <v>4.6732280676910012</v>
      </c>
      <c r="I3510">
        <v>1</v>
      </c>
      <c r="J3510" t="s">
        <v>21</v>
      </c>
    </row>
    <row r="3511" spans="1:10" x14ac:dyDescent="0.25">
      <c r="A3511">
        <v>54333</v>
      </c>
      <c r="B3511" t="s">
        <v>2697</v>
      </c>
      <c r="C3511" t="s">
        <v>143</v>
      </c>
      <c r="D3511" t="s">
        <v>1969</v>
      </c>
      <c r="E3511" t="s">
        <v>2215</v>
      </c>
      <c r="F3511">
        <v>540</v>
      </c>
      <c r="G3511">
        <v>115.176</v>
      </c>
      <c r="H3511" s="32">
        <f t="shared" si="54"/>
        <v>4.688476765992915</v>
      </c>
      <c r="I3511">
        <v>1</v>
      </c>
      <c r="J3511" t="s">
        <v>21</v>
      </c>
    </row>
    <row r="3512" spans="1:10" x14ac:dyDescent="0.25">
      <c r="A3512">
        <v>54333</v>
      </c>
      <c r="B3512" t="s">
        <v>2697</v>
      </c>
      <c r="C3512" t="s">
        <v>143</v>
      </c>
      <c r="D3512" t="s">
        <v>2071</v>
      </c>
      <c r="E3512" t="s">
        <v>2215</v>
      </c>
      <c r="F3512">
        <v>2973</v>
      </c>
      <c r="G3512">
        <v>632.49</v>
      </c>
      <c r="H3512" s="32">
        <f t="shared" si="54"/>
        <v>4.7004695726414649</v>
      </c>
      <c r="I3512">
        <v>1</v>
      </c>
      <c r="J3512" t="s">
        <v>21</v>
      </c>
    </row>
    <row r="3513" spans="1:10" x14ac:dyDescent="0.25">
      <c r="A3513">
        <v>50189</v>
      </c>
      <c r="B3513" t="s">
        <v>2626</v>
      </c>
      <c r="C3513" t="s">
        <v>708</v>
      </c>
      <c r="D3513" t="s">
        <v>2218</v>
      </c>
      <c r="E3513" t="s">
        <v>2215</v>
      </c>
      <c r="F3513">
        <v>18958</v>
      </c>
      <c r="G3513">
        <v>3984.982</v>
      </c>
      <c r="H3513" s="32">
        <f t="shared" si="54"/>
        <v>4.7573615138035752</v>
      </c>
      <c r="I3513">
        <v>1</v>
      </c>
      <c r="J3513" t="s">
        <v>21</v>
      </c>
    </row>
    <row r="3514" spans="1:10" x14ac:dyDescent="0.25">
      <c r="A3514">
        <v>54829</v>
      </c>
      <c r="B3514" t="s">
        <v>2730</v>
      </c>
      <c r="C3514" t="s">
        <v>241</v>
      </c>
      <c r="D3514" t="s">
        <v>2214</v>
      </c>
      <c r="E3514" t="s">
        <v>2215</v>
      </c>
      <c r="F3514">
        <v>473</v>
      </c>
      <c r="G3514">
        <v>98.325000000000003</v>
      </c>
      <c r="H3514" s="32">
        <f t="shared" si="54"/>
        <v>4.8105771675565725</v>
      </c>
      <c r="I3514">
        <v>1</v>
      </c>
      <c r="J3514" t="s">
        <v>21</v>
      </c>
    </row>
    <row r="3515" spans="1:10" x14ac:dyDescent="0.25">
      <c r="A3515">
        <v>52149</v>
      </c>
      <c r="B3515" t="s">
        <v>2689</v>
      </c>
      <c r="C3515" t="s">
        <v>143</v>
      </c>
      <c r="D3515" t="s">
        <v>2234</v>
      </c>
      <c r="E3515" t="s">
        <v>2215</v>
      </c>
      <c r="F3515">
        <v>260</v>
      </c>
      <c r="G3515">
        <v>53.747999999999998</v>
      </c>
      <c r="H3515" s="32">
        <f t="shared" si="54"/>
        <v>4.8373892982064453</v>
      </c>
      <c r="I3515">
        <v>1</v>
      </c>
      <c r="J3515" t="s">
        <v>21</v>
      </c>
    </row>
    <row r="3516" spans="1:10" x14ac:dyDescent="0.25">
      <c r="A3516">
        <v>54044</v>
      </c>
      <c r="B3516" t="s">
        <v>2693</v>
      </c>
      <c r="C3516" t="s">
        <v>166</v>
      </c>
      <c r="D3516" t="s">
        <v>2234</v>
      </c>
      <c r="E3516" t="s">
        <v>2215</v>
      </c>
      <c r="F3516">
        <v>821</v>
      </c>
      <c r="G3516">
        <v>165.13200000000001</v>
      </c>
      <c r="H3516" s="32">
        <f t="shared" si="54"/>
        <v>4.971780151636267</v>
      </c>
      <c r="I3516">
        <v>1</v>
      </c>
      <c r="J3516" t="s">
        <v>21</v>
      </c>
    </row>
    <row r="3517" spans="1:10" x14ac:dyDescent="0.25">
      <c r="A3517">
        <v>50296</v>
      </c>
      <c r="B3517" t="s">
        <v>2632</v>
      </c>
      <c r="C3517" t="s">
        <v>2029</v>
      </c>
      <c r="D3517" t="s">
        <v>2218</v>
      </c>
      <c r="E3517" t="s">
        <v>2215</v>
      </c>
      <c r="F3517">
        <v>1653</v>
      </c>
      <c r="G3517">
        <v>330.59800000000001</v>
      </c>
      <c r="H3517" s="32">
        <f t="shared" si="54"/>
        <v>5.0000302482168673</v>
      </c>
      <c r="I3517">
        <v>1</v>
      </c>
      <c r="J3517" t="s">
        <v>21</v>
      </c>
    </row>
    <row r="3518" spans="1:10" x14ac:dyDescent="0.25">
      <c r="A3518">
        <v>3152</v>
      </c>
      <c r="B3518" t="s">
        <v>2179</v>
      </c>
      <c r="C3518" t="s">
        <v>143</v>
      </c>
      <c r="D3518" t="s">
        <v>2234</v>
      </c>
      <c r="E3518" t="s">
        <v>2215</v>
      </c>
      <c r="F3518">
        <v>1021</v>
      </c>
      <c r="G3518">
        <v>201</v>
      </c>
      <c r="H3518" s="32">
        <f t="shared" si="54"/>
        <v>5.0796019900497509</v>
      </c>
      <c r="I3518">
        <v>1</v>
      </c>
      <c r="J3518" t="s">
        <v>21</v>
      </c>
    </row>
    <row r="3519" spans="1:10" x14ac:dyDescent="0.25">
      <c r="A3519">
        <v>52148</v>
      </c>
      <c r="B3519" t="s">
        <v>2688</v>
      </c>
      <c r="C3519" t="s">
        <v>201</v>
      </c>
      <c r="D3519" t="s">
        <v>2234</v>
      </c>
      <c r="E3519" t="s">
        <v>2215</v>
      </c>
      <c r="F3519">
        <v>3</v>
      </c>
      <c r="G3519">
        <v>0.58699999999999997</v>
      </c>
      <c r="H3519" s="32">
        <f t="shared" si="54"/>
        <v>5.1107325383304945</v>
      </c>
      <c r="I3519">
        <v>1</v>
      </c>
      <c r="J3519" t="s">
        <v>21</v>
      </c>
    </row>
    <row r="3520" spans="1:10" x14ac:dyDescent="0.25">
      <c r="A3520">
        <v>54785</v>
      </c>
      <c r="B3520" t="s">
        <v>2725</v>
      </c>
      <c r="C3520" t="s">
        <v>143</v>
      </c>
      <c r="D3520" t="s">
        <v>2218</v>
      </c>
      <c r="E3520" t="s">
        <v>2215</v>
      </c>
      <c r="F3520">
        <v>168073</v>
      </c>
      <c r="G3520">
        <v>32434.897000000001</v>
      </c>
      <c r="H3520" s="32">
        <f t="shared" si="54"/>
        <v>5.1818570596971529</v>
      </c>
      <c r="I3520">
        <v>1</v>
      </c>
      <c r="J3520" t="s">
        <v>21</v>
      </c>
    </row>
    <row r="3521" spans="1:10" x14ac:dyDescent="0.25">
      <c r="A3521">
        <v>54569</v>
      </c>
      <c r="B3521" t="s">
        <v>2709</v>
      </c>
      <c r="C3521" t="s">
        <v>241</v>
      </c>
      <c r="D3521" t="s">
        <v>2234</v>
      </c>
      <c r="E3521" t="s">
        <v>2215</v>
      </c>
      <c r="F3521">
        <v>421</v>
      </c>
      <c r="G3521">
        <v>79.721000000000004</v>
      </c>
      <c r="H3521" s="32">
        <f t="shared" si="54"/>
        <v>5.280917198730573</v>
      </c>
      <c r="I3521">
        <v>1</v>
      </c>
      <c r="J3521" t="s">
        <v>21</v>
      </c>
    </row>
    <row r="3522" spans="1:10" x14ac:dyDescent="0.25">
      <c r="A3522">
        <v>7798</v>
      </c>
      <c r="B3522" t="s">
        <v>2546</v>
      </c>
      <c r="C3522" t="s">
        <v>201</v>
      </c>
      <c r="D3522" t="s">
        <v>2234</v>
      </c>
      <c r="E3522" t="s">
        <v>2215</v>
      </c>
      <c r="F3522">
        <v>1327</v>
      </c>
      <c r="G3522">
        <v>251</v>
      </c>
      <c r="H3522" s="32">
        <f t="shared" ref="H3522:H3585" si="55">IF(AND(F3522&gt;0,G3522&gt;0),F3522/G3522,"")</f>
        <v>5.286852589641434</v>
      </c>
      <c r="I3522">
        <v>1</v>
      </c>
      <c r="J3522" t="s">
        <v>21</v>
      </c>
    </row>
    <row r="3523" spans="1:10" x14ac:dyDescent="0.25">
      <c r="A3523">
        <v>57908</v>
      </c>
      <c r="B3523" t="s">
        <v>3075</v>
      </c>
      <c r="C3523" t="s">
        <v>322</v>
      </c>
      <c r="D3523" t="s">
        <v>2234</v>
      </c>
      <c r="E3523" t="s">
        <v>2215</v>
      </c>
      <c r="F3523">
        <v>1273</v>
      </c>
      <c r="G3523">
        <v>238.14</v>
      </c>
      <c r="H3523" s="32">
        <f t="shared" si="55"/>
        <v>5.3455950281347109</v>
      </c>
      <c r="I3523">
        <v>1</v>
      </c>
      <c r="J3523" t="s">
        <v>21</v>
      </c>
    </row>
    <row r="3524" spans="1:10" x14ac:dyDescent="0.25">
      <c r="A3524">
        <v>57908</v>
      </c>
      <c r="B3524" t="s">
        <v>3075</v>
      </c>
      <c r="C3524" t="s">
        <v>322</v>
      </c>
      <c r="D3524" t="s">
        <v>2071</v>
      </c>
      <c r="E3524" t="s">
        <v>2215</v>
      </c>
      <c r="F3524">
        <v>8755</v>
      </c>
      <c r="G3524">
        <v>1611.585</v>
      </c>
      <c r="H3524" s="32">
        <f t="shared" si="55"/>
        <v>5.4325400149542222</v>
      </c>
      <c r="I3524">
        <v>1</v>
      </c>
      <c r="J3524" t="s">
        <v>21</v>
      </c>
    </row>
    <row r="3525" spans="1:10" x14ac:dyDescent="0.25">
      <c r="A3525">
        <v>50366</v>
      </c>
      <c r="B3525" t="s">
        <v>2636</v>
      </c>
      <c r="C3525" t="s">
        <v>131</v>
      </c>
      <c r="D3525" t="s">
        <v>2234</v>
      </c>
      <c r="E3525" t="s">
        <v>2215</v>
      </c>
      <c r="F3525">
        <v>1825</v>
      </c>
      <c r="G3525">
        <v>335.16</v>
      </c>
      <c r="H3525" s="32">
        <f t="shared" si="55"/>
        <v>5.4451605203484901</v>
      </c>
      <c r="I3525">
        <v>1</v>
      </c>
      <c r="J3525" t="s">
        <v>21</v>
      </c>
    </row>
    <row r="3526" spans="1:10" x14ac:dyDescent="0.25">
      <c r="A3526">
        <v>50366</v>
      </c>
      <c r="B3526" t="s">
        <v>2636</v>
      </c>
      <c r="C3526" t="s">
        <v>131</v>
      </c>
      <c r="D3526" t="s">
        <v>2218</v>
      </c>
      <c r="E3526" t="s">
        <v>2215</v>
      </c>
      <c r="F3526">
        <v>1258</v>
      </c>
      <c r="G3526">
        <v>226.56200000000001</v>
      </c>
      <c r="H3526" s="32">
        <f t="shared" si="55"/>
        <v>5.5525639780722269</v>
      </c>
      <c r="I3526">
        <v>1</v>
      </c>
      <c r="J3526" t="s">
        <v>21</v>
      </c>
    </row>
    <row r="3527" spans="1:10" x14ac:dyDescent="0.25">
      <c r="A3527">
        <v>55954</v>
      </c>
      <c r="B3527" t="s">
        <v>2815</v>
      </c>
      <c r="C3527" t="s">
        <v>201</v>
      </c>
      <c r="D3527" t="s">
        <v>2234</v>
      </c>
      <c r="E3527" t="s">
        <v>2215</v>
      </c>
      <c r="F3527">
        <v>792</v>
      </c>
      <c r="G3527">
        <v>132</v>
      </c>
      <c r="H3527" s="32">
        <f t="shared" si="55"/>
        <v>6</v>
      </c>
      <c r="I3527">
        <v>1</v>
      </c>
      <c r="J3527" t="s">
        <v>21</v>
      </c>
    </row>
    <row r="3528" spans="1:10" x14ac:dyDescent="0.25">
      <c r="A3528">
        <v>56368</v>
      </c>
      <c r="B3528" t="s">
        <v>2855</v>
      </c>
      <c r="C3528" t="s">
        <v>201</v>
      </c>
      <c r="D3528" t="s">
        <v>2234</v>
      </c>
      <c r="E3528" t="s">
        <v>2215</v>
      </c>
      <c r="F3528">
        <v>12</v>
      </c>
      <c r="G3528">
        <v>2</v>
      </c>
      <c r="H3528" s="32">
        <f t="shared" si="55"/>
        <v>6</v>
      </c>
      <c r="I3528">
        <v>1</v>
      </c>
      <c r="J3528" t="s">
        <v>21</v>
      </c>
    </row>
    <row r="3529" spans="1:10" x14ac:dyDescent="0.25">
      <c r="A3529">
        <v>10129</v>
      </c>
      <c r="B3529" t="s">
        <v>2580</v>
      </c>
      <c r="C3529" t="s">
        <v>143</v>
      </c>
      <c r="D3529" t="s">
        <v>2234</v>
      </c>
      <c r="E3529" t="s">
        <v>2215</v>
      </c>
      <c r="F3529">
        <v>3337</v>
      </c>
      <c r="G3529">
        <v>537.79300000000001</v>
      </c>
      <c r="H3529" s="32">
        <f t="shared" si="55"/>
        <v>6.2049896521524079</v>
      </c>
      <c r="I3529">
        <v>1</v>
      </c>
      <c r="J3529" t="s">
        <v>21</v>
      </c>
    </row>
    <row r="3530" spans="1:10" x14ac:dyDescent="0.25">
      <c r="A3530">
        <v>52148</v>
      </c>
      <c r="B3530" t="s">
        <v>2688</v>
      </c>
      <c r="C3530" t="s">
        <v>201</v>
      </c>
      <c r="D3530" t="s">
        <v>2218</v>
      </c>
      <c r="E3530" t="s">
        <v>2215</v>
      </c>
      <c r="F3530">
        <v>31</v>
      </c>
      <c r="G3530">
        <v>4.6630000000000003</v>
      </c>
      <c r="H3530" s="32">
        <f t="shared" si="55"/>
        <v>6.6480806347844732</v>
      </c>
      <c r="I3530">
        <v>1</v>
      </c>
      <c r="J3530" t="s">
        <v>21</v>
      </c>
    </row>
    <row r="3531" spans="1:10" x14ac:dyDescent="0.25">
      <c r="A3531">
        <v>56807</v>
      </c>
      <c r="B3531" t="s">
        <v>215</v>
      </c>
      <c r="C3531" t="s">
        <v>201</v>
      </c>
      <c r="D3531" t="s">
        <v>2071</v>
      </c>
      <c r="E3531" t="s">
        <v>2215</v>
      </c>
      <c r="F3531">
        <v>7051</v>
      </c>
      <c r="G3531">
        <v>1000.73</v>
      </c>
      <c r="H3531" s="32">
        <f t="shared" si="55"/>
        <v>7.0458565247369416</v>
      </c>
      <c r="I3531">
        <v>1</v>
      </c>
      <c r="J3531" t="s">
        <v>21</v>
      </c>
    </row>
    <row r="3532" spans="1:10" x14ac:dyDescent="0.25">
      <c r="A3532">
        <v>58575</v>
      </c>
      <c r="B3532" t="s">
        <v>3231</v>
      </c>
      <c r="C3532" t="s">
        <v>708</v>
      </c>
      <c r="D3532" t="s">
        <v>2234</v>
      </c>
      <c r="E3532" t="s">
        <v>2215</v>
      </c>
      <c r="F3532">
        <v>10790</v>
      </c>
      <c r="G3532">
        <v>1487.64</v>
      </c>
      <c r="H3532" s="32">
        <f t="shared" si="55"/>
        <v>7.2530988680056998</v>
      </c>
      <c r="I3532">
        <v>1</v>
      </c>
      <c r="J3532" t="s">
        <v>21</v>
      </c>
    </row>
    <row r="3533" spans="1:10" x14ac:dyDescent="0.25">
      <c r="A3533">
        <v>10030</v>
      </c>
      <c r="B3533" t="s">
        <v>2573</v>
      </c>
      <c r="C3533" t="s">
        <v>672</v>
      </c>
      <c r="D3533" t="s">
        <v>2214</v>
      </c>
      <c r="E3533" t="s">
        <v>2215</v>
      </c>
      <c r="F3533">
        <v>3263</v>
      </c>
      <c r="G3533">
        <v>449.46899999999999</v>
      </c>
      <c r="H3533" s="32">
        <f t="shared" si="55"/>
        <v>7.2596775305972159</v>
      </c>
      <c r="I3533">
        <v>1</v>
      </c>
      <c r="J3533" t="s">
        <v>21</v>
      </c>
    </row>
    <row r="3534" spans="1:10" x14ac:dyDescent="0.25">
      <c r="A3534">
        <v>3804</v>
      </c>
      <c r="B3534" t="s">
        <v>1398</v>
      </c>
      <c r="C3534" t="s">
        <v>201</v>
      </c>
      <c r="D3534" t="s">
        <v>2071</v>
      </c>
      <c r="E3534" t="s">
        <v>2215</v>
      </c>
      <c r="F3534">
        <v>14652</v>
      </c>
      <c r="G3534">
        <v>2001.4659999999999</v>
      </c>
      <c r="H3534" s="32">
        <f t="shared" si="55"/>
        <v>7.3206339752961087</v>
      </c>
      <c r="I3534">
        <v>1</v>
      </c>
      <c r="J3534" t="s">
        <v>21</v>
      </c>
    </row>
    <row r="3535" spans="1:10" x14ac:dyDescent="0.25">
      <c r="A3535">
        <v>3797</v>
      </c>
      <c r="B3535" t="s">
        <v>436</v>
      </c>
      <c r="C3535" t="s">
        <v>201</v>
      </c>
      <c r="D3535" t="s">
        <v>2071</v>
      </c>
      <c r="E3535" t="s">
        <v>2215</v>
      </c>
      <c r="F3535">
        <v>403615</v>
      </c>
      <c r="G3535">
        <v>52981.508000000002</v>
      </c>
      <c r="H3535" s="32">
        <f t="shared" si="55"/>
        <v>7.6180353341396021</v>
      </c>
      <c r="I3535">
        <v>1</v>
      </c>
      <c r="J3535" t="s">
        <v>21</v>
      </c>
    </row>
    <row r="3536" spans="1:10" x14ac:dyDescent="0.25">
      <c r="A3536">
        <v>66438</v>
      </c>
      <c r="B3536" t="s">
        <v>4902</v>
      </c>
      <c r="C3536" t="s">
        <v>143</v>
      </c>
      <c r="D3536" t="s">
        <v>2234</v>
      </c>
      <c r="E3536" t="s">
        <v>2215</v>
      </c>
      <c r="F3536">
        <v>1923</v>
      </c>
      <c r="G3536">
        <v>251</v>
      </c>
      <c r="H3536" s="32">
        <f t="shared" si="55"/>
        <v>7.6613545816733071</v>
      </c>
      <c r="I3536">
        <v>1</v>
      </c>
      <c r="J3536" t="s">
        <v>21</v>
      </c>
    </row>
    <row r="3537" spans="1:10" x14ac:dyDescent="0.25">
      <c r="A3537">
        <v>60559</v>
      </c>
      <c r="B3537" t="s">
        <v>3800</v>
      </c>
      <c r="C3537" t="s">
        <v>250</v>
      </c>
      <c r="D3537" t="s">
        <v>2234</v>
      </c>
      <c r="E3537" t="s">
        <v>2215</v>
      </c>
      <c r="F3537">
        <v>13818</v>
      </c>
      <c r="G3537">
        <v>1742.1289999999999</v>
      </c>
      <c r="H3537" s="32">
        <f t="shared" si="55"/>
        <v>7.9316744052822727</v>
      </c>
      <c r="I3537">
        <v>1</v>
      </c>
      <c r="J3537" t="s">
        <v>21</v>
      </c>
    </row>
    <row r="3538" spans="1:10" x14ac:dyDescent="0.25">
      <c r="A3538">
        <v>50006</v>
      </c>
      <c r="B3538" t="s">
        <v>1984</v>
      </c>
      <c r="C3538" t="s">
        <v>241</v>
      </c>
      <c r="D3538" t="s">
        <v>2071</v>
      </c>
      <c r="E3538" t="s">
        <v>2215</v>
      </c>
      <c r="F3538">
        <v>153869</v>
      </c>
      <c r="G3538">
        <v>19390.224999999999</v>
      </c>
      <c r="H3538" s="32">
        <f t="shared" si="55"/>
        <v>7.9353901256947772</v>
      </c>
      <c r="I3538">
        <v>1</v>
      </c>
      <c r="J3538" t="s">
        <v>21</v>
      </c>
    </row>
    <row r="3539" spans="1:10" x14ac:dyDescent="0.25">
      <c r="A3539">
        <v>54887</v>
      </c>
      <c r="B3539" t="s">
        <v>2735</v>
      </c>
      <c r="C3539" t="s">
        <v>708</v>
      </c>
      <c r="D3539" t="s">
        <v>2234</v>
      </c>
      <c r="E3539" t="s">
        <v>2215</v>
      </c>
      <c r="F3539">
        <v>350</v>
      </c>
      <c r="G3539">
        <v>43</v>
      </c>
      <c r="H3539" s="32">
        <f t="shared" si="55"/>
        <v>8.1395348837209305</v>
      </c>
      <c r="I3539">
        <v>1</v>
      </c>
      <c r="J3539" t="s">
        <v>21</v>
      </c>
    </row>
    <row r="3540" spans="1:10" x14ac:dyDescent="0.25">
      <c r="A3540">
        <v>1829</v>
      </c>
      <c r="B3540" t="s">
        <v>2339</v>
      </c>
      <c r="C3540" t="s">
        <v>250</v>
      </c>
      <c r="D3540" t="s">
        <v>2234</v>
      </c>
      <c r="E3540" t="s">
        <v>2215</v>
      </c>
      <c r="F3540">
        <v>1051</v>
      </c>
      <c r="G3540">
        <v>128.91300000000001</v>
      </c>
      <c r="H3540" s="32">
        <f t="shared" si="55"/>
        <v>8.1527852117319419</v>
      </c>
      <c r="I3540">
        <v>1</v>
      </c>
      <c r="J3540" t="s">
        <v>21</v>
      </c>
    </row>
    <row r="3541" spans="1:10" x14ac:dyDescent="0.25">
      <c r="A3541">
        <v>10693</v>
      </c>
      <c r="B3541" t="s">
        <v>2608</v>
      </c>
      <c r="C3541" t="s">
        <v>307</v>
      </c>
      <c r="D3541" t="s">
        <v>2234</v>
      </c>
      <c r="E3541" t="s">
        <v>2215</v>
      </c>
      <c r="F3541">
        <v>646</v>
      </c>
      <c r="G3541">
        <v>78</v>
      </c>
      <c r="H3541" s="32">
        <f t="shared" si="55"/>
        <v>8.2820512820512828</v>
      </c>
      <c r="I3541">
        <v>1</v>
      </c>
      <c r="J3541" t="s">
        <v>21</v>
      </c>
    </row>
    <row r="3542" spans="1:10" x14ac:dyDescent="0.25">
      <c r="A3542">
        <v>54844</v>
      </c>
      <c r="B3542" t="s">
        <v>2732</v>
      </c>
      <c r="C3542" t="s">
        <v>201</v>
      </c>
      <c r="D3542" t="s">
        <v>2071</v>
      </c>
      <c r="E3542" t="s">
        <v>2215</v>
      </c>
      <c r="F3542">
        <v>10188</v>
      </c>
      <c r="G3542">
        <v>1214.3140000000001</v>
      </c>
      <c r="H3542" s="32">
        <f t="shared" si="55"/>
        <v>8.3899222112237855</v>
      </c>
      <c r="I3542">
        <v>1</v>
      </c>
      <c r="J3542" t="s">
        <v>21</v>
      </c>
    </row>
    <row r="3543" spans="1:10" x14ac:dyDescent="0.25">
      <c r="A3543">
        <v>66434</v>
      </c>
      <c r="B3543" t="s">
        <v>4900</v>
      </c>
      <c r="C3543" t="s">
        <v>322</v>
      </c>
      <c r="D3543" t="s">
        <v>2234</v>
      </c>
      <c r="E3543" t="s">
        <v>2215</v>
      </c>
      <c r="F3543">
        <v>1061</v>
      </c>
      <c r="G3543">
        <v>124</v>
      </c>
      <c r="H3543" s="32">
        <f t="shared" si="55"/>
        <v>8.556451612903226</v>
      </c>
      <c r="I3543">
        <v>1</v>
      </c>
      <c r="J3543" t="s">
        <v>21</v>
      </c>
    </row>
    <row r="3544" spans="1:10" x14ac:dyDescent="0.25">
      <c r="A3544">
        <v>66443</v>
      </c>
      <c r="B3544" t="s">
        <v>4903</v>
      </c>
      <c r="C3544" t="s">
        <v>143</v>
      </c>
      <c r="D3544" t="s">
        <v>2234</v>
      </c>
      <c r="E3544" t="s">
        <v>2215</v>
      </c>
      <c r="F3544">
        <v>1068</v>
      </c>
      <c r="G3544">
        <v>124</v>
      </c>
      <c r="H3544" s="32">
        <f t="shared" si="55"/>
        <v>8.612903225806452</v>
      </c>
      <c r="I3544">
        <v>1</v>
      </c>
      <c r="J3544" t="s">
        <v>21</v>
      </c>
    </row>
    <row r="3545" spans="1:10" x14ac:dyDescent="0.25">
      <c r="A3545">
        <v>66444</v>
      </c>
      <c r="B3545" t="s">
        <v>4904</v>
      </c>
      <c r="C3545" t="s">
        <v>322</v>
      </c>
      <c r="D3545" t="s">
        <v>2234</v>
      </c>
      <c r="E3545" t="s">
        <v>2215</v>
      </c>
      <c r="F3545">
        <v>1122</v>
      </c>
      <c r="G3545">
        <v>130</v>
      </c>
      <c r="H3545" s="32">
        <f t="shared" si="55"/>
        <v>8.6307692307692303</v>
      </c>
      <c r="I3545">
        <v>1</v>
      </c>
      <c r="J3545" t="s">
        <v>21</v>
      </c>
    </row>
    <row r="3546" spans="1:10" x14ac:dyDescent="0.25">
      <c r="A3546">
        <v>66450</v>
      </c>
      <c r="B3546" t="s">
        <v>4908</v>
      </c>
      <c r="C3546" t="s">
        <v>143</v>
      </c>
      <c r="D3546" t="s">
        <v>2234</v>
      </c>
      <c r="E3546" t="s">
        <v>2215</v>
      </c>
      <c r="F3546">
        <v>3982</v>
      </c>
      <c r="G3546">
        <v>461</v>
      </c>
      <c r="H3546" s="32">
        <f t="shared" si="55"/>
        <v>8.6377440347071577</v>
      </c>
      <c r="I3546">
        <v>1</v>
      </c>
      <c r="J3546" t="s">
        <v>21</v>
      </c>
    </row>
    <row r="3547" spans="1:10" x14ac:dyDescent="0.25">
      <c r="A3547">
        <v>66437</v>
      </c>
      <c r="B3547" t="s">
        <v>4901</v>
      </c>
      <c r="C3547" t="s">
        <v>322</v>
      </c>
      <c r="D3547" t="s">
        <v>2234</v>
      </c>
      <c r="E3547" t="s">
        <v>2215</v>
      </c>
      <c r="F3547">
        <v>2445</v>
      </c>
      <c r="G3547">
        <v>283</v>
      </c>
      <c r="H3547" s="32">
        <f t="shared" si="55"/>
        <v>8.639575971731448</v>
      </c>
      <c r="I3547">
        <v>1</v>
      </c>
      <c r="J3547" t="s">
        <v>21</v>
      </c>
    </row>
    <row r="3548" spans="1:10" x14ac:dyDescent="0.25">
      <c r="A3548">
        <v>66451</v>
      </c>
      <c r="B3548" t="s">
        <v>4909</v>
      </c>
      <c r="C3548" t="s">
        <v>143</v>
      </c>
      <c r="D3548" t="s">
        <v>2234</v>
      </c>
      <c r="E3548" t="s">
        <v>2215</v>
      </c>
      <c r="F3548">
        <v>2380</v>
      </c>
      <c r="G3548">
        <v>275</v>
      </c>
      <c r="H3548" s="32">
        <f t="shared" si="55"/>
        <v>8.6545454545454543</v>
      </c>
      <c r="I3548">
        <v>1</v>
      </c>
      <c r="J3548" t="s">
        <v>21</v>
      </c>
    </row>
    <row r="3549" spans="1:10" x14ac:dyDescent="0.25">
      <c r="A3549">
        <v>66464</v>
      </c>
      <c r="B3549" t="s">
        <v>4913</v>
      </c>
      <c r="C3549" t="s">
        <v>322</v>
      </c>
      <c r="D3549" t="s">
        <v>2234</v>
      </c>
      <c r="E3549" t="s">
        <v>2215</v>
      </c>
      <c r="F3549">
        <v>5264</v>
      </c>
      <c r="G3549">
        <v>606</v>
      </c>
      <c r="H3549" s="32">
        <f t="shared" si="55"/>
        <v>8.6864686468646859</v>
      </c>
      <c r="I3549">
        <v>1</v>
      </c>
      <c r="J3549" t="s">
        <v>21</v>
      </c>
    </row>
    <row r="3550" spans="1:10" x14ac:dyDescent="0.25">
      <c r="A3550">
        <v>66448</v>
      </c>
      <c r="B3550" t="s">
        <v>4907</v>
      </c>
      <c r="C3550" t="s">
        <v>143</v>
      </c>
      <c r="D3550" t="s">
        <v>2234</v>
      </c>
      <c r="E3550" t="s">
        <v>2215</v>
      </c>
      <c r="F3550">
        <v>1873</v>
      </c>
      <c r="G3550">
        <v>215</v>
      </c>
      <c r="H3550" s="32">
        <f t="shared" si="55"/>
        <v>8.7116279069767444</v>
      </c>
      <c r="I3550">
        <v>1</v>
      </c>
      <c r="J3550" t="s">
        <v>21</v>
      </c>
    </row>
    <row r="3551" spans="1:10" x14ac:dyDescent="0.25">
      <c r="A3551">
        <v>66454</v>
      </c>
      <c r="B3551" t="s">
        <v>4912</v>
      </c>
      <c r="C3551" t="s">
        <v>143</v>
      </c>
      <c r="D3551" t="s">
        <v>2234</v>
      </c>
      <c r="E3551" t="s">
        <v>2215</v>
      </c>
      <c r="F3551">
        <v>1325</v>
      </c>
      <c r="G3551">
        <v>152</v>
      </c>
      <c r="H3551" s="32">
        <f t="shared" si="55"/>
        <v>8.7171052631578956</v>
      </c>
      <c r="I3551">
        <v>1</v>
      </c>
      <c r="J3551" t="s">
        <v>21</v>
      </c>
    </row>
    <row r="3552" spans="1:10" x14ac:dyDescent="0.25">
      <c r="A3552">
        <v>66445</v>
      </c>
      <c r="B3552" t="s">
        <v>4905</v>
      </c>
      <c r="C3552" t="s">
        <v>143</v>
      </c>
      <c r="D3552" t="s">
        <v>2234</v>
      </c>
      <c r="E3552" t="s">
        <v>2215</v>
      </c>
      <c r="F3552">
        <v>2440</v>
      </c>
      <c r="G3552">
        <v>279</v>
      </c>
      <c r="H3552" s="32">
        <f t="shared" si="55"/>
        <v>8.7455197132616487</v>
      </c>
      <c r="I3552">
        <v>1</v>
      </c>
      <c r="J3552" t="s">
        <v>21</v>
      </c>
    </row>
    <row r="3553" spans="1:10" x14ac:dyDescent="0.25">
      <c r="A3553">
        <v>66446</v>
      </c>
      <c r="B3553" t="s">
        <v>4906</v>
      </c>
      <c r="C3553" t="s">
        <v>143</v>
      </c>
      <c r="D3553" t="s">
        <v>2234</v>
      </c>
      <c r="E3553" t="s">
        <v>2215</v>
      </c>
      <c r="F3553">
        <v>2546</v>
      </c>
      <c r="G3553">
        <v>291</v>
      </c>
      <c r="H3553" s="32">
        <f t="shared" si="55"/>
        <v>8.7491408934707895</v>
      </c>
      <c r="I3553">
        <v>1</v>
      </c>
      <c r="J3553" t="s">
        <v>21</v>
      </c>
    </row>
    <row r="3554" spans="1:10" x14ac:dyDescent="0.25">
      <c r="A3554">
        <v>50373</v>
      </c>
      <c r="B3554" t="s">
        <v>2135</v>
      </c>
      <c r="C3554" t="s">
        <v>143</v>
      </c>
      <c r="D3554" t="s">
        <v>2234</v>
      </c>
      <c r="E3554" t="s">
        <v>2215</v>
      </c>
      <c r="F3554">
        <v>10926</v>
      </c>
      <c r="G3554">
        <v>1228.086</v>
      </c>
      <c r="H3554" s="32">
        <f t="shared" si="55"/>
        <v>8.8967710730356018</v>
      </c>
      <c r="I3554">
        <v>1</v>
      </c>
      <c r="J3554" t="s">
        <v>21</v>
      </c>
    </row>
    <row r="3555" spans="1:10" x14ac:dyDescent="0.25">
      <c r="A3555">
        <v>1866</v>
      </c>
      <c r="B3555" t="s">
        <v>2348</v>
      </c>
      <c r="C3555" t="s">
        <v>250</v>
      </c>
      <c r="D3555" t="s">
        <v>2234</v>
      </c>
      <c r="E3555" t="s">
        <v>2215</v>
      </c>
      <c r="F3555">
        <v>476</v>
      </c>
      <c r="G3555">
        <v>53</v>
      </c>
      <c r="H3555" s="32">
        <f t="shared" si="55"/>
        <v>8.9811320754716988</v>
      </c>
      <c r="I3555">
        <v>1</v>
      </c>
      <c r="J3555" t="s">
        <v>21</v>
      </c>
    </row>
    <row r="3556" spans="1:10" x14ac:dyDescent="0.25">
      <c r="A3556">
        <v>66453</v>
      </c>
      <c r="B3556" t="s">
        <v>4911</v>
      </c>
      <c r="C3556" t="s">
        <v>322</v>
      </c>
      <c r="D3556" t="s">
        <v>2234</v>
      </c>
      <c r="E3556" t="s">
        <v>2215</v>
      </c>
      <c r="F3556">
        <v>4796</v>
      </c>
      <c r="G3556">
        <v>534</v>
      </c>
      <c r="H3556" s="32">
        <f t="shared" si="55"/>
        <v>8.9812734082396997</v>
      </c>
      <c r="I3556">
        <v>1</v>
      </c>
      <c r="J3556" t="s">
        <v>21</v>
      </c>
    </row>
    <row r="3557" spans="1:10" x14ac:dyDescent="0.25">
      <c r="A3557">
        <v>1851</v>
      </c>
      <c r="B3557" t="s">
        <v>2343</v>
      </c>
      <c r="C3557" t="s">
        <v>250</v>
      </c>
      <c r="D3557" t="s">
        <v>2234</v>
      </c>
      <c r="E3557" t="s">
        <v>2215</v>
      </c>
      <c r="F3557">
        <v>1436</v>
      </c>
      <c r="G3557">
        <v>159.41200000000001</v>
      </c>
      <c r="H3557" s="32">
        <f t="shared" si="55"/>
        <v>9.0081047850851874</v>
      </c>
      <c r="I3557">
        <v>1</v>
      </c>
      <c r="J3557" t="s">
        <v>21</v>
      </c>
    </row>
    <row r="3558" spans="1:10" x14ac:dyDescent="0.25">
      <c r="A3558">
        <v>66452</v>
      </c>
      <c r="B3558" t="s">
        <v>4910</v>
      </c>
      <c r="C3558" t="s">
        <v>143</v>
      </c>
      <c r="D3558" t="s">
        <v>2234</v>
      </c>
      <c r="E3558" t="s">
        <v>2215</v>
      </c>
      <c r="F3558">
        <v>2500</v>
      </c>
      <c r="G3558">
        <v>277</v>
      </c>
      <c r="H3558" s="32">
        <f t="shared" si="55"/>
        <v>9.025270758122744</v>
      </c>
      <c r="I3558">
        <v>1</v>
      </c>
      <c r="J3558" t="s">
        <v>21</v>
      </c>
    </row>
    <row r="3559" spans="1:10" x14ac:dyDescent="0.25">
      <c r="A3559">
        <v>60235</v>
      </c>
      <c r="B3559" t="s">
        <v>1994</v>
      </c>
      <c r="C3559" t="s">
        <v>201</v>
      </c>
      <c r="D3559" t="s">
        <v>2234</v>
      </c>
      <c r="E3559" t="s">
        <v>2215</v>
      </c>
      <c r="F3559">
        <v>5131</v>
      </c>
      <c r="G3559">
        <v>554</v>
      </c>
      <c r="H3559" s="32">
        <f t="shared" si="55"/>
        <v>9.2617328519855597</v>
      </c>
      <c r="I3559">
        <v>1</v>
      </c>
      <c r="J3559" t="s">
        <v>21</v>
      </c>
    </row>
    <row r="3560" spans="1:10" x14ac:dyDescent="0.25">
      <c r="A3560">
        <v>58269</v>
      </c>
      <c r="B3560" t="s">
        <v>3138</v>
      </c>
      <c r="C3560" t="s">
        <v>322</v>
      </c>
      <c r="D3560" t="s">
        <v>2234</v>
      </c>
      <c r="E3560" t="s">
        <v>2215</v>
      </c>
      <c r="F3560">
        <v>130</v>
      </c>
      <c r="G3560">
        <v>13.923</v>
      </c>
      <c r="H3560" s="32">
        <f t="shared" si="55"/>
        <v>9.3370681605975729</v>
      </c>
      <c r="I3560">
        <v>1</v>
      </c>
      <c r="J3560" t="s">
        <v>21</v>
      </c>
    </row>
    <row r="3561" spans="1:10" x14ac:dyDescent="0.25">
      <c r="A3561">
        <v>7941</v>
      </c>
      <c r="B3561" t="s">
        <v>2122</v>
      </c>
      <c r="C3561" t="s">
        <v>201</v>
      </c>
      <c r="D3561" t="s">
        <v>2234</v>
      </c>
      <c r="E3561" t="s">
        <v>2215</v>
      </c>
      <c r="F3561">
        <v>8963</v>
      </c>
      <c r="G3561">
        <v>953</v>
      </c>
      <c r="H3561" s="32">
        <f t="shared" si="55"/>
        <v>9.4050367261280172</v>
      </c>
      <c r="I3561">
        <v>1</v>
      </c>
      <c r="J3561" t="s">
        <v>21</v>
      </c>
    </row>
    <row r="3562" spans="1:10" x14ac:dyDescent="0.25">
      <c r="A3562">
        <v>60236</v>
      </c>
      <c r="B3562" t="s">
        <v>2114</v>
      </c>
      <c r="C3562" t="s">
        <v>201</v>
      </c>
      <c r="D3562" t="s">
        <v>2234</v>
      </c>
      <c r="E3562" t="s">
        <v>2215</v>
      </c>
      <c r="F3562">
        <v>5469</v>
      </c>
      <c r="G3562">
        <v>578</v>
      </c>
      <c r="H3562" s="32">
        <f t="shared" si="55"/>
        <v>9.461937716262975</v>
      </c>
      <c r="I3562">
        <v>1</v>
      </c>
      <c r="J3562" t="s">
        <v>21</v>
      </c>
    </row>
    <row r="3563" spans="1:10" x14ac:dyDescent="0.25">
      <c r="A3563">
        <v>7940</v>
      </c>
      <c r="B3563" t="s">
        <v>1993</v>
      </c>
      <c r="C3563" t="s">
        <v>201</v>
      </c>
      <c r="D3563" t="s">
        <v>2234</v>
      </c>
      <c r="E3563" t="s">
        <v>2215</v>
      </c>
      <c r="F3563">
        <v>6750</v>
      </c>
      <c r="G3563">
        <v>712</v>
      </c>
      <c r="H3563" s="32">
        <f t="shared" si="55"/>
        <v>9.4803370786516847</v>
      </c>
      <c r="I3563">
        <v>1</v>
      </c>
      <c r="J3563" t="s">
        <v>21</v>
      </c>
    </row>
    <row r="3564" spans="1:10" x14ac:dyDescent="0.25">
      <c r="A3564">
        <v>60234</v>
      </c>
      <c r="B3564" t="s">
        <v>3712</v>
      </c>
      <c r="C3564" t="s">
        <v>201</v>
      </c>
      <c r="D3564" t="s">
        <v>2234</v>
      </c>
      <c r="E3564" t="s">
        <v>2215</v>
      </c>
      <c r="F3564">
        <v>2401</v>
      </c>
      <c r="G3564">
        <v>253</v>
      </c>
      <c r="H3564" s="32">
        <f t="shared" si="55"/>
        <v>9.4901185770750995</v>
      </c>
      <c r="I3564">
        <v>1</v>
      </c>
      <c r="J3564" t="s">
        <v>21</v>
      </c>
    </row>
    <row r="3565" spans="1:10" x14ac:dyDescent="0.25">
      <c r="A3565">
        <v>56364</v>
      </c>
      <c r="B3565" t="s">
        <v>2853</v>
      </c>
      <c r="C3565" t="s">
        <v>201</v>
      </c>
      <c r="D3565" t="s">
        <v>2234</v>
      </c>
      <c r="E3565" t="s">
        <v>2215</v>
      </c>
      <c r="F3565">
        <v>782</v>
      </c>
      <c r="G3565">
        <v>82.32</v>
      </c>
      <c r="H3565" s="32">
        <f t="shared" si="55"/>
        <v>9.4995140913508269</v>
      </c>
      <c r="I3565">
        <v>1</v>
      </c>
      <c r="J3565" t="s">
        <v>21</v>
      </c>
    </row>
    <row r="3566" spans="1:10" x14ac:dyDescent="0.25">
      <c r="A3566">
        <v>7603</v>
      </c>
      <c r="B3566" t="s">
        <v>2530</v>
      </c>
      <c r="C3566" t="s">
        <v>322</v>
      </c>
      <c r="D3566" t="s">
        <v>2234</v>
      </c>
      <c r="E3566" t="s">
        <v>2215</v>
      </c>
      <c r="F3566">
        <v>770</v>
      </c>
      <c r="G3566">
        <v>81</v>
      </c>
      <c r="H3566" s="32">
        <f t="shared" si="55"/>
        <v>9.5061728395061724</v>
      </c>
      <c r="I3566">
        <v>1</v>
      </c>
      <c r="J3566" t="s">
        <v>21</v>
      </c>
    </row>
    <row r="3567" spans="1:10" x14ac:dyDescent="0.25">
      <c r="A3567">
        <v>959</v>
      </c>
      <c r="B3567" t="s">
        <v>2251</v>
      </c>
      <c r="C3567" t="s">
        <v>166</v>
      </c>
      <c r="D3567" t="s">
        <v>2234</v>
      </c>
      <c r="E3567" t="s">
        <v>2215</v>
      </c>
      <c r="F3567">
        <v>2504</v>
      </c>
      <c r="G3567">
        <v>262</v>
      </c>
      <c r="H3567" s="32">
        <f t="shared" si="55"/>
        <v>9.557251908396946</v>
      </c>
      <c r="I3567">
        <v>1</v>
      </c>
      <c r="J3567" t="s">
        <v>21</v>
      </c>
    </row>
    <row r="3568" spans="1:10" x14ac:dyDescent="0.25">
      <c r="A3568">
        <v>7399</v>
      </c>
      <c r="B3568" t="s">
        <v>2519</v>
      </c>
      <c r="C3568" t="s">
        <v>250</v>
      </c>
      <c r="D3568" t="s">
        <v>2234</v>
      </c>
      <c r="E3568" t="s">
        <v>2215</v>
      </c>
      <c r="F3568">
        <v>909</v>
      </c>
      <c r="G3568">
        <v>94.676000000000002</v>
      </c>
      <c r="H3568" s="32">
        <f t="shared" si="55"/>
        <v>9.6011660822172455</v>
      </c>
      <c r="I3568">
        <v>1</v>
      </c>
      <c r="J3568" t="s">
        <v>21</v>
      </c>
    </row>
    <row r="3569" spans="1:10" x14ac:dyDescent="0.25">
      <c r="A3569">
        <v>56288</v>
      </c>
      <c r="B3569" t="s">
        <v>2839</v>
      </c>
      <c r="C3569" t="s">
        <v>201</v>
      </c>
      <c r="D3569" t="s">
        <v>2234</v>
      </c>
      <c r="E3569" t="s">
        <v>2215</v>
      </c>
      <c r="F3569">
        <v>1146</v>
      </c>
      <c r="G3569">
        <v>119</v>
      </c>
      <c r="H3569" s="32">
        <f t="shared" si="55"/>
        <v>9.6302521008403357</v>
      </c>
      <c r="I3569">
        <v>1</v>
      </c>
      <c r="J3569" t="s">
        <v>21</v>
      </c>
    </row>
    <row r="3570" spans="1:10" x14ac:dyDescent="0.25">
      <c r="A3570">
        <v>56964</v>
      </c>
      <c r="B3570" t="s">
        <v>2926</v>
      </c>
      <c r="C3570" t="s">
        <v>241</v>
      </c>
      <c r="D3570" t="s">
        <v>2214</v>
      </c>
      <c r="E3570" t="s">
        <v>2215</v>
      </c>
      <c r="F3570">
        <v>121</v>
      </c>
      <c r="G3570">
        <v>12.553000000000001</v>
      </c>
      <c r="H3570" s="32">
        <f t="shared" si="55"/>
        <v>9.6391300884250768</v>
      </c>
      <c r="I3570">
        <v>1</v>
      </c>
      <c r="J3570" t="s">
        <v>21</v>
      </c>
    </row>
    <row r="3571" spans="1:10" x14ac:dyDescent="0.25">
      <c r="A3571">
        <v>941</v>
      </c>
      <c r="B3571" t="s">
        <v>2238</v>
      </c>
      <c r="C3571" t="s">
        <v>166</v>
      </c>
      <c r="D3571" t="s">
        <v>2234</v>
      </c>
      <c r="E3571" t="s">
        <v>2215</v>
      </c>
      <c r="F3571">
        <v>569</v>
      </c>
      <c r="G3571">
        <v>59</v>
      </c>
      <c r="H3571" s="32">
        <f t="shared" si="55"/>
        <v>9.6440677966101696</v>
      </c>
      <c r="I3571">
        <v>1</v>
      </c>
      <c r="J3571" t="s">
        <v>21</v>
      </c>
    </row>
    <row r="3572" spans="1:10" x14ac:dyDescent="0.25">
      <c r="A3572">
        <v>57929</v>
      </c>
      <c r="B3572" t="s">
        <v>3078</v>
      </c>
      <c r="C3572" t="s">
        <v>322</v>
      </c>
      <c r="D3572" t="s">
        <v>2234</v>
      </c>
      <c r="E3572" t="s">
        <v>2215</v>
      </c>
      <c r="F3572">
        <v>4830</v>
      </c>
      <c r="G3572">
        <v>499.8</v>
      </c>
      <c r="H3572" s="32">
        <f t="shared" si="55"/>
        <v>9.6638655462184868</v>
      </c>
      <c r="I3572">
        <v>1</v>
      </c>
      <c r="J3572" t="s">
        <v>21</v>
      </c>
    </row>
    <row r="3573" spans="1:10" x14ac:dyDescent="0.25">
      <c r="A3573">
        <v>7934</v>
      </c>
      <c r="B3573" t="s">
        <v>2563</v>
      </c>
      <c r="C3573" t="s">
        <v>166</v>
      </c>
      <c r="D3573" t="s">
        <v>2234</v>
      </c>
      <c r="E3573" t="s">
        <v>2215</v>
      </c>
      <c r="F3573">
        <v>8128</v>
      </c>
      <c r="G3573">
        <v>838</v>
      </c>
      <c r="H3573" s="32">
        <f t="shared" si="55"/>
        <v>9.69928400954654</v>
      </c>
      <c r="I3573">
        <v>1</v>
      </c>
      <c r="J3573" t="s">
        <v>21</v>
      </c>
    </row>
    <row r="3574" spans="1:10" x14ac:dyDescent="0.25">
      <c r="A3574">
        <v>58947</v>
      </c>
      <c r="B3574" t="s">
        <v>3340</v>
      </c>
      <c r="C3574" t="s">
        <v>241</v>
      </c>
      <c r="D3574" t="s">
        <v>2234</v>
      </c>
      <c r="E3574" t="s">
        <v>2215</v>
      </c>
      <c r="F3574">
        <v>68</v>
      </c>
      <c r="G3574">
        <v>7</v>
      </c>
      <c r="H3574" s="32">
        <f t="shared" si="55"/>
        <v>9.7142857142857135</v>
      </c>
      <c r="I3574">
        <v>1</v>
      </c>
      <c r="J3574" t="s">
        <v>21</v>
      </c>
    </row>
    <row r="3575" spans="1:10" x14ac:dyDescent="0.25">
      <c r="A3575">
        <v>63173</v>
      </c>
      <c r="B3575" t="s">
        <v>4299</v>
      </c>
      <c r="C3575" t="s">
        <v>201</v>
      </c>
      <c r="D3575" t="s">
        <v>2234</v>
      </c>
      <c r="E3575" t="s">
        <v>2215</v>
      </c>
      <c r="F3575">
        <v>2619</v>
      </c>
      <c r="G3575">
        <v>269</v>
      </c>
      <c r="H3575" s="32">
        <f t="shared" si="55"/>
        <v>9.7360594795539033</v>
      </c>
      <c r="I3575">
        <v>1</v>
      </c>
      <c r="J3575" t="s">
        <v>21</v>
      </c>
    </row>
    <row r="3576" spans="1:10" x14ac:dyDescent="0.25">
      <c r="A3576">
        <v>969</v>
      </c>
      <c r="B3576" t="s">
        <v>2256</v>
      </c>
      <c r="C3576" t="s">
        <v>166</v>
      </c>
      <c r="D3576" t="s">
        <v>2234</v>
      </c>
      <c r="E3576" t="s">
        <v>2215</v>
      </c>
      <c r="F3576">
        <v>2779</v>
      </c>
      <c r="G3576">
        <v>284</v>
      </c>
      <c r="H3576" s="32">
        <f t="shared" si="55"/>
        <v>9.785211267605634</v>
      </c>
      <c r="I3576">
        <v>1</v>
      </c>
      <c r="J3576" t="s">
        <v>21</v>
      </c>
    </row>
    <row r="3577" spans="1:10" x14ac:dyDescent="0.25">
      <c r="A3577">
        <v>3782</v>
      </c>
      <c r="B3577" t="s">
        <v>198</v>
      </c>
      <c r="C3577" t="s">
        <v>201</v>
      </c>
      <c r="D3577" t="s">
        <v>2234</v>
      </c>
      <c r="E3577" t="s">
        <v>2215</v>
      </c>
      <c r="F3577">
        <v>37631</v>
      </c>
      <c r="G3577">
        <v>3844</v>
      </c>
      <c r="H3577" s="32">
        <f t="shared" si="55"/>
        <v>9.789542143600416</v>
      </c>
      <c r="I3577">
        <v>1</v>
      </c>
      <c r="J3577" t="s">
        <v>21</v>
      </c>
    </row>
    <row r="3578" spans="1:10" x14ac:dyDescent="0.25">
      <c r="A3578">
        <v>2727</v>
      </c>
      <c r="B3578" t="s">
        <v>2369</v>
      </c>
      <c r="C3578" t="s">
        <v>708</v>
      </c>
      <c r="D3578" t="s">
        <v>2218</v>
      </c>
      <c r="E3578" t="s">
        <v>2215</v>
      </c>
      <c r="F3578">
        <v>2755</v>
      </c>
      <c r="G3578">
        <v>281.11500000000001</v>
      </c>
      <c r="H3578" s="32">
        <f t="shared" si="55"/>
        <v>9.8002596802020516</v>
      </c>
      <c r="I3578">
        <v>1</v>
      </c>
      <c r="J3578" t="s">
        <v>21</v>
      </c>
    </row>
    <row r="3579" spans="1:10" x14ac:dyDescent="0.25">
      <c r="A3579">
        <v>55928</v>
      </c>
      <c r="B3579" t="s">
        <v>2812</v>
      </c>
      <c r="C3579" t="s">
        <v>2029</v>
      </c>
      <c r="D3579" t="s">
        <v>2234</v>
      </c>
      <c r="E3579" t="s">
        <v>2215</v>
      </c>
      <c r="F3579">
        <v>8480</v>
      </c>
      <c r="G3579">
        <v>865</v>
      </c>
      <c r="H3579" s="32">
        <f t="shared" si="55"/>
        <v>9.803468208092486</v>
      </c>
      <c r="I3579">
        <v>1</v>
      </c>
      <c r="J3579" t="s">
        <v>21</v>
      </c>
    </row>
    <row r="3580" spans="1:10" x14ac:dyDescent="0.25">
      <c r="A3580">
        <v>955</v>
      </c>
      <c r="B3580" t="s">
        <v>2159</v>
      </c>
      <c r="C3580" t="s">
        <v>166</v>
      </c>
      <c r="D3580" t="s">
        <v>2234</v>
      </c>
      <c r="E3580" t="s">
        <v>2215</v>
      </c>
      <c r="F3580">
        <v>2020</v>
      </c>
      <c r="G3580">
        <v>206</v>
      </c>
      <c r="H3580" s="32">
        <f t="shared" si="55"/>
        <v>9.8058252427184467</v>
      </c>
      <c r="I3580">
        <v>1</v>
      </c>
      <c r="J3580" t="s">
        <v>21</v>
      </c>
    </row>
    <row r="3581" spans="1:10" x14ac:dyDescent="0.25">
      <c r="A3581">
        <v>2721</v>
      </c>
      <c r="B3581" t="s">
        <v>2366</v>
      </c>
      <c r="C3581" t="s">
        <v>708</v>
      </c>
      <c r="D3581" t="s">
        <v>2218</v>
      </c>
      <c r="E3581" t="s">
        <v>2215</v>
      </c>
      <c r="F3581">
        <v>70922</v>
      </c>
      <c r="G3581">
        <v>7230.5330000000004</v>
      </c>
      <c r="H3581" s="32">
        <f t="shared" si="55"/>
        <v>9.8086821538605786</v>
      </c>
      <c r="I3581">
        <v>1</v>
      </c>
      <c r="J3581" t="s">
        <v>21</v>
      </c>
    </row>
    <row r="3582" spans="1:10" x14ac:dyDescent="0.25">
      <c r="A3582">
        <v>8042</v>
      </c>
      <c r="B3582" t="s">
        <v>2150</v>
      </c>
      <c r="C3582" t="s">
        <v>708</v>
      </c>
      <c r="D3582" t="s">
        <v>2218</v>
      </c>
      <c r="E3582" t="s">
        <v>2215</v>
      </c>
      <c r="F3582">
        <v>2175</v>
      </c>
      <c r="G3582">
        <v>220.66800000000001</v>
      </c>
      <c r="H3582" s="32">
        <f t="shared" si="55"/>
        <v>9.8564359127739412</v>
      </c>
      <c r="I3582">
        <v>1</v>
      </c>
      <c r="J3582" t="s">
        <v>21</v>
      </c>
    </row>
    <row r="3583" spans="1:10" x14ac:dyDescent="0.25">
      <c r="A3583">
        <v>1001</v>
      </c>
      <c r="B3583" t="s">
        <v>2267</v>
      </c>
      <c r="C3583" t="s">
        <v>131</v>
      </c>
      <c r="D3583" t="s">
        <v>2214</v>
      </c>
      <c r="E3583" t="s">
        <v>2215</v>
      </c>
      <c r="F3583">
        <v>1248</v>
      </c>
      <c r="G3583">
        <v>126.239</v>
      </c>
      <c r="H3583" s="32">
        <f t="shared" si="55"/>
        <v>9.8860098701669052</v>
      </c>
      <c r="I3583">
        <v>1</v>
      </c>
      <c r="J3583" t="s">
        <v>21</v>
      </c>
    </row>
    <row r="3584" spans="1:10" x14ac:dyDescent="0.25">
      <c r="A3584">
        <v>57608</v>
      </c>
      <c r="B3584" t="s">
        <v>3017</v>
      </c>
      <c r="C3584" t="s">
        <v>708</v>
      </c>
      <c r="D3584" t="s">
        <v>2234</v>
      </c>
      <c r="E3584" t="s">
        <v>2215</v>
      </c>
      <c r="F3584">
        <v>297</v>
      </c>
      <c r="G3584">
        <v>30</v>
      </c>
      <c r="H3584" s="32">
        <f t="shared" si="55"/>
        <v>9.9</v>
      </c>
      <c r="I3584">
        <v>1</v>
      </c>
      <c r="J3584" t="s">
        <v>21</v>
      </c>
    </row>
    <row r="3585" spans="1:10" x14ac:dyDescent="0.25">
      <c r="A3585">
        <v>68751</v>
      </c>
      <c r="B3585" t="s">
        <v>5254</v>
      </c>
      <c r="C3585" t="s">
        <v>166</v>
      </c>
      <c r="D3585" t="s">
        <v>2234</v>
      </c>
      <c r="E3585" t="s">
        <v>2215</v>
      </c>
      <c r="F3585">
        <v>525</v>
      </c>
      <c r="G3585">
        <v>53</v>
      </c>
      <c r="H3585" s="32">
        <f t="shared" si="55"/>
        <v>9.9056603773584904</v>
      </c>
      <c r="I3585">
        <v>1</v>
      </c>
      <c r="J3585" t="s">
        <v>21</v>
      </c>
    </row>
    <row r="3586" spans="1:10" x14ac:dyDescent="0.25">
      <c r="A3586">
        <v>56686</v>
      </c>
      <c r="B3586" t="s">
        <v>2090</v>
      </c>
      <c r="C3586" t="s">
        <v>201</v>
      </c>
      <c r="D3586" t="s">
        <v>2234</v>
      </c>
      <c r="E3586" t="s">
        <v>2215</v>
      </c>
      <c r="F3586">
        <v>29623</v>
      </c>
      <c r="G3586">
        <v>2987.723</v>
      </c>
      <c r="H3586" s="32">
        <f t="shared" ref="H3586:H3649" si="56">IF(AND(F3586&gt;0,G3586&gt;0),F3586/G3586,"")</f>
        <v>9.9149084436542481</v>
      </c>
      <c r="I3586">
        <v>1</v>
      </c>
      <c r="J3586" t="s">
        <v>21</v>
      </c>
    </row>
    <row r="3587" spans="1:10" x14ac:dyDescent="0.25">
      <c r="A3587">
        <v>59614</v>
      </c>
      <c r="B3587" t="s">
        <v>2060</v>
      </c>
      <c r="C3587" t="s">
        <v>201</v>
      </c>
      <c r="D3587" t="s">
        <v>2234</v>
      </c>
      <c r="E3587" t="s">
        <v>2215</v>
      </c>
      <c r="F3587">
        <v>3203</v>
      </c>
      <c r="G3587">
        <v>323</v>
      </c>
      <c r="H3587" s="32">
        <f t="shared" si="56"/>
        <v>9.9164086687306501</v>
      </c>
      <c r="I3587">
        <v>1</v>
      </c>
      <c r="J3587" t="s">
        <v>21</v>
      </c>
    </row>
    <row r="3588" spans="1:10" x14ac:dyDescent="0.25">
      <c r="A3588">
        <v>949</v>
      </c>
      <c r="B3588" t="s">
        <v>2247</v>
      </c>
      <c r="C3588" t="s">
        <v>166</v>
      </c>
      <c r="D3588" t="s">
        <v>2234</v>
      </c>
      <c r="E3588" t="s">
        <v>2215</v>
      </c>
      <c r="F3588">
        <v>1658</v>
      </c>
      <c r="G3588">
        <v>167</v>
      </c>
      <c r="H3588" s="32">
        <f t="shared" si="56"/>
        <v>9.9281437125748511</v>
      </c>
      <c r="I3588">
        <v>1</v>
      </c>
      <c r="J3588" t="s">
        <v>21</v>
      </c>
    </row>
    <row r="3589" spans="1:10" x14ac:dyDescent="0.25">
      <c r="A3589">
        <v>2942</v>
      </c>
      <c r="B3589" t="s">
        <v>2396</v>
      </c>
      <c r="C3589" t="s">
        <v>322</v>
      </c>
      <c r="D3589" t="s">
        <v>2214</v>
      </c>
      <c r="E3589" t="s">
        <v>2215</v>
      </c>
      <c r="F3589">
        <v>4309</v>
      </c>
      <c r="G3589">
        <v>433.90100000000001</v>
      </c>
      <c r="H3589" s="32">
        <f t="shared" si="56"/>
        <v>9.9308367576935748</v>
      </c>
      <c r="I3589">
        <v>1</v>
      </c>
      <c r="J3589" t="s">
        <v>21</v>
      </c>
    </row>
    <row r="3590" spans="1:10" x14ac:dyDescent="0.25">
      <c r="A3590">
        <v>6264</v>
      </c>
      <c r="B3590" t="s">
        <v>1230</v>
      </c>
      <c r="C3590" t="s">
        <v>118</v>
      </c>
      <c r="D3590" t="s">
        <v>2218</v>
      </c>
      <c r="E3590" t="s">
        <v>2215</v>
      </c>
      <c r="F3590">
        <v>203031</v>
      </c>
      <c r="G3590">
        <v>20436.273000000001</v>
      </c>
      <c r="H3590" s="32">
        <f t="shared" si="56"/>
        <v>9.9348349867903991</v>
      </c>
      <c r="I3590">
        <v>1</v>
      </c>
      <c r="J3590" t="s">
        <v>21</v>
      </c>
    </row>
    <row r="3591" spans="1:10" x14ac:dyDescent="0.25">
      <c r="A3591">
        <v>1563</v>
      </c>
      <c r="B3591" t="s">
        <v>534</v>
      </c>
      <c r="C3591" t="s">
        <v>307</v>
      </c>
      <c r="D3591" t="s">
        <v>2234</v>
      </c>
      <c r="E3591" t="s">
        <v>2215</v>
      </c>
      <c r="F3591">
        <v>21179</v>
      </c>
      <c r="G3591">
        <v>2128</v>
      </c>
      <c r="H3591" s="32">
        <f t="shared" si="56"/>
        <v>9.9525375939849621</v>
      </c>
      <c r="I3591">
        <v>1</v>
      </c>
      <c r="J3591" t="s">
        <v>21</v>
      </c>
    </row>
    <row r="3592" spans="1:10" x14ac:dyDescent="0.25">
      <c r="A3592">
        <v>2903</v>
      </c>
      <c r="B3592" t="s">
        <v>2389</v>
      </c>
      <c r="C3592" t="s">
        <v>322</v>
      </c>
      <c r="D3592" t="s">
        <v>2234</v>
      </c>
      <c r="E3592" t="s">
        <v>2215</v>
      </c>
      <c r="F3592">
        <v>1772</v>
      </c>
      <c r="G3592">
        <v>178</v>
      </c>
      <c r="H3592" s="32">
        <f t="shared" si="56"/>
        <v>9.9550561797752817</v>
      </c>
      <c r="I3592">
        <v>1</v>
      </c>
      <c r="J3592" t="s">
        <v>21</v>
      </c>
    </row>
    <row r="3593" spans="1:10" x14ac:dyDescent="0.25">
      <c r="A3593">
        <v>961</v>
      </c>
      <c r="B3593" t="s">
        <v>2253</v>
      </c>
      <c r="C3593" t="s">
        <v>166</v>
      </c>
      <c r="D3593" t="s">
        <v>2234</v>
      </c>
      <c r="E3593" t="s">
        <v>2215</v>
      </c>
      <c r="F3593">
        <v>11680</v>
      </c>
      <c r="G3593">
        <v>1173</v>
      </c>
      <c r="H3593" s="32">
        <f t="shared" si="56"/>
        <v>9.9573742540494461</v>
      </c>
      <c r="I3593">
        <v>1</v>
      </c>
      <c r="J3593" t="s">
        <v>21</v>
      </c>
    </row>
    <row r="3594" spans="1:10" x14ac:dyDescent="0.25">
      <c r="A3594">
        <v>7441</v>
      </c>
      <c r="B3594" t="s">
        <v>2525</v>
      </c>
      <c r="C3594" t="s">
        <v>201</v>
      </c>
      <c r="D3594" t="s">
        <v>2234</v>
      </c>
      <c r="E3594" t="s">
        <v>2215</v>
      </c>
      <c r="F3594">
        <v>3283</v>
      </c>
      <c r="G3594">
        <v>329</v>
      </c>
      <c r="H3594" s="32">
        <f t="shared" si="56"/>
        <v>9.9787234042553195</v>
      </c>
      <c r="I3594">
        <v>1</v>
      </c>
      <c r="J3594" t="s">
        <v>21</v>
      </c>
    </row>
    <row r="3595" spans="1:10" x14ac:dyDescent="0.25">
      <c r="A3595">
        <v>7883</v>
      </c>
      <c r="B3595" t="s">
        <v>2559</v>
      </c>
      <c r="C3595" t="s">
        <v>2029</v>
      </c>
      <c r="D3595" t="s">
        <v>2234</v>
      </c>
      <c r="E3595" t="s">
        <v>2215</v>
      </c>
      <c r="F3595">
        <v>9324</v>
      </c>
      <c r="G3595">
        <v>934</v>
      </c>
      <c r="H3595" s="32">
        <f t="shared" si="56"/>
        <v>9.9828693790149892</v>
      </c>
      <c r="I3595">
        <v>1</v>
      </c>
      <c r="J3595" t="s">
        <v>21</v>
      </c>
    </row>
    <row r="3596" spans="1:10" x14ac:dyDescent="0.25">
      <c r="A3596">
        <v>7838</v>
      </c>
      <c r="B3596" t="s">
        <v>1468</v>
      </c>
      <c r="C3596" t="s">
        <v>201</v>
      </c>
      <c r="D3596" t="s">
        <v>2214</v>
      </c>
      <c r="E3596" t="s">
        <v>2215</v>
      </c>
      <c r="F3596">
        <v>446334</v>
      </c>
      <c r="G3596">
        <v>44695.748</v>
      </c>
      <c r="H3596" s="32">
        <f t="shared" si="56"/>
        <v>9.9860505746542163</v>
      </c>
      <c r="I3596">
        <v>1</v>
      </c>
      <c r="J3596" t="s">
        <v>21</v>
      </c>
    </row>
    <row r="3597" spans="1:10" x14ac:dyDescent="0.25">
      <c r="A3597">
        <v>6041</v>
      </c>
      <c r="B3597" t="s">
        <v>1633</v>
      </c>
      <c r="C3597" t="s">
        <v>266</v>
      </c>
      <c r="D3597" t="s">
        <v>2218</v>
      </c>
      <c r="E3597" t="s">
        <v>2215</v>
      </c>
      <c r="F3597">
        <v>175605</v>
      </c>
      <c r="G3597">
        <v>17579.963</v>
      </c>
      <c r="H3597" s="32">
        <f t="shared" si="56"/>
        <v>9.9889288731722594</v>
      </c>
      <c r="I3597">
        <v>1</v>
      </c>
      <c r="J3597" t="s">
        <v>21</v>
      </c>
    </row>
    <row r="3598" spans="1:10" x14ac:dyDescent="0.25">
      <c r="A3598">
        <v>1733</v>
      </c>
      <c r="B3598" t="s">
        <v>2310</v>
      </c>
      <c r="C3598" t="s">
        <v>250</v>
      </c>
      <c r="D3598" t="s">
        <v>2218</v>
      </c>
      <c r="E3598" t="s">
        <v>2215</v>
      </c>
      <c r="F3598">
        <v>278694</v>
      </c>
      <c r="G3598">
        <v>27872.286</v>
      </c>
      <c r="H3598" s="32">
        <f t="shared" si="56"/>
        <v>9.9989645628636268</v>
      </c>
      <c r="I3598">
        <v>1</v>
      </c>
      <c r="J3598" t="s">
        <v>21</v>
      </c>
    </row>
    <row r="3599" spans="1:10" x14ac:dyDescent="0.25">
      <c r="A3599">
        <v>2945</v>
      </c>
      <c r="B3599" t="s">
        <v>2397</v>
      </c>
      <c r="C3599" t="s">
        <v>322</v>
      </c>
      <c r="D3599" t="s">
        <v>2234</v>
      </c>
      <c r="E3599" t="s">
        <v>2215</v>
      </c>
      <c r="F3599">
        <v>360</v>
      </c>
      <c r="G3599">
        <v>36</v>
      </c>
      <c r="H3599" s="32">
        <f t="shared" si="56"/>
        <v>10</v>
      </c>
      <c r="I3599">
        <v>1</v>
      </c>
      <c r="J3599" t="s">
        <v>21</v>
      </c>
    </row>
    <row r="3600" spans="1:10" x14ac:dyDescent="0.25">
      <c r="A3600">
        <v>7854</v>
      </c>
      <c r="B3600" t="s">
        <v>2556</v>
      </c>
      <c r="C3600" t="s">
        <v>166</v>
      </c>
      <c r="D3600" t="s">
        <v>2234</v>
      </c>
      <c r="E3600" t="s">
        <v>2215</v>
      </c>
      <c r="F3600">
        <v>2245</v>
      </c>
      <c r="G3600">
        <v>224</v>
      </c>
      <c r="H3600" s="32">
        <f t="shared" si="56"/>
        <v>10.022321428571429</v>
      </c>
      <c r="I3600">
        <v>1</v>
      </c>
      <c r="J3600" t="s">
        <v>21</v>
      </c>
    </row>
    <row r="3601" spans="1:10" x14ac:dyDescent="0.25">
      <c r="A3601">
        <v>936</v>
      </c>
      <c r="B3601" t="s">
        <v>2236</v>
      </c>
      <c r="C3601" t="s">
        <v>166</v>
      </c>
      <c r="D3601" t="s">
        <v>2234</v>
      </c>
      <c r="E3601" t="s">
        <v>2215</v>
      </c>
      <c r="F3601">
        <v>2087</v>
      </c>
      <c r="G3601">
        <v>208</v>
      </c>
      <c r="H3601" s="32">
        <f t="shared" si="56"/>
        <v>10.033653846153847</v>
      </c>
      <c r="I3601">
        <v>1</v>
      </c>
      <c r="J3601" t="s">
        <v>21</v>
      </c>
    </row>
    <row r="3602" spans="1:10" x14ac:dyDescent="0.25">
      <c r="A3602">
        <v>943</v>
      </c>
      <c r="B3602" t="s">
        <v>2239</v>
      </c>
      <c r="C3602" t="s">
        <v>166</v>
      </c>
      <c r="D3602" t="s">
        <v>2234</v>
      </c>
      <c r="E3602" t="s">
        <v>2215</v>
      </c>
      <c r="F3602">
        <v>1457</v>
      </c>
      <c r="G3602">
        <v>145</v>
      </c>
      <c r="H3602" s="32">
        <f t="shared" si="56"/>
        <v>10.048275862068966</v>
      </c>
      <c r="I3602">
        <v>1</v>
      </c>
      <c r="J3602" t="s">
        <v>21</v>
      </c>
    </row>
    <row r="3603" spans="1:10" x14ac:dyDescent="0.25">
      <c r="A3603">
        <v>56682</v>
      </c>
      <c r="B3603" t="s">
        <v>2894</v>
      </c>
      <c r="C3603" t="s">
        <v>201</v>
      </c>
      <c r="D3603" t="s">
        <v>2234</v>
      </c>
      <c r="E3603" t="s">
        <v>2215</v>
      </c>
      <c r="F3603">
        <v>31442</v>
      </c>
      <c r="G3603">
        <v>3128.748</v>
      </c>
      <c r="H3603" s="32">
        <f t="shared" si="56"/>
        <v>10.049387167007378</v>
      </c>
      <c r="I3603">
        <v>1</v>
      </c>
      <c r="J3603" t="s">
        <v>21</v>
      </c>
    </row>
    <row r="3604" spans="1:10" x14ac:dyDescent="0.25">
      <c r="A3604">
        <v>971</v>
      </c>
      <c r="B3604" t="s">
        <v>2257</v>
      </c>
      <c r="C3604" t="s">
        <v>166</v>
      </c>
      <c r="D3604" t="s">
        <v>2234</v>
      </c>
      <c r="E3604" t="s">
        <v>2215</v>
      </c>
      <c r="F3604">
        <v>1860</v>
      </c>
      <c r="G3604">
        <v>185</v>
      </c>
      <c r="H3604" s="32">
        <f t="shared" si="56"/>
        <v>10.054054054054054</v>
      </c>
      <c r="I3604">
        <v>1</v>
      </c>
      <c r="J3604" t="s">
        <v>21</v>
      </c>
    </row>
    <row r="3605" spans="1:10" x14ac:dyDescent="0.25">
      <c r="A3605">
        <v>58051</v>
      </c>
      <c r="B3605" t="s">
        <v>3100</v>
      </c>
      <c r="C3605" t="s">
        <v>143</v>
      </c>
      <c r="D3605" t="s">
        <v>2234</v>
      </c>
      <c r="E3605" t="s">
        <v>2215</v>
      </c>
      <c r="F3605">
        <v>644</v>
      </c>
      <c r="G3605">
        <v>64</v>
      </c>
      <c r="H3605" s="32">
        <f t="shared" si="56"/>
        <v>10.0625</v>
      </c>
      <c r="I3605">
        <v>1</v>
      </c>
      <c r="J3605" t="s">
        <v>21</v>
      </c>
    </row>
    <row r="3606" spans="1:10" x14ac:dyDescent="0.25">
      <c r="A3606">
        <v>62658</v>
      </c>
      <c r="B3606" t="s">
        <v>4194</v>
      </c>
      <c r="C3606" t="s">
        <v>322</v>
      </c>
      <c r="D3606" t="s">
        <v>2234</v>
      </c>
      <c r="E3606" t="s">
        <v>2215</v>
      </c>
      <c r="F3606">
        <v>8721</v>
      </c>
      <c r="G3606">
        <v>866</v>
      </c>
      <c r="H3606" s="32">
        <f t="shared" si="56"/>
        <v>10.070438799076213</v>
      </c>
      <c r="I3606">
        <v>1</v>
      </c>
      <c r="J3606" t="s">
        <v>21</v>
      </c>
    </row>
    <row r="3607" spans="1:10" x14ac:dyDescent="0.25">
      <c r="A3607">
        <v>2828</v>
      </c>
      <c r="B3607" t="s">
        <v>381</v>
      </c>
      <c r="C3607" t="s">
        <v>322</v>
      </c>
      <c r="D3607" t="s">
        <v>2218</v>
      </c>
      <c r="E3607" t="s">
        <v>2215</v>
      </c>
      <c r="F3607">
        <v>335103</v>
      </c>
      <c r="G3607">
        <v>33198.997000000003</v>
      </c>
      <c r="H3607" s="32">
        <f t="shared" si="56"/>
        <v>10.093768796689851</v>
      </c>
      <c r="I3607">
        <v>1</v>
      </c>
      <c r="J3607" t="s">
        <v>21</v>
      </c>
    </row>
    <row r="3608" spans="1:10" x14ac:dyDescent="0.25">
      <c r="A3608">
        <v>946</v>
      </c>
      <c r="B3608" t="s">
        <v>2245</v>
      </c>
      <c r="C3608" t="s">
        <v>166</v>
      </c>
      <c r="D3608" t="s">
        <v>2234</v>
      </c>
      <c r="E3608" t="s">
        <v>2215</v>
      </c>
      <c r="F3608">
        <v>2256</v>
      </c>
      <c r="G3608">
        <v>222.46</v>
      </c>
      <c r="H3608" s="32">
        <f t="shared" si="56"/>
        <v>10.141148970601456</v>
      </c>
      <c r="I3608">
        <v>1</v>
      </c>
      <c r="J3608" t="s">
        <v>21</v>
      </c>
    </row>
    <row r="3609" spans="1:10" x14ac:dyDescent="0.25">
      <c r="A3609">
        <v>7277</v>
      </c>
      <c r="B3609" t="s">
        <v>2102</v>
      </c>
      <c r="C3609" t="s">
        <v>708</v>
      </c>
      <c r="D3609" t="s">
        <v>2214</v>
      </c>
      <c r="E3609" t="s">
        <v>2215</v>
      </c>
      <c r="F3609">
        <v>7731</v>
      </c>
      <c r="G3609">
        <v>762.09900000000005</v>
      </c>
      <c r="H3609" s="32">
        <f t="shared" si="56"/>
        <v>10.144351324434226</v>
      </c>
      <c r="I3609">
        <v>1</v>
      </c>
      <c r="J3609" t="s">
        <v>21</v>
      </c>
    </row>
    <row r="3610" spans="1:10" x14ac:dyDescent="0.25">
      <c r="A3610">
        <v>7398</v>
      </c>
      <c r="B3610" t="s">
        <v>2518</v>
      </c>
      <c r="C3610" t="s">
        <v>250</v>
      </c>
      <c r="D3610" t="s">
        <v>2234</v>
      </c>
      <c r="E3610" t="s">
        <v>2215</v>
      </c>
      <c r="F3610">
        <v>1009</v>
      </c>
      <c r="G3610">
        <v>99.259</v>
      </c>
      <c r="H3610" s="32">
        <f t="shared" si="56"/>
        <v>10.165325058684855</v>
      </c>
      <c r="I3610">
        <v>1</v>
      </c>
      <c r="J3610" t="s">
        <v>21</v>
      </c>
    </row>
    <row r="3611" spans="1:10" x14ac:dyDescent="0.25">
      <c r="A3611">
        <v>2706</v>
      </c>
      <c r="B3611" t="s">
        <v>2358</v>
      </c>
      <c r="C3611" t="s">
        <v>708</v>
      </c>
      <c r="D3611" t="s">
        <v>2071</v>
      </c>
      <c r="E3611" t="s">
        <v>2215</v>
      </c>
      <c r="F3611">
        <v>12887</v>
      </c>
      <c r="G3611">
        <v>1261.9259999999999</v>
      </c>
      <c r="H3611" s="32">
        <f t="shared" si="56"/>
        <v>10.212167749931455</v>
      </c>
      <c r="I3611">
        <v>1</v>
      </c>
      <c r="J3611" t="s">
        <v>21</v>
      </c>
    </row>
    <row r="3612" spans="1:10" x14ac:dyDescent="0.25">
      <c r="A3612">
        <v>6390</v>
      </c>
      <c r="B3612" t="s">
        <v>2495</v>
      </c>
      <c r="C3612" t="s">
        <v>201</v>
      </c>
      <c r="D3612" t="s">
        <v>2234</v>
      </c>
      <c r="E3612" t="s">
        <v>2215</v>
      </c>
      <c r="F3612">
        <v>1814</v>
      </c>
      <c r="G3612">
        <v>177</v>
      </c>
      <c r="H3612" s="32">
        <f t="shared" si="56"/>
        <v>10.248587570621469</v>
      </c>
      <c r="I3612">
        <v>1</v>
      </c>
      <c r="J3612" t="s">
        <v>21</v>
      </c>
    </row>
    <row r="3613" spans="1:10" x14ac:dyDescent="0.25">
      <c r="A3613">
        <v>1710</v>
      </c>
      <c r="B3613" t="s">
        <v>2301</v>
      </c>
      <c r="C3613" t="s">
        <v>250</v>
      </c>
      <c r="D3613" t="s">
        <v>2218</v>
      </c>
      <c r="E3613" t="s">
        <v>2215</v>
      </c>
      <c r="F3613">
        <v>163072</v>
      </c>
      <c r="G3613">
        <v>15879.021000000001</v>
      </c>
      <c r="H3613" s="32">
        <f t="shared" si="56"/>
        <v>10.269650754917446</v>
      </c>
      <c r="I3613">
        <v>1</v>
      </c>
      <c r="J3613" t="s">
        <v>21</v>
      </c>
    </row>
    <row r="3614" spans="1:10" x14ac:dyDescent="0.25">
      <c r="A3614">
        <v>6213</v>
      </c>
      <c r="B3614" t="s">
        <v>2490</v>
      </c>
      <c r="C3614" t="s">
        <v>131</v>
      </c>
      <c r="D3614" t="s">
        <v>2218</v>
      </c>
      <c r="E3614" t="s">
        <v>2215</v>
      </c>
      <c r="F3614">
        <v>147299</v>
      </c>
      <c r="G3614">
        <v>14333.332</v>
      </c>
      <c r="H3614" s="32">
        <f t="shared" si="56"/>
        <v>10.276675374574452</v>
      </c>
      <c r="I3614">
        <v>1</v>
      </c>
      <c r="J3614" t="s">
        <v>21</v>
      </c>
    </row>
    <row r="3615" spans="1:10" x14ac:dyDescent="0.25">
      <c r="A3615">
        <v>6166</v>
      </c>
      <c r="B3615" t="s">
        <v>1510</v>
      </c>
      <c r="C3615" t="s">
        <v>131</v>
      </c>
      <c r="D3615" t="s">
        <v>2218</v>
      </c>
      <c r="E3615" t="s">
        <v>2215</v>
      </c>
      <c r="F3615">
        <v>394470</v>
      </c>
      <c r="G3615">
        <v>38284.658000000003</v>
      </c>
      <c r="H3615" s="32">
        <f t="shared" si="56"/>
        <v>10.3036051673754</v>
      </c>
      <c r="I3615">
        <v>1</v>
      </c>
      <c r="J3615" t="s">
        <v>21</v>
      </c>
    </row>
    <row r="3616" spans="1:10" x14ac:dyDescent="0.25">
      <c r="A3616">
        <v>3943</v>
      </c>
      <c r="B3616" t="s">
        <v>751</v>
      </c>
      <c r="C3616" t="s">
        <v>118</v>
      </c>
      <c r="D3616" t="s">
        <v>2218</v>
      </c>
      <c r="E3616" t="s">
        <v>2215</v>
      </c>
      <c r="F3616">
        <v>207475</v>
      </c>
      <c r="G3616">
        <v>20088.606</v>
      </c>
      <c r="H3616" s="32">
        <f t="shared" si="56"/>
        <v>10.327993888675003</v>
      </c>
      <c r="I3616">
        <v>1</v>
      </c>
      <c r="J3616" t="s">
        <v>21</v>
      </c>
    </row>
    <row r="3617" spans="1:10" x14ac:dyDescent="0.25">
      <c r="A3617">
        <v>56519</v>
      </c>
      <c r="B3617" t="s">
        <v>2876</v>
      </c>
      <c r="C3617" t="s">
        <v>201</v>
      </c>
      <c r="D3617" t="s">
        <v>2234</v>
      </c>
      <c r="E3617" t="s">
        <v>2215</v>
      </c>
      <c r="F3617">
        <v>816</v>
      </c>
      <c r="G3617">
        <v>79</v>
      </c>
      <c r="H3617" s="32">
        <f t="shared" si="56"/>
        <v>10.329113924050633</v>
      </c>
      <c r="I3617">
        <v>1</v>
      </c>
      <c r="J3617" t="s">
        <v>21</v>
      </c>
    </row>
    <row r="3618" spans="1:10" x14ac:dyDescent="0.25">
      <c r="A3618">
        <v>1001</v>
      </c>
      <c r="B3618" t="s">
        <v>2267</v>
      </c>
      <c r="C3618" t="s">
        <v>131</v>
      </c>
      <c r="D3618" t="s">
        <v>2218</v>
      </c>
      <c r="E3618" t="s">
        <v>2215</v>
      </c>
      <c r="F3618">
        <v>81785</v>
      </c>
      <c r="G3618">
        <v>7906.3620000000001</v>
      </c>
      <c r="H3618" s="32">
        <f t="shared" si="56"/>
        <v>10.344201290049709</v>
      </c>
      <c r="I3618">
        <v>1</v>
      </c>
      <c r="J3618" t="s">
        <v>21</v>
      </c>
    </row>
    <row r="3619" spans="1:10" x14ac:dyDescent="0.25">
      <c r="A3619">
        <v>3149</v>
      </c>
      <c r="B3619" t="s">
        <v>1202</v>
      </c>
      <c r="C3619" t="s">
        <v>143</v>
      </c>
      <c r="D3619" t="s">
        <v>2218</v>
      </c>
      <c r="E3619" t="s">
        <v>2215</v>
      </c>
      <c r="F3619">
        <v>16564</v>
      </c>
      <c r="G3619">
        <v>1597.0889999999999</v>
      </c>
      <c r="H3619" s="32">
        <f t="shared" si="56"/>
        <v>10.371369410220721</v>
      </c>
      <c r="I3619">
        <v>1</v>
      </c>
      <c r="J3619" t="s">
        <v>21</v>
      </c>
    </row>
    <row r="3620" spans="1:10" x14ac:dyDescent="0.25">
      <c r="A3620">
        <v>8102</v>
      </c>
      <c r="B3620" t="s">
        <v>799</v>
      </c>
      <c r="C3620" t="s">
        <v>322</v>
      </c>
      <c r="D3620" t="s">
        <v>2218</v>
      </c>
      <c r="E3620" t="s">
        <v>2215</v>
      </c>
      <c r="F3620">
        <v>690347</v>
      </c>
      <c r="G3620">
        <v>66499.120999999999</v>
      </c>
      <c r="H3620" s="32">
        <f t="shared" si="56"/>
        <v>10.381295115164004</v>
      </c>
      <c r="I3620">
        <v>1</v>
      </c>
      <c r="J3620" t="s">
        <v>21</v>
      </c>
    </row>
    <row r="3621" spans="1:10" x14ac:dyDescent="0.25">
      <c r="A3621">
        <v>3399</v>
      </c>
      <c r="B3621" t="s">
        <v>2421</v>
      </c>
      <c r="C3621" t="s">
        <v>2029</v>
      </c>
      <c r="D3621" t="s">
        <v>2218</v>
      </c>
      <c r="E3621" t="s">
        <v>2215</v>
      </c>
      <c r="F3621">
        <v>1015556</v>
      </c>
      <c r="G3621">
        <v>97702.525999999998</v>
      </c>
      <c r="H3621" s="32">
        <f t="shared" si="56"/>
        <v>10.394367899966067</v>
      </c>
      <c r="I3621">
        <v>1</v>
      </c>
      <c r="J3621" t="s">
        <v>21</v>
      </c>
    </row>
    <row r="3622" spans="1:10" x14ac:dyDescent="0.25">
      <c r="A3622">
        <v>57606</v>
      </c>
      <c r="B3622" t="s">
        <v>3015</v>
      </c>
      <c r="C3622" t="s">
        <v>708</v>
      </c>
      <c r="D3622" t="s">
        <v>2234</v>
      </c>
      <c r="E3622" t="s">
        <v>2215</v>
      </c>
      <c r="F3622">
        <v>4556</v>
      </c>
      <c r="G3622">
        <v>438</v>
      </c>
      <c r="H3622" s="32">
        <f t="shared" si="56"/>
        <v>10.401826484018265</v>
      </c>
      <c r="I3622">
        <v>1</v>
      </c>
      <c r="J3622" t="s">
        <v>21</v>
      </c>
    </row>
    <row r="3623" spans="1:10" x14ac:dyDescent="0.25">
      <c r="A3623">
        <v>56367</v>
      </c>
      <c r="B3623" t="s">
        <v>2854</v>
      </c>
      <c r="C3623" t="s">
        <v>201</v>
      </c>
      <c r="D3623" t="s">
        <v>2234</v>
      </c>
      <c r="E3623" t="s">
        <v>2215</v>
      </c>
      <c r="F3623">
        <v>6856</v>
      </c>
      <c r="G3623">
        <v>659</v>
      </c>
      <c r="H3623" s="32">
        <f t="shared" si="56"/>
        <v>10.403641881638848</v>
      </c>
      <c r="I3623">
        <v>1</v>
      </c>
      <c r="J3623" t="s">
        <v>21</v>
      </c>
    </row>
    <row r="3624" spans="1:10" x14ac:dyDescent="0.25">
      <c r="A3624">
        <v>1855</v>
      </c>
      <c r="B3624" t="s">
        <v>2345</v>
      </c>
      <c r="C3624" t="s">
        <v>250</v>
      </c>
      <c r="D3624" t="s">
        <v>2234</v>
      </c>
      <c r="E3624" t="s">
        <v>2215</v>
      </c>
      <c r="F3624">
        <v>1882</v>
      </c>
      <c r="G3624">
        <v>180.56299999999999</v>
      </c>
      <c r="H3624" s="32">
        <f t="shared" si="56"/>
        <v>10.422954868937712</v>
      </c>
      <c r="I3624">
        <v>1</v>
      </c>
      <c r="J3624" t="s">
        <v>21</v>
      </c>
    </row>
    <row r="3625" spans="1:10" x14ac:dyDescent="0.25">
      <c r="A3625">
        <v>56004</v>
      </c>
      <c r="B3625" t="s">
        <v>2821</v>
      </c>
      <c r="C3625" t="s">
        <v>201</v>
      </c>
      <c r="D3625" t="s">
        <v>2234</v>
      </c>
      <c r="E3625" t="s">
        <v>2215</v>
      </c>
      <c r="F3625">
        <v>9123</v>
      </c>
      <c r="G3625">
        <v>874.16</v>
      </c>
      <c r="H3625" s="32">
        <f t="shared" si="56"/>
        <v>10.436304566669717</v>
      </c>
      <c r="I3625">
        <v>1</v>
      </c>
      <c r="J3625" t="s">
        <v>21</v>
      </c>
    </row>
    <row r="3626" spans="1:10" x14ac:dyDescent="0.25">
      <c r="A3626">
        <v>56005</v>
      </c>
      <c r="B3626" t="s">
        <v>2822</v>
      </c>
      <c r="C3626" t="s">
        <v>201</v>
      </c>
      <c r="D3626" t="s">
        <v>2234</v>
      </c>
      <c r="E3626" t="s">
        <v>2215</v>
      </c>
      <c r="F3626">
        <v>3747</v>
      </c>
      <c r="G3626">
        <v>358.68</v>
      </c>
      <c r="H3626" s="32">
        <f t="shared" si="56"/>
        <v>10.446637671462026</v>
      </c>
      <c r="I3626">
        <v>1</v>
      </c>
      <c r="J3626" t="s">
        <v>21</v>
      </c>
    </row>
    <row r="3627" spans="1:10" x14ac:dyDescent="0.25">
      <c r="A3627">
        <v>56289</v>
      </c>
      <c r="B3627" t="s">
        <v>2840</v>
      </c>
      <c r="C3627" t="s">
        <v>201</v>
      </c>
      <c r="D3627" t="s">
        <v>2234</v>
      </c>
      <c r="E3627" t="s">
        <v>2215</v>
      </c>
      <c r="F3627">
        <v>1254</v>
      </c>
      <c r="G3627">
        <v>120</v>
      </c>
      <c r="H3627" s="32">
        <f t="shared" si="56"/>
        <v>10.45</v>
      </c>
      <c r="I3627">
        <v>1</v>
      </c>
      <c r="J3627" t="s">
        <v>21</v>
      </c>
    </row>
    <row r="3628" spans="1:10" x14ac:dyDescent="0.25">
      <c r="A3628">
        <v>56688</v>
      </c>
      <c r="B3628" t="s">
        <v>2897</v>
      </c>
      <c r="C3628" t="s">
        <v>708</v>
      </c>
      <c r="D3628" t="s">
        <v>2234</v>
      </c>
      <c r="E3628" t="s">
        <v>2215</v>
      </c>
      <c r="F3628">
        <v>3388</v>
      </c>
      <c r="G3628">
        <v>323.74599999999998</v>
      </c>
      <c r="H3628" s="32">
        <f t="shared" si="56"/>
        <v>10.464994162090035</v>
      </c>
      <c r="I3628">
        <v>1</v>
      </c>
      <c r="J3628" t="s">
        <v>21</v>
      </c>
    </row>
    <row r="3629" spans="1:10" x14ac:dyDescent="0.25">
      <c r="A3629">
        <v>2411</v>
      </c>
      <c r="B3629" t="s">
        <v>1558</v>
      </c>
      <c r="C3629" t="s">
        <v>241</v>
      </c>
      <c r="D3629" t="s">
        <v>2071</v>
      </c>
      <c r="E3629" t="s">
        <v>2215</v>
      </c>
      <c r="F3629">
        <v>1305</v>
      </c>
      <c r="G3629">
        <v>124.548</v>
      </c>
      <c r="H3629" s="32">
        <f t="shared" si="56"/>
        <v>10.47788804316408</v>
      </c>
      <c r="I3629">
        <v>1</v>
      </c>
      <c r="J3629" t="s">
        <v>21</v>
      </c>
    </row>
    <row r="3630" spans="1:10" x14ac:dyDescent="0.25">
      <c r="A3630">
        <v>55347</v>
      </c>
      <c r="B3630" t="s">
        <v>2788</v>
      </c>
      <c r="C3630" t="s">
        <v>143</v>
      </c>
      <c r="D3630" t="s">
        <v>2214</v>
      </c>
      <c r="E3630" t="s">
        <v>2215</v>
      </c>
      <c r="F3630">
        <v>113726</v>
      </c>
      <c r="G3630">
        <v>10843.962</v>
      </c>
      <c r="H3630" s="32">
        <f t="shared" si="56"/>
        <v>10.487495253118741</v>
      </c>
      <c r="I3630">
        <v>1</v>
      </c>
      <c r="J3630" t="s">
        <v>21</v>
      </c>
    </row>
    <row r="3631" spans="1:10" x14ac:dyDescent="0.25">
      <c r="A3631">
        <v>7962</v>
      </c>
      <c r="B3631" t="s">
        <v>2188</v>
      </c>
      <c r="C3631" t="s">
        <v>672</v>
      </c>
      <c r="D3631" t="s">
        <v>2214</v>
      </c>
      <c r="E3631" t="s">
        <v>2215</v>
      </c>
      <c r="F3631">
        <v>74292</v>
      </c>
      <c r="G3631">
        <v>7080.1180000000004</v>
      </c>
      <c r="H3631" s="32">
        <f t="shared" si="56"/>
        <v>10.493045454892135</v>
      </c>
      <c r="I3631">
        <v>1</v>
      </c>
      <c r="J3631" t="s">
        <v>21</v>
      </c>
    </row>
    <row r="3632" spans="1:10" x14ac:dyDescent="0.25">
      <c r="A3632">
        <v>56117</v>
      </c>
      <c r="B3632" t="s">
        <v>2827</v>
      </c>
      <c r="C3632" t="s">
        <v>166</v>
      </c>
      <c r="D3632" t="s">
        <v>2234</v>
      </c>
      <c r="E3632" t="s">
        <v>2215</v>
      </c>
      <c r="F3632">
        <v>494</v>
      </c>
      <c r="G3632">
        <v>47</v>
      </c>
      <c r="H3632" s="32">
        <f t="shared" si="56"/>
        <v>10.51063829787234</v>
      </c>
      <c r="I3632">
        <v>1</v>
      </c>
      <c r="J3632" t="s">
        <v>21</v>
      </c>
    </row>
    <row r="3633" spans="1:10" x14ac:dyDescent="0.25">
      <c r="A3633">
        <v>3935</v>
      </c>
      <c r="B3633" t="s">
        <v>114</v>
      </c>
      <c r="C3633" t="s">
        <v>118</v>
      </c>
      <c r="D3633" t="s">
        <v>2218</v>
      </c>
      <c r="E3633" t="s">
        <v>2215</v>
      </c>
      <c r="F3633">
        <v>486433</v>
      </c>
      <c r="G3633">
        <v>46145.425000000003</v>
      </c>
      <c r="H3633" s="32">
        <f t="shared" si="56"/>
        <v>10.541305015610973</v>
      </c>
      <c r="I3633">
        <v>1</v>
      </c>
      <c r="J3633" t="s">
        <v>21</v>
      </c>
    </row>
    <row r="3634" spans="1:10" x14ac:dyDescent="0.25">
      <c r="A3634">
        <v>50935</v>
      </c>
      <c r="B3634" t="s">
        <v>2678</v>
      </c>
      <c r="C3634" t="s">
        <v>131</v>
      </c>
      <c r="D3634" t="s">
        <v>2234</v>
      </c>
      <c r="E3634" t="s">
        <v>2215</v>
      </c>
      <c r="F3634">
        <v>6</v>
      </c>
      <c r="G3634">
        <v>0.56799999999999995</v>
      </c>
      <c r="H3634" s="32">
        <f t="shared" si="56"/>
        <v>10.563380281690142</v>
      </c>
      <c r="I3634">
        <v>1</v>
      </c>
      <c r="J3634" t="s">
        <v>21</v>
      </c>
    </row>
    <row r="3635" spans="1:10" x14ac:dyDescent="0.25">
      <c r="A3635">
        <v>6391</v>
      </c>
      <c r="B3635" t="s">
        <v>2496</v>
      </c>
      <c r="C3635" t="s">
        <v>307</v>
      </c>
      <c r="D3635" t="s">
        <v>2234</v>
      </c>
      <c r="E3635" t="s">
        <v>2215</v>
      </c>
      <c r="F3635">
        <v>1142</v>
      </c>
      <c r="G3635">
        <v>108</v>
      </c>
      <c r="H3635" s="32">
        <f t="shared" si="56"/>
        <v>10.574074074074074</v>
      </c>
      <c r="I3635">
        <v>1</v>
      </c>
      <c r="J3635" t="s">
        <v>21</v>
      </c>
    </row>
    <row r="3636" spans="1:10" x14ac:dyDescent="0.25">
      <c r="A3636">
        <v>2832</v>
      </c>
      <c r="B3636" t="s">
        <v>1166</v>
      </c>
      <c r="C3636" t="s">
        <v>322</v>
      </c>
      <c r="D3636" t="s">
        <v>2218</v>
      </c>
      <c r="E3636" t="s">
        <v>2215</v>
      </c>
      <c r="F3636">
        <v>141491</v>
      </c>
      <c r="G3636">
        <v>13372.998</v>
      </c>
      <c r="H3636" s="32">
        <f t="shared" si="56"/>
        <v>10.580350045666648</v>
      </c>
      <c r="I3636">
        <v>1</v>
      </c>
      <c r="J3636" t="s">
        <v>21</v>
      </c>
    </row>
    <row r="3637" spans="1:10" x14ac:dyDescent="0.25">
      <c r="A3637">
        <v>7990</v>
      </c>
      <c r="B3637" t="s">
        <v>2566</v>
      </c>
      <c r="C3637" t="s">
        <v>166</v>
      </c>
      <c r="D3637" t="s">
        <v>2234</v>
      </c>
      <c r="E3637" t="s">
        <v>2215</v>
      </c>
      <c r="F3637">
        <v>794</v>
      </c>
      <c r="G3637">
        <v>75</v>
      </c>
      <c r="H3637" s="32">
        <f t="shared" si="56"/>
        <v>10.586666666666666</v>
      </c>
      <c r="I3637">
        <v>1</v>
      </c>
      <c r="J3637" t="s">
        <v>21</v>
      </c>
    </row>
    <row r="3638" spans="1:10" x14ac:dyDescent="0.25">
      <c r="A3638">
        <v>937</v>
      </c>
      <c r="B3638" t="s">
        <v>2237</v>
      </c>
      <c r="C3638" t="s">
        <v>166</v>
      </c>
      <c r="D3638" t="s">
        <v>2234</v>
      </c>
      <c r="E3638" t="s">
        <v>2215</v>
      </c>
      <c r="F3638">
        <v>974</v>
      </c>
      <c r="G3638">
        <v>92</v>
      </c>
      <c r="H3638" s="32">
        <f t="shared" si="56"/>
        <v>10.586956521739131</v>
      </c>
      <c r="I3638">
        <v>1</v>
      </c>
      <c r="J3638" t="s">
        <v>21</v>
      </c>
    </row>
    <row r="3639" spans="1:10" x14ac:dyDescent="0.25">
      <c r="A3639">
        <v>55381</v>
      </c>
      <c r="B3639" t="s">
        <v>2791</v>
      </c>
      <c r="C3639" t="s">
        <v>201</v>
      </c>
      <c r="D3639" t="s">
        <v>2214</v>
      </c>
      <c r="E3639" t="s">
        <v>2215</v>
      </c>
      <c r="F3639">
        <v>468236</v>
      </c>
      <c r="G3639">
        <v>44181</v>
      </c>
      <c r="H3639" s="32">
        <f t="shared" si="56"/>
        <v>10.598130418053008</v>
      </c>
      <c r="I3639">
        <v>1</v>
      </c>
      <c r="J3639" t="s">
        <v>21</v>
      </c>
    </row>
    <row r="3640" spans="1:10" x14ac:dyDescent="0.25">
      <c r="A3640">
        <v>56053</v>
      </c>
      <c r="B3640" t="s">
        <v>2825</v>
      </c>
      <c r="C3640" t="s">
        <v>166</v>
      </c>
      <c r="D3640" t="s">
        <v>2234</v>
      </c>
      <c r="E3640" t="s">
        <v>2215</v>
      </c>
      <c r="F3640">
        <v>848</v>
      </c>
      <c r="G3640">
        <v>80</v>
      </c>
      <c r="H3640" s="32">
        <f t="shared" si="56"/>
        <v>10.6</v>
      </c>
      <c r="I3640">
        <v>1</v>
      </c>
      <c r="J3640" t="s">
        <v>21</v>
      </c>
    </row>
    <row r="3641" spans="1:10" x14ac:dyDescent="0.25">
      <c r="A3641">
        <v>55228</v>
      </c>
      <c r="B3641" t="s">
        <v>857</v>
      </c>
      <c r="C3641" t="s">
        <v>322</v>
      </c>
      <c r="D3641" t="s">
        <v>2214</v>
      </c>
      <c r="E3641" t="s">
        <v>2215</v>
      </c>
      <c r="F3641">
        <v>12514</v>
      </c>
      <c r="G3641">
        <v>1179.683</v>
      </c>
      <c r="H3641" s="32">
        <f t="shared" si="56"/>
        <v>10.607934504438905</v>
      </c>
      <c r="I3641">
        <v>1</v>
      </c>
      <c r="J3641" t="s">
        <v>21</v>
      </c>
    </row>
    <row r="3642" spans="1:10" x14ac:dyDescent="0.25">
      <c r="A3642">
        <v>56681</v>
      </c>
      <c r="B3642" t="s">
        <v>2893</v>
      </c>
      <c r="C3642" t="s">
        <v>201</v>
      </c>
      <c r="D3642" t="s">
        <v>2234</v>
      </c>
      <c r="E3642" t="s">
        <v>2215</v>
      </c>
      <c r="F3642">
        <v>2348</v>
      </c>
      <c r="G3642">
        <v>221.26499999999999</v>
      </c>
      <c r="H3642" s="32">
        <f t="shared" si="56"/>
        <v>10.611709940569002</v>
      </c>
      <c r="I3642">
        <v>1</v>
      </c>
      <c r="J3642" t="s">
        <v>21</v>
      </c>
    </row>
    <row r="3643" spans="1:10" x14ac:dyDescent="0.25">
      <c r="A3643">
        <v>58207</v>
      </c>
      <c r="B3643" t="s">
        <v>2146</v>
      </c>
      <c r="C3643" t="s">
        <v>307</v>
      </c>
      <c r="D3643" t="s">
        <v>2234</v>
      </c>
      <c r="E3643" t="s">
        <v>2215</v>
      </c>
      <c r="F3643">
        <v>1263</v>
      </c>
      <c r="G3643">
        <v>118.881</v>
      </c>
      <c r="H3643" s="32">
        <f t="shared" si="56"/>
        <v>10.62406944759886</v>
      </c>
      <c r="I3643">
        <v>1</v>
      </c>
      <c r="J3643" t="s">
        <v>21</v>
      </c>
    </row>
    <row r="3644" spans="1:10" x14ac:dyDescent="0.25">
      <c r="A3644">
        <v>57029</v>
      </c>
      <c r="B3644" t="s">
        <v>2931</v>
      </c>
      <c r="C3644" t="s">
        <v>708</v>
      </c>
      <c r="D3644" t="s">
        <v>2214</v>
      </c>
      <c r="E3644" t="s">
        <v>2215</v>
      </c>
      <c r="F3644">
        <v>54575</v>
      </c>
      <c r="G3644">
        <v>5131.1540000000005</v>
      </c>
      <c r="H3644" s="32">
        <f t="shared" si="56"/>
        <v>10.636008975758669</v>
      </c>
      <c r="I3644">
        <v>1</v>
      </c>
      <c r="J3644" t="s">
        <v>21</v>
      </c>
    </row>
    <row r="3645" spans="1:10" x14ac:dyDescent="0.25">
      <c r="A3645">
        <v>1750</v>
      </c>
      <c r="B3645" t="s">
        <v>2318</v>
      </c>
      <c r="C3645" t="s">
        <v>250</v>
      </c>
      <c r="D3645" t="s">
        <v>2234</v>
      </c>
      <c r="E3645" t="s">
        <v>2215</v>
      </c>
      <c r="F3645">
        <v>13665</v>
      </c>
      <c r="G3645">
        <v>1283</v>
      </c>
      <c r="H3645" s="32">
        <f t="shared" si="56"/>
        <v>10.650818394388153</v>
      </c>
      <c r="I3645">
        <v>1</v>
      </c>
      <c r="J3645" t="s">
        <v>21</v>
      </c>
    </row>
    <row r="3646" spans="1:10" x14ac:dyDescent="0.25">
      <c r="A3646">
        <v>3954</v>
      </c>
      <c r="B3646" t="s">
        <v>1238</v>
      </c>
      <c r="C3646" t="s">
        <v>118</v>
      </c>
      <c r="D3646" t="s">
        <v>2218</v>
      </c>
      <c r="E3646" t="s">
        <v>2215</v>
      </c>
      <c r="F3646">
        <v>150295</v>
      </c>
      <c r="G3646">
        <v>14107.531000000001</v>
      </c>
      <c r="H3646" s="32">
        <f t="shared" si="56"/>
        <v>10.653529664404068</v>
      </c>
      <c r="I3646">
        <v>1</v>
      </c>
      <c r="J3646" t="s">
        <v>21</v>
      </c>
    </row>
    <row r="3647" spans="1:10" x14ac:dyDescent="0.25">
      <c r="A3647">
        <v>889</v>
      </c>
      <c r="B3647" t="s">
        <v>2227</v>
      </c>
      <c r="C3647" t="s">
        <v>166</v>
      </c>
      <c r="D3647" t="s">
        <v>2218</v>
      </c>
      <c r="E3647" t="s">
        <v>2215</v>
      </c>
      <c r="F3647">
        <v>168298</v>
      </c>
      <c r="G3647">
        <v>15785.778</v>
      </c>
      <c r="H3647" s="32">
        <f t="shared" si="56"/>
        <v>10.661368733299049</v>
      </c>
      <c r="I3647">
        <v>1</v>
      </c>
      <c r="J3647" t="s">
        <v>21</v>
      </c>
    </row>
    <row r="3648" spans="1:10" x14ac:dyDescent="0.25">
      <c r="A3648">
        <v>56118</v>
      </c>
      <c r="B3648" t="s">
        <v>2828</v>
      </c>
      <c r="C3648" t="s">
        <v>166</v>
      </c>
      <c r="D3648" t="s">
        <v>2234</v>
      </c>
      <c r="E3648" t="s">
        <v>2215</v>
      </c>
      <c r="F3648">
        <v>459</v>
      </c>
      <c r="G3648">
        <v>43</v>
      </c>
      <c r="H3648" s="32">
        <f t="shared" si="56"/>
        <v>10.674418604651162</v>
      </c>
      <c r="I3648">
        <v>1</v>
      </c>
      <c r="J3648" t="s">
        <v>21</v>
      </c>
    </row>
    <row r="3649" spans="1:10" x14ac:dyDescent="0.25">
      <c r="A3649">
        <v>56292</v>
      </c>
      <c r="B3649" t="s">
        <v>2841</v>
      </c>
      <c r="C3649" t="s">
        <v>708</v>
      </c>
      <c r="D3649" t="s">
        <v>2214</v>
      </c>
      <c r="E3649" t="s">
        <v>2215</v>
      </c>
      <c r="F3649">
        <v>157643</v>
      </c>
      <c r="G3649">
        <v>14765.441000000001</v>
      </c>
      <c r="H3649" s="32">
        <f t="shared" si="56"/>
        <v>10.676484366433755</v>
      </c>
      <c r="I3649">
        <v>1</v>
      </c>
      <c r="J3649" t="s">
        <v>21</v>
      </c>
    </row>
    <row r="3650" spans="1:10" x14ac:dyDescent="0.25">
      <c r="A3650">
        <v>3403</v>
      </c>
      <c r="B3650" t="s">
        <v>2426</v>
      </c>
      <c r="C3650" t="s">
        <v>2029</v>
      </c>
      <c r="D3650" t="s">
        <v>2218</v>
      </c>
      <c r="E3650" t="s">
        <v>2215</v>
      </c>
      <c r="F3650">
        <v>97436</v>
      </c>
      <c r="G3650">
        <v>9123.2119999999995</v>
      </c>
      <c r="H3650" s="32">
        <f t="shared" ref="H3650:H3713" si="57">IF(AND(F3650&gt;0,G3650&gt;0),F3650/G3650,"")</f>
        <v>10.680010505072119</v>
      </c>
      <c r="I3650">
        <v>1</v>
      </c>
      <c r="J3650" t="s">
        <v>21</v>
      </c>
    </row>
    <row r="3651" spans="1:10" x14ac:dyDescent="0.25">
      <c r="A3651">
        <v>3118</v>
      </c>
      <c r="B3651" t="s">
        <v>490</v>
      </c>
      <c r="C3651" t="s">
        <v>143</v>
      </c>
      <c r="D3651" t="s">
        <v>2234</v>
      </c>
      <c r="E3651" t="s">
        <v>2215</v>
      </c>
      <c r="F3651">
        <v>7304</v>
      </c>
      <c r="G3651">
        <v>682</v>
      </c>
      <c r="H3651" s="32">
        <f t="shared" si="57"/>
        <v>10.709677419354838</v>
      </c>
      <c r="I3651">
        <v>1</v>
      </c>
      <c r="J3651" t="s">
        <v>21</v>
      </c>
    </row>
    <row r="3652" spans="1:10" x14ac:dyDescent="0.25">
      <c r="A3652">
        <v>6034</v>
      </c>
      <c r="B3652" t="s">
        <v>2008</v>
      </c>
      <c r="C3652" t="s">
        <v>250</v>
      </c>
      <c r="D3652" t="s">
        <v>2218</v>
      </c>
      <c r="E3652" t="s">
        <v>2215</v>
      </c>
      <c r="F3652">
        <v>275854</v>
      </c>
      <c r="G3652">
        <v>25716.213</v>
      </c>
      <c r="H3652" s="32">
        <f t="shared" si="57"/>
        <v>10.726851578029782</v>
      </c>
      <c r="I3652">
        <v>1</v>
      </c>
      <c r="J3652" t="s">
        <v>21</v>
      </c>
    </row>
    <row r="3653" spans="1:10" x14ac:dyDescent="0.25">
      <c r="A3653">
        <v>7826</v>
      </c>
      <c r="B3653" t="s">
        <v>2552</v>
      </c>
      <c r="C3653" t="s">
        <v>708</v>
      </c>
      <c r="D3653" t="s">
        <v>2214</v>
      </c>
      <c r="E3653" t="s">
        <v>2215</v>
      </c>
      <c r="F3653">
        <v>262236</v>
      </c>
      <c r="G3653">
        <v>24422.761999999999</v>
      </c>
      <c r="H3653" s="32">
        <f t="shared" si="57"/>
        <v>10.737360500012244</v>
      </c>
      <c r="I3653">
        <v>1</v>
      </c>
      <c r="J3653" t="s">
        <v>21</v>
      </c>
    </row>
    <row r="3654" spans="1:10" x14ac:dyDescent="0.25">
      <c r="A3654">
        <v>1356</v>
      </c>
      <c r="B3654" t="s">
        <v>2277</v>
      </c>
      <c r="C3654" t="s">
        <v>266</v>
      </c>
      <c r="D3654" t="s">
        <v>2218</v>
      </c>
      <c r="E3654" t="s">
        <v>2215</v>
      </c>
      <c r="F3654">
        <v>113048</v>
      </c>
      <c r="G3654">
        <v>10521.813</v>
      </c>
      <c r="H3654" s="32">
        <f t="shared" si="57"/>
        <v>10.744155973880167</v>
      </c>
      <c r="I3654">
        <v>1</v>
      </c>
      <c r="J3654" t="s">
        <v>21</v>
      </c>
    </row>
    <row r="3655" spans="1:10" x14ac:dyDescent="0.25">
      <c r="A3655">
        <v>55524</v>
      </c>
      <c r="B3655" t="s">
        <v>2204</v>
      </c>
      <c r="C3655" t="s">
        <v>143</v>
      </c>
      <c r="D3655" t="s">
        <v>2071</v>
      </c>
      <c r="E3655" t="s">
        <v>2215</v>
      </c>
      <c r="F3655">
        <v>231475</v>
      </c>
      <c r="G3655">
        <v>21539.867999999999</v>
      </c>
      <c r="H3655" s="32">
        <f t="shared" si="57"/>
        <v>10.746351834653769</v>
      </c>
      <c r="I3655">
        <v>1</v>
      </c>
      <c r="J3655" t="s">
        <v>21</v>
      </c>
    </row>
    <row r="3656" spans="1:10" x14ac:dyDescent="0.25">
      <c r="A3656">
        <v>994</v>
      </c>
      <c r="B3656" t="s">
        <v>2264</v>
      </c>
      <c r="C3656" t="s">
        <v>131</v>
      </c>
      <c r="D3656" t="s">
        <v>2218</v>
      </c>
      <c r="E3656" t="s">
        <v>2215</v>
      </c>
      <c r="F3656">
        <v>94899</v>
      </c>
      <c r="G3656">
        <v>8828.5570000000007</v>
      </c>
      <c r="H3656" s="32">
        <f t="shared" si="57"/>
        <v>10.749095237194481</v>
      </c>
      <c r="I3656">
        <v>1</v>
      </c>
      <c r="J3656" t="s">
        <v>21</v>
      </c>
    </row>
    <row r="3657" spans="1:10" x14ac:dyDescent="0.25">
      <c r="A3657">
        <v>3406</v>
      </c>
      <c r="B3657" t="s">
        <v>2429</v>
      </c>
      <c r="C3657" t="s">
        <v>2029</v>
      </c>
      <c r="D3657" t="s">
        <v>2214</v>
      </c>
      <c r="E3657" t="s">
        <v>2215</v>
      </c>
      <c r="F3657">
        <v>21631</v>
      </c>
      <c r="G3657">
        <v>2012.3219999999999</v>
      </c>
      <c r="H3657" s="32">
        <f t="shared" si="57"/>
        <v>10.749273724582846</v>
      </c>
      <c r="I3657">
        <v>1</v>
      </c>
      <c r="J3657" t="s">
        <v>21</v>
      </c>
    </row>
    <row r="3658" spans="1:10" x14ac:dyDescent="0.25">
      <c r="A3658">
        <v>2852</v>
      </c>
      <c r="B3658" t="s">
        <v>1575</v>
      </c>
      <c r="C3658" t="s">
        <v>322</v>
      </c>
      <c r="D3658" t="s">
        <v>2234</v>
      </c>
      <c r="E3658" t="s">
        <v>2215</v>
      </c>
      <c r="F3658">
        <v>5352</v>
      </c>
      <c r="G3658">
        <v>497</v>
      </c>
      <c r="H3658" s="32">
        <f t="shared" si="57"/>
        <v>10.768611670020121</v>
      </c>
      <c r="I3658">
        <v>1</v>
      </c>
      <c r="J3658" t="s">
        <v>21</v>
      </c>
    </row>
    <row r="3659" spans="1:10" x14ac:dyDescent="0.25">
      <c r="A3659">
        <v>55348</v>
      </c>
      <c r="B3659" t="s">
        <v>1696</v>
      </c>
      <c r="C3659" t="s">
        <v>322</v>
      </c>
      <c r="D3659" t="s">
        <v>2214</v>
      </c>
      <c r="E3659" t="s">
        <v>2215</v>
      </c>
      <c r="F3659">
        <v>26616</v>
      </c>
      <c r="G3659">
        <v>2471.0700000000002</v>
      </c>
      <c r="H3659" s="32">
        <f t="shared" si="57"/>
        <v>10.771042503854606</v>
      </c>
      <c r="I3659">
        <v>1</v>
      </c>
      <c r="J3659" t="s">
        <v>21</v>
      </c>
    </row>
    <row r="3660" spans="1:10" x14ac:dyDescent="0.25">
      <c r="A3660">
        <v>2847</v>
      </c>
      <c r="B3660" t="s">
        <v>1668</v>
      </c>
      <c r="C3660" t="s">
        <v>322</v>
      </c>
      <c r="D3660" t="s">
        <v>2234</v>
      </c>
      <c r="E3660" t="s">
        <v>2215</v>
      </c>
      <c r="F3660">
        <v>6379</v>
      </c>
      <c r="G3660">
        <v>592</v>
      </c>
      <c r="H3660" s="32">
        <f t="shared" si="57"/>
        <v>10.775337837837839</v>
      </c>
      <c r="I3660">
        <v>1</v>
      </c>
      <c r="J3660" t="s">
        <v>21</v>
      </c>
    </row>
    <row r="3661" spans="1:10" x14ac:dyDescent="0.25">
      <c r="A3661">
        <v>2851</v>
      </c>
      <c r="B3661" t="s">
        <v>1212</v>
      </c>
      <c r="C3661" t="s">
        <v>322</v>
      </c>
      <c r="D3661" t="s">
        <v>2234</v>
      </c>
      <c r="E3661" t="s">
        <v>2215</v>
      </c>
      <c r="F3661">
        <v>5626</v>
      </c>
      <c r="G3661">
        <v>522</v>
      </c>
      <c r="H3661" s="32">
        <f t="shared" si="57"/>
        <v>10.777777777777779</v>
      </c>
      <c r="I3661">
        <v>1</v>
      </c>
      <c r="J3661" t="s">
        <v>21</v>
      </c>
    </row>
    <row r="3662" spans="1:10" x14ac:dyDescent="0.25">
      <c r="A3662">
        <v>2712</v>
      </c>
      <c r="B3662" t="s">
        <v>2360</v>
      </c>
      <c r="C3662" t="s">
        <v>708</v>
      </c>
      <c r="D3662" t="s">
        <v>2218</v>
      </c>
      <c r="E3662" t="s">
        <v>2215</v>
      </c>
      <c r="F3662">
        <v>330928</v>
      </c>
      <c r="G3662">
        <v>30619.276999999998</v>
      </c>
      <c r="H3662" s="32">
        <f t="shared" si="57"/>
        <v>10.807831941949512</v>
      </c>
      <c r="I3662">
        <v>1</v>
      </c>
      <c r="J3662" t="s">
        <v>21</v>
      </c>
    </row>
    <row r="3663" spans="1:10" x14ac:dyDescent="0.25">
      <c r="A3663">
        <v>56684</v>
      </c>
      <c r="B3663" t="s">
        <v>2896</v>
      </c>
      <c r="C3663" t="s">
        <v>201</v>
      </c>
      <c r="D3663" t="s">
        <v>2234</v>
      </c>
      <c r="E3663" t="s">
        <v>2215</v>
      </c>
      <c r="F3663">
        <v>4191</v>
      </c>
      <c r="G3663">
        <v>387.31099999999998</v>
      </c>
      <c r="H3663" s="32">
        <f t="shared" si="57"/>
        <v>10.8207616101789</v>
      </c>
      <c r="I3663">
        <v>1</v>
      </c>
      <c r="J3663" t="s">
        <v>21</v>
      </c>
    </row>
    <row r="3664" spans="1:10" x14ac:dyDescent="0.25">
      <c r="A3664">
        <v>60387</v>
      </c>
      <c r="B3664" t="s">
        <v>1257</v>
      </c>
      <c r="C3664" t="s">
        <v>166</v>
      </c>
      <c r="D3664" t="s">
        <v>2214</v>
      </c>
      <c r="E3664" t="s">
        <v>2215</v>
      </c>
      <c r="F3664">
        <v>1791</v>
      </c>
      <c r="G3664">
        <v>165.04400000000001</v>
      </c>
      <c r="H3664" s="32">
        <f t="shared" si="57"/>
        <v>10.851651680763917</v>
      </c>
      <c r="I3664">
        <v>1</v>
      </c>
      <c r="J3664" t="s">
        <v>21</v>
      </c>
    </row>
    <row r="3665" spans="1:10" x14ac:dyDescent="0.25">
      <c r="A3665">
        <v>1379</v>
      </c>
      <c r="B3665" t="s">
        <v>2285</v>
      </c>
      <c r="C3665" t="s">
        <v>266</v>
      </c>
      <c r="D3665" t="s">
        <v>2218</v>
      </c>
      <c r="E3665" t="s">
        <v>2215</v>
      </c>
      <c r="F3665">
        <v>103946</v>
      </c>
      <c r="G3665">
        <v>9567.0480000000007</v>
      </c>
      <c r="H3665" s="32">
        <f t="shared" si="57"/>
        <v>10.865002454257572</v>
      </c>
      <c r="I3665">
        <v>1</v>
      </c>
      <c r="J3665" t="s">
        <v>21</v>
      </c>
    </row>
    <row r="3666" spans="1:10" x14ac:dyDescent="0.25">
      <c r="A3666">
        <v>958</v>
      </c>
      <c r="B3666" t="s">
        <v>2250</v>
      </c>
      <c r="C3666" t="s">
        <v>166</v>
      </c>
      <c r="D3666" t="s">
        <v>2234</v>
      </c>
      <c r="E3666" t="s">
        <v>2215</v>
      </c>
      <c r="F3666">
        <v>2025</v>
      </c>
      <c r="G3666">
        <v>186</v>
      </c>
      <c r="H3666" s="32">
        <f t="shared" si="57"/>
        <v>10.887096774193548</v>
      </c>
      <c r="I3666">
        <v>1</v>
      </c>
      <c r="J3666" t="s">
        <v>21</v>
      </c>
    </row>
    <row r="3667" spans="1:10" x14ac:dyDescent="0.25">
      <c r="A3667">
        <v>7805</v>
      </c>
      <c r="B3667" t="s">
        <v>2164</v>
      </c>
      <c r="C3667" t="s">
        <v>708</v>
      </c>
      <c r="D3667" t="s">
        <v>2214</v>
      </c>
      <c r="E3667" t="s">
        <v>2215</v>
      </c>
      <c r="F3667">
        <v>52519</v>
      </c>
      <c r="G3667">
        <v>4822.4520000000002</v>
      </c>
      <c r="H3667" s="32">
        <f t="shared" si="57"/>
        <v>10.890517935689147</v>
      </c>
      <c r="I3667">
        <v>1</v>
      </c>
      <c r="J3667" t="s">
        <v>21</v>
      </c>
    </row>
    <row r="3668" spans="1:10" x14ac:dyDescent="0.25">
      <c r="A3668">
        <v>56035</v>
      </c>
      <c r="B3668" t="s">
        <v>2823</v>
      </c>
      <c r="C3668" t="s">
        <v>708</v>
      </c>
      <c r="D3668" t="s">
        <v>2234</v>
      </c>
      <c r="E3668" t="s">
        <v>2215</v>
      </c>
      <c r="F3668">
        <v>3936</v>
      </c>
      <c r="G3668">
        <v>360.64</v>
      </c>
      <c r="H3668" s="32">
        <f t="shared" si="57"/>
        <v>10.913930789707187</v>
      </c>
      <c r="I3668">
        <v>1</v>
      </c>
      <c r="J3668" t="s">
        <v>21</v>
      </c>
    </row>
    <row r="3669" spans="1:10" x14ac:dyDescent="0.25">
      <c r="A3669">
        <v>983</v>
      </c>
      <c r="B3669" t="s">
        <v>457</v>
      </c>
      <c r="C3669" t="s">
        <v>131</v>
      </c>
      <c r="D3669" t="s">
        <v>2218</v>
      </c>
      <c r="E3669" t="s">
        <v>2215</v>
      </c>
      <c r="F3669">
        <v>94088</v>
      </c>
      <c r="G3669">
        <v>8619.6640000000007</v>
      </c>
      <c r="H3669" s="32">
        <f t="shared" si="57"/>
        <v>10.915506683323153</v>
      </c>
      <c r="I3669">
        <v>1</v>
      </c>
      <c r="J3669" t="s">
        <v>21</v>
      </c>
    </row>
    <row r="3670" spans="1:10" x14ac:dyDescent="0.25">
      <c r="A3670">
        <v>55116</v>
      </c>
      <c r="B3670" t="s">
        <v>2771</v>
      </c>
      <c r="C3670" t="s">
        <v>708</v>
      </c>
      <c r="D3670" t="s">
        <v>2214</v>
      </c>
      <c r="E3670" t="s">
        <v>2215</v>
      </c>
      <c r="F3670">
        <v>168635</v>
      </c>
      <c r="G3670">
        <v>15428.517</v>
      </c>
      <c r="H3670" s="32">
        <f t="shared" si="57"/>
        <v>10.930084855206758</v>
      </c>
      <c r="I3670">
        <v>1</v>
      </c>
      <c r="J3670" t="s">
        <v>21</v>
      </c>
    </row>
    <row r="3671" spans="1:10" x14ac:dyDescent="0.25">
      <c r="A3671">
        <v>7839</v>
      </c>
      <c r="B3671" t="s">
        <v>1038</v>
      </c>
      <c r="C3671" t="s">
        <v>201</v>
      </c>
      <c r="D3671" t="s">
        <v>2214</v>
      </c>
      <c r="E3671" t="s">
        <v>2215</v>
      </c>
      <c r="F3671">
        <v>1469403</v>
      </c>
      <c r="G3671">
        <v>134232.93299999999</v>
      </c>
      <c r="H3671" s="32">
        <f t="shared" si="57"/>
        <v>10.946665376074291</v>
      </c>
      <c r="I3671">
        <v>1</v>
      </c>
      <c r="J3671" t="s">
        <v>21</v>
      </c>
    </row>
    <row r="3672" spans="1:10" x14ac:dyDescent="0.25">
      <c r="A3672">
        <v>3136</v>
      </c>
      <c r="B3672" t="s">
        <v>1011</v>
      </c>
      <c r="C3672" t="s">
        <v>143</v>
      </c>
      <c r="D3672" t="s">
        <v>2234</v>
      </c>
      <c r="E3672" t="s">
        <v>2215</v>
      </c>
      <c r="F3672">
        <v>5695</v>
      </c>
      <c r="G3672">
        <v>519</v>
      </c>
      <c r="H3672" s="32">
        <f t="shared" si="57"/>
        <v>10.973025048169557</v>
      </c>
      <c r="I3672">
        <v>1</v>
      </c>
      <c r="J3672" t="s">
        <v>21</v>
      </c>
    </row>
    <row r="3673" spans="1:10" x14ac:dyDescent="0.25">
      <c r="A3673">
        <v>7878</v>
      </c>
      <c r="B3673" t="s">
        <v>2558</v>
      </c>
      <c r="C3673" t="s">
        <v>322</v>
      </c>
      <c r="D3673" t="s">
        <v>2234</v>
      </c>
      <c r="E3673" t="s">
        <v>2215</v>
      </c>
      <c r="F3673">
        <v>505</v>
      </c>
      <c r="G3673">
        <v>46</v>
      </c>
      <c r="H3673" s="32">
        <f t="shared" si="57"/>
        <v>10.978260869565217</v>
      </c>
      <c r="I3673">
        <v>1</v>
      </c>
      <c r="J3673" t="s">
        <v>21</v>
      </c>
    </row>
    <row r="3674" spans="1:10" x14ac:dyDescent="0.25">
      <c r="A3674">
        <v>2936</v>
      </c>
      <c r="B3674" t="s">
        <v>2394</v>
      </c>
      <c r="C3674" t="s">
        <v>322</v>
      </c>
      <c r="D3674" t="s">
        <v>2234</v>
      </c>
      <c r="E3674" t="s">
        <v>2215</v>
      </c>
      <c r="F3674">
        <v>1021</v>
      </c>
      <c r="G3674">
        <v>93</v>
      </c>
      <c r="H3674" s="32">
        <f t="shared" si="57"/>
        <v>10.978494623655914</v>
      </c>
      <c r="I3674">
        <v>1</v>
      </c>
      <c r="J3674" t="s">
        <v>21</v>
      </c>
    </row>
    <row r="3675" spans="1:10" x14ac:dyDescent="0.25">
      <c r="A3675">
        <v>56808</v>
      </c>
      <c r="B3675" t="s">
        <v>1737</v>
      </c>
      <c r="C3675" t="s">
        <v>201</v>
      </c>
      <c r="D3675" t="s">
        <v>2218</v>
      </c>
      <c r="E3675" t="s">
        <v>2215</v>
      </c>
      <c r="F3675">
        <v>33212</v>
      </c>
      <c r="G3675">
        <v>3013.0309999999999</v>
      </c>
      <c r="H3675" s="32">
        <f t="shared" si="57"/>
        <v>11.022787352669123</v>
      </c>
      <c r="I3675">
        <v>1</v>
      </c>
      <c r="J3675" t="s">
        <v>21</v>
      </c>
    </row>
    <row r="3676" spans="1:10" x14ac:dyDescent="0.25">
      <c r="A3676">
        <v>56680</v>
      </c>
      <c r="B3676" t="s">
        <v>2892</v>
      </c>
      <c r="C3676" t="s">
        <v>307</v>
      </c>
      <c r="D3676" t="s">
        <v>2234</v>
      </c>
      <c r="E3676" t="s">
        <v>2215</v>
      </c>
      <c r="F3676">
        <v>9842</v>
      </c>
      <c r="G3676">
        <v>892.03599999999994</v>
      </c>
      <c r="H3676" s="32">
        <f t="shared" si="57"/>
        <v>11.033187001421467</v>
      </c>
      <c r="I3676">
        <v>1</v>
      </c>
      <c r="J3676" t="s">
        <v>21</v>
      </c>
    </row>
    <row r="3677" spans="1:10" x14ac:dyDescent="0.25">
      <c r="A3677">
        <v>3948</v>
      </c>
      <c r="B3677" t="s">
        <v>2116</v>
      </c>
      <c r="C3677" t="s">
        <v>118</v>
      </c>
      <c r="D3677" t="s">
        <v>2218</v>
      </c>
      <c r="E3677" t="s">
        <v>2215</v>
      </c>
      <c r="F3677">
        <v>452086</v>
      </c>
      <c r="G3677">
        <v>40834.358999999997</v>
      </c>
      <c r="H3677" s="32">
        <f t="shared" si="57"/>
        <v>11.071215786685913</v>
      </c>
      <c r="I3677">
        <v>1</v>
      </c>
      <c r="J3677" t="s">
        <v>21</v>
      </c>
    </row>
    <row r="3678" spans="1:10" x14ac:dyDescent="0.25">
      <c r="A3678">
        <v>990</v>
      </c>
      <c r="B3678" t="s">
        <v>2262</v>
      </c>
      <c r="C3678" t="s">
        <v>131</v>
      </c>
      <c r="D3678" t="s">
        <v>2234</v>
      </c>
      <c r="E3678" t="s">
        <v>2215</v>
      </c>
      <c r="F3678">
        <v>776</v>
      </c>
      <c r="G3678">
        <v>70</v>
      </c>
      <c r="H3678" s="32">
        <f t="shared" si="57"/>
        <v>11.085714285714285</v>
      </c>
      <c r="I3678">
        <v>1</v>
      </c>
      <c r="J3678" t="s">
        <v>21</v>
      </c>
    </row>
    <row r="3679" spans="1:10" x14ac:dyDescent="0.25">
      <c r="A3679">
        <v>6113</v>
      </c>
      <c r="B3679" t="s">
        <v>2483</v>
      </c>
      <c r="C3679" t="s">
        <v>131</v>
      </c>
      <c r="D3679" t="s">
        <v>2218</v>
      </c>
      <c r="E3679" t="s">
        <v>2215</v>
      </c>
      <c r="F3679">
        <v>526436</v>
      </c>
      <c r="G3679">
        <v>47428.502999999997</v>
      </c>
      <c r="H3679" s="32">
        <f t="shared" si="57"/>
        <v>11.099570231006448</v>
      </c>
      <c r="I3679">
        <v>1</v>
      </c>
      <c r="J3679" t="s">
        <v>21</v>
      </c>
    </row>
    <row r="3680" spans="1:10" x14ac:dyDescent="0.25">
      <c r="A3680">
        <v>7538</v>
      </c>
      <c r="B3680" t="s">
        <v>2527</v>
      </c>
      <c r="C3680" t="s">
        <v>708</v>
      </c>
      <c r="D3680" t="s">
        <v>2214</v>
      </c>
      <c r="E3680" t="s">
        <v>2215</v>
      </c>
      <c r="F3680">
        <v>693152</v>
      </c>
      <c r="G3680">
        <v>62137.235000000001</v>
      </c>
      <c r="H3680" s="32">
        <f t="shared" si="57"/>
        <v>11.155179338121497</v>
      </c>
      <c r="I3680">
        <v>1</v>
      </c>
      <c r="J3680" t="s">
        <v>21</v>
      </c>
    </row>
    <row r="3681" spans="1:10" x14ac:dyDescent="0.25">
      <c r="A3681">
        <v>7919</v>
      </c>
      <c r="B3681" t="s">
        <v>2561</v>
      </c>
      <c r="C3681" t="s">
        <v>322</v>
      </c>
      <c r="D3681" t="s">
        <v>2234</v>
      </c>
      <c r="E3681" t="s">
        <v>2215</v>
      </c>
      <c r="F3681">
        <v>2904</v>
      </c>
      <c r="G3681">
        <v>260</v>
      </c>
      <c r="H3681" s="32">
        <f t="shared" si="57"/>
        <v>11.169230769230769</v>
      </c>
      <c r="I3681">
        <v>1</v>
      </c>
      <c r="J3681" t="s">
        <v>21</v>
      </c>
    </row>
    <row r="3682" spans="1:10" x14ac:dyDescent="0.25">
      <c r="A3682">
        <v>10693</v>
      </c>
      <c r="B3682" t="s">
        <v>2608</v>
      </c>
      <c r="C3682" t="s">
        <v>307</v>
      </c>
      <c r="D3682" t="s">
        <v>2218</v>
      </c>
      <c r="E3682" t="s">
        <v>2215</v>
      </c>
      <c r="F3682">
        <v>317</v>
      </c>
      <c r="G3682">
        <v>28.379000000000001</v>
      </c>
      <c r="H3682" s="32">
        <f t="shared" si="57"/>
        <v>11.17023150921456</v>
      </c>
      <c r="I3682">
        <v>1</v>
      </c>
      <c r="J3682" t="s">
        <v>21</v>
      </c>
    </row>
    <row r="3683" spans="1:10" x14ac:dyDescent="0.25">
      <c r="A3683">
        <v>6035</v>
      </c>
      <c r="B3683" t="s">
        <v>2477</v>
      </c>
      <c r="C3683" t="s">
        <v>250</v>
      </c>
      <c r="D3683" t="s">
        <v>2218</v>
      </c>
      <c r="E3683" t="s">
        <v>2215</v>
      </c>
      <c r="F3683">
        <v>3734</v>
      </c>
      <c r="G3683">
        <v>333.88799999999998</v>
      </c>
      <c r="H3683" s="32">
        <f t="shared" si="57"/>
        <v>11.183390837646158</v>
      </c>
      <c r="I3683">
        <v>1</v>
      </c>
      <c r="J3683" t="s">
        <v>21</v>
      </c>
    </row>
    <row r="3684" spans="1:10" x14ac:dyDescent="0.25">
      <c r="A3684">
        <v>56683</v>
      </c>
      <c r="B3684" t="s">
        <v>2895</v>
      </c>
      <c r="C3684" t="s">
        <v>201</v>
      </c>
      <c r="D3684" t="s">
        <v>2234</v>
      </c>
      <c r="E3684" t="s">
        <v>2215</v>
      </c>
      <c r="F3684">
        <v>26737</v>
      </c>
      <c r="G3684">
        <v>2390.3090000000002</v>
      </c>
      <c r="H3684" s="32">
        <f t="shared" si="57"/>
        <v>11.185583119169948</v>
      </c>
      <c r="I3684">
        <v>1</v>
      </c>
      <c r="J3684" t="s">
        <v>21</v>
      </c>
    </row>
    <row r="3685" spans="1:10" x14ac:dyDescent="0.25">
      <c r="A3685">
        <v>56116</v>
      </c>
      <c r="B3685" t="s">
        <v>2826</v>
      </c>
      <c r="C3685" t="s">
        <v>166</v>
      </c>
      <c r="D3685" t="s">
        <v>2234</v>
      </c>
      <c r="E3685" t="s">
        <v>2215</v>
      </c>
      <c r="F3685">
        <v>795</v>
      </c>
      <c r="G3685">
        <v>71</v>
      </c>
      <c r="H3685" s="32">
        <f t="shared" si="57"/>
        <v>11.19718309859155</v>
      </c>
      <c r="I3685">
        <v>1</v>
      </c>
      <c r="J3685" t="s">
        <v>21</v>
      </c>
    </row>
    <row r="3686" spans="1:10" x14ac:dyDescent="0.25">
      <c r="A3686">
        <v>960</v>
      </c>
      <c r="B3686" t="s">
        <v>2252</v>
      </c>
      <c r="C3686" t="s">
        <v>166</v>
      </c>
      <c r="D3686" t="s">
        <v>2234</v>
      </c>
      <c r="E3686" t="s">
        <v>2215</v>
      </c>
      <c r="F3686">
        <v>1967</v>
      </c>
      <c r="G3686">
        <v>175.505</v>
      </c>
      <c r="H3686" s="32">
        <f t="shared" si="57"/>
        <v>11.207657901484289</v>
      </c>
      <c r="I3686">
        <v>1</v>
      </c>
      <c r="J3686" t="s">
        <v>21</v>
      </c>
    </row>
    <row r="3687" spans="1:10" x14ac:dyDescent="0.25">
      <c r="A3687">
        <v>972</v>
      </c>
      <c r="B3687" t="s">
        <v>2258</v>
      </c>
      <c r="C3687" t="s">
        <v>166</v>
      </c>
      <c r="D3687" t="s">
        <v>2234</v>
      </c>
      <c r="E3687" t="s">
        <v>2215</v>
      </c>
      <c r="F3687">
        <v>3186</v>
      </c>
      <c r="G3687">
        <v>284</v>
      </c>
      <c r="H3687" s="32">
        <f t="shared" si="57"/>
        <v>11.21830985915493</v>
      </c>
      <c r="I3687">
        <v>1</v>
      </c>
      <c r="J3687" t="s">
        <v>21</v>
      </c>
    </row>
    <row r="3688" spans="1:10" x14ac:dyDescent="0.25">
      <c r="A3688">
        <v>6137</v>
      </c>
      <c r="B3688" t="s">
        <v>2485</v>
      </c>
      <c r="C3688" t="s">
        <v>131</v>
      </c>
      <c r="D3688" t="s">
        <v>2214</v>
      </c>
      <c r="E3688" t="s">
        <v>2215</v>
      </c>
      <c r="F3688">
        <v>2598</v>
      </c>
      <c r="G3688">
        <v>231.51499999999999</v>
      </c>
      <c r="H3688" s="32">
        <f t="shared" si="57"/>
        <v>11.22173509275857</v>
      </c>
      <c r="I3688">
        <v>1</v>
      </c>
      <c r="J3688" t="s">
        <v>21</v>
      </c>
    </row>
    <row r="3689" spans="1:10" x14ac:dyDescent="0.25">
      <c r="A3689">
        <v>7874</v>
      </c>
      <c r="B3689" t="s">
        <v>2557</v>
      </c>
      <c r="C3689" t="s">
        <v>322</v>
      </c>
      <c r="D3689" t="s">
        <v>2234</v>
      </c>
      <c r="E3689" t="s">
        <v>2215</v>
      </c>
      <c r="F3689">
        <v>2044</v>
      </c>
      <c r="G3689">
        <v>182</v>
      </c>
      <c r="H3689" s="32">
        <f t="shared" si="57"/>
        <v>11.23076923076923</v>
      </c>
      <c r="I3689">
        <v>1</v>
      </c>
      <c r="J3689" t="s">
        <v>21</v>
      </c>
    </row>
    <row r="3690" spans="1:10" x14ac:dyDescent="0.25">
      <c r="A3690">
        <v>2876</v>
      </c>
      <c r="B3690" t="s">
        <v>1026</v>
      </c>
      <c r="C3690" t="s">
        <v>322</v>
      </c>
      <c r="D3690" t="s">
        <v>2218</v>
      </c>
      <c r="E3690" t="s">
        <v>2215</v>
      </c>
      <c r="F3690">
        <v>85068</v>
      </c>
      <c r="G3690">
        <v>7568.5339999999997</v>
      </c>
      <c r="H3690" s="32">
        <f t="shared" si="57"/>
        <v>11.239693182325666</v>
      </c>
      <c r="I3690">
        <v>1</v>
      </c>
      <c r="J3690" t="s">
        <v>21</v>
      </c>
    </row>
    <row r="3691" spans="1:10" x14ac:dyDescent="0.25">
      <c r="A3691">
        <v>6017</v>
      </c>
      <c r="B3691" t="s">
        <v>2472</v>
      </c>
      <c r="C3691" t="s">
        <v>166</v>
      </c>
      <c r="D3691" t="s">
        <v>2218</v>
      </c>
      <c r="E3691" t="s">
        <v>2215</v>
      </c>
      <c r="F3691">
        <v>57239</v>
      </c>
      <c r="G3691">
        <v>5085.3339999999998</v>
      </c>
      <c r="H3691" s="32">
        <f t="shared" si="57"/>
        <v>11.255701198780651</v>
      </c>
      <c r="I3691">
        <v>1</v>
      </c>
      <c r="J3691" t="s">
        <v>21</v>
      </c>
    </row>
    <row r="3692" spans="1:10" x14ac:dyDescent="0.25">
      <c r="A3692">
        <v>7213</v>
      </c>
      <c r="B3692" t="s">
        <v>470</v>
      </c>
      <c r="C3692" t="s">
        <v>201</v>
      </c>
      <c r="D3692" t="s">
        <v>2218</v>
      </c>
      <c r="E3692" t="s">
        <v>2215</v>
      </c>
      <c r="F3692">
        <v>47312</v>
      </c>
      <c r="G3692">
        <v>4198.5240000000003</v>
      </c>
      <c r="H3692" s="32">
        <f t="shared" si="57"/>
        <v>11.268722055655749</v>
      </c>
      <c r="I3692">
        <v>1</v>
      </c>
      <c r="J3692" t="s">
        <v>21</v>
      </c>
    </row>
    <row r="3693" spans="1:10" x14ac:dyDescent="0.25">
      <c r="A3693">
        <v>7805</v>
      </c>
      <c r="B3693" t="s">
        <v>2164</v>
      </c>
      <c r="C3693" t="s">
        <v>708</v>
      </c>
      <c r="D3693" t="s">
        <v>2071</v>
      </c>
      <c r="E3693" t="s">
        <v>2215</v>
      </c>
      <c r="F3693">
        <v>41</v>
      </c>
      <c r="G3693">
        <v>3.6360000000000001</v>
      </c>
      <c r="H3693" s="32">
        <f t="shared" si="57"/>
        <v>11.276127612761275</v>
      </c>
      <c r="I3693">
        <v>1</v>
      </c>
      <c r="J3693" t="s">
        <v>21</v>
      </c>
    </row>
    <row r="3694" spans="1:10" x14ac:dyDescent="0.25">
      <c r="A3694">
        <v>990</v>
      </c>
      <c r="B3694" t="s">
        <v>2262</v>
      </c>
      <c r="C3694" t="s">
        <v>131</v>
      </c>
      <c r="D3694" t="s">
        <v>2218</v>
      </c>
      <c r="E3694" t="s">
        <v>2215</v>
      </c>
      <c r="F3694">
        <v>2239</v>
      </c>
      <c r="G3694">
        <v>198.279</v>
      </c>
      <c r="H3694" s="32">
        <f t="shared" si="57"/>
        <v>11.292169115236611</v>
      </c>
      <c r="I3694">
        <v>1</v>
      </c>
      <c r="J3694" t="s">
        <v>21</v>
      </c>
    </row>
    <row r="3695" spans="1:10" x14ac:dyDescent="0.25">
      <c r="A3695">
        <v>7836</v>
      </c>
      <c r="B3695" t="s">
        <v>1140</v>
      </c>
      <c r="C3695" t="s">
        <v>201</v>
      </c>
      <c r="D3695" t="s">
        <v>2214</v>
      </c>
      <c r="E3695" t="s">
        <v>2215</v>
      </c>
      <c r="F3695">
        <v>438399</v>
      </c>
      <c r="G3695">
        <v>38767.362999999998</v>
      </c>
      <c r="H3695" s="32">
        <f t="shared" si="57"/>
        <v>11.30845551708018</v>
      </c>
      <c r="I3695">
        <v>1</v>
      </c>
      <c r="J3695" t="s">
        <v>21</v>
      </c>
    </row>
    <row r="3696" spans="1:10" x14ac:dyDescent="0.25">
      <c r="A3696">
        <v>948</v>
      </c>
      <c r="B3696" t="s">
        <v>2246</v>
      </c>
      <c r="C3696" t="s">
        <v>166</v>
      </c>
      <c r="D3696" t="s">
        <v>2234</v>
      </c>
      <c r="E3696" t="s">
        <v>2215</v>
      </c>
      <c r="F3696">
        <v>475</v>
      </c>
      <c r="G3696">
        <v>42</v>
      </c>
      <c r="H3696" s="32">
        <f t="shared" si="57"/>
        <v>11.30952380952381</v>
      </c>
      <c r="I3696">
        <v>1</v>
      </c>
      <c r="J3696" t="s">
        <v>21</v>
      </c>
    </row>
    <row r="3697" spans="1:10" x14ac:dyDescent="0.25">
      <c r="A3697">
        <v>7780</v>
      </c>
      <c r="B3697" t="s">
        <v>2541</v>
      </c>
      <c r="C3697" t="s">
        <v>322</v>
      </c>
      <c r="D3697" t="s">
        <v>2234</v>
      </c>
      <c r="E3697" t="s">
        <v>2215</v>
      </c>
      <c r="F3697">
        <v>1111</v>
      </c>
      <c r="G3697">
        <v>98</v>
      </c>
      <c r="H3697" s="32">
        <f t="shared" si="57"/>
        <v>11.336734693877551</v>
      </c>
      <c r="I3697">
        <v>1</v>
      </c>
      <c r="J3697" t="s">
        <v>21</v>
      </c>
    </row>
    <row r="3698" spans="1:10" x14ac:dyDescent="0.25">
      <c r="A3698">
        <v>1384</v>
      </c>
      <c r="B3698" t="s">
        <v>511</v>
      </c>
      <c r="C3698" t="s">
        <v>266</v>
      </c>
      <c r="D3698" t="s">
        <v>2218</v>
      </c>
      <c r="E3698" t="s">
        <v>2215</v>
      </c>
      <c r="F3698">
        <v>37933</v>
      </c>
      <c r="G3698">
        <v>3345.652</v>
      </c>
      <c r="H3698" s="32">
        <f t="shared" si="57"/>
        <v>11.337999289824525</v>
      </c>
      <c r="I3698">
        <v>1</v>
      </c>
      <c r="J3698" t="s">
        <v>21</v>
      </c>
    </row>
    <row r="3699" spans="1:10" x14ac:dyDescent="0.25">
      <c r="A3699">
        <v>59845</v>
      </c>
      <c r="B3699" t="s">
        <v>3598</v>
      </c>
      <c r="C3699" t="s">
        <v>201</v>
      </c>
      <c r="D3699" t="s">
        <v>2234</v>
      </c>
      <c r="E3699" t="s">
        <v>2215</v>
      </c>
      <c r="F3699">
        <v>6971</v>
      </c>
      <c r="G3699">
        <v>614.37699999999995</v>
      </c>
      <c r="H3699" s="32">
        <f t="shared" si="57"/>
        <v>11.346453399134409</v>
      </c>
      <c r="I3699">
        <v>1</v>
      </c>
      <c r="J3699" t="s">
        <v>21</v>
      </c>
    </row>
    <row r="3700" spans="1:10" x14ac:dyDescent="0.25">
      <c r="A3700">
        <v>55392</v>
      </c>
      <c r="B3700" t="s">
        <v>1858</v>
      </c>
      <c r="C3700" t="s">
        <v>166</v>
      </c>
      <c r="D3700" t="s">
        <v>2214</v>
      </c>
      <c r="E3700" t="s">
        <v>2215</v>
      </c>
      <c r="F3700">
        <v>40583</v>
      </c>
      <c r="G3700">
        <v>3574.6619999999998</v>
      </c>
      <c r="H3700" s="32">
        <f t="shared" si="57"/>
        <v>11.35296148279194</v>
      </c>
      <c r="I3700">
        <v>1</v>
      </c>
      <c r="J3700" t="s">
        <v>21</v>
      </c>
    </row>
    <row r="3701" spans="1:10" x14ac:dyDescent="0.25">
      <c r="A3701">
        <v>1556</v>
      </c>
      <c r="B3701" t="s">
        <v>1348</v>
      </c>
      <c r="C3701" t="s">
        <v>307</v>
      </c>
      <c r="D3701" t="s">
        <v>2214</v>
      </c>
      <c r="E3701" t="s">
        <v>2215</v>
      </c>
      <c r="F3701">
        <v>452346</v>
      </c>
      <c r="G3701">
        <v>39830.061000000002</v>
      </c>
      <c r="H3701" s="32">
        <f t="shared" si="57"/>
        <v>11.356899503618635</v>
      </c>
      <c r="I3701">
        <v>1</v>
      </c>
      <c r="J3701" t="s">
        <v>21</v>
      </c>
    </row>
    <row r="3702" spans="1:10" x14ac:dyDescent="0.25">
      <c r="A3702">
        <v>935</v>
      </c>
      <c r="B3702" t="s">
        <v>2235</v>
      </c>
      <c r="C3702" t="s">
        <v>166</v>
      </c>
      <c r="D3702" t="s">
        <v>2234</v>
      </c>
      <c r="E3702" t="s">
        <v>2215</v>
      </c>
      <c r="F3702">
        <v>886</v>
      </c>
      <c r="G3702">
        <v>78</v>
      </c>
      <c r="H3702" s="32">
        <f t="shared" si="57"/>
        <v>11.358974358974359</v>
      </c>
      <c r="I3702">
        <v>1</v>
      </c>
      <c r="J3702" t="s">
        <v>21</v>
      </c>
    </row>
    <row r="3703" spans="1:10" x14ac:dyDescent="0.25">
      <c r="A3703">
        <v>58947</v>
      </c>
      <c r="B3703" t="s">
        <v>3340</v>
      </c>
      <c r="C3703" t="s">
        <v>241</v>
      </c>
      <c r="D3703" t="s">
        <v>2214</v>
      </c>
      <c r="E3703" t="s">
        <v>2215</v>
      </c>
      <c r="F3703">
        <v>2822</v>
      </c>
      <c r="G3703">
        <v>248.29300000000001</v>
      </c>
      <c r="H3703" s="32">
        <f t="shared" si="57"/>
        <v>11.365604346477749</v>
      </c>
      <c r="I3703">
        <v>1</v>
      </c>
      <c r="J3703" t="s">
        <v>21</v>
      </c>
    </row>
    <row r="3704" spans="1:10" x14ac:dyDescent="0.25">
      <c r="A3704">
        <v>63483</v>
      </c>
      <c r="B3704" t="s">
        <v>4360</v>
      </c>
      <c r="C3704" t="s">
        <v>241</v>
      </c>
      <c r="D3704" t="s">
        <v>2214</v>
      </c>
      <c r="E3704" t="s">
        <v>2215</v>
      </c>
      <c r="F3704">
        <v>6982</v>
      </c>
      <c r="G3704">
        <v>613.87599999999998</v>
      </c>
      <c r="H3704" s="32">
        <f t="shared" si="57"/>
        <v>11.373632459975632</v>
      </c>
      <c r="I3704">
        <v>1</v>
      </c>
      <c r="J3704" t="s">
        <v>21</v>
      </c>
    </row>
    <row r="3705" spans="1:10" x14ac:dyDescent="0.25">
      <c r="A3705">
        <v>56181</v>
      </c>
      <c r="B3705" t="s">
        <v>1992</v>
      </c>
      <c r="C3705" t="s">
        <v>322</v>
      </c>
      <c r="D3705" t="s">
        <v>2234</v>
      </c>
      <c r="E3705" t="s">
        <v>2215</v>
      </c>
      <c r="F3705">
        <v>2719</v>
      </c>
      <c r="G3705">
        <v>239</v>
      </c>
      <c r="H3705" s="32">
        <f t="shared" si="57"/>
        <v>11.376569037656903</v>
      </c>
      <c r="I3705">
        <v>1</v>
      </c>
      <c r="J3705" t="s">
        <v>21</v>
      </c>
    </row>
    <row r="3706" spans="1:10" x14ac:dyDescent="0.25">
      <c r="A3706">
        <v>6018</v>
      </c>
      <c r="B3706" t="s">
        <v>636</v>
      </c>
      <c r="C3706" t="s">
        <v>266</v>
      </c>
      <c r="D3706" t="s">
        <v>2218</v>
      </c>
      <c r="E3706" t="s">
        <v>2215</v>
      </c>
      <c r="F3706">
        <v>162263</v>
      </c>
      <c r="G3706">
        <v>14261.813</v>
      </c>
      <c r="H3706" s="32">
        <f t="shared" si="57"/>
        <v>11.377445490275324</v>
      </c>
      <c r="I3706">
        <v>1</v>
      </c>
      <c r="J3706" t="s">
        <v>21</v>
      </c>
    </row>
    <row r="3707" spans="1:10" x14ac:dyDescent="0.25">
      <c r="A3707">
        <v>57349</v>
      </c>
      <c r="B3707" t="s">
        <v>792</v>
      </c>
      <c r="C3707" t="s">
        <v>672</v>
      </c>
      <c r="D3707" t="s">
        <v>2071</v>
      </c>
      <c r="E3707" t="s">
        <v>2215</v>
      </c>
      <c r="F3707">
        <v>137552</v>
      </c>
      <c r="G3707">
        <v>12086.844999999999</v>
      </c>
      <c r="H3707" s="32">
        <f t="shared" si="57"/>
        <v>11.380306440597195</v>
      </c>
      <c r="I3707">
        <v>1</v>
      </c>
      <c r="J3707" t="s">
        <v>21</v>
      </c>
    </row>
    <row r="3708" spans="1:10" x14ac:dyDescent="0.25">
      <c r="A3708">
        <v>3131</v>
      </c>
      <c r="B3708" t="s">
        <v>1564</v>
      </c>
      <c r="C3708" t="s">
        <v>143</v>
      </c>
      <c r="D3708" t="s">
        <v>2234</v>
      </c>
      <c r="E3708" t="s">
        <v>2215</v>
      </c>
      <c r="F3708">
        <v>3689</v>
      </c>
      <c r="G3708">
        <v>322</v>
      </c>
      <c r="H3708" s="32">
        <f t="shared" si="57"/>
        <v>11.456521739130435</v>
      </c>
      <c r="I3708">
        <v>1</v>
      </c>
      <c r="J3708" t="s">
        <v>21</v>
      </c>
    </row>
    <row r="3709" spans="1:10" x14ac:dyDescent="0.25">
      <c r="A3709">
        <v>7775</v>
      </c>
      <c r="B3709" t="s">
        <v>2536</v>
      </c>
      <c r="C3709" t="s">
        <v>322</v>
      </c>
      <c r="D3709" t="s">
        <v>2234</v>
      </c>
      <c r="E3709" t="s">
        <v>2215</v>
      </c>
      <c r="F3709">
        <v>3300</v>
      </c>
      <c r="G3709">
        <v>288</v>
      </c>
      <c r="H3709" s="32">
        <f t="shared" si="57"/>
        <v>11.458333333333334</v>
      </c>
      <c r="I3709">
        <v>1</v>
      </c>
      <c r="J3709" t="s">
        <v>21</v>
      </c>
    </row>
    <row r="3710" spans="1:10" x14ac:dyDescent="0.25">
      <c r="A3710">
        <v>2706</v>
      </c>
      <c r="B3710" t="s">
        <v>2358</v>
      </c>
      <c r="C3710" t="s">
        <v>708</v>
      </c>
      <c r="D3710" t="s">
        <v>2214</v>
      </c>
      <c r="E3710" t="s">
        <v>2215</v>
      </c>
      <c r="F3710">
        <v>285690</v>
      </c>
      <c r="G3710">
        <v>24870.405999999999</v>
      </c>
      <c r="H3710" s="32">
        <f t="shared" si="57"/>
        <v>11.487146611116843</v>
      </c>
      <c r="I3710">
        <v>1</v>
      </c>
      <c r="J3710" t="s">
        <v>21</v>
      </c>
    </row>
    <row r="3711" spans="1:10" x14ac:dyDescent="0.25">
      <c r="A3711">
        <v>3130</v>
      </c>
      <c r="B3711" t="s">
        <v>1555</v>
      </c>
      <c r="C3711" t="s">
        <v>143</v>
      </c>
      <c r="D3711" t="s">
        <v>2218</v>
      </c>
      <c r="E3711" t="s">
        <v>2215</v>
      </c>
      <c r="F3711">
        <v>88199</v>
      </c>
      <c r="G3711">
        <v>7677.0460000000003</v>
      </c>
      <c r="H3711" s="32">
        <f t="shared" si="57"/>
        <v>11.488663738630718</v>
      </c>
      <c r="I3711">
        <v>1</v>
      </c>
      <c r="J3711" t="s">
        <v>21</v>
      </c>
    </row>
    <row r="3712" spans="1:10" x14ac:dyDescent="0.25">
      <c r="A3712">
        <v>57356</v>
      </c>
      <c r="B3712" t="s">
        <v>2973</v>
      </c>
      <c r="C3712" t="s">
        <v>201</v>
      </c>
      <c r="D3712" t="s">
        <v>2234</v>
      </c>
      <c r="E3712" t="s">
        <v>2215</v>
      </c>
      <c r="F3712">
        <v>1810</v>
      </c>
      <c r="G3712">
        <v>156.57900000000001</v>
      </c>
      <c r="H3712" s="32">
        <f t="shared" si="57"/>
        <v>11.559659979946225</v>
      </c>
      <c r="I3712">
        <v>1</v>
      </c>
      <c r="J3712" t="s">
        <v>21</v>
      </c>
    </row>
    <row r="3713" spans="1:10" x14ac:dyDescent="0.25">
      <c r="A3713">
        <v>57630</v>
      </c>
      <c r="B3713" t="s">
        <v>2136</v>
      </c>
      <c r="C3713" t="s">
        <v>708</v>
      </c>
      <c r="D3713" t="s">
        <v>2234</v>
      </c>
      <c r="E3713" t="s">
        <v>2215</v>
      </c>
      <c r="F3713">
        <v>4721</v>
      </c>
      <c r="G3713">
        <v>408</v>
      </c>
      <c r="H3713" s="32">
        <f t="shared" si="57"/>
        <v>11.571078431372548</v>
      </c>
      <c r="I3713">
        <v>1</v>
      </c>
      <c r="J3713" t="s">
        <v>21</v>
      </c>
    </row>
    <row r="3714" spans="1:10" x14ac:dyDescent="0.25">
      <c r="A3714">
        <v>994</v>
      </c>
      <c r="B3714" t="s">
        <v>2264</v>
      </c>
      <c r="C3714" t="s">
        <v>131</v>
      </c>
      <c r="D3714" t="s">
        <v>2234</v>
      </c>
      <c r="E3714" t="s">
        <v>2215</v>
      </c>
      <c r="F3714">
        <v>81</v>
      </c>
      <c r="G3714">
        <v>7</v>
      </c>
      <c r="H3714" s="32">
        <f t="shared" ref="H3714:H3777" si="58">IF(AND(F3714&gt;0,G3714&gt;0),F3714/G3714,"")</f>
        <v>11.571428571428571</v>
      </c>
      <c r="I3714">
        <v>1</v>
      </c>
      <c r="J3714" t="s">
        <v>21</v>
      </c>
    </row>
    <row r="3715" spans="1:10" x14ac:dyDescent="0.25">
      <c r="A3715">
        <v>2937</v>
      </c>
      <c r="B3715" t="s">
        <v>2395</v>
      </c>
      <c r="C3715" t="s">
        <v>322</v>
      </c>
      <c r="D3715" t="s">
        <v>2214</v>
      </c>
      <c r="E3715" t="s">
        <v>2215</v>
      </c>
      <c r="F3715">
        <v>6125</v>
      </c>
      <c r="G3715">
        <v>529</v>
      </c>
      <c r="H3715" s="32">
        <f t="shared" si="58"/>
        <v>11.578449905482042</v>
      </c>
      <c r="I3715">
        <v>1</v>
      </c>
      <c r="J3715" t="s">
        <v>21</v>
      </c>
    </row>
    <row r="3716" spans="1:10" x14ac:dyDescent="0.25">
      <c r="A3716">
        <v>52087</v>
      </c>
      <c r="B3716" t="s">
        <v>685</v>
      </c>
      <c r="C3716" t="s">
        <v>201</v>
      </c>
      <c r="D3716" t="s">
        <v>2214</v>
      </c>
      <c r="E3716" t="s">
        <v>2215</v>
      </c>
      <c r="F3716">
        <v>765006</v>
      </c>
      <c r="G3716">
        <v>66004.010999999999</v>
      </c>
      <c r="H3716" s="32">
        <f t="shared" si="58"/>
        <v>11.590295626124904</v>
      </c>
      <c r="I3716">
        <v>1</v>
      </c>
      <c r="J3716" t="s">
        <v>21</v>
      </c>
    </row>
    <row r="3717" spans="1:10" x14ac:dyDescent="0.25">
      <c r="A3717">
        <v>63501</v>
      </c>
      <c r="B3717" t="s">
        <v>4363</v>
      </c>
      <c r="C3717" t="s">
        <v>241</v>
      </c>
      <c r="D3717" t="s">
        <v>2214</v>
      </c>
      <c r="E3717" t="s">
        <v>2215</v>
      </c>
      <c r="F3717">
        <v>3729</v>
      </c>
      <c r="G3717">
        <v>321.37799999999999</v>
      </c>
      <c r="H3717" s="32">
        <f t="shared" si="58"/>
        <v>11.603158896999796</v>
      </c>
      <c r="I3717">
        <v>1</v>
      </c>
      <c r="J3717" t="s">
        <v>21</v>
      </c>
    </row>
    <row r="3718" spans="1:10" x14ac:dyDescent="0.25">
      <c r="A3718">
        <v>63347</v>
      </c>
      <c r="B3718" t="s">
        <v>4332</v>
      </c>
      <c r="C3718" t="s">
        <v>3055</v>
      </c>
      <c r="D3718" t="s">
        <v>2214</v>
      </c>
      <c r="E3718" t="s">
        <v>2215</v>
      </c>
      <c r="F3718">
        <v>8962</v>
      </c>
      <c r="G3718">
        <v>772.22299999999996</v>
      </c>
      <c r="H3718" s="32">
        <f t="shared" si="58"/>
        <v>11.605455936950856</v>
      </c>
      <c r="I3718">
        <v>1</v>
      </c>
      <c r="J3718" t="s">
        <v>21</v>
      </c>
    </row>
    <row r="3719" spans="1:10" x14ac:dyDescent="0.25">
      <c r="A3719">
        <v>7872</v>
      </c>
      <c r="B3719" t="s">
        <v>1443</v>
      </c>
      <c r="C3719" t="s">
        <v>322</v>
      </c>
      <c r="D3719" t="s">
        <v>2214</v>
      </c>
      <c r="E3719" t="s">
        <v>2215</v>
      </c>
      <c r="F3719">
        <v>75133</v>
      </c>
      <c r="G3719">
        <v>6462.8689999999997</v>
      </c>
      <c r="H3719" s="32">
        <f t="shared" si="58"/>
        <v>11.625332340791683</v>
      </c>
      <c r="I3719">
        <v>1</v>
      </c>
      <c r="J3719" t="s">
        <v>21</v>
      </c>
    </row>
    <row r="3720" spans="1:10" x14ac:dyDescent="0.25">
      <c r="A3720">
        <v>1376</v>
      </c>
      <c r="B3720" t="s">
        <v>2282</v>
      </c>
      <c r="C3720" t="s">
        <v>266</v>
      </c>
      <c r="D3720" t="s">
        <v>2234</v>
      </c>
      <c r="E3720" t="s">
        <v>2215</v>
      </c>
      <c r="F3720">
        <v>4317</v>
      </c>
      <c r="G3720">
        <v>370.44</v>
      </c>
      <c r="H3720" s="32">
        <f t="shared" si="58"/>
        <v>11.653709102688694</v>
      </c>
      <c r="I3720">
        <v>1</v>
      </c>
      <c r="J3720" t="s">
        <v>21</v>
      </c>
    </row>
    <row r="3721" spans="1:10" x14ac:dyDescent="0.25">
      <c r="A3721">
        <v>55164</v>
      </c>
      <c r="B3721" t="s">
        <v>296</v>
      </c>
      <c r="C3721" t="s">
        <v>266</v>
      </c>
      <c r="D3721" t="s">
        <v>2214</v>
      </c>
      <c r="E3721" t="s">
        <v>2215</v>
      </c>
      <c r="F3721">
        <v>18265</v>
      </c>
      <c r="G3721">
        <v>1567.029</v>
      </c>
      <c r="H3721" s="32">
        <f t="shared" si="58"/>
        <v>11.655814921102289</v>
      </c>
      <c r="I3721">
        <v>1</v>
      </c>
      <c r="J3721" t="s">
        <v>21</v>
      </c>
    </row>
    <row r="3722" spans="1:10" x14ac:dyDescent="0.25">
      <c r="A3722">
        <v>7779</v>
      </c>
      <c r="B3722" t="s">
        <v>2540</v>
      </c>
      <c r="C3722" t="s">
        <v>322</v>
      </c>
      <c r="D3722" t="s">
        <v>2234</v>
      </c>
      <c r="E3722" t="s">
        <v>2215</v>
      </c>
      <c r="F3722">
        <v>6960</v>
      </c>
      <c r="G3722">
        <v>597</v>
      </c>
      <c r="H3722" s="32">
        <f t="shared" si="58"/>
        <v>11.658291457286433</v>
      </c>
      <c r="I3722">
        <v>1</v>
      </c>
      <c r="J3722" t="s">
        <v>21</v>
      </c>
    </row>
    <row r="3723" spans="1:10" x14ac:dyDescent="0.25">
      <c r="A3723">
        <v>7827</v>
      </c>
      <c r="B3723" t="s">
        <v>2553</v>
      </c>
      <c r="C3723" t="s">
        <v>322</v>
      </c>
      <c r="D3723" t="s">
        <v>2234</v>
      </c>
      <c r="E3723" t="s">
        <v>2215</v>
      </c>
      <c r="F3723">
        <v>770</v>
      </c>
      <c r="G3723">
        <v>66</v>
      </c>
      <c r="H3723" s="32">
        <f t="shared" si="58"/>
        <v>11.666666666666666</v>
      </c>
      <c r="I3723">
        <v>1</v>
      </c>
      <c r="J3723" t="s">
        <v>21</v>
      </c>
    </row>
    <row r="3724" spans="1:10" x14ac:dyDescent="0.25">
      <c r="A3724">
        <v>52019</v>
      </c>
      <c r="B3724" t="s">
        <v>2681</v>
      </c>
      <c r="C3724" t="s">
        <v>201</v>
      </c>
      <c r="D3724" t="s">
        <v>2214</v>
      </c>
      <c r="E3724" t="s">
        <v>2215</v>
      </c>
      <c r="F3724">
        <v>185182</v>
      </c>
      <c r="G3724">
        <v>15862.312</v>
      </c>
      <c r="H3724" s="32">
        <f t="shared" si="58"/>
        <v>11.674338520135022</v>
      </c>
      <c r="I3724">
        <v>1</v>
      </c>
      <c r="J3724" t="s">
        <v>21</v>
      </c>
    </row>
    <row r="3725" spans="1:10" x14ac:dyDescent="0.25">
      <c r="A3725">
        <v>7791</v>
      </c>
      <c r="B3725" t="s">
        <v>2544</v>
      </c>
      <c r="C3725" t="s">
        <v>322</v>
      </c>
      <c r="D3725" t="s">
        <v>2234</v>
      </c>
      <c r="E3725" t="s">
        <v>2215</v>
      </c>
      <c r="F3725">
        <v>5471</v>
      </c>
      <c r="G3725">
        <v>466</v>
      </c>
      <c r="H3725" s="32">
        <f t="shared" si="58"/>
        <v>11.740343347639485</v>
      </c>
      <c r="I3725">
        <v>1</v>
      </c>
      <c r="J3725" t="s">
        <v>21</v>
      </c>
    </row>
    <row r="3726" spans="1:10" x14ac:dyDescent="0.25">
      <c r="A3726">
        <v>50555</v>
      </c>
      <c r="B3726" t="s">
        <v>2651</v>
      </c>
      <c r="C3726" t="s">
        <v>708</v>
      </c>
      <c r="D3726" t="s">
        <v>2071</v>
      </c>
      <c r="E3726" t="s">
        <v>2215</v>
      </c>
      <c r="F3726">
        <v>257863</v>
      </c>
      <c r="G3726">
        <v>21859</v>
      </c>
      <c r="H3726" s="32">
        <f t="shared" si="58"/>
        <v>11.796651264925202</v>
      </c>
      <c r="I3726">
        <v>1</v>
      </c>
      <c r="J3726" t="s">
        <v>21</v>
      </c>
    </row>
    <row r="3727" spans="1:10" x14ac:dyDescent="0.25">
      <c r="A3727">
        <v>3138</v>
      </c>
      <c r="B3727" t="s">
        <v>1262</v>
      </c>
      <c r="C3727" t="s">
        <v>143</v>
      </c>
      <c r="D3727" t="s">
        <v>2234</v>
      </c>
      <c r="E3727" t="s">
        <v>2215</v>
      </c>
      <c r="F3727">
        <v>732</v>
      </c>
      <c r="G3727">
        <v>62</v>
      </c>
      <c r="H3727" s="32">
        <f t="shared" si="58"/>
        <v>11.806451612903226</v>
      </c>
      <c r="I3727">
        <v>1</v>
      </c>
      <c r="J3727" t="s">
        <v>21</v>
      </c>
    </row>
    <row r="3728" spans="1:10" x14ac:dyDescent="0.25">
      <c r="A3728">
        <v>55439</v>
      </c>
      <c r="B3728" t="s">
        <v>2795</v>
      </c>
      <c r="C3728" t="s">
        <v>201</v>
      </c>
      <c r="D3728" t="s">
        <v>2071</v>
      </c>
      <c r="E3728" t="s">
        <v>2215</v>
      </c>
      <c r="F3728">
        <v>103242</v>
      </c>
      <c r="G3728">
        <v>8744.1830000000009</v>
      </c>
      <c r="H3728" s="32">
        <f t="shared" si="58"/>
        <v>11.806934964650212</v>
      </c>
      <c r="I3728">
        <v>1</v>
      </c>
      <c r="J3728" t="s">
        <v>21</v>
      </c>
    </row>
    <row r="3729" spans="1:10" x14ac:dyDescent="0.25">
      <c r="A3729">
        <v>7818</v>
      </c>
      <c r="B3729" t="s">
        <v>2549</v>
      </c>
      <c r="C3729" t="s">
        <v>166</v>
      </c>
      <c r="D3729" t="s">
        <v>2214</v>
      </c>
      <c r="E3729" t="s">
        <v>2215</v>
      </c>
      <c r="F3729">
        <v>778</v>
      </c>
      <c r="G3729">
        <v>65.879000000000005</v>
      </c>
      <c r="H3729" s="32">
        <f t="shared" si="58"/>
        <v>11.809529592131026</v>
      </c>
      <c r="I3729">
        <v>1</v>
      </c>
      <c r="J3729" t="s">
        <v>21</v>
      </c>
    </row>
    <row r="3730" spans="1:10" x14ac:dyDescent="0.25">
      <c r="A3730">
        <v>6823</v>
      </c>
      <c r="B3730" t="s">
        <v>2510</v>
      </c>
      <c r="C3730" t="s">
        <v>266</v>
      </c>
      <c r="D3730" t="s">
        <v>2218</v>
      </c>
      <c r="E3730" t="s">
        <v>2215</v>
      </c>
      <c r="F3730">
        <v>181947</v>
      </c>
      <c r="G3730">
        <v>15352.157999999999</v>
      </c>
      <c r="H3730" s="32">
        <f t="shared" si="58"/>
        <v>11.851558588701341</v>
      </c>
      <c r="I3730">
        <v>1</v>
      </c>
      <c r="J3730" t="s">
        <v>21</v>
      </c>
    </row>
    <row r="3731" spans="1:10" x14ac:dyDescent="0.25">
      <c r="A3731">
        <v>1355</v>
      </c>
      <c r="B3731" t="s">
        <v>2276</v>
      </c>
      <c r="C3731" t="s">
        <v>266</v>
      </c>
      <c r="D3731" t="s">
        <v>2218</v>
      </c>
      <c r="E3731" t="s">
        <v>2215</v>
      </c>
      <c r="F3731">
        <v>16611</v>
      </c>
      <c r="G3731">
        <v>1400.079</v>
      </c>
      <c r="H3731" s="32">
        <f t="shared" si="58"/>
        <v>11.864330512778208</v>
      </c>
      <c r="I3731">
        <v>1</v>
      </c>
      <c r="J3731" t="s">
        <v>21</v>
      </c>
    </row>
    <row r="3732" spans="1:10" x14ac:dyDescent="0.25">
      <c r="A3732">
        <v>56342</v>
      </c>
      <c r="B3732" t="s">
        <v>2851</v>
      </c>
      <c r="C3732" t="s">
        <v>708</v>
      </c>
      <c r="D3732" t="s">
        <v>2234</v>
      </c>
      <c r="E3732" t="s">
        <v>2215</v>
      </c>
      <c r="F3732">
        <v>1829</v>
      </c>
      <c r="G3732">
        <v>154</v>
      </c>
      <c r="H3732" s="32">
        <f t="shared" si="58"/>
        <v>11.876623376623376</v>
      </c>
      <c r="I3732">
        <v>1</v>
      </c>
      <c r="J3732" t="s">
        <v>21</v>
      </c>
    </row>
    <row r="3733" spans="1:10" x14ac:dyDescent="0.25">
      <c r="A3733">
        <v>7268</v>
      </c>
      <c r="B3733" t="s">
        <v>2515</v>
      </c>
      <c r="C3733" t="s">
        <v>250</v>
      </c>
      <c r="D3733" t="s">
        <v>2214</v>
      </c>
      <c r="E3733" t="s">
        <v>2215</v>
      </c>
      <c r="F3733">
        <v>571</v>
      </c>
      <c r="G3733">
        <v>48.064999999999998</v>
      </c>
      <c r="H3733" s="32">
        <f t="shared" si="58"/>
        <v>11.87974617705191</v>
      </c>
      <c r="I3733">
        <v>1</v>
      </c>
      <c r="J3733" t="s">
        <v>21</v>
      </c>
    </row>
    <row r="3734" spans="1:10" x14ac:dyDescent="0.25">
      <c r="A3734">
        <v>7845</v>
      </c>
      <c r="B3734" t="s">
        <v>2028</v>
      </c>
      <c r="C3734" t="s">
        <v>2029</v>
      </c>
      <c r="D3734" t="s">
        <v>2214</v>
      </c>
      <c r="E3734" t="s">
        <v>2215</v>
      </c>
      <c r="F3734">
        <v>380</v>
      </c>
      <c r="G3734">
        <v>31.936</v>
      </c>
      <c r="H3734" s="32">
        <f t="shared" si="58"/>
        <v>11.898797595190381</v>
      </c>
      <c r="I3734">
        <v>1</v>
      </c>
      <c r="J3734" t="s">
        <v>21</v>
      </c>
    </row>
    <row r="3735" spans="1:10" x14ac:dyDescent="0.25">
      <c r="A3735">
        <v>50094</v>
      </c>
      <c r="B3735" t="s">
        <v>2622</v>
      </c>
      <c r="C3735" t="s">
        <v>241</v>
      </c>
      <c r="D3735" t="s">
        <v>2234</v>
      </c>
      <c r="E3735" t="s">
        <v>2215</v>
      </c>
      <c r="F3735">
        <v>83</v>
      </c>
      <c r="G3735">
        <v>6.968</v>
      </c>
      <c r="H3735" s="32">
        <f t="shared" si="58"/>
        <v>11.911595866819747</v>
      </c>
      <c r="I3735">
        <v>1</v>
      </c>
      <c r="J3735" t="s">
        <v>21</v>
      </c>
    </row>
    <row r="3736" spans="1:10" x14ac:dyDescent="0.25">
      <c r="A3736">
        <v>1868</v>
      </c>
      <c r="B3736" t="s">
        <v>2350</v>
      </c>
      <c r="C3736" t="s">
        <v>250</v>
      </c>
      <c r="D3736" t="s">
        <v>2234</v>
      </c>
      <c r="E3736" t="s">
        <v>2215</v>
      </c>
      <c r="F3736">
        <v>34063</v>
      </c>
      <c r="G3736">
        <v>2858</v>
      </c>
      <c r="H3736" s="32">
        <f t="shared" si="58"/>
        <v>11.9184744576627</v>
      </c>
      <c r="I3736">
        <v>1</v>
      </c>
      <c r="J3736" t="s">
        <v>21</v>
      </c>
    </row>
    <row r="3737" spans="1:10" x14ac:dyDescent="0.25">
      <c r="A3737">
        <v>52019</v>
      </c>
      <c r="B3737" t="s">
        <v>2681</v>
      </c>
      <c r="C3737" t="s">
        <v>201</v>
      </c>
      <c r="D3737" t="s">
        <v>2071</v>
      </c>
      <c r="E3737" t="s">
        <v>2215</v>
      </c>
      <c r="F3737">
        <v>315801</v>
      </c>
      <c r="G3737">
        <v>26491.982</v>
      </c>
      <c r="H3737" s="32">
        <f t="shared" si="58"/>
        <v>11.920625644393084</v>
      </c>
      <c r="I3737">
        <v>1</v>
      </c>
      <c r="J3737" t="s">
        <v>21</v>
      </c>
    </row>
    <row r="3738" spans="1:10" x14ac:dyDescent="0.25">
      <c r="A3738">
        <v>61675</v>
      </c>
      <c r="B3738" t="s">
        <v>4047</v>
      </c>
      <c r="C3738" t="s">
        <v>708</v>
      </c>
      <c r="D3738" t="s">
        <v>2214</v>
      </c>
      <c r="E3738" t="s">
        <v>2215</v>
      </c>
      <c r="F3738">
        <v>14620</v>
      </c>
      <c r="G3738">
        <v>1225.6590000000001</v>
      </c>
      <c r="H3738" s="32">
        <f t="shared" si="58"/>
        <v>11.928276951419603</v>
      </c>
      <c r="I3738">
        <v>1</v>
      </c>
      <c r="J3738" t="s">
        <v>21</v>
      </c>
    </row>
    <row r="3739" spans="1:10" x14ac:dyDescent="0.25">
      <c r="A3739">
        <v>56339</v>
      </c>
      <c r="B3739" t="s">
        <v>2848</v>
      </c>
      <c r="C3739" t="s">
        <v>708</v>
      </c>
      <c r="D3739" t="s">
        <v>2234</v>
      </c>
      <c r="E3739" t="s">
        <v>2215</v>
      </c>
      <c r="F3739">
        <v>1959</v>
      </c>
      <c r="G3739">
        <v>164</v>
      </c>
      <c r="H3739" s="32">
        <f t="shared" si="58"/>
        <v>11.945121951219512</v>
      </c>
      <c r="I3739">
        <v>1</v>
      </c>
      <c r="J3739" t="s">
        <v>21</v>
      </c>
    </row>
    <row r="3740" spans="1:10" x14ac:dyDescent="0.25">
      <c r="A3740">
        <v>10633</v>
      </c>
      <c r="B3740" t="s">
        <v>2078</v>
      </c>
      <c r="C3740" t="s">
        <v>201</v>
      </c>
      <c r="D3740" t="s">
        <v>2071</v>
      </c>
      <c r="E3740" t="s">
        <v>2215</v>
      </c>
      <c r="F3740">
        <v>173295</v>
      </c>
      <c r="G3740">
        <v>14503.828</v>
      </c>
      <c r="H3740" s="32">
        <f t="shared" si="58"/>
        <v>11.948224978950385</v>
      </c>
      <c r="I3740">
        <v>1</v>
      </c>
      <c r="J3740" t="s">
        <v>21</v>
      </c>
    </row>
    <row r="3741" spans="1:10" x14ac:dyDescent="0.25">
      <c r="A3741">
        <v>56249</v>
      </c>
      <c r="B3741" t="s">
        <v>2833</v>
      </c>
      <c r="C3741" t="s">
        <v>708</v>
      </c>
      <c r="D3741" t="s">
        <v>2214</v>
      </c>
      <c r="E3741" t="s">
        <v>2215</v>
      </c>
      <c r="F3741">
        <v>14194</v>
      </c>
      <c r="G3741">
        <v>1186.751</v>
      </c>
      <c r="H3741" s="32">
        <f t="shared" si="58"/>
        <v>11.96038596133477</v>
      </c>
      <c r="I3741">
        <v>1</v>
      </c>
      <c r="J3741" t="s">
        <v>21</v>
      </c>
    </row>
    <row r="3742" spans="1:10" x14ac:dyDescent="0.25">
      <c r="A3742">
        <v>1564</v>
      </c>
      <c r="B3742" t="s">
        <v>1733</v>
      </c>
      <c r="C3742" t="s">
        <v>307</v>
      </c>
      <c r="D3742" t="s">
        <v>2214</v>
      </c>
      <c r="E3742" t="s">
        <v>2215</v>
      </c>
      <c r="F3742">
        <v>15788</v>
      </c>
      <c r="G3742">
        <v>1318</v>
      </c>
      <c r="H3742" s="32">
        <f t="shared" si="58"/>
        <v>11.97875569044006</v>
      </c>
      <c r="I3742">
        <v>1</v>
      </c>
      <c r="J3742" t="s">
        <v>21</v>
      </c>
    </row>
    <row r="3743" spans="1:10" x14ac:dyDescent="0.25">
      <c r="A3743">
        <v>10870</v>
      </c>
      <c r="B3743" t="s">
        <v>915</v>
      </c>
      <c r="C3743" t="s">
        <v>143</v>
      </c>
      <c r="D3743" t="s">
        <v>2214</v>
      </c>
      <c r="E3743" t="s">
        <v>2215</v>
      </c>
      <c r="F3743">
        <v>10070</v>
      </c>
      <c r="G3743">
        <v>838.04300000000001</v>
      </c>
      <c r="H3743" s="32">
        <f t="shared" si="58"/>
        <v>12.016089866510429</v>
      </c>
      <c r="I3743">
        <v>1</v>
      </c>
      <c r="J3743" t="s">
        <v>21</v>
      </c>
    </row>
    <row r="3744" spans="1:10" x14ac:dyDescent="0.25">
      <c r="A3744">
        <v>55953</v>
      </c>
      <c r="B3744" t="s">
        <v>2814</v>
      </c>
      <c r="C3744" t="s">
        <v>201</v>
      </c>
      <c r="D3744" t="s">
        <v>2234</v>
      </c>
      <c r="E3744" t="s">
        <v>2215</v>
      </c>
      <c r="F3744">
        <v>2609</v>
      </c>
      <c r="G3744">
        <v>217</v>
      </c>
      <c r="H3744" s="32">
        <f t="shared" si="58"/>
        <v>12.023041474654377</v>
      </c>
      <c r="I3744">
        <v>1</v>
      </c>
      <c r="J3744" t="s">
        <v>21</v>
      </c>
    </row>
    <row r="3745" spans="1:10" x14ac:dyDescent="0.25">
      <c r="A3745">
        <v>61676</v>
      </c>
      <c r="B3745" t="s">
        <v>4048</v>
      </c>
      <c r="C3745" t="s">
        <v>708</v>
      </c>
      <c r="D3745" t="s">
        <v>2214</v>
      </c>
      <c r="E3745" t="s">
        <v>2215</v>
      </c>
      <c r="F3745">
        <v>43754</v>
      </c>
      <c r="G3745">
        <v>3630.4479999999999</v>
      </c>
      <c r="H3745" s="32">
        <f t="shared" si="58"/>
        <v>12.051956122219627</v>
      </c>
      <c r="I3745">
        <v>1</v>
      </c>
      <c r="J3745" t="s">
        <v>21</v>
      </c>
    </row>
    <row r="3746" spans="1:10" x14ac:dyDescent="0.25">
      <c r="A3746">
        <v>58207</v>
      </c>
      <c r="B3746" t="s">
        <v>2146</v>
      </c>
      <c r="C3746" t="s">
        <v>307</v>
      </c>
      <c r="D3746" t="s">
        <v>2071</v>
      </c>
      <c r="E3746" t="s">
        <v>2215</v>
      </c>
      <c r="F3746">
        <v>4153</v>
      </c>
      <c r="G3746">
        <v>342.41500000000002</v>
      </c>
      <c r="H3746" s="32">
        <f t="shared" si="58"/>
        <v>12.128557452214418</v>
      </c>
      <c r="I3746">
        <v>1</v>
      </c>
      <c r="J3746" t="s">
        <v>21</v>
      </c>
    </row>
    <row r="3747" spans="1:10" x14ac:dyDescent="0.25">
      <c r="A3747">
        <v>57629</v>
      </c>
      <c r="B3747" t="s">
        <v>3023</v>
      </c>
      <c r="C3747" t="s">
        <v>708</v>
      </c>
      <c r="D3747" t="s">
        <v>2234</v>
      </c>
      <c r="E3747" t="s">
        <v>2215</v>
      </c>
      <c r="F3747">
        <v>267</v>
      </c>
      <c r="G3747">
        <v>22</v>
      </c>
      <c r="H3747" s="32">
        <f t="shared" si="58"/>
        <v>12.136363636363637</v>
      </c>
      <c r="I3747">
        <v>1</v>
      </c>
      <c r="J3747" t="s">
        <v>21</v>
      </c>
    </row>
    <row r="3748" spans="1:10" x14ac:dyDescent="0.25">
      <c r="A3748">
        <v>56341</v>
      </c>
      <c r="B3748" t="s">
        <v>2850</v>
      </c>
      <c r="C3748" t="s">
        <v>708</v>
      </c>
      <c r="D3748" t="s">
        <v>2234</v>
      </c>
      <c r="E3748" t="s">
        <v>2215</v>
      </c>
      <c r="F3748">
        <v>1797</v>
      </c>
      <c r="G3748">
        <v>148</v>
      </c>
      <c r="H3748" s="32">
        <f t="shared" si="58"/>
        <v>12.141891891891891</v>
      </c>
      <c r="I3748">
        <v>1</v>
      </c>
      <c r="J3748" t="s">
        <v>21</v>
      </c>
    </row>
    <row r="3749" spans="1:10" x14ac:dyDescent="0.25">
      <c r="A3749">
        <v>7153</v>
      </c>
      <c r="B3749" t="s">
        <v>904</v>
      </c>
      <c r="C3749" t="s">
        <v>672</v>
      </c>
      <c r="D3749" t="s">
        <v>2071</v>
      </c>
      <c r="E3749" t="s">
        <v>2215</v>
      </c>
      <c r="F3749">
        <v>319952</v>
      </c>
      <c r="G3749">
        <v>26264.971000000001</v>
      </c>
      <c r="H3749" s="32">
        <f t="shared" si="58"/>
        <v>12.18170010543701</v>
      </c>
      <c r="I3749">
        <v>1</v>
      </c>
      <c r="J3749" t="s">
        <v>21</v>
      </c>
    </row>
    <row r="3750" spans="1:10" x14ac:dyDescent="0.25">
      <c r="A3750">
        <v>602</v>
      </c>
      <c r="B3750" t="s">
        <v>306</v>
      </c>
      <c r="C3750" t="s">
        <v>307</v>
      </c>
      <c r="D3750" t="s">
        <v>2218</v>
      </c>
      <c r="E3750" t="s">
        <v>2215</v>
      </c>
      <c r="F3750">
        <v>400352</v>
      </c>
      <c r="G3750">
        <v>32857.966999999997</v>
      </c>
      <c r="H3750" s="32">
        <f t="shared" si="58"/>
        <v>12.184320472413891</v>
      </c>
      <c r="I3750">
        <v>1</v>
      </c>
      <c r="J3750" t="s">
        <v>21</v>
      </c>
    </row>
    <row r="3751" spans="1:10" x14ac:dyDescent="0.25">
      <c r="A3751">
        <v>58207</v>
      </c>
      <c r="B3751" t="s">
        <v>2146</v>
      </c>
      <c r="C3751" t="s">
        <v>307</v>
      </c>
      <c r="D3751" t="s">
        <v>2214</v>
      </c>
      <c r="E3751" t="s">
        <v>2215</v>
      </c>
      <c r="F3751">
        <v>17</v>
      </c>
      <c r="G3751">
        <v>1.393</v>
      </c>
      <c r="H3751" s="32">
        <f t="shared" si="58"/>
        <v>12.203876525484565</v>
      </c>
      <c r="I3751">
        <v>1</v>
      </c>
      <c r="J3751" t="s">
        <v>21</v>
      </c>
    </row>
    <row r="3752" spans="1:10" x14ac:dyDescent="0.25">
      <c r="A3752">
        <v>2869</v>
      </c>
      <c r="B3752" t="s">
        <v>1772</v>
      </c>
      <c r="C3752" t="s">
        <v>322</v>
      </c>
      <c r="D3752" t="s">
        <v>2214</v>
      </c>
      <c r="E3752" t="s">
        <v>2215</v>
      </c>
      <c r="F3752">
        <v>79979</v>
      </c>
      <c r="G3752">
        <v>6549.884</v>
      </c>
      <c r="H3752" s="32">
        <f t="shared" si="58"/>
        <v>12.210750602606092</v>
      </c>
      <c r="I3752">
        <v>1</v>
      </c>
      <c r="J3752" t="s">
        <v>21</v>
      </c>
    </row>
    <row r="3753" spans="1:10" x14ac:dyDescent="0.25">
      <c r="A3753">
        <v>55232</v>
      </c>
      <c r="B3753" t="s">
        <v>2776</v>
      </c>
      <c r="C3753" t="s">
        <v>266</v>
      </c>
      <c r="D3753" t="s">
        <v>2214</v>
      </c>
      <c r="E3753" t="s">
        <v>2215</v>
      </c>
      <c r="F3753">
        <v>8284</v>
      </c>
      <c r="G3753">
        <v>678.26199999999994</v>
      </c>
      <c r="H3753" s="32">
        <f t="shared" si="58"/>
        <v>12.213569387640765</v>
      </c>
      <c r="I3753">
        <v>1</v>
      </c>
      <c r="J3753" t="s">
        <v>21</v>
      </c>
    </row>
    <row r="3754" spans="1:10" x14ac:dyDescent="0.25">
      <c r="A3754">
        <v>56340</v>
      </c>
      <c r="B3754" t="s">
        <v>2849</v>
      </c>
      <c r="C3754" t="s">
        <v>708</v>
      </c>
      <c r="D3754" t="s">
        <v>2234</v>
      </c>
      <c r="E3754" t="s">
        <v>2215</v>
      </c>
      <c r="F3754">
        <v>1495</v>
      </c>
      <c r="G3754">
        <v>122</v>
      </c>
      <c r="H3754" s="32">
        <f t="shared" si="58"/>
        <v>12.254098360655737</v>
      </c>
      <c r="I3754">
        <v>1</v>
      </c>
      <c r="J3754" t="s">
        <v>21</v>
      </c>
    </row>
    <row r="3755" spans="1:10" x14ac:dyDescent="0.25">
      <c r="A3755">
        <v>594</v>
      </c>
      <c r="B3755" t="s">
        <v>2010</v>
      </c>
      <c r="C3755" t="s">
        <v>672</v>
      </c>
      <c r="D3755" t="s">
        <v>2218</v>
      </c>
      <c r="E3755" t="s">
        <v>2215</v>
      </c>
      <c r="F3755">
        <v>19587</v>
      </c>
      <c r="G3755">
        <v>1595.6990000000001</v>
      </c>
      <c r="H3755" s="32">
        <f t="shared" si="58"/>
        <v>12.274871388651619</v>
      </c>
      <c r="I3755">
        <v>1</v>
      </c>
      <c r="J3755" t="s">
        <v>21</v>
      </c>
    </row>
    <row r="3756" spans="1:10" x14ac:dyDescent="0.25">
      <c r="A3756">
        <v>7774</v>
      </c>
      <c r="B3756" t="s">
        <v>2535</v>
      </c>
      <c r="C3756" t="s">
        <v>322</v>
      </c>
      <c r="D3756" t="s">
        <v>2234</v>
      </c>
      <c r="E3756" t="s">
        <v>2215</v>
      </c>
      <c r="F3756">
        <v>6729</v>
      </c>
      <c r="G3756">
        <v>547</v>
      </c>
      <c r="H3756" s="32">
        <f t="shared" si="58"/>
        <v>12.301645338208409</v>
      </c>
      <c r="I3756">
        <v>1</v>
      </c>
      <c r="J3756" t="s">
        <v>21</v>
      </c>
    </row>
    <row r="3757" spans="1:10" x14ac:dyDescent="0.25">
      <c r="A3757">
        <v>7777</v>
      </c>
      <c r="B3757" t="s">
        <v>2538</v>
      </c>
      <c r="C3757" t="s">
        <v>322</v>
      </c>
      <c r="D3757" t="s">
        <v>2234</v>
      </c>
      <c r="E3757" t="s">
        <v>2215</v>
      </c>
      <c r="F3757">
        <v>6729</v>
      </c>
      <c r="G3757">
        <v>547</v>
      </c>
      <c r="H3757" s="32">
        <f t="shared" si="58"/>
        <v>12.301645338208409</v>
      </c>
      <c r="I3757">
        <v>1</v>
      </c>
      <c r="J3757" t="s">
        <v>21</v>
      </c>
    </row>
    <row r="3758" spans="1:10" x14ac:dyDescent="0.25">
      <c r="A3758">
        <v>56687</v>
      </c>
      <c r="B3758" t="s">
        <v>1965</v>
      </c>
      <c r="C3758" t="s">
        <v>143</v>
      </c>
      <c r="D3758" t="s">
        <v>2234</v>
      </c>
      <c r="E3758" t="s">
        <v>2215</v>
      </c>
      <c r="F3758">
        <v>16312</v>
      </c>
      <c r="G3758">
        <v>1323.61</v>
      </c>
      <c r="H3758" s="32">
        <f t="shared" si="58"/>
        <v>12.323871835359359</v>
      </c>
      <c r="I3758">
        <v>1</v>
      </c>
      <c r="J3758" t="s">
        <v>21</v>
      </c>
    </row>
    <row r="3759" spans="1:10" x14ac:dyDescent="0.25">
      <c r="A3759">
        <v>7828</v>
      </c>
      <c r="B3759" t="s">
        <v>2554</v>
      </c>
      <c r="C3759" t="s">
        <v>322</v>
      </c>
      <c r="D3759" t="s">
        <v>2234</v>
      </c>
      <c r="E3759" t="s">
        <v>2215</v>
      </c>
      <c r="F3759">
        <v>1371</v>
      </c>
      <c r="G3759">
        <v>111</v>
      </c>
      <c r="H3759" s="32">
        <f t="shared" si="58"/>
        <v>12.351351351351351</v>
      </c>
      <c r="I3759">
        <v>1</v>
      </c>
      <c r="J3759" t="s">
        <v>21</v>
      </c>
    </row>
    <row r="3760" spans="1:10" x14ac:dyDescent="0.25">
      <c r="A3760">
        <v>55690</v>
      </c>
      <c r="B3760" t="s">
        <v>2803</v>
      </c>
      <c r="C3760" t="s">
        <v>143</v>
      </c>
      <c r="D3760" t="s">
        <v>2071</v>
      </c>
      <c r="E3760" t="s">
        <v>2215</v>
      </c>
      <c r="F3760">
        <v>329533</v>
      </c>
      <c r="G3760">
        <v>26624.725999999999</v>
      </c>
      <c r="H3760" s="32">
        <f t="shared" si="58"/>
        <v>12.376953663297794</v>
      </c>
      <c r="I3760">
        <v>1</v>
      </c>
      <c r="J3760" t="s">
        <v>21</v>
      </c>
    </row>
    <row r="3761" spans="1:10" x14ac:dyDescent="0.25">
      <c r="A3761">
        <v>1001</v>
      </c>
      <c r="B3761" t="s">
        <v>2267</v>
      </c>
      <c r="C3761" t="s">
        <v>131</v>
      </c>
      <c r="D3761" t="s">
        <v>2234</v>
      </c>
      <c r="E3761" t="s">
        <v>2215</v>
      </c>
      <c r="F3761">
        <v>7258</v>
      </c>
      <c r="G3761">
        <v>586</v>
      </c>
      <c r="H3761" s="32">
        <f t="shared" si="58"/>
        <v>12.38566552901024</v>
      </c>
      <c r="I3761">
        <v>1</v>
      </c>
      <c r="J3761" t="s">
        <v>21</v>
      </c>
    </row>
    <row r="3762" spans="1:10" x14ac:dyDescent="0.25">
      <c r="A3762">
        <v>4257</v>
      </c>
      <c r="B3762" t="s">
        <v>2039</v>
      </c>
      <c r="C3762" t="s">
        <v>307</v>
      </c>
      <c r="D3762" t="s">
        <v>2234</v>
      </c>
      <c r="E3762" t="s">
        <v>2215</v>
      </c>
      <c r="F3762">
        <v>42801</v>
      </c>
      <c r="G3762">
        <v>3446</v>
      </c>
      <c r="H3762" s="32">
        <f t="shared" si="58"/>
        <v>12.420487521764365</v>
      </c>
      <c r="I3762">
        <v>1</v>
      </c>
      <c r="J3762" t="s">
        <v>21</v>
      </c>
    </row>
    <row r="3763" spans="1:10" x14ac:dyDescent="0.25">
      <c r="A3763">
        <v>7425</v>
      </c>
      <c r="B3763" t="s">
        <v>2520</v>
      </c>
      <c r="C3763" t="s">
        <v>166</v>
      </c>
      <c r="D3763" t="s">
        <v>2214</v>
      </c>
      <c r="E3763" t="s">
        <v>2215</v>
      </c>
      <c r="F3763">
        <v>5731</v>
      </c>
      <c r="G3763">
        <v>459.673</v>
      </c>
      <c r="H3763" s="32">
        <f t="shared" si="58"/>
        <v>12.467558460035722</v>
      </c>
      <c r="I3763">
        <v>1</v>
      </c>
      <c r="J3763" t="s">
        <v>21</v>
      </c>
    </row>
    <row r="3764" spans="1:10" x14ac:dyDescent="0.25">
      <c r="A3764">
        <v>7837</v>
      </c>
      <c r="B3764" t="s">
        <v>1115</v>
      </c>
      <c r="C3764" t="s">
        <v>201</v>
      </c>
      <c r="D3764" t="s">
        <v>2214</v>
      </c>
      <c r="E3764" t="s">
        <v>2215</v>
      </c>
      <c r="F3764">
        <v>414664</v>
      </c>
      <c r="G3764">
        <v>33194.402000000002</v>
      </c>
      <c r="H3764" s="32">
        <f t="shared" si="58"/>
        <v>12.491985847493201</v>
      </c>
      <c r="I3764">
        <v>1</v>
      </c>
      <c r="J3764" t="s">
        <v>21</v>
      </c>
    </row>
    <row r="3765" spans="1:10" x14ac:dyDescent="0.25">
      <c r="A3765">
        <v>54</v>
      </c>
      <c r="B3765" t="s">
        <v>1579</v>
      </c>
      <c r="C3765" t="s">
        <v>266</v>
      </c>
      <c r="D3765" t="s">
        <v>2214</v>
      </c>
      <c r="E3765" t="s">
        <v>2215</v>
      </c>
      <c r="F3765">
        <v>18797</v>
      </c>
      <c r="G3765">
        <v>1489.346</v>
      </c>
      <c r="H3765" s="32">
        <f t="shared" si="58"/>
        <v>12.620975918288966</v>
      </c>
      <c r="I3765">
        <v>1</v>
      </c>
      <c r="J3765" t="s">
        <v>21</v>
      </c>
    </row>
    <row r="3766" spans="1:10" x14ac:dyDescent="0.25">
      <c r="A3766">
        <v>976</v>
      </c>
      <c r="B3766" t="s">
        <v>2259</v>
      </c>
      <c r="C3766" t="s">
        <v>166</v>
      </c>
      <c r="D3766" t="s">
        <v>2214</v>
      </c>
      <c r="E3766" t="s">
        <v>2215</v>
      </c>
      <c r="F3766">
        <v>1180</v>
      </c>
      <c r="G3766">
        <v>93.042000000000002</v>
      </c>
      <c r="H3766" s="32">
        <f t="shared" si="58"/>
        <v>12.682444487435781</v>
      </c>
      <c r="I3766">
        <v>1</v>
      </c>
      <c r="J3766" t="s">
        <v>21</v>
      </c>
    </row>
    <row r="3767" spans="1:10" x14ac:dyDescent="0.25">
      <c r="A3767">
        <v>3407</v>
      </c>
      <c r="B3767" t="s">
        <v>2430</v>
      </c>
      <c r="C3767" t="s">
        <v>2029</v>
      </c>
      <c r="D3767" t="s">
        <v>2218</v>
      </c>
      <c r="E3767" t="s">
        <v>2215</v>
      </c>
      <c r="F3767">
        <v>121285</v>
      </c>
      <c r="G3767">
        <v>9507.8119999999999</v>
      </c>
      <c r="H3767" s="32">
        <f t="shared" si="58"/>
        <v>12.756352355305301</v>
      </c>
      <c r="I3767">
        <v>1</v>
      </c>
      <c r="J3767" t="s">
        <v>21</v>
      </c>
    </row>
    <row r="3768" spans="1:10" x14ac:dyDescent="0.25">
      <c r="A3768">
        <v>7212</v>
      </c>
      <c r="B3768" t="s">
        <v>566</v>
      </c>
      <c r="C3768" t="s">
        <v>201</v>
      </c>
      <c r="D3768" t="s">
        <v>2214</v>
      </c>
      <c r="E3768" t="s">
        <v>2215</v>
      </c>
      <c r="F3768">
        <v>546195</v>
      </c>
      <c r="G3768">
        <v>42748.13</v>
      </c>
      <c r="H3768" s="32">
        <f t="shared" si="58"/>
        <v>12.777050130613901</v>
      </c>
      <c r="I3768">
        <v>1</v>
      </c>
      <c r="J3768" t="s">
        <v>21</v>
      </c>
    </row>
    <row r="3769" spans="1:10" x14ac:dyDescent="0.25">
      <c r="A3769">
        <v>2847</v>
      </c>
      <c r="B3769" t="s">
        <v>1668</v>
      </c>
      <c r="C3769" t="s">
        <v>322</v>
      </c>
      <c r="D3769" t="s">
        <v>2214</v>
      </c>
      <c r="E3769" t="s">
        <v>2215</v>
      </c>
      <c r="F3769">
        <v>35139</v>
      </c>
      <c r="G3769">
        <v>2738.328</v>
      </c>
      <c r="H3769" s="32">
        <f t="shared" si="58"/>
        <v>12.832283057398529</v>
      </c>
      <c r="I3769">
        <v>1</v>
      </c>
      <c r="J3769" t="s">
        <v>21</v>
      </c>
    </row>
    <row r="3770" spans="1:10" x14ac:dyDescent="0.25">
      <c r="A3770">
        <v>50561</v>
      </c>
      <c r="B3770" t="s">
        <v>630</v>
      </c>
      <c r="C3770" t="s">
        <v>241</v>
      </c>
      <c r="D3770" t="s">
        <v>2071</v>
      </c>
      <c r="E3770" t="s">
        <v>2215</v>
      </c>
      <c r="F3770">
        <v>246837</v>
      </c>
      <c r="G3770">
        <v>19204.164000000001</v>
      </c>
      <c r="H3770" s="32">
        <f t="shared" si="58"/>
        <v>12.853306189220213</v>
      </c>
      <c r="I3770">
        <v>1</v>
      </c>
      <c r="J3770" t="s">
        <v>21</v>
      </c>
    </row>
    <row r="3771" spans="1:10" x14ac:dyDescent="0.25">
      <c r="A3771">
        <v>3148</v>
      </c>
      <c r="B3771" t="s">
        <v>1145</v>
      </c>
      <c r="C3771" t="s">
        <v>143</v>
      </c>
      <c r="D3771" t="s">
        <v>2218</v>
      </c>
      <c r="E3771" t="s">
        <v>2215</v>
      </c>
      <c r="F3771">
        <v>8237</v>
      </c>
      <c r="G3771">
        <v>639.85699999999997</v>
      </c>
      <c r="H3771" s="32">
        <f t="shared" si="58"/>
        <v>12.873188853134373</v>
      </c>
      <c r="I3771">
        <v>1</v>
      </c>
      <c r="J3771" t="s">
        <v>21</v>
      </c>
    </row>
    <row r="3772" spans="1:10" x14ac:dyDescent="0.25">
      <c r="A3772">
        <v>55247</v>
      </c>
      <c r="B3772" t="s">
        <v>559</v>
      </c>
      <c r="C3772" t="s">
        <v>322</v>
      </c>
      <c r="D3772" t="s">
        <v>2214</v>
      </c>
      <c r="E3772" t="s">
        <v>2215</v>
      </c>
      <c r="F3772">
        <v>90706</v>
      </c>
      <c r="G3772">
        <v>7045.6480000000001</v>
      </c>
      <c r="H3772" s="32">
        <f t="shared" si="58"/>
        <v>12.874046503600519</v>
      </c>
      <c r="I3772">
        <v>1</v>
      </c>
      <c r="J3772" t="s">
        <v>21</v>
      </c>
    </row>
    <row r="3773" spans="1:10" x14ac:dyDescent="0.25">
      <c r="A3773">
        <v>3168</v>
      </c>
      <c r="B3773" t="s">
        <v>2152</v>
      </c>
      <c r="C3773" t="s">
        <v>143</v>
      </c>
      <c r="D3773" t="s">
        <v>2214</v>
      </c>
      <c r="E3773" t="s">
        <v>2215</v>
      </c>
      <c r="F3773">
        <v>74681</v>
      </c>
      <c r="G3773">
        <v>5753</v>
      </c>
      <c r="H3773" s="32">
        <f t="shared" si="58"/>
        <v>12.981227185816095</v>
      </c>
      <c r="I3773">
        <v>1</v>
      </c>
      <c r="J3773" t="s">
        <v>21</v>
      </c>
    </row>
    <row r="3774" spans="1:10" x14ac:dyDescent="0.25">
      <c r="A3774">
        <v>2878</v>
      </c>
      <c r="B3774" t="s">
        <v>2387</v>
      </c>
      <c r="C3774" t="s">
        <v>322</v>
      </c>
      <c r="D3774" t="s">
        <v>2218</v>
      </c>
      <c r="E3774" t="s">
        <v>2215</v>
      </c>
      <c r="F3774">
        <v>15698</v>
      </c>
      <c r="G3774">
        <v>1206.944</v>
      </c>
      <c r="H3774" s="32">
        <f t="shared" si="58"/>
        <v>13.006402948272662</v>
      </c>
      <c r="I3774">
        <v>1</v>
      </c>
      <c r="J3774" t="s">
        <v>21</v>
      </c>
    </row>
    <row r="3775" spans="1:10" x14ac:dyDescent="0.25">
      <c r="A3775">
        <v>934</v>
      </c>
      <c r="B3775" t="s">
        <v>2233</v>
      </c>
      <c r="C3775" t="s">
        <v>166</v>
      </c>
      <c r="D3775" t="s">
        <v>2234</v>
      </c>
      <c r="E3775" t="s">
        <v>2215</v>
      </c>
      <c r="F3775">
        <v>7030</v>
      </c>
      <c r="G3775">
        <v>539</v>
      </c>
      <c r="H3775" s="32">
        <f t="shared" si="58"/>
        <v>13.042671614100186</v>
      </c>
      <c r="I3775">
        <v>1</v>
      </c>
      <c r="J3775" t="s">
        <v>21</v>
      </c>
    </row>
    <row r="3776" spans="1:10" x14ac:dyDescent="0.25">
      <c r="A3776">
        <v>1355</v>
      </c>
      <c r="B3776" t="s">
        <v>2276</v>
      </c>
      <c r="C3776" t="s">
        <v>266</v>
      </c>
      <c r="D3776" t="s">
        <v>2214</v>
      </c>
      <c r="E3776" t="s">
        <v>2215</v>
      </c>
      <c r="F3776">
        <v>2393</v>
      </c>
      <c r="G3776">
        <v>183.32900000000001</v>
      </c>
      <c r="H3776" s="32">
        <f t="shared" si="58"/>
        <v>13.053035799027976</v>
      </c>
      <c r="I3776">
        <v>1</v>
      </c>
      <c r="J3776" t="s">
        <v>21</v>
      </c>
    </row>
    <row r="3777" spans="1:10" x14ac:dyDescent="0.25">
      <c r="A3777">
        <v>990</v>
      </c>
      <c r="B3777" t="s">
        <v>2262</v>
      </c>
      <c r="C3777" t="s">
        <v>131</v>
      </c>
      <c r="D3777" t="s">
        <v>2214</v>
      </c>
      <c r="E3777" t="s">
        <v>2215</v>
      </c>
      <c r="F3777">
        <v>12621</v>
      </c>
      <c r="G3777">
        <v>963.78399999999999</v>
      </c>
      <c r="H3777" s="32">
        <f t="shared" si="58"/>
        <v>13.095257858607322</v>
      </c>
      <c r="I3777">
        <v>1</v>
      </c>
      <c r="J3777" t="s">
        <v>21</v>
      </c>
    </row>
    <row r="3778" spans="1:10" x14ac:dyDescent="0.25">
      <c r="A3778">
        <v>55997</v>
      </c>
      <c r="B3778" t="s">
        <v>2819</v>
      </c>
      <c r="C3778" t="s">
        <v>143</v>
      </c>
      <c r="D3778" t="s">
        <v>2234</v>
      </c>
      <c r="E3778" t="s">
        <v>2215</v>
      </c>
      <c r="F3778">
        <v>29283</v>
      </c>
      <c r="G3778">
        <v>2230.23</v>
      </c>
      <c r="H3778" s="32">
        <f t="shared" ref="H3778:H3841" si="59">IF(AND(F3778&gt;0,G3778&gt;0),F3778/G3778,"")</f>
        <v>13.130035915578214</v>
      </c>
      <c r="I3778">
        <v>1</v>
      </c>
      <c r="J3778" t="s">
        <v>21</v>
      </c>
    </row>
    <row r="3779" spans="1:10" x14ac:dyDescent="0.25">
      <c r="A3779">
        <v>56549</v>
      </c>
      <c r="B3779" t="s">
        <v>2880</v>
      </c>
      <c r="C3779" t="s">
        <v>708</v>
      </c>
      <c r="D3779" t="s">
        <v>2234</v>
      </c>
      <c r="E3779" t="s">
        <v>2215</v>
      </c>
      <c r="F3779">
        <v>1624</v>
      </c>
      <c r="G3779">
        <v>123</v>
      </c>
      <c r="H3779" s="32">
        <f t="shared" si="59"/>
        <v>13.203252032520325</v>
      </c>
      <c r="I3779">
        <v>1</v>
      </c>
      <c r="J3779" t="s">
        <v>21</v>
      </c>
    </row>
    <row r="3780" spans="1:10" x14ac:dyDescent="0.25">
      <c r="A3780">
        <v>50900</v>
      </c>
      <c r="B3780" t="s">
        <v>2676</v>
      </c>
      <c r="C3780" t="s">
        <v>201</v>
      </c>
      <c r="D3780" t="s">
        <v>2218</v>
      </c>
      <c r="E3780" t="s">
        <v>2215</v>
      </c>
      <c r="F3780">
        <v>1965</v>
      </c>
      <c r="G3780">
        <v>148.61199999999999</v>
      </c>
      <c r="H3780" s="32">
        <f t="shared" si="59"/>
        <v>13.222350819583884</v>
      </c>
      <c r="I3780">
        <v>1</v>
      </c>
      <c r="J3780" t="s">
        <v>21</v>
      </c>
    </row>
    <row r="3781" spans="1:10" x14ac:dyDescent="0.25">
      <c r="A3781">
        <v>971</v>
      </c>
      <c r="B3781" t="s">
        <v>2257</v>
      </c>
      <c r="C3781" t="s">
        <v>166</v>
      </c>
      <c r="D3781" t="s">
        <v>2214</v>
      </c>
      <c r="E3781" t="s">
        <v>2215</v>
      </c>
      <c r="F3781">
        <v>176</v>
      </c>
      <c r="G3781">
        <v>13.31</v>
      </c>
      <c r="H3781" s="32">
        <f t="shared" si="59"/>
        <v>13.223140495867769</v>
      </c>
      <c r="I3781">
        <v>1</v>
      </c>
      <c r="J3781" t="s">
        <v>21</v>
      </c>
    </row>
    <row r="3782" spans="1:10" x14ac:dyDescent="0.25">
      <c r="A3782">
        <v>63457</v>
      </c>
      <c r="B3782" t="s">
        <v>4357</v>
      </c>
      <c r="C3782" t="s">
        <v>322</v>
      </c>
      <c r="D3782" t="s">
        <v>2234</v>
      </c>
      <c r="E3782" t="s">
        <v>2215</v>
      </c>
      <c r="F3782">
        <v>292</v>
      </c>
      <c r="G3782">
        <v>22</v>
      </c>
      <c r="H3782" s="32">
        <f t="shared" si="59"/>
        <v>13.272727272727273</v>
      </c>
      <c r="I3782">
        <v>1</v>
      </c>
      <c r="J3782" t="s">
        <v>21</v>
      </c>
    </row>
    <row r="3783" spans="1:10" x14ac:dyDescent="0.25">
      <c r="A3783">
        <v>7335</v>
      </c>
      <c r="B3783" t="s">
        <v>2153</v>
      </c>
      <c r="C3783" t="s">
        <v>131</v>
      </c>
      <c r="D3783" t="s">
        <v>2214</v>
      </c>
      <c r="E3783" t="s">
        <v>2215</v>
      </c>
      <c r="F3783">
        <v>11471</v>
      </c>
      <c r="G3783">
        <v>863.39300000000003</v>
      </c>
      <c r="H3783" s="32">
        <f t="shared" si="59"/>
        <v>13.285954368404655</v>
      </c>
      <c r="I3783">
        <v>1</v>
      </c>
      <c r="J3783" t="s">
        <v>21</v>
      </c>
    </row>
    <row r="3784" spans="1:10" x14ac:dyDescent="0.25">
      <c r="A3784">
        <v>7032</v>
      </c>
      <c r="B3784" t="s">
        <v>835</v>
      </c>
      <c r="C3784" t="s">
        <v>201</v>
      </c>
      <c r="D3784" t="s">
        <v>2214</v>
      </c>
      <c r="E3784" t="s">
        <v>2215</v>
      </c>
      <c r="F3784">
        <v>579051</v>
      </c>
      <c r="G3784">
        <v>43470.442000000003</v>
      </c>
      <c r="H3784" s="32">
        <f t="shared" si="59"/>
        <v>13.320568491114031</v>
      </c>
      <c r="I3784">
        <v>1</v>
      </c>
      <c r="J3784" t="s">
        <v>21</v>
      </c>
    </row>
    <row r="3785" spans="1:10" x14ac:dyDescent="0.25">
      <c r="A3785">
        <v>1572</v>
      </c>
      <c r="B3785" t="s">
        <v>604</v>
      </c>
      <c r="C3785" t="s">
        <v>307</v>
      </c>
      <c r="D3785" t="s">
        <v>2214</v>
      </c>
      <c r="E3785" t="s">
        <v>2215</v>
      </c>
      <c r="F3785">
        <v>178924</v>
      </c>
      <c r="G3785">
        <v>13414.066000000001</v>
      </c>
      <c r="H3785" s="32">
        <f t="shared" si="59"/>
        <v>13.338535832461238</v>
      </c>
      <c r="I3785">
        <v>1</v>
      </c>
      <c r="J3785" t="s">
        <v>21</v>
      </c>
    </row>
    <row r="3786" spans="1:10" x14ac:dyDescent="0.25">
      <c r="A3786">
        <v>8012</v>
      </c>
      <c r="B3786" t="s">
        <v>2567</v>
      </c>
      <c r="C3786" t="s">
        <v>143</v>
      </c>
      <c r="D3786" t="s">
        <v>2214</v>
      </c>
      <c r="E3786" t="s">
        <v>2215</v>
      </c>
      <c r="F3786">
        <v>272947</v>
      </c>
      <c r="G3786">
        <v>20454.999</v>
      </c>
      <c r="H3786" s="32">
        <f t="shared" si="59"/>
        <v>13.343779679480797</v>
      </c>
      <c r="I3786">
        <v>1</v>
      </c>
      <c r="J3786" t="s">
        <v>21</v>
      </c>
    </row>
    <row r="3787" spans="1:10" x14ac:dyDescent="0.25">
      <c r="A3787">
        <v>7440</v>
      </c>
      <c r="B3787" t="s">
        <v>2524</v>
      </c>
      <c r="C3787" t="s">
        <v>201</v>
      </c>
      <c r="D3787" t="s">
        <v>2234</v>
      </c>
      <c r="E3787" t="s">
        <v>2215</v>
      </c>
      <c r="F3787">
        <v>7600</v>
      </c>
      <c r="G3787">
        <v>565</v>
      </c>
      <c r="H3787" s="32">
        <f t="shared" si="59"/>
        <v>13.451327433628318</v>
      </c>
      <c r="I3787">
        <v>1</v>
      </c>
      <c r="J3787" t="s">
        <v>21</v>
      </c>
    </row>
    <row r="3788" spans="1:10" x14ac:dyDescent="0.25">
      <c r="A3788">
        <v>54823</v>
      </c>
      <c r="B3788" t="s">
        <v>2729</v>
      </c>
      <c r="C3788" t="s">
        <v>708</v>
      </c>
      <c r="D3788" t="s">
        <v>2234</v>
      </c>
      <c r="E3788" t="s">
        <v>2215</v>
      </c>
      <c r="F3788">
        <v>1037</v>
      </c>
      <c r="G3788">
        <v>77</v>
      </c>
      <c r="H3788" s="32">
        <f t="shared" si="59"/>
        <v>13.467532467532468</v>
      </c>
      <c r="I3788">
        <v>1</v>
      </c>
      <c r="J3788" t="s">
        <v>21</v>
      </c>
    </row>
    <row r="3789" spans="1:10" x14ac:dyDescent="0.25">
      <c r="A3789">
        <v>593</v>
      </c>
      <c r="B3789" t="s">
        <v>670</v>
      </c>
      <c r="C3789" t="s">
        <v>672</v>
      </c>
      <c r="D3789" t="s">
        <v>2218</v>
      </c>
      <c r="E3789" t="s">
        <v>2215</v>
      </c>
      <c r="F3789">
        <v>592</v>
      </c>
      <c r="G3789">
        <v>43.93</v>
      </c>
      <c r="H3789" s="32">
        <f t="shared" si="59"/>
        <v>13.475984520828591</v>
      </c>
      <c r="I3789">
        <v>1</v>
      </c>
      <c r="J3789" t="s">
        <v>21</v>
      </c>
    </row>
    <row r="3790" spans="1:10" x14ac:dyDescent="0.25">
      <c r="A3790">
        <v>54640</v>
      </c>
      <c r="B3790" t="s">
        <v>2098</v>
      </c>
      <c r="C3790" t="s">
        <v>241</v>
      </c>
      <c r="D3790" t="s">
        <v>2071</v>
      </c>
      <c r="E3790" t="s">
        <v>2215</v>
      </c>
      <c r="F3790">
        <v>121483</v>
      </c>
      <c r="G3790">
        <v>9013.2260000000006</v>
      </c>
      <c r="H3790" s="32">
        <f t="shared" si="59"/>
        <v>13.478303994596384</v>
      </c>
      <c r="I3790">
        <v>1</v>
      </c>
      <c r="J3790" t="s">
        <v>21</v>
      </c>
    </row>
    <row r="3791" spans="1:10" x14ac:dyDescent="0.25">
      <c r="A3791">
        <v>2406</v>
      </c>
      <c r="B3791" t="s">
        <v>1097</v>
      </c>
      <c r="C3791" t="s">
        <v>241</v>
      </c>
      <c r="D3791" t="s">
        <v>2071</v>
      </c>
      <c r="E3791" t="s">
        <v>2215</v>
      </c>
      <c r="F3791">
        <v>230909</v>
      </c>
      <c r="G3791">
        <v>17099.61</v>
      </c>
      <c r="H3791" s="32">
        <f t="shared" si="59"/>
        <v>13.503758272849497</v>
      </c>
      <c r="I3791">
        <v>1</v>
      </c>
      <c r="J3791" t="s">
        <v>21</v>
      </c>
    </row>
    <row r="3792" spans="1:10" x14ac:dyDescent="0.25">
      <c r="A3792">
        <v>6369</v>
      </c>
      <c r="B3792" t="s">
        <v>2493</v>
      </c>
      <c r="C3792" t="s">
        <v>250</v>
      </c>
      <c r="D3792" t="s">
        <v>2234</v>
      </c>
      <c r="E3792" t="s">
        <v>2215</v>
      </c>
      <c r="F3792">
        <v>24961</v>
      </c>
      <c r="G3792">
        <v>1841</v>
      </c>
      <c r="H3792" s="32">
        <f t="shared" si="59"/>
        <v>13.558392178164041</v>
      </c>
      <c r="I3792">
        <v>1</v>
      </c>
      <c r="J3792" t="s">
        <v>21</v>
      </c>
    </row>
    <row r="3793" spans="1:10" x14ac:dyDescent="0.25">
      <c r="A3793">
        <v>2398</v>
      </c>
      <c r="B3793" t="s">
        <v>238</v>
      </c>
      <c r="C3793" t="s">
        <v>241</v>
      </c>
      <c r="D3793" t="s">
        <v>2071</v>
      </c>
      <c r="E3793" t="s">
        <v>2215</v>
      </c>
      <c r="F3793">
        <v>554768</v>
      </c>
      <c r="G3793">
        <v>40640.139000000003</v>
      </c>
      <c r="H3793" s="32">
        <f t="shared" si="59"/>
        <v>13.650740712279552</v>
      </c>
      <c r="I3793">
        <v>1</v>
      </c>
      <c r="J3793" t="s">
        <v>21</v>
      </c>
    </row>
    <row r="3794" spans="1:10" x14ac:dyDescent="0.25">
      <c r="A3794">
        <v>50974</v>
      </c>
      <c r="B3794" t="s">
        <v>2163</v>
      </c>
      <c r="C3794" t="s">
        <v>143</v>
      </c>
      <c r="D3794" t="s">
        <v>2218</v>
      </c>
      <c r="E3794" t="s">
        <v>2215</v>
      </c>
      <c r="F3794">
        <v>17662</v>
      </c>
      <c r="G3794">
        <v>1290.211</v>
      </c>
      <c r="H3794" s="32">
        <f t="shared" si="59"/>
        <v>13.689233776490822</v>
      </c>
      <c r="I3794">
        <v>1</v>
      </c>
      <c r="J3794" t="s">
        <v>21</v>
      </c>
    </row>
    <row r="3795" spans="1:10" x14ac:dyDescent="0.25">
      <c r="A3795">
        <v>1571</v>
      </c>
      <c r="B3795" t="s">
        <v>406</v>
      </c>
      <c r="C3795" t="s">
        <v>307</v>
      </c>
      <c r="D3795" t="s">
        <v>2214</v>
      </c>
      <c r="E3795" t="s">
        <v>2215</v>
      </c>
      <c r="F3795">
        <v>457575</v>
      </c>
      <c r="G3795">
        <v>33205.281000000003</v>
      </c>
      <c r="H3795" s="32">
        <f t="shared" si="59"/>
        <v>13.780187555106068</v>
      </c>
      <c r="I3795">
        <v>1</v>
      </c>
      <c r="J3795" t="s">
        <v>21</v>
      </c>
    </row>
    <row r="3796" spans="1:10" x14ac:dyDescent="0.25">
      <c r="A3796">
        <v>10113</v>
      </c>
      <c r="B3796" t="s">
        <v>2175</v>
      </c>
      <c r="C3796" t="s">
        <v>143</v>
      </c>
      <c r="D3796" t="s">
        <v>2218</v>
      </c>
      <c r="E3796" t="s">
        <v>2215</v>
      </c>
      <c r="F3796">
        <v>24701</v>
      </c>
      <c r="G3796">
        <v>1785.884</v>
      </c>
      <c r="H3796" s="32">
        <f t="shared" si="59"/>
        <v>13.831245478429731</v>
      </c>
      <c r="I3796">
        <v>1</v>
      </c>
      <c r="J3796" t="s">
        <v>21</v>
      </c>
    </row>
    <row r="3797" spans="1:10" x14ac:dyDescent="0.25">
      <c r="A3797">
        <v>3152</v>
      </c>
      <c r="B3797" t="s">
        <v>2179</v>
      </c>
      <c r="C3797" t="s">
        <v>143</v>
      </c>
      <c r="D3797" t="s">
        <v>2214</v>
      </c>
      <c r="E3797" t="s">
        <v>2215</v>
      </c>
      <c r="F3797">
        <v>16965</v>
      </c>
      <c r="G3797">
        <v>1225</v>
      </c>
      <c r="H3797" s="32">
        <f t="shared" si="59"/>
        <v>13.848979591836734</v>
      </c>
      <c r="I3797">
        <v>1</v>
      </c>
      <c r="J3797" t="s">
        <v>21</v>
      </c>
    </row>
    <row r="3798" spans="1:10" x14ac:dyDescent="0.25">
      <c r="A3798">
        <v>56263</v>
      </c>
      <c r="B3798" t="s">
        <v>2836</v>
      </c>
      <c r="C3798" t="s">
        <v>708</v>
      </c>
      <c r="D3798" t="s">
        <v>2234</v>
      </c>
      <c r="E3798" t="s">
        <v>2215</v>
      </c>
      <c r="F3798">
        <v>3118</v>
      </c>
      <c r="G3798">
        <v>225</v>
      </c>
      <c r="H3798" s="32">
        <f t="shared" si="59"/>
        <v>13.857777777777779</v>
      </c>
      <c r="I3798">
        <v>1</v>
      </c>
      <c r="J3798" t="s">
        <v>21</v>
      </c>
    </row>
    <row r="3799" spans="1:10" x14ac:dyDescent="0.25">
      <c r="A3799">
        <v>2406</v>
      </c>
      <c r="B3799" t="s">
        <v>1097</v>
      </c>
      <c r="C3799" t="s">
        <v>241</v>
      </c>
      <c r="D3799" t="s">
        <v>2214</v>
      </c>
      <c r="E3799" t="s">
        <v>2215</v>
      </c>
      <c r="F3799">
        <v>28084</v>
      </c>
      <c r="G3799">
        <v>2010.2909999999999</v>
      </c>
      <c r="H3799" s="32">
        <f t="shared" si="59"/>
        <v>13.970116764189861</v>
      </c>
      <c r="I3799">
        <v>1</v>
      </c>
      <c r="J3799" t="s">
        <v>21</v>
      </c>
    </row>
    <row r="3800" spans="1:10" x14ac:dyDescent="0.25">
      <c r="A3800">
        <v>2880</v>
      </c>
      <c r="B3800" t="s">
        <v>1478</v>
      </c>
      <c r="C3800" t="s">
        <v>322</v>
      </c>
      <c r="D3800" t="s">
        <v>2214</v>
      </c>
      <c r="E3800" t="s">
        <v>2215</v>
      </c>
      <c r="F3800">
        <v>1313</v>
      </c>
      <c r="G3800">
        <v>93.933999999999997</v>
      </c>
      <c r="H3800" s="32">
        <f t="shared" si="59"/>
        <v>13.977899376157728</v>
      </c>
      <c r="I3800">
        <v>1</v>
      </c>
      <c r="J3800" t="s">
        <v>21</v>
      </c>
    </row>
    <row r="3801" spans="1:10" x14ac:dyDescent="0.25">
      <c r="A3801">
        <v>1554</v>
      </c>
      <c r="B3801" t="s">
        <v>1741</v>
      </c>
      <c r="C3801" t="s">
        <v>307</v>
      </c>
      <c r="D3801" t="s">
        <v>2218</v>
      </c>
      <c r="E3801" t="s">
        <v>2215</v>
      </c>
      <c r="F3801">
        <v>2291832</v>
      </c>
      <c r="G3801">
        <v>163420.671</v>
      </c>
      <c r="H3801" s="32">
        <f t="shared" si="59"/>
        <v>14.024125503682455</v>
      </c>
      <c r="I3801">
        <v>1</v>
      </c>
      <c r="J3801" t="s">
        <v>21</v>
      </c>
    </row>
    <row r="3802" spans="1:10" x14ac:dyDescent="0.25">
      <c r="A3802">
        <v>54832</v>
      </c>
      <c r="B3802" t="s">
        <v>2731</v>
      </c>
      <c r="C3802" t="s">
        <v>307</v>
      </c>
      <c r="D3802" t="s">
        <v>2071</v>
      </c>
      <c r="E3802" t="s">
        <v>2215</v>
      </c>
      <c r="F3802">
        <v>288568</v>
      </c>
      <c r="G3802">
        <v>20428.231</v>
      </c>
      <c r="H3802" s="32">
        <f t="shared" si="59"/>
        <v>14.125941693140243</v>
      </c>
      <c r="I3802">
        <v>1</v>
      </c>
      <c r="J3802" t="s">
        <v>21</v>
      </c>
    </row>
    <row r="3803" spans="1:10" x14ac:dyDescent="0.25">
      <c r="A3803">
        <v>3113</v>
      </c>
      <c r="B3803" t="s">
        <v>1394</v>
      </c>
      <c r="C3803" t="s">
        <v>143</v>
      </c>
      <c r="D3803" t="s">
        <v>2214</v>
      </c>
      <c r="E3803" t="s">
        <v>2215</v>
      </c>
      <c r="F3803">
        <v>138910</v>
      </c>
      <c r="G3803">
        <v>9794</v>
      </c>
      <c r="H3803" s="32">
        <f t="shared" si="59"/>
        <v>14.183173371451909</v>
      </c>
      <c r="I3803">
        <v>1</v>
      </c>
      <c r="J3803" t="s">
        <v>21</v>
      </c>
    </row>
    <row r="3804" spans="1:10" x14ac:dyDescent="0.25">
      <c r="A3804">
        <v>2878</v>
      </c>
      <c r="B3804" t="s">
        <v>2387</v>
      </c>
      <c r="C3804" t="s">
        <v>322</v>
      </c>
      <c r="D3804" t="s">
        <v>2214</v>
      </c>
      <c r="E3804" t="s">
        <v>2215</v>
      </c>
      <c r="F3804">
        <v>3161</v>
      </c>
      <c r="G3804">
        <v>219</v>
      </c>
      <c r="H3804" s="32">
        <f t="shared" si="59"/>
        <v>14.4337899543379</v>
      </c>
      <c r="I3804">
        <v>1</v>
      </c>
      <c r="J3804" t="s">
        <v>21</v>
      </c>
    </row>
    <row r="3805" spans="1:10" x14ac:dyDescent="0.25">
      <c r="A3805">
        <v>56421</v>
      </c>
      <c r="B3805" t="s">
        <v>2862</v>
      </c>
      <c r="C3805" t="s">
        <v>322</v>
      </c>
      <c r="D3805" t="s">
        <v>2234</v>
      </c>
      <c r="E3805" t="s">
        <v>2215</v>
      </c>
      <c r="F3805">
        <v>29</v>
      </c>
      <c r="G3805">
        <v>2</v>
      </c>
      <c r="H3805" s="32">
        <f t="shared" si="59"/>
        <v>14.5</v>
      </c>
      <c r="I3805">
        <v>1</v>
      </c>
      <c r="J3805" t="s">
        <v>21</v>
      </c>
    </row>
    <row r="3806" spans="1:10" x14ac:dyDescent="0.25">
      <c r="A3806">
        <v>3160</v>
      </c>
      <c r="B3806" t="s">
        <v>583</v>
      </c>
      <c r="C3806" t="s">
        <v>143</v>
      </c>
      <c r="D3806" t="s">
        <v>2214</v>
      </c>
      <c r="E3806" t="s">
        <v>2215</v>
      </c>
      <c r="F3806">
        <v>26889</v>
      </c>
      <c r="G3806">
        <v>1845</v>
      </c>
      <c r="H3806" s="32">
        <f t="shared" si="59"/>
        <v>14.573983739837399</v>
      </c>
      <c r="I3806">
        <v>1</v>
      </c>
      <c r="J3806" t="s">
        <v>21</v>
      </c>
    </row>
    <row r="3807" spans="1:10" x14ac:dyDescent="0.25">
      <c r="A3807">
        <v>4257</v>
      </c>
      <c r="B3807" t="s">
        <v>2039</v>
      </c>
      <c r="C3807" t="s">
        <v>307</v>
      </c>
      <c r="D3807" t="s">
        <v>2214</v>
      </c>
      <c r="E3807" t="s">
        <v>2215</v>
      </c>
      <c r="F3807">
        <v>13435</v>
      </c>
      <c r="G3807">
        <v>921</v>
      </c>
      <c r="H3807" s="32">
        <f t="shared" si="59"/>
        <v>14.587404994571118</v>
      </c>
      <c r="I3807">
        <v>1</v>
      </c>
      <c r="J3807" t="s">
        <v>21</v>
      </c>
    </row>
    <row r="3808" spans="1:10" x14ac:dyDescent="0.25">
      <c r="A3808">
        <v>1580</v>
      </c>
      <c r="B3808" t="s">
        <v>2041</v>
      </c>
      <c r="C3808" t="s">
        <v>307</v>
      </c>
      <c r="D3808" t="s">
        <v>2234</v>
      </c>
      <c r="E3808" t="s">
        <v>2215</v>
      </c>
      <c r="F3808">
        <v>39519</v>
      </c>
      <c r="G3808">
        <v>2704</v>
      </c>
      <c r="H3808" s="32">
        <f t="shared" si="59"/>
        <v>14.615014792899409</v>
      </c>
      <c r="I3808">
        <v>1</v>
      </c>
      <c r="J3808" t="s">
        <v>21</v>
      </c>
    </row>
    <row r="3809" spans="1:10" x14ac:dyDescent="0.25">
      <c r="A3809">
        <v>54634</v>
      </c>
      <c r="B3809" t="s">
        <v>2714</v>
      </c>
      <c r="C3809" t="s">
        <v>143</v>
      </c>
      <c r="D3809" t="s">
        <v>2218</v>
      </c>
      <c r="E3809" t="s">
        <v>2215</v>
      </c>
      <c r="F3809">
        <v>37740</v>
      </c>
      <c r="G3809">
        <v>2582.1170000000002</v>
      </c>
      <c r="H3809" s="32">
        <f t="shared" si="59"/>
        <v>14.615913996151219</v>
      </c>
      <c r="I3809">
        <v>1</v>
      </c>
      <c r="J3809" t="s">
        <v>21</v>
      </c>
    </row>
    <row r="3810" spans="1:10" x14ac:dyDescent="0.25">
      <c r="A3810">
        <v>7429</v>
      </c>
      <c r="B3810" t="s">
        <v>2521</v>
      </c>
      <c r="C3810" t="s">
        <v>708</v>
      </c>
      <c r="D3810" t="s">
        <v>2234</v>
      </c>
      <c r="E3810" t="s">
        <v>2215</v>
      </c>
      <c r="F3810">
        <v>1930</v>
      </c>
      <c r="G3810">
        <v>132</v>
      </c>
      <c r="H3810" s="32">
        <f t="shared" si="59"/>
        <v>14.621212121212121</v>
      </c>
      <c r="I3810">
        <v>1</v>
      </c>
      <c r="J3810" t="s">
        <v>21</v>
      </c>
    </row>
    <row r="3811" spans="1:10" x14ac:dyDescent="0.25">
      <c r="A3811">
        <v>3169</v>
      </c>
      <c r="B3811" t="s">
        <v>2413</v>
      </c>
      <c r="C3811" t="s">
        <v>143</v>
      </c>
      <c r="D3811" t="s">
        <v>2214</v>
      </c>
      <c r="E3811" t="s">
        <v>2215</v>
      </c>
      <c r="F3811">
        <v>15317</v>
      </c>
      <c r="G3811">
        <v>1046</v>
      </c>
      <c r="H3811" s="32">
        <f t="shared" si="59"/>
        <v>14.643403441682601</v>
      </c>
      <c r="I3811">
        <v>1</v>
      </c>
      <c r="J3811" t="s">
        <v>21</v>
      </c>
    </row>
    <row r="3812" spans="1:10" x14ac:dyDescent="0.25">
      <c r="A3812">
        <v>1040</v>
      </c>
      <c r="B3812" t="s">
        <v>2274</v>
      </c>
      <c r="C3812" t="s">
        <v>131</v>
      </c>
      <c r="D3812" t="s">
        <v>2218</v>
      </c>
      <c r="E3812" t="s">
        <v>2215</v>
      </c>
      <c r="F3812">
        <v>9320</v>
      </c>
      <c r="G3812">
        <v>635.76300000000003</v>
      </c>
      <c r="H3812" s="32">
        <f t="shared" si="59"/>
        <v>14.659550807454979</v>
      </c>
      <c r="I3812">
        <v>1</v>
      </c>
      <c r="J3812" t="s">
        <v>21</v>
      </c>
    </row>
    <row r="3813" spans="1:10" x14ac:dyDescent="0.25">
      <c r="A3813">
        <v>3132</v>
      </c>
      <c r="B3813" t="s">
        <v>1752</v>
      </c>
      <c r="C3813" t="s">
        <v>143</v>
      </c>
      <c r="D3813" t="s">
        <v>2214</v>
      </c>
      <c r="E3813" t="s">
        <v>2215</v>
      </c>
      <c r="F3813">
        <v>205</v>
      </c>
      <c r="G3813">
        <v>13.968999999999999</v>
      </c>
      <c r="H3813" s="32">
        <f t="shared" si="59"/>
        <v>14.675352566397022</v>
      </c>
      <c r="I3813">
        <v>1</v>
      </c>
      <c r="J3813" t="s">
        <v>21</v>
      </c>
    </row>
    <row r="3814" spans="1:10" x14ac:dyDescent="0.25">
      <c r="A3814">
        <v>3162</v>
      </c>
      <c r="B3814" t="s">
        <v>2410</v>
      </c>
      <c r="C3814" t="s">
        <v>143</v>
      </c>
      <c r="D3814" t="s">
        <v>2214</v>
      </c>
      <c r="E3814" t="s">
        <v>2215</v>
      </c>
      <c r="F3814">
        <v>21375</v>
      </c>
      <c r="G3814">
        <v>1449</v>
      </c>
      <c r="H3814" s="32">
        <f t="shared" si="59"/>
        <v>14.751552795031056</v>
      </c>
      <c r="I3814">
        <v>1</v>
      </c>
      <c r="J3814" t="s">
        <v>21</v>
      </c>
    </row>
    <row r="3815" spans="1:10" x14ac:dyDescent="0.25">
      <c r="A3815">
        <v>7158</v>
      </c>
      <c r="B3815" t="s">
        <v>1819</v>
      </c>
      <c r="C3815" t="s">
        <v>322</v>
      </c>
      <c r="D3815" t="s">
        <v>2214</v>
      </c>
      <c r="E3815" t="s">
        <v>2215</v>
      </c>
      <c r="F3815">
        <v>36165</v>
      </c>
      <c r="G3815">
        <v>2443.5500000000002</v>
      </c>
      <c r="H3815" s="32">
        <f t="shared" si="59"/>
        <v>14.800188250700824</v>
      </c>
      <c r="I3815">
        <v>1</v>
      </c>
      <c r="J3815" t="s">
        <v>21</v>
      </c>
    </row>
    <row r="3816" spans="1:10" x14ac:dyDescent="0.25">
      <c r="A3816">
        <v>3157</v>
      </c>
      <c r="B3816" t="s">
        <v>2408</v>
      </c>
      <c r="C3816" t="s">
        <v>143</v>
      </c>
      <c r="D3816" t="s">
        <v>2214</v>
      </c>
      <c r="E3816" t="s">
        <v>2215</v>
      </c>
      <c r="F3816">
        <v>13991</v>
      </c>
      <c r="G3816">
        <v>944</v>
      </c>
      <c r="H3816" s="32">
        <f t="shared" si="59"/>
        <v>14.820974576271187</v>
      </c>
      <c r="I3816">
        <v>1</v>
      </c>
      <c r="J3816" t="s">
        <v>21</v>
      </c>
    </row>
    <row r="3817" spans="1:10" x14ac:dyDescent="0.25">
      <c r="A3817">
        <v>50776</v>
      </c>
      <c r="B3817" t="s">
        <v>1329</v>
      </c>
      <c r="C3817" t="s">
        <v>143</v>
      </c>
      <c r="D3817" t="s">
        <v>2218</v>
      </c>
      <c r="E3817" t="s">
        <v>2215</v>
      </c>
      <c r="F3817">
        <v>53682</v>
      </c>
      <c r="G3817">
        <v>3621.7869999999998</v>
      </c>
      <c r="H3817" s="32">
        <f t="shared" si="59"/>
        <v>14.821964958182246</v>
      </c>
      <c r="I3817">
        <v>1</v>
      </c>
      <c r="J3817" t="s">
        <v>21</v>
      </c>
    </row>
    <row r="3818" spans="1:10" x14ac:dyDescent="0.25">
      <c r="A3818">
        <v>57607</v>
      </c>
      <c r="B3818" t="s">
        <v>3016</v>
      </c>
      <c r="C3818" t="s">
        <v>708</v>
      </c>
      <c r="D3818" t="s">
        <v>2234</v>
      </c>
      <c r="E3818" t="s">
        <v>2215</v>
      </c>
      <c r="F3818">
        <v>1975</v>
      </c>
      <c r="G3818">
        <v>133</v>
      </c>
      <c r="H3818" s="32">
        <f t="shared" si="59"/>
        <v>14.849624060150376</v>
      </c>
      <c r="I3818">
        <v>1</v>
      </c>
      <c r="J3818" t="s">
        <v>21</v>
      </c>
    </row>
    <row r="3819" spans="1:10" x14ac:dyDescent="0.25">
      <c r="A3819">
        <v>3403</v>
      </c>
      <c r="B3819" t="s">
        <v>2426</v>
      </c>
      <c r="C3819" t="s">
        <v>2029</v>
      </c>
      <c r="D3819" t="s">
        <v>2214</v>
      </c>
      <c r="E3819" t="s">
        <v>2215</v>
      </c>
      <c r="F3819">
        <v>38783</v>
      </c>
      <c r="G3819">
        <v>2607.6570000000002</v>
      </c>
      <c r="H3819" s="32">
        <f t="shared" si="59"/>
        <v>14.872738247399868</v>
      </c>
      <c r="I3819">
        <v>1</v>
      </c>
      <c r="J3819" t="s">
        <v>21</v>
      </c>
    </row>
    <row r="3820" spans="1:10" x14ac:dyDescent="0.25">
      <c r="A3820">
        <v>61890</v>
      </c>
      <c r="B3820" t="s">
        <v>2006</v>
      </c>
      <c r="C3820" t="s">
        <v>307</v>
      </c>
      <c r="D3820" t="s">
        <v>2214</v>
      </c>
      <c r="E3820" t="s">
        <v>2215</v>
      </c>
      <c r="F3820">
        <v>106305</v>
      </c>
      <c r="G3820">
        <v>7131.7529999999997</v>
      </c>
      <c r="H3820" s="32">
        <f t="shared" si="59"/>
        <v>14.90587237107062</v>
      </c>
      <c r="I3820">
        <v>1</v>
      </c>
      <c r="J3820" t="s">
        <v>21</v>
      </c>
    </row>
    <row r="3821" spans="1:10" x14ac:dyDescent="0.25">
      <c r="A3821">
        <v>3111</v>
      </c>
      <c r="B3821" t="s">
        <v>2399</v>
      </c>
      <c r="C3821" t="s">
        <v>143</v>
      </c>
      <c r="D3821" t="s">
        <v>2214</v>
      </c>
      <c r="E3821" t="s">
        <v>2215</v>
      </c>
      <c r="F3821">
        <v>243891</v>
      </c>
      <c r="G3821">
        <v>16293</v>
      </c>
      <c r="H3821" s="32">
        <f t="shared" si="59"/>
        <v>14.969066470263304</v>
      </c>
      <c r="I3821">
        <v>1</v>
      </c>
      <c r="J3821" t="s">
        <v>21</v>
      </c>
    </row>
    <row r="3822" spans="1:10" x14ac:dyDescent="0.25">
      <c r="A3822">
        <v>3163</v>
      </c>
      <c r="B3822" t="s">
        <v>2411</v>
      </c>
      <c r="C3822" t="s">
        <v>143</v>
      </c>
      <c r="D3822" t="s">
        <v>2214</v>
      </c>
      <c r="E3822" t="s">
        <v>2215</v>
      </c>
      <c r="F3822">
        <v>21930</v>
      </c>
      <c r="G3822">
        <v>1465</v>
      </c>
      <c r="H3822" s="32">
        <f t="shared" si="59"/>
        <v>14.969283276450511</v>
      </c>
      <c r="I3822">
        <v>1</v>
      </c>
      <c r="J3822" t="s">
        <v>21</v>
      </c>
    </row>
    <row r="3823" spans="1:10" x14ac:dyDescent="0.25">
      <c r="A3823">
        <v>2854</v>
      </c>
      <c r="B3823" t="s">
        <v>1830</v>
      </c>
      <c r="C3823" t="s">
        <v>322</v>
      </c>
      <c r="D3823" t="s">
        <v>2214</v>
      </c>
      <c r="E3823" t="s">
        <v>2215</v>
      </c>
      <c r="F3823">
        <v>8703</v>
      </c>
      <c r="G3823">
        <v>578.71900000000005</v>
      </c>
      <c r="H3823" s="32">
        <f t="shared" si="59"/>
        <v>15.038386505367889</v>
      </c>
      <c r="I3823">
        <v>1</v>
      </c>
      <c r="J3823" t="s">
        <v>21</v>
      </c>
    </row>
    <row r="3824" spans="1:10" x14ac:dyDescent="0.25">
      <c r="A3824">
        <v>7439</v>
      </c>
      <c r="B3824" t="s">
        <v>2523</v>
      </c>
      <c r="C3824" t="s">
        <v>201</v>
      </c>
      <c r="D3824" t="s">
        <v>2234</v>
      </c>
      <c r="E3824" t="s">
        <v>2215</v>
      </c>
      <c r="F3824">
        <v>6286</v>
      </c>
      <c r="G3824">
        <v>416</v>
      </c>
      <c r="H3824" s="32">
        <f t="shared" si="59"/>
        <v>15.110576923076923</v>
      </c>
      <c r="I3824">
        <v>1</v>
      </c>
      <c r="J3824" t="s">
        <v>21</v>
      </c>
    </row>
    <row r="3825" spans="1:10" x14ac:dyDescent="0.25">
      <c r="A3825">
        <v>7797</v>
      </c>
      <c r="B3825" t="s">
        <v>2545</v>
      </c>
      <c r="C3825" t="s">
        <v>201</v>
      </c>
      <c r="D3825" t="s">
        <v>2234</v>
      </c>
      <c r="E3825" t="s">
        <v>2215</v>
      </c>
      <c r="F3825">
        <v>1497</v>
      </c>
      <c r="G3825">
        <v>98</v>
      </c>
      <c r="H3825" s="32">
        <f t="shared" si="59"/>
        <v>15.275510204081632</v>
      </c>
      <c r="I3825">
        <v>1</v>
      </c>
      <c r="J3825" t="s">
        <v>21</v>
      </c>
    </row>
    <row r="3826" spans="1:10" x14ac:dyDescent="0.25">
      <c r="A3826">
        <v>1016</v>
      </c>
      <c r="B3826" t="s">
        <v>2273</v>
      </c>
      <c r="C3826" t="s">
        <v>708</v>
      </c>
      <c r="D3826" t="s">
        <v>2214</v>
      </c>
      <c r="E3826" t="s">
        <v>2215</v>
      </c>
      <c r="F3826">
        <v>9093</v>
      </c>
      <c r="G3826">
        <v>593.60699999999997</v>
      </c>
      <c r="H3826" s="32">
        <f t="shared" si="59"/>
        <v>15.318215587080342</v>
      </c>
      <c r="I3826">
        <v>1</v>
      </c>
      <c r="J3826" t="s">
        <v>21</v>
      </c>
    </row>
    <row r="3827" spans="1:10" x14ac:dyDescent="0.25">
      <c r="A3827">
        <v>1734</v>
      </c>
      <c r="B3827" t="s">
        <v>2312</v>
      </c>
      <c r="C3827" t="s">
        <v>250</v>
      </c>
      <c r="D3827" t="s">
        <v>2214</v>
      </c>
      <c r="E3827" t="s">
        <v>2215</v>
      </c>
      <c r="F3827">
        <v>29925</v>
      </c>
      <c r="G3827">
        <v>1951.86</v>
      </c>
      <c r="H3827" s="32">
        <f t="shared" si="59"/>
        <v>15.33152992530202</v>
      </c>
      <c r="I3827">
        <v>1</v>
      </c>
      <c r="J3827" t="s">
        <v>21</v>
      </c>
    </row>
    <row r="3828" spans="1:10" x14ac:dyDescent="0.25">
      <c r="A3828">
        <v>1016</v>
      </c>
      <c r="B3828" t="s">
        <v>2273</v>
      </c>
      <c r="C3828" t="s">
        <v>708</v>
      </c>
      <c r="D3828" t="s">
        <v>2071</v>
      </c>
      <c r="E3828" t="s">
        <v>2215</v>
      </c>
      <c r="F3828">
        <v>39805</v>
      </c>
      <c r="G3828">
        <v>2585.6750000000002</v>
      </c>
      <c r="H3828" s="32">
        <f t="shared" si="59"/>
        <v>15.394432788343469</v>
      </c>
      <c r="I3828">
        <v>1</v>
      </c>
      <c r="J3828" t="s">
        <v>21</v>
      </c>
    </row>
    <row r="3829" spans="1:10" x14ac:dyDescent="0.25">
      <c r="A3829">
        <v>2933</v>
      </c>
      <c r="B3829" t="s">
        <v>2392</v>
      </c>
      <c r="C3829" t="s">
        <v>322</v>
      </c>
      <c r="D3829" t="s">
        <v>2234</v>
      </c>
      <c r="E3829" t="s">
        <v>2215</v>
      </c>
      <c r="F3829">
        <v>1132</v>
      </c>
      <c r="G3829">
        <v>72.991</v>
      </c>
      <c r="H3829" s="32">
        <f t="shared" si="59"/>
        <v>15.508761354139551</v>
      </c>
      <c r="I3829">
        <v>1</v>
      </c>
      <c r="J3829" t="s">
        <v>21</v>
      </c>
    </row>
    <row r="3830" spans="1:10" x14ac:dyDescent="0.25">
      <c r="A3830">
        <v>6250</v>
      </c>
      <c r="B3830" t="s">
        <v>2492</v>
      </c>
      <c r="C3830" t="s">
        <v>708</v>
      </c>
      <c r="D3830" t="s">
        <v>2218</v>
      </c>
      <c r="E3830" t="s">
        <v>2215</v>
      </c>
      <c r="F3830">
        <v>191978</v>
      </c>
      <c r="G3830">
        <v>12343.535</v>
      </c>
      <c r="H3830" s="32">
        <f t="shared" si="59"/>
        <v>15.552918997677732</v>
      </c>
      <c r="I3830">
        <v>1</v>
      </c>
      <c r="J3830" t="s">
        <v>21</v>
      </c>
    </row>
    <row r="3831" spans="1:10" x14ac:dyDescent="0.25">
      <c r="A3831">
        <v>3785</v>
      </c>
      <c r="B3831" t="s">
        <v>2454</v>
      </c>
      <c r="C3831" t="s">
        <v>201</v>
      </c>
      <c r="D3831" t="s">
        <v>2214</v>
      </c>
      <c r="E3831" t="s">
        <v>2215</v>
      </c>
      <c r="F3831">
        <v>41406</v>
      </c>
      <c r="G3831">
        <v>2644</v>
      </c>
      <c r="H3831" s="32">
        <f t="shared" si="59"/>
        <v>15.66036308623298</v>
      </c>
      <c r="I3831">
        <v>1</v>
      </c>
      <c r="J3831" t="s">
        <v>21</v>
      </c>
    </row>
    <row r="3832" spans="1:10" x14ac:dyDescent="0.25">
      <c r="A3832">
        <v>7397</v>
      </c>
      <c r="B3832" t="s">
        <v>2517</v>
      </c>
      <c r="C3832" t="s">
        <v>143</v>
      </c>
      <c r="D3832" t="s">
        <v>2234</v>
      </c>
      <c r="E3832" t="s">
        <v>2215</v>
      </c>
      <c r="F3832">
        <v>1371</v>
      </c>
      <c r="G3832">
        <v>86.941999999999993</v>
      </c>
      <c r="H3832" s="32">
        <f t="shared" si="59"/>
        <v>15.769133445285364</v>
      </c>
      <c r="I3832">
        <v>1</v>
      </c>
      <c r="J3832" t="s">
        <v>21</v>
      </c>
    </row>
    <row r="3833" spans="1:10" x14ac:dyDescent="0.25">
      <c r="A3833">
        <v>3170</v>
      </c>
      <c r="B3833" t="s">
        <v>2414</v>
      </c>
      <c r="C3833" t="s">
        <v>143</v>
      </c>
      <c r="D3833" t="s">
        <v>2214</v>
      </c>
      <c r="E3833" t="s">
        <v>2215</v>
      </c>
      <c r="F3833">
        <v>20310</v>
      </c>
      <c r="G3833">
        <v>1285</v>
      </c>
      <c r="H3833" s="32">
        <f t="shared" si="59"/>
        <v>15.805447470817121</v>
      </c>
      <c r="I3833">
        <v>1</v>
      </c>
      <c r="J3833" t="s">
        <v>21</v>
      </c>
    </row>
    <row r="3834" spans="1:10" x14ac:dyDescent="0.25">
      <c r="A3834">
        <v>3161</v>
      </c>
      <c r="B3834" t="s">
        <v>2409</v>
      </c>
      <c r="C3834" t="s">
        <v>143</v>
      </c>
      <c r="D3834" t="s">
        <v>2218</v>
      </c>
      <c r="E3834" t="s">
        <v>2215</v>
      </c>
      <c r="F3834">
        <v>268190</v>
      </c>
      <c r="G3834">
        <v>16831.52</v>
      </c>
      <c r="H3834" s="32">
        <f t="shared" si="59"/>
        <v>15.933795640560092</v>
      </c>
      <c r="I3834">
        <v>1</v>
      </c>
      <c r="J3834" t="s">
        <v>21</v>
      </c>
    </row>
    <row r="3835" spans="1:10" x14ac:dyDescent="0.25">
      <c r="A3835">
        <v>56004</v>
      </c>
      <c r="B3835" t="s">
        <v>2821</v>
      </c>
      <c r="C3835" t="s">
        <v>201</v>
      </c>
      <c r="D3835" t="s">
        <v>2214</v>
      </c>
      <c r="E3835" t="s">
        <v>2215</v>
      </c>
      <c r="F3835">
        <v>14302</v>
      </c>
      <c r="G3835">
        <v>892.78</v>
      </c>
      <c r="H3835" s="32">
        <f t="shared" si="59"/>
        <v>16.019624095521852</v>
      </c>
      <c r="I3835">
        <v>1</v>
      </c>
      <c r="J3835" t="s">
        <v>21</v>
      </c>
    </row>
    <row r="3836" spans="1:10" x14ac:dyDescent="0.25">
      <c r="A3836">
        <v>56005</v>
      </c>
      <c r="B3836" t="s">
        <v>2822</v>
      </c>
      <c r="C3836" t="s">
        <v>201</v>
      </c>
      <c r="D3836" t="s">
        <v>2214</v>
      </c>
      <c r="E3836" t="s">
        <v>2215</v>
      </c>
      <c r="F3836">
        <v>14797</v>
      </c>
      <c r="G3836">
        <v>923.16</v>
      </c>
      <c r="H3836" s="32">
        <f t="shared" si="59"/>
        <v>16.028640755665325</v>
      </c>
      <c r="I3836">
        <v>1</v>
      </c>
      <c r="J3836" t="s">
        <v>21</v>
      </c>
    </row>
    <row r="3837" spans="1:10" x14ac:dyDescent="0.25">
      <c r="A3837">
        <v>50260</v>
      </c>
      <c r="B3837" t="s">
        <v>2630</v>
      </c>
      <c r="C3837" t="s">
        <v>250</v>
      </c>
      <c r="D3837" t="s">
        <v>2234</v>
      </c>
      <c r="E3837" t="s">
        <v>2215</v>
      </c>
      <c r="F3837">
        <v>684</v>
      </c>
      <c r="G3837">
        <v>42</v>
      </c>
      <c r="H3837" s="32">
        <f t="shared" si="59"/>
        <v>16.285714285714285</v>
      </c>
      <c r="I3837">
        <v>1</v>
      </c>
      <c r="J3837" t="s">
        <v>21</v>
      </c>
    </row>
    <row r="3838" spans="1:10" x14ac:dyDescent="0.25">
      <c r="A3838">
        <v>50611</v>
      </c>
      <c r="B3838" t="s">
        <v>1786</v>
      </c>
      <c r="C3838" t="s">
        <v>143</v>
      </c>
      <c r="D3838" t="s">
        <v>2218</v>
      </c>
      <c r="E3838" t="s">
        <v>2215</v>
      </c>
      <c r="F3838">
        <v>26887</v>
      </c>
      <c r="G3838">
        <v>1642.9659999999999</v>
      </c>
      <c r="H3838" s="32">
        <f t="shared" si="59"/>
        <v>16.364915646458904</v>
      </c>
      <c r="I3838">
        <v>1</v>
      </c>
      <c r="J3838" t="s">
        <v>21</v>
      </c>
    </row>
    <row r="3839" spans="1:10" x14ac:dyDescent="0.25">
      <c r="A3839">
        <v>1873</v>
      </c>
      <c r="B3839" t="s">
        <v>2351</v>
      </c>
      <c r="C3839" t="s">
        <v>250</v>
      </c>
      <c r="D3839" t="s">
        <v>2214</v>
      </c>
      <c r="E3839" t="s">
        <v>2215</v>
      </c>
      <c r="F3839">
        <v>1002</v>
      </c>
      <c r="G3839">
        <v>61</v>
      </c>
      <c r="H3839" s="32">
        <f t="shared" si="59"/>
        <v>16.42622950819672</v>
      </c>
      <c r="I3839">
        <v>1</v>
      </c>
      <c r="J3839" t="s">
        <v>21</v>
      </c>
    </row>
    <row r="3840" spans="1:10" x14ac:dyDescent="0.25">
      <c r="A3840">
        <v>1554</v>
      </c>
      <c r="B3840" t="s">
        <v>1741</v>
      </c>
      <c r="C3840" t="s">
        <v>307</v>
      </c>
      <c r="D3840" t="s">
        <v>2214</v>
      </c>
      <c r="E3840" t="s">
        <v>2215</v>
      </c>
      <c r="F3840">
        <v>7283</v>
      </c>
      <c r="G3840">
        <v>441</v>
      </c>
      <c r="H3840" s="32">
        <f t="shared" si="59"/>
        <v>16.514739229024944</v>
      </c>
      <c r="I3840">
        <v>1</v>
      </c>
      <c r="J3840" t="s">
        <v>21</v>
      </c>
    </row>
    <row r="3841" spans="1:10" x14ac:dyDescent="0.25">
      <c r="A3841">
        <v>8016</v>
      </c>
      <c r="B3841" t="s">
        <v>2568</v>
      </c>
      <c r="C3841" t="s">
        <v>166</v>
      </c>
      <c r="D3841" t="s">
        <v>2214</v>
      </c>
      <c r="E3841" t="s">
        <v>2215</v>
      </c>
      <c r="F3841">
        <v>2203</v>
      </c>
      <c r="G3841">
        <v>132</v>
      </c>
      <c r="H3841" s="32">
        <f t="shared" si="59"/>
        <v>16.689393939393938</v>
      </c>
      <c r="I3841">
        <v>1</v>
      </c>
      <c r="J3841" t="s">
        <v>21</v>
      </c>
    </row>
    <row r="3842" spans="1:10" x14ac:dyDescent="0.25">
      <c r="A3842">
        <v>10774</v>
      </c>
      <c r="B3842" t="s">
        <v>2612</v>
      </c>
      <c r="C3842" t="s">
        <v>201</v>
      </c>
      <c r="D3842" t="s">
        <v>2218</v>
      </c>
      <c r="E3842" t="s">
        <v>2215</v>
      </c>
      <c r="F3842">
        <v>17725</v>
      </c>
      <c r="G3842">
        <v>1056.646</v>
      </c>
      <c r="H3842" s="32">
        <f t="shared" ref="H3842:H3905" si="60">IF(AND(F3842&gt;0,G3842&gt;0),F3842/G3842,"")</f>
        <v>16.77477603662911</v>
      </c>
      <c r="I3842">
        <v>1</v>
      </c>
      <c r="J3842" t="s">
        <v>21</v>
      </c>
    </row>
    <row r="3843" spans="1:10" x14ac:dyDescent="0.25">
      <c r="A3843">
        <v>1557</v>
      </c>
      <c r="B3843" t="s">
        <v>2287</v>
      </c>
      <c r="C3843" t="s">
        <v>307</v>
      </c>
      <c r="D3843" t="s">
        <v>2214</v>
      </c>
      <c r="E3843" t="s">
        <v>2215</v>
      </c>
      <c r="F3843">
        <v>156607</v>
      </c>
      <c r="G3843">
        <v>9262</v>
      </c>
      <c r="H3843" s="32">
        <f t="shared" si="60"/>
        <v>16.908551068883611</v>
      </c>
      <c r="I3843">
        <v>1</v>
      </c>
      <c r="J3843" t="s">
        <v>21</v>
      </c>
    </row>
    <row r="3844" spans="1:10" x14ac:dyDescent="0.25">
      <c r="A3844">
        <v>57505</v>
      </c>
      <c r="B3844" t="s">
        <v>3010</v>
      </c>
      <c r="C3844" t="s">
        <v>708</v>
      </c>
      <c r="D3844" t="s">
        <v>2214</v>
      </c>
      <c r="E3844" t="s">
        <v>2215</v>
      </c>
      <c r="F3844">
        <v>116</v>
      </c>
      <c r="G3844">
        <v>6.7460000000000004</v>
      </c>
      <c r="H3844" s="32">
        <f t="shared" si="60"/>
        <v>17.195375037058998</v>
      </c>
      <c r="I3844">
        <v>1</v>
      </c>
      <c r="J3844" t="s">
        <v>21</v>
      </c>
    </row>
    <row r="3845" spans="1:10" x14ac:dyDescent="0.25">
      <c r="A3845">
        <v>1564</v>
      </c>
      <c r="B3845" t="s">
        <v>1733</v>
      </c>
      <c r="C3845" t="s">
        <v>307</v>
      </c>
      <c r="D3845" t="s">
        <v>2218</v>
      </c>
      <c r="E3845" t="s">
        <v>2215</v>
      </c>
      <c r="F3845">
        <v>14369</v>
      </c>
      <c r="G3845">
        <v>823.42700000000002</v>
      </c>
      <c r="H3845" s="32">
        <f t="shared" si="60"/>
        <v>17.450241490745384</v>
      </c>
      <c r="I3845">
        <v>1</v>
      </c>
      <c r="J3845" t="s">
        <v>21</v>
      </c>
    </row>
    <row r="3846" spans="1:10" x14ac:dyDescent="0.25">
      <c r="A3846">
        <v>1573</v>
      </c>
      <c r="B3846" t="s">
        <v>2289</v>
      </c>
      <c r="C3846" t="s">
        <v>307</v>
      </c>
      <c r="D3846" t="s">
        <v>2214</v>
      </c>
      <c r="E3846" t="s">
        <v>2215</v>
      </c>
      <c r="F3846">
        <v>167953</v>
      </c>
      <c r="G3846">
        <v>9557</v>
      </c>
      <c r="H3846" s="32">
        <f t="shared" si="60"/>
        <v>17.573820236475882</v>
      </c>
      <c r="I3846">
        <v>1</v>
      </c>
      <c r="J3846" t="s">
        <v>21</v>
      </c>
    </row>
    <row r="3847" spans="1:10" x14ac:dyDescent="0.25">
      <c r="A3847">
        <v>54625</v>
      </c>
      <c r="B3847" t="s">
        <v>2713</v>
      </c>
      <c r="C3847" t="s">
        <v>143</v>
      </c>
      <c r="D3847" t="s">
        <v>2218</v>
      </c>
      <c r="E3847" t="s">
        <v>2215</v>
      </c>
      <c r="F3847">
        <v>56931</v>
      </c>
      <c r="G3847">
        <v>3205.8910000000001</v>
      </c>
      <c r="H3847" s="32">
        <f t="shared" si="60"/>
        <v>17.758245679594221</v>
      </c>
      <c r="I3847">
        <v>1</v>
      </c>
      <c r="J3847" t="s">
        <v>21</v>
      </c>
    </row>
    <row r="3848" spans="1:10" x14ac:dyDescent="0.25">
      <c r="A3848">
        <v>3804</v>
      </c>
      <c r="B3848" t="s">
        <v>1398</v>
      </c>
      <c r="C3848" t="s">
        <v>201</v>
      </c>
      <c r="D3848" t="s">
        <v>2214</v>
      </c>
      <c r="E3848" t="s">
        <v>2215</v>
      </c>
      <c r="F3848">
        <v>80155</v>
      </c>
      <c r="G3848">
        <v>4509</v>
      </c>
      <c r="H3848" s="32">
        <f t="shared" si="60"/>
        <v>17.776668884453315</v>
      </c>
      <c r="I3848">
        <v>1</v>
      </c>
      <c r="J3848" t="s">
        <v>21</v>
      </c>
    </row>
    <row r="3849" spans="1:10" x14ac:dyDescent="0.25">
      <c r="A3849">
        <v>886</v>
      </c>
      <c r="B3849" t="s">
        <v>2226</v>
      </c>
      <c r="C3849" t="s">
        <v>166</v>
      </c>
      <c r="D3849" t="s">
        <v>2214</v>
      </c>
      <c r="E3849" t="s">
        <v>2215</v>
      </c>
      <c r="F3849">
        <v>49093</v>
      </c>
      <c r="G3849">
        <v>2742</v>
      </c>
      <c r="H3849" s="32">
        <f t="shared" si="60"/>
        <v>17.904084609773889</v>
      </c>
      <c r="I3849">
        <v>1</v>
      </c>
      <c r="J3849" t="s">
        <v>21</v>
      </c>
    </row>
    <row r="3850" spans="1:10" x14ac:dyDescent="0.25">
      <c r="A3850">
        <v>7556</v>
      </c>
      <c r="B3850" t="s">
        <v>2528</v>
      </c>
      <c r="C3850" t="s">
        <v>166</v>
      </c>
      <c r="D3850" t="s">
        <v>2234</v>
      </c>
      <c r="E3850" t="s">
        <v>2215</v>
      </c>
      <c r="F3850">
        <v>474</v>
      </c>
      <c r="G3850">
        <v>26</v>
      </c>
      <c r="H3850" s="32">
        <f t="shared" si="60"/>
        <v>18.23076923076923</v>
      </c>
      <c r="I3850">
        <v>1</v>
      </c>
      <c r="J3850" t="s">
        <v>21</v>
      </c>
    </row>
    <row r="3851" spans="1:10" x14ac:dyDescent="0.25">
      <c r="A3851">
        <v>976</v>
      </c>
      <c r="B3851" t="s">
        <v>2259</v>
      </c>
      <c r="C3851" t="s">
        <v>166</v>
      </c>
      <c r="D3851" t="s">
        <v>2218</v>
      </c>
      <c r="E3851" t="s">
        <v>2215</v>
      </c>
      <c r="F3851">
        <v>9812</v>
      </c>
      <c r="G3851">
        <v>533.54100000000005</v>
      </c>
      <c r="H3851" s="32">
        <f t="shared" si="60"/>
        <v>18.390339261649991</v>
      </c>
      <c r="I3851">
        <v>1</v>
      </c>
      <c r="J3851" t="s">
        <v>21</v>
      </c>
    </row>
    <row r="3852" spans="1:10" x14ac:dyDescent="0.25">
      <c r="A3852">
        <v>594</v>
      </c>
      <c r="B3852" t="s">
        <v>2010</v>
      </c>
      <c r="C3852" t="s">
        <v>672</v>
      </c>
      <c r="D3852" t="s">
        <v>2214</v>
      </c>
      <c r="E3852" t="s">
        <v>2215</v>
      </c>
      <c r="F3852">
        <v>29420</v>
      </c>
      <c r="G3852">
        <v>1559</v>
      </c>
      <c r="H3852" s="32">
        <f t="shared" si="60"/>
        <v>18.871071199486849</v>
      </c>
      <c r="I3852">
        <v>1</v>
      </c>
      <c r="J3852" t="s">
        <v>21</v>
      </c>
    </row>
    <row r="3853" spans="1:10" x14ac:dyDescent="0.25">
      <c r="A3853">
        <v>3803</v>
      </c>
      <c r="B3853" t="s">
        <v>2459</v>
      </c>
      <c r="C3853" t="s">
        <v>201</v>
      </c>
      <c r="D3853" t="s">
        <v>2214</v>
      </c>
      <c r="E3853" t="s">
        <v>2215</v>
      </c>
      <c r="F3853">
        <v>21772</v>
      </c>
      <c r="G3853">
        <v>1145</v>
      </c>
      <c r="H3853" s="32">
        <f t="shared" si="60"/>
        <v>19.014847161572053</v>
      </c>
      <c r="I3853">
        <v>1</v>
      </c>
      <c r="J3853" t="s">
        <v>21</v>
      </c>
    </row>
    <row r="3854" spans="1:10" x14ac:dyDescent="0.25">
      <c r="A3854">
        <v>56262</v>
      </c>
      <c r="B3854" t="s">
        <v>2835</v>
      </c>
      <c r="C3854" t="s">
        <v>708</v>
      </c>
      <c r="D3854" t="s">
        <v>2234</v>
      </c>
      <c r="E3854" t="s">
        <v>2215</v>
      </c>
      <c r="F3854">
        <v>2710</v>
      </c>
      <c r="G3854">
        <v>136</v>
      </c>
      <c r="H3854" s="32">
        <f t="shared" si="60"/>
        <v>19.926470588235293</v>
      </c>
      <c r="I3854">
        <v>1</v>
      </c>
      <c r="J3854" t="s">
        <v>21</v>
      </c>
    </row>
    <row r="3855" spans="1:10" x14ac:dyDescent="0.25">
      <c r="A3855">
        <v>7438</v>
      </c>
      <c r="B3855" t="s">
        <v>2522</v>
      </c>
      <c r="C3855" t="s">
        <v>201</v>
      </c>
      <c r="D3855" t="s">
        <v>2234</v>
      </c>
      <c r="E3855" t="s">
        <v>2215</v>
      </c>
      <c r="F3855">
        <v>3869</v>
      </c>
      <c r="G3855">
        <v>192</v>
      </c>
      <c r="H3855" s="32">
        <f t="shared" si="60"/>
        <v>20.151041666666668</v>
      </c>
      <c r="I3855">
        <v>1</v>
      </c>
      <c r="J3855" t="s">
        <v>21</v>
      </c>
    </row>
    <row r="3856" spans="1:10" x14ac:dyDescent="0.25">
      <c r="A3856">
        <v>58697</v>
      </c>
      <c r="B3856" t="s">
        <v>3257</v>
      </c>
      <c r="C3856" t="s">
        <v>708</v>
      </c>
      <c r="D3856" t="s">
        <v>2214</v>
      </c>
      <c r="E3856" t="s">
        <v>2215</v>
      </c>
      <c r="F3856">
        <v>5686</v>
      </c>
      <c r="G3856">
        <v>281.23899999999998</v>
      </c>
      <c r="H3856" s="32">
        <f t="shared" si="60"/>
        <v>20.217679624803104</v>
      </c>
      <c r="I3856">
        <v>1</v>
      </c>
      <c r="J3856" t="s">
        <v>21</v>
      </c>
    </row>
    <row r="3857" spans="1:10" x14ac:dyDescent="0.25">
      <c r="A3857">
        <v>1867</v>
      </c>
      <c r="B3857" t="s">
        <v>2349</v>
      </c>
      <c r="C3857" t="s">
        <v>250</v>
      </c>
      <c r="D3857" t="s">
        <v>2234</v>
      </c>
      <c r="E3857" t="s">
        <v>2215</v>
      </c>
      <c r="F3857">
        <v>1322</v>
      </c>
      <c r="G3857">
        <v>65.069999999999993</v>
      </c>
      <c r="H3857" s="32">
        <f t="shared" si="60"/>
        <v>20.316582142308285</v>
      </c>
      <c r="I3857">
        <v>1</v>
      </c>
      <c r="J3857" t="s">
        <v>21</v>
      </c>
    </row>
    <row r="3858" spans="1:10" x14ac:dyDescent="0.25">
      <c r="A3858">
        <v>965</v>
      </c>
      <c r="B3858" t="s">
        <v>2255</v>
      </c>
      <c r="C3858" t="s">
        <v>166</v>
      </c>
      <c r="D3858" t="s">
        <v>2214</v>
      </c>
      <c r="E3858" t="s">
        <v>2215</v>
      </c>
      <c r="F3858">
        <v>3651</v>
      </c>
      <c r="G3858">
        <v>179</v>
      </c>
      <c r="H3858" s="32">
        <f t="shared" si="60"/>
        <v>20.396648044692739</v>
      </c>
      <c r="I3858">
        <v>1</v>
      </c>
      <c r="J3858" t="s">
        <v>21</v>
      </c>
    </row>
    <row r="3859" spans="1:10" x14ac:dyDescent="0.25">
      <c r="A3859">
        <v>6034</v>
      </c>
      <c r="B3859" t="s">
        <v>2008</v>
      </c>
      <c r="C3859" t="s">
        <v>250</v>
      </c>
      <c r="D3859" t="s">
        <v>2234</v>
      </c>
      <c r="E3859" t="s">
        <v>2215</v>
      </c>
      <c r="F3859">
        <v>6987</v>
      </c>
      <c r="G3859">
        <v>342</v>
      </c>
      <c r="H3859" s="32">
        <f t="shared" si="60"/>
        <v>20.42982456140351</v>
      </c>
      <c r="I3859">
        <v>1</v>
      </c>
      <c r="J3859" t="s">
        <v>21</v>
      </c>
    </row>
    <row r="3860" spans="1:10" x14ac:dyDescent="0.25">
      <c r="A3860">
        <v>3116</v>
      </c>
      <c r="B3860" t="s">
        <v>2402</v>
      </c>
      <c r="C3860" t="s">
        <v>143</v>
      </c>
      <c r="D3860" t="s">
        <v>2214</v>
      </c>
      <c r="E3860" t="s">
        <v>2215</v>
      </c>
      <c r="F3860">
        <v>47995</v>
      </c>
      <c r="G3860">
        <v>2338.9989999999998</v>
      </c>
      <c r="H3860" s="32">
        <f t="shared" si="60"/>
        <v>20.519461530338408</v>
      </c>
      <c r="I3860">
        <v>1</v>
      </c>
      <c r="J3860" t="s">
        <v>21</v>
      </c>
    </row>
    <row r="3861" spans="1:10" x14ac:dyDescent="0.25">
      <c r="A3861">
        <v>56548</v>
      </c>
      <c r="B3861" t="s">
        <v>2879</v>
      </c>
      <c r="C3861" t="s">
        <v>708</v>
      </c>
      <c r="D3861" t="s">
        <v>2234</v>
      </c>
      <c r="E3861" t="s">
        <v>2215</v>
      </c>
      <c r="F3861">
        <v>1010</v>
      </c>
      <c r="G3861">
        <v>49</v>
      </c>
      <c r="H3861" s="32">
        <f t="shared" si="60"/>
        <v>20.612244897959183</v>
      </c>
      <c r="I3861">
        <v>1</v>
      </c>
      <c r="J3861" t="s">
        <v>21</v>
      </c>
    </row>
    <row r="3862" spans="1:10" x14ac:dyDescent="0.25">
      <c r="A3862">
        <v>3799</v>
      </c>
      <c r="B3862" t="s">
        <v>2457</v>
      </c>
      <c r="C3862" t="s">
        <v>201</v>
      </c>
      <c r="D3862" t="s">
        <v>2214</v>
      </c>
      <c r="E3862" t="s">
        <v>2215</v>
      </c>
      <c r="F3862">
        <v>42712</v>
      </c>
      <c r="G3862">
        <v>2057</v>
      </c>
      <c r="H3862" s="32">
        <f t="shared" si="60"/>
        <v>20.764219737481771</v>
      </c>
      <c r="I3862">
        <v>1</v>
      </c>
      <c r="J3862" t="s">
        <v>21</v>
      </c>
    </row>
    <row r="3863" spans="1:10" x14ac:dyDescent="0.25">
      <c r="A3863">
        <v>3114</v>
      </c>
      <c r="B3863" t="s">
        <v>2401</v>
      </c>
      <c r="C3863" t="s">
        <v>143</v>
      </c>
      <c r="D3863" t="s">
        <v>2214</v>
      </c>
      <c r="E3863" t="s">
        <v>2215</v>
      </c>
      <c r="F3863">
        <v>23340</v>
      </c>
      <c r="G3863">
        <v>1118</v>
      </c>
      <c r="H3863" s="32">
        <f t="shared" si="60"/>
        <v>20.876565295169947</v>
      </c>
      <c r="I3863">
        <v>1</v>
      </c>
      <c r="J3863" t="s">
        <v>21</v>
      </c>
    </row>
    <row r="3864" spans="1:10" x14ac:dyDescent="0.25">
      <c r="A3864">
        <v>2783</v>
      </c>
      <c r="B3864" t="s">
        <v>2385</v>
      </c>
      <c r="C3864" t="s">
        <v>708</v>
      </c>
      <c r="D3864" t="s">
        <v>2234</v>
      </c>
      <c r="E3864" t="s">
        <v>2215</v>
      </c>
      <c r="F3864">
        <v>6618</v>
      </c>
      <c r="G3864">
        <v>313</v>
      </c>
      <c r="H3864" s="32">
        <f t="shared" si="60"/>
        <v>21.143769968051117</v>
      </c>
      <c r="I3864">
        <v>1</v>
      </c>
      <c r="J3864" t="s">
        <v>21</v>
      </c>
    </row>
    <row r="3865" spans="1:10" x14ac:dyDescent="0.25">
      <c r="A3865">
        <v>54731</v>
      </c>
      <c r="B3865" t="s">
        <v>2720</v>
      </c>
      <c r="C3865" t="s">
        <v>131</v>
      </c>
      <c r="D3865" t="s">
        <v>2234</v>
      </c>
      <c r="E3865" t="s">
        <v>2215</v>
      </c>
      <c r="F3865">
        <v>363</v>
      </c>
      <c r="G3865">
        <v>17</v>
      </c>
      <c r="H3865" s="32">
        <f t="shared" si="60"/>
        <v>21.352941176470587</v>
      </c>
      <c r="I3865">
        <v>1</v>
      </c>
      <c r="J3865" t="s">
        <v>21</v>
      </c>
    </row>
    <row r="3866" spans="1:10" x14ac:dyDescent="0.25">
      <c r="A3866">
        <v>7318</v>
      </c>
      <c r="B3866" t="s">
        <v>2516</v>
      </c>
      <c r="C3866" t="s">
        <v>672</v>
      </c>
      <c r="D3866" t="s">
        <v>2214</v>
      </c>
      <c r="E3866" t="s">
        <v>2215</v>
      </c>
      <c r="F3866">
        <v>4332</v>
      </c>
      <c r="G3866">
        <v>199.024</v>
      </c>
      <c r="H3866" s="32">
        <f t="shared" si="60"/>
        <v>21.766219149449313</v>
      </c>
      <c r="I3866">
        <v>1</v>
      </c>
      <c r="J3866" t="s">
        <v>21</v>
      </c>
    </row>
    <row r="3867" spans="1:10" x14ac:dyDescent="0.25">
      <c r="A3867">
        <v>3800</v>
      </c>
      <c r="B3867" t="s">
        <v>2458</v>
      </c>
      <c r="C3867" t="s">
        <v>201</v>
      </c>
      <c r="D3867" t="s">
        <v>2214</v>
      </c>
      <c r="E3867" t="s">
        <v>2215</v>
      </c>
      <c r="F3867">
        <v>58226</v>
      </c>
      <c r="G3867">
        <v>2654</v>
      </c>
      <c r="H3867" s="32">
        <f t="shared" si="60"/>
        <v>21.938960060286359</v>
      </c>
      <c r="I3867">
        <v>1</v>
      </c>
      <c r="J3867" t="s">
        <v>21</v>
      </c>
    </row>
    <row r="3868" spans="1:10" x14ac:dyDescent="0.25">
      <c r="A3868">
        <v>7778</v>
      </c>
      <c r="B3868" t="s">
        <v>2539</v>
      </c>
      <c r="C3868" t="s">
        <v>322</v>
      </c>
      <c r="D3868" t="s">
        <v>2234</v>
      </c>
      <c r="E3868" t="s">
        <v>2215</v>
      </c>
      <c r="F3868">
        <v>5992</v>
      </c>
      <c r="G3868">
        <v>271</v>
      </c>
      <c r="H3868" s="32">
        <f t="shared" si="60"/>
        <v>22.110701107011071</v>
      </c>
      <c r="I3868">
        <v>1</v>
      </c>
      <c r="J3868" t="s">
        <v>21</v>
      </c>
    </row>
    <row r="3869" spans="1:10" x14ac:dyDescent="0.25">
      <c r="A3869">
        <v>56343</v>
      </c>
      <c r="B3869" t="s">
        <v>2852</v>
      </c>
      <c r="C3869" t="s">
        <v>708</v>
      </c>
      <c r="D3869" t="s">
        <v>2234</v>
      </c>
      <c r="E3869" t="s">
        <v>2215</v>
      </c>
      <c r="F3869">
        <v>985</v>
      </c>
      <c r="G3869">
        <v>44</v>
      </c>
      <c r="H3869" s="32">
        <f t="shared" si="60"/>
        <v>22.386363636363637</v>
      </c>
      <c r="I3869">
        <v>1</v>
      </c>
      <c r="J3869" t="s">
        <v>21</v>
      </c>
    </row>
    <row r="3870" spans="1:10" x14ac:dyDescent="0.25">
      <c r="A3870">
        <v>3109</v>
      </c>
      <c r="B3870" t="s">
        <v>2398</v>
      </c>
      <c r="C3870" t="s">
        <v>143</v>
      </c>
      <c r="D3870" t="s">
        <v>2214</v>
      </c>
      <c r="E3870" t="s">
        <v>2215</v>
      </c>
      <c r="F3870">
        <v>18611</v>
      </c>
      <c r="G3870">
        <v>827</v>
      </c>
      <c r="H3870" s="32">
        <f t="shared" si="60"/>
        <v>22.504232164449817</v>
      </c>
      <c r="I3870">
        <v>1</v>
      </c>
      <c r="J3870" t="s">
        <v>21</v>
      </c>
    </row>
    <row r="3871" spans="1:10" x14ac:dyDescent="0.25">
      <c r="A3871">
        <v>56260</v>
      </c>
      <c r="B3871" t="s">
        <v>2834</v>
      </c>
      <c r="C3871" t="s">
        <v>708</v>
      </c>
      <c r="D3871" t="s">
        <v>2234</v>
      </c>
      <c r="E3871" t="s">
        <v>2215</v>
      </c>
      <c r="F3871">
        <v>1425</v>
      </c>
      <c r="G3871">
        <v>63</v>
      </c>
      <c r="H3871" s="32">
        <f t="shared" si="60"/>
        <v>22.61904761904762</v>
      </c>
      <c r="I3871">
        <v>1</v>
      </c>
      <c r="J3871" t="s">
        <v>21</v>
      </c>
    </row>
    <row r="3872" spans="1:10" x14ac:dyDescent="0.25">
      <c r="A3872">
        <v>2848</v>
      </c>
      <c r="B3872" t="s">
        <v>967</v>
      </c>
      <c r="C3872" t="s">
        <v>322</v>
      </c>
      <c r="D3872" t="s">
        <v>2214</v>
      </c>
      <c r="E3872" t="s">
        <v>2215</v>
      </c>
      <c r="F3872">
        <v>208</v>
      </c>
      <c r="G3872">
        <v>9.1549999999999994</v>
      </c>
      <c r="H3872" s="32">
        <f t="shared" si="60"/>
        <v>22.7198252321136</v>
      </c>
      <c r="I3872">
        <v>1</v>
      </c>
      <c r="J3872" t="s">
        <v>21</v>
      </c>
    </row>
    <row r="3873" spans="1:10" x14ac:dyDescent="0.25">
      <c r="A3873">
        <v>7918</v>
      </c>
      <c r="B3873" t="s">
        <v>2560</v>
      </c>
      <c r="C3873" t="s">
        <v>322</v>
      </c>
      <c r="D3873" t="s">
        <v>2234</v>
      </c>
      <c r="E3873" t="s">
        <v>2215</v>
      </c>
      <c r="F3873">
        <v>5987</v>
      </c>
      <c r="G3873">
        <v>262</v>
      </c>
      <c r="H3873" s="32">
        <f t="shared" si="60"/>
        <v>22.851145038167939</v>
      </c>
      <c r="I3873">
        <v>1</v>
      </c>
      <c r="J3873" t="s">
        <v>21</v>
      </c>
    </row>
    <row r="3874" spans="1:10" x14ac:dyDescent="0.25">
      <c r="A3874">
        <v>7336</v>
      </c>
      <c r="B3874" t="s">
        <v>129</v>
      </c>
      <c r="C3874" t="s">
        <v>131</v>
      </c>
      <c r="D3874" t="s">
        <v>2214</v>
      </c>
      <c r="E3874" t="s">
        <v>2215</v>
      </c>
      <c r="F3874">
        <v>4563</v>
      </c>
      <c r="G3874">
        <v>199.12299999999999</v>
      </c>
      <c r="H3874" s="32">
        <f t="shared" si="60"/>
        <v>22.915484399090012</v>
      </c>
      <c r="I3874">
        <v>1</v>
      </c>
      <c r="J3874" t="s">
        <v>21</v>
      </c>
    </row>
    <row r="3875" spans="1:10" x14ac:dyDescent="0.25">
      <c r="A3875">
        <v>57196</v>
      </c>
      <c r="B3875" t="s">
        <v>2952</v>
      </c>
      <c r="C3875" t="s">
        <v>708</v>
      </c>
      <c r="D3875" t="s">
        <v>2234</v>
      </c>
      <c r="E3875" t="s">
        <v>2215</v>
      </c>
      <c r="F3875">
        <v>887</v>
      </c>
      <c r="G3875">
        <v>37</v>
      </c>
      <c r="H3875" s="32">
        <f t="shared" si="60"/>
        <v>23.972972972972972</v>
      </c>
      <c r="I3875">
        <v>1</v>
      </c>
      <c r="J3875" t="s">
        <v>21</v>
      </c>
    </row>
    <row r="3876" spans="1:10" x14ac:dyDescent="0.25">
      <c r="A3876">
        <v>3112</v>
      </c>
      <c r="B3876" t="s">
        <v>2400</v>
      </c>
      <c r="C3876" t="s">
        <v>143</v>
      </c>
      <c r="D3876" t="s">
        <v>2214</v>
      </c>
      <c r="E3876" t="s">
        <v>2215</v>
      </c>
      <c r="F3876">
        <v>10010</v>
      </c>
      <c r="G3876">
        <v>417</v>
      </c>
      <c r="H3876" s="32">
        <f t="shared" si="60"/>
        <v>24.004796163069546</v>
      </c>
      <c r="I3876">
        <v>1</v>
      </c>
      <c r="J3876" t="s">
        <v>21</v>
      </c>
    </row>
    <row r="3877" spans="1:10" x14ac:dyDescent="0.25">
      <c r="A3877">
        <v>1746</v>
      </c>
      <c r="B3877" t="s">
        <v>2317</v>
      </c>
      <c r="C3877" t="s">
        <v>250</v>
      </c>
      <c r="D3877" t="s">
        <v>2234</v>
      </c>
      <c r="E3877" t="s">
        <v>2215</v>
      </c>
      <c r="F3877">
        <v>8011</v>
      </c>
      <c r="G3877">
        <v>333</v>
      </c>
      <c r="H3877" s="32">
        <f t="shared" si="60"/>
        <v>24.057057057057058</v>
      </c>
      <c r="I3877">
        <v>1</v>
      </c>
      <c r="J3877" t="s">
        <v>21</v>
      </c>
    </row>
    <row r="3878" spans="1:10" x14ac:dyDescent="0.25">
      <c r="A3878">
        <v>7776</v>
      </c>
      <c r="B3878" t="s">
        <v>2537</v>
      </c>
      <c r="C3878" t="s">
        <v>322</v>
      </c>
      <c r="D3878" t="s">
        <v>2234</v>
      </c>
      <c r="E3878" t="s">
        <v>2215</v>
      </c>
      <c r="F3878">
        <v>5892</v>
      </c>
      <c r="G3878">
        <v>242</v>
      </c>
      <c r="H3878" s="32">
        <f t="shared" si="60"/>
        <v>24.347107438016529</v>
      </c>
      <c r="I3878">
        <v>1</v>
      </c>
      <c r="J3878" t="s">
        <v>21</v>
      </c>
    </row>
    <row r="3879" spans="1:10" x14ac:dyDescent="0.25">
      <c r="A3879">
        <v>1852</v>
      </c>
      <c r="B3879" t="s">
        <v>2344</v>
      </c>
      <c r="C3879" t="s">
        <v>250</v>
      </c>
      <c r="D3879" t="s">
        <v>2234</v>
      </c>
      <c r="E3879" t="s">
        <v>2215</v>
      </c>
      <c r="F3879">
        <v>195</v>
      </c>
      <c r="G3879">
        <v>8</v>
      </c>
      <c r="H3879" s="32">
        <f t="shared" si="60"/>
        <v>24.375</v>
      </c>
      <c r="I3879">
        <v>1</v>
      </c>
      <c r="J3879" t="s">
        <v>21</v>
      </c>
    </row>
    <row r="3880" spans="1:10" x14ac:dyDescent="0.25">
      <c r="A3880">
        <v>2832</v>
      </c>
      <c r="B3880" t="s">
        <v>1166</v>
      </c>
      <c r="C3880" t="s">
        <v>322</v>
      </c>
      <c r="D3880" t="s">
        <v>2214</v>
      </c>
      <c r="E3880" t="s">
        <v>2215</v>
      </c>
      <c r="F3880">
        <v>15270</v>
      </c>
      <c r="G3880">
        <v>609</v>
      </c>
      <c r="H3880" s="32">
        <f t="shared" si="60"/>
        <v>25.073891625615765</v>
      </c>
      <c r="I3880">
        <v>1</v>
      </c>
      <c r="J3880" t="s">
        <v>21</v>
      </c>
    </row>
    <row r="3881" spans="1:10" x14ac:dyDescent="0.25">
      <c r="A3881">
        <v>597</v>
      </c>
      <c r="B3881" t="s">
        <v>2193</v>
      </c>
      <c r="C3881" t="s">
        <v>672</v>
      </c>
      <c r="D3881" t="s">
        <v>2214</v>
      </c>
      <c r="E3881" t="s">
        <v>2215</v>
      </c>
      <c r="F3881">
        <v>8404</v>
      </c>
      <c r="G3881">
        <v>322</v>
      </c>
      <c r="H3881" s="32">
        <f t="shared" si="60"/>
        <v>26.099378881987576</v>
      </c>
      <c r="I3881">
        <v>1</v>
      </c>
      <c r="J3881" t="s">
        <v>21</v>
      </c>
    </row>
    <row r="3882" spans="1:10" x14ac:dyDescent="0.25">
      <c r="A3882">
        <v>1744</v>
      </c>
      <c r="B3882" t="s">
        <v>2316</v>
      </c>
      <c r="C3882" t="s">
        <v>250</v>
      </c>
      <c r="D3882" t="s">
        <v>2214</v>
      </c>
      <c r="E3882" t="s">
        <v>2215</v>
      </c>
      <c r="F3882">
        <v>21584</v>
      </c>
      <c r="G3882">
        <v>789</v>
      </c>
      <c r="H3882" s="32">
        <f t="shared" si="60"/>
        <v>27.35614702154626</v>
      </c>
      <c r="I3882">
        <v>1</v>
      </c>
      <c r="J3882" t="s">
        <v>21</v>
      </c>
    </row>
    <row r="3883" spans="1:10" x14ac:dyDescent="0.25">
      <c r="A3883">
        <v>1737</v>
      </c>
      <c r="B3883" t="s">
        <v>2313</v>
      </c>
      <c r="C3883" t="s">
        <v>250</v>
      </c>
      <c r="D3883" t="s">
        <v>2234</v>
      </c>
      <c r="E3883" t="s">
        <v>2215</v>
      </c>
      <c r="F3883">
        <v>6832</v>
      </c>
      <c r="G3883">
        <v>243</v>
      </c>
      <c r="H3883" s="32">
        <f t="shared" si="60"/>
        <v>28.115226337448561</v>
      </c>
      <c r="I3883">
        <v>1</v>
      </c>
      <c r="J3883" t="s">
        <v>21</v>
      </c>
    </row>
    <row r="3884" spans="1:10" x14ac:dyDescent="0.25">
      <c r="A3884">
        <v>591</v>
      </c>
      <c r="B3884" t="s">
        <v>2220</v>
      </c>
      <c r="C3884" t="s">
        <v>672</v>
      </c>
      <c r="D3884" t="s">
        <v>2214</v>
      </c>
      <c r="E3884" t="s">
        <v>2215</v>
      </c>
      <c r="F3884">
        <v>21704</v>
      </c>
      <c r="G3884">
        <v>766.99900000000002</v>
      </c>
      <c r="H3884" s="32">
        <f t="shared" si="60"/>
        <v>28.297298953453655</v>
      </c>
      <c r="I3884">
        <v>1</v>
      </c>
      <c r="J3884" t="s">
        <v>21</v>
      </c>
    </row>
    <row r="3885" spans="1:10" x14ac:dyDescent="0.25">
      <c r="A3885">
        <v>2881</v>
      </c>
      <c r="B3885" t="s">
        <v>2388</v>
      </c>
      <c r="C3885" t="s">
        <v>322</v>
      </c>
      <c r="D3885" t="s">
        <v>2214</v>
      </c>
      <c r="E3885" t="s">
        <v>2215</v>
      </c>
      <c r="F3885">
        <v>4707</v>
      </c>
      <c r="G3885">
        <v>161</v>
      </c>
      <c r="H3885" s="32">
        <f t="shared" si="60"/>
        <v>29.236024844720497</v>
      </c>
      <c r="I3885">
        <v>1</v>
      </c>
      <c r="J3885" t="s">
        <v>21</v>
      </c>
    </row>
    <row r="3886" spans="1:10" x14ac:dyDescent="0.25">
      <c r="A3886">
        <v>6377</v>
      </c>
      <c r="B3886" t="s">
        <v>2494</v>
      </c>
      <c r="C3886" t="s">
        <v>708</v>
      </c>
      <c r="D3886" t="s">
        <v>2234</v>
      </c>
      <c r="E3886" t="s">
        <v>2215</v>
      </c>
      <c r="F3886">
        <v>1660</v>
      </c>
      <c r="G3886">
        <v>56</v>
      </c>
      <c r="H3886" s="32">
        <f t="shared" si="60"/>
        <v>29.642857142857142</v>
      </c>
      <c r="I3886">
        <v>1</v>
      </c>
      <c r="J3886" t="s">
        <v>21</v>
      </c>
    </row>
    <row r="3887" spans="1:10" x14ac:dyDescent="0.25">
      <c r="A3887">
        <v>55067</v>
      </c>
      <c r="B3887" t="s">
        <v>2761</v>
      </c>
      <c r="C3887" t="s">
        <v>166</v>
      </c>
      <c r="D3887" t="s">
        <v>2234</v>
      </c>
      <c r="E3887" t="s">
        <v>2215</v>
      </c>
      <c r="F3887">
        <v>124</v>
      </c>
      <c r="G3887">
        <v>4</v>
      </c>
      <c r="H3887" s="32">
        <f t="shared" si="60"/>
        <v>31</v>
      </c>
      <c r="I3887">
        <v>1</v>
      </c>
      <c r="J3887" t="s">
        <v>21</v>
      </c>
    </row>
    <row r="3888" spans="1:10" x14ac:dyDescent="0.25">
      <c r="A3888">
        <v>10058</v>
      </c>
      <c r="B3888" t="s">
        <v>2574</v>
      </c>
      <c r="C3888" t="s">
        <v>143</v>
      </c>
      <c r="D3888" t="s">
        <v>2234</v>
      </c>
      <c r="E3888" t="s">
        <v>2215</v>
      </c>
      <c r="F3888">
        <v>153323</v>
      </c>
      <c r="G3888">
        <v>4818.66</v>
      </c>
      <c r="H3888" s="32">
        <f t="shared" si="60"/>
        <v>31.818596871329376</v>
      </c>
      <c r="I3888">
        <v>1</v>
      </c>
      <c r="J3888" t="s">
        <v>21</v>
      </c>
    </row>
    <row r="3889" spans="1:10" x14ac:dyDescent="0.25">
      <c r="A3889">
        <v>3161</v>
      </c>
      <c r="B3889" t="s">
        <v>2409</v>
      </c>
      <c r="C3889" t="s">
        <v>143</v>
      </c>
      <c r="D3889" t="s">
        <v>2214</v>
      </c>
      <c r="E3889" t="s">
        <v>2215</v>
      </c>
      <c r="F3889">
        <v>48439</v>
      </c>
      <c r="G3889">
        <v>1457</v>
      </c>
      <c r="H3889" s="32">
        <f t="shared" si="60"/>
        <v>33.245710363761155</v>
      </c>
      <c r="I3889">
        <v>1</v>
      </c>
      <c r="J3889" t="s">
        <v>21</v>
      </c>
    </row>
    <row r="3890" spans="1:10" x14ac:dyDescent="0.25">
      <c r="A3890">
        <v>56954</v>
      </c>
      <c r="B3890" t="s">
        <v>2924</v>
      </c>
      <c r="C3890" t="s">
        <v>708</v>
      </c>
      <c r="D3890" t="s">
        <v>2234</v>
      </c>
      <c r="E3890" t="s">
        <v>2215</v>
      </c>
      <c r="F3890">
        <v>3137</v>
      </c>
      <c r="G3890">
        <v>86</v>
      </c>
      <c r="H3890" s="32">
        <f t="shared" si="60"/>
        <v>36.47674418604651</v>
      </c>
      <c r="I3890">
        <v>1</v>
      </c>
      <c r="J3890" t="s">
        <v>21</v>
      </c>
    </row>
    <row r="3891" spans="1:10" x14ac:dyDescent="0.25">
      <c r="A3891">
        <v>1725</v>
      </c>
      <c r="B3891" t="s">
        <v>2306</v>
      </c>
      <c r="C3891" t="s">
        <v>250</v>
      </c>
      <c r="D3891" t="s">
        <v>2234</v>
      </c>
      <c r="E3891" t="s">
        <v>2215</v>
      </c>
      <c r="F3891">
        <v>5369</v>
      </c>
      <c r="G3891">
        <v>146</v>
      </c>
      <c r="H3891" s="32">
        <f t="shared" si="60"/>
        <v>36.773972602739725</v>
      </c>
      <c r="I3891">
        <v>1</v>
      </c>
      <c r="J3891" t="s">
        <v>21</v>
      </c>
    </row>
    <row r="3892" spans="1:10" x14ac:dyDescent="0.25">
      <c r="A3892">
        <v>55002</v>
      </c>
      <c r="B3892" t="s">
        <v>2755</v>
      </c>
      <c r="C3892" t="s">
        <v>708</v>
      </c>
      <c r="D3892" t="s">
        <v>2234</v>
      </c>
      <c r="E3892" t="s">
        <v>2215</v>
      </c>
      <c r="F3892">
        <v>123</v>
      </c>
      <c r="G3892">
        <v>3</v>
      </c>
      <c r="H3892" s="32">
        <f t="shared" si="60"/>
        <v>41</v>
      </c>
      <c r="I3892">
        <v>1</v>
      </c>
      <c r="J3892" t="s">
        <v>21</v>
      </c>
    </row>
    <row r="3893" spans="1:10" x14ac:dyDescent="0.25">
      <c r="A3893">
        <v>7831</v>
      </c>
      <c r="B3893" t="s">
        <v>2555</v>
      </c>
      <c r="C3893" t="s">
        <v>250</v>
      </c>
      <c r="D3893" t="s">
        <v>2234</v>
      </c>
      <c r="E3893" t="s">
        <v>2215</v>
      </c>
      <c r="F3893">
        <v>2071</v>
      </c>
      <c r="G3893">
        <v>50</v>
      </c>
      <c r="H3893" s="32">
        <f t="shared" si="60"/>
        <v>41.42</v>
      </c>
      <c r="I3893">
        <v>1</v>
      </c>
      <c r="J3893" t="s">
        <v>21</v>
      </c>
    </row>
    <row r="3894" spans="1:10" x14ac:dyDescent="0.25">
      <c r="A3894">
        <v>1739</v>
      </c>
      <c r="B3894" t="s">
        <v>2314</v>
      </c>
      <c r="C3894" t="s">
        <v>250</v>
      </c>
      <c r="D3894" t="s">
        <v>2234</v>
      </c>
      <c r="E3894" t="s">
        <v>2215</v>
      </c>
      <c r="F3894">
        <v>5346</v>
      </c>
      <c r="G3894">
        <v>129</v>
      </c>
      <c r="H3894" s="32">
        <f t="shared" si="60"/>
        <v>41.441860465116278</v>
      </c>
      <c r="I3894">
        <v>1</v>
      </c>
      <c r="J3894" t="s">
        <v>21</v>
      </c>
    </row>
    <row r="3895" spans="1:10" x14ac:dyDescent="0.25">
      <c r="A3895">
        <v>3096</v>
      </c>
      <c r="B3895" t="s">
        <v>330</v>
      </c>
      <c r="C3895" t="s">
        <v>143</v>
      </c>
      <c r="D3895" t="s">
        <v>2214</v>
      </c>
      <c r="E3895" t="s">
        <v>2215</v>
      </c>
      <c r="F3895">
        <v>7086</v>
      </c>
      <c r="G3895">
        <v>160</v>
      </c>
      <c r="H3895" s="32">
        <f t="shared" si="60"/>
        <v>44.287500000000001</v>
      </c>
      <c r="I3895">
        <v>1</v>
      </c>
      <c r="J3895" t="s">
        <v>21</v>
      </c>
    </row>
    <row r="3896" spans="1:10" x14ac:dyDescent="0.25">
      <c r="A3896">
        <v>7797</v>
      </c>
      <c r="B3896" t="s">
        <v>2545</v>
      </c>
      <c r="C3896" t="s">
        <v>201</v>
      </c>
      <c r="D3896" t="s">
        <v>2214</v>
      </c>
      <c r="E3896" t="s">
        <v>2215</v>
      </c>
      <c r="F3896">
        <v>14499</v>
      </c>
      <c r="G3896">
        <v>320</v>
      </c>
      <c r="H3896" s="32">
        <f t="shared" si="60"/>
        <v>45.309375000000003</v>
      </c>
      <c r="I3896">
        <v>1</v>
      </c>
      <c r="J3896" t="s">
        <v>21</v>
      </c>
    </row>
    <row r="3897" spans="1:10" x14ac:dyDescent="0.25">
      <c r="A3897">
        <v>56423</v>
      </c>
      <c r="B3897" t="s">
        <v>2864</v>
      </c>
      <c r="C3897" t="s">
        <v>322</v>
      </c>
      <c r="D3897" t="s">
        <v>2234</v>
      </c>
      <c r="E3897" t="s">
        <v>2215</v>
      </c>
      <c r="F3897">
        <v>48</v>
      </c>
      <c r="G3897">
        <v>1</v>
      </c>
      <c r="H3897" s="32">
        <f t="shared" si="60"/>
        <v>48</v>
      </c>
      <c r="I3897">
        <v>1</v>
      </c>
      <c r="J3897" t="s">
        <v>21</v>
      </c>
    </row>
    <row r="3898" spans="1:10" x14ac:dyDescent="0.25">
      <c r="A3898">
        <v>2716</v>
      </c>
      <c r="B3898" t="s">
        <v>2363</v>
      </c>
      <c r="C3898" t="s">
        <v>708</v>
      </c>
      <c r="D3898" t="s">
        <v>2214</v>
      </c>
      <c r="E3898" t="s">
        <v>2215</v>
      </c>
      <c r="F3898">
        <v>21268</v>
      </c>
      <c r="G3898">
        <v>437</v>
      </c>
      <c r="H3898" s="32">
        <f t="shared" si="60"/>
        <v>48.668192219679632</v>
      </c>
      <c r="I3898">
        <v>1</v>
      </c>
      <c r="J3898" t="s">
        <v>21</v>
      </c>
    </row>
    <row r="3899" spans="1:10" x14ac:dyDescent="0.25">
      <c r="A3899">
        <v>2390</v>
      </c>
      <c r="B3899" t="s">
        <v>2162</v>
      </c>
      <c r="C3899" t="s">
        <v>241</v>
      </c>
      <c r="D3899" t="s">
        <v>2214</v>
      </c>
      <c r="E3899" t="s">
        <v>2215</v>
      </c>
      <c r="F3899">
        <v>12038</v>
      </c>
      <c r="G3899">
        <v>190.50700000000001</v>
      </c>
      <c r="H3899" s="32">
        <f t="shared" si="60"/>
        <v>63.189279134100055</v>
      </c>
      <c r="I3899">
        <v>1</v>
      </c>
      <c r="J3899" t="s">
        <v>21</v>
      </c>
    </row>
    <row r="3900" spans="1:10" x14ac:dyDescent="0.25">
      <c r="A3900">
        <v>2861</v>
      </c>
      <c r="B3900" t="s">
        <v>2386</v>
      </c>
      <c r="C3900" t="s">
        <v>322</v>
      </c>
      <c r="D3900" t="s">
        <v>2214</v>
      </c>
      <c r="E3900" t="s">
        <v>2215</v>
      </c>
      <c r="F3900">
        <v>12042</v>
      </c>
      <c r="G3900">
        <v>182</v>
      </c>
      <c r="H3900" s="32">
        <f t="shared" si="60"/>
        <v>66.164835164835168</v>
      </c>
      <c r="I3900">
        <v>1</v>
      </c>
      <c r="J3900" t="s">
        <v>21</v>
      </c>
    </row>
    <row r="3901" spans="1:10" x14ac:dyDescent="0.25">
      <c r="A3901">
        <v>6565</v>
      </c>
      <c r="B3901" t="s">
        <v>2506</v>
      </c>
      <c r="C3901" t="s">
        <v>307</v>
      </c>
      <c r="D3901" t="s">
        <v>2234</v>
      </c>
      <c r="E3901" t="s">
        <v>2215</v>
      </c>
      <c r="F3901">
        <v>2424</v>
      </c>
      <c r="G3901">
        <v>34.051000000000002</v>
      </c>
      <c r="H3901" s="32">
        <f t="shared" si="60"/>
        <v>71.187336642095673</v>
      </c>
      <c r="I3901">
        <v>1</v>
      </c>
      <c r="J3901" t="s">
        <v>21</v>
      </c>
    </row>
    <row r="3902" spans="1:10" x14ac:dyDescent="0.25">
      <c r="A3902">
        <v>6238</v>
      </c>
      <c r="B3902" t="s">
        <v>2491</v>
      </c>
      <c r="C3902" t="s">
        <v>166</v>
      </c>
      <c r="D3902" t="s">
        <v>2214</v>
      </c>
      <c r="E3902" t="s">
        <v>2215</v>
      </c>
      <c r="F3902">
        <v>6589</v>
      </c>
      <c r="G3902">
        <v>64</v>
      </c>
      <c r="H3902" s="32">
        <f t="shared" si="60"/>
        <v>102.953125</v>
      </c>
      <c r="I3902">
        <v>1</v>
      </c>
      <c r="J3902" t="s">
        <v>21</v>
      </c>
    </row>
    <row r="3903" spans="1:10" x14ac:dyDescent="0.25">
      <c r="A3903">
        <v>56422</v>
      </c>
      <c r="B3903" t="s">
        <v>2863</v>
      </c>
      <c r="C3903" t="s">
        <v>322</v>
      </c>
      <c r="D3903" t="s">
        <v>2234</v>
      </c>
      <c r="E3903" t="s">
        <v>2215</v>
      </c>
      <c r="F3903">
        <v>480</v>
      </c>
      <c r="G3903">
        <v>3</v>
      </c>
      <c r="H3903" s="32">
        <f t="shared" si="60"/>
        <v>160</v>
      </c>
      <c r="I3903">
        <v>1</v>
      </c>
      <c r="J3903" t="s">
        <v>21</v>
      </c>
    </row>
    <row r="3904" spans="1:10" x14ac:dyDescent="0.25">
      <c r="A3904">
        <v>992</v>
      </c>
      <c r="B3904" t="s">
        <v>2263</v>
      </c>
      <c r="C3904" t="s">
        <v>131</v>
      </c>
      <c r="D3904" t="s">
        <v>2218</v>
      </c>
      <c r="E3904" t="s">
        <v>2215</v>
      </c>
      <c r="F3904">
        <v>6</v>
      </c>
      <c r="G3904">
        <v>3.5000000000000003E-2</v>
      </c>
      <c r="H3904" s="32">
        <f t="shared" si="60"/>
        <v>171.42857142857142</v>
      </c>
      <c r="I3904">
        <v>1</v>
      </c>
      <c r="J3904" t="s">
        <v>21</v>
      </c>
    </row>
    <row r="3905" spans="1:10" x14ac:dyDescent="0.25">
      <c r="A3905">
        <v>56553</v>
      </c>
      <c r="B3905" t="s">
        <v>2882</v>
      </c>
      <c r="C3905" t="s">
        <v>708</v>
      </c>
      <c r="D3905" t="s">
        <v>2234</v>
      </c>
      <c r="E3905" t="s">
        <v>2215</v>
      </c>
      <c r="F3905">
        <v>704</v>
      </c>
      <c r="G3905">
        <v>4</v>
      </c>
      <c r="H3905" s="32">
        <f t="shared" si="60"/>
        <v>176</v>
      </c>
      <c r="I3905">
        <v>1</v>
      </c>
      <c r="J3905" t="s">
        <v>21</v>
      </c>
    </row>
    <row r="3906" spans="1:10" x14ac:dyDescent="0.25">
      <c r="A3906">
        <v>56420</v>
      </c>
      <c r="B3906" t="s">
        <v>2861</v>
      </c>
      <c r="C3906" t="s">
        <v>322</v>
      </c>
      <c r="D3906" t="s">
        <v>2234</v>
      </c>
      <c r="E3906" t="s">
        <v>2215</v>
      </c>
      <c r="F3906">
        <v>222</v>
      </c>
      <c r="G3906">
        <v>1</v>
      </c>
      <c r="H3906" s="32">
        <f t="shared" ref="H3906:H3969" si="61">IF(AND(F3906&gt;0,G3906&gt;0),F3906/G3906,"")</f>
        <v>222</v>
      </c>
      <c r="I3906">
        <v>1</v>
      </c>
      <c r="J3906" t="s">
        <v>21</v>
      </c>
    </row>
    <row r="3907" spans="1:10" x14ac:dyDescent="0.25">
      <c r="A3907">
        <v>56690</v>
      </c>
      <c r="B3907" t="s">
        <v>2898</v>
      </c>
      <c r="C3907" t="s">
        <v>143</v>
      </c>
      <c r="D3907" t="s">
        <v>2234</v>
      </c>
      <c r="E3907" t="s">
        <v>2215</v>
      </c>
      <c r="F3907">
        <v>966</v>
      </c>
      <c r="G3907">
        <v>3.234</v>
      </c>
      <c r="H3907" s="32">
        <f t="shared" si="61"/>
        <v>298.7012987012987</v>
      </c>
      <c r="I3907">
        <v>1</v>
      </c>
      <c r="J3907" t="s">
        <v>21</v>
      </c>
    </row>
    <row r="3908" spans="1:10" x14ac:dyDescent="0.25">
      <c r="A3908">
        <v>56550</v>
      </c>
      <c r="B3908" t="s">
        <v>2881</v>
      </c>
      <c r="C3908" t="s">
        <v>708</v>
      </c>
      <c r="D3908" t="s">
        <v>2234</v>
      </c>
      <c r="E3908" t="s">
        <v>2215</v>
      </c>
      <c r="F3908">
        <v>478</v>
      </c>
      <c r="G3908">
        <v>1</v>
      </c>
      <c r="H3908" s="32">
        <f t="shared" si="61"/>
        <v>478</v>
      </c>
      <c r="I3908">
        <v>1</v>
      </c>
      <c r="J3908" t="s">
        <v>21</v>
      </c>
    </row>
    <row r="3909" spans="1:10" x14ac:dyDescent="0.25">
      <c r="A3909">
        <v>55534</v>
      </c>
      <c r="B3909" t="s">
        <v>2798</v>
      </c>
      <c r="C3909" t="s">
        <v>708</v>
      </c>
      <c r="D3909" t="s">
        <v>2234</v>
      </c>
      <c r="E3909" t="s">
        <v>2215</v>
      </c>
      <c r="F3909">
        <v>720</v>
      </c>
      <c r="G3909">
        <v>1</v>
      </c>
      <c r="H3909" s="32">
        <f t="shared" si="61"/>
        <v>720</v>
      </c>
      <c r="I3909">
        <v>1</v>
      </c>
      <c r="J3909" t="s">
        <v>21</v>
      </c>
    </row>
    <row r="3910" spans="1:10" x14ac:dyDescent="0.25">
      <c r="A3910">
        <v>957</v>
      </c>
      <c r="B3910" t="s">
        <v>2249</v>
      </c>
      <c r="C3910" t="s">
        <v>166</v>
      </c>
      <c r="D3910" t="s">
        <v>2234</v>
      </c>
      <c r="E3910" t="s">
        <v>2215</v>
      </c>
      <c r="F3910">
        <v>5590</v>
      </c>
      <c r="G3910">
        <v>1.9079999999999999</v>
      </c>
      <c r="H3910" s="32">
        <f t="shared" si="61"/>
        <v>2929.7693920335432</v>
      </c>
      <c r="I3910">
        <v>1</v>
      </c>
      <c r="J3910" t="s">
        <v>21</v>
      </c>
    </row>
    <row r="3911" spans="1:10" x14ac:dyDescent="0.25">
      <c r="A3911">
        <v>1016</v>
      </c>
      <c r="B3911" t="s">
        <v>2273</v>
      </c>
      <c r="C3911" t="s">
        <v>708</v>
      </c>
      <c r="D3911" t="s">
        <v>1969</v>
      </c>
      <c r="E3911" t="s">
        <v>2215</v>
      </c>
      <c r="F3911">
        <v>0</v>
      </c>
      <c r="G3911">
        <v>684.88199999999995</v>
      </c>
      <c r="H3911" s="32" t="str">
        <f t="shared" si="61"/>
        <v/>
      </c>
      <c r="I3911">
        <v>1</v>
      </c>
      <c r="J3911" t="s">
        <v>21</v>
      </c>
    </row>
    <row r="3912" spans="1:10" x14ac:dyDescent="0.25">
      <c r="A3912">
        <v>2398</v>
      </c>
      <c r="B3912" t="s">
        <v>238</v>
      </c>
      <c r="C3912" t="s">
        <v>241</v>
      </c>
      <c r="D3912" t="s">
        <v>1969</v>
      </c>
      <c r="E3912" t="s">
        <v>2215</v>
      </c>
      <c r="F3912">
        <v>0</v>
      </c>
      <c r="G3912">
        <v>21038.749</v>
      </c>
      <c r="H3912" s="32" t="str">
        <f t="shared" si="61"/>
        <v/>
      </c>
      <c r="I3912">
        <v>1</v>
      </c>
      <c r="J3912" t="s">
        <v>21</v>
      </c>
    </row>
    <row r="3913" spans="1:10" x14ac:dyDescent="0.25">
      <c r="A3913">
        <v>2406</v>
      </c>
      <c r="B3913" t="s">
        <v>1097</v>
      </c>
      <c r="C3913" t="s">
        <v>241</v>
      </c>
      <c r="D3913" t="s">
        <v>1969</v>
      </c>
      <c r="E3913" t="s">
        <v>2215</v>
      </c>
      <c r="F3913">
        <v>0</v>
      </c>
      <c r="G3913">
        <v>10339.834999999999</v>
      </c>
      <c r="H3913" s="32" t="str">
        <f t="shared" si="61"/>
        <v/>
      </c>
      <c r="I3913">
        <v>1</v>
      </c>
      <c r="J3913" t="s">
        <v>21</v>
      </c>
    </row>
    <row r="3914" spans="1:10" x14ac:dyDescent="0.25">
      <c r="A3914">
        <v>2411</v>
      </c>
      <c r="B3914" t="s">
        <v>1558</v>
      </c>
      <c r="C3914" t="s">
        <v>241</v>
      </c>
      <c r="D3914" t="s">
        <v>1969</v>
      </c>
      <c r="E3914" t="s">
        <v>2215</v>
      </c>
      <c r="F3914">
        <v>0</v>
      </c>
      <c r="G3914">
        <v>53.564999999999998</v>
      </c>
      <c r="H3914" s="32" t="str">
        <f t="shared" si="61"/>
        <v/>
      </c>
      <c r="I3914">
        <v>1</v>
      </c>
      <c r="J3914" t="s">
        <v>21</v>
      </c>
    </row>
    <row r="3915" spans="1:10" x14ac:dyDescent="0.25">
      <c r="A3915">
        <v>2706</v>
      </c>
      <c r="B3915" t="s">
        <v>2358</v>
      </c>
      <c r="C3915" t="s">
        <v>708</v>
      </c>
      <c r="D3915" t="s">
        <v>1969</v>
      </c>
      <c r="E3915" t="s">
        <v>2215</v>
      </c>
      <c r="F3915">
        <v>0</v>
      </c>
      <c r="G3915">
        <v>638.36199999999997</v>
      </c>
      <c r="H3915" s="32" t="str">
        <f t="shared" si="61"/>
        <v/>
      </c>
      <c r="I3915">
        <v>1</v>
      </c>
      <c r="J3915" t="s">
        <v>21</v>
      </c>
    </row>
    <row r="3916" spans="1:10" x14ac:dyDescent="0.25">
      <c r="A3916">
        <v>7153</v>
      </c>
      <c r="B3916" t="s">
        <v>904</v>
      </c>
      <c r="C3916" t="s">
        <v>672</v>
      </c>
      <c r="D3916" t="s">
        <v>1969</v>
      </c>
      <c r="E3916" t="s">
        <v>2215</v>
      </c>
      <c r="F3916">
        <v>0</v>
      </c>
      <c r="G3916">
        <v>12272.549000000001</v>
      </c>
      <c r="H3916" s="32" t="str">
        <f t="shared" si="61"/>
        <v/>
      </c>
      <c r="I3916">
        <v>1</v>
      </c>
      <c r="J3916" t="s">
        <v>21</v>
      </c>
    </row>
    <row r="3917" spans="1:10" x14ac:dyDescent="0.25">
      <c r="A3917">
        <v>7805</v>
      </c>
      <c r="B3917" t="s">
        <v>2164</v>
      </c>
      <c r="C3917" t="s">
        <v>708</v>
      </c>
      <c r="D3917" t="s">
        <v>1969</v>
      </c>
      <c r="E3917" t="s">
        <v>2215</v>
      </c>
      <c r="F3917">
        <v>0</v>
      </c>
      <c r="G3917">
        <v>2.1930000000000001</v>
      </c>
      <c r="H3917" s="32" t="str">
        <f t="shared" si="61"/>
        <v/>
      </c>
      <c r="I3917">
        <v>1</v>
      </c>
      <c r="J3917" t="s">
        <v>21</v>
      </c>
    </row>
    <row r="3918" spans="1:10" x14ac:dyDescent="0.25">
      <c r="A3918">
        <v>10633</v>
      </c>
      <c r="B3918" t="s">
        <v>2078</v>
      </c>
      <c r="C3918" t="s">
        <v>201</v>
      </c>
      <c r="D3918" t="s">
        <v>1969</v>
      </c>
      <c r="E3918" t="s">
        <v>2215</v>
      </c>
      <c r="F3918">
        <v>0</v>
      </c>
      <c r="G3918">
        <v>4728.7910000000002</v>
      </c>
      <c r="H3918" s="32" t="str">
        <f t="shared" si="61"/>
        <v/>
      </c>
      <c r="I3918">
        <v>1</v>
      </c>
      <c r="J3918" t="s">
        <v>21</v>
      </c>
    </row>
    <row r="3919" spans="1:10" x14ac:dyDescent="0.25">
      <c r="A3919">
        <v>50006</v>
      </c>
      <c r="B3919" t="s">
        <v>1984</v>
      </c>
      <c r="C3919" t="s">
        <v>241</v>
      </c>
      <c r="D3919" t="s">
        <v>1969</v>
      </c>
      <c r="E3919" t="s">
        <v>2215</v>
      </c>
      <c r="F3919">
        <v>0</v>
      </c>
      <c r="G3919">
        <v>5970.0420000000004</v>
      </c>
      <c r="H3919" s="32" t="str">
        <f t="shared" si="61"/>
        <v/>
      </c>
      <c r="I3919">
        <v>1</v>
      </c>
      <c r="J3919" t="s">
        <v>21</v>
      </c>
    </row>
    <row r="3920" spans="1:10" x14ac:dyDescent="0.25">
      <c r="A3920">
        <v>50561</v>
      </c>
      <c r="B3920" t="s">
        <v>630</v>
      </c>
      <c r="C3920" t="s">
        <v>241</v>
      </c>
      <c r="D3920" t="s">
        <v>1969</v>
      </c>
      <c r="E3920" t="s">
        <v>2215</v>
      </c>
      <c r="F3920">
        <v>0</v>
      </c>
      <c r="G3920">
        <v>7512.8220000000001</v>
      </c>
      <c r="H3920" s="32" t="str">
        <f t="shared" si="61"/>
        <v/>
      </c>
      <c r="I3920">
        <v>1</v>
      </c>
      <c r="J3920" t="s">
        <v>21</v>
      </c>
    </row>
    <row r="3921" spans="1:10" x14ac:dyDescent="0.25">
      <c r="A3921">
        <v>52019</v>
      </c>
      <c r="B3921" t="s">
        <v>2681</v>
      </c>
      <c r="C3921" t="s">
        <v>201</v>
      </c>
      <c r="D3921" t="s">
        <v>1969</v>
      </c>
      <c r="E3921" t="s">
        <v>2215</v>
      </c>
      <c r="F3921">
        <v>0</v>
      </c>
      <c r="G3921">
        <v>12453.915999999999</v>
      </c>
      <c r="H3921" s="32" t="str">
        <f t="shared" si="61"/>
        <v/>
      </c>
      <c r="I3921">
        <v>1</v>
      </c>
      <c r="J3921" t="s">
        <v>21</v>
      </c>
    </row>
    <row r="3922" spans="1:10" x14ac:dyDescent="0.25">
      <c r="A3922">
        <v>54363</v>
      </c>
      <c r="B3922" t="s">
        <v>2702</v>
      </c>
      <c r="C3922" t="s">
        <v>708</v>
      </c>
      <c r="D3922" t="s">
        <v>2234</v>
      </c>
      <c r="E3922" t="s">
        <v>2215</v>
      </c>
      <c r="F3922">
        <v>17</v>
      </c>
      <c r="G3922">
        <v>0</v>
      </c>
      <c r="H3922" s="32" t="str">
        <f t="shared" si="61"/>
        <v/>
      </c>
      <c r="I3922">
        <v>1</v>
      </c>
      <c r="J3922" t="s">
        <v>21</v>
      </c>
    </row>
    <row r="3923" spans="1:10" x14ac:dyDescent="0.25">
      <c r="A3923">
        <v>54640</v>
      </c>
      <c r="B3923" t="s">
        <v>2098</v>
      </c>
      <c r="C3923" t="s">
        <v>241</v>
      </c>
      <c r="D3923" t="s">
        <v>1969</v>
      </c>
      <c r="E3923" t="s">
        <v>2215</v>
      </c>
      <c r="F3923">
        <v>0</v>
      </c>
      <c r="G3923">
        <v>4397.3980000000001</v>
      </c>
      <c r="H3923" s="32" t="str">
        <f t="shared" si="61"/>
        <v/>
      </c>
      <c r="I3923">
        <v>1</v>
      </c>
      <c r="J3923" t="s">
        <v>21</v>
      </c>
    </row>
    <row r="3924" spans="1:10" x14ac:dyDescent="0.25">
      <c r="A3924">
        <v>54832</v>
      </c>
      <c r="B3924" t="s">
        <v>2731</v>
      </c>
      <c r="C3924" t="s">
        <v>307</v>
      </c>
      <c r="D3924" t="s">
        <v>1969</v>
      </c>
      <c r="E3924" t="s">
        <v>2215</v>
      </c>
      <c r="F3924">
        <v>0</v>
      </c>
      <c r="G3924">
        <v>12466.652</v>
      </c>
      <c r="H3924" s="32" t="str">
        <f t="shared" si="61"/>
        <v/>
      </c>
      <c r="I3924">
        <v>1</v>
      </c>
      <c r="J3924" t="s">
        <v>21</v>
      </c>
    </row>
    <row r="3925" spans="1:10" x14ac:dyDescent="0.25">
      <c r="A3925">
        <v>55439</v>
      </c>
      <c r="B3925" t="s">
        <v>2795</v>
      </c>
      <c r="C3925" t="s">
        <v>201</v>
      </c>
      <c r="D3925" t="s">
        <v>1969</v>
      </c>
      <c r="E3925" t="s">
        <v>2215</v>
      </c>
      <c r="F3925">
        <v>0</v>
      </c>
      <c r="G3925">
        <v>4938.817</v>
      </c>
      <c r="H3925" s="32" t="str">
        <f t="shared" si="61"/>
        <v/>
      </c>
      <c r="I3925">
        <v>1</v>
      </c>
      <c r="J3925" t="s">
        <v>21</v>
      </c>
    </row>
    <row r="3926" spans="1:10" x14ac:dyDescent="0.25">
      <c r="A3926">
        <v>55524</v>
      </c>
      <c r="B3926" t="s">
        <v>2204</v>
      </c>
      <c r="C3926" t="s">
        <v>143</v>
      </c>
      <c r="D3926" t="s">
        <v>1969</v>
      </c>
      <c r="E3926" t="s">
        <v>2215</v>
      </c>
      <c r="F3926">
        <v>0</v>
      </c>
      <c r="G3926">
        <v>10896.34</v>
      </c>
      <c r="H3926" s="32" t="str">
        <f t="shared" si="61"/>
        <v/>
      </c>
      <c r="I3926">
        <v>1</v>
      </c>
      <c r="J3926" t="s">
        <v>21</v>
      </c>
    </row>
    <row r="3927" spans="1:10" x14ac:dyDescent="0.25">
      <c r="A3927">
        <v>55690</v>
      </c>
      <c r="B3927" t="s">
        <v>2803</v>
      </c>
      <c r="C3927" t="s">
        <v>143</v>
      </c>
      <c r="D3927" t="s">
        <v>1969</v>
      </c>
      <c r="E3927" t="s">
        <v>2215</v>
      </c>
      <c r="F3927">
        <v>0</v>
      </c>
      <c r="G3927">
        <v>14441.171</v>
      </c>
      <c r="H3927" s="32" t="str">
        <f t="shared" si="61"/>
        <v/>
      </c>
      <c r="I3927">
        <v>1</v>
      </c>
      <c r="J3927" t="s">
        <v>21</v>
      </c>
    </row>
    <row r="3928" spans="1:10" x14ac:dyDescent="0.25">
      <c r="A3928">
        <v>56547</v>
      </c>
      <c r="B3928" t="s">
        <v>2878</v>
      </c>
      <c r="C3928" t="s">
        <v>708</v>
      </c>
      <c r="D3928" t="s">
        <v>2234</v>
      </c>
      <c r="E3928" t="s">
        <v>2215</v>
      </c>
      <c r="F3928">
        <v>49</v>
      </c>
      <c r="G3928">
        <v>0</v>
      </c>
      <c r="H3928" s="32" t="str">
        <f t="shared" si="61"/>
        <v/>
      </c>
      <c r="I3928">
        <v>1</v>
      </c>
      <c r="J3928" t="s">
        <v>21</v>
      </c>
    </row>
    <row r="3929" spans="1:10" x14ac:dyDescent="0.25">
      <c r="A3929">
        <v>57349</v>
      </c>
      <c r="B3929" t="s">
        <v>792</v>
      </c>
      <c r="C3929" t="s">
        <v>672</v>
      </c>
      <c r="D3929" t="s">
        <v>1969</v>
      </c>
      <c r="E3929" t="s">
        <v>2215</v>
      </c>
      <c r="F3929">
        <v>0</v>
      </c>
      <c r="G3929">
        <v>6404.4089999999997</v>
      </c>
      <c r="H3929" s="32" t="str">
        <f t="shared" si="61"/>
        <v/>
      </c>
      <c r="I3929">
        <v>1</v>
      </c>
      <c r="J3929" t="s">
        <v>21</v>
      </c>
    </row>
    <row r="3930" spans="1:10" x14ac:dyDescent="0.25">
      <c r="A3930">
        <v>57908</v>
      </c>
      <c r="B3930" t="s">
        <v>3075</v>
      </c>
      <c r="C3930" t="s">
        <v>322</v>
      </c>
      <c r="D3930" t="s">
        <v>1969</v>
      </c>
      <c r="E3930" t="s">
        <v>2215</v>
      </c>
      <c r="F3930">
        <v>0</v>
      </c>
      <c r="G3930">
        <v>6.3369999999999997</v>
      </c>
      <c r="H3930" s="32" t="str">
        <f t="shared" si="61"/>
        <v/>
      </c>
      <c r="I3930">
        <v>1</v>
      </c>
      <c r="J3930" t="s">
        <v>21</v>
      </c>
    </row>
    <row r="3931" spans="1:10" x14ac:dyDescent="0.25">
      <c r="A3931">
        <v>58043</v>
      </c>
      <c r="B3931" t="s">
        <v>3097</v>
      </c>
      <c r="C3931" t="s">
        <v>131</v>
      </c>
      <c r="D3931" t="s">
        <v>2234</v>
      </c>
      <c r="E3931" t="s">
        <v>2215</v>
      </c>
      <c r="F3931">
        <v>168</v>
      </c>
      <c r="G3931">
        <v>0</v>
      </c>
      <c r="H3931" s="32" t="str">
        <f t="shared" si="61"/>
        <v/>
      </c>
      <c r="I3931">
        <v>1</v>
      </c>
      <c r="J3931" t="s">
        <v>21</v>
      </c>
    </row>
    <row r="3932" spans="1:10" x14ac:dyDescent="0.25">
      <c r="A3932">
        <v>58047</v>
      </c>
      <c r="B3932" t="s">
        <v>3098</v>
      </c>
      <c r="C3932" t="s">
        <v>143</v>
      </c>
      <c r="D3932" t="s">
        <v>2234</v>
      </c>
      <c r="E3932" t="s">
        <v>2215</v>
      </c>
      <c r="F3932">
        <v>36</v>
      </c>
      <c r="G3932">
        <v>0</v>
      </c>
      <c r="H3932" s="32" t="str">
        <f t="shared" si="61"/>
        <v/>
      </c>
      <c r="I3932">
        <v>1</v>
      </c>
      <c r="J3932" t="s">
        <v>21</v>
      </c>
    </row>
    <row r="3933" spans="1:10" x14ac:dyDescent="0.25">
      <c r="A3933">
        <v>10017</v>
      </c>
      <c r="B3933" t="s">
        <v>2570</v>
      </c>
      <c r="C3933" t="s">
        <v>201</v>
      </c>
      <c r="D3933" t="s">
        <v>2218</v>
      </c>
      <c r="E3933" t="s">
        <v>2571</v>
      </c>
      <c r="F3933">
        <v>951249</v>
      </c>
      <c r="G3933">
        <v>238203.11</v>
      </c>
      <c r="H3933" s="32">
        <f t="shared" si="61"/>
        <v>3.9934365256608113</v>
      </c>
      <c r="I3933">
        <v>1</v>
      </c>
      <c r="J3933" t="s">
        <v>21</v>
      </c>
    </row>
    <row r="3934" spans="1:10" x14ac:dyDescent="0.25">
      <c r="A3934">
        <v>10208</v>
      </c>
      <c r="B3934" t="s">
        <v>2584</v>
      </c>
      <c r="C3934" t="s">
        <v>250</v>
      </c>
      <c r="D3934" t="s">
        <v>2218</v>
      </c>
      <c r="E3934" t="s">
        <v>2571</v>
      </c>
      <c r="F3934">
        <v>864726</v>
      </c>
      <c r="G3934">
        <v>211736.28099999999</v>
      </c>
      <c r="H3934" s="32">
        <f t="shared" si="61"/>
        <v>4.0839765198294007</v>
      </c>
      <c r="I3934">
        <v>1</v>
      </c>
      <c r="J3934" t="s">
        <v>21</v>
      </c>
    </row>
    <row r="3935" spans="1:10" x14ac:dyDescent="0.25">
      <c r="A3935">
        <v>55429</v>
      </c>
      <c r="B3935" t="s">
        <v>2794</v>
      </c>
      <c r="C3935" t="s">
        <v>266</v>
      </c>
      <c r="D3935" t="s">
        <v>2218</v>
      </c>
      <c r="E3935" t="s">
        <v>2571</v>
      </c>
      <c r="F3935">
        <v>1161449</v>
      </c>
      <c r="G3935">
        <v>255300.617</v>
      </c>
      <c r="H3935" s="32">
        <f t="shared" si="61"/>
        <v>4.5493387898862778</v>
      </c>
      <c r="I3935">
        <v>1</v>
      </c>
      <c r="J3935" t="s">
        <v>21</v>
      </c>
    </row>
    <row r="3936" spans="1:10" x14ac:dyDescent="0.25">
      <c r="A3936">
        <v>50254</v>
      </c>
      <c r="B3936" t="s">
        <v>2629</v>
      </c>
      <c r="C3936" t="s">
        <v>708</v>
      </c>
      <c r="D3936" t="s">
        <v>2218</v>
      </c>
      <c r="E3936" t="s">
        <v>2571</v>
      </c>
      <c r="F3936">
        <v>572470</v>
      </c>
      <c r="G3936">
        <v>124988.906</v>
      </c>
      <c r="H3936" s="32">
        <f t="shared" si="61"/>
        <v>4.5801664989371131</v>
      </c>
      <c r="I3936">
        <v>1</v>
      </c>
      <c r="J3936" t="s">
        <v>21</v>
      </c>
    </row>
    <row r="3937" spans="1:10" x14ac:dyDescent="0.25">
      <c r="A3937">
        <v>50479</v>
      </c>
      <c r="B3937" t="s">
        <v>1977</v>
      </c>
      <c r="C3937" t="s">
        <v>201</v>
      </c>
      <c r="D3937" t="s">
        <v>2218</v>
      </c>
      <c r="E3937" t="s">
        <v>2571</v>
      </c>
      <c r="F3937">
        <v>12049</v>
      </c>
      <c r="G3937">
        <v>2616.81</v>
      </c>
      <c r="H3937" s="32">
        <f t="shared" si="61"/>
        <v>4.6044611569047813</v>
      </c>
      <c r="I3937">
        <v>1</v>
      </c>
      <c r="J3937" t="s">
        <v>21</v>
      </c>
    </row>
    <row r="3938" spans="1:10" x14ac:dyDescent="0.25">
      <c r="A3938">
        <v>10244</v>
      </c>
      <c r="B3938" t="s">
        <v>2586</v>
      </c>
      <c r="C3938" t="s">
        <v>322</v>
      </c>
      <c r="D3938" t="s">
        <v>2218</v>
      </c>
      <c r="E3938" t="s">
        <v>2571</v>
      </c>
      <c r="F3938">
        <v>226853</v>
      </c>
      <c r="G3938">
        <v>48535.411</v>
      </c>
      <c r="H3938" s="32">
        <f t="shared" si="61"/>
        <v>4.6739688678025209</v>
      </c>
      <c r="I3938">
        <v>1</v>
      </c>
      <c r="J3938" t="s">
        <v>21</v>
      </c>
    </row>
    <row r="3939" spans="1:10" x14ac:dyDescent="0.25">
      <c r="A3939">
        <v>50189</v>
      </c>
      <c r="B3939" t="s">
        <v>2626</v>
      </c>
      <c r="C3939" t="s">
        <v>708</v>
      </c>
      <c r="D3939" t="s">
        <v>2218</v>
      </c>
      <c r="E3939" t="s">
        <v>2571</v>
      </c>
      <c r="F3939">
        <v>882463</v>
      </c>
      <c r="G3939">
        <v>185505.41200000001</v>
      </c>
      <c r="H3939" s="32">
        <f t="shared" si="61"/>
        <v>4.7570741494054092</v>
      </c>
      <c r="I3939">
        <v>1</v>
      </c>
      <c r="J3939" t="s">
        <v>21</v>
      </c>
    </row>
    <row r="3940" spans="1:10" x14ac:dyDescent="0.25">
      <c r="A3940">
        <v>50188</v>
      </c>
      <c r="B3940" t="s">
        <v>2625</v>
      </c>
      <c r="C3940" t="s">
        <v>708</v>
      </c>
      <c r="D3940" t="s">
        <v>2218</v>
      </c>
      <c r="E3940" t="s">
        <v>2571</v>
      </c>
      <c r="F3940">
        <v>830394</v>
      </c>
      <c r="G3940">
        <v>170025.649</v>
      </c>
      <c r="H3940" s="32">
        <f t="shared" si="61"/>
        <v>4.8839337175534023</v>
      </c>
      <c r="I3940">
        <v>1</v>
      </c>
      <c r="J3940" t="s">
        <v>21</v>
      </c>
    </row>
    <row r="3941" spans="1:10" x14ac:dyDescent="0.25">
      <c r="A3941">
        <v>50296</v>
      </c>
      <c r="B3941" t="s">
        <v>2632</v>
      </c>
      <c r="C3941" t="s">
        <v>2029</v>
      </c>
      <c r="D3941" t="s">
        <v>2218</v>
      </c>
      <c r="E3941" t="s">
        <v>2571</v>
      </c>
      <c r="F3941">
        <v>1276726</v>
      </c>
      <c r="G3941">
        <v>255125.42199999999</v>
      </c>
      <c r="H3941" s="32">
        <f t="shared" si="61"/>
        <v>5.0043072540219065</v>
      </c>
      <c r="I3941">
        <v>1</v>
      </c>
      <c r="J3941" t="s">
        <v>21</v>
      </c>
    </row>
    <row r="3942" spans="1:10" x14ac:dyDescent="0.25">
      <c r="A3942">
        <v>50397</v>
      </c>
      <c r="B3942" t="s">
        <v>2637</v>
      </c>
      <c r="C3942" t="s">
        <v>143</v>
      </c>
      <c r="D3942" t="s">
        <v>2218</v>
      </c>
      <c r="E3942" t="s">
        <v>2571</v>
      </c>
      <c r="F3942">
        <v>1067887</v>
      </c>
      <c r="G3942">
        <v>189349.239</v>
      </c>
      <c r="H3942" s="32">
        <f t="shared" si="61"/>
        <v>5.6397744487370236</v>
      </c>
      <c r="I3942">
        <v>1</v>
      </c>
      <c r="J3942" t="s">
        <v>21</v>
      </c>
    </row>
    <row r="3943" spans="1:10" x14ac:dyDescent="0.25">
      <c r="A3943">
        <v>52152</v>
      </c>
      <c r="B3943" t="s">
        <v>2690</v>
      </c>
      <c r="C3943" t="s">
        <v>201</v>
      </c>
      <c r="D3943" t="s">
        <v>2218</v>
      </c>
      <c r="E3943" t="s">
        <v>2571</v>
      </c>
      <c r="F3943">
        <v>1283091</v>
      </c>
      <c r="G3943">
        <v>225631.71900000001</v>
      </c>
      <c r="H3943" s="32">
        <f t="shared" si="61"/>
        <v>5.6866605709811564</v>
      </c>
      <c r="I3943">
        <v>1</v>
      </c>
      <c r="J3943" t="s">
        <v>21</v>
      </c>
    </row>
    <row r="3944" spans="1:10" x14ac:dyDescent="0.25">
      <c r="A3944">
        <v>54656</v>
      </c>
      <c r="B3944" t="s">
        <v>2717</v>
      </c>
      <c r="C3944" t="s">
        <v>708</v>
      </c>
      <c r="D3944" t="s">
        <v>2218</v>
      </c>
      <c r="E3944" t="s">
        <v>2571</v>
      </c>
      <c r="F3944">
        <v>1768048</v>
      </c>
      <c r="G3944">
        <v>294437.62699999998</v>
      </c>
      <c r="H3944" s="32">
        <f t="shared" si="61"/>
        <v>6.0048303541041657</v>
      </c>
      <c r="I3944">
        <v>1</v>
      </c>
      <c r="J3944" t="s">
        <v>21</v>
      </c>
    </row>
    <row r="3945" spans="1:10" x14ac:dyDescent="0.25">
      <c r="A3945">
        <v>54638</v>
      </c>
      <c r="B3945" t="s">
        <v>2715</v>
      </c>
      <c r="C3945" t="s">
        <v>143</v>
      </c>
      <c r="D3945" t="s">
        <v>2218</v>
      </c>
      <c r="E3945" t="s">
        <v>2571</v>
      </c>
      <c r="F3945">
        <v>482110</v>
      </c>
      <c r="G3945">
        <v>76750.922999999995</v>
      </c>
      <c r="H3945" s="32">
        <f t="shared" si="61"/>
        <v>6.2814879763726106</v>
      </c>
      <c r="I3945">
        <v>1</v>
      </c>
      <c r="J3945" t="s">
        <v>21</v>
      </c>
    </row>
    <row r="3946" spans="1:10" x14ac:dyDescent="0.25">
      <c r="A3946">
        <v>50251</v>
      </c>
      <c r="B3946" t="s">
        <v>2628</v>
      </c>
      <c r="C3946" t="s">
        <v>250</v>
      </c>
      <c r="D3946" t="s">
        <v>2218</v>
      </c>
      <c r="E3946" t="s">
        <v>2571</v>
      </c>
      <c r="F3946">
        <v>1396364</v>
      </c>
      <c r="G3946">
        <v>204361.984</v>
      </c>
      <c r="H3946" s="32">
        <f t="shared" si="61"/>
        <v>6.832797238844579</v>
      </c>
      <c r="I3946">
        <v>1</v>
      </c>
      <c r="J3946" t="s">
        <v>21</v>
      </c>
    </row>
    <row r="3947" spans="1:10" x14ac:dyDescent="0.25">
      <c r="A3947">
        <v>50813</v>
      </c>
      <c r="B3947" t="s">
        <v>2668</v>
      </c>
      <c r="C3947" t="s">
        <v>201</v>
      </c>
      <c r="D3947" t="s">
        <v>2218</v>
      </c>
      <c r="E3947" t="s">
        <v>2571</v>
      </c>
      <c r="F3947">
        <v>1626890</v>
      </c>
      <c r="G3947">
        <v>129451.738</v>
      </c>
      <c r="H3947" s="32">
        <f t="shared" si="61"/>
        <v>12.567540808142724</v>
      </c>
      <c r="I3947">
        <v>1</v>
      </c>
      <c r="J3947" t="s">
        <v>21</v>
      </c>
    </row>
    <row r="3948" spans="1:10" x14ac:dyDescent="0.25">
      <c r="A3948">
        <v>50900</v>
      </c>
      <c r="B3948" t="s">
        <v>2676</v>
      </c>
      <c r="C3948" t="s">
        <v>201</v>
      </c>
      <c r="D3948" t="s">
        <v>2218</v>
      </c>
      <c r="E3948" t="s">
        <v>2571</v>
      </c>
      <c r="F3948">
        <v>4178327</v>
      </c>
      <c r="G3948">
        <v>317604.59899999999</v>
      </c>
      <c r="H3948" s="32">
        <f t="shared" si="61"/>
        <v>13.155750934198531</v>
      </c>
      <c r="I3948">
        <v>1</v>
      </c>
      <c r="J3948" t="s">
        <v>21</v>
      </c>
    </row>
    <row r="3949" spans="1:10" x14ac:dyDescent="0.25">
      <c r="A3949">
        <v>10017</v>
      </c>
      <c r="B3949" t="s">
        <v>2570</v>
      </c>
      <c r="C3949" t="s">
        <v>201</v>
      </c>
      <c r="D3949" t="s">
        <v>2218</v>
      </c>
      <c r="E3949" t="s">
        <v>2222</v>
      </c>
      <c r="F3949">
        <v>53208</v>
      </c>
      <c r="G3949">
        <v>13323.591</v>
      </c>
      <c r="H3949" s="32">
        <f t="shared" si="61"/>
        <v>3.9935179637381544</v>
      </c>
      <c r="I3949">
        <v>1</v>
      </c>
      <c r="J3949" t="s">
        <v>21</v>
      </c>
    </row>
    <row r="3950" spans="1:10" x14ac:dyDescent="0.25">
      <c r="A3950">
        <v>50254</v>
      </c>
      <c r="B3950" t="s">
        <v>2629</v>
      </c>
      <c r="C3950" t="s">
        <v>708</v>
      </c>
      <c r="D3950" t="s">
        <v>2218</v>
      </c>
      <c r="E3950" t="s">
        <v>2222</v>
      </c>
      <c r="F3950">
        <v>148094</v>
      </c>
      <c r="G3950">
        <v>32311.831999999999</v>
      </c>
      <c r="H3950" s="32">
        <f t="shared" si="61"/>
        <v>4.5832746345054041</v>
      </c>
      <c r="I3950">
        <v>1</v>
      </c>
      <c r="J3950" t="s">
        <v>21</v>
      </c>
    </row>
    <row r="3951" spans="1:10" x14ac:dyDescent="0.25">
      <c r="A3951">
        <v>54618</v>
      </c>
      <c r="B3951" t="s">
        <v>2712</v>
      </c>
      <c r="C3951" t="s">
        <v>708</v>
      </c>
      <c r="D3951" t="s">
        <v>2218</v>
      </c>
      <c r="E3951" t="s">
        <v>2222</v>
      </c>
      <c r="F3951">
        <v>3413</v>
      </c>
      <c r="G3951">
        <v>720.38499999999999</v>
      </c>
      <c r="H3951" s="32">
        <f t="shared" si="61"/>
        <v>4.7377444005635878</v>
      </c>
      <c r="I3951">
        <v>1</v>
      </c>
      <c r="J3951" t="s">
        <v>21</v>
      </c>
    </row>
    <row r="3952" spans="1:10" x14ac:dyDescent="0.25">
      <c r="A3952">
        <v>50296</v>
      </c>
      <c r="B3952" t="s">
        <v>2632</v>
      </c>
      <c r="C3952" t="s">
        <v>2029</v>
      </c>
      <c r="D3952" t="s">
        <v>2218</v>
      </c>
      <c r="E3952" t="s">
        <v>2222</v>
      </c>
      <c r="F3952">
        <v>66</v>
      </c>
      <c r="G3952">
        <v>13.177</v>
      </c>
      <c r="H3952" s="32">
        <f t="shared" si="61"/>
        <v>5.0087273279198605</v>
      </c>
      <c r="I3952">
        <v>1</v>
      </c>
      <c r="J3952" t="s">
        <v>21</v>
      </c>
    </row>
    <row r="3953" spans="1:10" x14ac:dyDescent="0.25">
      <c r="A3953">
        <v>50240</v>
      </c>
      <c r="B3953" t="s">
        <v>2627</v>
      </c>
      <c r="C3953" t="s">
        <v>131</v>
      </c>
      <c r="D3953" t="s">
        <v>2218</v>
      </c>
      <c r="E3953" t="s">
        <v>2222</v>
      </c>
      <c r="F3953">
        <v>38592</v>
      </c>
      <c r="G3953">
        <v>7604.2650000000003</v>
      </c>
      <c r="H3953" s="32">
        <f t="shared" si="61"/>
        <v>5.0750467007659514</v>
      </c>
      <c r="I3953">
        <v>1</v>
      </c>
      <c r="J3953" t="s">
        <v>21</v>
      </c>
    </row>
    <row r="3954" spans="1:10" x14ac:dyDescent="0.25">
      <c r="A3954">
        <v>50481</v>
      </c>
      <c r="B3954" t="s">
        <v>2646</v>
      </c>
      <c r="C3954" t="s">
        <v>2029</v>
      </c>
      <c r="D3954" t="s">
        <v>2218</v>
      </c>
      <c r="E3954" t="s">
        <v>2222</v>
      </c>
      <c r="F3954">
        <v>2099852</v>
      </c>
      <c r="G3954">
        <v>385936.30599999998</v>
      </c>
      <c r="H3954" s="32">
        <f t="shared" si="61"/>
        <v>5.4409288977337109</v>
      </c>
      <c r="I3954">
        <v>1</v>
      </c>
      <c r="J3954" t="s">
        <v>21</v>
      </c>
    </row>
    <row r="3955" spans="1:10" x14ac:dyDescent="0.25">
      <c r="A3955">
        <v>50397</v>
      </c>
      <c r="B3955" t="s">
        <v>2637</v>
      </c>
      <c r="C3955" t="s">
        <v>143</v>
      </c>
      <c r="D3955" t="s">
        <v>2218</v>
      </c>
      <c r="E3955" t="s">
        <v>2222</v>
      </c>
      <c r="F3955">
        <v>450453</v>
      </c>
      <c r="G3955">
        <v>79870.891000000003</v>
      </c>
      <c r="H3955" s="32">
        <f t="shared" si="61"/>
        <v>5.6397643041192564</v>
      </c>
      <c r="I3955">
        <v>1</v>
      </c>
      <c r="J3955" t="s">
        <v>21</v>
      </c>
    </row>
    <row r="3956" spans="1:10" x14ac:dyDescent="0.25">
      <c r="A3956">
        <v>10865</v>
      </c>
      <c r="B3956" t="s">
        <v>2615</v>
      </c>
      <c r="C3956" t="s">
        <v>166</v>
      </c>
      <c r="D3956" t="s">
        <v>2218</v>
      </c>
      <c r="E3956" t="s">
        <v>2222</v>
      </c>
      <c r="F3956">
        <v>3297248</v>
      </c>
      <c r="G3956">
        <v>550843.21100000001</v>
      </c>
      <c r="H3956" s="32">
        <f t="shared" si="61"/>
        <v>5.9858194385552661</v>
      </c>
      <c r="I3956">
        <v>1</v>
      </c>
      <c r="J3956" t="s">
        <v>21</v>
      </c>
    </row>
    <row r="3957" spans="1:10" x14ac:dyDescent="0.25">
      <c r="A3957">
        <v>54780</v>
      </c>
      <c r="B3957" t="s">
        <v>2724</v>
      </c>
      <c r="C3957" t="s">
        <v>166</v>
      </c>
      <c r="D3957" t="s">
        <v>2218</v>
      </c>
      <c r="E3957" t="s">
        <v>2222</v>
      </c>
      <c r="F3957">
        <v>38906</v>
      </c>
      <c r="G3957">
        <v>6479.1109999999999</v>
      </c>
      <c r="H3957" s="32">
        <f t="shared" si="61"/>
        <v>6.0048361573061495</v>
      </c>
      <c r="I3957">
        <v>1</v>
      </c>
      <c r="J3957" t="s">
        <v>21</v>
      </c>
    </row>
    <row r="3958" spans="1:10" x14ac:dyDescent="0.25">
      <c r="A3958">
        <v>54276</v>
      </c>
      <c r="B3958" t="s">
        <v>2696</v>
      </c>
      <c r="C3958" t="s">
        <v>708</v>
      </c>
      <c r="D3958" t="s">
        <v>2218</v>
      </c>
      <c r="E3958" t="s">
        <v>2222</v>
      </c>
      <c r="F3958">
        <v>191934</v>
      </c>
      <c r="G3958">
        <v>28450.132000000001</v>
      </c>
      <c r="H3958" s="32">
        <f t="shared" si="61"/>
        <v>6.7463307375867361</v>
      </c>
      <c r="I3958">
        <v>1</v>
      </c>
      <c r="J3958" t="s">
        <v>21</v>
      </c>
    </row>
    <row r="3959" spans="1:10" x14ac:dyDescent="0.25">
      <c r="A3959">
        <v>50251</v>
      </c>
      <c r="B3959" t="s">
        <v>2628</v>
      </c>
      <c r="C3959" t="s">
        <v>250</v>
      </c>
      <c r="D3959" t="s">
        <v>2218</v>
      </c>
      <c r="E3959" t="s">
        <v>2222</v>
      </c>
      <c r="F3959">
        <v>904</v>
      </c>
      <c r="G3959">
        <v>132.447</v>
      </c>
      <c r="H3959" s="32">
        <f t="shared" si="61"/>
        <v>6.8253716580972013</v>
      </c>
      <c r="I3959">
        <v>1</v>
      </c>
      <c r="J3959" t="s">
        <v>21</v>
      </c>
    </row>
    <row r="3960" spans="1:10" x14ac:dyDescent="0.25">
      <c r="A3960">
        <v>57928</v>
      </c>
      <c r="B3960" t="s">
        <v>3077</v>
      </c>
      <c r="C3960" t="s">
        <v>166</v>
      </c>
      <c r="D3960" t="s">
        <v>2218</v>
      </c>
      <c r="E3960" t="s">
        <v>2222</v>
      </c>
      <c r="F3960">
        <v>71131</v>
      </c>
      <c r="G3960">
        <v>8978</v>
      </c>
      <c r="H3960" s="32">
        <f t="shared" si="61"/>
        <v>7.9228113165515701</v>
      </c>
      <c r="I3960">
        <v>1</v>
      </c>
      <c r="J3960" t="s">
        <v>21</v>
      </c>
    </row>
    <row r="3961" spans="1:10" x14ac:dyDescent="0.25">
      <c r="A3961">
        <v>56671</v>
      </c>
      <c r="B3961" t="s">
        <v>1285</v>
      </c>
      <c r="C3961" t="s">
        <v>118</v>
      </c>
      <c r="D3961" t="s">
        <v>2218</v>
      </c>
      <c r="E3961" t="s">
        <v>2222</v>
      </c>
      <c r="F3961">
        <v>40460006</v>
      </c>
      <c r="G3961">
        <v>4615575</v>
      </c>
      <c r="H3961" s="32">
        <f t="shared" si="61"/>
        <v>8.7659730369455602</v>
      </c>
      <c r="I3961">
        <v>1</v>
      </c>
      <c r="J3961" t="s">
        <v>21</v>
      </c>
    </row>
    <row r="3962" spans="1:10" x14ac:dyDescent="0.25">
      <c r="A3962">
        <v>55856</v>
      </c>
      <c r="B3962" t="s">
        <v>2811</v>
      </c>
      <c r="C3962" t="s">
        <v>166</v>
      </c>
      <c r="D3962" t="s">
        <v>2218</v>
      </c>
      <c r="E3962" t="s">
        <v>2222</v>
      </c>
      <c r="F3962">
        <v>114820830</v>
      </c>
      <c r="G3962">
        <v>12171614.34</v>
      </c>
      <c r="H3962" s="32">
        <f t="shared" si="61"/>
        <v>9.4334922872687734</v>
      </c>
      <c r="I3962">
        <v>1</v>
      </c>
      <c r="J3962" t="s">
        <v>21</v>
      </c>
    </row>
    <row r="3963" spans="1:10" x14ac:dyDescent="0.25">
      <c r="A3963">
        <v>8042</v>
      </c>
      <c r="B3963" t="s">
        <v>2150</v>
      </c>
      <c r="C3963" t="s">
        <v>708</v>
      </c>
      <c r="D3963" t="s">
        <v>2218</v>
      </c>
      <c r="E3963" t="s">
        <v>2222</v>
      </c>
      <c r="F3963">
        <v>25272150</v>
      </c>
      <c r="G3963">
        <v>2676647.6549999998</v>
      </c>
      <c r="H3963" s="32">
        <f t="shared" si="61"/>
        <v>9.4417171243258018</v>
      </c>
      <c r="I3963">
        <v>1</v>
      </c>
      <c r="J3963" t="s">
        <v>21</v>
      </c>
    </row>
    <row r="3964" spans="1:10" x14ac:dyDescent="0.25">
      <c r="A3964">
        <v>2727</v>
      </c>
      <c r="B3964" t="s">
        <v>2369</v>
      </c>
      <c r="C3964" t="s">
        <v>708</v>
      </c>
      <c r="D3964" t="s">
        <v>2218</v>
      </c>
      <c r="E3964" t="s">
        <v>2222</v>
      </c>
      <c r="F3964">
        <v>37244053</v>
      </c>
      <c r="G3964">
        <v>3815240.56</v>
      </c>
      <c r="H3964" s="32">
        <f t="shared" si="61"/>
        <v>9.7619147244544919</v>
      </c>
      <c r="I3964">
        <v>1</v>
      </c>
      <c r="J3964" t="s">
        <v>21</v>
      </c>
    </row>
    <row r="3965" spans="1:10" x14ac:dyDescent="0.25">
      <c r="A3965">
        <v>6166</v>
      </c>
      <c r="B3965" t="s">
        <v>1510</v>
      </c>
      <c r="C3965" t="s">
        <v>131</v>
      </c>
      <c r="D3965" t="s">
        <v>2218</v>
      </c>
      <c r="E3965" t="s">
        <v>2222</v>
      </c>
      <c r="F3965">
        <v>2146489</v>
      </c>
      <c r="G3965">
        <v>219725.08799999999</v>
      </c>
      <c r="H3965" s="32">
        <f t="shared" si="61"/>
        <v>9.7689754935949793</v>
      </c>
      <c r="I3965">
        <v>1</v>
      </c>
      <c r="J3965" t="s">
        <v>21</v>
      </c>
    </row>
    <row r="3966" spans="1:10" x14ac:dyDescent="0.25">
      <c r="A3966">
        <v>2721</v>
      </c>
      <c r="B3966" t="s">
        <v>2366</v>
      </c>
      <c r="C3966" t="s">
        <v>708</v>
      </c>
      <c r="D3966" t="s">
        <v>2218</v>
      </c>
      <c r="E3966" t="s">
        <v>2222</v>
      </c>
      <c r="F3966">
        <v>30077209</v>
      </c>
      <c r="G3966">
        <v>3074001.7030000002</v>
      </c>
      <c r="H3966" s="32">
        <f t="shared" si="61"/>
        <v>9.7843826731282704</v>
      </c>
      <c r="I3966">
        <v>1</v>
      </c>
      <c r="J3966" t="s">
        <v>21</v>
      </c>
    </row>
    <row r="3967" spans="1:10" x14ac:dyDescent="0.25">
      <c r="A3967">
        <v>6264</v>
      </c>
      <c r="B3967" t="s">
        <v>1230</v>
      </c>
      <c r="C3967" t="s">
        <v>118</v>
      </c>
      <c r="D3967" t="s">
        <v>2218</v>
      </c>
      <c r="E3967" t="s">
        <v>2222</v>
      </c>
      <c r="F3967">
        <v>67589207</v>
      </c>
      <c r="G3967">
        <v>6850134.75</v>
      </c>
      <c r="H3967" s="32">
        <f t="shared" si="61"/>
        <v>9.8668434223136998</v>
      </c>
      <c r="I3967">
        <v>1</v>
      </c>
      <c r="J3967" t="s">
        <v>21</v>
      </c>
    </row>
    <row r="3968" spans="1:10" x14ac:dyDescent="0.25">
      <c r="A3968">
        <v>8102</v>
      </c>
      <c r="B3968" t="s">
        <v>799</v>
      </c>
      <c r="C3968" t="s">
        <v>322</v>
      </c>
      <c r="D3968" t="s">
        <v>2218</v>
      </c>
      <c r="E3968" t="s">
        <v>2222</v>
      </c>
      <c r="F3968">
        <v>127674621</v>
      </c>
      <c r="G3968">
        <v>12816048.91</v>
      </c>
      <c r="H3968" s="32">
        <f t="shared" si="61"/>
        <v>9.9620890881884119</v>
      </c>
      <c r="I3968">
        <v>1</v>
      </c>
      <c r="J3968" t="s">
        <v>21</v>
      </c>
    </row>
    <row r="3969" spans="1:10" x14ac:dyDescent="0.25">
      <c r="A3969">
        <v>6041</v>
      </c>
      <c r="B3969" t="s">
        <v>1633</v>
      </c>
      <c r="C3969" t="s">
        <v>266</v>
      </c>
      <c r="D3969" t="s">
        <v>2218</v>
      </c>
      <c r="E3969" t="s">
        <v>2222</v>
      </c>
      <c r="F3969">
        <v>87232758</v>
      </c>
      <c r="G3969">
        <v>8748851.4900000002</v>
      </c>
      <c r="H3969" s="32">
        <f t="shared" si="61"/>
        <v>9.9707668029006626</v>
      </c>
      <c r="I3969">
        <v>1</v>
      </c>
      <c r="J3969" t="s">
        <v>21</v>
      </c>
    </row>
    <row r="3970" spans="1:10" x14ac:dyDescent="0.25">
      <c r="A3970">
        <v>1733</v>
      </c>
      <c r="B3970" t="s">
        <v>2310</v>
      </c>
      <c r="C3970" t="s">
        <v>250</v>
      </c>
      <c r="D3970" t="s">
        <v>2218</v>
      </c>
      <c r="E3970" t="s">
        <v>2222</v>
      </c>
      <c r="F3970">
        <v>26182970</v>
      </c>
      <c r="G3970">
        <v>2619432.84</v>
      </c>
      <c r="H3970" s="32">
        <f t="shared" ref="H3970:H4026" si="62">IF(AND(F3970&gt;0,G3970&gt;0),F3970/G3970,"")</f>
        <v>9.9956637941517155</v>
      </c>
      <c r="I3970">
        <v>1</v>
      </c>
      <c r="J3970" t="s">
        <v>21</v>
      </c>
    </row>
    <row r="3971" spans="1:10" x14ac:dyDescent="0.25">
      <c r="A3971">
        <v>2828</v>
      </c>
      <c r="B3971" t="s">
        <v>381</v>
      </c>
      <c r="C3971" t="s">
        <v>322</v>
      </c>
      <c r="D3971" t="s">
        <v>2218</v>
      </c>
      <c r="E3971" t="s">
        <v>2222</v>
      </c>
      <c r="F3971">
        <v>108591428</v>
      </c>
      <c r="G3971">
        <v>10783073.029999999</v>
      </c>
      <c r="H3971" s="32">
        <f t="shared" si="62"/>
        <v>10.070545539094805</v>
      </c>
      <c r="I3971">
        <v>1</v>
      </c>
      <c r="J3971" t="s">
        <v>21</v>
      </c>
    </row>
    <row r="3972" spans="1:10" x14ac:dyDescent="0.25">
      <c r="A3972">
        <v>6071</v>
      </c>
      <c r="B3972" t="s">
        <v>1989</v>
      </c>
      <c r="C3972" t="s">
        <v>266</v>
      </c>
      <c r="D3972" t="s">
        <v>2218</v>
      </c>
      <c r="E3972" t="s">
        <v>2222</v>
      </c>
      <c r="F3972">
        <v>69737061</v>
      </c>
      <c r="G3972">
        <v>6878279.6500000004</v>
      </c>
      <c r="H3972" s="32">
        <f t="shared" si="62"/>
        <v>10.138735926504529</v>
      </c>
      <c r="I3972">
        <v>1</v>
      </c>
      <c r="J3972" t="s">
        <v>21</v>
      </c>
    </row>
    <row r="3973" spans="1:10" x14ac:dyDescent="0.25">
      <c r="A3973">
        <v>1001</v>
      </c>
      <c r="B3973" t="s">
        <v>2267</v>
      </c>
      <c r="C3973" t="s">
        <v>131</v>
      </c>
      <c r="D3973" t="s">
        <v>2218</v>
      </c>
      <c r="E3973" t="s">
        <v>2222</v>
      </c>
      <c r="F3973">
        <v>40784418</v>
      </c>
      <c r="G3973">
        <v>3992425.64</v>
      </c>
      <c r="H3973" s="32">
        <f t="shared" si="62"/>
        <v>10.215448370880615</v>
      </c>
      <c r="I3973">
        <v>1</v>
      </c>
      <c r="J3973" t="s">
        <v>21</v>
      </c>
    </row>
    <row r="3974" spans="1:10" x14ac:dyDescent="0.25">
      <c r="A3974">
        <v>3943</v>
      </c>
      <c r="B3974" t="s">
        <v>751</v>
      </c>
      <c r="C3974" t="s">
        <v>118</v>
      </c>
      <c r="D3974" t="s">
        <v>2218</v>
      </c>
      <c r="E3974" t="s">
        <v>2222</v>
      </c>
      <c r="F3974">
        <v>62428903</v>
      </c>
      <c r="G3974">
        <v>6111202.4100000001</v>
      </c>
      <c r="H3974" s="32">
        <f t="shared" si="62"/>
        <v>10.215486055222968</v>
      </c>
      <c r="I3974">
        <v>1</v>
      </c>
      <c r="J3974" t="s">
        <v>21</v>
      </c>
    </row>
    <row r="3975" spans="1:10" x14ac:dyDescent="0.25">
      <c r="A3975">
        <v>6213</v>
      </c>
      <c r="B3975" t="s">
        <v>2490</v>
      </c>
      <c r="C3975" t="s">
        <v>131</v>
      </c>
      <c r="D3975" t="s">
        <v>2218</v>
      </c>
      <c r="E3975" t="s">
        <v>2222</v>
      </c>
      <c r="F3975">
        <v>49182369</v>
      </c>
      <c r="G3975">
        <v>4806076.68</v>
      </c>
      <c r="H3975" s="32">
        <f t="shared" si="62"/>
        <v>10.23337168228452</v>
      </c>
      <c r="I3975">
        <v>1</v>
      </c>
      <c r="J3975" t="s">
        <v>21</v>
      </c>
    </row>
    <row r="3976" spans="1:10" x14ac:dyDescent="0.25">
      <c r="A3976">
        <v>3136</v>
      </c>
      <c r="B3976" t="s">
        <v>1011</v>
      </c>
      <c r="C3976" t="s">
        <v>143</v>
      </c>
      <c r="D3976" t="s">
        <v>2218</v>
      </c>
      <c r="E3976" t="s">
        <v>2222</v>
      </c>
      <c r="F3976">
        <v>47127336</v>
      </c>
      <c r="G3976">
        <v>4597794</v>
      </c>
      <c r="H3976" s="32">
        <f t="shared" si="62"/>
        <v>10.249988581480597</v>
      </c>
      <c r="I3976">
        <v>1</v>
      </c>
      <c r="J3976" t="s">
        <v>21</v>
      </c>
    </row>
    <row r="3977" spans="1:10" x14ac:dyDescent="0.25">
      <c r="A3977">
        <v>3399</v>
      </c>
      <c r="B3977" t="s">
        <v>2421</v>
      </c>
      <c r="C3977" t="s">
        <v>2029</v>
      </c>
      <c r="D3977" t="s">
        <v>2218</v>
      </c>
      <c r="E3977" t="s">
        <v>2222</v>
      </c>
      <c r="F3977">
        <v>91370847</v>
      </c>
      <c r="G3977">
        <v>8895246.8000000007</v>
      </c>
      <c r="H3977" s="32">
        <f t="shared" si="62"/>
        <v>10.271873176132672</v>
      </c>
      <c r="I3977">
        <v>1</v>
      </c>
      <c r="J3977" t="s">
        <v>21</v>
      </c>
    </row>
    <row r="3978" spans="1:10" x14ac:dyDescent="0.25">
      <c r="A3978">
        <v>3944</v>
      </c>
      <c r="B3978" t="s">
        <v>899</v>
      </c>
      <c r="C3978" t="s">
        <v>118</v>
      </c>
      <c r="D3978" t="s">
        <v>2218</v>
      </c>
      <c r="E3978" t="s">
        <v>2222</v>
      </c>
      <c r="F3978">
        <v>110215590</v>
      </c>
      <c r="G3978">
        <v>10728794.27</v>
      </c>
      <c r="H3978" s="32">
        <f t="shared" si="62"/>
        <v>10.272877569121288</v>
      </c>
      <c r="I3978">
        <v>1</v>
      </c>
      <c r="J3978" t="s">
        <v>21</v>
      </c>
    </row>
    <row r="3979" spans="1:10" x14ac:dyDescent="0.25">
      <c r="A3979">
        <v>6250</v>
      </c>
      <c r="B3979" t="s">
        <v>2492</v>
      </c>
      <c r="C3979" t="s">
        <v>708</v>
      </c>
      <c r="D3979" t="s">
        <v>2218</v>
      </c>
      <c r="E3979" t="s">
        <v>2222</v>
      </c>
      <c r="F3979">
        <v>13711426</v>
      </c>
      <c r="G3979">
        <v>1333163.4779999999</v>
      </c>
      <c r="H3979" s="32">
        <f t="shared" si="62"/>
        <v>10.284879706253101</v>
      </c>
      <c r="I3979">
        <v>1</v>
      </c>
      <c r="J3979" t="s">
        <v>21</v>
      </c>
    </row>
    <row r="3980" spans="1:10" x14ac:dyDescent="0.25">
      <c r="A3980">
        <v>3118</v>
      </c>
      <c r="B3980" t="s">
        <v>490</v>
      </c>
      <c r="C3980" t="s">
        <v>143</v>
      </c>
      <c r="D3980" t="s">
        <v>2218</v>
      </c>
      <c r="E3980" t="s">
        <v>2222</v>
      </c>
      <c r="F3980">
        <v>40303766</v>
      </c>
      <c r="G3980">
        <v>3889847.9279999998</v>
      </c>
      <c r="H3980" s="32">
        <f t="shared" si="62"/>
        <v>10.36127034938421</v>
      </c>
      <c r="I3980">
        <v>1</v>
      </c>
      <c r="J3980" t="s">
        <v>21</v>
      </c>
    </row>
    <row r="3981" spans="1:10" x14ac:dyDescent="0.25">
      <c r="A3981">
        <v>3935</v>
      </c>
      <c r="B3981" t="s">
        <v>114</v>
      </c>
      <c r="C3981" t="s">
        <v>118</v>
      </c>
      <c r="D3981" t="s">
        <v>2218</v>
      </c>
      <c r="E3981" t="s">
        <v>2222</v>
      </c>
      <c r="F3981">
        <v>93691622</v>
      </c>
      <c r="G3981">
        <v>9023267.5810000002</v>
      </c>
      <c r="H3981" s="32">
        <f t="shared" si="62"/>
        <v>10.383336320124585</v>
      </c>
      <c r="I3981">
        <v>1</v>
      </c>
      <c r="J3981" t="s">
        <v>21</v>
      </c>
    </row>
    <row r="3982" spans="1:10" x14ac:dyDescent="0.25">
      <c r="A3982">
        <v>3954</v>
      </c>
      <c r="B3982" t="s">
        <v>1238</v>
      </c>
      <c r="C3982" t="s">
        <v>118</v>
      </c>
      <c r="D3982" t="s">
        <v>2218</v>
      </c>
      <c r="E3982" t="s">
        <v>2222</v>
      </c>
      <c r="F3982">
        <v>45198663</v>
      </c>
      <c r="G3982">
        <v>4334578.6150000002</v>
      </c>
      <c r="H3982" s="32">
        <f t="shared" si="62"/>
        <v>10.427464123868473</v>
      </c>
      <c r="I3982">
        <v>1</v>
      </c>
      <c r="J3982" t="s">
        <v>21</v>
      </c>
    </row>
    <row r="3983" spans="1:10" x14ac:dyDescent="0.25">
      <c r="A3983">
        <v>1364</v>
      </c>
      <c r="B3983" t="s">
        <v>2092</v>
      </c>
      <c r="C3983" t="s">
        <v>266</v>
      </c>
      <c r="D3983" t="s">
        <v>2218</v>
      </c>
      <c r="E3983" t="s">
        <v>2222</v>
      </c>
      <c r="F3983">
        <v>75026129</v>
      </c>
      <c r="G3983">
        <v>7160903.8600000003</v>
      </c>
      <c r="H3983" s="32">
        <f t="shared" si="62"/>
        <v>10.47718702370625</v>
      </c>
      <c r="I3983">
        <v>1</v>
      </c>
      <c r="J3983" t="s">
        <v>21</v>
      </c>
    </row>
    <row r="3984" spans="1:10" x14ac:dyDescent="0.25">
      <c r="A3984">
        <v>2832</v>
      </c>
      <c r="B3984" t="s">
        <v>1166</v>
      </c>
      <c r="C3984" t="s">
        <v>322</v>
      </c>
      <c r="D3984" t="s">
        <v>2218</v>
      </c>
      <c r="E3984" t="s">
        <v>2222</v>
      </c>
      <c r="F3984">
        <v>70568590</v>
      </c>
      <c r="G3984">
        <v>6702261</v>
      </c>
      <c r="H3984" s="32">
        <f t="shared" si="62"/>
        <v>10.52907220414126</v>
      </c>
      <c r="I3984">
        <v>1</v>
      </c>
      <c r="J3984" t="s">
        <v>21</v>
      </c>
    </row>
    <row r="3985" spans="1:10" x14ac:dyDescent="0.25">
      <c r="A3985">
        <v>3948</v>
      </c>
      <c r="B3985" t="s">
        <v>2116</v>
      </c>
      <c r="C3985" t="s">
        <v>118</v>
      </c>
      <c r="D3985" t="s">
        <v>2218</v>
      </c>
      <c r="E3985" t="s">
        <v>2222</v>
      </c>
      <c r="F3985">
        <v>41589858</v>
      </c>
      <c r="G3985">
        <v>3909597.6579999998</v>
      </c>
      <c r="H3985" s="32">
        <f t="shared" si="62"/>
        <v>10.637886974097425</v>
      </c>
      <c r="I3985">
        <v>1</v>
      </c>
      <c r="J3985" t="s">
        <v>21</v>
      </c>
    </row>
    <row r="3986" spans="1:10" x14ac:dyDescent="0.25">
      <c r="A3986">
        <v>997</v>
      </c>
      <c r="B3986" t="s">
        <v>2017</v>
      </c>
      <c r="C3986" t="s">
        <v>131</v>
      </c>
      <c r="D3986" t="s">
        <v>2218</v>
      </c>
      <c r="E3986" t="s">
        <v>2222</v>
      </c>
      <c r="F3986">
        <v>4221313</v>
      </c>
      <c r="G3986">
        <v>394686.06599999999</v>
      </c>
      <c r="H3986" s="32">
        <f t="shared" si="62"/>
        <v>10.695368708557348</v>
      </c>
      <c r="I3986">
        <v>1</v>
      </c>
      <c r="J3986" t="s">
        <v>21</v>
      </c>
    </row>
    <row r="3987" spans="1:10" x14ac:dyDescent="0.25">
      <c r="A3987">
        <v>994</v>
      </c>
      <c r="B3987" t="s">
        <v>2264</v>
      </c>
      <c r="C3987" t="s">
        <v>131</v>
      </c>
      <c r="D3987" t="s">
        <v>2218</v>
      </c>
      <c r="E3987" t="s">
        <v>2222</v>
      </c>
      <c r="F3987">
        <v>57826073</v>
      </c>
      <c r="G3987">
        <v>5383882.4500000002</v>
      </c>
      <c r="H3987" s="32">
        <f t="shared" si="62"/>
        <v>10.740589813583318</v>
      </c>
      <c r="I3987">
        <v>1</v>
      </c>
      <c r="J3987" t="s">
        <v>21</v>
      </c>
    </row>
    <row r="3988" spans="1:10" x14ac:dyDescent="0.25">
      <c r="A3988">
        <v>2876</v>
      </c>
      <c r="B3988" t="s">
        <v>1026</v>
      </c>
      <c r="C3988" t="s">
        <v>322</v>
      </c>
      <c r="D3988" t="s">
        <v>2218</v>
      </c>
      <c r="E3988" t="s">
        <v>2222</v>
      </c>
      <c r="F3988">
        <v>56773717</v>
      </c>
      <c r="G3988">
        <v>5282191.3389999997</v>
      </c>
      <c r="H3988" s="32">
        <f t="shared" si="62"/>
        <v>10.748137156793744</v>
      </c>
      <c r="I3988">
        <v>1</v>
      </c>
      <c r="J3988" t="s">
        <v>21</v>
      </c>
    </row>
    <row r="3989" spans="1:10" x14ac:dyDescent="0.25">
      <c r="A3989">
        <v>1356</v>
      </c>
      <c r="B3989" t="s">
        <v>2277</v>
      </c>
      <c r="C3989" t="s">
        <v>266</v>
      </c>
      <c r="D3989" t="s">
        <v>2218</v>
      </c>
      <c r="E3989" t="s">
        <v>2222</v>
      </c>
      <c r="F3989">
        <v>115791678</v>
      </c>
      <c r="G3989">
        <v>10760261.220000001</v>
      </c>
      <c r="H3989" s="32">
        <f t="shared" si="62"/>
        <v>10.761047118891412</v>
      </c>
      <c r="I3989">
        <v>1</v>
      </c>
      <c r="J3989" t="s">
        <v>21</v>
      </c>
    </row>
    <row r="3990" spans="1:10" x14ac:dyDescent="0.25">
      <c r="A3990">
        <v>2712</v>
      </c>
      <c r="B3990" t="s">
        <v>2360</v>
      </c>
      <c r="C3990" t="s">
        <v>708</v>
      </c>
      <c r="D3990" t="s">
        <v>2218</v>
      </c>
      <c r="E3990" t="s">
        <v>2222</v>
      </c>
      <c r="F3990">
        <v>74743355</v>
      </c>
      <c r="G3990">
        <v>6938324.79</v>
      </c>
      <c r="H3990" s="32">
        <f t="shared" si="62"/>
        <v>10.772536204665046</v>
      </c>
      <c r="I3990">
        <v>1</v>
      </c>
      <c r="J3990" t="s">
        <v>21</v>
      </c>
    </row>
    <row r="3991" spans="1:10" x14ac:dyDescent="0.25">
      <c r="A3991">
        <v>983</v>
      </c>
      <c r="B3991" t="s">
        <v>457</v>
      </c>
      <c r="C3991" t="s">
        <v>131</v>
      </c>
      <c r="D3991" t="s">
        <v>2218</v>
      </c>
      <c r="E3991" t="s">
        <v>2222</v>
      </c>
      <c r="F3991">
        <v>60618897</v>
      </c>
      <c r="G3991">
        <v>5590463.3600000003</v>
      </c>
      <c r="H3991" s="32">
        <f t="shared" si="62"/>
        <v>10.843268812694623</v>
      </c>
      <c r="I3991">
        <v>1</v>
      </c>
      <c r="J3991" t="s">
        <v>21</v>
      </c>
    </row>
    <row r="3992" spans="1:10" x14ac:dyDescent="0.25">
      <c r="A3992">
        <v>6705</v>
      </c>
      <c r="B3992" t="s">
        <v>2509</v>
      </c>
      <c r="C3992" t="s">
        <v>131</v>
      </c>
      <c r="D3992" t="s">
        <v>2218</v>
      </c>
      <c r="E3992" t="s">
        <v>2222</v>
      </c>
      <c r="F3992">
        <v>31893373</v>
      </c>
      <c r="G3992">
        <v>2928478.68</v>
      </c>
      <c r="H3992" s="32">
        <f t="shared" si="62"/>
        <v>10.890764961963116</v>
      </c>
      <c r="I3992">
        <v>1</v>
      </c>
      <c r="J3992" t="s">
        <v>21</v>
      </c>
    </row>
    <row r="3993" spans="1:10" x14ac:dyDescent="0.25">
      <c r="A3993">
        <v>1384</v>
      </c>
      <c r="B3993" t="s">
        <v>511</v>
      </c>
      <c r="C3993" t="s">
        <v>266</v>
      </c>
      <c r="D3993" t="s">
        <v>2218</v>
      </c>
      <c r="E3993" t="s">
        <v>2222</v>
      </c>
      <c r="F3993">
        <v>5601003</v>
      </c>
      <c r="G3993">
        <v>512838.35100000002</v>
      </c>
      <c r="H3993" s="32">
        <f t="shared" si="62"/>
        <v>10.921575948987481</v>
      </c>
      <c r="I3993">
        <v>1</v>
      </c>
      <c r="J3993" t="s">
        <v>21</v>
      </c>
    </row>
    <row r="3994" spans="1:10" x14ac:dyDescent="0.25">
      <c r="A3994">
        <v>50835</v>
      </c>
      <c r="B3994" t="s">
        <v>2187</v>
      </c>
      <c r="C3994" t="s">
        <v>250</v>
      </c>
      <c r="D3994" t="s">
        <v>2218</v>
      </c>
      <c r="E3994" t="s">
        <v>2222</v>
      </c>
      <c r="F3994">
        <v>2490024</v>
      </c>
      <c r="G3994">
        <v>227554.37700000001</v>
      </c>
      <c r="H3994" s="32">
        <f t="shared" si="62"/>
        <v>10.94254495487028</v>
      </c>
      <c r="I3994">
        <v>1</v>
      </c>
      <c r="J3994" t="s">
        <v>21</v>
      </c>
    </row>
    <row r="3995" spans="1:10" x14ac:dyDescent="0.25">
      <c r="A3995">
        <v>56808</v>
      </c>
      <c r="B3995" t="s">
        <v>1737</v>
      </c>
      <c r="C3995" t="s">
        <v>201</v>
      </c>
      <c r="D3995" t="s">
        <v>2218</v>
      </c>
      <c r="E3995" t="s">
        <v>2222</v>
      </c>
      <c r="F3995">
        <v>20517693</v>
      </c>
      <c r="G3995">
        <v>1868730.797</v>
      </c>
      <c r="H3995" s="32">
        <f t="shared" si="62"/>
        <v>10.979480315162805</v>
      </c>
      <c r="I3995">
        <v>1</v>
      </c>
      <c r="J3995" t="s">
        <v>21</v>
      </c>
    </row>
    <row r="3996" spans="1:10" x14ac:dyDescent="0.25">
      <c r="A3996">
        <v>3140</v>
      </c>
      <c r="B3996" t="s">
        <v>325</v>
      </c>
      <c r="C3996" t="s">
        <v>143</v>
      </c>
      <c r="D3996" t="s">
        <v>2218</v>
      </c>
      <c r="E3996" t="s">
        <v>2222</v>
      </c>
      <c r="F3996">
        <v>20047482</v>
      </c>
      <c r="G3996">
        <v>1820715.7890000001</v>
      </c>
      <c r="H3996" s="32">
        <f t="shared" si="62"/>
        <v>11.010769567177077</v>
      </c>
      <c r="I3996">
        <v>1</v>
      </c>
      <c r="J3996" t="s">
        <v>21</v>
      </c>
    </row>
    <row r="3997" spans="1:10" x14ac:dyDescent="0.25">
      <c r="A3997">
        <v>7213</v>
      </c>
      <c r="B3997" t="s">
        <v>470</v>
      </c>
      <c r="C3997" t="s">
        <v>201</v>
      </c>
      <c r="D3997" t="s">
        <v>2218</v>
      </c>
      <c r="E3997" t="s">
        <v>2222</v>
      </c>
      <c r="F3997">
        <v>18115203</v>
      </c>
      <c r="G3997">
        <v>1639426.48</v>
      </c>
      <c r="H3997" s="32">
        <f t="shared" si="62"/>
        <v>11.049719655620056</v>
      </c>
      <c r="I3997">
        <v>1</v>
      </c>
      <c r="J3997" t="s">
        <v>21</v>
      </c>
    </row>
    <row r="3998" spans="1:10" x14ac:dyDescent="0.25">
      <c r="A3998">
        <v>6113</v>
      </c>
      <c r="B3998" t="s">
        <v>2483</v>
      </c>
      <c r="C3998" t="s">
        <v>131</v>
      </c>
      <c r="D3998" t="s">
        <v>2218</v>
      </c>
      <c r="E3998" t="s">
        <v>2222</v>
      </c>
      <c r="F3998">
        <v>117507604</v>
      </c>
      <c r="G3998">
        <v>10596874.49</v>
      </c>
      <c r="H3998" s="32">
        <f t="shared" si="62"/>
        <v>11.088892683487845</v>
      </c>
      <c r="I3998">
        <v>1</v>
      </c>
      <c r="J3998" t="s">
        <v>21</v>
      </c>
    </row>
    <row r="3999" spans="1:10" x14ac:dyDescent="0.25">
      <c r="A3999">
        <v>6018</v>
      </c>
      <c r="B3999" t="s">
        <v>636</v>
      </c>
      <c r="C3999" t="s">
        <v>266</v>
      </c>
      <c r="D3999" t="s">
        <v>2218</v>
      </c>
      <c r="E3999" t="s">
        <v>2222</v>
      </c>
      <c r="F3999">
        <v>28838429</v>
      </c>
      <c r="G3999">
        <v>2579610.202</v>
      </c>
      <c r="H3999" s="32">
        <f t="shared" si="62"/>
        <v>11.179374689106615</v>
      </c>
      <c r="I3999">
        <v>1</v>
      </c>
      <c r="J3999" t="s">
        <v>21</v>
      </c>
    </row>
    <row r="4000" spans="1:10" x14ac:dyDescent="0.25">
      <c r="A4000">
        <v>57949</v>
      </c>
      <c r="B4000" t="s">
        <v>3080</v>
      </c>
      <c r="C4000" t="s">
        <v>250</v>
      </c>
      <c r="D4000" t="s">
        <v>2218</v>
      </c>
      <c r="E4000" t="s">
        <v>2222</v>
      </c>
      <c r="F4000">
        <v>4098</v>
      </c>
      <c r="G4000">
        <v>360.27499999999998</v>
      </c>
      <c r="H4000" s="32">
        <f t="shared" si="62"/>
        <v>11.37464436888488</v>
      </c>
      <c r="I4000">
        <v>1</v>
      </c>
      <c r="J4000" t="s">
        <v>21</v>
      </c>
    </row>
    <row r="4001" spans="1:10" x14ac:dyDescent="0.25">
      <c r="A4001">
        <v>1012</v>
      </c>
      <c r="B4001" t="s">
        <v>2272</v>
      </c>
      <c r="C4001" t="s">
        <v>131</v>
      </c>
      <c r="D4001" t="s">
        <v>2218</v>
      </c>
      <c r="E4001" t="s">
        <v>2222</v>
      </c>
      <c r="F4001">
        <v>10787492</v>
      </c>
      <c r="G4001">
        <v>933658.84299999999</v>
      </c>
      <c r="H4001" s="32">
        <f t="shared" si="62"/>
        <v>11.553997566539408</v>
      </c>
      <c r="I4001">
        <v>1</v>
      </c>
      <c r="J4001" t="s">
        <v>21</v>
      </c>
    </row>
    <row r="4002" spans="1:10" x14ac:dyDescent="0.25">
      <c r="A4002">
        <v>963</v>
      </c>
      <c r="B4002" t="s">
        <v>2254</v>
      </c>
      <c r="C4002" t="s">
        <v>166</v>
      </c>
      <c r="D4002" t="s">
        <v>2218</v>
      </c>
      <c r="E4002" t="s">
        <v>2222</v>
      </c>
      <c r="F4002">
        <v>10437143</v>
      </c>
      <c r="G4002">
        <v>898340.94700000004</v>
      </c>
      <c r="H4002" s="32">
        <f t="shared" si="62"/>
        <v>11.618242533477659</v>
      </c>
      <c r="I4002">
        <v>1</v>
      </c>
      <c r="J4002" t="s">
        <v>21</v>
      </c>
    </row>
    <row r="4003" spans="1:10" x14ac:dyDescent="0.25">
      <c r="A4003">
        <v>6823</v>
      </c>
      <c r="B4003" t="s">
        <v>2510</v>
      </c>
      <c r="C4003" t="s">
        <v>266</v>
      </c>
      <c r="D4003" t="s">
        <v>2218</v>
      </c>
      <c r="E4003" t="s">
        <v>2222</v>
      </c>
      <c r="F4003">
        <v>27290816</v>
      </c>
      <c r="G4003">
        <v>2322184.8640000001</v>
      </c>
      <c r="H4003" s="32">
        <f t="shared" si="62"/>
        <v>11.752215089797433</v>
      </c>
      <c r="I4003">
        <v>1</v>
      </c>
      <c r="J4003" t="s">
        <v>21</v>
      </c>
    </row>
    <row r="4004" spans="1:10" x14ac:dyDescent="0.25">
      <c r="A4004">
        <v>1355</v>
      </c>
      <c r="B4004" t="s">
        <v>2276</v>
      </c>
      <c r="C4004" t="s">
        <v>266</v>
      </c>
      <c r="D4004" t="s">
        <v>2218</v>
      </c>
      <c r="E4004" t="s">
        <v>2222</v>
      </c>
      <c r="F4004">
        <v>15648088</v>
      </c>
      <c r="G4004">
        <v>1326620.9180000001</v>
      </c>
      <c r="H4004" s="32">
        <f t="shared" si="62"/>
        <v>11.795447959309202</v>
      </c>
      <c r="I4004">
        <v>1</v>
      </c>
      <c r="J4004" t="s">
        <v>21</v>
      </c>
    </row>
    <row r="4005" spans="1:10" x14ac:dyDescent="0.25">
      <c r="A4005">
        <v>602</v>
      </c>
      <c r="B4005" t="s">
        <v>306</v>
      </c>
      <c r="C4005" t="s">
        <v>307</v>
      </c>
      <c r="D4005" t="s">
        <v>2218</v>
      </c>
      <c r="E4005" t="s">
        <v>2222</v>
      </c>
      <c r="F4005">
        <v>27255313</v>
      </c>
      <c r="G4005">
        <v>2293558.0410000002</v>
      </c>
      <c r="H4005" s="32">
        <f t="shared" si="62"/>
        <v>11.883419783925145</v>
      </c>
      <c r="I4005">
        <v>1</v>
      </c>
      <c r="J4005" t="s">
        <v>21</v>
      </c>
    </row>
    <row r="4006" spans="1:10" x14ac:dyDescent="0.25">
      <c r="A4006">
        <v>594</v>
      </c>
      <c r="B4006" t="s">
        <v>2010</v>
      </c>
      <c r="C4006" t="s">
        <v>672</v>
      </c>
      <c r="D4006" t="s">
        <v>2218</v>
      </c>
      <c r="E4006" t="s">
        <v>2222</v>
      </c>
      <c r="F4006">
        <v>3075832</v>
      </c>
      <c r="G4006">
        <v>252716.30100000001</v>
      </c>
      <c r="H4006" s="32">
        <f t="shared" si="62"/>
        <v>12.171086660531644</v>
      </c>
      <c r="I4006">
        <v>1</v>
      </c>
      <c r="J4006" t="s">
        <v>21</v>
      </c>
    </row>
    <row r="4007" spans="1:10" x14ac:dyDescent="0.25">
      <c r="A4007">
        <v>50813</v>
      </c>
      <c r="B4007" t="s">
        <v>2668</v>
      </c>
      <c r="C4007" t="s">
        <v>201</v>
      </c>
      <c r="D4007" t="s">
        <v>2218</v>
      </c>
      <c r="E4007" t="s">
        <v>2222</v>
      </c>
      <c r="F4007">
        <v>20289</v>
      </c>
      <c r="G4007">
        <v>1597.6679999999999</v>
      </c>
      <c r="H4007" s="32">
        <f t="shared" si="62"/>
        <v>12.699133987787201</v>
      </c>
      <c r="I4007">
        <v>1</v>
      </c>
      <c r="J4007" t="s">
        <v>21</v>
      </c>
    </row>
    <row r="4008" spans="1:10" x14ac:dyDescent="0.25">
      <c r="A4008">
        <v>3407</v>
      </c>
      <c r="B4008" t="s">
        <v>2430</v>
      </c>
      <c r="C4008" t="s">
        <v>2029</v>
      </c>
      <c r="D4008" t="s">
        <v>2218</v>
      </c>
      <c r="E4008" t="s">
        <v>2222</v>
      </c>
      <c r="F4008">
        <v>14018269</v>
      </c>
      <c r="G4008">
        <v>1085492.1359999999</v>
      </c>
      <c r="H4008" s="32">
        <f t="shared" si="62"/>
        <v>12.914205948701595</v>
      </c>
      <c r="I4008">
        <v>1</v>
      </c>
      <c r="J4008" t="s">
        <v>21</v>
      </c>
    </row>
    <row r="4009" spans="1:10" x14ac:dyDescent="0.25">
      <c r="A4009">
        <v>50900</v>
      </c>
      <c r="B4009" t="s">
        <v>2676</v>
      </c>
      <c r="C4009" t="s">
        <v>201</v>
      </c>
      <c r="D4009" t="s">
        <v>2218</v>
      </c>
      <c r="E4009" t="s">
        <v>2222</v>
      </c>
      <c r="F4009">
        <v>1099609</v>
      </c>
      <c r="G4009">
        <v>83852.542000000001</v>
      </c>
      <c r="H4009" s="32">
        <f t="shared" si="62"/>
        <v>13.113603640066152</v>
      </c>
      <c r="I4009">
        <v>1</v>
      </c>
      <c r="J4009" t="s">
        <v>21</v>
      </c>
    </row>
    <row r="4010" spans="1:10" x14ac:dyDescent="0.25">
      <c r="A4010">
        <v>6085</v>
      </c>
      <c r="B4010" t="s">
        <v>2480</v>
      </c>
      <c r="C4010" t="s">
        <v>131</v>
      </c>
      <c r="D4010" t="s">
        <v>2218</v>
      </c>
      <c r="E4010" t="s">
        <v>2222</v>
      </c>
      <c r="F4010">
        <v>18690256</v>
      </c>
      <c r="G4010">
        <v>1396978.175</v>
      </c>
      <c r="H4010" s="32">
        <f t="shared" si="62"/>
        <v>13.379060843237582</v>
      </c>
      <c r="I4010">
        <v>1</v>
      </c>
      <c r="J4010" t="s">
        <v>21</v>
      </c>
    </row>
    <row r="4011" spans="1:10" x14ac:dyDescent="0.25">
      <c r="A4011">
        <v>1040</v>
      </c>
      <c r="B4011" t="s">
        <v>2274</v>
      </c>
      <c r="C4011" t="s">
        <v>131</v>
      </c>
      <c r="D4011" t="s">
        <v>2218</v>
      </c>
      <c r="E4011" t="s">
        <v>2222</v>
      </c>
      <c r="F4011">
        <v>749564</v>
      </c>
      <c r="G4011">
        <v>51983.237000000001</v>
      </c>
      <c r="H4011" s="32">
        <f t="shared" si="62"/>
        <v>14.419340603972007</v>
      </c>
      <c r="I4011">
        <v>1</v>
      </c>
      <c r="J4011" t="s">
        <v>21</v>
      </c>
    </row>
    <row r="4012" spans="1:10" x14ac:dyDescent="0.25">
      <c r="A4012">
        <v>50776</v>
      </c>
      <c r="B4012" t="s">
        <v>1329</v>
      </c>
      <c r="C4012" t="s">
        <v>143</v>
      </c>
      <c r="D4012" t="s">
        <v>2218</v>
      </c>
      <c r="E4012" t="s">
        <v>2222</v>
      </c>
      <c r="F4012">
        <v>7679</v>
      </c>
      <c r="G4012">
        <v>518.75599999999997</v>
      </c>
      <c r="H4012" s="32">
        <f t="shared" si="62"/>
        <v>14.802720354077833</v>
      </c>
      <c r="I4012">
        <v>1</v>
      </c>
      <c r="J4012" t="s">
        <v>21</v>
      </c>
    </row>
    <row r="4013" spans="1:10" x14ac:dyDescent="0.25">
      <c r="A4013">
        <v>2914</v>
      </c>
      <c r="B4013" t="s">
        <v>2390</v>
      </c>
      <c r="C4013" t="s">
        <v>322</v>
      </c>
      <c r="D4013" t="s">
        <v>2218</v>
      </c>
      <c r="E4013" t="s">
        <v>2222</v>
      </c>
      <c r="F4013">
        <v>859640</v>
      </c>
      <c r="G4013">
        <v>54552.101000000002</v>
      </c>
      <c r="H4013" s="32">
        <f t="shared" si="62"/>
        <v>15.758146510250814</v>
      </c>
      <c r="I4013">
        <v>1</v>
      </c>
      <c r="J4013" t="s">
        <v>21</v>
      </c>
    </row>
    <row r="4014" spans="1:10" x14ac:dyDescent="0.25">
      <c r="A4014">
        <v>2935</v>
      </c>
      <c r="B4014" t="s">
        <v>2393</v>
      </c>
      <c r="C4014" t="s">
        <v>322</v>
      </c>
      <c r="D4014" t="s">
        <v>2218</v>
      </c>
      <c r="E4014" t="s">
        <v>2222</v>
      </c>
      <c r="F4014">
        <v>254421</v>
      </c>
      <c r="G4014">
        <v>15899.653</v>
      </c>
      <c r="H4014" s="32">
        <f t="shared" si="62"/>
        <v>16.001669973552254</v>
      </c>
      <c r="I4014">
        <v>1</v>
      </c>
      <c r="J4014" t="s">
        <v>21</v>
      </c>
    </row>
    <row r="4015" spans="1:10" x14ac:dyDescent="0.25">
      <c r="A4015">
        <v>976</v>
      </c>
      <c r="B4015" t="s">
        <v>2259</v>
      </c>
      <c r="C4015" t="s">
        <v>166</v>
      </c>
      <c r="D4015" t="s">
        <v>2218</v>
      </c>
      <c r="E4015" t="s">
        <v>2222</v>
      </c>
      <c r="F4015">
        <v>11079542</v>
      </c>
      <c r="G4015">
        <v>673438.45900000003</v>
      </c>
      <c r="H4015" s="32">
        <f t="shared" si="62"/>
        <v>16.452196710672265</v>
      </c>
      <c r="I4015">
        <v>1</v>
      </c>
      <c r="J4015" t="s">
        <v>21</v>
      </c>
    </row>
    <row r="4016" spans="1:10" x14ac:dyDescent="0.25">
      <c r="A4016">
        <v>6004</v>
      </c>
      <c r="B4016" t="s">
        <v>1387</v>
      </c>
      <c r="C4016" t="s">
        <v>118</v>
      </c>
      <c r="D4016" t="s">
        <v>2218</v>
      </c>
      <c r="E4016" t="s">
        <v>2222</v>
      </c>
      <c r="F4016">
        <v>6107161</v>
      </c>
      <c r="G4016">
        <v>366983.47499999998</v>
      </c>
      <c r="H4016" s="32">
        <f t="shared" si="62"/>
        <v>16.641514989196722</v>
      </c>
      <c r="I4016">
        <v>1</v>
      </c>
      <c r="J4016" t="s">
        <v>21</v>
      </c>
    </row>
    <row r="4017" spans="1:10" x14ac:dyDescent="0.25">
      <c r="A4017">
        <v>2936</v>
      </c>
      <c r="B4017" t="s">
        <v>2394</v>
      </c>
      <c r="C4017" t="s">
        <v>322</v>
      </c>
      <c r="D4017" t="s">
        <v>2218</v>
      </c>
      <c r="E4017" t="s">
        <v>2222</v>
      </c>
      <c r="F4017">
        <v>14508</v>
      </c>
      <c r="G4017">
        <v>853.82899999999995</v>
      </c>
      <c r="H4017" s="32">
        <f t="shared" si="62"/>
        <v>16.991692715988801</v>
      </c>
      <c r="I4017">
        <v>1</v>
      </c>
      <c r="J4017" t="s">
        <v>21</v>
      </c>
    </row>
    <row r="4018" spans="1:10" x14ac:dyDescent="0.25">
      <c r="A4018">
        <v>1004</v>
      </c>
      <c r="B4018" t="s">
        <v>2268</v>
      </c>
      <c r="C4018" t="s">
        <v>131</v>
      </c>
      <c r="D4018" t="s">
        <v>1969</v>
      </c>
      <c r="E4018" t="s">
        <v>2222</v>
      </c>
      <c r="F4018">
        <v>7783400</v>
      </c>
      <c r="G4018">
        <v>311173.67300000001</v>
      </c>
      <c r="H4018" s="32">
        <f t="shared" si="62"/>
        <v>25.013041511387758</v>
      </c>
      <c r="I4018">
        <v>1</v>
      </c>
      <c r="J4018" t="s">
        <v>21</v>
      </c>
    </row>
    <row r="4019" spans="1:10" x14ac:dyDescent="0.25">
      <c r="A4019">
        <v>54995</v>
      </c>
      <c r="B4019" t="s">
        <v>2754</v>
      </c>
      <c r="C4019" t="s">
        <v>131</v>
      </c>
      <c r="D4019" t="s">
        <v>2218</v>
      </c>
      <c r="E4019" t="s">
        <v>2588</v>
      </c>
      <c r="F4019">
        <v>2438925</v>
      </c>
      <c r="G4019">
        <v>591624.56099999999</v>
      </c>
      <c r="H4019" s="32">
        <f t="shared" si="62"/>
        <v>4.1224201305597923</v>
      </c>
      <c r="I4019">
        <v>1</v>
      </c>
      <c r="J4019" t="s">
        <v>21</v>
      </c>
    </row>
    <row r="4020" spans="1:10" x14ac:dyDescent="0.25">
      <c r="A4020">
        <v>50732</v>
      </c>
      <c r="B4020" t="s">
        <v>2665</v>
      </c>
      <c r="C4020" t="s">
        <v>143</v>
      </c>
      <c r="D4020" t="s">
        <v>2218</v>
      </c>
      <c r="E4020" t="s">
        <v>2588</v>
      </c>
      <c r="F4020">
        <v>1985733</v>
      </c>
      <c r="G4020">
        <v>448100.12800000003</v>
      </c>
      <c r="H4020" s="32">
        <f t="shared" si="62"/>
        <v>4.4314493032235864</v>
      </c>
      <c r="I4020">
        <v>1</v>
      </c>
      <c r="J4020" t="s">
        <v>21</v>
      </c>
    </row>
    <row r="4021" spans="1:10" x14ac:dyDescent="0.25">
      <c r="A4021">
        <v>50733</v>
      </c>
      <c r="B4021" t="s">
        <v>2666</v>
      </c>
      <c r="C4021" t="s">
        <v>131</v>
      </c>
      <c r="D4021" t="s">
        <v>2218</v>
      </c>
      <c r="E4021" t="s">
        <v>2588</v>
      </c>
      <c r="F4021">
        <v>2926220</v>
      </c>
      <c r="G4021">
        <v>504849.22700000001</v>
      </c>
      <c r="H4021" s="32">
        <f t="shared" si="62"/>
        <v>5.7962255729075327</v>
      </c>
      <c r="I4021">
        <v>1</v>
      </c>
      <c r="J4021" t="s">
        <v>21</v>
      </c>
    </row>
    <row r="4022" spans="1:10" x14ac:dyDescent="0.25">
      <c r="A4022">
        <v>10398</v>
      </c>
      <c r="B4022" t="s">
        <v>2597</v>
      </c>
      <c r="C4022" t="s">
        <v>322</v>
      </c>
      <c r="D4022" t="s">
        <v>2218</v>
      </c>
      <c r="E4022" t="s">
        <v>2588</v>
      </c>
      <c r="F4022">
        <v>1157148</v>
      </c>
      <c r="G4022">
        <v>183135.921</v>
      </c>
      <c r="H4022" s="32">
        <f t="shared" si="62"/>
        <v>6.3185201116279091</v>
      </c>
      <c r="I4022">
        <v>1</v>
      </c>
      <c r="J4022" t="s">
        <v>21</v>
      </c>
    </row>
    <row r="4023" spans="1:10" x14ac:dyDescent="0.25">
      <c r="A4023">
        <v>10245</v>
      </c>
      <c r="B4023" t="s">
        <v>2587</v>
      </c>
      <c r="C4023" t="s">
        <v>131</v>
      </c>
      <c r="D4023" t="s">
        <v>2218</v>
      </c>
      <c r="E4023" t="s">
        <v>2588</v>
      </c>
      <c r="F4023">
        <v>1707312</v>
      </c>
      <c r="G4023">
        <v>266575.42200000002</v>
      </c>
      <c r="H4023" s="32">
        <f t="shared" si="62"/>
        <v>6.4046114498882796</v>
      </c>
      <c r="I4023">
        <v>1</v>
      </c>
      <c r="J4023" t="s">
        <v>21</v>
      </c>
    </row>
    <row r="4024" spans="1:10" x14ac:dyDescent="0.25">
      <c r="A4024">
        <v>55088</v>
      </c>
      <c r="B4024" t="s">
        <v>2765</v>
      </c>
      <c r="C4024" t="s">
        <v>250</v>
      </c>
      <c r="D4024" t="s">
        <v>2218</v>
      </c>
      <c r="E4024" t="s">
        <v>2588</v>
      </c>
      <c r="F4024">
        <v>921611</v>
      </c>
      <c r="G4024">
        <v>97907.396999999997</v>
      </c>
      <c r="H4024" s="32">
        <f t="shared" si="62"/>
        <v>9.4130885738898762</v>
      </c>
      <c r="I4024">
        <v>1</v>
      </c>
      <c r="J4024" t="s">
        <v>21</v>
      </c>
    </row>
    <row r="4025" spans="1:10" x14ac:dyDescent="0.25">
      <c r="A4025">
        <v>10475</v>
      </c>
      <c r="B4025" t="s">
        <v>2598</v>
      </c>
      <c r="C4025" t="s">
        <v>131</v>
      </c>
      <c r="D4025" t="s">
        <v>2599</v>
      </c>
      <c r="E4025" t="s">
        <v>2588</v>
      </c>
      <c r="F4025">
        <v>0</v>
      </c>
      <c r="G4025">
        <v>85487</v>
      </c>
      <c r="H4025" s="32" t="str">
        <f t="shared" si="62"/>
        <v/>
      </c>
      <c r="I4025">
        <v>1</v>
      </c>
      <c r="J4025" t="s">
        <v>21</v>
      </c>
    </row>
    <row r="4026" spans="1:10" x14ac:dyDescent="0.25">
      <c r="A4026">
        <v>62873</v>
      </c>
      <c r="B4026" t="s">
        <v>4244</v>
      </c>
      <c r="C4026" t="s">
        <v>708</v>
      </c>
      <c r="D4026" t="s">
        <v>2218</v>
      </c>
      <c r="E4026" t="s">
        <v>4245</v>
      </c>
      <c r="F4026">
        <v>67171</v>
      </c>
      <c r="G4026">
        <v>3288</v>
      </c>
      <c r="H4026" s="32">
        <f t="shared" si="62"/>
        <v>20.429136253041364</v>
      </c>
      <c r="I4026">
        <v>1</v>
      </c>
      <c r="J4026" t="s">
        <v>21</v>
      </c>
    </row>
  </sheetData>
  <autoFilter ref="A1:J4026" xr:uid="{00000000-0009-0000-0000-000005000000}">
    <sortState xmlns:xlrd2="http://schemas.microsoft.com/office/spreadsheetml/2017/richdata2" ref="A2:J4026">
      <sortCondition descending="1" ref="E1:E402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Coverage Dashboard</vt:lpstr>
      <vt:lpstr>Resource Estimates</vt:lpstr>
      <vt:lpstr>Class Assumptions</vt:lpstr>
      <vt:lpstr>Methodology</vt:lpstr>
      <vt:lpstr>EIA Matching Review</vt:lpstr>
      <vt:lpstr>2025 EIA Group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Bongiovi, Giuseppe</cp:lastModifiedBy>
  <dcterms:created xsi:type="dcterms:W3CDTF">2026-10-10T15:42:28Z</dcterms:created>
  <dcterms:modified xsi:type="dcterms:W3CDTF">2026-10-22T12:26:28Z</dcterms:modified>
</cp:coreProperties>
</file>